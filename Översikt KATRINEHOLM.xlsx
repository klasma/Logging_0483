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45895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45895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45895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45895</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45895</v>
      </c>
      <c r="D8" t="inlineStr">
        <is>
          <t>SÖDERMANLANDS LÄN</t>
        </is>
      </c>
      <c r="E8" t="inlineStr">
        <is>
          <t>KATRINEHOLM</t>
        </is>
      </c>
      <c r="G8" t="n">
        <v>18</v>
      </c>
      <c r="H8" t="n">
        <v>2</v>
      </c>
      <c r="I8" t="n">
        <v>4</v>
      </c>
      <c r="J8" t="n">
        <v>0</v>
      </c>
      <c r="K8" t="n">
        <v>0</v>
      </c>
      <c r="L8" t="n">
        <v>0</v>
      </c>
      <c r="M8" t="n">
        <v>1</v>
      </c>
      <c r="N8" t="n">
        <v>0</v>
      </c>
      <c r="O8" t="n">
        <v>1</v>
      </c>
      <c r="P8" t="n">
        <v>1</v>
      </c>
      <c r="Q8" t="n">
        <v>7</v>
      </c>
      <c r="R8" s="2" t="inlineStr">
        <is>
          <t>Skogsalm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45895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45895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45895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45895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45895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45895</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45895</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45895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45895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45895</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45895</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45895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45895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45895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45895</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45895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45895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45895</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45895</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45895</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45895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45895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45895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45895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45895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22474-2025</t>
        </is>
      </c>
      <c r="B35" s="1" t="n">
        <v>45786.62152777778</v>
      </c>
      <c r="C35" s="1" t="n">
        <v>45895</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45895</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53990-2023</t>
        </is>
      </c>
      <c r="B37" s="1" t="n">
        <v>45231</v>
      </c>
      <c r="C37" s="1" t="n">
        <v>45895</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16458-2022</t>
        </is>
      </c>
      <c r="B38" s="1" t="n">
        <v>44671</v>
      </c>
      <c r="C38" s="1" t="n">
        <v>45895</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45895</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53154-2023</t>
        </is>
      </c>
      <c r="B40" s="1" t="n">
        <v>45229</v>
      </c>
      <c r="C40" s="1" t="n">
        <v>45895</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27926-2025</t>
        </is>
      </c>
      <c r="B41" s="1" t="n">
        <v>45814</v>
      </c>
      <c r="C41" s="1" t="n">
        <v>45895</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57519-2021</t>
        </is>
      </c>
      <c r="B42" s="1" t="n">
        <v>44483</v>
      </c>
      <c r="C42" s="1" t="n">
        <v>45895</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45895</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45895</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11890-2023</t>
        </is>
      </c>
      <c r="B45" s="1" t="n">
        <v>44995</v>
      </c>
      <c r="C45" s="1" t="n">
        <v>45895</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47989-2020</t>
        </is>
      </c>
      <c r="B46" s="1" t="n">
        <v>44099</v>
      </c>
      <c r="C46" s="1" t="n">
        <v>45895</v>
      </c>
      <c r="D46" t="inlineStr">
        <is>
          <t>SÖDERMANLANDS LÄN</t>
        </is>
      </c>
      <c r="E46" t="inlineStr">
        <is>
          <t>KATRINEHOLM</t>
        </is>
      </c>
      <c r="F46" t="inlineStr">
        <is>
          <t>Övriga statliga verk och myndigheter</t>
        </is>
      </c>
      <c r="G46" t="n">
        <v>4.7</v>
      </c>
      <c r="H46" t="n">
        <v>0</v>
      </c>
      <c r="I46" t="n">
        <v>1</v>
      </c>
      <c r="J46" t="n">
        <v>0</v>
      </c>
      <c r="K46" t="n">
        <v>0</v>
      </c>
      <c r="L46" t="n">
        <v>0</v>
      </c>
      <c r="M46" t="n">
        <v>0</v>
      </c>
      <c r="N46" t="n">
        <v>0</v>
      </c>
      <c r="O46" t="n">
        <v>0</v>
      </c>
      <c r="P46" t="n">
        <v>0</v>
      </c>
      <c r="Q46" t="n">
        <v>1</v>
      </c>
      <c r="R46" s="2" t="inlineStr">
        <is>
          <t>Stubbspretmossa</t>
        </is>
      </c>
      <c r="S46">
        <f>HYPERLINK("https://klasma.github.io/Logging_0483/artfynd/A 47989-2020 artfynd.xlsx", "A 47989-2020")</f>
        <v/>
      </c>
      <c r="T46">
        <f>HYPERLINK("https://klasma.github.io/Logging_0483/kartor/A 47989-2020 karta.png", "A 47989-2020")</f>
        <v/>
      </c>
      <c r="V46">
        <f>HYPERLINK("https://klasma.github.io/Logging_0483/klagomål/A 47989-2020 FSC-klagomål.docx", "A 47989-2020")</f>
        <v/>
      </c>
      <c r="W46">
        <f>HYPERLINK("https://klasma.github.io/Logging_0483/klagomålsmail/A 47989-2020 FSC-klagomål mail.docx", "A 47989-2020")</f>
        <v/>
      </c>
      <c r="X46">
        <f>HYPERLINK("https://klasma.github.io/Logging_0483/tillsyn/A 47989-2020 tillsynsbegäran.docx", "A 47989-2020")</f>
        <v/>
      </c>
      <c r="Y46">
        <f>HYPERLINK("https://klasma.github.io/Logging_0483/tillsynsmail/A 47989-2020 tillsynsbegäran mail.docx", "A 47989-2020")</f>
        <v/>
      </c>
    </row>
    <row r="47" ht="15" customHeight="1">
      <c r="A47" t="inlineStr">
        <is>
          <t>A 33801-2023</t>
        </is>
      </c>
      <c r="B47" s="1" t="n">
        <v>45133</v>
      </c>
      <c r="C47" s="1" t="n">
        <v>45895</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6076-2022</t>
        </is>
      </c>
      <c r="B48" s="1" t="n">
        <v>44599</v>
      </c>
      <c r="C48" s="1" t="n">
        <v>45895</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35163-2025</t>
        </is>
      </c>
      <c r="B49" s="1" t="n">
        <v>45852.71136574074</v>
      </c>
      <c r="C49" s="1" t="n">
        <v>45895</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42745-2022</t>
        </is>
      </c>
      <c r="B50" s="1" t="n">
        <v>44831</v>
      </c>
      <c r="C50" s="1" t="n">
        <v>45895</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36220-2022</t>
        </is>
      </c>
      <c r="B51" s="1" t="n">
        <v>44803</v>
      </c>
      <c r="C51" s="1" t="n">
        <v>45895</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12238-2023</t>
        </is>
      </c>
      <c r="B52" s="1" t="n">
        <v>44995</v>
      </c>
      <c r="C52" s="1" t="n">
        <v>45895</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45895</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45895</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36856-2021</t>
        </is>
      </c>
      <c r="B55" s="1" t="n">
        <v>44393</v>
      </c>
      <c r="C55" s="1" t="n">
        <v>45895</v>
      </c>
      <c r="D55" t="inlineStr">
        <is>
          <t>SÖDERMANLANDS LÄN</t>
        </is>
      </c>
      <c r="E55" t="inlineStr">
        <is>
          <t>KATRINEHOLM</t>
        </is>
      </c>
      <c r="G55" t="n">
        <v>3.1</v>
      </c>
      <c r="H55" t="n">
        <v>0</v>
      </c>
      <c r="I55" t="n">
        <v>0</v>
      </c>
      <c r="J55" t="n">
        <v>0</v>
      </c>
      <c r="K55" t="n">
        <v>0</v>
      </c>
      <c r="L55" t="n">
        <v>0</v>
      </c>
      <c r="M55" t="n">
        <v>0</v>
      </c>
      <c r="N55" t="n">
        <v>0</v>
      </c>
      <c r="O55" t="n">
        <v>0</v>
      </c>
      <c r="P55" t="n">
        <v>0</v>
      </c>
      <c r="Q55" t="n">
        <v>0</v>
      </c>
      <c r="R55" s="2" t="inlineStr"/>
    </row>
    <row r="56" ht="15" customHeight="1">
      <c r="A56" t="inlineStr">
        <is>
          <t>A 40289-2021</t>
        </is>
      </c>
      <c r="B56" s="1" t="n">
        <v>44419</v>
      </c>
      <c r="C56" s="1" t="n">
        <v>45895</v>
      </c>
      <c r="D56" t="inlineStr">
        <is>
          <t>SÖDERMANLANDS LÄN</t>
        </is>
      </c>
      <c r="E56" t="inlineStr">
        <is>
          <t>KATRINEHOLM</t>
        </is>
      </c>
      <c r="G56" t="n">
        <v>4.7</v>
      </c>
      <c r="H56" t="n">
        <v>0</v>
      </c>
      <c r="I56" t="n">
        <v>0</v>
      </c>
      <c r="J56" t="n">
        <v>0</v>
      </c>
      <c r="K56" t="n">
        <v>0</v>
      </c>
      <c r="L56" t="n">
        <v>0</v>
      </c>
      <c r="M56" t="n">
        <v>0</v>
      </c>
      <c r="N56" t="n">
        <v>0</v>
      </c>
      <c r="O56" t="n">
        <v>0</v>
      </c>
      <c r="P56" t="n">
        <v>0</v>
      </c>
      <c r="Q56" t="n">
        <v>0</v>
      </c>
      <c r="R56" s="2" t="inlineStr"/>
    </row>
    <row r="57" ht="15" customHeight="1">
      <c r="A57" t="inlineStr">
        <is>
          <t>A 17668-2021</t>
        </is>
      </c>
      <c r="B57" s="1" t="n">
        <v>44299</v>
      </c>
      <c r="C57" s="1" t="n">
        <v>45895</v>
      </c>
      <c r="D57" t="inlineStr">
        <is>
          <t>SÖDERMANLANDS LÄN</t>
        </is>
      </c>
      <c r="E57" t="inlineStr">
        <is>
          <t>KATRINEHOLM</t>
        </is>
      </c>
      <c r="G57" t="n">
        <v>1.5</v>
      </c>
      <c r="H57" t="n">
        <v>0</v>
      </c>
      <c r="I57" t="n">
        <v>0</v>
      </c>
      <c r="J57" t="n">
        <v>0</v>
      </c>
      <c r="K57" t="n">
        <v>0</v>
      </c>
      <c r="L57" t="n">
        <v>0</v>
      </c>
      <c r="M57" t="n">
        <v>0</v>
      </c>
      <c r="N57" t="n">
        <v>0</v>
      </c>
      <c r="O57" t="n">
        <v>0</v>
      </c>
      <c r="P57" t="n">
        <v>0</v>
      </c>
      <c r="Q57" t="n">
        <v>0</v>
      </c>
      <c r="R57" s="2" t="inlineStr"/>
    </row>
    <row r="58" ht="15" customHeight="1">
      <c r="A58" t="inlineStr">
        <is>
          <t>A 17711-2021</t>
        </is>
      </c>
      <c r="B58" s="1" t="n">
        <v>44299</v>
      </c>
      <c r="C58" s="1" t="n">
        <v>45895</v>
      </c>
      <c r="D58" t="inlineStr">
        <is>
          <t>SÖDERMANLANDS LÄN</t>
        </is>
      </c>
      <c r="E58" t="inlineStr">
        <is>
          <t>KATRINEHOLM</t>
        </is>
      </c>
      <c r="G58" t="n">
        <v>3.9</v>
      </c>
      <c r="H58" t="n">
        <v>0</v>
      </c>
      <c r="I58" t="n">
        <v>0</v>
      </c>
      <c r="J58" t="n">
        <v>0</v>
      </c>
      <c r="K58" t="n">
        <v>0</v>
      </c>
      <c r="L58" t="n">
        <v>0</v>
      </c>
      <c r="M58" t="n">
        <v>0</v>
      </c>
      <c r="N58" t="n">
        <v>0</v>
      </c>
      <c r="O58" t="n">
        <v>0</v>
      </c>
      <c r="P58" t="n">
        <v>0</v>
      </c>
      <c r="Q58" t="n">
        <v>0</v>
      </c>
      <c r="R58" s="2" t="inlineStr"/>
    </row>
    <row r="59" ht="15" customHeight="1">
      <c r="A59" t="inlineStr">
        <is>
          <t>A 40814-2022</t>
        </is>
      </c>
      <c r="B59" s="1" t="n">
        <v>44824</v>
      </c>
      <c r="C59" s="1" t="n">
        <v>45895</v>
      </c>
      <c r="D59" t="inlineStr">
        <is>
          <t>SÖDERMANLANDS LÄN</t>
        </is>
      </c>
      <c r="E59" t="inlineStr">
        <is>
          <t>KATRINEHOLM</t>
        </is>
      </c>
      <c r="G59" t="n">
        <v>0.2</v>
      </c>
      <c r="H59" t="n">
        <v>0</v>
      </c>
      <c r="I59" t="n">
        <v>0</v>
      </c>
      <c r="J59" t="n">
        <v>0</v>
      </c>
      <c r="K59" t="n">
        <v>0</v>
      </c>
      <c r="L59" t="n">
        <v>0</v>
      </c>
      <c r="M59" t="n">
        <v>0</v>
      </c>
      <c r="N59" t="n">
        <v>0</v>
      </c>
      <c r="O59" t="n">
        <v>0</v>
      </c>
      <c r="P59" t="n">
        <v>0</v>
      </c>
      <c r="Q59" t="n">
        <v>0</v>
      </c>
      <c r="R59" s="2" t="inlineStr"/>
    </row>
    <row r="60" ht="15" customHeight="1">
      <c r="A60" t="inlineStr">
        <is>
          <t>A 42853-2021</t>
        </is>
      </c>
      <c r="B60" s="1" t="n">
        <v>44430</v>
      </c>
      <c r="C60" s="1" t="n">
        <v>45895</v>
      </c>
      <c r="D60" t="inlineStr">
        <is>
          <t>SÖDERMANLANDS LÄN</t>
        </is>
      </c>
      <c r="E60" t="inlineStr">
        <is>
          <t>KATRINEHOLM</t>
        </is>
      </c>
      <c r="G60" t="n">
        <v>5.9</v>
      </c>
      <c r="H60" t="n">
        <v>0</v>
      </c>
      <c r="I60" t="n">
        <v>0</v>
      </c>
      <c r="J60" t="n">
        <v>0</v>
      </c>
      <c r="K60" t="n">
        <v>0</v>
      </c>
      <c r="L60" t="n">
        <v>0</v>
      </c>
      <c r="M60" t="n">
        <v>0</v>
      </c>
      <c r="N60" t="n">
        <v>0</v>
      </c>
      <c r="O60" t="n">
        <v>0</v>
      </c>
      <c r="P60" t="n">
        <v>0</v>
      </c>
      <c r="Q60" t="n">
        <v>0</v>
      </c>
      <c r="R60" s="2" t="inlineStr"/>
    </row>
    <row r="61" ht="15" customHeight="1">
      <c r="A61" t="inlineStr">
        <is>
          <t>A 48166-2022</t>
        </is>
      </c>
      <c r="B61" s="1" t="n">
        <v>44853</v>
      </c>
      <c r="C61" s="1" t="n">
        <v>45895</v>
      </c>
      <c r="D61" t="inlineStr">
        <is>
          <t>SÖDERMANLANDS LÄN</t>
        </is>
      </c>
      <c r="E61" t="inlineStr">
        <is>
          <t>KATRINEHOLM</t>
        </is>
      </c>
      <c r="F61" t="inlineStr">
        <is>
          <t>Övriga statliga verk och myndigheter</t>
        </is>
      </c>
      <c r="G61" t="n">
        <v>0.6</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45895</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72822-2021</t>
        </is>
      </c>
      <c r="B63" s="1" t="n">
        <v>44546</v>
      </c>
      <c r="C63" s="1" t="n">
        <v>45895</v>
      </c>
      <c r="D63" t="inlineStr">
        <is>
          <t>SÖDERMANLANDS LÄN</t>
        </is>
      </c>
      <c r="E63" t="inlineStr">
        <is>
          <t>KATRINEHOLM</t>
        </is>
      </c>
      <c r="G63" t="n">
        <v>6.3</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45895</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66655-2021</t>
        </is>
      </c>
      <c r="B65" s="1" t="n">
        <v>44519</v>
      </c>
      <c r="C65" s="1" t="n">
        <v>45895</v>
      </c>
      <c r="D65" t="inlineStr">
        <is>
          <t>SÖDERMANLANDS LÄN</t>
        </is>
      </c>
      <c r="E65" t="inlineStr">
        <is>
          <t>KATRINEHOLM</t>
        </is>
      </c>
      <c r="F65" t="inlineStr">
        <is>
          <t>Holmen skog AB</t>
        </is>
      </c>
      <c r="G65" t="n">
        <v>3.3</v>
      </c>
      <c r="H65" t="n">
        <v>0</v>
      </c>
      <c r="I65" t="n">
        <v>0</v>
      </c>
      <c r="J65" t="n">
        <v>0</v>
      </c>
      <c r="K65" t="n">
        <v>0</v>
      </c>
      <c r="L65" t="n">
        <v>0</v>
      </c>
      <c r="M65" t="n">
        <v>0</v>
      </c>
      <c r="N65" t="n">
        <v>0</v>
      </c>
      <c r="O65" t="n">
        <v>0</v>
      </c>
      <c r="P65" t="n">
        <v>0</v>
      </c>
      <c r="Q65" t="n">
        <v>0</v>
      </c>
      <c r="R65" s="2" t="inlineStr"/>
    </row>
    <row r="66" ht="15" customHeight="1">
      <c r="A66" t="inlineStr">
        <is>
          <t>A 22087-2021</t>
        </is>
      </c>
      <c r="B66" s="1" t="n">
        <v>44323</v>
      </c>
      <c r="C66" s="1" t="n">
        <v>45895</v>
      </c>
      <c r="D66" t="inlineStr">
        <is>
          <t>SÖDERMANLANDS LÄN</t>
        </is>
      </c>
      <c r="E66" t="inlineStr">
        <is>
          <t>KATRINEHOLM</t>
        </is>
      </c>
      <c r="G66" t="n">
        <v>0.8</v>
      </c>
      <c r="H66" t="n">
        <v>0</v>
      </c>
      <c r="I66" t="n">
        <v>0</v>
      </c>
      <c r="J66" t="n">
        <v>0</v>
      </c>
      <c r="K66" t="n">
        <v>0</v>
      </c>
      <c r="L66" t="n">
        <v>0</v>
      </c>
      <c r="M66" t="n">
        <v>0</v>
      </c>
      <c r="N66" t="n">
        <v>0</v>
      </c>
      <c r="O66" t="n">
        <v>0</v>
      </c>
      <c r="P66" t="n">
        <v>0</v>
      </c>
      <c r="Q66" t="n">
        <v>0</v>
      </c>
      <c r="R66" s="2" t="inlineStr"/>
    </row>
    <row r="67" ht="15" customHeight="1">
      <c r="A67" t="inlineStr">
        <is>
          <t>A 46806-2020</t>
        </is>
      </c>
      <c r="B67" s="1" t="n">
        <v>44090</v>
      </c>
      <c r="C67" s="1" t="n">
        <v>45895</v>
      </c>
      <c r="D67" t="inlineStr">
        <is>
          <t>SÖDERMANLANDS LÄN</t>
        </is>
      </c>
      <c r="E67" t="inlineStr">
        <is>
          <t>KATRINEHOLM</t>
        </is>
      </c>
      <c r="G67" t="n">
        <v>1.4</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45895</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45895</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45895</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17430-2021</t>
        </is>
      </c>
      <c r="B71" s="1" t="n">
        <v>44299.40710648148</v>
      </c>
      <c r="C71" s="1" t="n">
        <v>45895</v>
      </c>
      <c r="D71" t="inlineStr">
        <is>
          <t>SÖDERMANLANDS LÄN</t>
        </is>
      </c>
      <c r="E71" t="inlineStr">
        <is>
          <t>KATRINEHOLM</t>
        </is>
      </c>
      <c r="G71" t="n">
        <v>1.2</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45895</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45895</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45895</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45895</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45895</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45895</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70442-2021</t>
        </is>
      </c>
      <c r="B78" s="1" t="n">
        <v>44536</v>
      </c>
      <c r="C78" s="1" t="n">
        <v>45895</v>
      </c>
      <c r="D78" t="inlineStr">
        <is>
          <t>SÖDERMANLANDS LÄN</t>
        </is>
      </c>
      <c r="E78" t="inlineStr">
        <is>
          <t>KATRINEHOLM</t>
        </is>
      </c>
      <c r="G78" t="n">
        <v>0.9</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45895</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45895</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45895</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45895</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45895</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45895</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45895</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45895</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45895</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45895</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45895</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45895</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45895</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45895</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45895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45895</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45895</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45895</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45895</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45895</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45895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45895</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45895</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45895</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45895</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45895</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45895</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45895</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45895</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45895</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45895</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45895</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45895</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45895</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45895</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45895</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45895</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45895</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45895</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45895</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45895</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45895</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45895</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45895</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45895</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45895</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45895</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45895</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45895</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45895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45895</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45895</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45895</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45895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45895</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45895</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45895</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45895</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45895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45895</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45895</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45895</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45895</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45895</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45895</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45895</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45895</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45895</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45895</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45895</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45895</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6789-2022</t>
        </is>
      </c>
      <c r="B151" s="1" t="n">
        <v>44602</v>
      </c>
      <c r="C151" s="1" t="n">
        <v>45895</v>
      </c>
      <c r="D151" t="inlineStr">
        <is>
          <t>SÖDERMANLANDS LÄN</t>
        </is>
      </c>
      <c r="E151" t="inlineStr">
        <is>
          <t>KATRINEHOLM</t>
        </is>
      </c>
      <c r="G151" t="n">
        <v>4.6</v>
      </c>
      <c r="H151" t="n">
        <v>0</v>
      </c>
      <c r="I151" t="n">
        <v>0</v>
      </c>
      <c r="J151" t="n">
        <v>0</v>
      </c>
      <c r="K151" t="n">
        <v>0</v>
      </c>
      <c r="L151" t="n">
        <v>0</v>
      </c>
      <c r="M151" t="n">
        <v>0</v>
      </c>
      <c r="N151" t="n">
        <v>0</v>
      </c>
      <c r="O151" t="n">
        <v>0</v>
      </c>
      <c r="P151" t="n">
        <v>0</v>
      </c>
      <c r="Q151" t="n">
        <v>0</v>
      </c>
      <c r="R151" s="2" t="inlineStr"/>
    </row>
    <row r="152" ht="15" customHeight="1">
      <c r="A152" t="inlineStr">
        <is>
          <t>A 21576-2022</t>
        </is>
      </c>
      <c r="B152" s="1" t="n">
        <v>44706</v>
      </c>
      <c r="C152" s="1" t="n">
        <v>45895</v>
      </c>
      <c r="D152" t="inlineStr">
        <is>
          <t>SÖDERMANLANDS LÄN</t>
        </is>
      </c>
      <c r="E152" t="inlineStr">
        <is>
          <t>KATRINEHOLM</t>
        </is>
      </c>
      <c r="G152" t="n">
        <v>4.2</v>
      </c>
      <c r="H152" t="n">
        <v>0</v>
      </c>
      <c r="I152" t="n">
        <v>0</v>
      </c>
      <c r="J152" t="n">
        <v>0</v>
      </c>
      <c r="K152" t="n">
        <v>0</v>
      </c>
      <c r="L152" t="n">
        <v>0</v>
      </c>
      <c r="M152" t="n">
        <v>0</v>
      </c>
      <c r="N152" t="n">
        <v>0</v>
      </c>
      <c r="O152" t="n">
        <v>0</v>
      </c>
      <c r="P152" t="n">
        <v>0</v>
      </c>
      <c r="Q152" t="n">
        <v>0</v>
      </c>
      <c r="R152" s="2" t="inlineStr"/>
    </row>
    <row r="153" ht="15" customHeight="1">
      <c r="A153" t="inlineStr">
        <is>
          <t>A 43967-2022</t>
        </is>
      </c>
      <c r="B153" s="1" t="n">
        <v>44837</v>
      </c>
      <c r="C153" s="1" t="n">
        <v>45895</v>
      </c>
      <c r="D153" t="inlineStr">
        <is>
          <t>SÖDERMANLANDS LÄN</t>
        </is>
      </c>
      <c r="E153" t="inlineStr">
        <is>
          <t>KATRINEHOLM</t>
        </is>
      </c>
      <c r="G153" t="n">
        <v>6.2</v>
      </c>
      <c r="H153" t="n">
        <v>0</v>
      </c>
      <c r="I153" t="n">
        <v>0</v>
      </c>
      <c r="J153" t="n">
        <v>0</v>
      </c>
      <c r="K153" t="n">
        <v>0</v>
      </c>
      <c r="L153" t="n">
        <v>0</v>
      </c>
      <c r="M153" t="n">
        <v>0</v>
      </c>
      <c r="N153" t="n">
        <v>0</v>
      </c>
      <c r="O153" t="n">
        <v>0</v>
      </c>
      <c r="P153" t="n">
        <v>0</v>
      </c>
      <c r="Q153" t="n">
        <v>0</v>
      </c>
      <c r="R153" s="2" t="inlineStr"/>
    </row>
    <row r="154" ht="15" customHeight="1">
      <c r="A154" t="inlineStr">
        <is>
          <t>A 44012-2022</t>
        </is>
      </c>
      <c r="B154" s="1" t="n">
        <v>44838</v>
      </c>
      <c r="C154" s="1" t="n">
        <v>45895</v>
      </c>
      <c r="D154" t="inlineStr">
        <is>
          <t>SÖDERMANLANDS LÄN</t>
        </is>
      </c>
      <c r="E154" t="inlineStr">
        <is>
          <t>KATRINEHOLM</t>
        </is>
      </c>
      <c r="G154" t="n">
        <v>0.4</v>
      </c>
      <c r="H154" t="n">
        <v>0</v>
      </c>
      <c r="I154" t="n">
        <v>0</v>
      </c>
      <c r="J154" t="n">
        <v>0</v>
      </c>
      <c r="K154" t="n">
        <v>0</v>
      </c>
      <c r="L154" t="n">
        <v>0</v>
      </c>
      <c r="M154" t="n">
        <v>0</v>
      </c>
      <c r="N154" t="n">
        <v>0</v>
      </c>
      <c r="O154" t="n">
        <v>0</v>
      </c>
      <c r="P154" t="n">
        <v>0</v>
      </c>
      <c r="Q154" t="n">
        <v>0</v>
      </c>
      <c r="R154" s="2" t="inlineStr"/>
    </row>
    <row r="155" ht="15" customHeight="1">
      <c r="A155" t="inlineStr">
        <is>
          <t>A 59212-2021</t>
        </is>
      </c>
      <c r="B155" s="1" t="n">
        <v>44490.60873842592</v>
      </c>
      <c r="C155" s="1" t="n">
        <v>45895</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45895</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7550-2022</t>
        </is>
      </c>
      <c r="B157" s="1" t="n">
        <v>44607</v>
      </c>
      <c r="C157" s="1" t="n">
        <v>45895</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45895</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51602-2022</t>
        </is>
      </c>
      <c r="B159" s="1" t="n">
        <v>44871.69347222222</v>
      </c>
      <c r="C159" s="1" t="n">
        <v>45895</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38607-2021</t>
        </is>
      </c>
      <c r="B160" s="1" t="n">
        <v>44409.41428240741</v>
      </c>
      <c r="C160" s="1" t="n">
        <v>45895</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11070-2021</t>
        </is>
      </c>
      <c r="B161" s="1" t="n">
        <v>44260</v>
      </c>
      <c r="C161" s="1" t="n">
        <v>45895</v>
      </c>
      <c r="D161" t="inlineStr">
        <is>
          <t>SÖDERMANLANDS LÄN</t>
        </is>
      </c>
      <c r="E161" t="inlineStr">
        <is>
          <t>KATRINEHOLM</t>
        </is>
      </c>
      <c r="F161" t="inlineStr">
        <is>
          <t>Allmännings- och besparingsskogar</t>
        </is>
      </c>
      <c r="G161" t="n">
        <v>2.9</v>
      </c>
      <c r="H161" t="n">
        <v>0</v>
      </c>
      <c r="I161" t="n">
        <v>0</v>
      </c>
      <c r="J161" t="n">
        <v>0</v>
      </c>
      <c r="K161" t="n">
        <v>0</v>
      </c>
      <c r="L161" t="n">
        <v>0</v>
      </c>
      <c r="M161" t="n">
        <v>0</v>
      </c>
      <c r="N161" t="n">
        <v>0</v>
      </c>
      <c r="O161" t="n">
        <v>0</v>
      </c>
      <c r="P161" t="n">
        <v>0</v>
      </c>
      <c r="Q161" t="n">
        <v>0</v>
      </c>
      <c r="R161" s="2" t="inlineStr"/>
    </row>
    <row r="162" ht="15" customHeight="1">
      <c r="A162" t="inlineStr">
        <is>
          <t>A 35088-2022</t>
        </is>
      </c>
      <c r="B162" s="1" t="n">
        <v>44797</v>
      </c>
      <c r="C162" s="1" t="n">
        <v>45895</v>
      </c>
      <c r="D162" t="inlineStr">
        <is>
          <t>SÖDERMANLANDS LÄN</t>
        </is>
      </c>
      <c r="E162" t="inlineStr">
        <is>
          <t>KATRINEHOLM</t>
        </is>
      </c>
      <c r="G162" t="n">
        <v>2.8</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45895</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25893-2022</t>
        </is>
      </c>
      <c r="B164" s="1" t="n">
        <v>44733.77543981482</v>
      </c>
      <c r="C164" s="1" t="n">
        <v>45895</v>
      </c>
      <c r="D164" t="inlineStr">
        <is>
          <t>SÖDERMANLANDS LÄN</t>
        </is>
      </c>
      <c r="E164" t="inlineStr">
        <is>
          <t>KATRINEHOLM</t>
        </is>
      </c>
      <c r="G164" t="n">
        <v>0.5</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45895</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45895</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45895</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45895</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45895</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45895</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24199-2022</t>
        </is>
      </c>
      <c r="B171" s="1" t="n">
        <v>44725</v>
      </c>
      <c r="C171" s="1" t="n">
        <v>45895</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38835-2021</t>
        </is>
      </c>
      <c r="B172" s="1" t="n">
        <v>44411</v>
      </c>
      <c r="C172" s="1" t="n">
        <v>45895</v>
      </c>
      <c r="D172" t="inlineStr">
        <is>
          <t>SÖDERMANLANDS LÄN</t>
        </is>
      </c>
      <c r="E172" t="inlineStr">
        <is>
          <t>KATRINEHOLM</t>
        </is>
      </c>
      <c r="G172" t="n">
        <v>10.2</v>
      </c>
      <c r="H172" t="n">
        <v>0</v>
      </c>
      <c r="I172" t="n">
        <v>0</v>
      </c>
      <c r="J172" t="n">
        <v>0</v>
      </c>
      <c r="K172" t="n">
        <v>0</v>
      </c>
      <c r="L172" t="n">
        <v>0</v>
      </c>
      <c r="M172" t="n">
        <v>0</v>
      </c>
      <c r="N172" t="n">
        <v>0</v>
      </c>
      <c r="O172" t="n">
        <v>0</v>
      </c>
      <c r="P172" t="n">
        <v>0</v>
      </c>
      <c r="Q172" t="n">
        <v>0</v>
      </c>
      <c r="R172" s="2" t="inlineStr"/>
    </row>
    <row r="173" ht="15" customHeight="1">
      <c r="A173" t="inlineStr">
        <is>
          <t>A 68206-2021</t>
        </is>
      </c>
      <c r="B173" s="1" t="n">
        <v>44526</v>
      </c>
      <c r="C173" s="1" t="n">
        <v>45895</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45895</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45895</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2877-2022</t>
        </is>
      </c>
      <c r="B176" s="1" t="n">
        <v>44581</v>
      </c>
      <c r="C176" s="1" t="n">
        <v>45895</v>
      </c>
      <c r="D176" t="inlineStr">
        <is>
          <t>SÖDERMANLANDS LÄN</t>
        </is>
      </c>
      <c r="E176" t="inlineStr">
        <is>
          <t>KATRINEHOLM</t>
        </is>
      </c>
      <c r="G176" t="n">
        <v>10.3</v>
      </c>
      <c r="H176" t="n">
        <v>0</v>
      </c>
      <c r="I176" t="n">
        <v>0</v>
      </c>
      <c r="J176" t="n">
        <v>0</v>
      </c>
      <c r="K176" t="n">
        <v>0</v>
      </c>
      <c r="L176" t="n">
        <v>0</v>
      </c>
      <c r="M176" t="n">
        <v>0</v>
      </c>
      <c r="N176" t="n">
        <v>0</v>
      </c>
      <c r="O176" t="n">
        <v>0</v>
      </c>
      <c r="P176" t="n">
        <v>0</v>
      </c>
      <c r="Q176" t="n">
        <v>0</v>
      </c>
      <c r="R176" s="2" t="inlineStr"/>
    </row>
    <row r="177" ht="15" customHeight="1">
      <c r="A177" t="inlineStr">
        <is>
          <t>A 69429-2021</t>
        </is>
      </c>
      <c r="B177" s="1" t="n">
        <v>44531</v>
      </c>
      <c r="C177" s="1" t="n">
        <v>45895</v>
      </c>
      <c r="D177" t="inlineStr">
        <is>
          <t>SÖDERMANLANDS LÄN</t>
        </is>
      </c>
      <c r="E177" t="inlineStr">
        <is>
          <t>KATRINEHOLM</t>
        </is>
      </c>
      <c r="G177" t="n">
        <v>1.2</v>
      </c>
      <c r="H177" t="n">
        <v>0</v>
      </c>
      <c r="I177" t="n">
        <v>0</v>
      </c>
      <c r="J177" t="n">
        <v>0</v>
      </c>
      <c r="K177" t="n">
        <v>0</v>
      </c>
      <c r="L177" t="n">
        <v>0</v>
      </c>
      <c r="M177" t="n">
        <v>0</v>
      </c>
      <c r="N177" t="n">
        <v>0</v>
      </c>
      <c r="O177" t="n">
        <v>0</v>
      </c>
      <c r="P177" t="n">
        <v>0</v>
      </c>
      <c r="Q177" t="n">
        <v>0</v>
      </c>
      <c r="R177" s="2" t="inlineStr"/>
    </row>
    <row r="178" ht="15" customHeight="1">
      <c r="A178" t="inlineStr">
        <is>
          <t>A 33753-2022</t>
        </is>
      </c>
      <c r="B178" s="1" t="n">
        <v>44789</v>
      </c>
      <c r="C178" s="1" t="n">
        <v>45895</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60596-2021</t>
        </is>
      </c>
      <c r="B179" s="1" t="n">
        <v>44496.58033564815</v>
      </c>
      <c r="C179" s="1" t="n">
        <v>45895</v>
      </c>
      <c r="D179" t="inlineStr">
        <is>
          <t>SÖDERMANLANDS LÄN</t>
        </is>
      </c>
      <c r="E179" t="inlineStr">
        <is>
          <t>KATRINEHOLM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45895</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53791-2021</t>
        </is>
      </c>
      <c r="B181" s="1" t="n">
        <v>44467</v>
      </c>
      <c r="C181" s="1" t="n">
        <v>45895</v>
      </c>
      <c r="D181" t="inlineStr">
        <is>
          <t>SÖDERMANLANDS LÄN</t>
        </is>
      </c>
      <c r="E181" t="inlineStr">
        <is>
          <t>KATRINEHOLM</t>
        </is>
      </c>
      <c r="G181" t="n">
        <v>2.7</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45895</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34625-2022</t>
        </is>
      </c>
      <c r="B183" s="1" t="n">
        <v>44795.44392361111</v>
      </c>
      <c r="C183" s="1" t="n">
        <v>45895</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64633-2020</t>
        </is>
      </c>
      <c r="B184" s="1" t="n">
        <v>44169</v>
      </c>
      <c r="C184" s="1" t="n">
        <v>45895</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57745-2020</t>
        </is>
      </c>
      <c r="B185" s="1" t="n">
        <v>44141</v>
      </c>
      <c r="C185" s="1" t="n">
        <v>45895</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41642-2022</t>
        </is>
      </c>
      <c r="B186" s="1" t="n">
        <v>44827</v>
      </c>
      <c r="C186" s="1" t="n">
        <v>45895</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45895</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45895</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45895</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45895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45895</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45895</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4767-2021</t>
        </is>
      </c>
      <c r="B193" s="1" t="n">
        <v>44225</v>
      </c>
      <c r="C193" s="1" t="n">
        <v>45895</v>
      </c>
      <c r="D193" t="inlineStr">
        <is>
          <t>SÖDERMANLANDS LÄN</t>
        </is>
      </c>
      <c r="E193" t="inlineStr">
        <is>
          <t>KATRINEHOLM</t>
        </is>
      </c>
      <c r="G193" t="n">
        <v>3.8</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45895</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45895</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7189-2022</t>
        </is>
      </c>
      <c r="B196" s="1" t="n">
        <v>44605</v>
      </c>
      <c r="C196" s="1" t="n">
        <v>45895</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52044-2021</t>
        </is>
      </c>
      <c r="B197" s="1" t="n">
        <v>44463</v>
      </c>
      <c r="C197" s="1" t="n">
        <v>45895</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54698-2021</t>
        </is>
      </c>
      <c r="B198" s="1" t="n">
        <v>44473</v>
      </c>
      <c r="C198" s="1" t="n">
        <v>45895</v>
      </c>
      <c r="D198" t="inlineStr">
        <is>
          <t>SÖDERMANLANDS LÄN</t>
        </is>
      </c>
      <c r="E198" t="inlineStr">
        <is>
          <t>KATRINEHOLM</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40749-2022</t>
        </is>
      </c>
      <c r="B199" s="1" t="n">
        <v>44824</v>
      </c>
      <c r="C199" s="1" t="n">
        <v>45895</v>
      </c>
      <c r="D199" t="inlineStr">
        <is>
          <t>SÖDERMANLANDS LÄN</t>
        </is>
      </c>
      <c r="E199" t="inlineStr">
        <is>
          <t>KATRINEHOLM</t>
        </is>
      </c>
      <c r="G199" t="n">
        <v>0.2</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45895</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33538-2022</t>
        </is>
      </c>
      <c r="B201" s="1" t="n">
        <v>44789</v>
      </c>
      <c r="C201" s="1" t="n">
        <v>45895</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20949-2021</t>
        </is>
      </c>
      <c r="B202" s="1" t="n">
        <v>44319</v>
      </c>
      <c r="C202" s="1" t="n">
        <v>45895</v>
      </c>
      <c r="D202" t="inlineStr">
        <is>
          <t>SÖDERMANLANDS LÄN</t>
        </is>
      </c>
      <c r="E202" t="inlineStr">
        <is>
          <t>KATRINEHOLM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12658-2022</t>
        </is>
      </c>
      <c r="B203" s="1" t="n">
        <v>44641</v>
      </c>
      <c r="C203" s="1" t="n">
        <v>45895</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46412-2022</t>
        </is>
      </c>
      <c r="B204" s="1" t="n">
        <v>44848.42216435185</v>
      </c>
      <c r="C204" s="1" t="n">
        <v>45895</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36210-2022</t>
        </is>
      </c>
      <c r="B205" s="1" t="n">
        <v>44803.47950231482</v>
      </c>
      <c r="C205" s="1" t="n">
        <v>45895</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36964-2021</t>
        </is>
      </c>
      <c r="B206" s="1" t="n">
        <v>44393</v>
      </c>
      <c r="C206" s="1" t="n">
        <v>45895</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30981-2022</t>
        </is>
      </c>
      <c r="B207" s="1" t="n">
        <v>44768</v>
      </c>
      <c r="C207" s="1" t="n">
        <v>45895</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46569-2022</t>
        </is>
      </c>
      <c r="B208" s="1" t="n">
        <v>44847</v>
      </c>
      <c r="C208" s="1" t="n">
        <v>45895</v>
      </c>
      <c r="D208" t="inlineStr">
        <is>
          <t>SÖDERMANLANDS LÄN</t>
        </is>
      </c>
      <c r="E208" t="inlineStr">
        <is>
          <t>KATRINEHOLM</t>
        </is>
      </c>
      <c r="G208" t="n">
        <v>1.7</v>
      </c>
      <c r="H208" t="n">
        <v>0</v>
      </c>
      <c r="I208" t="n">
        <v>0</v>
      </c>
      <c r="J208" t="n">
        <v>0</v>
      </c>
      <c r="K208" t="n">
        <v>0</v>
      </c>
      <c r="L208" t="n">
        <v>0</v>
      </c>
      <c r="M208" t="n">
        <v>0</v>
      </c>
      <c r="N208" t="n">
        <v>0</v>
      </c>
      <c r="O208" t="n">
        <v>0</v>
      </c>
      <c r="P208" t="n">
        <v>0</v>
      </c>
      <c r="Q208" t="n">
        <v>0</v>
      </c>
      <c r="R208" s="2" t="inlineStr"/>
    </row>
    <row r="209" ht="15" customHeight="1">
      <c r="A209" t="inlineStr">
        <is>
          <t>A 22345-2023</t>
        </is>
      </c>
      <c r="B209" s="1" t="n">
        <v>45070</v>
      </c>
      <c r="C209" s="1" t="n">
        <v>45895</v>
      </c>
      <c r="D209" t="inlineStr">
        <is>
          <t>SÖDERMANLANDS LÄN</t>
        </is>
      </c>
      <c r="E209" t="inlineStr">
        <is>
          <t>KATRINEHOLM</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53822-2023</t>
        </is>
      </c>
      <c r="B210" s="1" t="n">
        <v>45231.40846064815</v>
      </c>
      <c r="C210" s="1" t="n">
        <v>45895</v>
      </c>
      <c r="D210" t="inlineStr">
        <is>
          <t>SÖDERMANLANDS LÄN</t>
        </is>
      </c>
      <c r="E210" t="inlineStr">
        <is>
          <t>KATRINEHOLM</t>
        </is>
      </c>
      <c r="G210" t="n">
        <v>0.6</v>
      </c>
      <c r="H210" t="n">
        <v>0</v>
      </c>
      <c r="I210" t="n">
        <v>0</v>
      </c>
      <c r="J210" t="n">
        <v>0</v>
      </c>
      <c r="K210" t="n">
        <v>0</v>
      </c>
      <c r="L210" t="n">
        <v>0</v>
      </c>
      <c r="M210" t="n">
        <v>0</v>
      </c>
      <c r="N210" t="n">
        <v>0</v>
      </c>
      <c r="O210" t="n">
        <v>0</v>
      </c>
      <c r="P210" t="n">
        <v>0</v>
      </c>
      <c r="Q210" t="n">
        <v>0</v>
      </c>
      <c r="R210" s="2" t="inlineStr"/>
    </row>
    <row r="211" ht="15" customHeight="1">
      <c r="A211" t="inlineStr">
        <is>
          <t>A 3090-2025</t>
        </is>
      </c>
      <c r="B211" s="1" t="n">
        <v>45678</v>
      </c>
      <c r="C211" s="1" t="n">
        <v>45895</v>
      </c>
      <c r="D211" t="inlineStr">
        <is>
          <t>SÖDERMANLANDS LÄN</t>
        </is>
      </c>
      <c r="E211" t="inlineStr">
        <is>
          <t>KATRINEHOLM</t>
        </is>
      </c>
      <c r="F211" t="inlineStr">
        <is>
          <t>Kyrkan</t>
        </is>
      </c>
      <c r="G211" t="n">
        <v>6.9</v>
      </c>
      <c r="H211" t="n">
        <v>0</v>
      </c>
      <c r="I211" t="n">
        <v>0</v>
      </c>
      <c r="J211" t="n">
        <v>0</v>
      </c>
      <c r="K211" t="n">
        <v>0</v>
      </c>
      <c r="L211" t="n">
        <v>0</v>
      </c>
      <c r="M211" t="n">
        <v>0</v>
      </c>
      <c r="N211" t="n">
        <v>0</v>
      </c>
      <c r="O211" t="n">
        <v>0</v>
      </c>
      <c r="P211" t="n">
        <v>0</v>
      </c>
      <c r="Q211" t="n">
        <v>0</v>
      </c>
      <c r="R211" s="2" t="inlineStr"/>
    </row>
    <row r="212" ht="15" customHeight="1">
      <c r="A212" t="inlineStr">
        <is>
          <t>A 48877-2022</t>
        </is>
      </c>
      <c r="B212" s="1" t="n">
        <v>44859</v>
      </c>
      <c r="C212" s="1" t="n">
        <v>45895</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19868-2022</t>
        </is>
      </c>
      <c r="B213" s="1" t="n">
        <v>44696</v>
      </c>
      <c r="C213" s="1" t="n">
        <v>45895</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48682-2022</t>
        </is>
      </c>
      <c r="B214" s="1" t="n">
        <v>44859</v>
      </c>
      <c r="C214" s="1" t="n">
        <v>45895</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50021-2023</t>
        </is>
      </c>
      <c r="B215" s="1" t="n">
        <v>45215</v>
      </c>
      <c r="C215" s="1" t="n">
        <v>45895</v>
      </c>
      <c r="D215" t="inlineStr">
        <is>
          <t>SÖDERMANLANDS LÄN</t>
        </is>
      </c>
      <c r="E215" t="inlineStr">
        <is>
          <t>KATRINEHOLM</t>
        </is>
      </c>
      <c r="G215" t="n">
        <v>1.6</v>
      </c>
      <c r="H215" t="n">
        <v>0</v>
      </c>
      <c r="I215" t="n">
        <v>0</v>
      </c>
      <c r="J215" t="n">
        <v>0</v>
      </c>
      <c r="K215" t="n">
        <v>0</v>
      </c>
      <c r="L215" t="n">
        <v>0</v>
      </c>
      <c r="M215" t="n">
        <v>0</v>
      </c>
      <c r="N215" t="n">
        <v>0</v>
      </c>
      <c r="O215" t="n">
        <v>0</v>
      </c>
      <c r="P215" t="n">
        <v>0</v>
      </c>
      <c r="Q215" t="n">
        <v>0</v>
      </c>
      <c r="R215" s="2" t="inlineStr"/>
    </row>
    <row r="216" ht="15" customHeight="1">
      <c r="A216" t="inlineStr">
        <is>
          <t>A 63188-2021</t>
        </is>
      </c>
      <c r="B216" s="1" t="n">
        <v>44507.56865740741</v>
      </c>
      <c r="C216" s="1" t="n">
        <v>45895</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35188-2022</t>
        </is>
      </c>
      <c r="B217" s="1" t="n">
        <v>44797</v>
      </c>
      <c r="C217" s="1" t="n">
        <v>45895</v>
      </c>
      <c r="D217" t="inlineStr">
        <is>
          <t>SÖDERMANLANDS LÄN</t>
        </is>
      </c>
      <c r="E217" t="inlineStr">
        <is>
          <t>KATRINEHOLM</t>
        </is>
      </c>
      <c r="G217" t="n">
        <v>3</v>
      </c>
      <c r="H217" t="n">
        <v>0</v>
      </c>
      <c r="I217" t="n">
        <v>0</v>
      </c>
      <c r="J217" t="n">
        <v>0</v>
      </c>
      <c r="K217" t="n">
        <v>0</v>
      </c>
      <c r="L217" t="n">
        <v>0</v>
      </c>
      <c r="M217" t="n">
        <v>0</v>
      </c>
      <c r="N217" t="n">
        <v>0</v>
      </c>
      <c r="O217" t="n">
        <v>0</v>
      </c>
      <c r="P217" t="n">
        <v>0</v>
      </c>
      <c r="Q217" t="n">
        <v>0</v>
      </c>
      <c r="R217" s="2" t="inlineStr"/>
    </row>
    <row r="218" ht="15" customHeight="1">
      <c r="A218" t="inlineStr">
        <is>
          <t>A 63677-2020</t>
        </is>
      </c>
      <c r="B218" s="1" t="n">
        <v>44166</v>
      </c>
      <c r="C218" s="1" t="n">
        <v>45895</v>
      </c>
      <c r="D218" t="inlineStr">
        <is>
          <t>SÖDERMANLANDS LÄN</t>
        </is>
      </c>
      <c r="E218" t="inlineStr">
        <is>
          <t>KATRINEHOLM</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29843-2023</t>
        </is>
      </c>
      <c r="B219" s="1" t="n">
        <v>45107</v>
      </c>
      <c r="C219" s="1" t="n">
        <v>45895</v>
      </c>
      <c r="D219" t="inlineStr">
        <is>
          <t>SÖDERMANLANDS LÄN</t>
        </is>
      </c>
      <c r="E219" t="inlineStr">
        <is>
          <t>KATRINEHOLM</t>
        </is>
      </c>
      <c r="F219" t="inlineStr">
        <is>
          <t>Holmen skog AB</t>
        </is>
      </c>
      <c r="G219" t="n">
        <v>1.8</v>
      </c>
      <c r="H219" t="n">
        <v>0</v>
      </c>
      <c r="I219" t="n">
        <v>0</v>
      </c>
      <c r="J219" t="n">
        <v>0</v>
      </c>
      <c r="K219" t="n">
        <v>0</v>
      </c>
      <c r="L219" t="n">
        <v>0</v>
      </c>
      <c r="M219" t="n">
        <v>0</v>
      </c>
      <c r="N219" t="n">
        <v>0</v>
      </c>
      <c r="O219" t="n">
        <v>0</v>
      </c>
      <c r="P219" t="n">
        <v>0</v>
      </c>
      <c r="Q219" t="n">
        <v>0</v>
      </c>
      <c r="R219" s="2" t="inlineStr"/>
    </row>
    <row r="220" ht="15" customHeight="1">
      <c r="A220" t="inlineStr">
        <is>
          <t>A 7705-2021</t>
        </is>
      </c>
      <c r="B220" s="1" t="n">
        <v>44242</v>
      </c>
      <c r="C220" s="1" t="n">
        <v>45895</v>
      </c>
      <c r="D220" t="inlineStr">
        <is>
          <t>SÖDERMANLANDS LÄN</t>
        </is>
      </c>
      <c r="E220" t="inlineStr">
        <is>
          <t>KATRINEHOLM</t>
        </is>
      </c>
      <c r="F220" t="inlineStr">
        <is>
          <t>Allmännings- och besparingsskogar</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49341-2024</t>
        </is>
      </c>
      <c r="B221" s="1" t="n">
        <v>45595</v>
      </c>
      <c r="C221" s="1" t="n">
        <v>45895</v>
      </c>
      <c r="D221" t="inlineStr">
        <is>
          <t>SÖDERMANLANDS LÄN</t>
        </is>
      </c>
      <c r="E221" t="inlineStr">
        <is>
          <t>KATRINEHOLM</t>
        </is>
      </c>
      <c r="G221" t="n">
        <v>10</v>
      </c>
      <c r="H221" t="n">
        <v>0</v>
      </c>
      <c r="I221" t="n">
        <v>0</v>
      </c>
      <c r="J221" t="n">
        <v>0</v>
      </c>
      <c r="K221" t="n">
        <v>0</v>
      </c>
      <c r="L221" t="n">
        <v>0</v>
      </c>
      <c r="M221" t="n">
        <v>0</v>
      </c>
      <c r="N221" t="n">
        <v>0</v>
      </c>
      <c r="O221" t="n">
        <v>0</v>
      </c>
      <c r="P221" t="n">
        <v>0</v>
      </c>
      <c r="Q221" t="n">
        <v>0</v>
      </c>
      <c r="R221" s="2" t="inlineStr"/>
    </row>
    <row r="222" ht="15" customHeight="1">
      <c r="A222" t="inlineStr">
        <is>
          <t>A 6091-2025</t>
        </is>
      </c>
      <c r="B222" s="1" t="n">
        <v>45697</v>
      </c>
      <c r="C222" s="1" t="n">
        <v>45895</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6093-2025</t>
        </is>
      </c>
      <c r="B223" s="1" t="n">
        <v>45697</v>
      </c>
      <c r="C223" s="1" t="n">
        <v>45895</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5834-2025</t>
        </is>
      </c>
      <c r="B224" s="1" t="n">
        <v>45694</v>
      </c>
      <c r="C224" s="1" t="n">
        <v>45895</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45530-2023</t>
        </is>
      </c>
      <c r="B225" s="1" t="n">
        <v>45188</v>
      </c>
      <c r="C225" s="1" t="n">
        <v>45895</v>
      </c>
      <c r="D225" t="inlineStr">
        <is>
          <t>SÖDERMANLANDS LÄN</t>
        </is>
      </c>
      <c r="E225" t="inlineStr">
        <is>
          <t>KATRINEHOLM</t>
        </is>
      </c>
      <c r="F225" t="inlineStr">
        <is>
          <t>Allmännings- och besparingsskogar</t>
        </is>
      </c>
      <c r="G225" t="n">
        <v>37</v>
      </c>
      <c r="H225" t="n">
        <v>0</v>
      </c>
      <c r="I225" t="n">
        <v>0</v>
      </c>
      <c r="J225" t="n">
        <v>0</v>
      </c>
      <c r="K225" t="n">
        <v>0</v>
      </c>
      <c r="L225" t="n">
        <v>0</v>
      </c>
      <c r="M225" t="n">
        <v>0</v>
      </c>
      <c r="N225" t="n">
        <v>0</v>
      </c>
      <c r="O225" t="n">
        <v>0</v>
      </c>
      <c r="P225" t="n">
        <v>0</v>
      </c>
      <c r="Q225" t="n">
        <v>0</v>
      </c>
      <c r="R225" s="2" t="inlineStr"/>
    </row>
    <row r="226" ht="15" customHeight="1">
      <c r="A226" t="inlineStr">
        <is>
          <t>A 44024-2021</t>
        </is>
      </c>
      <c r="B226" s="1" t="n">
        <v>44434</v>
      </c>
      <c r="C226" s="1" t="n">
        <v>45895</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41966-2023</t>
        </is>
      </c>
      <c r="B227" s="1" t="n">
        <v>45177</v>
      </c>
      <c r="C227" s="1" t="n">
        <v>45895</v>
      </c>
      <c r="D227" t="inlineStr">
        <is>
          <t>SÖDERMANLANDS LÄN</t>
        </is>
      </c>
      <c r="E227" t="inlineStr">
        <is>
          <t>KATRINEHOLM</t>
        </is>
      </c>
      <c r="G227" t="n">
        <v>36.9</v>
      </c>
      <c r="H227" t="n">
        <v>0</v>
      </c>
      <c r="I227" t="n">
        <v>0</v>
      </c>
      <c r="J227" t="n">
        <v>0</v>
      </c>
      <c r="K227" t="n">
        <v>0</v>
      </c>
      <c r="L227" t="n">
        <v>0</v>
      </c>
      <c r="M227" t="n">
        <v>0</v>
      </c>
      <c r="N227" t="n">
        <v>0</v>
      </c>
      <c r="O227" t="n">
        <v>0</v>
      </c>
      <c r="P227" t="n">
        <v>0</v>
      </c>
      <c r="Q227" t="n">
        <v>0</v>
      </c>
      <c r="R227" s="2" t="inlineStr"/>
    </row>
    <row r="228" ht="15" customHeight="1">
      <c r="A228" t="inlineStr">
        <is>
          <t>A 34981-2023</t>
        </is>
      </c>
      <c r="B228" s="1" t="n">
        <v>45142</v>
      </c>
      <c r="C228" s="1" t="n">
        <v>45895</v>
      </c>
      <c r="D228" t="inlineStr">
        <is>
          <t>SÖDERMANLANDS LÄN</t>
        </is>
      </c>
      <c r="E228" t="inlineStr">
        <is>
          <t>KATRINEHOLM</t>
        </is>
      </c>
      <c r="G228" t="n">
        <v>10</v>
      </c>
      <c r="H228" t="n">
        <v>0</v>
      </c>
      <c r="I228" t="n">
        <v>0</v>
      </c>
      <c r="J228" t="n">
        <v>0</v>
      </c>
      <c r="K228" t="n">
        <v>0</v>
      </c>
      <c r="L228" t="n">
        <v>0</v>
      </c>
      <c r="M228" t="n">
        <v>0</v>
      </c>
      <c r="N228" t="n">
        <v>0</v>
      </c>
      <c r="O228" t="n">
        <v>0</v>
      </c>
      <c r="P228" t="n">
        <v>0</v>
      </c>
      <c r="Q228" t="n">
        <v>0</v>
      </c>
      <c r="R228" s="2" t="inlineStr"/>
    </row>
    <row r="229" ht="15" customHeight="1">
      <c r="A229" t="inlineStr">
        <is>
          <t>A 73412-2021</t>
        </is>
      </c>
      <c r="B229" s="1" t="n">
        <v>44551</v>
      </c>
      <c r="C229" s="1" t="n">
        <v>45895</v>
      </c>
      <c r="D229" t="inlineStr">
        <is>
          <t>SÖDERMANLANDS LÄN</t>
        </is>
      </c>
      <c r="E229" t="inlineStr">
        <is>
          <t>KATRINEHOLM</t>
        </is>
      </c>
      <c r="G229" t="n">
        <v>2</v>
      </c>
      <c r="H229" t="n">
        <v>0</v>
      </c>
      <c r="I229" t="n">
        <v>0</v>
      </c>
      <c r="J229" t="n">
        <v>0</v>
      </c>
      <c r="K229" t="n">
        <v>0</v>
      </c>
      <c r="L229" t="n">
        <v>0</v>
      </c>
      <c r="M229" t="n">
        <v>0</v>
      </c>
      <c r="N229" t="n">
        <v>0</v>
      </c>
      <c r="O229" t="n">
        <v>0</v>
      </c>
      <c r="P229" t="n">
        <v>0</v>
      </c>
      <c r="Q229" t="n">
        <v>0</v>
      </c>
      <c r="R229" s="2" t="inlineStr"/>
    </row>
    <row r="230" ht="15" customHeight="1">
      <c r="A230" t="inlineStr">
        <is>
          <t>A 17246-2024</t>
        </is>
      </c>
      <c r="B230" s="1" t="n">
        <v>45414</v>
      </c>
      <c r="C230" s="1" t="n">
        <v>45895</v>
      </c>
      <c r="D230" t="inlineStr">
        <is>
          <t>SÖDERMANLANDS LÄN</t>
        </is>
      </c>
      <c r="E230" t="inlineStr">
        <is>
          <t>KATRINEHOLM</t>
        </is>
      </c>
      <c r="F230" t="inlineStr">
        <is>
          <t>Allmännings- och besparingsskogar</t>
        </is>
      </c>
      <c r="G230" t="n">
        <v>13.7</v>
      </c>
      <c r="H230" t="n">
        <v>0</v>
      </c>
      <c r="I230" t="n">
        <v>0</v>
      </c>
      <c r="J230" t="n">
        <v>0</v>
      </c>
      <c r="K230" t="n">
        <v>0</v>
      </c>
      <c r="L230" t="n">
        <v>0</v>
      </c>
      <c r="M230" t="n">
        <v>0</v>
      </c>
      <c r="N230" t="n">
        <v>0</v>
      </c>
      <c r="O230" t="n">
        <v>0</v>
      </c>
      <c r="P230" t="n">
        <v>0</v>
      </c>
      <c r="Q230" t="n">
        <v>0</v>
      </c>
      <c r="R230" s="2" t="inlineStr"/>
    </row>
    <row r="231" ht="15" customHeight="1">
      <c r="A231" t="inlineStr">
        <is>
          <t>A 53750-2022</t>
        </is>
      </c>
      <c r="B231" s="1" t="n">
        <v>44875</v>
      </c>
      <c r="C231" s="1" t="n">
        <v>45895</v>
      </c>
      <c r="D231" t="inlineStr">
        <is>
          <t>SÖDERMANLANDS LÄN</t>
        </is>
      </c>
      <c r="E231" t="inlineStr">
        <is>
          <t>KATRINEHOLM</t>
        </is>
      </c>
      <c r="F231" t="inlineStr">
        <is>
          <t>Övriga Aktiebolag</t>
        </is>
      </c>
      <c r="G231" t="n">
        <v>12.6</v>
      </c>
      <c r="H231" t="n">
        <v>0</v>
      </c>
      <c r="I231" t="n">
        <v>0</v>
      </c>
      <c r="J231" t="n">
        <v>0</v>
      </c>
      <c r="K231" t="n">
        <v>0</v>
      </c>
      <c r="L231" t="n">
        <v>0</v>
      </c>
      <c r="M231" t="n">
        <v>0</v>
      </c>
      <c r="N231" t="n">
        <v>0</v>
      </c>
      <c r="O231" t="n">
        <v>0</v>
      </c>
      <c r="P231" t="n">
        <v>0</v>
      </c>
      <c r="Q231" t="n">
        <v>0</v>
      </c>
      <c r="R231" s="2" t="inlineStr"/>
    </row>
    <row r="232" ht="15" customHeight="1">
      <c r="A232" t="inlineStr">
        <is>
          <t>A 2683-2025</t>
        </is>
      </c>
      <c r="B232" s="1" t="n">
        <v>45677</v>
      </c>
      <c r="C232" s="1" t="n">
        <v>45895</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20460-2025</t>
        </is>
      </c>
      <c r="B233" s="1" t="n">
        <v>45775.52854166667</v>
      </c>
      <c r="C233" s="1" t="n">
        <v>45895</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14245-2024</t>
        </is>
      </c>
      <c r="B234" s="1" t="n">
        <v>45393</v>
      </c>
      <c r="C234" s="1" t="n">
        <v>45895</v>
      </c>
      <c r="D234" t="inlineStr">
        <is>
          <t>SÖDERMANLANDS LÄN</t>
        </is>
      </c>
      <c r="E234" t="inlineStr">
        <is>
          <t>KATRINEHOLM</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11104-2023</t>
        </is>
      </c>
      <c r="B235" s="1" t="n">
        <v>44992</v>
      </c>
      <c r="C235" s="1" t="n">
        <v>45895</v>
      </c>
      <c r="D235" t="inlineStr">
        <is>
          <t>SÖDERMANLANDS LÄN</t>
        </is>
      </c>
      <c r="E235" t="inlineStr">
        <is>
          <t>KATRINEHOLM</t>
        </is>
      </c>
      <c r="F235" t="inlineStr">
        <is>
          <t>Allmännings- och besparingsskogar</t>
        </is>
      </c>
      <c r="G235" t="n">
        <v>7.8</v>
      </c>
      <c r="H235" t="n">
        <v>0</v>
      </c>
      <c r="I235" t="n">
        <v>0</v>
      </c>
      <c r="J235" t="n">
        <v>0</v>
      </c>
      <c r="K235" t="n">
        <v>0</v>
      </c>
      <c r="L235" t="n">
        <v>0</v>
      </c>
      <c r="M235" t="n">
        <v>0</v>
      </c>
      <c r="N235" t="n">
        <v>0</v>
      </c>
      <c r="O235" t="n">
        <v>0</v>
      </c>
      <c r="P235" t="n">
        <v>0</v>
      </c>
      <c r="Q235" t="n">
        <v>0</v>
      </c>
      <c r="R235" s="2" t="inlineStr"/>
    </row>
    <row r="236" ht="15" customHeight="1">
      <c r="A236" t="inlineStr">
        <is>
          <t>A 9693-2024</t>
        </is>
      </c>
      <c r="B236" s="1" t="n">
        <v>45362</v>
      </c>
      <c r="C236" s="1" t="n">
        <v>45895</v>
      </c>
      <c r="D236" t="inlineStr">
        <is>
          <t>SÖDERMANLANDS LÄN</t>
        </is>
      </c>
      <c r="E236" t="inlineStr">
        <is>
          <t>KATRINEHOLM</t>
        </is>
      </c>
      <c r="G236" t="n">
        <v>5.9</v>
      </c>
      <c r="H236" t="n">
        <v>0</v>
      </c>
      <c r="I236" t="n">
        <v>0</v>
      </c>
      <c r="J236" t="n">
        <v>0</v>
      </c>
      <c r="K236" t="n">
        <v>0</v>
      </c>
      <c r="L236" t="n">
        <v>0</v>
      </c>
      <c r="M236" t="n">
        <v>0</v>
      </c>
      <c r="N236" t="n">
        <v>0</v>
      </c>
      <c r="O236" t="n">
        <v>0</v>
      </c>
      <c r="P236" t="n">
        <v>0</v>
      </c>
      <c r="Q236" t="n">
        <v>0</v>
      </c>
      <c r="R236" s="2" t="inlineStr"/>
    </row>
    <row r="237" ht="15" customHeight="1">
      <c r="A237" t="inlineStr">
        <is>
          <t>A 43964-2022</t>
        </is>
      </c>
      <c r="B237" s="1" t="n">
        <v>44837</v>
      </c>
      <c r="C237" s="1" t="n">
        <v>45895</v>
      </c>
      <c r="D237" t="inlineStr">
        <is>
          <t>SÖDERMANLANDS LÄN</t>
        </is>
      </c>
      <c r="E237" t="inlineStr">
        <is>
          <t>KATRINEHOLM</t>
        </is>
      </c>
      <c r="G237" t="n">
        <v>3.6</v>
      </c>
      <c r="H237" t="n">
        <v>0</v>
      </c>
      <c r="I237" t="n">
        <v>0</v>
      </c>
      <c r="J237" t="n">
        <v>0</v>
      </c>
      <c r="K237" t="n">
        <v>0</v>
      </c>
      <c r="L237" t="n">
        <v>0</v>
      </c>
      <c r="M237" t="n">
        <v>0</v>
      </c>
      <c r="N237" t="n">
        <v>0</v>
      </c>
      <c r="O237" t="n">
        <v>0</v>
      </c>
      <c r="P237" t="n">
        <v>0</v>
      </c>
      <c r="Q237" t="n">
        <v>0</v>
      </c>
      <c r="R237" s="2" t="inlineStr"/>
    </row>
    <row r="238" ht="15" customHeight="1">
      <c r="A238" t="inlineStr">
        <is>
          <t>A 42015-2022</t>
        </is>
      </c>
      <c r="B238" s="1" t="n">
        <v>44830.4649074074</v>
      </c>
      <c r="C238" s="1" t="n">
        <v>45895</v>
      </c>
      <c r="D238" t="inlineStr">
        <is>
          <t>SÖDERMANLANDS LÄN</t>
        </is>
      </c>
      <c r="E238" t="inlineStr">
        <is>
          <t>KATRINEHOLM</t>
        </is>
      </c>
      <c r="G238" t="n">
        <v>3.8</v>
      </c>
      <c r="H238" t="n">
        <v>0</v>
      </c>
      <c r="I238" t="n">
        <v>0</v>
      </c>
      <c r="J238" t="n">
        <v>0</v>
      </c>
      <c r="K238" t="n">
        <v>0</v>
      </c>
      <c r="L238" t="n">
        <v>0</v>
      </c>
      <c r="M238" t="n">
        <v>0</v>
      </c>
      <c r="N238" t="n">
        <v>0</v>
      </c>
      <c r="O238" t="n">
        <v>0</v>
      </c>
      <c r="P238" t="n">
        <v>0</v>
      </c>
      <c r="Q238" t="n">
        <v>0</v>
      </c>
      <c r="R238" s="2" t="inlineStr"/>
    </row>
    <row r="239" ht="15" customHeight="1">
      <c r="A239" t="inlineStr">
        <is>
          <t>A 42020-2022</t>
        </is>
      </c>
      <c r="B239" s="1" t="n">
        <v>44830.46849537037</v>
      </c>
      <c r="C239" s="1" t="n">
        <v>45895</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55846-2022</t>
        </is>
      </c>
      <c r="B240" s="1" t="n">
        <v>44888</v>
      </c>
      <c r="C240" s="1" t="n">
        <v>45895</v>
      </c>
      <c r="D240" t="inlineStr">
        <is>
          <t>SÖDERMANLANDS LÄN</t>
        </is>
      </c>
      <c r="E240" t="inlineStr">
        <is>
          <t>KATRINEHOLM</t>
        </is>
      </c>
      <c r="G240" t="n">
        <v>6.5</v>
      </c>
      <c r="H240" t="n">
        <v>0</v>
      </c>
      <c r="I240" t="n">
        <v>0</v>
      </c>
      <c r="J240" t="n">
        <v>0</v>
      </c>
      <c r="K240" t="n">
        <v>0</v>
      </c>
      <c r="L240" t="n">
        <v>0</v>
      </c>
      <c r="M240" t="n">
        <v>0</v>
      </c>
      <c r="N240" t="n">
        <v>0</v>
      </c>
      <c r="O240" t="n">
        <v>0</v>
      </c>
      <c r="P240" t="n">
        <v>0</v>
      </c>
      <c r="Q240" t="n">
        <v>0</v>
      </c>
      <c r="R240" s="2" t="inlineStr"/>
    </row>
    <row r="241" ht="15" customHeight="1">
      <c r="A241" t="inlineStr">
        <is>
          <t>A 4387-2024</t>
        </is>
      </c>
      <c r="B241" s="1" t="n">
        <v>45327.35068287037</v>
      </c>
      <c r="C241" s="1" t="n">
        <v>45895</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4872-2024</t>
        </is>
      </c>
      <c r="B242" s="1" t="n">
        <v>45329</v>
      </c>
      <c r="C242" s="1" t="n">
        <v>45895</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29702-2021</t>
        </is>
      </c>
      <c r="B243" s="1" t="n">
        <v>44362</v>
      </c>
      <c r="C243" s="1" t="n">
        <v>45895</v>
      </c>
      <c r="D243" t="inlineStr">
        <is>
          <t>SÖDERMANLANDS LÄN</t>
        </is>
      </c>
      <c r="E243" t="inlineStr">
        <is>
          <t>KATRINEHOLM</t>
        </is>
      </c>
      <c r="F243" t="inlineStr">
        <is>
          <t>Holmen skog AB</t>
        </is>
      </c>
      <c r="G243" t="n">
        <v>0.3</v>
      </c>
      <c r="H243" t="n">
        <v>0</v>
      </c>
      <c r="I243" t="n">
        <v>0</v>
      </c>
      <c r="J243" t="n">
        <v>0</v>
      </c>
      <c r="K243" t="n">
        <v>0</v>
      </c>
      <c r="L243" t="n">
        <v>0</v>
      </c>
      <c r="M243" t="n">
        <v>0</v>
      </c>
      <c r="N243" t="n">
        <v>0</v>
      </c>
      <c r="O243" t="n">
        <v>0</v>
      </c>
      <c r="P243" t="n">
        <v>0</v>
      </c>
      <c r="Q243" t="n">
        <v>0</v>
      </c>
      <c r="R243" s="2" t="inlineStr"/>
    </row>
    <row r="244" ht="15" customHeight="1">
      <c r="A244" t="inlineStr">
        <is>
          <t>A 53722-2023</t>
        </is>
      </c>
      <c r="B244" s="1" t="n">
        <v>45230</v>
      </c>
      <c r="C244" s="1" t="n">
        <v>45895</v>
      </c>
      <c r="D244" t="inlineStr">
        <is>
          <t>SÖDERMANLANDS LÄN</t>
        </is>
      </c>
      <c r="E244" t="inlineStr">
        <is>
          <t>KATRINEHOLM</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3986-2024</t>
        </is>
      </c>
      <c r="B245" s="1" t="n">
        <v>45322</v>
      </c>
      <c r="C245" s="1" t="n">
        <v>45895</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10996-2022</t>
        </is>
      </c>
      <c r="B246" s="1" t="n">
        <v>44628</v>
      </c>
      <c r="C246" s="1" t="n">
        <v>45895</v>
      </c>
      <c r="D246" t="inlineStr">
        <is>
          <t>SÖDERMANLANDS LÄN</t>
        </is>
      </c>
      <c r="E246" t="inlineStr">
        <is>
          <t>KATRINEHOLM</t>
        </is>
      </c>
      <c r="G246" t="n">
        <v>0.3</v>
      </c>
      <c r="H246" t="n">
        <v>0</v>
      </c>
      <c r="I246" t="n">
        <v>0</v>
      </c>
      <c r="J246" t="n">
        <v>0</v>
      </c>
      <c r="K246" t="n">
        <v>0</v>
      </c>
      <c r="L246" t="n">
        <v>0</v>
      </c>
      <c r="M246" t="n">
        <v>0</v>
      </c>
      <c r="N246" t="n">
        <v>0</v>
      </c>
      <c r="O246" t="n">
        <v>0</v>
      </c>
      <c r="P246" t="n">
        <v>0</v>
      </c>
      <c r="Q246" t="n">
        <v>0</v>
      </c>
      <c r="R246" s="2" t="inlineStr"/>
    </row>
    <row r="247" ht="15" customHeight="1">
      <c r="A247" t="inlineStr">
        <is>
          <t>A 55863-2022</t>
        </is>
      </c>
      <c r="B247" s="1" t="n">
        <v>44888</v>
      </c>
      <c r="C247" s="1" t="n">
        <v>45895</v>
      </c>
      <c r="D247" t="inlineStr">
        <is>
          <t>SÖDERMANLANDS LÄN</t>
        </is>
      </c>
      <c r="E247" t="inlineStr">
        <is>
          <t>KATRINEHOLM</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55865-2022</t>
        </is>
      </c>
      <c r="B248" s="1" t="n">
        <v>44888</v>
      </c>
      <c r="C248" s="1" t="n">
        <v>45895</v>
      </c>
      <c r="D248" t="inlineStr">
        <is>
          <t>SÖDERMANLANDS LÄN</t>
        </is>
      </c>
      <c r="E248" t="inlineStr">
        <is>
          <t>KATRINEHOLM</t>
        </is>
      </c>
      <c r="G248" t="n">
        <v>9.1</v>
      </c>
      <c r="H248" t="n">
        <v>0</v>
      </c>
      <c r="I248" t="n">
        <v>0</v>
      </c>
      <c r="J248" t="n">
        <v>0</v>
      </c>
      <c r="K248" t="n">
        <v>0</v>
      </c>
      <c r="L248" t="n">
        <v>0</v>
      </c>
      <c r="M248" t="n">
        <v>0</v>
      </c>
      <c r="N248" t="n">
        <v>0</v>
      </c>
      <c r="O248" t="n">
        <v>0</v>
      </c>
      <c r="P248" t="n">
        <v>0</v>
      </c>
      <c r="Q248" t="n">
        <v>0</v>
      </c>
      <c r="R248" s="2" t="inlineStr"/>
    </row>
    <row r="249" ht="15" customHeight="1">
      <c r="A249" t="inlineStr">
        <is>
          <t>A 42451-2023</t>
        </is>
      </c>
      <c r="B249" s="1" t="n">
        <v>45180</v>
      </c>
      <c r="C249" s="1" t="n">
        <v>45895</v>
      </c>
      <c r="D249" t="inlineStr">
        <is>
          <t>SÖDERMANLANDS LÄN</t>
        </is>
      </c>
      <c r="E249" t="inlineStr">
        <is>
          <t>KATRINEHOLM</t>
        </is>
      </c>
      <c r="G249" t="n">
        <v>3.8</v>
      </c>
      <c r="H249" t="n">
        <v>0</v>
      </c>
      <c r="I249" t="n">
        <v>0</v>
      </c>
      <c r="J249" t="n">
        <v>0</v>
      </c>
      <c r="K249" t="n">
        <v>0</v>
      </c>
      <c r="L249" t="n">
        <v>0</v>
      </c>
      <c r="M249" t="n">
        <v>0</v>
      </c>
      <c r="N249" t="n">
        <v>0</v>
      </c>
      <c r="O249" t="n">
        <v>0</v>
      </c>
      <c r="P249" t="n">
        <v>0</v>
      </c>
      <c r="Q249" t="n">
        <v>0</v>
      </c>
      <c r="R249" s="2" t="inlineStr"/>
    </row>
    <row r="250" ht="15" customHeight="1">
      <c r="A250" t="inlineStr">
        <is>
          <t>A 61410-2024</t>
        </is>
      </c>
      <c r="B250" s="1" t="n">
        <v>45646.43950231482</v>
      </c>
      <c r="C250" s="1" t="n">
        <v>45895</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3315-2023</t>
        </is>
      </c>
      <c r="B251" s="1" t="n">
        <v>44945</v>
      </c>
      <c r="C251" s="1" t="n">
        <v>45895</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7867-2024</t>
        </is>
      </c>
      <c r="B252" s="1" t="n">
        <v>45350.32991898148</v>
      </c>
      <c r="C252" s="1" t="n">
        <v>45895</v>
      </c>
      <c r="D252" t="inlineStr">
        <is>
          <t>SÖDERMANLANDS LÄN</t>
        </is>
      </c>
      <c r="E252" t="inlineStr">
        <is>
          <t>KATRINEHOLM</t>
        </is>
      </c>
      <c r="F252" t="inlineStr">
        <is>
          <t>Kyrkan</t>
        </is>
      </c>
      <c r="G252" t="n">
        <v>3.3</v>
      </c>
      <c r="H252" t="n">
        <v>0</v>
      </c>
      <c r="I252" t="n">
        <v>0</v>
      </c>
      <c r="J252" t="n">
        <v>0</v>
      </c>
      <c r="K252" t="n">
        <v>0</v>
      </c>
      <c r="L252" t="n">
        <v>0</v>
      </c>
      <c r="M252" t="n">
        <v>0</v>
      </c>
      <c r="N252" t="n">
        <v>0</v>
      </c>
      <c r="O252" t="n">
        <v>0</v>
      </c>
      <c r="P252" t="n">
        <v>0</v>
      </c>
      <c r="Q252" t="n">
        <v>0</v>
      </c>
      <c r="R252" s="2" t="inlineStr"/>
    </row>
    <row r="253" ht="15" customHeight="1">
      <c r="A253" t="inlineStr">
        <is>
          <t>A 13113-2023</t>
        </is>
      </c>
      <c r="B253" s="1" t="n">
        <v>45002</v>
      </c>
      <c r="C253" s="1" t="n">
        <v>45895</v>
      </c>
      <c r="D253" t="inlineStr">
        <is>
          <t>SÖDERMANLANDS LÄN</t>
        </is>
      </c>
      <c r="E253" t="inlineStr">
        <is>
          <t>KATRINEHOLM</t>
        </is>
      </c>
      <c r="F253" t="inlineStr">
        <is>
          <t>Allmännings- och besparingsskogar</t>
        </is>
      </c>
      <c r="G253" t="n">
        <v>3.6</v>
      </c>
      <c r="H253" t="n">
        <v>0</v>
      </c>
      <c r="I253" t="n">
        <v>0</v>
      </c>
      <c r="J253" t="n">
        <v>0</v>
      </c>
      <c r="K253" t="n">
        <v>0</v>
      </c>
      <c r="L253" t="n">
        <v>0</v>
      </c>
      <c r="M253" t="n">
        <v>0</v>
      </c>
      <c r="N253" t="n">
        <v>0</v>
      </c>
      <c r="O253" t="n">
        <v>0</v>
      </c>
      <c r="P253" t="n">
        <v>0</v>
      </c>
      <c r="Q253" t="n">
        <v>0</v>
      </c>
      <c r="R253" s="2" t="inlineStr"/>
    </row>
    <row r="254" ht="15" customHeight="1">
      <c r="A254" t="inlineStr">
        <is>
          <t>A 6606-2022</t>
        </is>
      </c>
      <c r="B254" s="1" t="n">
        <v>44601</v>
      </c>
      <c r="C254" s="1" t="n">
        <v>45895</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38869-2024</t>
        </is>
      </c>
      <c r="B255" s="1" t="n">
        <v>45547</v>
      </c>
      <c r="C255" s="1" t="n">
        <v>45895</v>
      </c>
      <c r="D255" t="inlineStr">
        <is>
          <t>SÖDERMANLANDS LÄN</t>
        </is>
      </c>
      <c r="E255" t="inlineStr">
        <is>
          <t>KATRINEHOLM</t>
        </is>
      </c>
      <c r="G255" t="n">
        <v>2.2</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45895</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27646-2023</t>
        </is>
      </c>
      <c r="B257" s="1" t="n">
        <v>45097</v>
      </c>
      <c r="C257" s="1" t="n">
        <v>45895</v>
      </c>
      <c r="D257" t="inlineStr">
        <is>
          <t>SÖDERMANLANDS LÄN</t>
        </is>
      </c>
      <c r="E257" t="inlineStr">
        <is>
          <t>KATRINEHOLM</t>
        </is>
      </c>
      <c r="G257" t="n">
        <v>2.4</v>
      </c>
      <c r="H257" t="n">
        <v>0</v>
      </c>
      <c r="I257" t="n">
        <v>0</v>
      </c>
      <c r="J257" t="n">
        <v>0</v>
      </c>
      <c r="K257" t="n">
        <v>0</v>
      </c>
      <c r="L257" t="n">
        <v>0</v>
      </c>
      <c r="M257" t="n">
        <v>0</v>
      </c>
      <c r="N257" t="n">
        <v>0</v>
      </c>
      <c r="O257" t="n">
        <v>0</v>
      </c>
      <c r="P257" t="n">
        <v>0</v>
      </c>
      <c r="Q257" t="n">
        <v>0</v>
      </c>
      <c r="R257" s="2" t="inlineStr"/>
    </row>
    <row r="258" ht="15" customHeight="1">
      <c r="A258" t="inlineStr">
        <is>
          <t>A 15235-2023</t>
        </is>
      </c>
      <c r="B258" s="1" t="n">
        <v>45019</v>
      </c>
      <c r="C258" s="1" t="n">
        <v>45895</v>
      </c>
      <c r="D258" t="inlineStr">
        <is>
          <t>SÖDERMANLANDS LÄN</t>
        </is>
      </c>
      <c r="E258" t="inlineStr">
        <is>
          <t>KATRINEHOLM</t>
        </is>
      </c>
      <c r="F258" t="inlineStr">
        <is>
          <t>Holmen skog AB</t>
        </is>
      </c>
      <c r="G258" t="n">
        <v>0.7</v>
      </c>
      <c r="H258" t="n">
        <v>0</v>
      </c>
      <c r="I258" t="n">
        <v>0</v>
      </c>
      <c r="J258" t="n">
        <v>0</v>
      </c>
      <c r="K258" t="n">
        <v>0</v>
      </c>
      <c r="L258" t="n">
        <v>0</v>
      </c>
      <c r="M258" t="n">
        <v>0</v>
      </c>
      <c r="N258" t="n">
        <v>0</v>
      </c>
      <c r="O258" t="n">
        <v>0</v>
      </c>
      <c r="P258" t="n">
        <v>0</v>
      </c>
      <c r="Q258" t="n">
        <v>0</v>
      </c>
      <c r="R258" s="2" t="inlineStr"/>
    </row>
    <row r="259" ht="15" customHeight="1">
      <c r="A259" t="inlineStr">
        <is>
          <t>A 56661-2021</t>
        </is>
      </c>
      <c r="B259" s="1" t="n">
        <v>44481.24327546296</v>
      </c>
      <c r="C259" s="1" t="n">
        <v>45895</v>
      </c>
      <c r="D259" t="inlineStr">
        <is>
          <t>SÖDERMANLANDS LÄN</t>
        </is>
      </c>
      <c r="E259" t="inlineStr">
        <is>
          <t>KATRINEHOLM</t>
        </is>
      </c>
      <c r="G259" t="n">
        <v>5.8</v>
      </c>
      <c r="H259" t="n">
        <v>0</v>
      </c>
      <c r="I259" t="n">
        <v>0</v>
      </c>
      <c r="J259" t="n">
        <v>0</v>
      </c>
      <c r="K259" t="n">
        <v>0</v>
      </c>
      <c r="L259" t="n">
        <v>0</v>
      </c>
      <c r="M259" t="n">
        <v>0</v>
      </c>
      <c r="N259" t="n">
        <v>0</v>
      </c>
      <c r="O259" t="n">
        <v>0</v>
      </c>
      <c r="P259" t="n">
        <v>0</v>
      </c>
      <c r="Q259" t="n">
        <v>0</v>
      </c>
      <c r="R259" s="2" t="inlineStr"/>
    </row>
    <row r="260" ht="15" customHeight="1">
      <c r="A260" t="inlineStr">
        <is>
          <t>A 28394-2023</t>
        </is>
      </c>
      <c r="B260" s="1" t="n">
        <v>45100</v>
      </c>
      <c r="C260" s="1" t="n">
        <v>45895</v>
      </c>
      <c r="D260" t="inlineStr">
        <is>
          <t>SÖDERMANLANDS LÄN</t>
        </is>
      </c>
      <c r="E260" t="inlineStr">
        <is>
          <t>KATRINEHOLM</t>
        </is>
      </c>
      <c r="G260" t="n">
        <v>4.2</v>
      </c>
      <c r="H260" t="n">
        <v>0</v>
      </c>
      <c r="I260" t="n">
        <v>0</v>
      </c>
      <c r="J260" t="n">
        <v>0</v>
      </c>
      <c r="K260" t="n">
        <v>0</v>
      </c>
      <c r="L260" t="n">
        <v>0</v>
      </c>
      <c r="M260" t="n">
        <v>0</v>
      </c>
      <c r="N260" t="n">
        <v>0</v>
      </c>
      <c r="O260" t="n">
        <v>0</v>
      </c>
      <c r="P260" t="n">
        <v>0</v>
      </c>
      <c r="Q260" t="n">
        <v>0</v>
      </c>
      <c r="R260" s="2" t="inlineStr"/>
    </row>
    <row r="261" ht="15" customHeight="1">
      <c r="A261" t="inlineStr">
        <is>
          <t>A 4122-2023</t>
        </is>
      </c>
      <c r="B261" s="1" t="n">
        <v>44952</v>
      </c>
      <c r="C261" s="1" t="n">
        <v>45895</v>
      </c>
      <c r="D261" t="inlineStr">
        <is>
          <t>SÖDERMANLANDS LÄN</t>
        </is>
      </c>
      <c r="E261" t="inlineStr">
        <is>
          <t>KATRINEHOLM</t>
        </is>
      </c>
      <c r="G261" t="n">
        <v>9</v>
      </c>
      <c r="H261" t="n">
        <v>0</v>
      </c>
      <c r="I261" t="n">
        <v>0</v>
      </c>
      <c r="J261" t="n">
        <v>0</v>
      </c>
      <c r="K261" t="n">
        <v>0</v>
      </c>
      <c r="L261" t="n">
        <v>0</v>
      </c>
      <c r="M261" t="n">
        <v>0</v>
      </c>
      <c r="N261" t="n">
        <v>0</v>
      </c>
      <c r="O261" t="n">
        <v>0</v>
      </c>
      <c r="P261" t="n">
        <v>0</v>
      </c>
      <c r="Q261" t="n">
        <v>0</v>
      </c>
      <c r="R261" s="2" t="inlineStr"/>
    </row>
    <row r="262" ht="15" customHeight="1">
      <c r="A262" t="inlineStr">
        <is>
          <t>A 39010-2021</t>
        </is>
      </c>
      <c r="B262" s="1" t="n">
        <v>44412</v>
      </c>
      <c r="C262" s="1" t="n">
        <v>45895</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1091-2025</t>
        </is>
      </c>
      <c r="B263" s="1" t="n">
        <v>45666</v>
      </c>
      <c r="C263" s="1" t="n">
        <v>45895</v>
      </c>
      <c r="D263" t="inlineStr">
        <is>
          <t>SÖDERMANLANDS LÄN</t>
        </is>
      </c>
      <c r="E263" t="inlineStr">
        <is>
          <t>KATRINEHOLM</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25433-2024</t>
        </is>
      </c>
      <c r="B264" s="1" t="n">
        <v>45463</v>
      </c>
      <c r="C264" s="1" t="n">
        <v>45895</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55795-2023</t>
        </is>
      </c>
      <c r="B265" s="1" t="n">
        <v>45239.54861111111</v>
      </c>
      <c r="C265" s="1" t="n">
        <v>45895</v>
      </c>
      <c r="D265" t="inlineStr">
        <is>
          <t>SÖDERMANLANDS LÄN</t>
        </is>
      </c>
      <c r="E265" t="inlineStr">
        <is>
          <t>KATRINEHOLM</t>
        </is>
      </c>
      <c r="G265" t="n">
        <v>7</v>
      </c>
      <c r="H265" t="n">
        <v>0</v>
      </c>
      <c r="I265" t="n">
        <v>0</v>
      </c>
      <c r="J265" t="n">
        <v>0</v>
      </c>
      <c r="K265" t="n">
        <v>0</v>
      </c>
      <c r="L265" t="n">
        <v>0</v>
      </c>
      <c r="M265" t="n">
        <v>0</v>
      </c>
      <c r="N265" t="n">
        <v>0</v>
      </c>
      <c r="O265" t="n">
        <v>0</v>
      </c>
      <c r="P265" t="n">
        <v>0</v>
      </c>
      <c r="Q265" t="n">
        <v>0</v>
      </c>
      <c r="R265" s="2" t="inlineStr"/>
    </row>
    <row r="266" ht="15" customHeight="1">
      <c r="A266" t="inlineStr">
        <is>
          <t>A 22304-2024</t>
        </is>
      </c>
      <c r="B266" s="1" t="n">
        <v>45446.56626157407</v>
      </c>
      <c r="C266" s="1" t="n">
        <v>45895</v>
      </c>
      <c r="D266" t="inlineStr">
        <is>
          <t>SÖDERMANLANDS LÄN</t>
        </is>
      </c>
      <c r="E266" t="inlineStr">
        <is>
          <t>KATRINEHOLM</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14224-2024</t>
        </is>
      </c>
      <c r="B267" s="1" t="n">
        <v>45393</v>
      </c>
      <c r="C267" s="1" t="n">
        <v>45895</v>
      </c>
      <c r="D267" t="inlineStr">
        <is>
          <t>SÖDERMANLANDS LÄN</t>
        </is>
      </c>
      <c r="E267" t="inlineStr">
        <is>
          <t>KATRINEHOLM</t>
        </is>
      </c>
      <c r="F267" t="inlineStr">
        <is>
          <t>Sveaskog</t>
        </is>
      </c>
      <c r="G267" t="n">
        <v>7.6</v>
      </c>
      <c r="H267" t="n">
        <v>0</v>
      </c>
      <c r="I267" t="n">
        <v>0</v>
      </c>
      <c r="J267" t="n">
        <v>0</v>
      </c>
      <c r="K267" t="n">
        <v>0</v>
      </c>
      <c r="L267" t="n">
        <v>0</v>
      </c>
      <c r="M267" t="n">
        <v>0</v>
      </c>
      <c r="N267" t="n">
        <v>0</v>
      </c>
      <c r="O267" t="n">
        <v>0</v>
      </c>
      <c r="P267" t="n">
        <v>0</v>
      </c>
      <c r="Q267" t="n">
        <v>0</v>
      </c>
      <c r="R267" s="2" t="inlineStr"/>
    </row>
    <row r="268" ht="15" customHeight="1">
      <c r="A268" t="inlineStr">
        <is>
          <t>A 24284-2024</t>
        </is>
      </c>
      <c r="B268" s="1" t="n">
        <v>45457</v>
      </c>
      <c r="C268" s="1" t="n">
        <v>45895</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23341-2023</t>
        </is>
      </c>
      <c r="B269" s="1" t="n">
        <v>45076</v>
      </c>
      <c r="C269" s="1" t="n">
        <v>45895</v>
      </c>
      <c r="D269" t="inlineStr">
        <is>
          <t>SÖDERMANLANDS LÄN</t>
        </is>
      </c>
      <c r="E269" t="inlineStr">
        <is>
          <t>KATRINEHOLM</t>
        </is>
      </c>
      <c r="G269" t="n">
        <v>3.5</v>
      </c>
      <c r="H269" t="n">
        <v>0</v>
      </c>
      <c r="I269" t="n">
        <v>0</v>
      </c>
      <c r="J269" t="n">
        <v>0</v>
      </c>
      <c r="K269" t="n">
        <v>0</v>
      </c>
      <c r="L269" t="n">
        <v>0</v>
      </c>
      <c r="M269" t="n">
        <v>0</v>
      </c>
      <c r="N269" t="n">
        <v>0</v>
      </c>
      <c r="O269" t="n">
        <v>0</v>
      </c>
      <c r="P269" t="n">
        <v>0</v>
      </c>
      <c r="Q269" t="n">
        <v>0</v>
      </c>
      <c r="R269" s="2" t="inlineStr"/>
    </row>
    <row r="270" ht="15" customHeight="1">
      <c r="A270" t="inlineStr">
        <is>
          <t>A 29502-2023</t>
        </is>
      </c>
      <c r="B270" s="1" t="n">
        <v>45106</v>
      </c>
      <c r="C270" s="1" t="n">
        <v>45895</v>
      </c>
      <c r="D270" t="inlineStr">
        <is>
          <t>SÖDERMANLANDS LÄN</t>
        </is>
      </c>
      <c r="E270" t="inlineStr">
        <is>
          <t>KATRINEHOLM</t>
        </is>
      </c>
      <c r="G270" t="n">
        <v>2.3</v>
      </c>
      <c r="H270" t="n">
        <v>0</v>
      </c>
      <c r="I270" t="n">
        <v>0</v>
      </c>
      <c r="J270" t="n">
        <v>0</v>
      </c>
      <c r="K270" t="n">
        <v>0</v>
      </c>
      <c r="L270" t="n">
        <v>0</v>
      </c>
      <c r="M270" t="n">
        <v>0</v>
      </c>
      <c r="N270" t="n">
        <v>0</v>
      </c>
      <c r="O270" t="n">
        <v>0</v>
      </c>
      <c r="P270" t="n">
        <v>0</v>
      </c>
      <c r="Q270" t="n">
        <v>0</v>
      </c>
      <c r="R270" s="2" t="inlineStr"/>
    </row>
    <row r="271" ht="15" customHeight="1">
      <c r="A271" t="inlineStr">
        <is>
          <t>A 46833-2020</t>
        </is>
      </c>
      <c r="B271" s="1" t="n">
        <v>44089</v>
      </c>
      <c r="C271" s="1" t="n">
        <v>45895</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42111-2022</t>
        </is>
      </c>
      <c r="B272" s="1" t="n">
        <v>44830</v>
      </c>
      <c r="C272" s="1" t="n">
        <v>45895</v>
      </c>
      <c r="D272" t="inlineStr">
        <is>
          <t>SÖDERMANLANDS LÄN</t>
        </is>
      </c>
      <c r="E272" t="inlineStr">
        <is>
          <t>KATRINEHOLM</t>
        </is>
      </c>
      <c r="G272" t="n">
        <v>2.5</v>
      </c>
      <c r="H272" t="n">
        <v>0</v>
      </c>
      <c r="I272" t="n">
        <v>0</v>
      </c>
      <c r="J272" t="n">
        <v>0</v>
      </c>
      <c r="K272" t="n">
        <v>0</v>
      </c>
      <c r="L272" t="n">
        <v>0</v>
      </c>
      <c r="M272" t="n">
        <v>0</v>
      </c>
      <c r="N272" t="n">
        <v>0</v>
      </c>
      <c r="O272" t="n">
        <v>0</v>
      </c>
      <c r="P272" t="n">
        <v>0</v>
      </c>
      <c r="Q272" t="n">
        <v>0</v>
      </c>
      <c r="R272" s="2" t="inlineStr"/>
    </row>
    <row r="273" ht="15" customHeight="1">
      <c r="A273" t="inlineStr">
        <is>
          <t>A 36366-2023</t>
        </is>
      </c>
      <c r="B273" s="1" t="n">
        <v>45152</v>
      </c>
      <c r="C273" s="1" t="n">
        <v>45895</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36767-2022</t>
        </is>
      </c>
      <c r="B274" s="1" t="n">
        <v>44805</v>
      </c>
      <c r="C274" s="1" t="n">
        <v>45895</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36021-2023</t>
        </is>
      </c>
      <c r="B275" s="1" t="n">
        <v>45148</v>
      </c>
      <c r="C275" s="1" t="n">
        <v>45895</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33712-2022</t>
        </is>
      </c>
      <c r="B276" s="1" t="n">
        <v>44789</v>
      </c>
      <c r="C276" s="1" t="n">
        <v>45895</v>
      </c>
      <c r="D276" t="inlineStr">
        <is>
          <t>SÖDERMANLANDS LÄN</t>
        </is>
      </c>
      <c r="E276" t="inlineStr">
        <is>
          <t>KATRINEHOLM</t>
        </is>
      </c>
      <c r="G276" t="n">
        <v>4.3</v>
      </c>
      <c r="H276" t="n">
        <v>0</v>
      </c>
      <c r="I276" t="n">
        <v>0</v>
      </c>
      <c r="J276" t="n">
        <v>0</v>
      </c>
      <c r="K276" t="n">
        <v>0</v>
      </c>
      <c r="L276" t="n">
        <v>0</v>
      </c>
      <c r="M276" t="n">
        <v>0</v>
      </c>
      <c r="N276" t="n">
        <v>0</v>
      </c>
      <c r="O276" t="n">
        <v>0</v>
      </c>
      <c r="P276" t="n">
        <v>0</v>
      </c>
      <c r="Q276" t="n">
        <v>0</v>
      </c>
      <c r="R276" s="2" t="inlineStr"/>
    </row>
    <row r="277" ht="15" customHeight="1">
      <c r="A277" t="inlineStr">
        <is>
          <t>A 55034-2021</t>
        </is>
      </c>
      <c r="B277" s="1" t="n">
        <v>44474</v>
      </c>
      <c r="C277" s="1" t="n">
        <v>45895</v>
      </c>
      <c r="D277" t="inlineStr">
        <is>
          <t>SÖDERMANLANDS LÄN</t>
        </is>
      </c>
      <c r="E277" t="inlineStr">
        <is>
          <t>KATRINEHOLM</t>
        </is>
      </c>
      <c r="G277" t="n">
        <v>5</v>
      </c>
      <c r="H277" t="n">
        <v>0</v>
      </c>
      <c r="I277" t="n">
        <v>0</v>
      </c>
      <c r="J277" t="n">
        <v>0</v>
      </c>
      <c r="K277" t="n">
        <v>0</v>
      </c>
      <c r="L277" t="n">
        <v>0</v>
      </c>
      <c r="M277" t="n">
        <v>0</v>
      </c>
      <c r="N277" t="n">
        <v>0</v>
      </c>
      <c r="O277" t="n">
        <v>0</v>
      </c>
      <c r="P277" t="n">
        <v>0</v>
      </c>
      <c r="Q277" t="n">
        <v>0</v>
      </c>
      <c r="R277" s="2" t="inlineStr"/>
    </row>
    <row r="278" ht="15" customHeight="1">
      <c r="A278" t="inlineStr">
        <is>
          <t>A 33717-2022</t>
        </is>
      </c>
      <c r="B278" s="1" t="n">
        <v>44789</v>
      </c>
      <c r="C278" s="1" t="n">
        <v>45895</v>
      </c>
      <c r="D278" t="inlineStr">
        <is>
          <t>SÖDERMANLANDS LÄN</t>
        </is>
      </c>
      <c r="E278" t="inlineStr">
        <is>
          <t>KATRINEHOLM</t>
        </is>
      </c>
      <c r="G278" t="n">
        <v>4.4</v>
      </c>
      <c r="H278" t="n">
        <v>0</v>
      </c>
      <c r="I278" t="n">
        <v>0</v>
      </c>
      <c r="J278" t="n">
        <v>0</v>
      </c>
      <c r="K278" t="n">
        <v>0</v>
      </c>
      <c r="L278" t="n">
        <v>0</v>
      </c>
      <c r="M278" t="n">
        <v>0</v>
      </c>
      <c r="N278" t="n">
        <v>0</v>
      </c>
      <c r="O278" t="n">
        <v>0</v>
      </c>
      <c r="P278" t="n">
        <v>0</v>
      </c>
      <c r="Q278" t="n">
        <v>0</v>
      </c>
      <c r="R278" s="2" t="inlineStr"/>
    </row>
    <row r="279" ht="15" customHeight="1">
      <c r="A279" t="inlineStr">
        <is>
          <t>A 28597-2024</t>
        </is>
      </c>
      <c r="B279" s="1" t="n">
        <v>45478</v>
      </c>
      <c r="C279" s="1" t="n">
        <v>45895</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33752-2023</t>
        </is>
      </c>
      <c r="B280" s="1" t="n">
        <v>45120</v>
      </c>
      <c r="C280" s="1" t="n">
        <v>45895</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6311-2025</t>
        </is>
      </c>
      <c r="B281" s="1" t="n">
        <v>45698</v>
      </c>
      <c r="C281" s="1" t="n">
        <v>45895</v>
      </c>
      <c r="D281" t="inlineStr">
        <is>
          <t>SÖDERMANLANDS LÄN</t>
        </is>
      </c>
      <c r="E281" t="inlineStr">
        <is>
          <t>KATRINEHOLM</t>
        </is>
      </c>
      <c r="G281" t="n">
        <v>0.3</v>
      </c>
      <c r="H281" t="n">
        <v>0</v>
      </c>
      <c r="I281" t="n">
        <v>0</v>
      </c>
      <c r="J281" t="n">
        <v>0</v>
      </c>
      <c r="K281" t="n">
        <v>0</v>
      </c>
      <c r="L281" t="n">
        <v>0</v>
      </c>
      <c r="M281" t="n">
        <v>0</v>
      </c>
      <c r="N281" t="n">
        <v>0</v>
      </c>
      <c r="O281" t="n">
        <v>0</v>
      </c>
      <c r="P281" t="n">
        <v>0</v>
      </c>
      <c r="Q281" t="n">
        <v>0</v>
      </c>
      <c r="R281" s="2" t="inlineStr"/>
    </row>
    <row r="282" ht="15" customHeight="1">
      <c r="A282" t="inlineStr">
        <is>
          <t>A 45376-2022</t>
        </is>
      </c>
      <c r="B282" s="1" t="n">
        <v>44844</v>
      </c>
      <c r="C282" s="1" t="n">
        <v>45895</v>
      </c>
      <c r="D282" t="inlineStr">
        <is>
          <t>SÖDERMANLANDS LÄN</t>
        </is>
      </c>
      <c r="E282" t="inlineStr">
        <is>
          <t>KATRINEHOLM</t>
        </is>
      </c>
      <c r="G282" t="n">
        <v>4.7</v>
      </c>
      <c r="H282" t="n">
        <v>0</v>
      </c>
      <c r="I282" t="n">
        <v>0</v>
      </c>
      <c r="J282" t="n">
        <v>0</v>
      </c>
      <c r="K282" t="n">
        <v>0</v>
      </c>
      <c r="L282" t="n">
        <v>0</v>
      </c>
      <c r="M282" t="n">
        <v>0</v>
      </c>
      <c r="N282" t="n">
        <v>0</v>
      </c>
      <c r="O282" t="n">
        <v>0</v>
      </c>
      <c r="P282" t="n">
        <v>0</v>
      </c>
      <c r="Q282" t="n">
        <v>0</v>
      </c>
      <c r="R282" s="2" t="inlineStr"/>
    </row>
    <row r="283" ht="15" customHeight="1">
      <c r="A283" t="inlineStr">
        <is>
          <t>A 55122-2022</t>
        </is>
      </c>
      <c r="B283" s="1" t="n">
        <v>44886.65092592593</v>
      </c>
      <c r="C283" s="1" t="n">
        <v>45895</v>
      </c>
      <c r="D283" t="inlineStr">
        <is>
          <t>SÖDERMANLANDS LÄN</t>
        </is>
      </c>
      <c r="E283" t="inlineStr">
        <is>
          <t>KATRINEHOLM</t>
        </is>
      </c>
      <c r="G283" t="n">
        <v>6.5</v>
      </c>
      <c r="H283" t="n">
        <v>0</v>
      </c>
      <c r="I283" t="n">
        <v>0</v>
      </c>
      <c r="J283" t="n">
        <v>0</v>
      </c>
      <c r="K283" t="n">
        <v>0</v>
      </c>
      <c r="L283" t="n">
        <v>0</v>
      </c>
      <c r="M283" t="n">
        <v>0</v>
      </c>
      <c r="N283" t="n">
        <v>0</v>
      </c>
      <c r="O283" t="n">
        <v>0</v>
      </c>
      <c r="P283" t="n">
        <v>0</v>
      </c>
      <c r="Q283" t="n">
        <v>0</v>
      </c>
      <c r="R283" s="2" t="inlineStr"/>
    </row>
    <row r="284" ht="15" customHeight="1">
      <c r="A284" t="inlineStr">
        <is>
          <t>A 17746-2024</t>
        </is>
      </c>
      <c r="B284" s="1" t="n">
        <v>45415</v>
      </c>
      <c r="C284" s="1" t="n">
        <v>45895</v>
      </c>
      <c r="D284" t="inlineStr">
        <is>
          <t>SÖDERMANLANDS LÄN</t>
        </is>
      </c>
      <c r="E284" t="inlineStr">
        <is>
          <t>KATRINEHOLM</t>
        </is>
      </c>
      <c r="G284" t="n">
        <v>7.8</v>
      </c>
      <c r="H284" t="n">
        <v>0</v>
      </c>
      <c r="I284" t="n">
        <v>0</v>
      </c>
      <c r="J284" t="n">
        <v>0</v>
      </c>
      <c r="K284" t="n">
        <v>0</v>
      </c>
      <c r="L284" t="n">
        <v>0</v>
      </c>
      <c r="M284" t="n">
        <v>0</v>
      </c>
      <c r="N284" t="n">
        <v>0</v>
      </c>
      <c r="O284" t="n">
        <v>0</v>
      </c>
      <c r="P284" t="n">
        <v>0</v>
      </c>
      <c r="Q284" t="n">
        <v>0</v>
      </c>
      <c r="R284" s="2" t="inlineStr"/>
    </row>
    <row r="285" ht="15" customHeight="1">
      <c r="A285" t="inlineStr">
        <is>
          <t>A 24179-2024</t>
        </is>
      </c>
      <c r="B285" s="1" t="n">
        <v>45456.83059027778</v>
      </c>
      <c r="C285" s="1" t="n">
        <v>45895</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51264-2021</t>
        </is>
      </c>
      <c r="B286" s="1" t="n">
        <v>44461</v>
      </c>
      <c r="C286" s="1" t="n">
        <v>45895</v>
      </c>
      <c r="D286" t="inlineStr">
        <is>
          <t>SÖDERMANLANDS LÄN</t>
        </is>
      </c>
      <c r="E286" t="inlineStr">
        <is>
          <t>KATRINEHOLM</t>
        </is>
      </c>
      <c r="G286" t="n">
        <v>3.1</v>
      </c>
      <c r="H286" t="n">
        <v>0</v>
      </c>
      <c r="I286" t="n">
        <v>0</v>
      </c>
      <c r="J286" t="n">
        <v>0</v>
      </c>
      <c r="K286" t="n">
        <v>0</v>
      </c>
      <c r="L286" t="n">
        <v>0</v>
      </c>
      <c r="M286" t="n">
        <v>0</v>
      </c>
      <c r="N286" t="n">
        <v>0</v>
      </c>
      <c r="O286" t="n">
        <v>0</v>
      </c>
      <c r="P286" t="n">
        <v>0</v>
      </c>
      <c r="Q286" t="n">
        <v>0</v>
      </c>
      <c r="R286" s="2" t="inlineStr"/>
    </row>
    <row r="287" ht="15" customHeight="1">
      <c r="A287" t="inlineStr">
        <is>
          <t>A 51128-2021</t>
        </is>
      </c>
      <c r="B287" s="1" t="n">
        <v>44460</v>
      </c>
      <c r="C287" s="1" t="n">
        <v>45895</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29198-2023</t>
        </is>
      </c>
      <c r="B288" s="1" t="n">
        <v>45105</v>
      </c>
      <c r="C288" s="1" t="n">
        <v>45895</v>
      </c>
      <c r="D288" t="inlineStr">
        <is>
          <t>SÖDERMANLANDS LÄN</t>
        </is>
      </c>
      <c r="E288" t="inlineStr">
        <is>
          <t>KATRINEHOLM</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3980-2024</t>
        </is>
      </c>
      <c r="B289" s="1" t="n">
        <v>45322</v>
      </c>
      <c r="C289" s="1" t="n">
        <v>45895</v>
      </c>
      <c r="D289" t="inlineStr">
        <is>
          <t>SÖDERMANLANDS LÄN</t>
        </is>
      </c>
      <c r="E289" t="inlineStr">
        <is>
          <t>KATRINEHOLM</t>
        </is>
      </c>
      <c r="G289" t="n">
        <v>0.4</v>
      </c>
      <c r="H289" t="n">
        <v>0</v>
      </c>
      <c r="I289" t="n">
        <v>0</v>
      </c>
      <c r="J289" t="n">
        <v>0</v>
      </c>
      <c r="K289" t="n">
        <v>0</v>
      </c>
      <c r="L289" t="n">
        <v>0</v>
      </c>
      <c r="M289" t="n">
        <v>0</v>
      </c>
      <c r="N289" t="n">
        <v>0</v>
      </c>
      <c r="O289" t="n">
        <v>0</v>
      </c>
      <c r="P289" t="n">
        <v>0</v>
      </c>
      <c r="Q289" t="n">
        <v>0</v>
      </c>
      <c r="R289" s="2" t="inlineStr"/>
    </row>
    <row r="290" ht="15" customHeight="1">
      <c r="A290" t="inlineStr">
        <is>
          <t>A 64713-2023</t>
        </is>
      </c>
      <c r="B290" s="1" t="n">
        <v>45281</v>
      </c>
      <c r="C290" s="1" t="n">
        <v>45895</v>
      </c>
      <c r="D290" t="inlineStr">
        <is>
          <t>SÖDERMANLANDS LÄN</t>
        </is>
      </c>
      <c r="E290" t="inlineStr">
        <is>
          <t>KATRINEHOLM</t>
        </is>
      </c>
      <c r="G290" t="n">
        <v>4.9</v>
      </c>
      <c r="H290" t="n">
        <v>0</v>
      </c>
      <c r="I290" t="n">
        <v>0</v>
      </c>
      <c r="J290" t="n">
        <v>0</v>
      </c>
      <c r="K290" t="n">
        <v>0</v>
      </c>
      <c r="L290" t="n">
        <v>0</v>
      </c>
      <c r="M290" t="n">
        <v>0</v>
      </c>
      <c r="N290" t="n">
        <v>0</v>
      </c>
      <c r="O290" t="n">
        <v>0</v>
      </c>
      <c r="P290" t="n">
        <v>0</v>
      </c>
      <c r="Q290" t="n">
        <v>0</v>
      </c>
      <c r="R290" s="2" t="inlineStr"/>
    </row>
    <row r="291" ht="15" customHeight="1">
      <c r="A291" t="inlineStr">
        <is>
          <t>A 9992-2022</t>
        </is>
      </c>
      <c r="B291" s="1" t="n">
        <v>44621</v>
      </c>
      <c r="C291" s="1" t="n">
        <v>45895</v>
      </c>
      <c r="D291" t="inlineStr">
        <is>
          <t>SÖDERMANLANDS LÄN</t>
        </is>
      </c>
      <c r="E291" t="inlineStr">
        <is>
          <t>KATRINEHOLM</t>
        </is>
      </c>
      <c r="G291" t="n">
        <v>1.6</v>
      </c>
      <c r="H291" t="n">
        <v>0</v>
      </c>
      <c r="I291" t="n">
        <v>0</v>
      </c>
      <c r="J291" t="n">
        <v>0</v>
      </c>
      <c r="K291" t="n">
        <v>0</v>
      </c>
      <c r="L291" t="n">
        <v>0</v>
      </c>
      <c r="M291" t="n">
        <v>0</v>
      </c>
      <c r="N291" t="n">
        <v>0</v>
      </c>
      <c r="O291" t="n">
        <v>0</v>
      </c>
      <c r="P291" t="n">
        <v>0</v>
      </c>
      <c r="Q291" t="n">
        <v>0</v>
      </c>
      <c r="R291" s="2" t="inlineStr"/>
    </row>
    <row r="292" ht="15" customHeight="1">
      <c r="A292" t="inlineStr">
        <is>
          <t>A 23838-2021</t>
        </is>
      </c>
      <c r="B292" s="1" t="n">
        <v>44335</v>
      </c>
      <c r="C292" s="1" t="n">
        <v>45895</v>
      </c>
      <c r="D292" t="inlineStr">
        <is>
          <t>SÖDERMANLANDS LÄN</t>
        </is>
      </c>
      <c r="E292" t="inlineStr">
        <is>
          <t>KATRINEHOLM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41267-2023</t>
        </is>
      </c>
      <c r="B293" s="1" t="n">
        <v>45174</v>
      </c>
      <c r="C293" s="1" t="n">
        <v>45895</v>
      </c>
      <c r="D293" t="inlineStr">
        <is>
          <t>SÖDERMANLANDS LÄN</t>
        </is>
      </c>
      <c r="E293" t="inlineStr">
        <is>
          <t>KATRINEHOLM</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60677-2021</t>
        </is>
      </c>
      <c r="B294" s="1" t="n">
        <v>44495</v>
      </c>
      <c r="C294" s="1" t="n">
        <v>45895</v>
      </c>
      <c r="D294" t="inlineStr">
        <is>
          <t>SÖDERMANLANDS LÄN</t>
        </is>
      </c>
      <c r="E294" t="inlineStr">
        <is>
          <t>KATRINEHOLM</t>
        </is>
      </c>
      <c r="G294" t="n">
        <v>1.8</v>
      </c>
      <c r="H294" t="n">
        <v>0</v>
      </c>
      <c r="I294" t="n">
        <v>0</v>
      </c>
      <c r="J294" t="n">
        <v>0</v>
      </c>
      <c r="K294" t="n">
        <v>0</v>
      </c>
      <c r="L294" t="n">
        <v>0</v>
      </c>
      <c r="M294" t="n">
        <v>0</v>
      </c>
      <c r="N294" t="n">
        <v>0</v>
      </c>
      <c r="O294" t="n">
        <v>0</v>
      </c>
      <c r="P294" t="n">
        <v>0</v>
      </c>
      <c r="Q294" t="n">
        <v>0</v>
      </c>
      <c r="R294" s="2" t="inlineStr"/>
    </row>
    <row r="295" ht="15" customHeight="1">
      <c r="A295" t="inlineStr">
        <is>
          <t>A 43088-2022</t>
        </is>
      </c>
      <c r="B295" s="1" t="n">
        <v>44833</v>
      </c>
      <c r="C295" s="1" t="n">
        <v>45895</v>
      </c>
      <c r="D295" t="inlineStr">
        <is>
          <t>SÖDERMANLANDS LÄN</t>
        </is>
      </c>
      <c r="E295" t="inlineStr">
        <is>
          <t>KATRINEHOLM</t>
        </is>
      </c>
      <c r="G295" t="n">
        <v>6.6</v>
      </c>
      <c r="H295" t="n">
        <v>0</v>
      </c>
      <c r="I295" t="n">
        <v>0</v>
      </c>
      <c r="J295" t="n">
        <v>0</v>
      </c>
      <c r="K295" t="n">
        <v>0</v>
      </c>
      <c r="L295" t="n">
        <v>0</v>
      </c>
      <c r="M295" t="n">
        <v>0</v>
      </c>
      <c r="N295" t="n">
        <v>0</v>
      </c>
      <c r="O295" t="n">
        <v>0</v>
      </c>
      <c r="P295" t="n">
        <v>0</v>
      </c>
      <c r="Q295" t="n">
        <v>0</v>
      </c>
      <c r="R295" s="2" t="inlineStr"/>
    </row>
    <row r="296" ht="15" customHeight="1">
      <c r="A296" t="inlineStr">
        <is>
          <t>A 64605-2023</t>
        </is>
      </c>
      <c r="B296" s="1" t="n">
        <v>45281</v>
      </c>
      <c r="C296" s="1" t="n">
        <v>45895</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32943-2024</t>
        </is>
      </c>
      <c r="B297" s="1" t="n">
        <v>45517</v>
      </c>
      <c r="C297" s="1" t="n">
        <v>45895</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4650-2024</t>
        </is>
      </c>
      <c r="B298" s="1" t="n">
        <v>45328</v>
      </c>
      <c r="C298" s="1" t="n">
        <v>45895</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4652-2024</t>
        </is>
      </c>
      <c r="B299" s="1" t="n">
        <v>45328</v>
      </c>
      <c r="C299" s="1" t="n">
        <v>45895</v>
      </c>
      <c r="D299" t="inlineStr">
        <is>
          <t>SÖDERMANLANDS LÄN</t>
        </is>
      </c>
      <c r="E299" t="inlineStr">
        <is>
          <t>KATRINEHOLM</t>
        </is>
      </c>
      <c r="F299" t="inlineStr">
        <is>
          <t>Övriga Aktiebolag</t>
        </is>
      </c>
      <c r="G299" t="n">
        <v>6.1</v>
      </c>
      <c r="H299" t="n">
        <v>0</v>
      </c>
      <c r="I299" t="n">
        <v>0</v>
      </c>
      <c r="J299" t="n">
        <v>0</v>
      </c>
      <c r="K299" t="n">
        <v>0</v>
      </c>
      <c r="L299" t="n">
        <v>0</v>
      </c>
      <c r="M299" t="n">
        <v>0</v>
      </c>
      <c r="N299" t="n">
        <v>0</v>
      </c>
      <c r="O299" t="n">
        <v>0</v>
      </c>
      <c r="P299" t="n">
        <v>0</v>
      </c>
      <c r="Q299" t="n">
        <v>0</v>
      </c>
      <c r="R299" s="2" t="inlineStr"/>
    </row>
    <row r="300" ht="15" customHeight="1">
      <c r="A300" t="inlineStr">
        <is>
          <t>A 29008-2024</t>
        </is>
      </c>
      <c r="B300" s="1" t="n">
        <v>45481</v>
      </c>
      <c r="C300" s="1" t="n">
        <v>45895</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9936-2023</t>
        </is>
      </c>
      <c r="B301" s="1" t="n">
        <v>44985.47086805556</v>
      </c>
      <c r="C301" s="1" t="n">
        <v>45895</v>
      </c>
      <c r="D301" t="inlineStr">
        <is>
          <t>SÖDERMANLANDS LÄN</t>
        </is>
      </c>
      <c r="E301" t="inlineStr">
        <is>
          <t>KATRINEHOLM</t>
        </is>
      </c>
      <c r="G301" t="n">
        <v>0.4</v>
      </c>
      <c r="H301" t="n">
        <v>0</v>
      </c>
      <c r="I301" t="n">
        <v>0</v>
      </c>
      <c r="J301" t="n">
        <v>0</v>
      </c>
      <c r="K301" t="n">
        <v>0</v>
      </c>
      <c r="L301" t="n">
        <v>0</v>
      </c>
      <c r="M301" t="n">
        <v>0</v>
      </c>
      <c r="N301" t="n">
        <v>0</v>
      </c>
      <c r="O301" t="n">
        <v>0</v>
      </c>
      <c r="P301" t="n">
        <v>0</v>
      </c>
      <c r="Q301" t="n">
        <v>0</v>
      </c>
      <c r="R301" s="2" t="inlineStr"/>
    </row>
    <row r="302" ht="15" customHeight="1">
      <c r="A302" t="inlineStr">
        <is>
          <t>A 28582-2024</t>
        </is>
      </c>
      <c r="B302" s="1" t="n">
        <v>45478.40751157407</v>
      </c>
      <c r="C302" s="1" t="n">
        <v>45895</v>
      </c>
      <c r="D302" t="inlineStr">
        <is>
          <t>SÖDERMANLANDS LÄN</t>
        </is>
      </c>
      <c r="E302" t="inlineStr">
        <is>
          <t>KATRINEHOLM</t>
        </is>
      </c>
      <c r="F302" t="inlineStr">
        <is>
          <t>Övriga Aktiebolag</t>
        </is>
      </c>
      <c r="G302" t="n">
        <v>4</v>
      </c>
      <c r="H302" t="n">
        <v>0</v>
      </c>
      <c r="I302" t="n">
        <v>0</v>
      </c>
      <c r="J302" t="n">
        <v>0</v>
      </c>
      <c r="K302" t="n">
        <v>0</v>
      </c>
      <c r="L302" t="n">
        <v>0</v>
      </c>
      <c r="M302" t="n">
        <v>0</v>
      </c>
      <c r="N302" t="n">
        <v>0</v>
      </c>
      <c r="O302" t="n">
        <v>0</v>
      </c>
      <c r="P302" t="n">
        <v>0</v>
      </c>
      <c r="Q302" t="n">
        <v>0</v>
      </c>
      <c r="R302" s="2" t="inlineStr"/>
    </row>
    <row r="303" ht="15" customHeight="1">
      <c r="A303" t="inlineStr">
        <is>
          <t>A 4645-2024</t>
        </is>
      </c>
      <c r="B303" s="1" t="n">
        <v>45328</v>
      </c>
      <c r="C303" s="1" t="n">
        <v>45895</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22119-2025</t>
        </is>
      </c>
      <c r="B304" s="1" t="n">
        <v>45785</v>
      </c>
      <c r="C304" s="1" t="n">
        <v>45895</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26081-2024</t>
        </is>
      </c>
      <c r="B305" s="1" t="n">
        <v>45462</v>
      </c>
      <c r="C305" s="1" t="n">
        <v>45895</v>
      </c>
      <c r="D305" t="inlineStr">
        <is>
          <t>SÖDERMANLANDS LÄN</t>
        </is>
      </c>
      <c r="E305" t="inlineStr">
        <is>
          <t>KATRINEHOLM</t>
        </is>
      </c>
      <c r="G305" t="n">
        <v>4.1</v>
      </c>
      <c r="H305" t="n">
        <v>0</v>
      </c>
      <c r="I305" t="n">
        <v>0</v>
      </c>
      <c r="J305" t="n">
        <v>0</v>
      </c>
      <c r="K305" t="n">
        <v>0</v>
      </c>
      <c r="L305" t="n">
        <v>0</v>
      </c>
      <c r="M305" t="n">
        <v>0</v>
      </c>
      <c r="N305" t="n">
        <v>0</v>
      </c>
      <c r="O305" t="n">
        <v>0</v>
      </c>
      <c r="P305" t="n">
        <v>0</v>
      </c>
      <c r="Q305" t="n">
        <v>0</v>
      </c>
      <c r="R305" s="2" t="inlineStr"/>
    </row>
    <row r="306" ht="15" customHeight="1">
      <c r="A306" t="inlineStr">
        <is>
          <t>A 36001-2024</t>
        </is>
      </c>
      <c r="B306" s="1" t="n">
        <v>45533.54609953704</v>
      </c>
      <c r="C306" s="1" t="n">
        <v>45895</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24929-2024</t>
        </is>
      </c>
      <c r="B307" s="1" t="n">
        <v>45461</v>
      </c>
      <c r="C307" s="1" t="n">
        <v>45895</v>
      </c>
      <c r="D307" t="inlineStr">
        <is>
          <t>SÖDERMANLANDS LÄN</t>
        </is>
      </c>
      <c r="E307" t="inlineStr">
        <is>
          <t>KATRINEHOLM</t>
        </is>
      </c>
      <c r="G307" t="n">
        <v>7.6</v>
      </c>
      <c r="H307" t="n">
        <v>0</v>
      </c>
      <c r="I307" t="n">
        <v>0</v>
      </c>
      <c r="J307" t="n">
        <v>0</v>
      </c>
      <c r="K307" t="n">
        <v>0</v>
      </c>
      <c r="L307" t="n">
        <v>0</v>
      </c>
      <c r="M307" t="n">
        <v>0</v>
      </c>
      <c r="N307" t="n">
        <v>0</v>
      </c>
      <c r="O307" t="n">
        <v>0</v>
      </c>
      <c r="P307" t="n">
        <v>0</v>
      </c>
      <c r="Q307" t="n">
        <v>0</v>
      </c>
      <c r="R307" s="2" t="inlineStr"/>
    </row>
    <row r="308" ht="15" customHeight="1">
      <c r="A308" t="inlineStr">
        <is>
          <t>A 30242-2023</t>
        </is>
      </c>
      <c r="B308" s="1" t="n">
        <v>45099</v>
      </c>
      <c r="C308" s="1" t="n">
        <v>45895</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36832-2023</t>
        </is>
      </c>
      <c r="B309" s="1" t="n">
        <v>45153</v>
      </c>
      <c r="C309" s="1" t="n">
        <v>45895</v>
      </c>
      <c r="D309" t="inlineStr">
        <is>
          <t>SÖDERMANLANDS LÄN</t>
        </is>
      </c>
      <c r="E309" t="inlineStr">
        <is>
          <t>KATRINEHOLM</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22113-2025</t>
        </is>
      </c>
      <c r="B310" s="1" t="n">
        <v>45785</v>
      </c>
      <c r="C310" s="1" t="n">
        <v>45895</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28931-2024</t>
        </is>
      </c>
      <c r="B311" s="1" t="n">
        <v>45479</v>
      </c>
      <c r="C311" s="1" t="n">
        <v>45895</v>
      </c>
      <c r="D311" t="inlineStr">
        <is>
          <t>SÖDERMANLANDS LÄN</t>
        </is>
      </c>
      <c r="E311" t="inlineStr">
        <is>
          <t>KATRINEHOLM</t>
        </is>
      </c>
      <c r="G311" t="n">
        <v>7.4</v>
      </c>
      <c r="H311" t="n">
        <v>0</v>
      </c>
      <c r="I311" t="n">
        <v>0</v>
      </c>
      <c r="J311" t="n">
        <v>0</v>
      </c>
      <c r="K311" t="n">
        <v>0</v>
      </c>
      <c r="L311" t="n">
        <v>0</v>
      </c>
      <c r="M311" t="n">
        <v>0</v>
      </c>
      <c r="N311" t="n">
        <v>0</v>
      </c>
      <c r="O311" t="n">
        <v>0</v>
      </c>
      <c r="P311" t="n">
        <v>0</v>
      </c>
      <c r="Q311" t="n">
        <v>0</v>
      </c>
      <c r="R311" s="2" t="inlineStr"/>
    </row>
    <row r="312" ht="15" customHeight="1">
      <c r="A312" t="inlineStr">
        <is>
          <t>A 6810-2023</t>
        </is>
      </c>
      <c r="B312" s="1" t="n">
        <v>44964</v>
      </c>
      <c r="C312" s="1" t="n">
        <v>45895</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32944-2023</t>
        </is>
      </c>
      <c r="B313" s="1" t="n">
        <v>45125</v>
      </c>
      <c r="C313" s="1" t="n">
        <v>45895</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29977-2023</t>
        </is>
      </c>
      <c r="B314" s="1" t="n">
        <v>45108</v>
      </c>
      <c r="C314" s="1" t="n">
        <v>45895</v>
      </c>
      <c r="D314" t="inlineStr">
        <is>
          <t>SÖDERMANLANDS LÄN</t>
        </is>
      </c>
      <c r="E314" t="inlineStr">
        <is>
          <t>KATRINEHOLM</t>
        </is>
      </c>
      <c r="G314" t="n">
        <v>2.4</v>
      </c>
      <c r="H314" t="n">
        <v>0</v>
      </c>
      <c r="I314" t="n">
        <v>0</v>
      </c>
      <c r="J314" t="n">
        <v>0</v>
      </c>
      <c r="K314" t="n">
        <v>0</v>
      </c>
      <c r="L314" t="n">
        <v>0</v>
      </c>
      <c r="M314" t="n">
        <v>0</v>
      </c>
      <c r="N314" t="n">
        <v>0</v>
      </c>
      <c r="O314" t="n">
        <v>0</v>
      </c>
      <c r="P314" t="n">
        <v>0</v>
      </c>
      <c r="Q314" t="n">
        <v>0</v>
      </c>
      <c r="R314" s="2" t="inlineStr"/>
    </row>
    <row r="315" ht="15" customHeight="1">
      <c r="A315" t="inlineStr">
        <is>
          <t>A 5788-2022</t>
        </is>
      </c>
      <c r="B315" s="1" t="n">
        <v>44596.54990740741</v>
      </c>
      <c r="C315" s="1" t="n">
        <v>45895</v>
      </c>
      <c r="D315" t="inlineStr">
        <is>
          <t>SÖDERMANLANDS LÄN</t>
        </is>
      </c>
      <c r="E315" t="inlineStr">
        <is>
          <t>KATRINEHOLM</t>
        </is>
      </c>
      <c r="G315" t="n">
        <v>4.1</v>
      </c>
      <c r="H315" t="n">
        <v>0</v>
      </c>
      <c r="I315" t="n">
        <v>0</v>
      </c>
      <c r="J315" t="n">
        <v>0</v>
      </c>
      <c r="K315" t="n">
        <v>0</v>
      </c>
      <c r="L315" t="n">
        <v>0</v>
      </c>
      <c r="M315" t="n">
        <v>0</v>
      </c>
      <c r="N315" t="n">
        <v>0</v>
      </c>
      <c r="O315" t="n">
        <v>0</v>
      </c>
      <c r="P315" t="n">
        <v>0</v>
      </c>
      <c r="Q315" t="n">
        <v>0</v>
      </c>
      <c r="R315" s="2" t="inlineStr"/>
    </row>
    <row r="316" ht="15" customHeight="1">
      <c r="A316" t="inlineStr">
        <is>
          <t>A 20803-2024</t>
        </is>
      </c>
      <c r="B316" s="1" t="n">
        <v>45438</v>
      </c>
      <c r="C316" s="1" t="n">
        <v>45895</v>
      </c>
      <c r="D316" t="inlineStr">
        <is>
          <t>SÖDERMANLANDS LÄN</t>
        </is>
      </c>
      <c r="E316" t="inlineStr">
        <is>
          <t>KATRINEHOLM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5795-2022</t>
        </is>
      </c>
      <c r="B317" s="1" t="n">
        <v>44596</v>
      </c>
      <c r="C317" s="1" t="n">
        <v>45895</v>
      </c>
      <c r="D317" t="inlineStr">
        <is>
          <t>SÖDERMANLANDS LÄN</t>
        </is>
      </c>
      <c r="E317" t="inlineStr">
        <is>
          <t>KATRINEHOLM</t>
        </is>
      </c>
      <c r="G317" t="n">
        <v>8.1</v>
      </c>
      <c r="H317" t="n">
        <v>0</v>
      </c>
      <c r="I317" t="n">
        <v>0</v>
      </c>
      <c r="J317" t="n">
        <v>0</v>
      </c>
      <c r="K317" t="n">
        <v>0</v>
      </c>
      <c r="L317" t="n">
        <v>0</v>
      </c>
      <c r="M317" t="n">
        <v>0</v>
      </c>
      <c r="N317" t="n">
        <v>0</v>
      </c>
      <c r="O317" t="n">
        <v>0</v>
      </c>
      <c r="P317" t="n">
        <v>0</v>
      </c>
      <c r="Q317" t="n">
        <v>0</v>
      </c>
      <c r="R317" s="2" t="inlineStr"/>
    </row>
    <row r="318" ht="15" customHeight="1">
      <c r="A318" t="inlineStr">
        <is>
          <t>A 24983-2024</t>
        </is>
      </c>
      <c r="B318" s="1" t="n">
        <v>45461</v>
      </c>
      <c r="C318" s="1" t="n">
        <v>45895</v>
      </c>
      <c r="D318" t="inlineStr">
        <is>
          <t>SÖDERMANLANDS LÄN</t>
        </is>
      </c>
      <c r="E318" t="inlineStr">
        <is>
          <t>KATRINEHOLM</t>
        </is>
      </c>
      <c r="G318" t="n">
        <v>2.6</v>
      </c>
      <c r="H318" t="n">
        <v>0</v>
      </c>
      <c r="I318" t="n">
        <v>0</v>
      </c>
      <c r="J318" t="n">
        <v>0</v>
      </c>
      <c r="K318" t="n">
        <v>0</v>
      </c>
      <c r="L318" t="n">
        <v>0</v>
      </c>
      <c r="M318" t="n">
        <v>0</v>
      </c>
      <c r="N318" t="n">
        <v>0</v>
      </c>
      <c r="O318" t="n">
        <v>0</v>
      </c>
      <c r="P318" t="n">
        <v>0</v>
      </c>
      <c r="Q318" t="n">
        <v>0</v>
      </c>
      <c r="R318" s="2" t="inlineStr"/>
    </row>
    <row r="319" ht="15" customHeight="1">
      <c r="A319" t="inlineStr">
        <is>
          <t>A 22476-2025</t>
        </is>
      </c>
      <c r="B319" s="1" t="n">
        <v>45786</v>
      </c>
      <c r="C319" s="1" t="n">
        <v>45895</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3075-2022</t>
        </is>
      </c>
      <c r="B320" s="1" t="n">
        <v>44582</v>
      </c>
      <c r="C320" s="1" t="n">
        <v>45895</v>
      </c>
      <c r="D320" t="inlineStr">
        <is>
          <t>SÖDERMANLANDS LÄN</t>
        </is>
      </c>
      <c r="E320" t="inlineStr">
        <is>
          <t>KATRINEHOLM</t>
        </is>
      </c>
      <c r="G320" t="n">
        <v>3.5</v>
      </c>
      <c r="H320" t="n">
        <v>0</v>
      </c>
      <c r="I320" t="n">
        <v>0</v>
      </c>
      <c r="J320" t="n">
        <v>0</v>
      </c>
      <c r="K320" t="n">
        <v>0</v>
      </c>
      <c r="L320" t="n">
        <v>0</v>
      </c>
      <c r="M320" t="n">
        <v>0</v>
      </c>
      <c r="N320" t="n">
        <v>0</v>
      </c>
      <c r="O320" t="n">
        <v>0</v>
      </c>
      <c r="P320" t="n">
        <v>0</v>
      </c>
      <c r="Q320" t="n">
        <v>0</v>
      </c>
      <c r="R320" s="2" t="inlineStr"/>
    </row>
    <row r="321" ht="15" customHeight="1">
      <c r="A321" t="inlineStr">
        <is>
          <t>A 69117-2021</t>
        </is>
      </c>
      <c r="B321" s="1" t="n">
        <v>44530.82445601852</v>
      </c>
      <c r="C321" s="1" t="n">
        <v>45895</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22336-2025</t>
        </is>
      </c>
      <c r="B322" s="1" t="n">
        <v>45786.44217592593</v>
      </c>
      <c r="C322" s="1" t="n">
        <v>45895</v>
      </c>
      <c r="D322" t="inlineStr">
        <is>
          <t>SÖDERMANLANDS LÄN</t>
        </is>
      </c>
      <c r="E322" t="inlineStr">
        <is>
          <t>KATRINEHOLM</t>
        </is>
      </c>
      <c r="G322" t="n">
        <v>1.4</v>
      </c>
      <c r="H322" t="n">
        <v>0</v>
      </c>
      <c r="I322" t="n">
        <v>0</v>
      </c>
      <c r="J322" t="n">
        <v>0</v>
      </c>
      <c r="K322" t="n">
        <v>0</v>
      </c>
      <c r="L322" t="n">
        <v>0</v>
      </c>
      <c r="M322" t="n">
        <v>0</v>
      </c>
      <c r="N322" t="n">
        <v>0</v>
      </c>
      <c r="O322" t="n">
        <v>0</v>
      </c>
      <c r="P322" t="n">
        <v>0</v>
      </c>
      <c r="Q322" t="n">
        <v>0</v>
      </c>
      <c r="R322" s="2" t="inlineStr"/>
    </row>
    <row r="323" ht="15" customHeight="1">
      <c r="A323" t="inlineStr">
        <is>
          <t>A 38308-2021</t>
        </is>
      </c>
      <c r="B323" s="1" t="n">
        <v>44406</v>
      </c>
      <c r="C323" s="1" t="n">
        <v>45895</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55172-2022</t>
        </is>
      </c>
      <c r="B324" s="1" t="n">
        <v>44886</v>
      </c>
      <c r="C324" s="1" t="n">
        <v>45895</v>
      </c>
      <c r="D324" t="inlineStr">
        <is>
          <t>SÖDERMANLANDS LÄN</t>
        </is>
      </c>
      <c r="E324" t="inlineStr">
        <is>
          <t>KATRINEHOLM</t>
        </is>
      </c>
      <c r="G324" t="n">
        <v>1.3</v>
      </c>
      <c r="H324" t="n">
        <v>0</v>
      </c>
      <c r="I324" t="n">
        <v>0</v>
      </c>
      <c r="J324" t="n">
        <v>0</v>
      </c>
      <c r="K324" t="n">
        <v>0</v>
      </c>
      <c r="L324" t="n">
        <v>0</v>
      </c>
      <c r="M324" t="n">
        <v>0</v>
      </c>
      <c r="N324" t="n">
        <v>0</v>
      </c>
      <c r="O324" t="n">
        <v>0</v>
      </c>
      <c r="P324" t="n">
        <v>0</v>
      </c>
      <c r="Q324" t="n">
        <v>0</v>
      </c>
      <c r="R324" s="2" t="inlineStr"/>
    </row>
    <row r="325" ht="15" customHeight="1">
      <c r="A325" t="inlineStr">
        <is>
          <t>A 55031-2020</t>
        </is>
      </c>
      <c r="B325" s="1" t="n">
        <v>44130</v>
      </c>
      <c r="C325" s="1" t="n">
        <v>45895</v>
      </c>
      <c r="D325" t="inlineStr">
        <is>
          <t>SÖDERMANLANDS LÄN</t>
        </is>
      </c>
      <c r="E325" t="inlineStr">
        <is>
          <t>KATRINEHOLM</t>
        </is>
      </c>
      <c r="G325" t="n">
        <v>1.9</v>
      </c>
      <c r="H325" t="n">
        <v>0</v>
      </c>
      <c r="I325" t="n">
        <v>0</v>
      </c>
      <c r="J325" t="n">
        <v>0</v>
      </c>
      <c r="K325" t="n">
        <v>0</v>
      </c>
      <c r="L325" t="n">
        <v>0</v>
      </c>
      <c r="M325" t="n">
        <v>0</v>
      </c>
      <c r="N325" t="n">
        <v>0</v>
      </c>
      <c r="O325" t="n">
        <v>0</v>
      </c>
      <c r="P325" t="n">
        <v>0</v>
      </c>
      <c r="Q325" t="n">
        <v>0</v>
      </c>
      <c r="R325" s="2" t="inlineStr"/>
    </row>
    <row r="326" ht="15" customHeight="1">
      <c r="A326" t="inlineStr">
        <is>
          <t>A 73409-2021</t>
        </is>
      </c>
      <c r="B326" s="1" t="n">
        <v>44551</v>
      </c>
      <c r="C326" s="1" t="n">
        <v>45895</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73415-2021</t>
        </is>
      </c>
      <c r="B327" s="1" t="n">
        <v>44551</v>
      </c>
      <c r="C327" s="1" t="n">
        <v>45895</v>
      </c>
      <c r="D327" t="inlineStr">
        <is>
          <t>SÖDERMANLANDS LÄN</t>
        </is>
      </c>
      <c r="E327" t="inlineStr">
        <is>
          <t>KATRINEHOLM</t>
        </is>
      </c>
      <c r="G327" t="n">
        <v>3.2</v>
      </c>
      <c r="H327" t="n">
        <v>0</v>
      </c>
      <c r="I327" t="n">
        <v>0</v>
      </c>
      <c r="J327" t="n">
        <v>0</v>
      </c>
      <c r="K327" t="n">
        <v>0</v>
      </c>
      <c r="L327" t="n">
        <v>0</v>
      </c>
      <c r="M327" t="n">
        <v>0</v>
      </c>
      <c r="N327" t="n">
        <v>0</v>
      </c>
      <c r="O327" t="n">
        <v>0</v>
      </c>
      <c r="P327" t="n">
        <v>0</v>
      </c>
      <c r="Q327" t="n">
        <v>0</v>
      </c>
      <c r="R327" s="2" t="inlineStr"/>
    </row>
    <row r="328" ht="15" customHeight="1">
      <c r="A328" t="inlineStr">
        <is>
          <t>A 23050-2025</t>
        </is>
      </c>
      <c r="B328" s="1" t="n">
        <v>45790.69971064815</v>
      </c>
      <c r="C328" s="1" t="n">
        <v>45895</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67337-2021</t>
        </is>
      </c>
      <c r="B329" s="1" t="n">
        <v>44523</v>
      </c>
      <c r="C329" s="1" t="n">
        <v>45895</v>
      </c>
      <c r="D329" t="inlineStr">
        <is>
          <t>SÖDERMANLANDS LÄN</t>
        </is>
      </c>
      <c r="E329" t="inlineStr">
        <is>
          <t>KATRINEHOLM</t>
        </is>
      </c>
      <c r="G329" t="n">
        <v>5.2</v>
      </c>
      <c r="H329" t="n">
        <v>0</v>
      </c>
      <c r="I329" t="n">
        <v>0</v>
      </c>
      <c r="J329" t="n">
        <v>0</v>
      </c>
      <c r="K329" t="n">
        <v>0</v>
      </c>
      <c r="L329" t="n">
        <v>0</v>
      </c>
      <c r="M329" t="n">
        <v>0</v>
      </c>
      <c r="N329" t="n">
        <v>0</v>
      </c>
      <c r="O329" t="n">
        <v>0</v>
      </c>
      <c r="P329" t="n">
        <v>0</v>
      </c>
      <c r="Q329" t="n">
        <v>0</v>
      </c>
      <c r="R329" s="2" t="inlineStr"/>
    </row>
    <row r="330" ht="15" customHeight="1">
      <c r="A330" t="inlineStr">
        <is>
          <t>A 57132-2020</t>
        </is>
      </c>
      <c r="B330" s="1" t="n">
        <v>44139</v>
      </c>
      <c r="C330" s="1" t="n">
        <v>45895</v>
      </c>
      <c r="D330" t="inlineStr">
        <is>
          <t>SÖDERMANLANDS LÄN</t>
        </is>
      </c>
      <c r="E330" t="inlineStr">
        <is>
          <t>KATRINEHOLM</t>
        </is>
      </c>
      <c r="G330" t="n">
        <v>4</v>
      </c>
      <c r="H330" t="n">
        <v>0</v>
      </c>
      <c r="I330" t="n">
        <v>0</v>
      </c>
      <c r="J330" t="n">
        <v>0</v>
      </c>
      <c r="K330" t="n">
        <v>0</v>
      </c>
      <c r="L330" t="n">
        <v>0</v>
      </c>
      <c r="M330" t="n">
        <v>0</v>
      </c>
      <c r="N330" t="n">
        <v>0</v>
      </c>
      <c r="O330" t="n">
        <v>0</v>
      </c>
      <c r="P330" t="n">
        <v>0</v>
      </c>
      <c r="Q330" t="n">
        <v>0</v>
      </c>
      <c r="R330" s="2" t="inlineStr"/>
    </row>
    <row r="331" ht="15" customHeight="1">
      <c r="A331" t="inlineStr">
        <is>
          <t>A 29394-2024</t>
        </is>
      </c>
      <c r="B331" s="1" t="n">
        <v>45483</v>
      </c>
      <c r="C331" s="1" t="n">
        <v>45895</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50032-2022</t>
        </is>
      </c>
      <c r="B332" s="1" t="n">
        <v>44860</v>
      </c>
      <c r="C332" s="1" t="n">
        <v>45895</v>
      </c>
      <c r="D332" t="inlineStr">
        <is>
          <t>SÖDERMANLANDS LÄN</t>
        </is>
      </c>
      <c r="E332" t="inlineStr">
        <is>
          <t>KATRINEHOLM</t>
        </is>
      </c>
      <c r="G332" t="n">
        <v>7.5</v>
      </c>
      <c r="H332" t="n">
        <v>0</v>
      </c>
      <c r="I332" t="n">
        <v>0</v>
      </c>
      <c r="J332" t="n">
        <v>0</v>
      </c>
      <c r="K332" t="n">
        <v>0</v>
      </c>
      <c r="L332" t="n">
        <v>0</v>
      </c>
      <c r="M332" t="n">
        <v>0</v>
      </c>
      <c r="N332" t="n">
        <v>0</v>
      </c>
      <c r="O332" t="n">
        <v>0</v>
      </c>
      <c r="P332" t="n">
        <v>0</v>
      </c>
      <c r="Q332" t="n">
        <v>0</v>
      </c>
      <c r="R332" s="2" t="inlineStr"/>
    </row>
    <row r="333" ht="15" customHeight="1">
      <c r="A333" t="inlineStr">
        <is>
          <t>A 26713-2024</t>
        </is>
      </c>
      <c r="B333" s="1" t="n">
        <v>45470</v>
      </c>
      <c r="C333" s="1" t="n">
        <v>45895</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43837-2022</t>
        </is>
      </c>
      <c r="B334" s="1" t="n">
        <v>44838</v>
      </c>
      <c r="C334" s="1" t="n">
        <v>45895</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57510-2021</t>
        </is>
      </c>
      <c r="B335" s="1" t="n">
        <v>44483</v>
      </c>
      <c r="C335" s="1" t="n">
        <v>45895</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8087-2022</t>
        </is>
      </c>
      <c r="B336" s="1" t="n">
        <v>44609.53502314815</v>
      </c>
      <c r="C336" s="1" t="n">
        <v>45895</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55732-2023</t>
        </is>
      </c>
      <c r="B337" s="1" t="n">
        <v>45239</v>
      </c>
      <c r="C337" s="1" t="n">
        <v>45895</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50935-2023</t>
        </is>
      </c>
      <c r="B338" s="1" t="n">
        <v>45211</v>
      </c>
      <c r="C338" s="1" t="n">
        <v>45895</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40159-2023</t>
        </is>
      </c>
      <c r="B339" s="1" t="n">
        <v>45169</v>
      </c>
      <c r="C339" s="1" t="n">
        <v>45895</v>
      </c>
      <c r="D339" t="inlineStr">
        <is>
          <t>SÖDERMANLANDS LÄN</t>
        </is>
      </c>
      <c r="E339" t="inlineStr">
        <is>
          <t>KATRINEHOLM</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59887-2020</t>
        </is>
      </c>
      <c r="B340" s="1" t="n">
        <v>44151</v>
      </c>
      <c r="C340" s="1" t="n">
        <v>45895</v>
      </c>
      <c r="D340" t="inlineStr">
        <is>
          <t>SÖDERMANLANDS LÄN</t>
        </is>
      </c>
      <c r="E340" t="inlineStr">
        <is>
          <t>KATRINEHOLM</t>
        </is>
      </c>
      <c r="G340" t="n">
        <v>3.1</v>
      </c>
      <c r="H340" t="n">
        <v>0</v>
      </c>
      <c r="I340" t="n">
        <v>0</v>
      </c>
      <c r="J340" t="n">
        <v>0</v>
      </c>
      <c r="K340" t="n">
        <v>0</v>
      </c>
      <c r="L340" t="n">
        <v>0</v>
      </c>
      <c r="M340" t="n">
        <v>0</v>
      </c>
      <c r="N340" t="n">
        <v>0</v>
      </c>
      <c r="O340" t="n">
        <v>0</v>
      </c>
      <c r="P340" t="n">
        <v>0</v>
      </c>
      <c r="Q340" t="n">
        <v>0</v>
      </c>
      <c r="R340" s="2" t="inlineStr"/>
    </row>
    <row r="341" ht="15" customHeight="1">
      <c r="A341" t="inlineStr">
        <is>
          <t>A 28675-2024</t>
        </is>
      </c>
      <c r="B341" s="1" t="n">
        <v>45478</v>
      </c>
      <c r="C341" s="1" t="n">
        <v>45895</v>
      </c>
      <c r="D341" t="inlineStr">
        <is>
          <t>SÖDERMANLANDS LÄN</t>
        </is>
      </c>
      <c r="E341" t="inlineStr">
        <is>
          <t>KATRINEHOLM</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27875-2024</t>
        </is>
      </c>
      <c r="B342" s="1" t="n">
        <v>45475</v>
      </c>
      <c r="C342" s="1" t="n">
        <v>45895</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27376-2024</t>
        </is>
      </c>
      <c r="B343" s="1" t="n">
        <v>45473.88313657408</v>
      </c>
      <c r="C343" s="1" t="n">
        <v>45895</v>
      </c>
      <c r="D343" t="inlineStr">
        <is>
          <t>SÖDERMANLANDS LÄN</t>
        </is>
      </c>
      <c r="E343" t="inlineStr">
        <is>
          <t>KATRINEHOLM</t>
        </is>
      </c>
      <c r="F343" t="inlineStr">
        <is>
          <t>Kommuner</t>
        </is>
      </c>
      <c r="G343" t="n">
        <v>2.8</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45895</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33001-2024</t>
        </is>
      </c>
      <c r="B345" s="1" t="n">
        <v>45517</v>
      </c>
      <c r="C345" s="1" t="n">
        <v>45895</v>
      </c>
      <c r="D345" t="inlineStr">
        <is>
          <t>SÖDERMANLANDS LÄN</t>
        </is>
      </c>
      <c r="E345" t="inlineStr">
        <is>
          <t>KATRINEHOLM</t>
        </is>
      </c>
      <c r="G345" t="n">
        <v>1.5</v>
      </c>
      <c r="H345" t="n">
        <v>0</v>
      </c>
      <c r="I345" t="n">
        <v>0</v>
      </c>
      <c r="J345" t="n">
        <v>0</v>
      </c>
      <c r="K345" t="n">
        <v>0</v>
      </c>
      <c r="L345" t="n">
        <v>0</v>
      </c>
      <c r="M345" t="n">
        <v>0</v>
      </c>
      <c r="N345" t="n">
        <v>0</v>
      </c>
      <c r="O345" t="n">
        <v>0</v>
      </c>
      <c r="P345" t="n">
        <v>0</v>
      </c>
      <c r="Q345" t="n">
        <v>0</v>
      </c>
      <c r="R345" s="2" t="inlineStr"/>
    </row>
    <row r="346" ht="15" customHeight="1">
      <c r="A346" t="inlineStr">
        <is>
          <t>A 28995-2024</t>
        </is>
      </c>
      <c r="B346" s="1" t="n">
        <v>45481.49899305555</v>
      </c>
      <c r="C346" s="1" t="n">
        <v>45895</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44989-2022</t>
        </is>
      </c>
      <c r="B347" s="1" t="n">
        <v>44840</v>
      </c>
      <c r="C347" s="1" t="n">
        <v>45895</v>
      </c>
      <c r="D347" t="inlineStr">
        <is>
          <t>SÖDERMANLANDS LÄN</t>
        </is>
      </c>
      <c r="E347" t="inlineStr">
        <is>
          <t>KATRINEHOLM</t>
        </is>
      </c>
      <c r="G347" t="n">
        <v>6</v>
      </c>
      <c r="H347" t="n">
        <v>0</v>
      </c>
      <c r="I347" t="n">
        <v>0</v>
      </c>
      <c r="J347" t="n">
        <v>0</v>
      </c>
      <c r="K347" t="n">
        <v>0</v>
      </c>
      <c r="L347" t="n">
        <v>0</v>
      </c>
      <c r="M347" t="n">
        <v>0</v>
      </c>
      <c r="N347" t="n">
        <v>0</v>
      </c>
      <c r="O347" t="n">
        <v>0</v>
      </c>
      <c r="P347" t="n">
        <v>0</v>
      </c>
      <c r="Q347" t="n">
        <v>0</v>
      </c>
      <c r="R347" s="2" t="inlineStr"/>
    </row>
    <row r="348" ht="15" customHeight="1">
      <c r="A348" t="inlineStr">
        <is>
          <t>A 48259-2022</t>
        </is>
      </c>
      <c r="B348" s="1" t="n">
        <v>44858</v>
      </c>
      <c r="C348" s="1" t="n">
        <v>45895</v>
      </c>
      <c r="D348" t="inlineStr">
        <is>
          <t>SÖDERMANLANDS LÄN</t>
        </is>
      </c>
      <c r="E348" t="inlineStr">
        <is>
          <t>KATRINEHOLM</t>
        </is>
      </c>
      <c r="G348" t="n">
        <v>3.5</v>
      </c>
      <c r="H348" t="n">
        <v>0</v>
      </c>
      <c r="I348" t="n">
        <v>0</v>
      </c>
      <c r="J348" t="n">
        <v>0</v>
      </c>
      <c r="K348" t="n">
        <v>0</v>
      </c>
      <c r="L348" t="n">
        <v>0</v>
      </c>
      <c r="M348" t="n">
        <v>0</v>
      </c>
      <c r="N348" t="n">
        <v>0</v>
      </c>
      <c r="O348" t="n">
        <v>0</v>
      </c>
      <c r="P348" t="n">
        <v>0</v>
      </c>
      <c r="Q348" t="n">
        <v>0</v>
      </c>
      <c r="R348" s="2" t="inlineStr"/>
    </row>
    <row r="349" ht="15" customHeight="1">
      <c r="A349" t="inlineStr">
        <is>
          <t>A 28992-2024</t>
        </is>
      </c>
      <c r="B349" s="1" t="n">
        <v>45481.49289351852</v>
      </c>
      <c r="C349" s="1" t="n">
        <v>45895</v>
      </c>
      <c r="D349" t="inlineStr">
        <is>
          <t>SÖDERMANLANDS LÄN</t>
        </is>
      </c>
      <c r="E349" t="inlineStr">
        <is>
          <t>KATRINEHOLM</t>
        </is>
      </c>
      <c r="G349" t="n">
        <v>2.3</v>
      </c>
      <c r="H349" t="n">
        <v>0</v>
      </c>
      <c r="I349" t="n">
        <v>0</v>
      </c>
      <c r="J349" t="n">
        <v>0</v>
      </c>
      <c r="K349" t="n">
        <v>0</v>
      </c>
      <c r="L349" t="n">
        <v>0</v>
      </c>
      <c r="M349" t="n">
        <v>0</v>
      </c>
      <c r="N349" t="n">
        <v>0</v>
      </c>
      <c r="O349" t="n">
        <v>0</v>
      </c>
      <c r="P349" t="n">
        <v>0</v>
      </c>
      <c r="Q349" t="n">
        <v>0</v>
      </c>
      <c r="R349" s="2" t="inlineStr"/>
    </row>
    <row r="350" ht="15" customHeight="1">
      <c r="A350" t="inlineStr">
        <is>
          <t>A 7322-2023</t>
        </is>
      </c>
      <c r="B350" s="1" t="n">
        <v>44970</v>
      </c>
      <c r="C350" s="1" t="n">
        <v>45895</v>
      </c>
      <c r="D350" t="inlineStr">
        <is>
          <t>SÖDERMANLANDS LÄN</t>
        </is>
      </c>
      <c r="E350" t="inlineStr">
        <is>
          <t>KATRINEHOLM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2093-2025</t>
        </is>
      </c>
      <c r="B351" s="1" t="n">
        <v>45672</v>
      </c>
      <c r="C351" s="1" t="n">
        <v>45895</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58175-2024</t>
        </is>
      </c>
      <c r="B352" s="1" t="n">
        <v>45632.46648148148</v>
      </c>
      <c r="C352" s="1" t="n">
        <v>45895</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53715-2023</t>
        </is>
      </c>
      <c r="B353" s="1" t="n">
        <v>45230</v>
      </c>
      <c r="C353" s="1" t="n">
        <v>45895</v>
      </c>
      <c r="D353" t="inlineStr">
        <is>
          <t>SÖDERMANLANDS LÄN</t>
        </is>
      </c>
      <c r="E353" t="inlineStr">
        <is>
          <t>KATRINEHOLM</t>
        </is>
      </c>
      <c r="F353" t="inlineStr">
        <is>
          <t>Allmännings- och besparingsskogar</t>
        </is>
      </c>
      <c r="G353" t="n">
        <v>5.6</v>
      </c>
      <c r="H353" t="n">
        <v>0</v>
      </c>
      <c r="I353" t="n">
        <v>0</v>
      </c>
      <c r="J353" t="n">
        <v>0</v>
      </c>
      <c r="K353" t="n">
        <v>0</v>
      </c>
      <c r="L353" t="n">
        <v>0</v>
      </c>
      <c r="M353" t="n">
        <v>0</v>
      </c>
      <c r="N353" t="n">
        <v>0</v>
      </c>
      <c r="O353" t="n">
        <v>0</v>
      </c>
      <c r="P353" t="n">
        <v>0</v>
      </c>
      <c r="Q353" t="n">
        <v>0</v>
      </c>
      <c r="R353" s="2" t="inlineStr"/>
    </row>
    <row r="354" ht="15" customHeight="1">
      <c r="A354" t="inlineStr">
        <is>
          <t>A 27886-2024</t>
        </is>
      </c>
      <c r="B354" s="1" t="n">
        <v>45475</v>
      </c>
      <c r="C354" s="1" t="n">
        <v>45895</v>
      </c>
      <c r="D354" t="inlineStr">
        <is>
          <t>SÖDERMANLANDS LÄN</t>
        </is>
      </c>
      <c r="E354" t="inlineStr">
        <is>
          <t>KATRINEHOLM</t>
        </is>
      </c>
      <c r="G354" t="n">
        <v>10.3</v>
      </c>
      <c r="H354" t="n">
        <v>0</v>
      </c>
      <c r="I354" t="n">
        <v>0</v>
      </c>
      <c r="J354" t="n">
        <v>0</v>
      </c>
      <c r="K354" t="n">
        <v>0</v>
      </c>
      <c r="L354" t="n">
        <v>0</v>
      </c>
      <c r="M354" t="n">
        <v>0</v>
      </c>
      <c r="N354" t="n">
        <v>0</v>
      </c>
      <c r="O354" t="n">
        <v>0</v>
      </c>
      <c r="P354" t="n">
        <v>0</v>
      </c>
      <c r="Q354" t="n">
        <v>0</v>
      </c>
      <c r="R354" s="2" t="inlineStr"/>
    </row>
    <row r="355" ht="15" customHeight="1">
      <c r="A355" t="inlineStr">
        <is>
          <t>A 48834-2020</t>
        </is>
      </c>
      <c r="B355" s="1" t="n">
        <v>44099</v>
      </c>
      <c r="C355" s="1" t="n">
        <v>45895</v>
      </c>
      <c r="D355" t="inlineStr">
        <is>
          <t>SÖDERMANLANDS LÄN</t>
        </is>
      </c>
      <c r="E355" t="inlineStr">
        <is>
          <t>KATRINEHOLM</t>
        </is>
      </c>
      <c r="G355" t="n">
        <v>12.9</v>
      </c>
      <c r="H355" t="n">
        <v>0</v>
      </c>
      <c r="I355" t="n">
        <v>0</v>
      </c>
      <c r="J355" t="n">
        <v>0</v>
      </c>
      <c r="K355" t="n">
        <v>0</v>
      </c>
      <c r="L355" t="n">
        <v>0</v>
      </c>
      <c r="M355" t="n">
        <v>0</v>
      </c>
      <c r="N355" t="n">
        <v>0</v>
      </c>
      <c r="O355" t="n">
        <v>0</v>
      </c>
      <c r="P355" t="n">
        <v>0</v>
      </c>
      <c r="Q355" t="n">
        <v>0</v>
      </c>
      <c r="R355" s="2" t="inlineStr"/>
    </row>
    <row r="356" ht="15" customHeight="1">
      <c r="A356" t="inlineStr">
        <is>
          <t>A 57462-2020</t>
        </is>
      </c>
      <c r="B356" s="1" t="n">
        <v>44140</v>
      </c>
      <c r="C356" s="1" t="n">
        <v>45895</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23705-2023</t>
        </is>
      </c>
      <c r="B357" s="1" t="n">
        <v>45077</v>
      </c>
      <c r="C357" s="1" t="n">
        <v>45895</v>
      </c>
      <c r="D357" t="inlineStr">
        <is>
          <t>SÖDERMANLANDS LÄN</t>
        </is>
      </c>
      <c r="E357" t="inlineStr">
        <is>
          <t>KATRINEHOLM</t>
        </is>
      </c>
      <c r="F357" t="inlineStr">
        <is>
          <t>Kyrkan</t>
        </is>
      </c>
      <c r="G357" t="n">
        <v>11.9</v>
      </c>
      <c r="H357" t="n">
        <v>0</v>
      </c>
      <c r="I357" t="n">
        <v>0</v>
      </c>
      <c r="J357" t="n">
        <v>0</v>
      </c>
      <c r="K357" t="n">
        <v>0</v>
      </c>
      <c r="L357" t="n">
        <v>0</v>
      </c>
      <c r="M357" t="n">
        <v>0</v>
      </c>
      <c r="N357" t="n">
        <v>0</v>
      </c>
      <c r="O357" t="n">
        <v>0</v>
      </c>
      <c r="P357" t="n">
        <v>0</v>
      </c>
      <c r="Q357" t="n">
        <v>0</v>
      </c>
      <c r="R357" s="2" t="inlineStr"/>
    </row>
    <row r="358" ht="15" customHeight="1">
      <c r="A358" t="inlineStr">
        <is>
          <t>A 25363-2023</t>
        </is>
      </c>
      <c r="B358" s="1" t="n">
        <v>45088.83840277778</v>
      </c>
      <c r="C358" s="1" t="n">
        <v>45895</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24902-2024</t>
        </is>
      </c>
      <c r="B359" s="1" t="n">
        <v>45461</v>
      </c>
      <c r="C359" s="1" t="n">
        <v>45895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6722-2022</t>
        </is>
      </c>
      <c r="B360" s="1" t="n">
        <v>44602</v>
      </c>
      <c r="C360" s="1" t="n">
        <v>45895</v>
      </c>
      <c r="D360" t="inlineStr">
        <is>
          <t>SÖDERMANLANDS LÄN</t>
        </is>
      </c>
      <c r="E360" t="inlineStr">
        <is>
          <t>KATRINEHOLM</t>
        </is>
      </c>
      <c r="G360" t="n">
        <v>1.6</v>
      </c>
      <c r="H360" t="n">
        <v>0</v>
      </c>
      <c r="I360" t="n">
        <v>0</v>
      </c>
      <c r="J360" t="n">
        <v>0</v>
      </c>
      <c r="K360" t="n">
        <v>0</v>
      </c>
      <c r="L360" t="n">
        <v>0</v>
      </c>
      <c r="M360" t="n">
        <v>0</v>
      </c>
      <c r="N360" t="n">
        <v>0</v>
      </c>
      <c r="O360" t="n">
        <v>0</v>
      </c>
      <c r="P360" t="n">
        <v>0</v>
      </c>
      <c r="Q360" t="n">
        <v>0</v>
      </c>
      <c r="R360" s="2" t="inlineStr"/>
    </row>
    <row r="361" ht="15" customHeight="1">
      <c r="A361" t="inlineStr">
        <is>
          <t>A 6763-2022</t>
        </is>
      </c>
      <c r="B361" s="1" t="n">
        <v>44602</v>
      </c>
      <c r="C361" s="1" t="n">
        <v>45895</v>
      </c>
      <c r="D361" t="inlineStr">
        <is>
          <t>SÖDERMANLANDS LÄN</t>
        </is>
      </c>
      <c r="E361" t="inlineStr">
        <is>
          <t>KATRINEHOLM</t>
        </is>
      </c>
      <c r="G361" t="n">
        <v>6.7</v>
      </c>
      <c r="H361" t="n">
        <v>0</v>
      </c>
      <c r="I361" t="n">
        <v>0</v>
      </c>
      <c r="J361" t="n">
        <v>0</v>
      </c>
      <c r="K361" t="n">
        <v>0</v>
      </c>
      <c r="L361" t="n">
        <v>0</v>
      </c>
      <c r="M361" t="n">
        <v>0</v>
      </c>
      <c r="N361" t="n">
        <v>0</v>
      </c>
      <c r="O361" t="n">
        <v>0</v>
      </c>
      <c r="P361" t="n">
        <v>0</v>
      </c>
      <c r="Q361" t="n">
        <v>0</v>
      </c>
      <c r="R361" s="2" t="inlineStr"/>
    </row>
    <row r="362" ht="15" customHeight="1">
      <c r="A362" t="inlineStr">
        <is>
          <t>A 12227-2025</t>
        </is>
      </c>
      <c r="B362" s="1" t="n">
        <v>45729.56836805555</v>
      </c>
      <c r="C362" s="1" t="n">
        <v>45895</v>
      </c>
      <c r="D362" t="inlineStr">
        <is>
          <t>SÖDERMANLANDS LÄN</t>
        </is>
      </c>
      <c r="E362" t="inlineStr">
        <is>
          <t>KATRINEHOLM</t>
        </is>
      </c>
      <c r="G362" t="n">
        <v>7</v>
      </c>
      <c r="H362" t="n">
        <v>0</v>
      </c>
      <c r="I362" t="n">
        <v>0</v>
      </c>
      <c r="J362" t="n">
        <v>0</v>
      </c>
      <c r="K362" t="n">
        <v>0</v>
      </c>
      <c r="L362" t="n">
        <v>0</v>
      </c>
      <c r="M362" t="n">
        <v>0</v>
      </c>
      <c r="N362" t="n">
        <v>0</v>
      </c>
      <c r="O362" t="n">
        <v>0</v>
      </c>
      <c r="P362" t="n">
        <v>0</v>
      </c>
      <c r="Q362" t="n">
        <v>0</v>
      </c>
      <c r="R362" s="2" t="inlineStr"/>
    </row>
    <row r="363" ht="15" customHeight="1">
      <c r="A363" t="inlineStr">
        <is>
          <t>A 5790-2022</t>
        </is>
      </c>
      <c r="B363" s="1" t="n">
        <v>44596.55368055555</v>
      </c>
      <c r="C363" s="1" t="n">
        <v>45895</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14313-2024</t>
        </is>
      </c>
      <c r="B364" s="1" t="n">
        <v>45393</v>
      </c>
      <c r="C364" s="1" t="n">
        <v>45895</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29397-2024</t>
        </is>
      </c>
      <c r="B365" s="1" t="n">
        <v>45483</v>
      </c>
      <c r="C365" s="1" t="n">
        <v>45895</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51218-2020</t>
        </is>
      </c>
      <c r="B366" s="1" t="n">
        <v>44112</v>
      </c>
      <c r="C366" s="1" t="n">
        <v>45895</v>
      </c>
      <c r="D366" t="inlineStr">
        <is>
          <t>SÖDERMANLANDS LÄN</t>
        </is>
      </c>
      <c r="E366" t="inlineStr">
        <is>
          <t>KATRINEHOLM</t>
        </is>
      </c>
      <c r="F366" t="inlineStr">
        <is>
          <t>Kommuner</t>
        </is>
      </c>
      <c r="G366" t="n">
        <v>1.5</v>
      </c>
      <c r="H366" t="n">
        <v>0</v>
      </c>
      <c r="I366" t="n">
        <v>0</v>
      </c>
      <c r="J366" t="n">
        <v>0</v>
      </c>
      <c r="K366" t="n">
        <v>0</v>
      </c>
      <c r="L366" t="n">
        <v>0</v>
      </c>
      <c r="M366" t="n">
        <v>0</v>
      </c>
      <c r="N366" t="n">
        <v>0</v>
      </c>
      <c r="O366" t="n">
        <v>0</v>
      </c>
      <c r="P366" t="n">
        <v>0</v>
      </c>
      <c r="Q366" t="n">
        <v>0</v>
      </c>
      <c r="R366" s="2" t="inlineStr"/>
    </row>
    <row r="367" ht="15" customHeight="1">
      <c r="A367" t="inlineStr">
        <is>
          <t>A 46830-2020</t>
        </is>
      </c>
      <c r="B367" s="1" t="n">
        <v>44089</v>
      </c>
      <c r="C367" s="1" t="n">
        <v>45895</v>
      </c>
      <c r="D367" t="inlineStr">
        <is>
          <t>SÖDERMANLANDS LÄN</t>
        </is>
      </c>
      <c r="E367" t="inlineStr">
        <is>
          <t>KATRINEHOLM</t>
        </is>
      </c>
      <c r="G367" t="n">
        <v>1.1</v>
      </c>
      <c r="H367" t="n">
        <v>0</v>
      </c>
      <c r="I367" t="n">
        <v>0</v>
      </c>
      <c r="J367" t="n">
        <v>0</v>
      </c>
      <c r="K367" t="n">
        <v>0</v>
      </c>
      <c r="L367" t="n">
        <v>0</v>
      </c>
      <c r="M367" t="n">
        <v>0</v>
      </c>
      <c r="N367" t="n">
        <v>0</v>
      </c>
      <c r="O367" t="n">
        <v>0</v>
      </c>
      <c r="P367" t="n">
        <v>0</v>
      </c>
      <c r="Q367" t="n">
        <v>0</v>
      </c>
      <c r="R367" s="2" t="inlineStr"/>
    </row>
    <row r="368" ht="15" customHeight="1">
      <c r="A368" t="inlineStr">
        <is>
          <t>A 33278-2024</t>
        </is>
      </c>
      <c r="B368" s="1" t="n">
        <v>45518</v>
      </c>
      <c r="C368" s="1" t="n">
        <v>45895</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59749-2020</t>
        </is>
      </c>
      <c r="B369" s="1" t="n">
        <v>44151</v>
      </c>
      <c r="C369" s="1" t="n">
        <v>45895</v>
      </c>
      <c r="D369" t="inlineStr">
        <is>
          <t>SÖDERMANLANDS LÄN</t>
        </is>
      </c>
      <c r="E369" t="inlineStr">
        <is>
          <t>KATRINEHOLM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39120-2023</t>
        </is>
      </c>
      <c r="B370" s="1" t="n">
        <v>45165</v>
      </c>
      <c r="C370" s="1" t="n">
        <v>45895</v>
      </c>
      <c r="D370" t="inlineStr">
        <is>
          <t>SÖDERMANLANDS LÄN</t>
        </is>
      </c>
      <c r="E370" t="inlineStr">
        <is>
          <t>KATRINEHOLM</t>
        </is>
      </c>
      <c r="G370" t="n">
        <v>4.4</v>
      </c>
      <c r="H370" t="n">
        <v>0</v>
      </c>
      <c r="I370" t="n">
        <v>0</v>
      </c>
      <c r="J370" t="n">
        <v>0</v>
      </c>
      <c r="K370" t="n">
        <v>0</v>
      </c>
      <c r="L370" t="n">
        <v>0</v>
      </c>
      <c r="M370" t="n">
        <v>0</v>
      </c>
      <c r="N370" t="n">
        <v>0</v>
      </c>
      <c r="O370" t="n">
        <v>0</v>
      </c>
      <c r="P370" t="n">
        <v>0</v>
      </c>
      <c r="Q370" t="n">
        <v>0</v>
      </c>
      <c r="R370" s="2" t="inlineStr"/>
    </row>
    <row r="371" ht="15" customHeight="1">
      <c r="A371" t="inlineStr">
        <is>
          <t>A 9714-2024</t>
        </is>
      </c>
      <c r="B371" s="1" t="n">
        <v>45362</v>
      </c>
      <c r="C371" s="1" t="n">
        <v>45895</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7305-2024</t>
        </is>
      </c>
      <c r="B372" s="1" t="n">
        <v>45344</v>
      </c>
      <c r="C372" s="1" t="n">
        <v>45895</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24619-2024</t>
        </is>
      </c>
      <c r="B373" s="1" t="n">
        <v>45460</v>
      </c>
      <c r="C373" s="1" t="n">
        <v>45895</v>
      </c>
      <c r="D373" t="inlineStr">
        <is>
          <t>SÖDERMANLANDS LÄN</t>
        </is>
      </c>
      <c r="E373" t="inlineStr">
        <is>
          <t>KATRINEHOLM</t>
        </is>
      </c>
      <c r="G373" t="n">
        <v>4.7</v>
      </c>
      <c r="H373" t="n">
        <v>0</v>
      </c>
      <c r="I373" t="n">
        <v>0</v>
      </c>
      <c r="J373" t="n">
        <v>0</v>
      </c>
      <c r="K373" t="n">
        <v>0</v>
      </c>
      <c r="L373" t="n">
        <v>0</v>
      </c>
      <c r="M373" t="n">
        <v>0</v>
      </c>
      <c r="N373" t="n">
        <v>0</v>
      </c>
      <c r="O373" t="n">
        <v>0</v>
      </c>
      <c r="P373" t="n">
        <v>0</v>
      </c>
      <c r="Q373" t="n">
        <v>0</v>
      </c>
      <c r="R373" s="2" t="inlineStr"/>
    </row>
    <row r="374" ht="15" customHeight="1">
      <c r="A374" t="inlineStr">
        <is>
          <t>A 9699-2024</t>
        </is>
      </c>
      <c r="B374" s="1" t="n">
        <v>45362</v>
      </c>
      <c r="C374" s="1" t="n">
        <v>45895</v>
      </c>
      <c r="D374" t="inlineStr">
        <is>
          <t>SÖDERMANLANDS LÄN</t>
        </is>
      </c>
      <c r="E374" t="inlineStr">
        <is>
          <t>KATRINEHOLM</t>
        </is>
      </c>
      <c r="G374" t="n">
        <v>7.7</v>
      </c>
      <c r="H374" t="n">
        <v>0</v>
      </c>
      <c r="I374" t="n">
        <v>0</v>
      </c>
      <c r="J374" t="n">
        <v>0</v>
      </c>
      <c r="K374" t="n">
        <v>0</v>
      </c>
      <c r="L374" t="n">
        <v>0</v>
      </c>
      <c r="M374" t="n">
        <v>0</v>
      </c>
      <c r="N374" t="n">
        <v>0</v>
      </c>
      <c r="O374" t="n">
        <v>0</v>
      </c>
      <c r="P374" t="n">
        <v>0</v>
      </c>
      <c r="Q374" t="n">
        <v>0</v>
      </c>
      <c r="R374" s="2" t="inlineStr"/>
    </row>
    <row r="375" ht="15" customHeight="1">
      <c r="A375" t="inlineStr">
        <is>
          <t>A 2603-2025</t>
        </is>
      </c>
      <c r="B375" s="1" t="n">
        <v>45674</v>
      </c>
      <c r="C375" s="1" t="n">
        <v>45895</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59474-2021</t>
        </is>
      </c>
      <c r="B376" s="1" t="n">
        <v>44491</v>
      </c>
      <c r="C376" s="1" t="n">
        <v>45895</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14239-2024</t>
        </is>
      </c>
      <c r="B377" s="1" t="n">
        <v>45393</v>
      </c>
      <c r="C377" s="1" t="n">
        <v>45895</v>
      </c>
      <c r="D377" t="inlineStr">
        <is>
          <t>SÖDERMANLANDS LÄN</t>
        </is>
      </c>
      <c r="E377" t="inlineStr">
        <is>
          <t>KATRINEHOLM</t>
        </is>
      </c>
      <c r="G377" t="n">
        <v>2.7</v>
      </c>
      <c r="H377" t="n">
        <v>0</v>
      </c>
      <c r="I377" t="n">
        <v>0</v>
      </c>
      <c r="J377" t="n">
        <v>0</v>
      </c>
      <c r="K377" t="n">
        <v>0</v>
      </c>
      <c r="L377" t="n">
        <v>0</v>
      </c>
      <c r="M377" t="n">
        <v>0</v>
      </c>
      <c r="N377" t="n">
        <v>0</v>
      </c>
      <c r="O377" t="n">
        <v>0</v>
      </c>
      <c r="P377" t="n">
        <v>0</v>
      </c>
      <c r="Q377" t="n">
        <v>0</v>
      </c>
      <c r="R377" s="2" t="inlineStr"/>
    </row>
    <row r="378" ht="15" customHeight="1">
      <c r="A378" t="inlineStr">
        <is>
          <t>A 14248-2024</t>
        </is>
      </c>
      <c r="B378" s="1" t="n">
        <v>45393</v>
      </c>
      <c r="C378" s="1" t="n">
        <v>45895</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45895</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65485-2020</t>
        </is>
      </c>
      <c r="B380" s="1" t="n">
        <v>44173</v>
      </c>
      <c r="C380" s="1" t="n">
        <v>45895</v>
      </c>
      <c r="D380" t="inlineStr">
        <is>
          <t>SÖDERMANLANDS LÄN</t>
        </is>
      </c>
      <c r="E380" t="inlineStr">
        <is>
          <t>KATRINEHOLM</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10932-2023</t>
        </is>
      </c>
      <c r="B381" s="1" t="n">
        <v>44985</v>
      </c>
      <c r="C381" s="1" t="n">
        <v>45895</v>
      </c>
      <c r="D381" t="inlineStr">
        <is>
          <t>SÖDERMANLANDS LÄN</t>
        </is>
      </c>
      <c r="E381" t="inlineStr">
        <is>
          <t>KATRINEHOLM</t>
        </is>
      </c>
      <c r="G381" t="n">
        <v>1.8</v>
      </c>
      <c r="H381" t="n">
        <v>0</v>
      </c>
      <c r="I381" t="n">
        <v>0</v>
      </c>
      <c r="J381" t="n">
        <v>0</v>
      </c>
      <c r="K381" t="n">
        <v>0</v>
      </c>
      <c r="L381" t="n">
        <v>0</v>
      </c>
      <c r="M381" t="n">
        <v>0</v>
      </c>
      <c r="N381" t="n">
        <v>0</v>
      </c>
      <c r="O381" t="n">
        <v>0</v>
      </c>
      <c r="P381" t="n">
        <v>0</v>
      </c>
      <c r="Q381" t="n">
        <v>0</v>
      </c>
      <c r="R381" s="2" t="inlineStr"/>
    </row>
    <row r="382" ht="15" customHeight="1">
      <c r="A382" t="inlineStr">
        <is>
          <t>A 24566-2025</t>
        </is>
      </c>
      <c r="B382" s="1" t="n">
        <v>45798.46452546296</v>
      </c>
      <c r="C382" s="1" t="n">
        <v>45895</v>
      </c>
      <c r="D382" t="inlineStr">
        <is>
          <t>SÖDERMANLANDS LÄN</t>
        </is>
      </c>
      <c r="E382" t="inlineStr">
        <is>
          <t>KATRINEHOLM</t>
        </is>
      </c>
      <c r="G382" t="n">
        <v>6.3</v>
      </c>
      <c r="H382" t="n">
        <v>0</v>
      </c>
      <c r="I382" t="n">
        <v>0</v>
      </c>
      <c r="J382" t="n">
        <v>0</v>
      </c>
      <c r="K382" t="n">
        <v>0</v>
      </c>
      <c r="L382" t="n">
        <v>0</v>
      </c>
      <c r="M382" t="n">
        <v>0</v>
      </c>
      <c r="N382" t="n">
        <v>0</v>
      </c>
      <c r="O382" t="n">
        <v>0</v>
      </c>
      <c r="P382" t="n">
        <v>0</v>
      </c>
      <c r="Q382" t="n">
        <v>0</v>
      </c>
      <c r="R382" s="2" t="inlineStr"/>
    </row>
    <row r="383" ht="15" customHeight="1">
      <c r="A383" t="inlineStr">
        <is>
          <t>A 55038-2020</t>
        </is>
      </c>
      <c r="B383" s="1" t="n">
        <v>44130</v>
      </c>
      <c r="C383" s="1" t="n">
        <v>45895</v>
      </c>
      <c r="D383" t="inlineStr">
        <is>
          <t>SÖDERMANLANDS LÄN</t>
        </is>
      </c>
      <c r="E383" t="inlineStr">
        <is>
          <t>KATRINEHOLM</t>
        </is>
      </c>
      <c r="G383" t="n">
        <v>3.2</v>
      </c>
      <c r="H383" t="n">
        <v>0</v>
      </c>
      <c r="I383" t="n">
        <v>0</v>
      </c>
      <c r="J383" t="n">
        <v>0</v>
      </c>
      <c r="K383" t="n">
        <v>0</v>
      </c>
      <c r="L383" t="n">
        <v>0</v>
      </c>
      <c r="M383" t="n">
        <v>0</v>
      </c>
      <c r="N383" t="n">
        <v>0</v>
      </c>
      <c r="O383" t="n">
        <v>0</v>
      </c>
      <c r="P383" t="n">
        <v>0</v>
      </c>
      <c r="Q383" t="n">
        <v>0</v>
      </c>
      <c r="R383" s="2" t="inlineStr"/>
    </row>
    <row r="384" ht="15" customHeight="1">
      <c r="A384" t="inlineStr">
        <is>
          <t>A 55074-2020</t>
        </is>
      </c>
      <c r="B384" s="1" t="n">
        <v>44130</v>
      </c>
      <c r="C384" s="1" t="n">
        <v>45895</v>
      </c>
      <c r="D384" t="inlineStr">
        <is>
          <t>SÖDERMANLANDS LÄN</t>
        </is>
      </c>
      <c r="E384" t="inlineStr">
        <is>
          <t>KATRINEHOLM</t>
        </is>
      </c>
      <c r="G384" t="n">
        <v>2.9</v>
      </c>
      <c r="H384" t="n">
        <v>0</v>
      </c>
      <c r="I384" t="n">
        <v>0</v>
      </c>
      <c r="J384" t="n">
        <v>0</v>
      </c>
      <c r="K384" t="n">
        <v>0</v>
      </c>
      <c r="L384" t="n">
        <v>0</v>
      </c>
      <c r="M384" t="n">
        <v>0</v>
      </c>
      <c r="N384" t="n">
        <v>0</v>
      </c>
      <c r="O384" t="n">
        <v>0</v>
      </c>
      <c r="P384" t="n">
        <v>0</v>
      </c>
      <c r="Q384" t="n">
        <v>0</v>
      </c>
      <c r="R384" s="2" t="inlineStr"/>
    </row>
    <row r="385" ht="15" customHeight="1">
      <c r="A385" t="inlineStr">
        <is>
          <t>A 6087-2022</t>
        </is>
      </c>
      <c r="B385" s="1" t="n">
        <v>44599.61034722222</v>
      </c>
      <c r="C385" s="1" t="n">
        <v>45895</v>
      </c>
      <c r="D385" t="inlineStr">
        <is>
          <t>SÖDERMANLANDS LÄN</t>
        </is>
      </c>
      <c r="E385" t="inlineStr">
        <is>
          <t>KATRINEHOLM</t>
        </is>
      </c>
      <c r="G385" t="n">
        <v>0.8</v>
      </c>
      <c r="H385" t="n">
        <v>0</v>
      </c>
      <c r="I385" t="n">
        <v>0</v>
      </c>
      <c r="J385" t="n">
        <v>0</v>
      </c>
      <c r="K385" t="n">
        <v>0</v>
      </c>
      <c r="L385" t="n">
        <v>0</v>
      </c>
      <c r="M385" t="n">
        <v>0</v>
      </c>
      <c r="N385" t="n">
        <v>0</v>
      </c>
      <c r="O385" t="n">
        <v>0</v>
      </c>
      <c r="P385" t="n">
        <v>0</v>
      </c>
      <c r="Q385" t="n">
        <v>0</v>
      </c>
      <c r="R385" s="2" t="inlineStr"/>
    </row>
    <row r="386" ht="15" customHeight="1">
      <c r="A386" t="inlineStr">
        <is>
          <t>A 24596-2025</t>
        </is>
      </c>
      <c r="B386" s="1" t="n">
        <v>45798.5558912037</v>
      </c>
      <c r="C386" s="1" t="n">
        <v>45895</v>
      </c>
      <c r="D386" t="inlineStr">
        <is>
          <t>SÖDERMANLANDS LÄN</t>
        </is>
      </c>
      <c r="E386" t="inlineStr">
        <is>
          <t>KATRINEHOLM</t>
        </is>
      </c>
      <c r="F386" t="inlineStr">
        <is>
          <t>Holmen skog AB</t>
        </is>
      </c>
      <c r="G386" t="n">
        <v>1.5</v>
      </c>
      <c r="H386" t="n">
        <v>0</v>
      </c>
      <c r="I386" t="n">
        <v>0</v>
      </c>
      <c r="J386" t="n">
        <v>0</v>
      </c>
      <c r="K386" t="n">
        <v>0</v>
      </c>
      <c r="L386" t="n">
        <v>0</v>
      </c>
      <c r="M386" t="n">
        <v>0</v>
      </c>
      <c r="N386" t="n">
        <v>0</v>
      </c>
      <c r="O386" t="n">
        <v>0</v>
      </c>
      <c r="P386" t="n">
        <v>0</v>
      </c>
      <c r="Q386" t="n">
        <v>0</v>
      </c>
      <c r="R386" s="2" t="inlineStr"/>
    </row>
    <row r="387" ht="15" customHeight="1">
      <c r="A387" t="inlineStr">
        <is>
          <t>A 8957-2024</t>
        </is>
      </c>
      <c r="B387" s="1" t="n">
        <v>45357.45089120371</v>
      </c>
      <c r="C387" s="1" t="n">
        <v>45895</v>
      </c>
      <c r="D387" t="inlineStr">
        <is>
          <t>SÖDERMANLANDS LÄN</t>
        </is>
      </c>
      <c r="E387" t="inlineStr">
        <is>
          <t>KATRINEHOLM</t>
        </is>
      </c>
      <c r="G387" t="n">
        <v>3.6</v>
      </c>
      <c r="H387" t="n">
        <v>0</v>
      </c>
      <c r="I387" t="n">
        <v>0</v>
      </c>
      <c r="J387" t="n">
        <v>0</v>
      </c>
      <c r="K387" t="n">
        <v>0</v>
      </c>
      <c r="L387" t="n">
        <v>0</v>
      </c>
      <c r="M387" t="n">
        <v>0</v>
      </c>
      <c r="N387" t="n">
        <v>0</v>
      </c>
      <c r="O387" t="n">
        <v>0</v>
      </c>
      <c r="P387" t="n">
        <v>0</v>
      </c>
      <c r="Q387" t="n">
        <v>0</v>
      </c>
      <c r="R387" s="2" t="inlineStr"/>
    </row>
    <row r="388" ht="15" customHeight="1">
      <c r="A388" t="inlineStr">
        <is>
          <t>A 24605-2025</t>
        </is>
      </c>
      <c r="B388" s="1" t="n">
        <v>45798.57403935185</v>
      </c>
      <c r="C388" s="1" t="n">
        <v>45895</v>
      </c>
      <c r="D388" t="inlineStr">
        <is>
          <t>SÖDERMANLANDS LÄN</t>
        </is>
      </c>
      <c r="E388" t="inlineStr">
        <is>
          <t>KATRINEHOLM</t>
        </is>
      </c>
      <c r="G388" t="n">
        <v>7</v>
      </c>
      <c r="H388" t="n">
        <v>0</v>
      </c>
      <c r="I388" t="n">
        <v>0</v>
      </c>
      <c r="J388" t="n">
        <v>0</v>
      </c>
      <c r="K388" t="n">
        <v>0</v>
      </c>
      <c r="L388" t="n">
        <v>0</v>
      </c>
      <c r="M388" t="n">
        <v>0</v>
      </c>
      <c r="N388" t="n">
        <v>0</v>
      </c>
      <c r="O388" t="n">
        <v>0</v>
      </c>
      <c r="P388" t="n">
        <v>0</v>
      </c>
      <c r="Q388" t="n">
        <v>0</v>
      </c>
      <c r="R388" s="2" t="inlineStr"/>
    </row>
    <row r="389" ht="15" customHeight="1">
      <c r="A389" t="inlineStr">
        <is>
          <t>A 51397-2023</t>
        </is>
      </c>
      <c r="B389" s="1" t="n">
        <v>45214</v>
      </c>
      <c r="C389" s="1" t="n">
        <v>45895</v>
      </c>
      <c r="D389" t="inlineStr">
        <is>
          <t>SÖDERMANLANDS LÄN</t>
        </is>
      </c>
      <c r="E389" t="inlineStr">
        <is>
          <t>KATRINEHOLM</t>
        </is>
      </c>
      <c r="G389" t="n">
        <v>4.9</v>
      </c>
      <c r="H389" t="n">
        <v>0</v>
      </c>
      <c r="I389" t="n">
        <v>0</v>
      </c>
      <c r="J389" t="n">
        <v>0</v>
      </c>
      <c r="K389" t="n">
        <v>0</v>
      </c>
      <c r="L389" t="n">
        <v>0</v>
      </c>
      <c r="M389" t="n">
        <v>0</v>
      </c>
      <c r="N389" t="n">
        <v>0</v>
      </c>
      <c r="O389" t="n">
        <v>0</v>
      </c>
      <c r="P389" t="n">
        <v>0</v>
      </c>
      <c r="Q389" t="n">
        <v>0</v>
      </c>
      <c r="R389" s="2" t="inlineStr"/>
    </row>
    <row r="390" ht="15" customHeight="1">
      <c r="A390" t="inlineStr">
        <is>
          <t>A 19452-2023</t>
        </is>
      </c>
      <c r="B390" s="1" t="n">
        <v>45050</v>
      </c>
      <c r="C390" s="1" t="n">
        <v>45895</v>
      </c>
      <c r="D390" t="inlineStr">
        <is>
          <t>SÖDERMANLANDS LÄN</t>
        </is>
      </c>
      <c r="E390" t="inlineStr">
        <is>
          <t>KATRINEHOLM</t>
        </is>
      </c>
      <c r="F390" t="inlineStr">
        <is>
          <t>Holmen skog AB</t>
        </is>
      </c>
      <c r="G390" t="n">
        <v>4.7</v>
      </c>
      <c r="H390" t="n">
        <v>0</v>
      </c>
      <c r="I390" t="n">
        <v>0</v>
      </c>
      <c r="J390" t="n">
        <v>0</v>
      </c>
      <c r="K390" t="n">
        <v>0</v>
      </c>
      <c r="L390" t="n">
        <v>0</v>
      </c>
      <c r="M390" t="n">
        <v>0</v>
      </c>
      <c r="N390" t="n">
        <v>0</v>
      </c>
      <c r="O390" t="n">
        <v>0</v>
      </c>
      <c r="P390" t="n">
        <v>0</v>
      </c>
      <c r="Q390" t="n">
        <v>0</v>
      </c>
      <c r="R390" s="2" t="inlineStr"/>
    </row>
    <row r="391" ht="15" customHeight="1">
      <c r="A391" t="inlineStr">
        <is>
          <t>A 42896-2024</t>
        </is>
      </c>
      <c r="B391" s="1" t="n">
        <v>45566.82973379629</v>
      </c>
      <c r="C391" s="1" t="n">
        <v>45895</v>
      </c>
      <c r="D391" t="inlineStr">
        <is>
          <t>SÖDERMANLANDS LÄN</t>
        </is>
      </c>
      <c r="E391" t="inlineStr">
        <is>
          <t>KATRINEHOLM</t>
        </is>
      </c>
      <c r="G391" t="n">
        <v>4.3</v>
      </c>
      <c r="H391" t="n">
        <v>0</v>
      </c>
      <c r="I391" t="n">
        <v>0</v>
      </c>
      <c r="J391" t="n">
        <v>0</v>
      </c>
      <c r="K391" t="n">
        <v>0</v>
      </c>
      <c r="L391" t="n">
        <v>0</v>
      </c>
      <c r="M391" t="n">
        <v>0</v>
      </c>
      <c r="N391" t="n">
        <v>0</v>
      </c>
      <c r="O391" t="n">
        <v>0</v>
      </c>
      <c r="P391" t="n">
        <v>0</v>
      </c>
      <c r="Q391" t="n">
        <v>0</v>
      </c>
      <c r="R391" s="2" t="inlineStr"/>
    </row>
    <row r="392" ht="15" customHeight="1">
      <c r="A392" t="inlineStr">
        <is>
          <t>A 7747-2024</t>
        </is>
      </c>
      <c r="B392" s="1" t="n">
        <v>45348</v>
      </c>
      <c r="C392" s="1" t="n">
        <v>45895</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7753-2024</t>
        </is>
      </c>
      <c r="B393" s="1" t="n">
        <v>45348</v>
      </c>
      <c r="C393" s="1" t="n">
        <v>45895</v>
      </c>
      <c r="D393" t="inlineStr">
        <is>
          <t>SÖDERMANLANDS LÄN</t>
        </is>
      </c>
      <c r="E393" t="inlineStr">
        <is>
          <t>KATRINEHOLM</t>
        </is>
      </c>
      <c r="G393" t="n">
        <v>13.4</v>
      </c>
      <c r="H393" t="n">
        <v>0</v>
      </c>
      <c r="I393" t="n">
        <v>0</v>
      </c>
      <c r="J393" t="n">
        <v>0</v>
      </c>
      <c r="K393" t="n">
        <v>0</v>
      </c>
      <c r="L393" t="n">
        <v>0</v>
      </c>
      <c r="M393" t="n">
        <v>0</v>
      </c>
      <c r="N393" t="n">
        <v>0</v>
      </c>
      <c r="O393" t="n">
        <v>0</v>
      </c>
      <c r="P393" t="n">
        <v>0</v>
      </c>
      <c r="Q393" t="n">
        <v>0</v>
      </c>
      <c r="R393" s="2" t="inlineStr"/>
    </row>
    <row r="394" ht="15" customHeight="1">
      <c r="A394" t="inlineStr">
        <is>
          <t>A 56086-2023</t>
        </is>
      </c>
      <c r="B394" s="1" t="n">
        <v>45240</v>
      </c>
      <c r="C394" s="1" t="n">
        <v>45895</v>
      </c>
      <c r="D394" t="inlineStr">
        <is>
          <t>SÖDERMANLANDS LÄN</t>
        </is>
      </c>
      <c r="E394" t="inlineStr">
        <is>
          <t>KATRINEHOLM</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52658-2023</t>
        </is>
      </c>
      <c r="B395" s="1" t="n">
        <v>45225</v>
      </c>
      <c r="C395" s="1" t="n">
        <v>45895</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5935-2023</t>
        </is>
      </c>
      <c r="B396" s="1" t="n">
        <v>44963</v>
      </c>
      <c r="C396" s="1" t="n">
        <v>45895</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10732-2022</t>
        </is>
      </c>
      <c r="B397" s="1" t="n">
        <v>44627.34033564815</v>
      </c>
      <c r="C397" s="1" t="n">
        <v>45895</v>
      </c>
      <c r="D397" t="inlineStr">
        <is>
          <t>SÖDERMANLANDS LÄN</t>
        </is>
      </c>
      <c r="E397" t="inlineStr">
        <is>
          <t>KATRINEHOLM</t>
        </is>
      </c>
      <c r="G397" t="n">
        <v>2.4</v>
      </c>
      <c r="H397" t="n">
        <v>0</v>
      </c>
      <c r="I397" t="n">
        <v>0</v>
      </c>
      <c r="J397" t="n">
        <v>0</v>
      </c>
      <c r="K397" t="n">
        <v>0</v>
      </c>
      <c r="L397" t="n">
        <v>0</v>
      </c>
      <c r="M397" t="n">
        <v>0</v>
      </c>
      <c r="N397" t="n">
        <v>0</v>
      </c>
      <c r="O397" t="n">
        <v>0</v>
      </c>
      <c r="P397" t="n">
        <v>0</v>
      </c>
      <c r="Q397" t="n">
        <v>0</v>
      </c>
      <c r="R397" s="2" t="inlineStr"/>
    </row>
    <row r="398" ht="15" customHeight="1">
      <c r="A398" t="inlineStr">
        <is>
          <t>A 61423-2024</t>
        </is>
      </c>
      <c r="B398" s="1" t="n">
        <v>45646.45209490741</v>
      </c>
      <c r="C398" s="1" t="n">
        <v>45895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5320-2025</t>
        </is>
      </c>
      <c r="B399" s="1" t="n">
        <v>45692</v>
      </c>
      <c r="C399" s="1" t="n">
        <v>45895</v>
      </c>
      <c r="D399" t="inlineStr">
        <is>
          <t>SÖDERMANLANDS LÄN</t>
        </is>
      </c>
      <c r="E399" t="inlineStr">
        <is>
          <t>KATRINEHOLM</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41727-2024</t>
        </is>
      </c>
      <c r="B400" s="1" t="n">
        <v>45560</v>
      </c>
      <c r="C400" s="1" t="n">
        <v>45895</v>
      </c>
      <c r="D400" t="inlineStr">
        <is>
          <t>SÖDERMANLANDS LÄN</t>
        </is>
      </c>
      <c r="E400" t="inlineStr">
        <is>
          <t>KATRINEHOLM</t>
        </is>
      </c>
      <c r="G400" t="n">
        <v>3.9</v>
      </c>
      <c r="H400" t="n">
        <v>0</v>
      </c>
      <c r="I400" t="n">
        <v>0</v>
      </c>
      <c r="J400" t="n">
        <v>0</v>
      </c>
      <c r="K400" t="n">
        <v>0</v>
      </c>
      <c r="L400" t="n">
        <v>0</v>
      </c>
      <c r="M400" t="n">
        <v>0</v>
      </c>
      <c r="N400" t="n">
        <v>0</v>
      </c>
      <c r="O400" t="n">
        <v>0</v>
      </c>
      <c r="P400" t="n">
        <v>0</v>
      </c>
      <c r="Q400" t="n">
        <v>0</v>
      </c>
      <c r="R400" s="2" t="inlineStr"/>
    </row>
    <row r="401" ht="15" customHeight="1">
      <c r="A401" t="inlineStr">
        <is>
          <t>A 58958-2020</t>
        </is>
      </c>
      <c r="B401" s="1" t="n">
        <v>44146</v>
      </c>
      <c r="C401" s="1" t="n">
        <v>45895</v>
      </c>
      <c r="D401" t="inlineStr">
        <is>
          <t>SÖDERMANLANDS LÄN</t>
        </is>
      </c>
      <c r="E401" t="inlineStr">
        <is>
          <t>KATRINEHOLM</t>
        </is>
      </c>
      <c r="F401" t="inlineStr">
        <is>
          <t>Holmen skog AB</t>
        </is>
      </c>
      <c r="G401" t="n">
        <v>0.2</v>
      </c>
      <c r="H401" t="n">
        <v>0</v>
      </c>
      <c r="I401" t="n">
        <v>0</v>
      </c>
      <c r="J401" t="n">
        <v>0</v>
      </c>
      <c r="K401" t="n">
        <v>0</v>
      </c>
      <c r="L401" t="n">
        <v>0</v>
      </c>
      <c r="M401" t="n">
        <v>0</v>
      </c>
      <c r="N401" t="n">
        <v>0</v>
      </c>
      <c r="O401" t="n">
        <v>0</v>
      </c>
      <c r="P401" t="n">
        <v>0</v>
      </c>
      <c r="Q401" t="n">
        <v>0</v>
      </c>
      <c r="R401" s="2" t="inlineStr"/>
    </row>
    <row r="402" ht="15" customHeight="1">
      <c r="A402" t="inlineStr">
        <is>
          <t>A 2606-2025</t>
        </is>
      </c>
      <c r="B402" s="1" t="n">
        <v>45674</v>
      </c>
      <c r="C402" s="1" t="n">
        <v>45895</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3939-2022</t>
        </is>
      </c>
      <c r="B403" s="1" t="n">
        <v>44587</v>
      </c>
      <c r="C403" s="1" t="n">
        <v>45895</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56074-2022</t>
        </is>
      </c>
      <c r="B404" s="1" t="n">
        <v>44889</v>
      </c>
      <c r="C404" s="1" t="n">
        <v>45895</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c r="T404">
        <f>HYPERLINK("https://klasma.github.io/Logging_0483/kartor/A 56074-2022 karta.png", "A 56074-2022")</f>
        <v/>
      </c>
      <c r="V404">
        <f>HYPERLINK("https://klasma.github.io/Logging_0483/klagomål/A 56074-2022 FSC-klagomål.docx", "A 56074-2022")</f>
        <v/>
      </c>
      <c r="W404">
        <f>HYPERLINK("https://klasma.github.io/Logging_0483/klagomålsmail/A 56074-2022 FSC-klagomål mail.docx", "A 56074-2022")</f>
        <v/>
      </c>
      <c r="X404">
        <f>HYPERLINK("https://klasma.github.io/Logging_0483/tillsyn/A 56074-2022 tillsynsbegäran.docx", "A 56074-2022")</f>
        <v/>
      </c>
      <c r="Y404">
        <f>HYPERLINK("https://klasma.github.io/Logging_0483/tillsynsmail/A 56074-2022 tillsynsbegäran mail.docx", "A 56074-2022")</f>
        <v/>
      </c>
    </row>
    <row r="405" ht="15" customHeight="1">
      <c r="A405" t="inlineStr">
        <is>
          <t>A 39748-2022</t>
        </is>
      </c>
      <c r="B405" s="1" t="n">
        <v>44817</v>
      </c>
      <c r="C405" s="1" t="n">
        <v>45895</v>
      </c>
      <c r="D405" t="inlineStr">
        <is>
          <t>SÖDERMANLANDS LÄN</t>
        </is>
      </c>
      <c r="E405" t="inlineStr">
        <is>
          <t>KATRINEHOLM</t>
        </is>
      </c>
      <c r="G405" t="n">
        <v>10.2</v>
      </c>
      <c r="H405" t="n">
        <v>0</v>
      </c>
      <c r="I405" t="n">
        <v>0</v>
      </c>
      <c r="J405" t="n">
        <v>0</v>
      </c>
      <c r="K405" t="n">
        <v>0</v>
      </c>
      <c r="L405" t="n">
        <v>0</v>
      </c>
      <c r="M405" t="n">
        <v>0</v>
      </c>
      <c r="N405" t="n">
        <v>0</v>
      </c>
      <c r="O405" t="n">
        <v>0</v>
      </c>
      <c r="P405" t="n">
        <v>0</v>
      </c>
      <c r="Q405" t="n">
        <v>0</v>
      </c>
      <c r="R405" s="2" t="inlineStr"/>
    </row>
    <row r="406" ht="15" customHeight="1">
      <c r="A406" t="inlineStr">
        <is>
          <t>A 34731-2023</t>
        </is>
      </c>
      <c r="B406" s="1" t="n">
        <v>45141</v>
      </c>
      <c r="C406" s="1" t="n">
        <v>45895</v>
      </c>
      <c r="D406" t="inlineStr">
        <is>
          <t>SÖDERMANLANDS LÄN</t>
        </is>
      </c>
      <c r="E406" t="inlineStr">
        <is>
          <t>KATRINEHOLM</t>
        </is>
      </c>
      <c r="G406" t="n">
        <v>1.5</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45895</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20480-2022</t>
        </is>
      </c>
      <c r="B408" s="1" t="n">
        <v>44699</v>
      </c>
      <c r="C408" s="1" t="n">
        <v>45895</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61915-2021</t>
        </is>
      </c>
      <c r="B409" s="1" t="n">
        <v>44502.36780092592</v>
      </c>
      <c r="C409" s="1" t="n">
        <v>45895</v>
      </c>
      <c r="D409" t="inlineStr">
        <is>
          <t>SÖDERMANLANDS LÄN</t>
        </is>
      </c>
      <c r="E409" t="inlineStr">
        <is>
          <t>KATRINEHOLM</t>
        </is>
      </c>
      <c r="G409" t="n">
        <v>2.6</v>
      </c>
      <c r="H409" t="n">
        <v>0</v>
      </c>
      <c r="I409" t="n">
        <v>0</v>
      </c>
      <c r="J409" t="n">
        <v>0</v>
      </c>
      <c r="K409" t="n">
        <v>0</v>
      </c>
      <c r="L409" t="n">
        <v>0</v>
      </c>
      <c r="M409" t="n">
        <v>0</v>
      </c>
      <c r="N409" t="n">
        <v>0</v>
      </c>
      <c r="O409" t="n">
        <v>0</v>
      </c>
      <c r="P409" t="n">
        <v>0</v>
      </c>
      <c r="Q409" t="n">
        <v>0</v>
      </c>
      <c r="R409" s="2" t="inlineStr"/>
    </row>
    <row r="410" ht="15" customHeight="1">
      <c r="A410" t="inlineStr">
        <is>
          <t>A 50017-2023</t>
        </is>
      </c>
      <c r="B410" s="1" t="n">
        <v>45215</v>
      </c>
      <c r="C410" s="1" t="n">
        <v>45895</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50018-2023</t>
        </is>
      </c>
      <c r="B411" s="1" t="n">
        <v>45215</v>
      </c>
      <c r="C411" s="1" t="n">
        <v>45895</v>
      </c>
      <c r="D411" t="inlineStr">
        <is>
          <t>SÖDERMANLANDS LÄN</t>
        </is>
      </c>
      <c r="E411" t="inlineStr">
        <is>
          <t>KATRINEHOLM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24717-2025</t>
        </is>
      </c>
      <c r="B412" s="1" t="n">
        <v>45799.27168981481</v>
      </c>
      <c r="C412" s="1" t="n">
        <v>45895</v>
      </c>
      <c r="D412" t="inlineStr">
        <is>
          <t>SÖDERMANLANDS LÄN</t>
        </is>
      </c>
      <c r="E412" t="inlineStr">
        <is>
          <t>KATRINEHOLM</t>
        </is>
      </c>
      <c r="G412" t="n">
        <v>24.5</v>
      </c>
      <c r="H412" t="n">
        <v>0</v>
      </c>
      <c r="I412" t="n">
        <v>0</v>
      </c>
      <c r="J412" t="n">
        <v>0</v>
      </c>
      <c r="K412" t="n">
        <v>0</v>
      </c>
      <c r="L412" t="n">
        <v>0</v>
      </c>
      <c r="M412" t="n">
        <v>0</v>
      </c>
      <c r="N412" t="n">
        <v>0</v>
      </c>
      <c r="O412" t="n">
        <v>0</v>
      </c>
      <c r="P412" t="n">
        <v>0</v>
      </c>
      <c r="Q412" t="n">
        <v>0</v>
      </c>
      <c r="R412" s="2" t="inlineStr"/>
    </row>
    <row r="413" ht="15" customHeight="1">
      <c r="A413" t="inlineStr">
        <is>
          <t>A 28508-2023</t>
        </is>
      </c>
      <c r="B413" s="1" t="n">
        <v>45103.46788194445</v>
      </c>
      <c r="C413" s="1" t="n">
        <v>45895</v>
      </c>
      <c r="D413" t="inlineStr">
        <is>
          <t>SÖDERMANLANDS LÄN</t>
        </is>
      </c>
      <c r="E413" t="inlineStr">
        <is>
          <t>KATRINEHOLM</t>
        </is>
      </c>
      <c r="F413" t="inlineStr">
        <is>
          <t>Kyrkan</t>
        </is>
      </c>
      <c r="G413" t="n">
        <v>20.5</v>
      </c>
      <c r="H413" t="n">
        <v>0</v>
      </c>
      <c r="I413" t="n">
        <v>0</v>
      </c>
      <c r="J413" t="n">
        <v>0</v>
      </c>
      <c r="K413" t="n">
        <v>0</v>
      </c>
      <c r="L413" t="n">
        <v>0</v>
      </c>
      <c r="M413" t="n">
        <v>0</v>
      </c>
      <c r="N413" t="n">
        <v>0</v>
      </c>
      <c r="O413" t="n">
        <v>0</v>
      </c>
      <c r="P413" t="n">
        <v>0</v>
      </c>
      <c r="Q413" t="n">
        <v>0</v>
      </c>
      <c r="R413" s="2" t="inlineStr"/>
    </row>
    <row r="414" ht="15" customHeight="1">
      <c r="A414" t="inlineStr">
        <is>
          <t>A 53999-2023</t>
        </is>
      </c>
      <c r="B414" s="1" t="n">
        <v>45231</v>
      </c>
      <c r="C414" s="1" t="n">
        <v>45895</v>
      </c>
      <c r="D414" t="inlineStr">
        <is>
          <t>SÖDERMANLANDS LÄN</t>
        </is>
      </c>
      <c r="E414" t="inlineStr">
        <is>
          <t>KATRINEHOLM</t>
        </is>
      </c>
      <c r="G414" t="n">
        <v>5.4</v>
      </c>
      <c r="H414" t="n">
        <v>0</v>
      </c>
      <c r="I414" t="n">
        <v>0</v>
      </c>
      <c r="J414" t="n">
        <v>0</v>
      </c>
      <c r="K414" t="n">
        <v>0</v>
      </c>
      <c r="L414" t="n">
        <v>0</v>
      </c>
      <c r="M414" t="n">
        <v>0</v>
      </c>
      <c r="N414" t="n">
        <v>0</v>
      </c>
      <c r="O414" t="n">
        <v>0</v>
      </c>
      <c r="P414" t="n">
        <v>0</v>
      </c>
      <c r="Q414" t="n">
        <v>0</v>
      </c>
      <c r="R414" s="2" t="inlineStr"/>
    </row>
    <row r="415" ht="15" customHeight="1">
      <c r="A415" t="inlineStr">
        <is>
          <t>A 24719-2025</t>
        </is>
      </c>
      <c r="B415" s="1" t="n">
        <v>45799</v>
      </c>
      <c r="C415" s="1" t="n">
        <v>45895</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46075-2023</t>
        </is>
      </c>
      <c r="B416" s="1" t="n">
        <v>45196</v>
      </c>
      <c r="C416" s="1" t="n">
        <v>45895</v>
      </c>
      <c r="D416" t="inlineStr">
        <is>
          <t>SÖDERMANLANDS LÄN</t>
        </is>
      </c>
      <c r="E416" t="inlineStr">
        <is>
          <t>KATRINEHOLM</t>
        </is>
      </c>
      <c r="F416" t="inlineStr">
        <is>
          <t>Övriga Aktiebolag</t>
        </is>
      </c>
      <c r="G416" t="n">
        <v>9.5</v>
      </c>
      <c r="H416" t="n">
        <v>0</v>
      </c>
      <c r="I416" t="n">
        <v>0</v>
      </c>
      <c r="J416" t="n">
        <v>0</v>
      </c>
      <c r="K416" t="n">
        <v>0</v>
      </c>
      <c r="L416" t="n">
        <v>0</v>
      </c>
      <c r="M416" t="n">
        <v>0</v>
      </c>
      <c r="N416" t="n">
        <v>0</v>
      </c>
      <c r="O416" t="n">
        <v>0</v>
      </c>
      <c r="P416" t="n">
        <v>0</v>
      </c>
      <c r="Q416" t="n">
        <v>0</v>
      </c>
      <c r="R416" s="2" t="inlineStr"/>
    </row>
    <row r="417" ht="15" customHeight="1">
      <c r="A417" t="inlineStr">
        <is>
          <t>A 25823-2023</t>
        </is>
      </c>
      <c r="B417" s="1" t="n">
        <v>45090.55078703703</v>
      </c>
      <c r="C417" s="1" t="n">
        <v>45895</v>
      </c>
      <c r="D417" t="inlineStr">
        <is>
          <t>SÖDERMANLANDS LÄN</t>
        </is>
      </c>
      <c r="E417" t="inlineStr">
        <is>
          <t>KATRINEHOLM</t>
        </is>
      </c>
      <c r="F417" t="inlineStr">
        <is>
          <t>Kyrkan</t>
        </is>
      </c>
      <c r="G417" t="n">
        <v>10.2</v>
      </c>
      <c r="H417" t="n">
        <v>0</v>
      </c>
      <c r="I417" t="n">
        <v>0</v>
      </c>
      <c r="J417" t="n">
        <v>0</v>
      </c>
      <c r="K417" t="n">
        <v>0</v>
      </c>
      <c r="L417" t="n">
        <v>0</v>
      </c>
      <c r="M417" t="n">
        <v>0</v>
      </c>
      <c r="N417" t="n">
        <v>0</v>
      </c>
      <c r="O417" t="n">
        <v>0</v>
      </c>
      <c r="P417" t="n">
        <v>0</v>
      </c>
      <c r="Q417" t="n">
        <v>0</v>
      </c>
      <c r="R417" s="2" t="inlineStr"/>
    </row>
    <row r="418" ht="15" customHeight="1">
      <c r="A418" t="inlineStr">
        <is>
          <t>A 8917-2024</t>
        </is>
      </c>
      <c r="B418" s="1" t="n">
        <v>45357.37618055556</v>
      </c>
      <c r="C418" s="1" t="n">
        <v>45895</v>
      </c>
      <c r="D418" t="inlineStr">
        <is>
          <t>SÖDERMANLANDS LÄN</t>
        </is>
      </c>
      <c r="E418" t="inlineStr">
        <is>
          <t>KATRINEHOLM</t>
        </is>
      </c>
      <c r="G418" t="n">
        <v>3</v>
      </c>
      <c r="H418" t="n">
        <v>0</v>
      </c>
      <c r="I418" t="n">
        <v>0</v>
      </c>
      <c r="J418" t="n">
        <v>0</v>
      </c>
      <c r="K418" t="n">
        <v>0</v>
      </c>
      <c r="L418" t="n">
        <v>0</v>
      </c>
      <c r="M418" t="n">
        <v>0</v>
      </c>
      <c r="N418" t="n">
        <v>0</v>
      </c>
      <c r="O418" t="n">
        <v>0</v>
      </c>
      <c r="P418" t="n">
        <v>0</v>
      </c>
      <c r="Q418" t="n">
        <v>0</v>
      </c>
      <c r="R418" s="2" t="inlineStr"/>
    </row>
    <row r="419" ht="15" customHeight="1">
      <c r="A419" t="inlineStr">
        <is>
          <t>A 17360-2022</t>
        </is>
      </c>
      <c r="B419" s="1" t="n">
        <v>44678</v>
      </c>
      <c r="C419" s="1" t="n">
        <v>45895</v>
      </c>
      <c r="D419" t="inlineStr">
        <is>
          <t>SÖDERMANLANDS LÄN</t>
        </is>
      </c>
      <c r="E419" t="inlineStr">
        <is>
          <t>KATRINEHOLM</t>
        </is>
      </c>
      <c r="G419" t="n">
        <v>4.5</v>
      </c>
      <c r="H419" t="n">
        <v>0</v>
      </c>
      <c r="I419" t="n">
        <v>0</v>
      </c>
      <c r="J419" t="n">
        <v>0</v>
      </c>
      <c r="K419" t="n">
        <v>0</v>
      </c>
      <c r="L419" t="n">
        <v>0</v>
      </c>
      <c r="M419" t="n">
        <v>0</v>
      </c>
      <c r="N419" t="n">
        <v>0</v>
      </c>
      <c r="O419" t="n">
        <v>0</v>
      </c>
      <c r="P419" t="n">
        <v>0</v>
      </c>
      <c r="Q419" t="n">
        <v>0</v>
      </c>
      <c r="R419" s="2" t="inlineStr"/>
    </row>
    <row r="420" ht="15" customHeight="1">
      <c r="A420" t="inlineStr">
        <is>
          <t>A 4656-2023</t>
        </is>
      </c>
      <c r="B420" s="1" t="n">
        <v>44957</v>
      </c>
      <c r="C420" s="1" t="n">
        <v>45895</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25786-2025</t>
        </is>
      </c>
      <c r="B421" s="1" t="n">
        <v>45804.37456018518</v>
      </c>
      <c r="C421" s="1" t="n">
        <v>45895</v>
      </c>
      <c r="D421" t="inlineStr">
        <is>
          <t>SÖDERMANLANDS LÄN</t>
        </is>
      </c>
      <c r="E421" t="inlineStr">
        <is>
          <t>KATRINEHOLM</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26684-2025</t>
        </is>
      </c>
      <c r="B422" s="1" t="n">
        <v>45810</v>
      </c>
      <c r="C422" s="1" t="n">
        <v>45895</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59093-2024</t>
        </is>
      </c>
      <c r="B423" s="1" t="n">
        <v>45636</v>
      </c>
      <c r="C423" s="1" t="n">
        <v>45895</v>
      </c>
      <c r="D423" t="inlineStr">
        <is>
          <t>SÖDERMANLANDS LÄN</t>
        </is>
      </c>
      <c r="E423" t="inlineStr">
        <is>
          <t>KATRINEHOLM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26154-2025</t>
        </is>
      </c>
      <c r="B424" s="1" t="n">
        <v>45805.43341435185</v>
      </c>
      <c r="C424" s="1" t="n">
        <v>45895</v>
      </c>
      <c r="D424" t="inlineStr">
        <is>
          <t>SÖDERMANLANDS LÄN</t>
        </is>
      </c>
      <c r="E424" t="inlineStr">
        <is>
          <t>KATRINEHOLM</t>
        </is>
      </c>
      <c r="G424" t="n">
        <v>4.5</v>
      </c>
      <c r="H424" t="n">
        <v>0</v>
      </c>
      <c r="I424" t="n">
        <v>0</v>
      </c>
      <c r="J424" t="n">
        <v>0</v>
      </c>
      <c r="K424" t="n">
        <v>0</v>
      </c>
      <c r="L424" t="n">
        <v>0</v>
      </c>
      <c r="M424" t="n">
        <v>0</v>
      </c>
      <c r="N424" t="n">
        <v>0</v>
      </c>
      <c r="O424" t="n">
        <v>0</v>
      </c>
      <c r="P424" t="n">
        <v>0</v>
      </c>
      <c r="Q424" t="n">
        <v>0</v>
      </c>
      <c r="R424" s="2" t="inlineStr"/>
    </row>
    <row r="425" ht="15" customHeight="1">
      <c r="A425" t="inlineStr">
        <is>
          <t>A 26156-2025</t>
        </is>
      </c>
      <c r="B425" s="1" t="n">
        <v>45805.43864583333</v>
      </c>
      <c r="C425" s="1" t="n">
        <v>45895</v>
      </c>
      <c r="D425" t="inlineStr">
        <is>
          <t>SÖDERMANLANDS LÄN</t>
        </is>
      </c>
      <c r="E425" t="inlineStr">
        <is>
          <t>KATRINEHOLM</t>
        </is>
      </c>
      <c r="G425" t="n">
        <v>4.1</v>
      </c>
      <c r="H425" t="n">
        <v>0</v>
      </c>
      <c r="I425" t="n">
        <v>0</v>
      </c>
      <c r="J425" t="n">
        <v>0</v>
      </c>
      <c r="K425" t="n">
        <v>0</v>
      </c>
      <c r="L425" t="n">
        <v>0</v>
      </c>
      <c r="M425" t="n">
        <v>0</v>
      </c>
      <c r="N425" t="n">
        <v>0</v>
      </c>
      <c r="O425" t="n">
        <v>0</v>
      </c>
      <c r="P425" t="n">
        <v>0</v>
      </c>
      <c r="Q425" t="n">
        <v>0</v>
      </c>
      <c r="R425" s="2" t="inlineStr"/>
    </row>
    <row r="426" ht="15" customHeight="1">
      <c r="A426" t="inlineStr">
        <is>
          <t>A 38872-2024</t>
        </is>
      </c>
      <c r="B426" s="1" t="n">
        <v>45547</v>
      </c>
      <c r="C426" s="1" t="n">
        <v>45895</v>
      </c>
      <c r="D426" t="inlineStr">
        <is>
          <t>SÖDERMANLANDS LÄN</t>
        </is>
      </c>
      <c r="E426" t="inlineStr">
        <is>
          <t>KATRINEHOLM</t>
        </is>
      </c>
      <c r="G426" t="n">
        <v>5.7</v>
      </c>
      <c r="H426" t="n">
        <v>0</v>
      </c>
      <c r="I426" t="n">
        <v>0</v>
      </c>
      <c r="J426" t="n">
        <v>0</v>
      </c>
      <c r="K426" t="n">
        <v>0</v>
      </c>
      <c r="L426" t="n">
        <v>0</v>
      </c>
      <c r="M426" t="n">
        <v>0</v>
      </c>
      <c r="N426" t="n">
        <v>0</v>
      </c>
      <c r="O426" t="n">
        <v>0</v>
      </c>
      <c r="P426" t="n">
        <v>0</v>
      </c>
      <c r="Q426" t="n">
        <v>0</v>
      </c>
      <c r="R426" s="2" t="inlineStr"/>
    </row>
    <row r="427" ht="15" customHeight="1">
      <c r="A427" t="inlineStr">
        <is>
          <t>A 69600-2020</t>
        </is>
      </c>
      <c r="B427" s="1" t="n">
        <v>44195</v>
      </c>
      <c r="C427" s="1" t="n">
        <v>45895</v>
      </c>
      <c r="D427" t="inlineStr">
        <is>
          <t>SÖDERMANLANDS LÄN</t>
        </is>
      </c>
      <c r="E427" t="inlineStr">
        <is>
          <t>KATRINEHOLM</t>
        </is>
      </c>
      <c r="G427" t="n">
        <v>11.3</v>
      </c>
      <c r="H427" t="n">
        <v>0</v>
      </c>
      <c r="I427" t="n">
        <v>0</v>
      </c>
      <c r="J427" t="n">
        <v>0</v>
      </c>
      <c r="K427" t="n">
        <v>0</v>
      </c>
      <c r="L427" t="n">
        <v>0</v>
      </c>
      <c r="M427" t="n">
        <v>0</v>
      </c>
      <c r="N427" t="n">
        <v>0</v>
      </c>
      <c r="O427" t="n">
        <v>0</v>
      </c>
      <c r="P427" t="n">
        <v>0</v>
      </c>
      <c r="Q427" t="n">
        <v>0</v>
      </c>
      <c r="R427" s="2" t="inlineStr"/>
    </row>
    <row r="428" ht="15" customHeight="1">
      <c r="A428" t="inlineStr">
        <is>
          <t>A 22295-2024</t>
        </is>
      </c>
      <c r="B428" s="1" t="n">
        <v>45446.56141203704</v>
      </c>
      <c r="C428" s="1" t="n">
        <v>45895</v>
      </c>
      <c r="D428" t="inlineStr">
        <is>
          <t>SÖDERMANLANDS LÄN</t>
        </is>
      </c>
      <c r="E428" t="inlineStr">
        <is>
          <t>KATRINEHOLM</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46700-2023</t>
        </is>
      </c>
      <c r="B429" s="1" t="n">
        <v>45194</v>
      </c>
      <c r="C429" s="1" t="n">
        <v>45895</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55590-2023</t>
        </is>
      </c>
      <c r="B430" s="1" t="n">
        <v>45238</v>
      </c>
      <c r="C430" s="1" t="n">
        <v>45895</v>
      </c>
      <c r="D430" t="inlineStr">
        <is>
          <t>SÖDERMANLANDS LÄN</t>
        </is>
      </c>
      <c r="E430" t="inlineStr">
        <is>
          <t>KATRINEHOLM</t>
        </is>
      </c>
      <c r="G430" t="n">
        <v>4.5</v>
      </c>
      <c r="H430" t="n">
        <v>0</v>
      </c>
      <c r="I430" t="n">
        <v>0</v>
      </c>
      <c r="J430" t="n">
        <v>0</v>
      </c>
      <c r="K430" t="n">
        <v>0</v>
      </c>
      <c r="L430" t="n">
        <v>0</v>
      </c>
      <c r="M430" t="n">
        <v>0</v>
      </c>
      <c r="N430" t="n">
        <v>0</v>
      </c>
      <c r="O430" t="n">
        <v>0</v>
      </c>
      <c r="P430" t="n">
        <v>0</v>
      </c>
      <c r="Q430" t="n">
        <v>0</v>
      </c>
      <c r="R430" s="2" t="inlineStr"/>
    </row>
    <row r="431" ht="15" customHeight="1">
      <c r="A431" t="inlineStr">
        <is>
          <t>A 9932-2023</t>
        </is>
      </c>
      <c r="B431" s="1" t="n">
        <v>44985.46709490741</v>
      </c>
      <c r="C431" s="1" t="n">
        <v>45895</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61674-2020</t>
        </is>
      </c>
      <c r="B432" s="1" t="n">
        <v>44158</v>
      </c>
      <c r="C432" s="1" t="n">
        <v>45895</v>
      </c>
      <c r="D432" t="inlineStr">
        <is>
          <t>SÖDERMANLANDS LÄN</t>
        </is>
      </c>
      <c r="E432" t="inlineStr">
        <is>
          <t>KATRINEHOLM</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9192-2023</t>
        </is>
      </c>
      <c r="B433" s="1" t="n">
        <v>44980</v>
      </c>
      <c r="C433" s="1" t="n">
        <v>45895</v>
      </c>
      <c r="D433" t="inlineStr">
        <is>
          <t>SÖDERMANLANDS LÄN</t>
        </is>
      </c>
      <c r="E433" t="inlineStr">
        <is>
          <t>KATRINEHOLM</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15399-2022</t>
        </is>
      </c>
      <c r="B434" s="1" t="n">
        <v>44659</v>
      </c>
      <c r="C434" s="1" t="n">
        <v>45895</v>
      </c>
      <c r="D434" t="inlineStr">
        <is>
          <t>SÖDERMANLANDS LÄN</t>
        </is>
      </c>
      <c r="E434" t="inlineStr">
        <is>
          <t>KATRINEHOLM</t>
        </is>
      </c>
      <c r="G434" t="n">
        <v>5.6</v>
      </c>
      <c r="H434" t="n">
        <v>0</v>
      </c>
      <c r="I434" t="n">
        <v>0</v>
      </c>
      <c r="J434" t="n">
        <v>0</v>
      </c>
      <c r="K434" t="n">
        <v>0</v>
      </c>
      <c r="L434" t="n">
        <v>0</v>
      </c>
      <c r="M434" t="n">
        <v>0</v>
      </c>
      <c r="N434" t="n">
        <v>0</v>
      </c>
      <c r="O434" t="n">
        <v>0</v>
      </c>
      <c r="P434" t="n">
        <v>0</v>
      </c>
      <c r="Q434" t="n">
        <v>0</v>
      </c>
      <c r="R434" s="2" t="inlineStr"/>
    </row>
    <row r="435" ht="15" customHeight="1">
      <c r="A435" t="inlineStr">
        <is>
          <t>A 11872-2023</t>
        </is>
      </c>
      <c r="B435" s="1" t="n">
        <v>44995</v>
      </c>
      <c r="C435" s="1" t="n">
        <v>45895</v>
      </c>
      <c r="D435" t="inlineStr">
        <is>
          <t>SÖDERMANLANDS LÄN</t>
        </is>
      </c>
      <c r="E435" t="inlineStr">
        <is>
          <t>KATRINEHOLM</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15898-2022</t>
        </is>
      </c>
      <c r="B436" s="1" t="n">
        <v>44664.55688657407</v>
      </c>
      <c r="C436" s="1" t="n">
        <v>45895</v>
      </c>
      <c r="D436" t="inlineStr">
        <is>
          <t>SÖDERMANLANDS LÄN</t>
        </is>
      </c>
      <c r="E436" t="inlineStr">
        <is>
          <t>KATRINEHOLM</t>
        </is>
      </c>
      <c r="G436" t="n">
        <v>6.5</v>
      </c>
      <c r="H436" t="n">
        <v>0</v>
      </c>
      <c r="I436" t="n">
        <v>0</v>
      </c>
      <c r="J436" t="n">
        <v>0</v>
      </c>
      <c r="K436" t="n">
        <v>0</v>
      </c>
      <c r="L436" t="n">
        <v>0</v>
      </c>
      <c r="M436" t="n">
        <v>0</v>
      </c>
      <c r="N436" t="n">
        <v>0</v>
      </c>
      <c r="O436" t="n">
        <v>0</v>
      </c>
      <c r="P436" t="n">
        <v>0</v>
      </c>
      <c r="Q436" t="n">
        <v>0</v>
      </c>
      <c r="R436" s="2" t="inlineStr"/>
    </row>
    <row r="437" ht="15" customHeight="1">
      <c r="A437" t="inlineStr">
        <is>
          <t>A 15910-2022</t>
        </is>
      </c>
      <c r="B437" s="1" t="n">
        <v>44664</v>
      </c>
      <c r="C437" s="1" t="n">
        <v>45895</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32818-2023</t>
        </is>
      </c>
      <c r="B438" s="1" t="n">
        <v>45124.55633101852</v>
      </c>
      <c r="C438" s="1" t="n">
        <v>45895</v>
      </c>
      <c r="D438" t="inlineStr">
        <is>
          <t>SÖDERMANLANDS LÄN</t>
        </is>
      </c>
      <c r="E438" t="inlineStr">
        <is>
          <t>KATRINEHOLM</t>
        </is>
      </c>
      <c r="G438" t="n">
        <v>3.4</v>
      </c>
      <c r="H438" t="n">
        <v>0</v>
      </c>
      <c r="I438" t="n">
        <v>0</v>
      </c>
      <c r="J438" t="n">
        <v>0</v>
      </c>
      <c r="K438" t="n">
        <v>0</v>
      </c>
      <c r="L438" t="n">
        <v>0</v>
      </c>
      <c r="M438" t="n">
        <v>0</v>
      </c>
      <c r="N438" t="n">
        <v>0</v>
      </c>
      <c r="O438" t="n">
        <v>0</v>
      </c>
      <c r="P438" t="n">
        <v>0</v>
      </c>
      <c r="Q438" t="n">
        <v>0</v>
      </c>
      <c r="R438" s="2" t="inlineStr"/>
    </row>
    <row r="439" ht="15" customHeight="1">
      <c r="A439" t="inlineStr">
        <is>
          <t>A 49092-2024</t>
        </is>
      </c>
      <c r="B439" s="1" t="n">
        <v>45594.63619212963</v>
      </c>
      <c r="C439" s="1" t="n">
        <v>45895</v>
      </c>
      <c r="D439" t="inlineStr">
        <is>
          <t>SÖDERMANLANDS LÄN</t>
        </is>
      </c>
      <c r="E439" t="inlineStr">
        <is>
          <t>KATRINEHOLM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49095-2024</t>
        </is>
      </c>
      <c r="B440" s="1" t="n">
        <v>45594.63828703704</v>
      </c>
      <c r="C440" s="1" t="n">
        <v>45895</v>
      </c>
      <c r="D440" t="inlineStr">
        <is>
          <t>SÖDERMANLANDS LÄN</t>
        </is>
      </c>
      <c r="E440" t="inlineStr">
        <is>
          <t>KATRINEHOLM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20214-2025</t>
        </is>
      </c>
      <c r="B441" s="1" t="n">
        <v>45772.63540509259</v>
      </c>
      <c r="C441" s="1" t="n">
        <v>45895</v>
      </c>
      <c r="D441" t="inlineStr">
        <is>
          <t>SÖDERMANLANDS LÄN</t>
        </is>
      </c>
      <c r="E441" t="inlineStr">
        <is>
          <t>KATRINEHOLM</t>
        </is>
      </c>
      <c r="G441" t="n">
        <v>1.8</v>
      </c>
      <c r="H441" t="n">
        <v>0</v>
      </c>
      <c r="I441" t="n">
        <v>0</v>
      </c>
      <c r="J441" t="n">
        <v>0</v>
      </c>
      <c r="K441" t="n">
        <v>0</v>
      </c>
      <c r="L441" t="n">
        <v>0</v>
      </c>
      <c r="M441" t="n">
        <v>0</v>
      </c>
      <c r="N441" t="n">
        <v>0</v>
      </c>
      <c r="O441" t="n">
        <v>0</v>
      </c>
      <c r="P441" t="n">
        <v>0</v>
      </c>
      <c r="Q441" t="n">
        <v>0</v>
      </c>
      <c r="R441" s="2" t="inlineStr"/>
    </row>
    <row r="442" ht="15" customHeight="1">
      <c r="A442" t="inlineStr">
        <is>
          <t>A 7254-2021</t>
        </is>
      </c>
      <c r="B442" s="1" t="n">
        <v>44238</v>
      </c>
      <c r="C442" s="1" t="n">
        <v>45895</v>
      </c>
      <c r="D442" t="inlineStr">
        <is>
          <t>SÖDERMANLANDS LÄN</t>
        </is>
      </c>
      <c r="E442" t="inlineStr">
        <is>
          <t>KATRINEHOLM</t>
        </is>
      </c>
      <c r="G442" t="n">
        <v>3.6</v>
      </c>
      <c r="H442" t="n">
        <v>0</v>
      </c>
      <c r="I442" t="n">
        <v>0</v>
      </c>
      <c r="J442" t="n">
        <v>0</v>
      </c>
      <c r="K442" t="n">
        <v>0</v>
      </c>
      <c r="L442" t="n">
        <v>0</v>
      </c>
      <c r="M442" t="n">
        <v>0</v>
      </c>
      <c r="N442" t="n">
        <v>0</v>
      </c>
      <c r="O442" t="n">
        <v>0</v>
      </c>
      <c r="P442" t="n">
        <v>0</v>
      </c>
      <c r="Q442" t="n">
        <v>0</v>
      </c>
      <c r="R442" s="2" t="inlineStr"/>
    </row>
    <row r="443" ht="15" customHeight="1">
      <c r="A443" t="inlineStr">
        <is>
          <t>A 22272-2022</t>
        </is>
      </c>
      <c r="B443" s="1" t="n">
        <v>44712</v>
      </c>
      <c r="C443" s="1" t="n">
        <v>45895</v>
      </c>
      <c r="D443" t="inlineStr">
        <is>
          <t>SÖDERMANLANDS LÄN</t>
        </is>
      </c>
      <c r="E443" t="inlineStr">
        <is>
          <t>KATRINEHOLM</t>
        </is>
      </c>
      <c r="G443" t="n">
        <v>0.7</v>
      </c>
      <c r="H443" t="n">
        <v>0</v>
      </c>
      <c r="I443" t="n">
        <v>0</v>
      </c>
      <c r="J443" t="n">
        <v>0</v>
      </c>
      <c r="K443" t="n">
        <v>0</v>
      </c>
      <c r="L443" t="n">
        <v>0</v>
      </c>
      <c r="M443" t="n">
        <v>0</v>
      </c>
      <c r="N443" t="n">
        <v>0</v>
      </c>
      <c r="O443" t="n">
        <v>0</v>
      </c>
      <c r="P443" t="n">
        <v>0</v>
      </c>
      <c r="Q443" t="n">
        <v>0</v>
      </c>
      <c r="R443" s="2" t="inlineStr"/>
    </row>
    <row r="444" ht="15" customHeight="1">
      <c r="A444" t="inlineStr">
        <is>
          <t>A 65077-2020</t>
        </is>
      </c>
      <c r="B444" s="1" t="n">
        <v>44172</v>
      </c>
      <c r="C444" s="1" t="n">
        <v>45895</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27334-2023</t>
        </is>
      </c>
      <c r="B445" s="1" t="n">
        <v>45096</v>
      </c>
      <c r="C445" s="1" t="n">
        <v>45895</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36-2023</t>
        </is>
      </c>
      <c r="B446" s="1" t="n">
        <v>44928.36578703704</v>
      </c>
      <c r="C446" s="1" t="n">
        <v>45895</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10341-2022</t>
        </is>
      </c>
      <c r="B447" s="1" t="n">
        <v>44623</v>
      </c>
      <c r="C447" s="1" t="n">
        <v>45895</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12835-2024</t>
        </is>
      </c>
      <c r="B448" s="1" t="n">
        <v>45384</v>
      </c>
      <c r="C448" s="1" t="n">
        <v>45895</v>
      </c>
      <c r="D448" t="inlineStr">
        <is>
          <t>SÖDERMANLANDS LÄN</t>
        </is>
      </c>
      <c r="E448" t="inlineStr">
        <is>
          <t>KATRINEHOLM</t>
        </is>
      </c>
      <c r="F448" t="inlineStr">
        <is>
          <t>Allmännings- och besparingsskogar</t>
        </is>
      </c>
      <c r="G448" t="n">
        <v>0.5</v>
      </c>
      <c r="H448" t="n">
        <v>0</v>
      </c>
      <c r="I448" t="n">
        <v>0</v>
      </c>
      <c r="J448" t="n">
        <v>0</v>
      </c>
      <c r="K448" t="n">
        <v>0</v>
      </c>
      <c r="L448" t="n">
        <v>0</v>
      </c>
      <c r="M448" t="n">
        <v>0</v>
      </c>
      <c r="N448" t="n">
        <v>0</v>
      </c>
      <c r="O448" t="n">
        <v>0</v>
      </c>
      <c r="P448" t="n">
        <v>0</v>
      </c>
      <c r="Q448" t="n">
        <v>0</v>
      </c>
      <c r="R448" s="2" t="inlineStr"/>
    </row>
    <row r="449" ht="15" customHeight="1">
      <c r="A449" t="inlineStr">
        <is>
          <t>A 25716-2022</t>
        </is>
      </c>
      <c r="B449" s="1" t="n">
        <v>44733.39600694444</v>
      </c>
      <c r="C449" s="1" t="n">
        <v>45895</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6807-2023</t>
        </is>
      </c>
      <c r="B450" s="1" t="n">
        <v>44964</v>
      </c>
      <c r="C450" s="1" t="n">
        <v>45895</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9668-2023</t>
        </is>
      </c>
      <c r="B451" s="1" t="n">
        <v>44984.41238425926</v>
      </c>
      <c r="C451" s="1" t="n">
        <v>45895</v>
      </c>
      <c r="D451" t="inlineStr">
        <is>
          <t>SÖDERMANLANDS LÄN</t>
        </is>
      </c>
      <c r="E451" t="inlineStr">
        <is>
          <t>KATRINEHOLM</t>
        </is>
      </c>
      <c r="G451" t="n">
        <v>4.8</v>
      </c>
      <c r="H451" t="n">
        <v>0</v>
      </c>
      <c r="I451" t="n">
        <v>0</v>
      </c>
      <c r="J451" t="n">
        <v>0</v>
      </c>
      <c r="K451" t="n">
        <v>0</v>
      </c>
      <c r="L451" t="n">
        <v>0</v>
      </c>
      <c r="M451" t="n">
        <v>0</v>
      </c>
      <c r="N451" t="n">
        <v>0</v>
      </c>
      <c r="O451" t="n">
        <v>0</v>
      </c>
      <c r="P451" t="n">
        <v>0</v>
      </c>
      <c r="Q451" t="n">
        <v>0</v>
      </c>
      <c r="R451" s="2" t="inlineStr"/>
    </row>
    <row r="452" ht="15" customHeight="1">
      <c r="A452" t="inlineStr">
        <is>
          <t>A 40186-2023</t>
        </is>
      </c>
      <c r="B452" s="1" t="n">
        <v>45169</v>
      </c>
      <c r="C452" s="1" t="n">
        <v>45895</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47886-2023</t>
        </is>
      </c>
      <c r="B453" s="1" t="n">
        <v>45204</v>
      </c>
      <c r="C453" s="1" t="n">
        <v>45895</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9044-2022</t>
        </is>
      </c>
      <c r="B454" s="1" t="n">
        <v>44602</v>
      </c>
      <c r="C454" s="1" t="n">
        <v>45895</v>
      </c>
      <c r="D454" t="inlineStr">
        <is>
          <t>SÖDERMANLANDS LÄN</t>
        </is>
      </c>
      <c r="E454" t="inlineStr">
        <is>
          <t>KATRINEHOLM</t>
        </is>
      </c>
      <c r="G454" t="n">
        <v>5.8</v>
      </c>
      <c r="H454" t="n">
        <v>0</v>
      </c>
      <c r="I454" t="n">
        <v>0</v>
      </c>
      <c r="J454" t="n">
        <v>0</v>
      </c>
      <c r="K454" t="n">
        <v>0</v>
      </c>
      <c r="L454" t="n">
        <v>0</v>
      </c>
      <c r="M454" t="n">
        <v>0</v>
      </c>
      <c r="N454" t="n">
        <v>0</v>
      </c>
      <c r="O454" t="n">
        <v>0</v>
      </c>
      <c r="P454" t="n">
        <v>0</v>
      </c>
      <c r="Q454" t="n">
        <v>0</v>
      </c>
      <c r="R454" s="2" t="inlineStr"/>
    </row>
    <row r="455" ht="15" customHeight="1">
      <c r="A455" t="inlineStr">
        <is>
          <t>A 36562-2023</t>
        </is>
      </c>
      <c r="B455" s="1" t="n">
        <v>45153</v>
      </c>
      <c r="C455" s="1" t="n">
        <v>45895</v>
      </c>
      <c r="D455" t="inlineStr">
        <is>
          <t>SÖDERMANLANDS LÄN</t>
        </is>
      </c>
      <c r="E455" t="inlineStr">
        <is>
          <t>KATRINEHOLM</t>
        </is>
      </c>
      <c r="G455" t="n">
        <v>5.8</v>
      </c>
      <c r="H455" t="n">
        <v>0</v>
      </c>
      <c r="I455" t="n">
        <v>0</v>
      </c>
      <c r="J455" t="n">
        <v>0</v>
      </c>
      <c r="K455" t="n">
        <v>0</v>
      </c>
      <c r="L455" t="n">
        <v>0</v>
      </c>
      <c r="M455" t="n">
        <v>0</v>
      </c>
      <c r="N455" t="n">
        <v>0</v>
      </c>
      <c r="O455" t="n">
        <v>0</v>
      </c>
      <c r="P455" t="n">
        <v>0</v>
      </c>
      <c r="Q455" t="n">
        <v>0</v>
      </c>
      <c r="R455" s="2" t="inlineStr"/>
    </row>
    <row r="456" ht="15" customHeight="1">
      <c r="A456" t="inlineStr">
        <is>
          <t>A 34539-2022</t>
        </is>
      </c>
      <c r="B456" s="1" t="n">
        <v>44793.50563657407</v>
      </c>
      <c r="C456" s="1" t="n">
        <v>45895</v>
      </c>
      <c r="D456" t="inlineStr">
        <is>
          <t>SÖDERMANLANDS LÄN</t>
        </is>
      </c>
      <c r="E456" t="inlineStr">
        <is>
          <t>KATRINEHOLM</t>
        </is>
      </c>
      <c r="G456" t="n">
        <v>1</v>
      </c>
      <c r="H456" t="n">
        <v>0</v>
      </c>
      <c r="I456" t="n">
        <v>0</v>
      </c>
      <c r="J456" t="n">
        <v>0</v>
      </c>
      <c r="K456" t="n">
        <v>0</v>
      </c>
      <c r="L456" t="n">
        <v>0</v>
      </c>
      <c r="M456" t="n">
        <v>0</v>
      </c>
      <c r="N456" t="n">
        <v>0</v>
      </c>
      <c r="O456" t="n">
        <v>0</v>
      </c>
      <c r="P456" t="n">
        <v>0</v>
      </c>
      <c r="Q456" t="n">
        <v>0</v>
      </c>
      <c r="R456" s="2" t="inlineStr"/>
    </row>
    <row r="457" ht="15" customHeight="1">
      <c r="A457" t="inlineStr">
        <is>
          <t>A 41205-2021</t>
        </is>
      </c>
      <c r="B457" s="1" t="n">
        <v>44424.38577546296</v>
      </c>
      <c r="C457" s="1" t="n">
        <v>45895</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24748-2024</t>
        </is>
      </c>
      <c r="B458" s="1" t="n">
        <v>45460.66567129629</v>
      </c>
      <c r="C458" s="1" t="n">
        <v>45895</v>
      </c>
      <c r="D458" t="inlineStr">
        <is>
          <t>SÖDERMANLANDS LÄN</t>
        </is>
      </c>
      <c r="E458" t="inlineStr">
        <is>
          <t>KATRINEHOLM</t>
        </is>
      </c>
      <c r="G458" t="n">
        <v>3.3</v>
      </c>
      <c r="H458" t="n">
        <v>0</v>
      </c>
      <c r="I458" t="n">
        <v>0</v>
      </c>
      <c r="J458" t="n">
        <v>0</v>
      </c>
      <c r="K458" t="n">
        <v>0</v>
      </c>
      <c r="L458" t="n">
        <v>0</v>
      </c>
      <c r="M458" t="n">
        <v>0</v>
      </c>
      <c r="N458" t="n">
        <v>0</v>
      </c>
      <c r="O458" t="n">
        <v>0</v>
      </c>
      <c r="P458" t="n">
        <v>0</v>
      </c>
      <c r="Q458" t="n">
        <v>0</v>
      </c>
      <c r="R458" s="2" t="inlineStr"/>
    </row>
    <row r="459" ht="15" customHeight="1">
      <c r="A459" t="inlineStr">
        <is>
          <t>A 48091-2024</t>
        </is>
      </c>
      <c r="B459" s="1" t="n">
        <v>45590</v>
      </c>
      <c r="C459" s="1" t="n">
        <v>45895</v>
      </c>
      <c r="D459" t="inlineStr">
        <is>
          <t>SÖDERMANLANDS LÄN</t>
        </is>
      </c>
      <c r="E459" t="inlineStr">
        <is>
          <t>KATRINEHOLM</t>
        </is>
      </c>
      <c r="G459" t="n">
        <v>3.1</v>
      </c>
      <c r="H459" t="n">
        <v>0</v>
      </c>
      <c r="I459" t="n">
        <v>0</v>
      </c>
      <c r="J459" t="n">
        <v>0</v>
      </c>
      <c r="K459" t="n">
        <v>0</v>
      </c>
      <c r="L459" t="n">
        <v>0</v>
      </c>
      <c r="M459" t="n">
        <v>0</v>
      </c>
      <c r="N459" t="n">
        <v>0</v>
      </c>
      <c r="O459" t="n">
        <v>0</v>
      </c>
      <c r="P459" t="n">
        <v>0</v>
      </c>
      <c r="Q459" t="n">
        <v>0</v>
      </c>
      <c r="R459" s="2" t="inlineStr"/>
    </row>
    <row r="460" ht="15" customHeight="1">
      <c r="A460" t="inlineStr">
        <is>
          <t>A 24097-2022</t>
        </is>
      </c>
      <c r="B460" s="1" t="n">
        <v>44725.39371527778</v>
      </c>
      <c r="C460" s="1" t="n">
        <v>45895</v>
      </c>
      <c r="D460" t="inlineStr">
        <is>
          <t>SÖDERMANLANDS LÄN</t>
        </is>
      </c>
      <c r="E460" t="inlineStr">
        <is>
          <t>KATRINEHOLM</t>
        </is>
      </c>
      <c r="G460" t="n">
        <v>6.5</v>
      </c>
      <c r="H460" t="n">
        <v>0</v>
      </c>
      <c r="I460" t="n">
        <v>0</v>
      </c>
      <c r="J460" t="n">
        <v>0</v>
      </c>
      <c r="K460" t="n">
        <v>0</v>
      </c>
      <c r="L460" t="n">
        <v>0</v>
      </c>
      <c r="M460" t="n">
        <v>0</v>
      </c>
      <c r="N460" t="n">
        <v>0</v>
      </c>
      <c r="O460" t="n">
        <v>0</v>
      </c>
      <c r="P460" t="n">
        <v>0</v>
      </c>
      <c r="Q460" t="n">
        <v>0</v>
      </c>
      <c r="R460" s="2" t="inlineStr"/>
    </row>
    <row r="461" ht="15" customHeight="1">
      <c r="A461" t="inlineStr">
        <is>
          <t>A 2298-2021</t>
        </is>
      </c>
      <c r="B461" s="1" t="n">
        <v>44212</v>
      </c>
      <c r="C461" s="1" t="n">
        <v>45895</v>
      </c>
      <c r="D461" t="inlineStr">
        <is>
          <t>SÖDERMANLANDS LÄN</t>
        </is>
      </c>
      <c r="E461" t="inlineStr">
        <is>
          <t>KATRINEHOLM</t>
        </is>
      </c>
      <c r="G461" t="n">
        <v>3.4</v>
      </c>
      <c r="H461" t="n">
        <v>0</v>
      </c>
      <c r="I461" t="n">
        <v>0</v>
      </c>
      <c r="J461" t="n">
        <v>0</v>
      </c>
      <c r="K461" t="n">
        <v>0</v>
      </c>
      <c r="L461" t="n">
        <v>0</v>
      </c>
      <c r="M461" t="n">
        <v>0</v>
      </c>
      <c r="N461" t="n">
        <v>0</v>
      </c>
      <c r="O461" t="n">
        <v>0</v>
      </c>
      <c r="P461" t="n">
        <v>0</v>
      </c>
      <c r="Q461" t="n">
        <v>0</v>
      </c>
      <c r="R461" s="2" t="inlineStr"/>
    </row>
    <row r="462" ht="15" customHeight="1">
      <c r="A462" t="inlineStr">
        <is>
          <t>A 46670-2021</t>
        </is>
      </c>
      <c r="B462" s="1" t="n">
        <v>44445</v>
      </c>
      <c r="C462" s="1" t="n">
        <v>45895</v>
      </c>
      <c r="D462" t="inlineStr">
        <is>
          <t>SÖDERMANLANDS LÄN</t>
        </is>
      </c>
      <c r="E462" t="inlineStr">
        <is>
          <t>KATRINEHOLM</t>
        </is>
      </c>
      <c r="G462" t="n">
        <v>4.4</v>
      </c>
      <c r="H462" t="n">
        <v>0</v>
      </c>
      <c r="I462" t="n">
        <v>0</v>
      </c>
      <c r="J462" t="n">
        <v>0</v>
      </c>
      <c r="K462" t="n">
        <v>0</v>
      </c>
      <c r="L462" t="n">
        <v>0</v>
      </c>
      <c r="M462" t="n">
        <v>0</v>
      </c>
      <c r="N462" t="n">
        <v>0</v>
      </c>
      <c r="O462" t="n">
        <v>0</v>
      </c>
      <c r="P462" t="n">
        <v>0</v>
      </c>
      <c r="Q462" t="n">
        <v>0</v>
      </c>
      <c r="R462" s="2" t="inlineStr"/>
    </row>
    <row r="463" ht="15" customHeight="1">
      <c r="A463" t="inlineStr">
        <is>
          <t>A 40402-2022</t>
        </is>
      </c>
      <c r="B463" s="1" t="n">
        <v>44823.44353009259</v>
      </c>
      <c r="C463" s="1" t="n">
        <v>45895</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17792-2025</t>
        </is>
      </c>
      <c r="B464" s="1" t="n">
        <v>45758</v>
      </c>
      <c r="C464" s="1" t="n">
        <v>45895</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17820-2025</t>
        </is>
      </c>
      <c r="B465" s="1" t="n">
        <v>45758</v>
      </c>
      <c r="C465" s="1" t="n">
        <v>45895</v>
      </c>
      <c r="D465" t="inlineStr">
        <is>
          <t>SÖDERMANLANDS LÄN</t>
        </is>
      </c>
      <c r="E465" t="inlineStr">
        <is>
          <t>KATRINEHOLM</t>
        </is>
      </c>
      <c r="G465" t="n">
        <v>5.9</v>
      </c>
      <c r="H465" t="n">
        <v>0</v>
      </c>
      <c r="I465" t="n">
        <v>0</v>
      </c>
      <c r="J465" t="n">
        <v>0</v>
      </c>
      <c r="K465" t="n">
        <v>0</v>
      </c>
      <c r="L465" t="n">
        <v>0</v>
      </c>
      <c r="M465" t="n">
        <v>0</v>
      </c>
      <c r="N465" t="n">
        <v>0</v>
      </c>
      <c r="O465" t="n">
        <v>0</v>
      </c>
      <c r="P465" t="n">
        <v>0</v>
      </c>
      <c r="Q465" t="n">
        <v>0</v>
      </c>
      <c r="R465" s="2" t="inlineStr"/>
    </row>
    <row r="466" ht="15" customHeight="1">
      <c r="A466" t="inlineStr">
        <is>
          <t>A 62954-2023</t>
        </is>
      </c>
      <c r="B466" s="1" t="n">
        <v>45272.55362268518</v>
      </c>
      <c r="C466" s="1" t="n">
        <v>45895</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27534-2025</t>
        </is>
      </c>
      <c r="B467" s="1" t="n">
        <v>45813</v>
      </c>
      <c r="C467" s="1" t="n">
        <v>45895</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30387-2022</t>
        </is>
      </c>
      <c r="B468" s="1" t="n">
        <v>44760</v>
      </c>
      <c r="C468" s="1" t="n">
        <v>45895</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20212-2025</t>
        </is>
      </c>
      <c r="B469" s="1" t="n">
        <v>45772.63049768518</v>
      </c>
      <c r="C469" s="1" t="n">
        <v>45895</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58651-2023</t>
        </is>
      </c>
      <c r="B470" s="1" t="n">
        <v>45247</v>
      </c>
      <c r="C470" s="1" t="n">
        <v>45895</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12238-2021</t>
        </is>
      </c>
      <c r="B471" s="1" t="n">
        <v>44266</v>
      </c>
      <c r="C471" s="1" t="n">
        <v>45895</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11543-2025</t>
        </is>
      </c>
      <c r="B472" s="1" t="n">
        <v>45727.34248842593</v>
      </c>
      <c r="C472" s="1" t="n">
        <v>45895</v>
      </c>
      <c r="D472" t="inlineStr">
        <is>
          <t>SÖDERMANLANDS LÄN</t>
        </is>
      </c>
      <c r="E472" t="inlineStr">
        <is>
          <t>KATRINEHOLM</t>
        </is>
      </c>
      <c r="G472" t="n">
        <v>3.6</v>
      </c>
      <c r="H472" t="n">
        <v>0</v>
      </c>
      <c r="I472" t="n">
        <v>0</v>
      </c>
      <c r="J472" t="n">
        <v>0</v>
      </c>
      <c r="K472" t="n">
        <v>0</v>
      </c>
      <c r="L472" t="n">
        <v>0</v>
      </c>
      <c r="M472" t="n">
        <v>0</v>
      </c>
      <c r="N472" t="n">
        <v>0</v>
      </c>
      <c r="O472" t="n">
        <v>0</v>
      </c>
      <c r="P472" t="n">
        <v>0</v>
      </c>
      <c r="Q472" t="n">
        <v>0</v>
      </c>
      <c r="R472" s="2" t="inlineStr"/>
    </row>
    <row r="473" ht="15" customHeight="1">
      <c r="A473" t="inlineStr">
        <is>
          <t>A 27552-2025</t>
        </is>
      </c>
      <c r="B473" s="1" t="n">
        <v>45813</v>
      </c>
      <c r="C473" s="1" t="n">
        <v>45895</v>
      </c>
      <c r="D473" t="inlineStr">
        <is>
          <t>SÖDERMANLANDS LÄN</t>
        </is>
      </c>
      <c r="E473" t="inlineStr">
        <is>
          <t>KATRINEHOLM</t>
        </is>
      </c>
      <c r="G473" t="n">
        <v>0.7</v>
      </c>
      <c r="H473" t="n">
        <v>0</v>
      </c>
      <c r="I473" t="n">
        <v>0</v>
      </c>
      <c r="J473" t="n">
        <v>0</v>
      </c>
      <c r="K473" t="n">
        <v>0</v>
      </c>
      <c r="L473" t="n">
        <v>0</v>
      </c>
      <c r="M473" t="n">
        <v>0</v>
      </c>
      <c r="N473" t="n">
        <v>0</v>
      </c>
      <c r="O473" t="n">
        <v>0</v>
      </c>
      <c r="P473" t="n">
        <v>0</v>
      </c>
      <c r="Q473" t="n">
        <v>0</v>
      </c>
      <c r="R473" s="2" t="inlineStr"/>
    </row>
    <row r="474" ht="15" customHeight="1">
      <c r="A474" t="inlineStr">
        <is>
          <t>A 6446-2022</t>
        </is>
      </c>
      <c r="B474" s="1" t="n">
        <v>44600</v>
      </c>
      <c r="C474" s="1" t="n">
        <v>45895</v>
      </c>
      <c r="D474" t="inlineStr">
        <is>
          <t>SÖDERMANLANDS LÄN</t>
        </is>
      </c>
      <c r="E474" t="inlineStr">
        <is>
          <t>KATRINEHOLM</t>
        </is>
      </c>
      <c r="G474" t="n">
        <v>1.5</v>
      </c>
      <c r="H474" t="n">
        <v>0</v>
      </c>
      <c r="I474" t="n">
        <v>0</v>
      </c>
      <c r="J474" t="n">
        <v>0</v>
      </c>
      <c r="K474" t="n">
        <v>0</v>
      </c>
      <c r="L474" t="n">
        <v>0</v>
      </c>
      <c r="M474" t="n">
        <v>0</v>
      </c>
      <c r="N474" t="n">
        <v>0</v>
      </c>
      <c r="O474" t="n">
        <v>0</v>
      </c>
      <c r="P474" t="n">
        <v>0</v>
      </c>
      <c r="Q474" t="n">
        <v>0</v>
      </c>
      <c r="R474" s="2" t="inlineStr"/>
    </row>
    <row r="475" ht="15" customHeight="1">
      <c r="A475" t="inlineStr">
        <is>
          <t>A 27636-2025</t>
        </is>
      </c>
      <c r="B475" s="1" t="n">
        <v>45813.57603009259</v>
      </c>
      <c r="C475" s="1" t="n">
        <v>45895</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24600-2025</t>
        </is>
      </c>
      <c r="B476" s="1" t="n">
        <v>45798.56348379629</v>
      </c>
      <c r="C476" s="1" t="n">
        <v>45895</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39052-2023</t>
        </is>
      </c>
      <c r="B477" s="1" t="n">
        <v>45163</v>
      </c>
      <c r="C477" s="1" t="n">
        <v>45895</v>
      </c>
      <c r="D477" t="inlineStr">
        <is>
          <t>SÖDERMANLANDS LÄN</t>
        </is>
      </c>
      <c r="E477" t="inlineStr">
        <is>
          <t>KATRINEHOLM</t>
        </is>
      </c>
      <c r="G477" t="n">
        <v>3</v>
      </c>
      <c r="H477" t="n">
        <v>0</v>
      </c>
      <c r="I477" t="n">
        <v>0</v>
      </c>
      <c r="J477" t="n">
        <v>0</v>
      </c>
      <c r="K477" t="n">
        <v>0</v>
      </c>
      <c r="L477" t="n">
        <v>0</v>
      </c>
      <c r="M477" t="n">
        <v>0</v>
      </c>
      <c r="N477" t="n">
        <v>0</v>
      </c>
      <c r="O477" t="n">
        <v>0</v>
      </c>
      <c r="P477" t="n">
        <v>0</v>
      </c>
      <c r="Q477" t="n">
        <v>0</v>
      </c>
      <c r="R477" s="2" t="inlineStr"/>
    </row>
    <row r="478" ht="15" customHeight="1">
      <c r="A478" t="inlineStr">
        <is>
          <t>A 8922-2024</t>
        </is>
      </c>
      <c r="B478" s="1" t="n">
        <v>45357.38601851852</v>
      </c>
      <c r="C478" s="1" t="n">
        <v>45895</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51923-2023</t>
        </is>
      </c>
      <c r="B479" s="1" t="n">
        <v>45223</v>
      </c>
      <c r="C479" s="1" t="n">
        <v>45895</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48160-2022</t>
        </is>
      </c>
      <c r="B480" s="1" t="n">
        <v>44853</v>
      </c>
      <c r="C480" s="1" t="n">
        <v>45895</v>
      </c>
      <c r="D480" t="inlineStr">
        <is>
          <t>SÖDERMANLANDS LÄN</t>
        </is>
      </c>
      <c r="E480" t="inlineStr">
        <is>
          <t>KATRINEHOLM</t>
        </is>
      </c>
      <c r="F480" t="inlineStr">
        <is>
          <t>Övriga statliga verk och myndigheter</t>
        </is>
      </c>
      <c r="G480" t="n">
        <v>2.2</v>
      </c>
      <c r="H480" t="n">
        <v>0</v>
      </c>
      <c r="I480" t="n">
        <v>0</v>
      </c>
      <c r="J480" t="n">
        <v>0</v>
      </c>
      <c r="K480" t="n">
        <v>0</v>
      </c>
      <c r="L480" t="n">
        <v>0</v>
      </c>
      <c r="M480" t="n">
        <v>0</v>
      </c>
      <c r="N480" t="n">
        <v>0</v>
      </c>
      <c r="O480" t="n">
        <v>0</v>
      </c>
      <c r="P480" t="n">
        <v>0</v>
      </c>
      <c r="Q480" t="n">
        <v>0</v>
      </c>
      <c r="R480" s="2" t="inlineStr"/>
    </row>
    <row r="481" ht="15" customHeight="1">
      <c r="A481" t="inlineStr">
        <is>
          <t>A 28317-2024</t>
        </is>
      </c>
      <c r="B481" s="1" t="n">
        <v>45477</v>
      </c>
      <c r="C481" s="1" t="n">
        <v>45895</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35608-2024</t>
        </is>
      </c>
      <c r="B482" s="1" t="n">
        <v>45531</v>
      </c>
      <c r="C482" s="1" t="n">
        <v>45895</v>
      </c>
      <c r="D482" t="inlineStr">
        <is>
          <t>SÖDERMANLANDS LÄN</t>
        </is>
      </c>
      <c r="E482" t="inlineStr">
        <is>
          <t>KATRINEHOLM</t>
        </is>
      </c>
      <c r="G482" t="n">
        <v>2</v>
      </c>
      <c r="H482" t="n">
        <v>0</v>
      </c>
      <c r="I482" t="n">
        <v>0</v>
      </c>
      <c r="J482" t="n">
        <v>0</v>
      </c>
      <c r="K482" t="n">
        <v>0</v>
      </c>
      <c r="L482" t="n">
        <v>0</v>
      </c>
      <c r="M482" t="n">
        <v>0</v>
      </c>
      <c r="N482" t="n">
        <v>0</v>
      </c>
      <c r="O482" t="n">
        <v>0</v>
      </c>
      <c r="P482" t="n">
        <v>0</v>
      </c>
      <c r="Q482" t="n">
        <v>0</v>
      </c>
      <c r="R482" s="2" t="inlineStr"/>
    </row>
    <row r="483" ht="15" customHeight="1">
      <c r="A483" t="inlineStr">
        <is>
          <t>A 18386-2025</t>
        </is>
      </c>
      <c r="B483" s="1" t="n">
        <v>45762</v>
      </c>
      <c r="C483" s="1" t="n">
        <v>45895</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66393-2021</t>
        </is>
      </c>
      <c r="B484" s="1" t="n">
        <v>44518</v>
      </c>
      <c r="C484" s="1" t="n">
        <v>45895</v>
      </c>
      <c r="D484" t="inlineStr">
        <is>
          <t>SÖDERMANLANDS LÄN</t>
        </is>
      </c>
      <c r="E484" t="inlineStr">
        <is>
          <t>KATRINEHOLM</t>
        </is>
      </c>
      <c r="F484" t="inlineStr">
        <is>
          <t>Holmen skog AB</t>
        </is>
      </c>
      <c r="G484" t="n">
        <v>0.4</v>
      </c>
      <c r="H484" t="n">
        <v>0</v>
      </c>
      <c r="I484" t="n">
        <v>0</v>
      </c>
      <c r="J484" t="n">
        <v>0</v>
      </c>
      <c r="K484" t="n">
        <v>0</v>
      </c>
      <c r="L484" t="n">
        <v>0</v>
      </c>
      <c r="M484" t="n">
        <v>0</v>
      </c>
      <c r="N484" t="n">
        <v>0</v>
      </c>
      <c r="O484" t="n">
        <v>0</v>
      </c>
      <c r="P484" t="n">
        <v>0</v>
      </c>
      <c r="Q484" t="n">
        <v>0</v>
      </c>
      <c r="R484" s="2" t="inlineStr"/>
    </row>
    <row r="485" ht="15" customHeight="1">
      <c r="A485" t="inlineStr">
        <is>
          <t>A 47134-2022</t>
        </is>
      </c>
      <c r="B485" s="1" t="n">
        <v>44851</v>
      </c>
      <c r="C485" s="1" t="n">
        <v>45895</v>
      </c>
      <c r="D485" t="inlineStr">
        <is>
          <t>SÖDERMANLANDS LÄN</t>
        </is>
      </c>
      <c r="E485" t="inlineStr">
        <is>
          <t>KATRINEHOLM</t>
        </is>
      </c>
      <c r="F485" t="inlineStr">
        <is>
          <t>Övriga statliga verk och myndigheter</t>
        </is>
      </c>
      <c r="G485" t="n">
        <v>1.5</v>
      </c>
      <c r="H485" t="n">
        <v>0</v>
      </c>
      <c r="I485" t="n">
        <v>0</v>
      </c>
      <c r="J485" t="n">
        <v>0</v>
      </c>
      <c r="K485" t="n">
        <v>0</v>
      </c>
      <c r="L485" t="n">
        <v>0</v>
      </c>
      <c r="M485" t="n">
        <v>0</v>
      </c>
      <c r="N485" t="n">
        <v>0</v>
      </c>
      <c r="O485" t="n">
        <v>0</v>
      </c>
      <c r="P485" t="n">
        <v>0</v>
      </c>
      <c r="Q485" t="n">
        <v>0</v>
      </c>
      <c r="R485" s="2" t="inlineStr"/>
    </row>
    <row r="486" ht="15" customHeight="1">
      <c r="A486" t="inlineStr">
        <is>
          <t>A 3125-2024</t>
        </is>
      </c>
      <c r="B486" s="1" t="n">
        <v>45316</v>
      </c>
      <c r="C486" s="1" t="n">
        <v>45895</v>
      </c>
      <c r="D486" t="inlineStr">
        <is>
          <t>SÖDERMANLANDS LÄN</t>
        </is>
      </c>
      <c r="E486" t="inlineStr">
        <is>
          <t>KATRINEHOLM</t>
        </is>
      </c>
      <c r="G486" t="n">
        <v>3.4</v>
      </c>
      <c r="H486" t="n">
        <v>0</v>
      </c>
      <c r="I486" t="n">
        <v>0</v>
      </c>
      <c r="J486" t="n">
        <v>0</v>
      </c>
      <c r="K486" t="n">
        <v>0</v>
      </c>
      <c r="L486" t="n">
        <v>0</v>
      </c>
      <c r="M486" t="n">
        <v>0</v>
      </c>
      <c r="N486" t="n">
        <v>0</v>
      </c>
      <c r="O486" t="n">
        <v>0</v>
      </c>
      <c r="P486" t="n">
        <v>0</v>
      </c>
      <c r="Q486" t="n">
        <v>0</v>
      </c>
      <c r="R486" s="2" t="inlineStr"/>
    </row>
    <row r="487" ht="15" customHeight="1">
      <c r="A487" t="inlineStr">
        <is>
          <t>A 35183-2022</t>
        </is>
      </c>
      <c r="B487" s="1" t="n">
        <v>44797</v>
      </c>
      <c r="C487" s="1" t="n">
        <v>45895</v>
      </c>
      <c r="D487" t="inlineStr">
        <is>
          <t>SÖDERMANLANDS LÄN</t>
        </is>
      </c>
      <c r="E487" t="inlineStr">
        <is>
          <t>KATRINEHOLM</t>
        </is>
      </c>
      <c r="G487" t="n">
        <v>4.6</v>
      </c>
      <c r="H487" t="n">
        <v>0</v>
      </c>
      <c r="I487" t="n">
        <v>0</v>
      </c>
      <c r="J487" t="n">
        <v>0</v>
      </c>
      <c r="K487" t="n">
        <v>0</v>
      </c>
      <c r="L487" t="n">
        <v>0</v>
      </c>
      <c r="M487" t="n">
        <v>0</v>
      </c>
      <c r="N487" t="n">
        <v>0</v>
      </c>
      <c r="O487" t="n">
        <v>0</v>
      </c>
      <c r="P487" t="n">
        <v>0</v>
      </c>
      <c r="Q487" t="n">
        <v>0</v>
      </c>
      <c r="R487" s="2" t="inlineStr"/>
    </row>
    <row r="488" ht="15" customHeight="1">
      <c r="A488" t="inlineStr">
        <is>
          <t>A 42519-2024</t>
        </is>
      </c>
      <c r="B488" s="1" t="n">
        <v>45565</v>
      </c>
      <c r="C488" s="1" t="n">
        <v>45895</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1143-2024</t>
        </is>
      </c>
      <c r="B489" s="1" t="n">
        <v>45302</v>
      </c>
      <c r="C489" s="1" t="n">
        <v>45895</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3982-2024</t>
        </is>
      </c>
      <c r="B490" s="1" t="n">
        <v>45322</v>
      </c>
      <c r="C490" s="1" t="n">
        <v>45895</v>
      </c>
      <c r="D490" t="inlineStr">
        <is>
          <t>SÖDERMANLANDS LÄN</t>
        </is>
      </c>
      <c r="E490" t="inlineStr">
        <is>
          <t>KATRINEHOLM</t>
        </is>
      </c>
      <c r="G490" t="n">
        <v>3.7</v>
      </c>
      <c r="H490" t="n">
        <v>0</v>
      </c>
      <c r="I490" t="n">
        <v>0</v>
      </c>
      <c r="J490" t="n">
        <v>0</v>
      </c>
      <c r="K490" t="n">
        <v>0</v>
      </c>
      <c r="L490" t="n">
        <v>0</v>
      </c>
      <c r="M490" t="n">
        <v>0</v>
      </c>
      <c r="N490" t="n">
        <v>0</v>
      </c>
      <c r="O490" t="n">
        <v>0</v>
      </c>
      <c r="P490" t="n">
        <v>0</v>
      </c>
      <c r="Q490" t="n">
        <v>0</v>
      </c>
      <c r="R490" s="2" t="inlineStr"/>
    </row>
    <row r="491" ht="15" customHeight="1">
      <c r="A491" t="inlineStr">
        <is>
          <t>A 57263-2022</t>
        </is>
      </c>
      <c r="B491" s="1" t="n">
        <v>44895</v>
      </c>
      <c r="C491" s="1" t="n">
        <v>45895</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20826-2022</t>
        </is>
      </c>
      <c r="B492" s="1" t="n">
        <v>44701.44754629629</v>
      </c>
      <c r="C492" s="1" t="n">
        <v>45895</v>
      </c>
      <c r="D492" t="inlineStr">
        <is>
          <t>SÖDERMANLANDS LÄN</t>
        </is>
      </c>
      <c r="E492" t="inlineStr">
        <is>
          <t>KATRINEHOLM</t>
        </is>
      </c>
      <c r="G492" t="n">
        <v>6.8</v>
      </c>
      <c r="H492" t="n">
        <v>0</v>
      </c>
      <c r="I492" t="n">
        <v>0</v>
      </c>
      <c r="J492" t="n">
        <v>0</v>
      </c>
      <c r="K492" t="n">
        <v>0</v>
      </c>
      <c r="L492" t="n">
        <v>0</v>
      </c>
      <c r="M492" t="n">
        <v>0</v>
      </c>
      <c r="N492" t="n">
        <v>0</v>
      </c>
      <c r="O492" t="n">
        <v>0</v>
      </c>
      <c r="P492" t="n">
        <v>0</v>
      </c>
      <c r="Q492" t="n">
        <v>0</v>
      </c>
      <c r="R492" s="2" t="inlineStr"/>
    </row>
    <row r="493" ht="15" customHeight="1">
      <c r="A493" t="inlineStr">
        <is>
          <t>A 28427-2024</t>
        </is>
      </c>
      <c r="B493" s="1" t="n">
        <v>45477.64910879629</v>
      </c>
      <c r="C493" s="1" t="n">
        <v>45895</v>
      </c>
      <c r="D493" t="inlineStr">
        <is>
          <t>SÖDERMANLANDS LÄN</t>
        </is>
      </c>
      <c r="E493" t="inlineStr">
        <is>
          <t>KATRINEHOLM</t>
        </is>
      </c>
      <c r="G493" t="n">
        <v>5.9</v>
      </c>
      <c r="H493" t="n">
        <v>0</v>
      </c>
      <c r="I493" t="n">
        <v>0</v>
      </c>
      <c r="J493" t="n">
        <v>0</v>
      </c>
      <c r="K493" t="n">
        <v>0</v>
      </c>
      <c r="L493" t="n">
        <v>0</v>
      </c>
      <c r="M493" t="n">
        <v>0</v>
      </c>
      <c r="N493" t="n">
        <v>0</v>
      </c>
      <c r="O493" t="n">
        <v>0</v>
      </c>
      <c r="P493" t="n">
        <v>0</v>
      </c>
      <c r="Q493" t="n">
        <v>0</v>
      </c>
      <c r="R493" s="2" t="inlineStr"/>
    </row>
    <row r="494" ht="15" customHeight="1">
      <c r="A494" t="inlineStr">
        <is>
          <t>A 28431-2024</t>
        </is>
      </c>
      <c r="B494" s="1" t="n">
        <v>45477.65216435185</v>
      </c>
      <c r="C494" s="1" t="n">
        <v>45895</v>
      </c>
      <c r="D494" t="inlineStr">
        <is>
          <t>SÖDERMANLANDS LÄN</t>
        </is>
      </c>
      <c r="E494" t="inlineStr">
        <is>
          <t>KATRINEHOLM</t>
        </is>
      </c>
      <c r="G494" t="n">
        <v>3.5</v>
      </c>
      <c r="H494" t="n">
        <v>0</v>
      </c>
      <c r="I494" t="n">
        <v>0</v>
      </c>
      <c r="J494" t="n">
        <v>0</v>
      </c>
      <c r="K494" t="n">
        <v>0</v>
      </c>
      <c r="L494" t="n">
        <v>0</v>
      </c>
      <c r="M494" t="n">
        <v>0</v>
      </c>
      <c r="N494" t="n">
        <v>0</v>
      </c>
      <c r="O494" t="n">
        <v>0</v>
      </c>
      <c r="P494" t="n">
        <v>0</v>
      </c>
      <c r="Q494" t="n">
        <v>0</v>
      </c>
      <c r="R494" s="2" t="inlineStr"/>
    </row>
    <row r="495" ht="15" customHeight="1">
      <c r="A495" t="inlineStr">
        <is>
          <t>A 20846-2022</t>
        </is>
      </c>
      <c r="B495" s="1" t="n">
        <v>44701.4744212963</v>
      </c>
      <c r="C495" s="1" t="n">
        <v>45895</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12633-2022</t>
        </is>
      </c>
      <c r="B496" s="1" t="n">
        <v>44638</v>
      </c>
      <c r="C496" s="1" t="n">
        <v>45895</v>
      </c>
      <c r="D496" t="inlineStr">
        <is>
          <t>SÖDERMANLANDS LÄN</t>
        </is>
      </c>
      <c r="E496" t="inlineStr">
        <is>
          <t>KATRINEHOLM</t>
        </is>
      </c>
      <c r="G496" t="n">
        <v>6.4</v>
      </c>
      <c r="H496" t="n">
        <v>0</v>
      </c>
      <c r="I496" t="n">
        <v>0</v>
      </c>
      <c r="J496" t="n">
        <v>0</v>
      </c>
      <c r="K496" t="n">
        <v>0</v>
      </c>
      <c r="L496" t="n">
        <v>0</v>
      </c>
      <c r="M496" t="n">
        <v>0</v>
      </c>
      <c r="N496" t="n">
        <v>0</v>
      </c>
      <c r="O496" t="n">
        <v>0</v>
      </c>
      <c r="P496" t="n">
        <v>0</v>
      </c>
      <c r="Q496" t="n">
        <v>0</v>
      </c>
      <c r="R496" s="2" t="inlineStr"/>
    </row>
    <row r="497" ht="15" customHeight="1">
      <c r="A497" t="inlineStr">
        <is>
          <t>A 62418-2023</t>
        </is>
      </c>
      <c r="B497" s="1" t="n">
        <v>45268</v>
      </c>
      <c r="C497" s="1" t="n">
        <v>45895</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49078-2024</t>
        </is>
      </c>
      <c r="B498" s="1" t="n">
        <v>45594.62556712963</v>
      </c>
      <c r="C498" s="1" t="n">
        <v>45895</v>
      </c>
      <c r="D498" t="inlineStr">
        <is>
          <t>SÖDERMANLANDS LÄN</t>
        </is>
      </c>
      <c r="E498" t="inlineStr">
        <is>
          <t>KATRINEHOLM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45895</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47879-2023</t>
        </is>
      </c>
      <c r="B500" s="1" t="n">
        <v>45204</v>
      </c>
      <c r="C500" s="1" t="n">
        <v>45895</v>
      </c>
      <c r="D500" t="inlineStr">
        <is>
          <t>SÖDERMANLANDS LÄN</t>
        </is>
      </c>
      <c r="E500" t="inlineStr">
        <is>
          <t>KATRINEHOLM</t>
        </is>
      </c>
      <c r="F500" t="inlineStr">
        <is>
          <t>Övriga Aktiebolag</t>
        </is>
      </c>
      <c r="G500" t="n">
        <v>2.3</v>
      </c>
      <c r="H500" t="n">
        <v>0</v>
      </c>
      <c r="I500" t="n">
        <v>0</v>
      </c>
      <c r="J500" t="n">
        <v>0</v>
      </c>
      <c r="K500" t="n">
        <v>0</v>
      </c>
      <c r="L500" t="n">
        <v>0</v>
      </c>
      <c r="M500" t="n">
        <v>0</v>
      </c>
      <c r="N500" t="n">
        <v>0</v>
      </c>
      <c r="O500" t="n">
        <v>0</v>
      </c>
      <c r="P500" t="n">
        <v>0</v>
      </c>
      <c r="Q500" t="n">
        <v>0</v>
      </c>
      <c r="R500" s="2" t="inlineStr"/>
    </row>
    <row r="501" ht="15" customHeight="1">
      <c r="A501" t="inlineStr">
        <is>
          <t>A 12975-2022</t>
        </is>
      </c>
      <c r="B501" s="1" t="n">
        <v>44643</v>
      </c>
      <c r="C501" s="1" t="n">
        <v>45895</v>
      </c>
      <c r="D501" t="inlineStr">
        <is>
          <t>SÖDERMANLANDS LÄN</t>
        </is>
      </c>
      <c r="E501" t="inlineStr">
        <is>
          <t>KATRINEHOLM</t>
        </is>
      </c>
      <c r="G501" t="n">
        <v>2.4</v>
      </c>
      <c r="H501" t="n">
        <v>0</v>
      </c>
      <c r="I501" t="n">
        <v>0</v>
      </c>
      <c r="J501" t="n">
        <v>0</v>
      </c>
      <c r="K501" t="n">
        <v>0</v>
      </c>
      <c r="L501" t="n">
        <v>0</v>
      </c>
      <c r="M501" t="n">
        <v>0</v>
      </c>
      <c r="N501" t="n">
        <v>0</v>
      </c>
      <c r="O501" t="n">
        <v>0</v>
      </c>
      <c r="P501" t="n">
        <v>0</v>
      </c>
      <c r="Q501" t="n">
        <v>0</v>
      </c>
      <c r="R501" s="2" t="inlineStr"/>
    </row>
    <row r="502" ht="15" customHeight="1">
      <c r="A502" t="inlineStr">
        <is>
          <t>A 51260-2021</t>
        </is>
      </c>
      <c r="B502" s="1" t="n">
        <v>44461</v>
      </c>
      <c r="C502" s="1" t="n">
        <v>45895</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45142-2021</t>
        </is>
      </c>
      <c r="B503" s="1" t="n">
        <v>44439</v>
      </c>
      <c r="C503" s="1" t="n">
        <v>45895</v>
      </c>
      <c r="D503" t="inlineStr">
        <is>
          <t>SÖDERMANLANDS LÄN</t>
        </is>
      </c>
      <c r="E503" t="inlineStr">
        <is>
          <t>KATRINEHOLM</t>
        </is>
      </c>
      <c r="G503" t="n">
        <v>1.8</v>
      </c>
      <c r="H503" t="n">
        <v>0</v>
      </c>
      <c r="I503" t="n">
        <v>0</v>
      </c>
      <c r="J503" t="n">
        <v>0</v>
      </c>
      <c r="K503" t="n">
        <v>0</v>
      </c>
      <c r="L503" t="n">
        <v>0</v>
      </c>
      <c r="M503" t="n">
        <v>0</v>
      </c>
      <c r="N503" t="n">
        <v>0</v>
      </c>
      <c r="O503" t="n">
        <v>0</v>
      </c>
      <c r="P503" t="n">
        <v>0</v>
      </c>
      <c r="Q503" t="n">
        <v>0</v>
      </c>
      <c r="R503" s="2" t="inlineStr"/>
    </row>
    <row r="504" ht="15" customHeight="1">
      <c r="A504" t="inlineStr">
        <is>
          <t>A 7191-2023</t>
        </is>
      </c>
      <c r="B504" s="1" t="n">
        <v>44965</v>
      </c>
      <c r="C504" s="1" t="n">
        <v>45895</v>
      </c>
      <c r="D504" t="inlineStr">
        <is>
          <t>SÖDERMANLANDS LÄN</t>
        </is>
      </c>
      <c r="E504" t="inlineStr">
        <is>
          <t>KATRINEHOLM</t>
        </is>
      </c>
      <c r="G504" t="n">
        <v>14.1</v>
      </c>
      <c r="H504" t="n">
        <v>0</v>
      </c>
      <c r="I504" t="n">
        <v>0</v>
      </c>
      <c r="J504" t="n">
        <v>0</v>
      </c>
      <c r="K504" t="n">
        <v>0</v>
      </c>
      <c r="L504" t="n">
        <v>0</v>
      </c>
      <c r="M504" t="n">
        <v>0</v>
      </c>
      <c r="N504" t="n">
        <v>0</v>
      </c>
      <c r="O504" t="n">
        <v>0</v>
      </c>
      <c r="P504" t="n">
        <v>0</v>
      </c>
      <c r="Q504" t="n">
        <v>0</v>
      </c>
      <c r="R504" s="2" t="inlineStr"/>
    </row>
    <row r="505" ht="15" customHeight="1">
      <c r="A505" t="inlineStr">
        <is>
          <t>A 53843-2023</t>
        </is>
      </c>
      <c r="B505" s="1" t="n">
        <v>45230</v>
      </c>
      <c r="C505" s="1" t="n">
        <v>45895</v>
      </c>
      <c r="D505" t="inlineStr">
        <is>
          <t>SÖDERMANLANDS LÄN</t>
        </is>
      </c>
      <c r="E505" t="inlineStr">
        <is>
          <t>KATRINEHOLM</t>
        </is>
      </c>
      <c r="G505" t="n">
        <v>14.2</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45895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29189-2025</t>
        </is>
      </c>
      <c r="B507" s="1" t="n">
        <v>45822</v>
      </c>
      <c r="C507" s="1" t="n">
        <v>45895</v>
      </c>
      <c r="D507" t="inlineStr">
        <is>
          <t>SÖDERMANLANDS LÄN</t>
        </is>
      </c>
      <c r="E507" t="inlineStr">
        <is>
          <t>KATRINEHOLM</t>
        </is>
      </c>
      <c r="G507" t="n">
        <v>3.5</v>
      </c>
      <c r="H507" t="n">
        <v>0</v>
      </c>
      <c r="I507" t="n">
        <v>0</v>
      </c>
      <c r="J507" t="n">
        <v>0</v>
      </c>
      <c r="K507" t="n">
        <v>0</v>
      </c>
      <c r="L507" t="n">
        <v>0</v>
      </c>
      <c r="M507" t="n">
        <v>0</v>
      </c>
      <c r="N507" t="n">
        <v>0</v>
      </c>
      <c r="O507" t="n">
        <v>0</v>
      </c>
      <c r="P507" t="n">
        <v>0</v>
      </c>
      <c r="Q507" t="n">
        <v>0</v>
      </c>
      <c r="R507" s="2" t="inlineStr"/>
    </row>
    <row r="508" ht="15" customHeight="1">
      <c r="A508" t="inlineStr">
        <is>
          <t>A 48763-2024</t>
        </is>
      </c>
      <c r="B508" s="1" t="n">
        <v>45593.60288194445</v>
      </c>
      <c r="C508" s="1" t="n">
        <v>45895</v>
      </c>
      <c r="D508" t="inlineStr">
        <is>
          <t>SÖDERMANLANDS LÄN</t>
        </is>
      </c>
      <c r="E508" t="inlineStr">
        <is>
          <t>KATRINEHOLM</t>
        </is>
      </c>
      <c r="G508" t="n">
        <v>1.3</v>
      </c>
      <c r="H508" t="n">
        <v>0</v>
      </c>
      <c r="I508" t="n">
        <v>0</v>
      </c>
      <c r="J508" t="n">
        <v>0</v>
      </c>
      <c r="K508" t="n">
        <v>0</v>
      </c>
      <c r="L508" t="n">
        <v>0</v>
      </c>
      <c r="M508" t="n">
        <v>0</v>
      </c>
      <c r="N508" t="n">
        <v>0</v>
      </c>
      <c r="O508" t="n">
        <v>0</v>
      </c>
      <c r="P508" t="n">
        <v>0</v>
      </c>
      <c r="Q508" t="n">
        <v>0</v>
      </c>
      <c r="R508" s="2" t="inlineStr"/>
    </row>
    <row r="509" ht="15" customHeight="1">
      <c r="A509" t="inlineStr">
        <is>
          <t>A 8394-2024</t>
        </is>
      </c>
      <c r="B509" s="1" t="n">
        <v>45352</v>
      </c>
      <c r="C509" s="1" t="n">
        <v>45895</v>
      </c>
      <c r="D509" t="inlineStr">
        <is>
          <t>SÖDERMANLANDS LÄN</t>
        </is>
      </c>
      <c r="E509" t="inlineStr">
        <is>
          <t>KATRINEHOLM</t>
        </is>
      </c>
      <c r="G509" t="n">
        <v>4</v>
      </c>
      <c r="H509" t="n">
        <v>0</v>
      </c>
      <c r="I509" t="n">
        <v>0</v>
      </c>
      <c r="J509" t="n">
        <v>0</v>
      </c>
      <c r="K509" t="n">
        <v>0</v>
      </c>
      <c r="L509" t="n">
        <v>0</v>
      </c>
      <c r="M509" t="n">
        <v>0</v>
      </c>
      <c r="N509" t="n">
        <v>0</v>
      </c>
      <c r="O509" t="n">
        <v>0</v>
      </c>
      <c r="P509" t="n">
        <v>0</v>
      </c>
      <c r="Q509" t="n">
        <v>0</v>
      </c>
      <c r="R509" s="2" t="inlineStr"/>
    </row>
    <row r="510" ht="15" customHeight="1">
      <c r="A510" t="inlineStr">
        <is>
          <t>A 14478-2023</t>
        </is>
      </c>
      <c r="B510" s="1" t="n">
        <v>45012.66421296296</v>
      </c>
      <c r="C510" s="1" t="n">
        <v>45895</v>
      </c>
      <c r="D510" t="inlineStr">
        <is>
          <t>SÖDERMANLANDS LÄN</t>
        </is>
      </c>
      <c r="E510" t="inlineStr">
        <is>
          <t>KATRINEHOLM</t>
        </is>
      </c>
      <c r="G510" t="n">
        <v>3.9</v>
      </c>
      <c r="H510" t="n">
        <v>0</v>
      </c>
      <c r="I510" t="n">
        <v>0</v>
      </c>
      <c r="J510" t="n">
        <v>0</v>
      </c>
      <c r="K510" t="n">
        <v>0</v>
      </c>
      <c r="L510" t="n">
        <v>0</v>
      </c>
      <c r="M510" t="n">
        <v>0</v>
      </c>
      <c r="N510" t="n">
        <v>0</v>
      </c>
      <c r="O510" t="n">
        <v>0</v>
      </c>
      <c r="P510" t="n">
        <v>0</v>
      </c>
      <c r="Q510" t="n">
        <v>0</v>
      </c>
      <c r="R510" s="2" t="inlineStr"/>
    </row>
    <row r="511" ht="15" customHeight="1">
      <c r="A511" t="inlineStr">
        <is>
          <t>A 20921-2023</t>
        </is>
      </c>
      <c r="B511" s="1" t="n">
        <v>45061</v>
      </c>
      <c r="C511" s="1" t="n">
        <v>45895</v>
      </c>
      <c r="D511" t="inlineStr">
        <is>
          <t>SÖDERMANLANDS LÄN</t>
        </is>
      </c>
      <c r="E511" t="inlineStr">
        <is>
          <t>KATRINEHOLM</t>
        </is>
      </c>
      <c r="G511" t="n">
        <v>8.9</v>
      </c>
      <c r="H511" t="n">
        <v>0</v>
      </c>
      <c r="I511" t="n">
        <v>0</v>
      </c>
      <c r="J511" t="n">
        <v>0</v>
      </c>
      <c r="K511" t="n">
        <v>0</v>
      </c>
      <c r="L511" t="n">
        <v>0</v>
      </c>
      <c r="M511" t="n">
        <v>0</v>
      </c>
      <c r="N511" t="n">
        <v>0</v>
      </c>
      <c r="O511" t="n">
        <v>0</v>
      </c>
      <c r="P511" t="n">
        <v>0</v>
      </c>
      <c r="Q511" t="n">
        <v>0</v>
      </c>
      <c r="R511" s="2" t="inlineStr"/>
    </row>
    <row r="512" ht="15" customHeight="1">
      <c r="A512" t="inlineStr">
        <is>
          <t>A 12930-2023</t>
        </is>
      </c>
      <c r="B512" s="1" t="n">
        <v>45001</v>
      </c>
      <c r="C512" s="1" t="n">
        <v>45895</v>
      </c>
      <c r="D512" t="inlineStr">
        <is>
          <t>SÖDERMANLANDS LÄN</t>
        </is>
      </c>
      <c r="E512" t="inlineStr">
        <is>
          <t>KATRINEHOLM</t>
        </is>
      </c>
      <c r="G512" t="n">
        <v>0.7</v>
      </c>
      <c r="H512" t="n">
        <v>0</v>
      </c>
      <c r="I512" t="n">
        <v>0</v>
      </c>
      <c r="J512" t="n">
        <v>0</v>
      </c>
      <c r="K512" t="n">
        <v>0</v>
      </c>
      <c r="L512" t="n">
        <v>0</v>
      </c>
      <c r="M512" t="n">
        <v>0</v>
      </c>
      <c r="N512" t="n">
        <v>0</v>
      </c>
      <c r="O512" t="n">
        <v>0</v>
      </c>
      <c r="P512" t="n">
        <v>0</v>
      </c>
      <c r="Q512" t="n">
        <v>0</v>
      </c>
      <c r="R512" s="2" t="inlineStr"/>
    </row>
    <row r="513" ht="15" customHeight="1">
      <c r="A513" t="inlineStr">
        <is>
          <t>A 12938-2023</t>
        </is>
      </c>
      <c r="B513" s="1" t="n">
        <v>45001</v>
      </c>
      <c r="C513" s="1" t="n">
        <v>45895</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12559-2023</t>
        </is>
      </c>
      <c r="B514" s="1" t="n">
        <v>45000.36373842593</v>
      </c>
      <c r="C514" s="1" t="n">
        <v>45895</v>
      </c>
      <c r="D514" t="inlineStr">
        <is>
          <t>SÖDERMANLANDS LÄN</t>
        </is>
      </c>
      <c r="E514" t="inlineStr">
        <is>
          <t>KATRINEHOLM</t>
        </is>
      </c>
      <c r="G514" t="n">
        <v>0.8</v>
      </c>
      <c r="H514" t="n">
        <v>0</v>
      </c>
      <c r="I514" t="n">
        <v>0</v>
      </c>
      <c r="J514" t="n">
        <v>0</v>
      </c>
      <c r="K514" t="n">
        <v>0</v>
      </c>
      <c r="L514" t="n">
        <v>0</v>
      </c>
      <c r="M514" t="n">
        <v>0</v>
      </c>
      <c r="N514" t="n">
        <v>0</v>
      </c>
      <c r="O514" t="n">
        <v>0</v>
      </c>
      <c r="P514" t="n">
        <v>0</v>
      </c>
      <c r="Q514" t="n">
        <v>0</v>
      </c>
      <c r="R514" s="2" t="inlineStr"/>
    </row>
    <row r="515" ht="15" customHeight="1">
      <c r="A515" t="inlineStr">
        <is>
          <t>A 7704-2023</t>
        </is>
      </c>
      <c r="B515" s="1" t="n">
        <v>44968</v>
      </c>
      <c r="C515" s="1" t="n">
        <v>45895</v>
      </c>
      <c r="D515" t="inlineStr">
        <is>
          <t>SÖDERMANLANDS LÄN</t>
        </is>
      </c>
      <c r="E515" t="inlineStr">
        <is>
          <t>KATRINEHOLM</t>
        </is>
      </c>
      <c r="G515" t="n">
        <v>7.3</v>
      </c>
      <c r="H515" t="n">
        <v>0</v>
      </c>
      <c r="I515" t="n">
        <v>0</v>
      </c>
      <c r="J515" t="n">
        <v>0</v>
      </c>
      <c r="K515" t="n">
        <v>0</v>
      </c>
      <c r="L515" t="n">
        <v>0</v>
      </c>
      <c r="M515" t="n">
        <v>0</v>
      </c>
      <c r="N515" t="n">
        <v>0</v>
      </c>
      <c r="O515" t="n">
        <v>0</v>
      </c>
      <c r="P515" t="n">
        <v>0</v>
      </c>
      <c r="Q515" t="n">
        <v>0</v>
      </c>
      <c r="R515" s="2" t="inlineStr"/>
    </row>
    <row r="516" ht="15" customHeight="1">
      <c r="A516" t="inlineStr">
        <is>
          <t>A 49122-2024</t>
        </is>
      </c>
      <c r="B516" s="1" t="n">
        <v>45594</v>
      </c>
      <c r="C516" s="1" t="n">
        <v>45895</v>
      </c>
      <c r="D516" t="inlineStr">
        <is>
          <t>SÖDERMANLANDS LÄN</t>
        </is>
      </c>
      <c r="E516" t="inlineStr">
        <is>
          <t>KATRINEHOLM</t>
        </is>
      </c>
      <c r="G516" t="n">
        <v>19.4</v>
      </c>
      <c r="H516" t="n">
        <v>0</v>
      </c>
      <c r="I516" t="n">
        <v>0</v>
      </c>
      <c r="J516" t="n">
        <v>0</v>
      </c>
      <c r="K516" t="n">
        <v>0</v>
      </c>
      <c r="L516" t="n">
        <v>0</v>
      </c>
      <c r="M516" t="n">
        <v>0</v>
      </c>
      <c r="N516" t="n">
        <v>0</v>
      </c>
      <c r="O516" t="n">
        <v>0</v>
      </c>
      <c r="P516" t="n">
        <v>0</v>
      </c>
      <c r="Q516" t="n">
        <v>0</v>
      </c>
      <c r="R516" s="2" t="inlineStr"/>
    </row>
    <row r="517" ht="15" customHeight="1">
      <c r="A517" t="inlineStr">
        <is>
          <t>A 12937-2023</t>
        </is>
      </c>
      <c r="B517" s="1" t="n">
        <v>45001</v>
      </c>
      <c r="C517" s="1" t="n">
        <v>45895</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13658-2023</t>
        </is>
      </c>
      <c r="B518" s="1" t="n">
        <v>45006</v>
      </c>
      <c r="C518" s="1" t="n">
        <v>45895</v>
      </c>
      <c r="D518" t="inlineStr">
        <is>
          <t>SÖDERMANLANDS LÄN</t>
        </is>
      </c>
      <c r="E518" t="inlineStr">
        <is>
          <t>KATRINEHOLM</t>
        </is>
      </c>
      <c r="F518" t="inlineStr">
        <is>
          <t>Kyrkan</t>
        </is>
      </c>
      <c r="G518" t="n">
        <v>24.3</v>
      </c>
      <c r="H518" t="n">
        <v>0</v>
      </c>
      <c r="I518" t="n">
        <v>0</v>
      </c>
      <c r="J518" t="n">
        <v>0</v>
      </c>
      <c r="K518" t="n">
        <v>0</v>
      </c>
      <c r="L518" t="n">
        <v>0</v>
      </c>
      <c r="M518" t="n">
        <v>0</v>
      </c>
      <c r="N518" t="n">
        <v>0</v>
      </c>
      <c r="O518" t="n">
        <v>0</v>
      </c>
      <c r="P518" t="n">
        <v>0</v>
      </c>
      <c r="Q518" t="n">
        <v>0</v>
      </c>
      <c r="R518" s="2" t="inlineStr"/>
    </row>
    <row r="519" ht="15" customHeight="1">
      <c r="A519" t="inlineStr">
        <is>
          <t>A 61385-2023</t>
        </is>
      </c>
      <c r="B519" s="1" t="n">
        <v>45264.64241898148</v>
      </c>
      <c r="C519" s="1" t="n">
        <v>45895</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55825-2022</t>
        </is>
      </c>
      <c r="B520" s="1" t="n">
        <v>44886</v>
      </c>
      <c r="C520" s="1" t="n">
        <v>45895</v>
      </c>
      <c r="D520" t="inlineStr">
        <is>
          <t>SÖDERMANLANDS LÄN</t>
        </is>
      </c>
      <c r="E520" t="inlineStr">
        <is>
          <t>KATRINEHOLM</t>
        </is>
      </c>
      <c r="G520" t="n">
        <v>1.3</v>
      </c>
      <c r="H520" t="n">
        <v>0</v>
      </c>
      <c r="I520" t="n">
        <v>0</v>
      </c>
      <c r="J520" t="n">
        <v>0</v>
      </c>
      <c r="K520" t="n">
        <v>0</v>
      </c>
      <c r="L520" t="n">
        <v>0</v>
      </c>
      <c r="M520" t="n">
        <v>0</v>
      </c>
      <c r="N520" t="n">
        <v>0</v>
      </c>
      <c r="O520" t="n">
        <v>0</v>
      </c>
      <c r="P520" t="n">
        <v>0</v>
      </c>
      <c r="Q520" t="n">
        <v>0</v>
      </c>
      <c r="R520" s="2" t="inlineStr"/>
    </row>
    <row r="521" ht="15" customHeight="1">
      <c r="A521" t="inlineStr">
        <is>
          <t>A 55856-2022</t>
        </is>
      </c>
      <c r="B521" s="1" t="n">
        <v>44888</v>
      </c>
      <c r="C521" s="1" t="n">
        <v>45895</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11127-2023</t>
        </is>
      </c>
      <c r="B522" s="1" t="n">
        <v>44987</v>
      </c>
      <c r="C522" s="1" t="n">
        <v>45895</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43513-2023</t>
        </is>
      </c>
      <c r="B523" s="1" t="n">
        <v>45184</v>
      </c>
      <c r="C523" s="1" t="n">
        <v>45895</v>
      </c>
      <c r="D523" t="inlineStr">
        <is>
          <t>SÖDERMANLANDS LÄN</t>
        </is>
      </c>
      <c r="E523" t="inlineStr">
        <is>
          <t>KATRINEHOLM</t>
        </is>
      </c>
      <c r="G523" t="n">
        <v>3.8</v>
      </c>
      <c r="H523" t="n">
        <v>0</v>
      </c>
      <c r="I523" t="n">
        <v>0</v>
      </c>
      <c r="J523" t="n">
        <v>0</v>
      </c>
      <c r="K523" t="n">
        <v>0</v>
      </c>
      <c r="L523" t="n">
        <v>0</v>
      </c>
      <c r="M523" t="n">
        <v>0</v>
      </c>
      <c r="N523" t="n">
        <v>0</v>
      </c>
      <c r="O523" t="n">
        <v>0</v>
      </c>
      <c r="P523" t="n">
        <v>0</v>
      </c>
      <c r="Q523" t="n">
        <v>0</v>
      </c>
      <c r="R523" s="2" t="inlineStr"/>
    </row>
    <row r="524" ht="15" customHeight="1">
      <c r="A524" t="inlineStr">
        <is>
          <t>A 34176-2025</t>
        </is>
      </c>
      <c r="B524" s="1" t="n">
        <v>45845</v>
      </c>
      <c r="C524" s="1" t="n">
        <v>45895</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30050-2025</t>
        </is>
      </c>
      <c r="B525" s="1" t="n">
        <v>45826.59151620371</v>
      </c>
      <c r="C525" s="1" t="n">
        <v>45895</v>
      </c>
      <c r="D525" t="inlineStr">
        <is>
          <t>SÖDERMANLANDS LÄN</t>
        </is>
      </c>
      <c r="E525" t="inlineStr">
        <is>
          <t>KATRINEHOLM</t>
        </is>
      </c>
      <c r="G525" t="n">
        <v>7.9</v>
      </c>
      <c r="H525" t="n">
        <v>0</v>
      </c>
      <c r="I525" t="n">
        <v>0</v>
      </c>
      <c r="J525" t="n">
        <v>0</v>
      </c>
      <c r="K525" t="n">
        <v>0</v>
      </c>
      <c r="L525" t="n">
        <v>0</v>
      </c>
      <c r="M525" t="n">
        <v>0</v>
      </c>
      <c r="N525" t="n">
        <v>0</v>
      </c>
      <c r="O525" t="n">
        <v>0</v>
      </c>
      <c r="P525" t="n">
        <v>0</v>
      </c>
      <c r="Q525" t="n">
        <v>0</v>
      </c>
      <c r="R525" s="2" t="inlineStr"/>
    </row>
    <row r="526" ht="15" customHeight="1">
      <c r="A526" t="inlineStr">
        <is>
          <t>A 27345-2023</t>
        </is>
      </c>
      <c r="B526" s="1" t="n">
        <v>45096</v>
      </c>
      <c r="C526" s="1" t="n">
        <v>45895</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8951-2024</t>
        </is>
      </c>
      <c r="B527" s="1" t="n">
        <v>45357.44695601852</v>
      </c>
      <c r="C527" s="1" t="n">
        <v>45895</v>
      </c>
      <c r="D527" t="inlineStr">
        <is>
          <t>SÖDERMANLANDS LÄN</t>
        </is>
      </c>
      <c r="E527" t="inlineStr">
        <is>
          <t>KATRINEHOLM</t>
        </is>
      </c>
      <c r="G527" t="n">
        <v>3.3</v>
      </c>
      <c r="H527" t="n">
        <v>0</v>
      </c>
      <c r="I527" t="n">
        <v>0</v>
      </c>
      <c r="J527" t="n">
        <v>0</v>
      </c>
      <c r="K527" t="n">
        <v>0</v>
      </c>
      <c r="L527" t="n">
        <v>0</v>
      </c>
      <c r="M527" t="n">
        <v>0</v>
      </c>
      <c r="N527" t="n">
        <v>0</v>
      </c>
      <c r="O527" t="n">
        <v>0</v>
      </c>
      <c r="P527" t="n">
        <v>0</v>
      </c>
      <c r="Q527" t="n">
        <v>0</v>
      </c>
      <c r="R527" s="2" t="inlineStr"/>
    </row>
    <row r="528" ht="15" customHeight="1">
      <c r="A528" t="inlineStr">
        <is>
          <t>A 8955-2024</t>
        </is>
      </c>
      <c r="B528" s="1" t="n">
        <v>45357.44873842593</v>
      </c>
      <c r="C528" s="1" t="n">
        <v>45895</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15945-2024</t>
        </is>
      </c>
      <c r="B529" s="1" t="n">
        <v>45405.48912037037</v>
      </c>
      <c r="C529" s="1" t="n">
        <v>45895</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48838-2020</t>
        </is>
      </c>
      <c r="B530" s="1" t="n">
        <v>44099</v>
      </c>
      <c r="C530" s="1" t="n">
        <v>45895</v>
      </c>
      <c r="D530" t="inlineStr">
        <is>
          <t>SÖDERMANLANDS LÄN</t>
        </is>
      </c>
      <c r="E530" t="inlineStr">
        <is>
          <t>KATRINEHOLM</t>
        </is>
      </c>
      <c r="G530" t="n">
        <v>6.8</v>
      </c>
      <c r="H530" t="n">
        <v>0</v>
      </c>
      <c r="I530" t="n">
        <v>0</v>
      </c>
      <c r="J530" t="n">
        <v>0</v>
      </c>
      <c r="K530" t="n">
        <v>0</v>
      </c>
      <c r="L530" t="n">
        <v>0</v>
      </c>
      <c r="M530" t="n">
        <v>0</v>
      </c>
      <c r="N530" t="n">
        <v>0</v>
      </c>
      <c r="O530" t="n">
        <v>0</v>
      </c>
      <c r="P530" t="n">
        <v>0</v>
      </c>
      <c r="Q530" t="n">
        <v>0</v>
      </c>
      <c r="R530" s="2" t="inlineStr"/>
    </row>
    <row r="531" ht="15" customHeight="1">
      <c r="A531" t="inlineStr">
        <is>
          <t>A 1151-2025</t>
        </is>
      </c>
      <c r="B531" s="1" t="n">
        <v>45666</v>
      </c>
      <c r="C531" s="1" t="n">
        <v>45895</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6808-2023</t>
        </is>
      </c>
      <c r="B532" s="1" t="n">
        <v>44964</v>
      </c>
      <c r="C532" s="1" t="n">
        <v>45895</v>
      </c>
      <c r="D532" t="inlineStr">
        <is>
          <t>SÖDERMANLANDS LÄN</t>
        </is>
      </c>
      <c r="E532" t="inlineStr">
        <is>
          <t>KATRINEHOLM</t>
        </is>
      </c>
      <c r="G532" t="n">
        <v>1.5</v>
      </c>
      <c r="H532" t="n">
        <v>0</v>
      </c>
      <c r="I532" t="n">
        <v>0</v>
      </c>
      <c r="J532" t="n">
        <v>0</v>
      </c>
      <c r="K532" t="n">
        <v>0</v>
      </c>
      <c r="L532" t="n">
        <v>0</v>
      </c>
      <c r="M532" t="n">
        <v>0</v>
      </c>
      <c r="N532" t="n">
        <v>0</v>
      </c>
      <c r="O532" t="n">
        <v>0</v>
      </c>
      <c r="P532" t="n">
        <v>0</v>
      </c>
      <c r="Q532" t="n">
        <v>0</v>
      </c>
      <c r="R532" s="2" t="inlineStr"/>
    </row>
    <row r="533" ht="15" customHeight="1">
      <c r="A533" t="inlineStr">
        <is>
          <t>A 4655-2024</t>
        </is>
      </c>
      <c r="B533" s="1" t="n">
        <v>45328</v>
      </c>
      <c r="C533" s="1" t="n">
        <v>45895</v>
      </c>
      <c r="D533" t="inlineStr">
        <is>
          <t>SÖDERMANLANDS LÄN</t>
        </is>
      </c>
      <c r="E533" t="inlineStr">
        <is>
          <t>KATRINEHOLM</t>
        </is>
      </c>
      <c r="G533" t="n">
        <v>17.7</v>
      </c>
      <c r="H533" t="n">
        <v>0</v>
      </c>
      <c r="I533" t="n">
        <v>0</v>
      </c>
      <c r="J533" t="n">
        <v>0</v>
      </c>
      <c r="K533" t="n">
        <v>0</v>
      </c>
      <c r="L533" t="n">
        <v>0</v>
      </c>
      <c r="M533" t="n">
        <v>0</v>
      </c>
      <c r="N533" t="n">
        <v>0</v>
      </c>
      <c r="O533" t="n">
        <v>0</v>
      </c>
      <c r="P533" t="n">
        <v>0</v>
      </c>
      <c r="Q533" t="n">
        <v>0</v>
      </c>
      <c r="R533" s="2" t="inlineStr"/>
    </row>
    <row r="534" ht="15" customHeight="1">
      <c r="A534" t="inlineStr">
        <is>
          <t>A 30070-2025</t>
        </is>
      </c>
      <c r="B534" s="1" t="n">
        <v>45826.63324074074</v>
      </c>
      <c r="C534" s="1" t="n">
        <v>45895</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53387-2023</t>
        </is>
      </c>
      <c r="B535" s="1" t="n">
        <v>45229</v>
      </c>
      <c r="C535" s="1" t="n">
        <v>45895</v>
      </c>
      <c r="D535" t="inlineStr">
        <is>
          <t>SÖDERMANLANDS LÄN</t>
        </is>
      </c>
      <c r="E535" t="inlineStr">
        <is>
          <t>KATRINEHOLM</t>
        </is>
      </c>
      <c r="F535" t="inlineStr">
        <is>
          <t>Kyrkan</t>
        </is>
      </c>
      <c r="G535" t="n">
        <v>7.4</v>
      </c>
      <c r="H535" t="n">
        <v>0</v>
      </c>
      <c r="I535" t="n">
        <v>0</v>
      </c>
      <c r="J535" t="n">
        <v>0</v>
      </c>
      <c r="K535" t="n">
        <v>0</v>
      </c>
      <c r="L535" t="n">
        <v>0</v>
      </c>
      <c r="M535" t="n">
        <v>0</v>
      </c>
      <c r="N535" t="n">
        <v>0</v>
      </c>
      <c r="O535" t="n">
        <v>0</v>
      </c>
      <c r="P535" t="n">
        <v>0</v>
      </c>
      <c r="Q535" t="n">
        <v>0</v>
      </c>
      <c r="R535" s="2" t="inlineStr"/>
    </row>
    <row r="536" ht="15" customHeight="1">
      <c r="A536" t="inlineStr">
        <is>
          <t>A 61394-2024</t>
        </is>
      </c>
      <c r="B536" s="1" t="n">
        <v>45646.42061342593</v>
      </c>
      <c r="C536" s="1" t="n">
        <v>45895</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49112-2024</t>
        </is>
      </c>
      <c r="B537" s="1" t="n">
        <v>45594.65637731482</v>
      </c>
      <c r="C537" s="1" t="n">
        <v>45895</v>
      </c>
      <c r="D537" t="inlineStr">
        <is>
          <t>SÖDERMANLANDS LÄN</t>
        </is>
      </c>
      <c r="E537" t="inlineStr">
        <is>
          <t>KATRINEHOLM</t>
        </is>
      </c>
      <c r="G537" t="n">
        <v>3.6</v>
      </c>
      <c r="H537" t="n">
        <v>0</v>
      </c>
      <c r="I537" t="n">
        <v>0</v>
      </c>
      <c r="J537" t="n">
        <v>0</v>
      </c>
      <c r="K537" t="n">
        <v>0</v>
      </c>
      <c r="L537" t="n">
        <v>0</v>
      </c>
      <c r="M537" t="n">
        <v>0</v>
      </c>
      <c r="N537" t="n">
        <v>0</v>
      </c>
      <c r="O537" t="n">
        <v>0</v>
      </c>
      <c r="P537" t="n">
        <v>0</v>
      </c>
      <c r="Q537" t="n">
        <v>0</v>
      </c>
      <c r="R537" s="2" t="inlineStr"/>
    </row>
    <row r="538" ht="15" customHeight="1">
      <c r="A538" t="inlineStr">
        <is>
          <t>A 42590-2022</t>
        </is>
      </c>
      <c r="B538" s="1" t="n">
        <v>44831</v>
      </c>
      <c r="C538" s="1" t="n">
        <v>45895</v>
      </c>
      <c r="D538" t="inlineStr">
        <is>
          <t>SÖDERMANLANDS LÄN</t>
        </is>
      </c>
      <c r="E538" t="inlineStr">
        <is>
          <t>KATRINEHOLM</t>
        </is>
      </c>
      <c r="G538" t="n">
        <v>1.7</v>
      </c>
      <c r="H538" t="n">
        <v>0</v>
      </c>
      <c r="I538" t="n">
        <v>0</v>
      </c>
      <c r="J538" t="n">
        <v>0</v>
      </c>
      <c r="K538" t="n">
        <v>0</v>
      </c>
      <c r="L538" t="n">
        <v>0</v>
      </c>
      <c r="M538" t="n">
        <v>0</v>
      </c>
      <c r="N538" t="n">
        <v>0</v>
      </c>
      <c r="O538" t="n">
        <v>0</v>
      </c>
      <c r="P538" t="n">
        <v>0</v>
      </c>
      <c r="Q538" t="n">
        <v>0</v>
      </c>
      <c r="R538" s="2" t="inlineStr"/>
    </row>
    <row r="539" ht="15" customHeight="1">
      <c r="A539" t="inlineStr">
        <is>
          <t>A 30287-2025</t>
        </is>
      </c>
      <c r="B539" s="1" t="n">
        <v>45827</v>
      </c>
      <c r="C539" s="1" t="n">
        <v>45895</v>
      </c>
      <c r="D539" t="inlineStr">
        <is>
          <t>SÖDERMANLANDS LÄN</t>
        </is>
      </c>
      <c r="E539" t="inlineStr">
        <is>
          <t>KATRINEHOLM</t>
        </is>
      </c>
      <c r="G539" t="n">
        <v>10.2</v>
      </c>
      <c r="H539" t="n">
        <v>0</v>
      </c>
      <c r="I539" t="n">
        <v>0</v>
      </c>
      <c r="J539" t="n">
        <v>0</v>
      </c>
      <c r="K539" t="n">
        <v>0</v>
      </c>
      <c r="L539" t="n">
        <v>0</v>
      </c>
      <c r="M539" t="n">
        <v>0</v>
      </c>
      <c r="N539" t="n">
        <v>0</v>
      </c>
      <c r="O539" t="n">
        <v>0</v>
      </c>
      <c r="P539" t="n">
        <v>0</v>
      </c>
      <c r="Q539" t="n">
        <v>0</v>
      </c>
      <c r="R539" s="2" t="inlineStr"/>
    </row>
    <row r="540" ht="15" customHeight="1">
      <c r="A540" t="inlineStr">
        <is>
          <t>A 30350-2025</t>
        </is>
      </c>
      <c r="B540" s="1" t="n">
        <v>45827.53319444445</v>
      </c>
      <c r="C540" s="1" t="n">
        <v>45895</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30352-2025</t>
        </is>
      </c>
      <c r="B541" s="1" t="n">
        <v>45827</v>
      </c>
      <c r="C541" s="1" t="n">
        <v>45895</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36590-2025</t>
        </is>
      </c>
      <c r="B542" s="1" t="n">
        <v>45870</v>
      </c>
      <c r="C542" s="1" t="n">
        <v>45895</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38883-2024</t>
        </is>
      </c>
      <c r="B543" s="1" t="n">
        <v>45547</v>
      </c>
      <c r="C543" s="1" t="n">
        <v>45895</v>
      </c>
      <c r="D543" t="inlineStr">
        <is>
          <t>SÖDERMANLANDS LÄN</t>
        </is>
      </c>
      <c r="E543" t="inlineStr">
        <is>
          <t>KATRINEHOLM</t>
        </is>
      </c>
      <c r="G543" t="n">
        <v>3.1</v>
      </c>
      <c r="H543" t="n">
        <v>0</v>
      </c>
      <c r="I543" t="n">
        <v>0</v>
      </c>
      <c r="J543" t="n">
        <v>0</v>
      </c>
      <c r="K543" t="n">
        <v>0</v>
      </c>
      <c r="L543" t="n">
        <v>0</v>
      </c>
      <c r="M543" t="n">
        <v>0</v>
      </c>
      <c r="N543" t="n">
        <v>0</v>
      </c>
      <c r="O543" t="n">
        <v>0</v>
      </c>
      <c r="P543" t="n">
        <v>0</v>
      </c>
      <c r="Q543" t="n">
        <v>0</v>
      </c>
      <c r="R543" s="2" t="inlineStr"/>
    </row>
    <row r="544" ht="15" customHeight="1">
      <c r="A544" t="inlineStr">
        <is>
          <t>A 30386-2025</t>
        </is>
      </c>
      <c r="B544" s="1" t="n">
        <v>45827</v>
      </c>
      <c r="C544" s="1" t="n">
        <v>45895</v>
      </c>
      <c r="D544" t="inlineStr">
        <is>
          <t>SÖDERMANLANDS LÄN</t>
        </is>
      </c>
      <c r="E544" t="inlineStr">
        <is>
          <t>KATRINEHOLM</t>
        </is>
      </c>
      <c r="G544" t="n">
        <v>5.6</v>
      </c>
      <c r="H544" t="n">
        <v>0</v>
      </c>
      <c r="I544" t="n">
        <v>0</v>
      </c>
      <c r="J544" t="n">
        <v>0</v>
      </c>
      <c r="K544" t="n">
        <v>0</v>
      </c>
      <c r="L544" t="n">
        <v>0</v>
      </c>
      <c r="M544" t="n">
        <v>0</v>
      </c>
      <c r="N544" t="n">
        <v>0</v>
      </c>
      <c r="O544" t="n">
        <v>0</v>
      </c>
      <c r="P544" t="n">
        <v>0</v>
      </c>
      <c r="Q544" t="n">
        <v>0</v>
      </c>
      <c r="R544" s="2" t="inlineStr"/>
    </row>
    <row r="545" ht="15" customHeight="1">
      <c r="A545" t="inlineStr">
        <is>
          <t>A 30402-2025</t>
        </is>
      </c>
      <c r="B545" s="1" t="n">
        <v>45827</v>
      </c>
      <c r="C545" s="1" t="n">
        <v>45895</v>
      </c>
      <c r="D545" t="inlineStr">
        <is>
          <t>SÖDERMANLANDS LÄN</t>
        </is>
      </c>
      <c r="E545" t="inlineStr">
        <is>
          <t>KATRINEHOLM</t>
        </is>
      </c>
      <c r="G545" t="n">
        <v>7.1</v>
      </c>
      <c r="H545" t="n">
        <v>0</v>
      </c>
      <c r="I545" t="n">
        <v>0</v>
      </c>
      <c r="J545" t="n">
        <v>0</v>
      </c>
      <c r="K545" t="n">
        <v>0</v>
      </c>
      <c r="L545" t="n">
        <v>0</v>
      </c>
      <c r="M545" t="n">
        <v>0</v>
      </c>
      <c r="N545" t="n">
        <v>0</v>
      </c>
      <c r="O545" t="n">
        <v>0</v>
      </c>
      <c r="P545" t="n">
        <v>0</v>
      </c>
      <c r="Q545" t="n">
        <v>0</v>
      </c>
      <c r="R545" s="2" t="inlineStr"/>
    </row>
    <row r="546" ht="15" customHeight="1">
      <c r="A546" t="inlineStr">
        <is>
          <t>A 18339-2023</t>
        </is>
      </c>
      <c r="B546" s="1" t="n">
        <v>45041</v>
      </c>
      <c r="C546" s="1" t="n">
        <v>45895</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58522-2024</t>
        </is>
      </c>
      <c r="B547" s="1" t="n">
        <v>45635.43770833333</v>
      </c>
      <c r="C547" s="1" t="n">
        <v>45895</v>
      </c>
      <c r="D547" t="inlineStr">
        <is>
          <t>SÖDERMANLANDS LÄN</t>
        </is>
      </c>
      <c r="E547" t="inlineStr">
        <is>
          <t>KATRINEHOLM</t>
        </is>
      </c>
      <c r="G547" t="n">
        <v>2</v>
      </c>
      <c r="H547" t="n">
        <v>0</v>
      </c>
      <c r="I547" t="n">
        <v>0</v>
      </c>
      <c r="J547" t="n">
        <v>0</v>
      </c>
      <c r="K547" t="n">
        <v>0</v>
      </c>
      <c r="L547" t="n">
        <v>0</v>
      </c>
      <c r="M547" t="n">
        <v>0</v>
      </c>
      <c r="N547" t="n">
        <v>0</v>
      </c>
      <c r="O547" t="n">
        <v>0</v>
      </c>
      <c r="P547" t="n">
        <v>0</v>
      </c>
      <c r="Q547" t="n">
        <v>0</v>
      </c>
      <c r="R547" s="2" t="inlineStr"/>
    </row>
    <row r="548" ht="15" customHeight="1">
      <c r="A548" t="inlineStr">
        <is>
          <t>A 43649-2020</t>
        </is>
      </c>
      <c r="B548" s="1" t="n">
        <v>44082</v>
      </c>
      <c r="C548" s="1" t="n">
        <v>45895</v>
      </c>
      <c r="D548" t="inlineStr">
        <is>
          <t>SÖDERMANLANDS LÄN</t>
        </is>
      </c>
      <c r="E548" t="inlineStr">
        <is>
          <t>KATRINEHOLM</t>
        </is>
      </c>
      <c r="G548" t="n">
        <v>6.9</v>
      </c>
      <c r="H548" t="n">
        <v>0</v>
      </c>
      <c r="I548" t="n">
        <v>0</v>
      </c>
      <c r="J548" t="n">
        <v>0</v>
      </c>
      <c r="K548" t="n">
        <v>0</v>
      </c>
      <c r="L548" t="n">
        <v>0</v>
      </c>
      <c r="M548" t="n">
        <v>0</v>
      </c>
      <c r="N548" t="n">
        <v>0</v>
      </c>
      <c r="O548" t="n">
        <v>0</v>
      </c>
      <c r="P548" t="n">
        <v>0</v>
      </c>
      <c r="Q548" t="n">
        <v>0</v>
      </c>
      <c r="R548" s="2" t="inlineStr"/>
    </row>
    <row r="549" ht="15" customHeight="1">
      <c r="A549" t="inlineStr">
        <is>
          <t>A 4667-2024</t>
        </is>
      </c>
      <c r="B549" s="1" t="n">
        <v>45328.47</v>
      </c>
      <c r="C549" s="1" t="n">
        <v>45895</v>
      </c>
      <c r="D549" t="inlineStr">
        <is>
          <t>SÖDERMANLANDS LÄN</t>
        </is>
      </c>
      <c r="E549" t="inlineStr">
        <is>
          <t>KATRINEHOLM</t>
        </is>
      </c>
      <c r="F549" t="inlineStr">
        <is>
          <t>Övriga Aktiebolag</t>
        </is>
      </c>
      <c r="G549" t="n">
        <v>10.2</v>
      </c>
      <c r="H549" t="n">
        <v>0</v>
      </c>
      <c r="I549" t="n">
        <v>0</v>
      </c>
      <c r="J549" t="n">
        <v>0</v>
      </c>
      <c r="K549" t="n">
        <v>0</v>
      </c>
      <c r="L549" t="n">
        <v>0</v>
      </c>
      <c r="M549" t="n">
        <v>0</v>
      </c>
      <c r="N549" t="n">
        <v>0</v>
      </c>
      <c r="O549" t="n">
        <v>0</v>
      </c>
      <c r="P549" t="n">
        <v>0</v>
      </c>
      <c r="Q549" t="n">
        <v>0</v>
      </c>
      <c r="R549" s="2" t="inlineStr"/>
    </row>
    <row r="550" ht="15" customHeight="1">
      <c r="A550" t="inlineStr">
        <is>
          <t>A 39704-2023</t>
        </is>
      </c>
      <c r="B550" s="1" t="n">
        <v>45167</v>
      </c>
      <c r="C550" s="1" t="n">
        <v>45895</v>
      </c>
      <c r="D550" t="inlineStr">
        <is>
          <t>SÖDERMANLANDS LÄN</t>
        </is>
      </c>
      <c r="E550" t="inlineStr">
        <is>
          <t>KATRINEHOLM</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16087-2023</t>
        </is>
      </c>
      <c r="B551" s="1" t="n">
        <v>45026</v>
      </c>
      <c r="C551" s="1" t="n">
        <v>45895</v>
      </c>
      <c r="D551" t="inlineStr">
        <is>
          <t>SÖDERMANLANDS LÄN</t>
        </is>
      </c>
      <c r="E551" t="inlineStr">
        <is>
          <t>KATRINEHOLM</t>
        </is>
      </c>
      <c r="G551" t="n">
        <v>2</v>
      </c>
      <c r="H551" t="n">
        <v>0</v>
      </c>
      <c r="I551" t="n">
        <v>0</v>
      </c>
      <c r="J551" t="n">
        <v>0</v>
      </c>
      <c r="K551" t="n">
        <v>0</v>
      </c>
      <c r="L551" t="n">
        <v>0</v>
      </c>
      <c r="M551" t="n">
        <v>0</v>
      </c>
      <c r="N551" t="n">
        <v>0</v>
      </c>
      <c r="O551" t="n">
        <v>0</v>
      </c>
      <c r="P551" t="n">
        <v>0</v>
      </c>
      <c r="Q551" t="n">
        <v>0</v>
      </c>
      <c r="R551" s="2" t="inlineStr"/>
    </row>
    <row r="552" ht="15" customHeight="1">
      <c r="A552" t="inlineStr">
        <is>
          <t>A 61867-2020</t>
        </is>
      </c>
      <c r="B552" s="1" t="n">
        <v>44159</v>
      </c>
      <c r="C552" s="1" t="n">
        <v>45895</v>
      </c>
      <c r="D552" t="inlineStr">
        <is>
          <t>SÖDERMANLANDS LÄN</t>
        </is>
      </c>
      <c r="E552" t="inlineStr">
        <is>
          <t>KATRINEHOLM</t>
        </is>
      </c>
      <c r="G552" t="n">
        <v>2.9</v>
      </c>
      <c r="H552" t="n">
        <v>0</v>
      </c>
      <c r="I552" t="n">
        <v>0</v>
      </c>
      <c r="J552" t="n">
        <v>0</v>
      </c>
      <c r="K552" t="n">
        <v>0</v>
      </c>
      <c r="L552" t="n">
        <v>0</v>
      </c>
      <c r="M552" t="n">
        <v>0</v>
      </c>
      <c r="N552" t="n">
        <v>0</v>
      </c>
      <c r="O552" t="n">
        <v>0</v>
      </c>
      <c r="P552" t="n">
        <v>0</v>
      </c>
      <c r="Q552" t="n">
        <v>0</v>
      </c>
      <c r="R552" s="2" t="inlineStr"/>
    </row>
    <row r="553" ht="15" customHeight="1">
      <c r="A553" t="inlineStr">
        <is>
          <t>A 28652-2024</t>
        </is>
      </c>
      <c r="B553" s="1" t="n">
        <v>45478</v>
      </c>
      <c r="C553" s="1" t="n">
        <v>45895</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47889-2023</t>
        </is>
      </c>
      <c r="B554" s="1" t="n">
        <v>45204</v>
      </c>
      <c r="C554" s="1" t="n">
        <v>45895</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34732-2022</t>
        </is>
      </c>
      <c r="B555" s="1" t="n">
        <v>44795</v>
      </c>
      <c r="C555" s="1" t="n">
        <v>45895</v>
      </c>
      <c r="D555" t="inlineStr">
        <is>
          <t>SÖDERMANLANDS LÄN</t>
        </is>
      </c>
      <c r="E555" t="inlineStr">
        <is>
          <t>KATRINEHOLM</t>
        </is>
      </c>
      <c r="G555" t="n">
        <v>3</v>
      </c>
      <c r="H555" t="n">
        <v>0</v>
      </c>
      <c r="I555" t="n">
        <v>0</v>
      </c>
      <c r="J555" t="n">
        <v>0</v>
      </c>
      <c r="K555" t="n">
        <v>0</v>
      </c>
      <c r="L555" t="n">
        <v>0</v>
      </c>
      <c r="M555" t="n">
        <v>0</v>
      </c>
      <c r="N555" t="n">
        <v>0</v>
      </c>
      <c r="O555" t="n">
        <v>0</v>
      </c>
      <c r="P555" t="n">
        <v>0</v>
      </c>
      <c r="Q555" t="n">
        <v>0</v>
      </c>
      <c r="R555" s="2" t="inlineStr"/>
    </row>
    <row r="556" ht="15" customHeight="1">
      <c r="A556" t="inlineStr">
        <is>
          <t>A 42791-2023</t>
        </is>
      </c>
      <c r="B556" s="1" t="n">
        <v>45181.92876157408</v>
      </c>
      <c r="C556" s="1" t="n">
        <v>45895</v>
      </c>
      <c r="D556" t="inlineStr">
        <is>
          <t>SÖDERMANLANDS LÄN</t>
        </is>
      </c>
      <c r="E556" t="inlineStr">
        <is>
          <t>KATRINEHOLM</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42792-2023</t>
        </is>
      </c>
      <c r="B557" s="1" t="n">
        <v>45181.95491898148</v>
      </c>
      <c r="C557" s="1" t="n">
        <v>45895</v>
      </c>
      <c r="D557" t="inlineStr">
        <is>
          <t>SÖDERMANLANDS LÄN</t>
        </is>
      </c>
      <c r="E557" t="inlineStr">
        <is>
          <t>KATRINEHOLM</t>
        </is>
      </c>
      <c r="G557" t="n">
        <v>1.3</v>
      </c>
      <c r="H557" t="n">
        <v>0</v>
      </c>
      <c r="I557" t="n">
        <v>0</v>
      </c>
      <c r="J557" t="n">
        <v>0</v>
      </c>
      <c r="K557" t="n">
        <v>0</v>
      </c>
      <c r="L557" t="n">
        <v>0</v>
      </c>
      <c r="M557" t="n">
        <v>0</v>
      </c>
      <c r="N557" t="n">
        <v>0</v>
      </c>
      <c r="O557" t="n">
        <v>0</v>
      </c>
      <c r="P557" t="n">
        <v>0</v>
      </c>
      <c r="Q557" t="n">
        <v>0</v>
      </c>
      <c r="R557" s="2" t="inlineStr"/>
    </row>
    <row r="558" ht="15" customHeight="1">
      <c r="A558" t="inlineStr">
        <is>
          <t>A 31740-2022</t>
        </is>
      </c>
      <c r="B558" s="1" t="n">
        <v>44776</v>
      </c>
      <c r="C558" s="1" t="n">
        <v>45895</v>
      </c>
      <c r="D558" t="inlineStr">
        <is>
          <t>SÖDERMANLANDS LÄN</t>
        </is>
      </c>
      <c r="E558" t="inlineStr">
        <is>
          <t>KATRINEHOLM</t>
        </is>
      </c>
      <c r="G558" t="n">
        <v>1.1</v>
      </c>
      <c r="H558" t="n">
        <v>0</v>
      </c>
      <c r="I558" t="n">
        <v>0</v>
      </c>
      <c r="J558" t="n">
        <v>0</v>
      </c>
      <c r="K558" t="n">
        <v>0</v>
      </c>
      <c r="L558" t="n">
        <v>0</v>
      </c>
      <c r="M558" t="n">
        <v>0</v>
      </c>
      <c r="N558" t="n">
        <v>0</v>
      </c>
      <c r="O558" t="n">
        <v>0</v>
      </c>
      <c r="P558" t="n">
        <v>0</v>
      </c>
      <c r="Q558" t="n">
        <v>0</v>
      </c>
      <c r="R558" s="2" t="inlineStr"/>
    </row>
    <row r="559" ht="15" customHeight="1">
      <c r="A559" t="inlineStr">
        <is>
          <t>A 32166-2022</t>
        </is>
      </c>
      <c r="B559" s="1" t="n">
        <v>44781</v>
      </c>
      <c r="C559" s="1" t="n">
        <v>45895</v>
      </c>
      <c r="D559" t="inlineStr">
        <is>
          <t>SÖDERMANLANDS LÄN</t>
        </is>
      </c>
      <c r="E559" t="inlineStr">
        <is>
          <t>KATRINEHOLM</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32169-2022</t>
        </is>
      </c>
      <c r="B560" s="1" t="n">
        <v>44781</v>
      </c>
      <c r="C560" s="1" t="n">
        <v>45895</v>
      </c>
      <c r="D560" t="inlineStr">
        <is>
          <t>SÖDERMANLANDS LÄN</t>
        </is>
      </c>
      <c r="E560" t="inlineStr">
        <is>
          <t>KATRINEHOLM</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35864-2023</t>
        </is>
      </c>
      <c r="B561" s="1" t="n">
        <v>45147</v>
      </c>
      <c r="C561" s="1" t="n">
        <v>45895</v>
      </c>
      <c r="D561" t="inlineStr">
        <is>
          <t>SÖDERMANLANDS LÄN</t>
        </is>
      </c>
      <c r="E561" t="inlineStr">
        <is>
          <t>KATRINEHOLM</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48619-2020</t>
        </is>
      </c>
      <c r="B562" s="1" t="n">
        <v>44103</v>
      </c>
      <c r="C562" s="1" t="n">
        <v>45895</v>
      </c>
      <c r="D562" t="inlineStr">
        <is>
          <t>SÖDERMANLANDS LÄN</t>
        </is>
      </c>
      <c r="E562" t="inlineStr">
        <is>
          <t>KATRINEHOLM</t>
        </is>
      </c>
      <c r="F562" t="inlineStr">
        <is>
          <t>Övriga statliga verk och myndigheter</t>
        </is>
      </c>
      <c r="G562" t="n">
        <v>0.9</v>
      </c>
      <c r="H562" t="n">
        <v>0</v>
      </c>
      <c r="I562" t="n">
        <v>0</v>
      </c>
      <c r="J562" t="n">
        <v>0</v>
      </c>
      <c r="K562" t="n">
        <v>0</v>
      </c>
      <c r="L562" t="n">
        <v>0</v>
      </c>
      <c r="M562" t="n">
        <v>0</v>
      </c>
      <c r="N562" t="n">
        <v>0</v>
      </c>
      <c r="O562" t="n">
        <v>0</v>
      </c>
      <c r="P562" t="n">
        <v>0</v>
      </c>
      <c r="Q562" t="n">
        <v>0</v>
      </c>
      <c r="R562" s="2" t="inlineStr"/>
    </row>
    <row r="563" ht="15" customHeight="1">
      <c r="A563" t="inlineStr">
        <is>
          <t>A 31376-2025</t>
        </is>
      </c>
      <c r="B563" s="1" t="n">
        <v>45833</v>
      </c>
      <c r="C563" s="1" t="n">
        <v>45895</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4679-2023</t>
        </is>
      </c>
      <c r="B564" s="1" t="n">
        <v>44957.44885416667</v>
      </c>
      <c r="C564" s="1" t="n">
        <v>45895</v>
      </c>
      <c r="D564" t="inlineStr">
        <is>
          <t>SÖDERMANLANDS LÄN</t>
        </is>
      </c>
      <c r="E564" t="inlineStr">
        <is>
          <t>KATRINEHOLM</t>
        </is>
      </c>
      <c r="G564" t="n">
        <v>5.3</v>
      </c>
      <c r="H564" t="n">
        <v>0</v>
      </c>
      <c r="I564" t="n">
        <v>0</v>
      </c>
      <c r="J564" t="n">
        <v>0</v>
      </c>
      <c r="K564" t="n">
        <v>0</v>
      </c>
      <c r="L564" t="n">
        <v>0</v>
      </c>
      <c r="M564" t="n">
        <v>0</v>
      </c>
      <c r="N564" t="n">
        <v>0</v>
      </c>
      <c r="O564" t="n">
        <v>0</v>
      </c>
      <c r="P564" t="n">
        <v>0</v>
      </c>
      <c r="Q564" t="n">
        <v>0</v>
      </c>
      <c r="R564" s="2" t="inlineStr"/>
    </row>
    <row r="565" ht="15" customHeight="1">
      <c r="A565" t="inlineStr">
        <is>
          <t>A 44637-2023</t>
        </is>
      </c>
      <c r="B565" s="1" t="n">
        <v>45189</v>
      </c>
      <c r="C565" s="1" t="n">
        <v>45895</v>
      </c>
      <c r="D565" t="inlineStr">
        <is>
          <t>SÖDERMANLANDS LÄN</t>
        </is>
      </c>
      <c r="E565" t="inlineStr">
        <is>
          <t>KATRINEHOLM</t>
        </is>
      </c>
      <c r="G565" t="n">
        <v>5.1</v>
      </c>
      <c r="H565" t="n">
        <v>0</v>
      </c>
      <c r="I565" t="n">
        <v>0</v>
      </c>
      <c r="J565" t="n">
        <v>0</v>
      </c>
      <c r="K565" t="n">
        <v>0</v>
      </c>
      <c r="L565" t="n">
        <v>0</v>
      </c>
      <c r="M565" t="n">
        <v>0</v>
      </c>
      <c r="N565" t="n">
        <v>0</v>
      </c>
      <c r="O565" t="n">
        <v>0</v>
      </c>
      <c r="P565" t="n">
        <v>0</v>
      </c>
      <c r="Q565" t="n">
        <v>0</v>
      </c>
      <c r="R565" s="2" t="inlineStr"/>
    </row>
    <row r="566" ht="15" customHeight="1">
      <c r="A566" t="inlineStr">
        <is>
          <t>A 6087-2021</t>
        </is>
      </c>
      <c r="B566" s="1" t="n">
        <v>44232</v>
      </c>
      <c r="C566" s="1" t="n">
        <v>45895</v>
      </c>
      <c r="D566" t="inlineStr">
        <is>
          <t>SÖDERMANLANDS LÄN</t>
        </is>
      </c>
      <c r="E566" t="inlineStr">
        <is>
          <t>KATRINEHOLM</t>
        </is>
      </c>
      <c r="G566" t="n">
        <v>2.6</v>
      </c>
      <c r="H566" t="n">
        <v>0</v>
      </c>
      <c r="I566" t="n">
        <v>0</v>
      </c>
      <c r="J566" t="n">
        <v>0</v>
      </c>
      <c r="K566" t="n">
        <v>0</v>
      </c>
      <c r="L566" t="n">
        <v>0</v>
      </c>
      <c r="M566" t="n">
        <v>0</v>
      </c>
      <c r="N566" t="n">
        <v>0</v>
      </c>
      <c r="O566" t="n">
        <v>0</v>
      </c>
      <c r="P566" t="n">
        <v>0</v>
      </c>
      <c r="Q566" t="n">
        <v>0</v>
      </c>
      <c r="R566" s="2" t="inlineStr"/>
    </row>
    <row r="567" ht="15" customHeight="1">
      <c r="A567" t="inlineStr">
        <is>
          <t>A 48528-2021</t>
        </is>
      </c>
      <c r="B567" s="1" t="n">
        <v>44449</v>
      </c>
      <c r="C567" s="1" t="n">
        <v>45895</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48398-2022</t>
        </is>
      </c>
      <c r="B568" s="1" t="n">
        <v>44858.60809027778</v>
      </c>
      <c r="C568" s="1" t="n">
        <v>45895</v>
      </c>
      <c r="D568" t="inlineStr">
        <is>
          <t>SÖDERMANLANDS LÄN</t>
        </is>
      </c>
      <c r="E568" t="inlineStr">
        <is>
          <t>KATRINEHOLM</t>
        </is>
      </c>
      <c r="G568" t="n">
        <v>1.9</v>
      </c>
      <c r="H568" t="n">
        <v>0</v>
      </c>
      <c r="I568" t="n">
        <v>0</v>
      </c>
      <c r="J568" t="n">
        <v>0</v>
      </c>
      <c r="K568" t="n">
        <v>0</v>
      </c>
      <c r="L568" t="n">
        <v>0</v>
      </c>
      <c r="M568" t="n">
        <v>0</v>
      </c>
      <c r="N568" t="n">
        <v>0</v>
      </c>
      <c r="O568" t="n">
        <v>0</v>
      </c>
      <c r="P568" t="n">
        <v>0</v>
      </c>
      <c r="Q568" t="n">
        <v>0</v>
      </c>
      <c r="R568" s="2" t="inlineStr"/>
    </row>
    <row r="569" ht="15" customHeight="1">
      <c r="A569" t="inlineStr">
        <is>
          <t>A 31392-2025</t>
        </is>
      </c>
      <c r="B569" s="1" t="n">
        <v>45833</v>
      </c>
      <c r="C569" s="1" t="n">
        <v>45895</v>
      </c>
      <c r="D569" t="inlineStr">
        <is>
          <t>SÖDERMANLANDS LÄN</t>
        </is>
      </c>
      <c r="E569" t="inlineStr">
        <is>
          <t>KATRINEHOLM</t>
        </is>
      </c>
      <c r="G569" t="n">
        <v>5</v>
      </c>
      <c r="H569" t="n">
        <v>0</v>
      </c>
      <c r="I569" t="n">
        <v>0</v>
      </c>
      <c r="J569" t="n">
        <v>0</v>
      </c>
      <c r="K569" t="n">
        <v>0</v>
      </c>
      <c r="L569" t="n">
        <v>0</v>
      </c>
      <c r="M569" t="n">
        <v>0</v>
      </c>
      <c r="N569" t="n">
        <v>0</v>
      </c>
      <c r="O569" t="n">
        <v>0</v>
      </c>
      <c r="P569" t="n">
        <v>0</v>
      </c>
      <c r="Q569" t="n">
        <v>0</v>
      </c>
      <c r="R569" s="2" t="inlineStr"/>
    </row>
    <row r="570" ht="15" customHeight="1">
      <c r="A570" t="inlineStr">
        <is>
          <t>A 6753-2022</t>
        </is>
      </c>
      <c r="B570" s="1" t="n">
        <v>44602</v>
      </c>
      <c r="C570" s="1" t="n">
        <v>45895</v>
      </c>
      <c r="D570" t="inlineStr">
        <is>
          <t>SÖDERMANLANDS LÄN</t>
        </is>
      </c>
      <c r="E570" t="inlineStr">
        <is>
          <t>KATRINEHOLM</t>
        </is>
      </c>
      <c r="G570" t="n">
        <v>4.3</v>
      </c>
      <c r="H570" t="n">
        <v>0</v>
      </c>
      <c r="I570" t="n">
        <v>0</v>
      </c>
      <c r="J570" t="n">
        <v>0</v>
      </c>
      <c r="K570" t="n">
        <v>0</v>
      </c>
      <c r="L570" t="n">
        <v>0</v>
      </c>
      <c r="M570" t="n">
        <v>0</v>
      </c>
      <c r="N570" t="n">
        <v>0</v>
      </c>
      <c r="O570" t="n">
        <v>0</v>
      </c>
      <c r="P570" t="n">
        <v>0</v>
      </c>
      <c r="Q570" t="n">
        <v>0</v>
      </c>
      <c r="R570" s="2" t="inlineStr"/>
    </row>
    <row r="571" ht="15" customHeight="1">
      <c r="A571" t="inlineStr">
        <is>
          <t>A 15184-2023</t>
        </is>
      </c>
      <c r="B571" s="1" t="n">
        <v>45016</v>
      </c>
      <c r="C571" s="1" t="n">
        <v>45895</v>
      </c>
      <c r="D571" t="inlineStr">
        <is>
          <t>SÖDERMANLANDS LÄN</t>
        </is>
      </c>
      <c r="E571" t="inlineStr">
        <is>
          <t>KATRINEHOLM</t>
        </is>
      </c>
      <c r="G571" t="n">
        <v>1.1</v>
      </c>
      <c r="H571" t="n">
        <v>0</v>
      </c>
      <c r="I571" t="n">
        <v>0</v>
      </c>
      <c r="J571" t="n">
        <v>0</v>
      </c>
      <c r="K571" t="n">
        <v>0</v>
      </c>
      <c r="L571" t="n">
        <v>0</v>
      </c>
      <c r="M571" t="n">
        <v>0</v>
      </c>
      <c r="N571" t="n">
        <v>0</v>
      </c>
      <c r="O571" t="n">
        <v>0</v>
      </c>
      <c r="P571" t="n">
        <v>0</v>
      </c>
      <c r="Q571" t="n">
        <v>0</v>
      </c>
      <c r="R571" s="2" t="inlineStr"/>
    </row>
    <row r="572" ht="15" customHeight="1">
      <c r="A572" t="inlineStr">
        <is>
          <t>A 39055-2022</t>
        </is>
      </c>
      <c r="B572" s="1" t="n">
        <v>44817</v>
      </c>
      <c r="C572" s="1" t="n">
        <v>45895</v>
      </c>
      <c r="D572" t="inlineStr">
        <is>
          <t>SÖDERMANLANDS LÄN</t>
        </is>
      </c>
      <c r="E572" t="inlineStr">
        <is>
          <t>KATRINEHOLM</t>
        </is>
      </c>
      <c r="F572" t="inlineStr">
        <is>
          <t>Övriga Aktiebolag</t>
        </is>
      </c>
      <c r="G572" t="n">
        <v>0.6</v>
      </c>
      <c r="H572" t="n">
        <v>0</v>
      </c>
      <c r="I572" t="n">
        <v>0</v>
      </c>
      <c r="J572" t="n">
        <v>0</v>
      </c>
      <c r="K572" t="n">
        <v>0</v>
      </c>
      <c r="L572" t="n">
        <v>0</v>
      </c>
      <c r="M572" t="n">
        <v>0</v>
      </c>
      <c r="N572" t="n">
        <v>0</v>
      </c>
      <c r="O572" t="n">
        <v>0</v>
      </c>
      <c r="P572" t="n">
        <v>0</v>
      </c>
      <c r="Q572" t="n">
        <v>0</v>
      </c>
      <c r="R572" s="2" t="inlineStr"/>
    </row>
    <row r="573" ht="15" customHeight="1">
      <c r="A573" t="inlineStr">
        <is>
          <t>A 38826-2021</t>
        </is>
      </c>
      <c r="B573" s="1" t="n">
        <v>44411</v>
      </c>
      <c r="C573" s="1" t="n">
        <v>45895</v>
      </c>
      <c r="D573" t="inlineStr">
        <is>
          <t>SÖDERMANLANDS LÄN</t>
        </is>
      </c>
      <c r="E573" t="inlineStr">
        <is>
          <t>KATRINEHOLM</t>
        </is>
      </c>
      <c r="G573" t="n">
        <v>3.1</v>
      </c>
      <c r="H573" t="n">
        <v>0</v>
      </c>
      <c r="I573" t="n">
        <v>0</v>
      </c>
      <c r="J573" t="n">
        <v>0</v>
      </c>
      <c r="K573" t="n">
        <v>0</v>
      </c>
      <c r="L573" t="n">
        <v>0</v>
      </c>
      <c r="M573" t="n">
        <v>0</v>
      </c>
      <c r="N573" t="n">
        <v>0</v>
      </c>
      <c r="O573" t="n">
        <v>0</v>
      </c>
      <c r="P573" t="n">
        <v>0</v>
      </c>
      <c r="Q573" t="n">
        <v>0</v>
      </c>
      <c r="R573" s="2" t="inlineStr"/>
    </row>
    <row r="574" ht="15" customHeight="1">
      <c r="A574" t="inlineStr">
        <is>
          <t>A 31386-2025</t>
        </is>
      </c>
      <c r="B574" s="1" t="n">
        <v>45833.45259259259</v>
      </c>
      <c r="C574" s="1" t="n">
        <v>45895</v>
      </c>
      <c r="D574" t="inlineStr">
        <is>
          <t>SÖDERMANLANDS LÄN</t>
        </is>
      </c>
      <c r="E574" t="inlineStr">
        <is>
          <t>KATRINEHOLM</t>
        </is>
      </c>
      <c r="F574" t="inlineStr">
        <is>
          <t>Övriga Aktiebolag</t>
        </is>
      </c>
      <c r="G574" t="n">
        <v>2.2</v>
      </c>
      <c r="H574" t="n">
        <v>0</v>
      </c>
      <c r="I574" t="n">
        <v>0</v>
      </c>
      <c r="J574" t="n">
        <v>0</v>
      </c>
      <c r="K574" t="n">
        <v>0</v>
      </c>
      <c r="L574" t="n">
        <v>0</v>
      </c>
      <c r="M574" t="n">
        <v>0</v>
      </c>
      <c r="N574" t="n">
        <v>0</v>
      </c>
      <c r="O574" t="n">
        <v>0</v>
      </c>
      <c r="P574" t="n">
        <v>0</v>
      </c>
      <c r="Q574" t="n">
        <v>0</v>
      </c>
      <c r="R574" s="2" t="inlineStr"/>
    </row>
    <row r="575" ht="15" customHeight="1">
      <c r="A575" t="inlineStr">
        <is>
          <t>A 37043-2025</t>
        </is>
      </c>
      <c r="B575" s="1" t="n">
        <v>45875.3396412037</v>
      </c>
      <c r="C575" s="1" t="n">
        <v>45895</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2297-2021</t>
        </is>
      </c>
      <c r="B576" s="1" t="n">
        <v>44212</v>
      </c>
      <c r="C576" s="1" t="n">
        <v>45895</v>
      </c>
      <c r="D576" t="inlineStr">
        <is>
          <t>SÖDERMANLANDS LÄN</t>
        </is>
      </c>
      <c r="E576" t="inlineStr">
        <is>
          <t>KATRINEHOLM</t>
        </is>
      </c>
      <c r="G576" t="n">
        <v>14.4</v>
      </c>
      <c r="H576" t="n">
        <v>0</v>
      </c>
      <c r="I576" t="n">
        <v>0</v>
      </c>
      <c r="J576" t="n">
        <v>0</v>
      </c>
      <c r="K576" t="n">
        <v>0</v>
      </c>
      <c r="L576" t="n">
        <v>0</v>
      </c>
      <c r="M576" t="n">
        <v>0</v>
      </c>
      <c r="N576" t="n">
        <v>0</v>
      </c>
      <c r="O576" t="n">
        <v>0</v>
      </c>
      <c r="P576" t="n">
        <v>0</v>
      </c>
      <c r="Q576" t="n">
        <v>0</v>
      </c>
      <c r="R576" s="2" t="inlineStr"/>
    </row>
    <row r="577" ht="15" customHeight="1">
      <c r="A577" t="inlineStr">
        <is>
          <t>A 9388-2021</t>
        </is>
      </c>
      <c r="B577" s="1" t="n">
        <v>44250</v>
      </c>
      <c r="C577" s="1" t="n">
        <v>45895</v>
      </c>
      <c r="D577" t="inlineStr">
        <is>
          <t>SÖDERMANLANDS LÄN</t>
        </is>
      </c>
      <c r="E577" t="inlineStr">
        <is>
          <t>KATRINEHOLM</t>
        </is>
      </c>
      <c r="G577" t="n">
        <v>5.4</v>
      </c>
      <c r="H577" t="n">
        <v>0</v>
      </c>
      <c r="I577" t="n">
        <v>0</v>
      </c>
      <c r="J577" t="n">
        <v>0</v>
      </c>
      <c r="K577" t="n">
        <v>0</v>
      </c>
      <c r="L577" t="n">
        <v>0</v>
      </c>
      <c r="M577" t="n">
        <v>0</v>
      </c>
      <c r="N577" t="n">
        <v>0</v>
      </c>
      <c r="O577" t="n">
        <v>0</v>
      </c>
      <c r="P577" t="n">
        <v>0</v>
      </c>
      <c r="Q577" t="n">
        <v>0</v>
      </c>
      <c r="R577" s="2" t="inlineStr"/>
    </row>
    <row r="578" ht="15" customHeight="1">
      <c r="A578" t="inlineStr">
        <is>
          <t>A 44783-2020</t>
        </is>
      </c>
      <c r="B578" s="1" t="n">
        <v>44085</v>
      </c>
      <c r="C578" s="1" t="n">
        <v>45895</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46257-2021</t>
        </is>
      </c>
      <c r="B579" s="1" t="n">
        <v>44442</v>
      </c>
      <c r="C579" s="1" t="n">
        <v>45895</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52769-2023</t>
        </is>
      </c>
      <c r="B580" s="1" t="n">
        <v>45226</v>
      </c>
      <c r="C580" s="1" t="n">
        <v>45895</v>
      </c>
      <c r="D580" t="inlineStr">
        <is>
          <t>SÖDERMANLANDS LÄN</t>
        </is>
      </c>
      <c r="E580" t="inlineStr">
        <is>
          <t>KATRINEHOLM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4758-2025</t>
        </is>
      </c>
      <c r="B581" s="1" t="n">
        <v>45688</v>
      </c>
      <c r="C581" s="1" t="n">
        <v>45895</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27852-2023</t>
        </is>
      </c>
      <c r="B582" s="1" t="n">
        <v>45098</v>
      </c>
      <c r="C582" s="1" t="n">
        <v>45895</v>
      </c>
      <c r="D582" t="inlineStr">
        <is>
          <t>SÖDERMANLANDS LÄN</t>
        </is>
      </c>
      <c r="E582" t="inlineStr">
        <is>
          <t>KATRINEHOLM</t>
        </is>
      </c>
      <c r="G582" t="n">
        <v>7.4</v>
      </c>
      <c r="H582" t="n">
        <v>0</v>
      </c>
      <c r="I582" t="n">
        <v>0</v>
      </c>
      <c r="J582" t="n">
        <v>0</v>
      </c>
      <c r="K582" t="n">
        <v>0</v>
      </c>
      <c r="L582" t="n">
        <v>0</v>
      </c>
      <c r="M582" t="n">
        <v>0</v>
      </c>
      <c r="N582" t="n">
        <v>0</v>
      </c>
      <c r="O582" t="n">
        <v>0</v>
      </c>
      <c r="P582" t="n">
        <v>0</v>
      </c>
      <c r="Q582" t="n">
        <v>0</v>
      </c>
      <c r="R582" s="2" t="inlineStr"/>
    </row>
    <row r="583" ht="15" customHeight="1">
      <c r="A583" t="inlineStr">
        <is>
          <t>A 42641-2020</t>
        </is>
      </c>
      <c r="B583" s="1" t="n">
        <v>44075</v>
      </c>
      <c r="C583" s="1" t="n">
        <v>45895</v>
      </c>
      <c r="D583" t="inlineStr">
        <is>
          <t>SÖDERMANLANDS LÄN</t>
        </is>
      </c>
      <c r="E583" t="inlineStr">
        <is>
          <t>KATRINEHOLM</t>
        </is>
      </c>
      <c r="G583" t="n">
        <v>2.8</v>
      </c>
      <c r="H583" t="n">
        <v>0</v>
      </c>
      <c r="I583" t="n">
        <v>0</v>
      </c>
      <c r="J583" t="n">
        <v>0</v>
      </c>
      <c r="K583" t="n">
        <v>0</v>
      </c>
      <c r="L583" t="n">
        <v>0</v>
      </c>
      <c r="M583" t="n">
        <v>0</v>
      </c>
      <c r="N583" t="n">
        <v>0</v>
      </c>
      <c r="O583" t="n">
        <v>0</v>
      </c>
      <c r="P583" t="n">
        <v>0</v>
      </c>
      <c r="Q583" t="n">
        <v>0</v>
      </c>
      <c r="R583" s="2" t="inlineStr"/>
    </row>
    <row r="584" ht="15" customHeight="1">
      <c r="A584" t="inlineStr">
        <is>
          <t>A 31990-2025</t>
        </is>
      </c>
      <c r="B584" s="1" t="n">
        <v>45835.36697916667</v>
      </c>
      <c r="C584" s="1" t="n">
        <v>45895</v>
      </c>
      <c r="D584" t="inlineStr">
        <is>
          <t>SÖDERMANLANDS LÄN</t>
        </is>
      </c>
      <c r="E584" t="inlineStr">
        <is>
          <t>KATRINEHOLM</t>
        </is>
      </c>
      <c r="G584" t="n">
        <v>0.5</v>
      </c>
      <c r="H584" t="n">
        <v>0</v>
      </c>
      <c r="I584" t="n">
        <v>0</v>
      </c>
      <c r="J584" t="n">
        <v>0</v>
      </c>
      <c r="K584" t="n">
        <v>0</v>
      </c>
      <c r="L584" t="n">
        <v>0</v>
      </c>
      <c r="M584" t="n">
        <v>0</v>
      </c>
      <c r="N584" t="n">
        <v>0</v>
      </c>
      <c r="O584" t="n">
        <v>0</v>
      </c>
      <c r="P584" t="n">
        <v>0</v>
      </c>
      <c r="Q584" t="n">
        <v>0</v>
      </c>
      <c r="R584" s="2" t="inlineStr"/>
    </row>
    <row r="585" ht="15" customHeight="1">
      <c r="A585" t="inlineStr">
        <is>
          <t>A 28304-2024</t>
        </is>
      </c>
      <c r="B585" s="1" t="n">
        <v>45477</v>
      </c>
      <c r="C585" s="1" t="n">
        <v>45895</v>
      </c>
      <c r="D585" t="inlineStr">
        <is>
          <t>SÖDERMANLANDS LÄN</t>
        </is>
      </c>
      <c r="E585" t="inlineStr">
        <is>
          <t>KATRINEHOLM</t>
        </is>
      </c>
      <c r="G585" t="n">
        <v>3.8</v>
      </c>
      <c r="H585" t="n">
        <v>0</v>
      </c>
      <c r="I585" t="n">
        <v>0</v>
      </c>
      <c r="J585" t="n">
        <v>0</v>
      </c>
      <c r="K585" t="n">
        <v>0</v>
      </c>
      <c r="L585" t="n">
        <v>0</v>
      </c>
      <c r="M585" t="n">
        <v>0</v>
      </c>
      <c r="N585" t="n">
        <v>0</v>
      </c>
      <c r="O585" t="n">
        <v>0</v>
      </c>
      <c r="P585" t="n">
        <v>0</v>
      </c>
      <c r="Q585" t="n">
        <v>0</v>
      </c>
      <c r="R585" s="2" t="inlineStr"/>
    </row>
    <row r="586" ht="15" customHeight="1">
      <c r="A586" t="inlineStr">
        <is>
          <t>A 61911-2021</t>
        </is>
      </c>
      <c r="B586" s="1" t="n">
        <v>44502.35746527778</v>
      </c>
      <c r="C586" s="1" t="n">
        <v>45895</v>
      </c>
      <c r="D586" t="inlineStr">
        <is>
          <t>SÖDERMANLANDS LÄN</t>
        </is>
      </c>
      <c r="E586" t="inlineStr">
        <is>
          <t>KATRINEHOLM</t>
        </is>
      </c>
      <c r="G586" t="n">
        <v>3.8</v>
      </c>
      <c r="H586" t="n">
        <v>0</v>
      </c>
      <c r="I586" t="n">
        <v>0</v>
      </c>
      <c r="J586" t="n">
        <v>0</v>
      </c>
      <c r="K586" t="n">
        <v>0</v>
      </c>
      <c r="L586" t="n">
        <v>0</v>
      </c>
      <c r="M586" t="n">
        <v>0</v>
      </c>
      <c r="N586" t="n">
        <v>0</v>
      </c>
      <c r="O586" t="n">
        <v>0</v>
      </c>
      <c r="P586" t="n">
        <v>0</v>
      </c>
      <c r="Q586" t="n">
        <v>0</v>
      </c>
      <c r="R586" s="2" t="inlineStr"/>
    </row>
    <row r="587" ht="15" customHeight="1">
      <c r="A587" t="inlineStr">
        <is>
          <t>A 42945-2023</t>
        </is>
      </c>
      <c r="B587" s="1" t="n">
        <v>45182.5793287037</v>
      </c>
      <c r="C587" s="1" t="n">
        <v>45895</v>
      </c>
      <c r="D587" t="inlineStr">
        <is>
          <t>SÖDERMANLANDS LÄN</t>
        </is>
      </c>
      <c r="E587" t="inlineStr">
        <is>
          <t>KATRINEHOLM</t>
        </is>
      </c>
      <c r="F587" t="inlineStr">
        <is>
          <t>Övriga Aktiebolag</t>
        </is>
      </c>
      <c r="G587" t="n">
        <v>2.2</v>
      </c>
      <c r="H587" t="n">
        <v>0</v>
      </c>
      <c r="I587" t="n">
        <v>0</v>
      </c>
      <c r="J587" t="n">
        <v>0</v>
      </c>
      <c r="K587" t="n">
        <v>0</v>
      </c>
      <c r="L587" t="n">
        <v>0</v>
      </c>
      <c r="M587" t="n">
        <v>0</v>
      </c>
      <c r="N587" t="n">
        <v>0</v>
      </c>
      <c r="O587" t="n">
        <v>0</v>
      </c>
      <c r="P587" t="n">
        <v>0</v>
      </c>
      <c r="Q587" t="n">
        <v>0</v>
      </c>
      <c r="R587" s="2" t="inlineStr"/>
    </row>
    <row r="588" ht="15" customHeight="1">
      <c r="A588" t="inlineStr">
        <is>
          <t>A 42962-2023</t>
        </is>
      </c>
      <c r="B588" s="1" t="n">
        <v>45182</v>
      </c>
      <c r="C588" s="1" t="n">
        <v>45895</v>
      </c>
      <c r="D588" t="inlineStr">
        <is>
          <t>SÖDERMANLANDS LÄN</t>
        </is>
      </c>
      <c r="E588" t="inlineStr">
        <is>
          <t>KATRINEHOLM</t>
        </is>
      </c>
      <c r="F588" t="inlineStr">
        <is>
          <t>Övriga Aktiebolag</t>
        </is>
      </c>
      <c r="G588" t="n">
        <v>10.6</v>
      </c>
      <c r="H588" t="n">
        <v>0</v>
      </c>
      <c r="I588" t="n">
        <v>0</v>
      </c>
      <c r="J588" t="n">
        <v>0</v>
      </c>
      <c r="K588" t="n">
        <v>0</v>
      </c>
      <c r="L588" t="n">
        <v>0</v>
      </c>
      <c r="M588" t="n">
        <v>0</v>
      </c>
      <c r="N588" t="n">
        <v>0</v>
      </c>
      <c r="O588" t="n">
        <v>0</v>
      </c>
      <c r="P588" t="n">
        <v>0</v>
      </c>
      <c r="Q588" t="n">
        <v>0</v>
      </c>
      <c r="R588" s="2" t="inlineStr"/>
    </row>
    <row r="589" ht="15" customHeight="1">
      <c r="A589" t="inlineStr">
        <is>
          <t>A 29830-2023</t>
        </is>
      </c>
      <c r="B589" s="1" t="n">
        <v>45107</v>
      </c>
      <c r="C589" s="1" t="n">
        <v>45895</v>
      </c>
      <c r="D589" t="inlineStr">
        <is>
          <t>SÖDERMANLANDS LÄN</t>
        </is>
      </c>
      <c r="E589" t="inlineStr">
        <is>
          <t>KATRINEHOLM</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65358-2020</t>
        </is>
      </c>
      <c r="B590" s="1" t="n">
        <v>44173</v>
      </c>
      <c r="C590" s="1" t="n">
        <v>45895</v>
      </c>
      <c r="D590" t="inlineStr">
        <is>
          <t>SÖDERMANLANDS LÄN</t>
        </is>
      </c>
      <c r="E590" t="inlineStr">
        <is>
          <t>KATRINEHOLM</t>
        </is>
      </c>
      <c r="G590" t="n">
        <v>1</v>
      </c>
      <c r="H590" t="n">
        <v>0</v>
      </c>
      <c r="I590" t="n">
        <v>0</v>
      </c>
      <c r="J590" t="n">
        <v>0</v>
      </c>
      <c r="K590" t="n">
        <v>0</v>
      </c>
      <c r="L590" t="n">
        <v>0</v>
      </c>
      <c r="M590" t="n">
        <v>0</v>
      </c>
      <c r="N590" t="n">
        <v>0</v>
      </c>
      <c r="O590" t="n">
        <v>0</v>
      </c>
      <c r="P590" t="n">
        <v>0</v>
      </c>
      <c r="Q590" t="n">
        <v>0</v>
      </c>
      <c r="R590" s="2" t="inlineStr"/>
    </row>
    <row r="591" ht="15" customHeight="1">
      <c r="A591" t="inlineStr">
        <is>
          <t>A 62424-2020</t>
        </is>
      </c>
      <c r="B591" s="1" t="n">
        <v>44160</v>
      </c>
      <c r="C591" s="1" t="n">
        <v>45895</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44915-2022</t>
        </is>
      </c>
      <c r="B592" s="1" t="n">
        <v>44840</v>
      </c>
      <c r="C592" s="1" t="n">
        <v>45895</v>
      </c>
      <c r="D592" t="inlineStr">
        <is>
          <t>SÖDERMANLANDS LÄN</t>
        </is>
      </c>
      <c r="E592" t="inlineStr">
        <is>
          <t>KATRINEHOLM</t>
        </is>
      </c>
      <c r="G592" t="n">
        <v>6.3</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44691.52616898148</v>
      </c>
      <c r="C593" s="1" t="n">
        <v>45895</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6628-2022</t>
        </is>
      </c>
      <c r="B594" s="1" t="n">
        <v>44601.78850694445</v>
      </c>
      <c r="C594" s="1" t="n">
        <v>45895</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72984-2021</t>
        </is>
      </c>
      <c r="B595" s="1" t="n">
        <v>44549.74741898148</v>
      </c>
      <c r="C595" s="1" t="n">
        <v>45895</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5953-2021</t>
        </is>
      </c>
      <c r="B596" s="1" t="n">
        <v>44231</v>
      </c>
      <c r="C596" s="1" t="n">
        <v>45895</v>
      </c>
      <c r="D596" t="inlineStr">
        <is>
          <t>SÖDERMANLANDS LÄN</t>
        </is>
      </c>
      <c r="E596" t="inlineStr">
        <is>
          <t>KATRINEHOLM</t>
        </is>
      </c>
      <c r="G596" t="n">
        <v>3.1</v>
      </c>
      <c r="H596" t="n">
        <v>0</v>
      </c>
      <c r="I596" t="n">
        <v>0</v>
      </c>
      <c r="J596" t="n">
        <v>0</v>
      </c>
      <c r="K596" t="n">
        <v>0</v>
      </c>
      <c r="L596" t="n">
        <v>0</v>
      </c>
      <c r="M596" t="n">
        <v>0</v>
      </c>
      <c r="N596" t="n">
        <v>0</v>
      </c>
      <c r="O596" t="n">
        <v>0</v>
      </c>
      <c r="P596" t="n">
        <v>0</v>
      </c>
      <c r="Q596" t="n">
        <v>0</v>
      </c>
      <c r="R596" s="2" t="inlineStr"/>
    </row>
    <row r="597" ht="15" customHeight="1">
      <c r="A597" t="inlineStr">
        <is>
          <t>A 37827-2025</t>
        </is>
      </c>
      <c r="B597" s="1" t="n">
        <v>45881.40907407407</v>
      </c>
      <c r="C597" s="1" t="n">
        <v>45895</v>
      </c>
      <c r="D597" t="inlineStr">
        <is>
          <t>SÖDERMANLANDS LÄN</t>
        </is>
      </c>
      <c r="E597" t="inlineStr">
        <is>
          <t>KATRINEHOLM</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33077-2025</t>
        </is>
      </c>
      <c r="B598" s="1" t="n">
        <v>45840.45864583334</v>
      </c>
      <c r="C598" s="1" t="n">
        <v>45895</v>
      </c>
      <c r="D598" t="inlineStr">
        <is>
          <t>SÖDERMANLANDS LÄN</t>
        </is>
      </c>
      <c r="E598" t="inlineStr">
        <is>
          <t>KATRINEHOLM</t>
        </is>
      </c>
      <c r="G598" t="n">
        <v>7</v>
      </c>
      <c r="H598" t="n">
        <v>0</v>
      </c>
      <c r="I598" t="n">
        <v>0</v>
      </c>
      <c r="J598" t="n">
        <v>0</v>
      </c>
      <c r="K598" t="n">
        <v>0</v>
      </c>
      <c r="L598" t="n">
        <v>0</v>
      </c>
      <c r="M598" t="n">
        <v>0</v>
      </c>
      <c r="N598" t="n">
        <v>0</v>
      </c>
      <c r="O598" t="n">
        <v>0</v>
      </c>
      <c r="P598" t="n">
        <v>0</v>
      </c>
      <c r="Q598" t="n">
        <v>0</v>
      </c>
      <c r="R598" s="2" t="inlineStr"/>
    </row>
    <row r="599" ht="15" customHeight="1">
      <c r="A599" t="inlineStr">
        <is>
          <t>A 55136-2020</t>
        </is>
      </c>
      <c r="B599" s="1" t="n">
        <v>44130</v>
      </c>
      <c r="C599" s="1" t="n">
        <v>45895</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57947-2020</t>
        </is>
      </c>
      <c r="B600" s="1" t="n">
        <v>44142</v>
      </c>
      <c r="C600" s="1" t="n">
        <v>45895</v>
      </c>
      <c r="D600" t="inlineStr">
        <is>
          <t>SÖDERMANLANDS LÄN</t>
        </is>
      </c>
      <c r="E600" t="inlineStr">
        <is>
          <t>KATRINEHOLM</t>
        </is>
      </c>
      <c r="G600" t="n">
        <v>9.6</v>
      </c>
      <c r="H600" t="n">
        <v>0</v>
      </c>
      <c r="I600" t="n">
        <v>0</v>
      </c>
      <c r="J600" t="n">
        <v>0</v>
      </c>
      <c r="K600" t="n">
        <v>0</v>
      </c>
      <c r="L600" t="n">
        <v>0</v>
      </c>
      <c r="M600" t="n">
        <v>0</v>
      </c>
      <c r="N600" t="n">
        <v>0</v>
      </c>
      <c r="O600" t="n">
        <v>0</v>
      </c>
      <c r="P600" t="n">
        <v>0</v>
      </c>
      <c r="Q600" t="n">
        <v>0</v>
      </c>
      <c r="R600" s="2" t="inlineStr"/>
    </row>
    <row r="601" ht="15" customHeight="1">
      <c r="A601" t="inlineStr">
        <is>
          <t>A 48097-2023</t>
        </is>
      </c>
      <c r="B601" s="1" t="n">
        <v>45205.31987268518</v>
      </c>
      <c r="C601" s="1" t="n">
        <v>45895</v>
      </c>
      <c r="D601" t="inlineStr">
        <is>
          <t>SÖDERMANLANDS LÄN</t>
        </is>
      </c>
      <c r="E601" t="inlineStr">
        <is>
          <t>KATRINEHOLM</t>
        </is>
      </c>
      <c r="G601" t="n">
        <v>2.3</v>
      </c>
      <c r="H601" t="n">
        <v>0</v>
      </c>
      <c r="I601" t="n">
        <v>0</v>
      </c>
      <c r="J601" t="n">
        <v>0</v>
      </c>
      <c r="K601" t="n">
        <v>0</v>
      </c>
      <c r="L601" t="n">
        <v>0</v>
      </c>
      <c r="M601" t="n">
        <v>0</v>
      </c>
      <c r="N601" t="n">
        <v>0</v>
      </c>
      <c r="O601" t="n">
        <v>0</v>
      </c>
      <c r="P601" t="n">
        <v>0</v>
      </c>
      <c r="Q601" t="n">
        <v>0</v>
      </c>
      <c r="R601" s="2" t="inlineStr"/>
    </row>
    <row r="602" ht="15" customHeight="1">
      <c r="A602" t="inlineStr">
        <is>
          <t>A 2325-2023</t>
        </is>
      </c>
      <c r="B602" s="1" t="n">
        <v>44942</v>
      </c>
      <c r="C602" s="1" t="n">
        <v>45895</v>
      </c>
      <c r="D602" t="inlineStr">
        <is>
          <t>SÖDERMANLANDS LÄN</t>
        </is>
      </c>
      <c r="E602" t="inlineStr">
        <is>
          <t>KATRINEHOLM</t>
        </is>
      </c>
      <c r="G602" t="n">
        <v>5.6</v>
      </c>
      <c r="H602" t="n">
        <v>0</v>
      </c>
      <c r="I602" t="n">
        <v>0</v>
      </c>
      <c r="J602" t="n">
        <v>0</v>
      </c>
      <c r="K602" t="n">
        <v>0</v>
      </c>
      <c r="L602" t="n">
        <v>0</v>
      </c>
      <c r="M602" t="n">
        <v>0</v>
      </c>
      <c r="N602" t="n">
        <v>0</v>
      </c>
      <c r="O602" t="n">
        <v>0</v>
      </c>
      <c r="P602" t="n">
        <v>0</v>
      </c>
      <c r="Q602" t="n">
        <v>0</v>
      </c>
      <c r="R602" s="2" t="inlineStr"/>
    </row>
    <row r="603" ht="15" customHeight="1">
      <c r="A603" t="inlineStr">
        <is>
          <t>A 46011-2021</t>
        </is>
      </c>
      <c r="B603" s="1" t="n">
        <v>44441.88092592593</v>
      </c>
      <c r="C603" s="1" t="n">
        <v>45895</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57648-2020</t>
        </is>
      </c>
      <c r="B604" s="1" t="n">
        <v>44140.69324074074</v>
      </c>
      <c r="C604" s="1" t="n">
        <v>45895</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45793-2022</t>
        </is>
      </c>
      <c r="B605" s="1" t="n">
        <v>44844</v>
      </c>
      <c r="C605" s="1" t="n">
        <v>45895</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33096-2025</t>
        </is>
      </c>
      <c r="B606" s="1" t="n">
        <v>45840.47563657408</v>
      </c>
      <c r="C606" s="1" t="n">
        <v>45895</v>
      </c>
      <c r="D606" t="inlineStr">
        <is>
          <t>SÖDERMANLANDS LÄN</t>
        </is>
      </c>
      <c r="E606" t="inlineStr">
        <is>
          <t>KATRINEHOLM</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33101-2025</t>
        </is>
      </c>
      <c r="B607" s="1" t="n">
        <v>45840.47953703703</v>
      </c>
      <c r="C607" s="1" t="n">
        <v>45895</v>
      </c>
      <c r="D607" t="inlineStr">
        <is>
          <t>SÖDERMANLANDS LÄN</t>
        </is>
      </c>
      <c r="E607" t="inlineStr">
        <is>
          <t>KATRINEHOLM</t>
        </is>
      </c>
      <c r="G607" t="n">
        <v>4.4</v>
      </c>
      <c r="H607" t="n">
        <v>0</v>
      </c>
      <c r="I607" t="n">
        <v>0</v>
      </c>
      <c r="J607" t="n">
        <v>0</v>
      </c>
      <c r="K607" t="n">
        <v>0</v>
      </c>
      <c r="L607" t="n">
        <v>0</v>
      </c>
      <c r="M607" t="n">
        <v>0</v>
      </c>
      <c r="N607" t="n">
        <v>0</v>
      </c>
      <c r="O607" t="n">
        <v>0</v>
      </c>
      <c r="P607" t="n">
        <v>0</v>
      </c>
      <c r="Q607" t="n">
        <v>0</v>
      </c>
      <c r="R607" s="2" t="inlineStr"/>
    </row>
    <row r="608" ht="15" customHeight="1">
      <c r="A608" t="inlineStr">
        <is>
          <t>A 33090-2025</t>
        </is>
      </c>
      <c r="B608" s="1" t="n">
        <v>45840.46840277778</v>
      </c>
      <c r="C608" s="1" t="n">
        <v>45895</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62140-2022</t>
        </is>
      </c>
      <c r="B609" s="1" t="n">
        <v>44922</v>
      </c>
      <c r="C609" s="1" t="n">
        <v>45895</v>
      </c>
      <c r="D609" t="inlineStr">
        <is>
          <t>SÖDERMANLANDS LÄN</t>
        </is>
      </c>
      <c r="E609" t="inlineStr">
        <is>
          <t>KATRINEHOLM</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40393-2022</t>
        </is>
      </c>
      <c r="B610" s="1" t="n">
        <v>44823</v>
      </c>
      <c r="C610" s="1" t="n">
        <v>45895</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48685-2022</t>
        </is>
      </c>
      <c r="B611" s="1" t="n">
        <v>44859</v>
      </c>
      <c r="C611" s="1" t="n">
        <v>45895</v>
      </c>
      <c r="D611" t="inlineStr">
        <is>
          <t>SÖDERMANLANDS LÄN</t>
        </is>
      </c>
      <c r="E611" t="inlineStr">
        <is>
          <t>KATRINEHOLM</t>
        </is>
      </c>
      <c r="G611" t="n">
        <v>0.5</v>
      </c>
      <c r="H611" t="n">
        <v>0</v>
      </c>
      <c r="I611" t="n">
        <v>0</v>
      </c>
      <c r="J611" t="n">
        <v>0</v>
      </c>
      <c r="K611" t="n">
        <v>0</v>
      </c>
      <c r="L611" t="n">
        <v>0</v>
      </c>
      <c r="M611" t="n">
        <v>0</v>
      </c>
      <c r="N611" t="n">
        <v>0</v>
      </c>
      <c r="O611" t="n">
        <v>0</v>
      </c>
      <c r="P611" t="n">
        <v>0</v>
      </c>
      <c r="Q611" t="n">
        <v>0</v>
      </c>
      <c r="R611" s="2" t="inlineStr"/>
    </row>
    <row r="612" ht="15" customHeight="1">
      <c r="A612" t="inlineStr">
        <is>
          <t>A 36133-2021</t>
        </is>
      </c>
      <c r="B612" s="1" t="n">
        <v>44386</v>
      </c>
      <c r="C612" s="1" t="n">
        <v>45895</v>
      </c>
      <c r="D612" t="inlineStr">
        <is>
          <t>SÖDERMANLANDS LÄN</t>
        </is>
      </c>
      <c r="E612" t="inlineStr">
        <is>
          <t>KATRINEHOLM</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49700-2022</t>
        </is>
      </c>
      <c r="B613" s="1" t="n">
        <v>44862</v>
      </c>
      <c r="C613" s="1" t="n">
        <v>45895</v>
      </c>
      <c r="D613" t="inlineStr">
        <is>
          <t>SÖDERMANLANDS LÄN</t>
        </is>
      </c>
      <c r="E613" t="inlineStr">
        <is>
          <t>KATRINEHOLM</t>
        </is>
      </c>
      <c r="G613" t="n">
        <v>19.5</v>
      </c>
      <c r="H613" t="n">
        <v>0</v>
      </c>
      <c r="I613" t="n">
        <v>0</v>
      </c>
      <c r="J613" t="n">
        <v>0</v>
      </c>
      <c r="K613" t="n">
        <v>0</v>
      </c>
      <c r="L613" t="n">
        <v>0</v>
      </c>
      <c r="M613" t="n">
        <v>0</v>
      </c>
      <c r="N613" t="n">
        <v>0</v>
      </c>
      <c r="O613" t="n">
        <v>0</v>
      </c>
      <c r="P613" t="n">
        <v>0</v>
      </c>
      <c r="Q613" t="n">
        <v>0</v>
      </c>
      <c r="R613" s="2" t="inlineStr"/>
    </row>
    <row r="614" ht="15" customHeight="1">
      <c r="A614" t="inlineStr">
        <is>
          <t>A 33084-2025</t>
        </is>
      </c>
      <c r="B614" s="1" t="n">
        <v>45840.46559027778</v>
      </c>
      <c r="C614" s="1" t="n">
        <v>45895</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33129-2025</t>
        </is>
      </c>
      <c r="B615" s="1" t="n">
        <v>45840.50141203704</v>
      </c>
      <c r="C615" s="1" t="n">
        <v>45895</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42284-2020</t>
        </is>
      </c>
      <c r="B616" s="1" t="n">
        <v>44074</v>
      </c>
      <c r="C616" s="1" t="n">
        <v>45895</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33934-2022</t>
        </is>
      </c>
      <c r="B617" s="1" t="n">
        <v>44790</v>
      </c>
      <c r="C617" s="1" t="n">
        <v>45895</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13171-2024</t>
        </is>
      </c>
      <c r="B618" s="1" t="n">
        <v>45386</v>
      </c>
      <c r="C618" s="1" t="n">
        <v>45895</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59384-2022</t>
        </is>
      </c>
      <c r="B619" s="1" t="n">
        <v>44905</v>
      </c>
      <c r="C619" s="1" t="n">
        <v>45895</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13086-2023</t>
        </is>
      </c>
      <c r="B620" s="1" t="n">
        <v>45002.42188657408</v>
      </c>
      <c r="C620" s="1" t="n">
        <v>45895</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30276-2023</t>
        </is>
      </c>
      <c r="B621" s="1" t="n">
        <v>45110</v>
      </c>
      <c r="C621" s="1" t="n">
        <v>45895</v>
      </c>
      <c r="D621" t="inlineStr">
        <is>
          <t>SÖDERMANLANDS LÄN</t>
        </is>
      </c>
      <c r="E621" t="inlineStr">
        <is>
          <t>KATRINEHOLM</t>
        </is>
      </c>
      <c r="G621" t="n">
        <v>2.3</v>
      </c>
      <c r="H621" t="n">
        <v>0</v>
      </c>
      <c r="I621" t="n">
        <v>0</v>
      </c>
      <c r="J621" t="n">
        <v>0</v>
      </c>
      <c r="K621" t="n">
        <v>0</v>
      </c>
      <c r="L621" t="n">
        <v>0</v>
      </c>
      <c r="M621" t="n">
        <v>0</v>
      </c>
      <c r="N621" t="n">
        <v>0</v>
      </c>
      <c r="O621" t="n">
        <v>0</v>
      </c>
      <c r="P621" t="n">
        <v>0</v>
      </c>
      <c r="Q621" t="n">
        <v>0</v>
      </c>
      <c r="R621" s="2" t="inlineStr"/>
    </row>
    <row r="622" ht="15" customHeight="1">
      <c r="A622" t="inlineStr">
        <is>
          <t>A 19670-2022</t>
        </is>
      </c>
      <c r="B622" s="1" t="n">
        <v>44694</v>
      </c>
      <c r="C622" s="1" t="n">
        <v>45895</v>
      </c>
      <c r="D622" t="inlineStr">
        <is>
          <t>SÖDERMANLANDS LÄN</t>
        </is>
      </c>
      <c r="E622" t="inlineStr">
        <is>
          <t>KATRINEHOLM</t>
        </is>
      </c>
      <c r="G622" t="n">
        <v>13.6</v>
      </c>
      <c r="H622" t="n">
        <v>0</v>
      </c>
      <c r="I622" t="n">
        <v>0</v>
      </c>
      <c r="J622" t="n">
        <v>0</v>
      </c>
      <c r="K622" t="n">
        <v>0</v>
      </c>
      <c r="L622" t="n">
        <v>0</v>
      </c>
      <c r="M622" t="n">
        <v>0</v>
      </c>
      <c r="N622" t="n">
        <v>0</v>
      </c>
      <c r="O622" t="n">
        <v>0</v>
      </c>
      <c r="P622" t="n">
        <v>0</v>
      </c>
      <c r="Q622" t="n">
        <v>0</v>
      </c>
      <c r="R622" s="2" t="inlineStr"/>
    </row>
    <row r="623" ht="15" customHeight="1">
      <c r="A623" t="inlineStr">
        <is>
          <t>A 19107-2022</t>
        </is>
      </c>
      <c r="B623" s="1" t="n">
        <v>44691.54077546296</v>
      </c>
      <c r="C623" s="1" t="n">
        <v>45895</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33577-2025</t>
        </is>
      </c>
      <c r="B624" s="1" t="n">
        <v>45841.59056712963</v>
      </c>
      <c r="C624" s="1" t="n">
        <v>45895</v>
      </c>
      <c r="D624" t="inlineStr">
        <is>
          <t>SÖDERMANLANDS LÄN</t>
        </is>
      </c>
      <c r="E624" t="inlineStr">
        <is>
          <t>KATRINEHOLM</t>
        </is>
      </c>
      <c r="F624" t="inlineStr">
        <is>
          <t>Holmen skog AB</t>
        </is>
      </c>
      <c r="G624" t="n">
        <v>0.3</v>
      </c>
      <c r="H624" t="n">
        <v>0</v>
      </c>
      <c r="I624" t="n">
        <v>0</v>
      </c>
      <c r="J624" t="n">
        <v>0</v>
      </c>
      <c r="K624" t="n">
        <v>0</v>
      </c>
      <c r="L624" t="n">
        <v>0</v>
      </c>
      <c r="M624" t="n">
        <v>0</v>
      </c>
      <c r="N624" t="n">
        <v>0</v>
      </c>
      <c r="O624" t="n">
        <v>0</v>
      </c>
      <c r="P624" t="n">
        <v>0</v>
      </c>
      <c r="Q624" t="n">
        <v>0</v>
      </c>
      <c r="R624" s="2" t="inlineStr"/>
    </row>
    <row r="625" ht="15" customHeight="1">
      <c r="A625" t="inlineStr">
        <is>
          <t>A 57693-2020</t>
        </is>
      </c>
      <c r="B625" s="1" t="n">
        <v>44140</v>
      </c>
      <c r="C625" s="1" t="n">
        <v>45895</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30333-2023</t>
        </is>
      </c>
      <c r="B626" s="1" t="n">
        <v>45111</v>
      </c>
      <c r="C626" s="1" t="n">
        <v>45895</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6175-2023</t>
        </is>
      </c>
      <c r="B627" s="1" t="n">
        <v>44964</v>
      </c>
      <c r="C627" s="1" t="n">
        <v>45895</v>
      </c>
      <c r="D627" t="inlineStr">
        <is>
          <t>SÖDERMANLANDS LÄN</t>
        </is>
      </c>
      <c r="E627" t="inlineStr">
        <is>
          <t>KATRINEHOLM</t>
        </is>
      </c>
      <c r="G627" t="n">
        <v>11.2</v>
      </c>
      <c r="H627" t="n">
        <v>0</v>
      </c>
      <c r="I627" t="n">
        <v>0</v>
      </c>
      <c r="J627" t="n">
        <v>0</v>
      </c>
      <c r="K627" t="n">
        <v>0</v>
      </c>
      <c r="L627" t="n">
        <v>0</v>
      </c>
      <c r="M627" t="n">
        <v>0</v>
      </c>
      <c r="N627" t="n">
        <v>0</v>
      </c>
      <c r="O627" t="n">
        <v>0</v>
      </c>
      <c r="P627" t="n">
        <v>0</v>
      </c>
      <c r="Q627" t="n">
        <v>0</v>
      </c>
      <c r="R627" s="2" t="inlineStr"/>
    </row>
    <row r="628" ht="15" customHeight="1">
      <c r="A628" t="inlineStr">
        <is>
          <t>A 11875-2023</t>
        </is>
      </c>
      <c r="B628" s="1" t="n">
        <v>44995</v>
      </c>
      <c r="C628" s="1" t="n">
        <v>45895</v>
      </c>
      <c r="D628" t="inlineStr">
        <is>
          <t>SÖDERMANLANDS LÄN</t>
        </is>
      </c>
      <c r="E628" t="inlineStr">
        <is>
          <t>KATRINEHOLM</t>
        </is>
      </c>
      <c r="F628" t="inlineStr">
        <is>
          <t>Kommuner</t>
        </is>
      </c>
      <c r="G628" t="n">
        <v>1.1</v>
      </c>
      <c r="H628" t="n">
        <v>0</v>
      </c>
      <c r="I628" t="n">
        <v>0</v>
      </c>
      <c r="J628" t="n">
        <v>0</v>
      </c>
      <c r="K628" t="n">
        <v>0</v>
      </c>
      <c r="L628" t="n">
        <v>0</v>
      </c>
      <c r="M628" t="n">
        <v>0</v>
      </c>
      <c r="N628" t="n">
        <v>0</v>
      </c>
      <c r="O628" t="n">
        <v>0</v>
      </c>
      <c r="P628" t="n">
        <v>0</v>
      </c>
      <c r="Q628" t="n">
        <v>0</v>
      </c>
      <c r="R628" s="2" t="inlineStr"/>
    </row>
    <row r="629" ht="15" customHeight="1">
      <c r="A629" t="inlineStr">
        <is>
          <t>A 6796-2022</t>
        </is>
      </c>
      <c r="B629" s="1" t="n">
        <v>44602</v>
      </c>
      <c r="C629" s="1" t="n">
        <v>45895</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57265-2022</t>
        </is>
      </c>
      <c r="B630" s="1" t="n">
        <v>44895</v>
      </c>
      <c r="C630" s="1" t="n">
        <v>45895</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33469-2025</t>
        </is>
      </c>
      <c r="B631" s="1" t="n">
        <v>45841.48686342593</v>
      </c>
      <c r="C631" s="1" t="n">
        <v>45895</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50316-2023</t>
        </is>
      </c>
      <c r="B632" s="1" t="n">
        <v>45209</v>
      </c>
      <c r="C632" s="1" t="n">
        <v>45895</v>
      </c>
      <c r="D632" t="inlineStr">
        <is>
          <t>SÖDERMANLANDS LÄN</t>
        </is>
      </c>
      <c r="E632" t="inlineStr">
        <is>
          <t>KATRINEHOLM</t>
        </is>
      </c>
      <c r="G632" t="n">
        <v>1.9</v>
      </c>
      <c r="H632" t="n">
        <v>0</v>
      </c>
      <c r="I632" t="n">
        <v>0</v>
      </c>
      <c r="J632" t="n">
        <v>0</v>
      </c>
      <c r="K632" t="n">
        <v>0</v>
      </c>
      <c r="L632" t="n">
        <v>0</v>
      </c>
      <c r="M632" t="n">
        <v>0</v>
      </c>
      <c r="N632" t="n">
        <v>0</v>
      </c>
      <c r="O632" t="n">
        <v>0</v>
      </c>
      <c r="P632" t="n">
        <v>0</v>
      </c>
      <c r="Q632" t="n">
        <v>0</v>
      </c>
      <c r="R632" s="2" t="inlineStr"/>
    </row>
    <row r="633" ht="15" customHeight="1">
      <c r="A633" t="inlineStr">
        <is>
          <t>A 52857-2021</t>
        </is>
      </c>
      <c r="B633" s="1" t="n">
        <v>44466</v>
      </c>
      <c r="C633" s="1" t="n">
        <v>45895</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33812-2025</t>
        </is>
      </c>
      <c r="B634" s="1" t="n">
        <v>45842</v>
      </c>
      <c r="C634" s="1" t="n">
        <v>45895</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13612-2023</t>
        </is>
      </c>
      <c r="B635" s="1" t="n">
        <v>45006</v>
      </c>
      <c r="C635" s="1" t="n">
        <v>45895</v>
      </c>
      <c r="D635" t="inlineStr">
        <is>
          <t>SÖDERMANLANDS LÄN</t>
        </is>
      </c>
      <c r="E635" t="inlineStr">
        <is>
          <t>KATRINEHOLM</t>
        </is>
      </c>
      <c r="G635" t="n">
        <v>2.3</v>
      </c>
      <c r="H635" t="n">
        <v>0</v>
      </c>
      <c r="I635" t="n">
        <v>0</v>
      </c>
      <c r="J635" t="n">
        <v>0</v>
      </c>
      <c r="K635" t="n">
        <v>0</v>
      </c>
      <c r="L635" t="n">
        <v>0</v>
      </c>
      <c r="M635" t="n">
        <v>0</v>
      </c>
      <c r="N635" t="n">
        <v>0</v>
      </c>
      <c r="O635" t="n">
        <v>0</v>
      </c>
      <c r="P635" t="n">
        <v>0</v>
      </c>
      <c r="Q635" t="n">
        <v>0</v>
      </c>
      <c r="R635" s="2" t="inlineStr"/>
    </row>
    <row r="636" ht="15" customHeight="1">
      <c r="A636" t="inlineStr">
        <is>
          <t>A 33815-2025</t>
        </is>
      </c>
      <c r="B636" s="1" t="n">
        <v>45842</v>
      </c>
      <c r="C636" s="1" t="n">
        <v>45895</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60160-2022</t>
        </is>
      </c>
      <c r="B637" s="1" t="n">
        <v>44909</v>
      </c>
      <c r="C637" s="1" t="n">
        <v>45895</v>
      </c>
      <c r="D637" t="inlineStr">
        <is>
          <t>SÖDERMANLANDS LÄN</t>
        </is>
      </c>
      <c r="E637" t="inlineStr">
        <is>
          <t>KATRINEHOLM</t>
        </is>
      </c>
      <c r="F637" t="inlineStr">
        <is>
          <t>Allmännings- och besparingsskogar</t>
        </is>
      </c>
      <c r="G637" t="n">
        <v>2</v>
      </c>
      <c r="H637" t="n">
        <v>0</v>
      </c>
      <c r="I637" t="n">
        <v>0</v>
      </c>
      <c r="J637" t="n">
        <v>0</v>
      </c>
      <c r="K637" t="n">
        <v>0</v>
      </c>
      <c r="L637" t="n">
        <v>0</v>
      </c>
      <c r="M637" t="n">
        <v>0</v>
      </c>
      <c r="N637" t="n">
        <v>0</v>
      </c>
      <c r="O637" t="n">
        <v>0</v>
      </c>
      <c r="P637" t="n">
        <v>0</v>
      </c>
      <c r="Q637" t="n">
        <v>0</v>
      </c>
      <c r="R637" s="2" t="inlineStr"/>
    </row>
    <row r="638" ht="15" customHeight="1">
      <c r="A638" t="inlineStr">
        <is>
          <t>A 19442-2023</t>
        </is>
      </c>
      <c r="B638" s="1" t="n">
        <v>45050</v>
      </c>
      <c r="C638" s="1" t="n">
        <v>45895</v>
      </c>
      <c r="D638" t="inlineStr">
        <is>
          <t>SÖDERMANLANDS LÄN</t>
        </is>
      </c>
      <c r="E638" t="inlineStr">
        <is>
          <t>KATRINEHOLM</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55079-2020</t>
        </is>
      </c>
      <c r="B639" s="1" t="n">
        <v>44130.46172453704</v>
      </c>
      <c r="C639" s="1" t="n">
        <v>45895</v>
      </c>
      <c r="D639" t="inlineStr">
        <is>
          <t>SÖDERMANLANDS LÄN</t>
        </is>
      </c>
      <c r="E639" t="inlineStr">
        <is>
          <t>KATRINEHOLM</t>
        </is>
      </c>
      <c r="G639" t="n">
        <v>2.7</v>
      </c>
      <c r="H639" t="n">
        <v>0</v>
      </c>
      <c r="I639" t="n">
        <v>0</v>
      </c>
      <c r="J639" t="n">
        <v>0</v>
      </c>
      <c r="K639" t="n">
        <v>0</v>
      </c>
      <c r="L639" t="n">
        <v>0</v>
      </c>
      <c r="M639" t="n">
        <v>0</v>
      </c>
      <c r="N639" t="n">
        <v>0</v>
      </c>
      <c r="O639" t="n">
        <v>0</v>
      </c>
      <c r="P639" t="n">
        <v>0</v>
      </c>
      <c r="Q639" t="n">
        <v>0</v>
      </c>
      <c r="R639" s="2" t="inlineStr"/>
    </row>
    <row r="640" ht="15" customHeight="1">
      <c r="A640" t="inlineStr">
        <is>
          <t>A 6762-2025</t>
        </is>
      </c>
      <c r="B640" s="1" t="n">
        <v>45700</v>
      </c>
      <c r="C640" s="1" t="n">
        <v>45895</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50840-2022</t>
        </is>
      </c>
      <c r="B641" s="1" t="n">
        <v>44862</v>
      </c>
      <c r="C641" s="1" t="n">
        <v>45895</v>
      </c>
      <c r="D641" t="inlineStr">
        <is>
          <t>SÖDERMANLANDS LÄN</t>
        </is>
      </c>
      <c r="E641" t="inlineStr">
        <is>
          <t>KATRINEHOLM</t>
        </is>
      </c>
      <c r="G641" t="n">
        <v>4.2</v>
      </c>
      <c r="H641" t="n">
        <v>0</v>
      </c>
      <c r="I641" t="n">
        <v>0</v>
      </c>
      <c r="J641" t="n">
        <v>0</v>
      </c>
      <c r="K641" t="n">
        <v>0</v>
      </c>
      <c r="L641" t="n">
        <v>0</v>
      </c>
      <c r="M641" t="n">
        <v>0</v>
      </c>
      <c r="N641" t="n">
        <v>0</v>
      </c>
      <c r="O641" t="n">
        <v>0</v>
      </c>
      <c r="P641" t="n">
        <v>0</v>
      </c>
      <c r="Q641" t="n">
        <v>0</v>
      </c>
      <c r="R641" s="2" t="inlineStr"/>
    </row>
    <row r="642" ht="15" customHeight="1">
      <c r="A642" t="inlineStr">
        <is>
          <t>A 39068-2022</t>
        </is>
      </c>
      <c r="B642" s="1" t="n">
        <v>44816</v>
      </c>
      <c r="C642" s="1" t="n">
        <v>45895</v>
      </c>
      <c r="D642" t="inlineStr">
        <is>
          <t>SÖDERMANLANDS LÄN</t>
        </is>
      </c>
      <c r="E642" t="inlineStr">
        <is>
          <t>KATRINEHOLM</t>
        </is>
      </c>
      <c r="G642" t="n">
        <v>3.6</v>
      </c>
      <c r="H642" t="n">
        <v>0</v>
      </c>
      <c r="I642" t="n">
        <v>0</v>
      </c>
      <c r="J642" t="n">
        <v>0</v>
      </c>
      <c r="K642" t="n">
        <v>0</v>
      </c>
      <c r="L642" t="n">
        <v>0</v>
      </c>
      <c r="M642" t="n">
        <v>0</v>
      </c>
      <c r="N642" t="n">
        <v>0</v>
      </c>
      <c r="O642" t="n">
        <v>0</v>
      </c>
      <c r="P642" t="n">
        <v>0</v>
      </c>
      <c r="Q642" t="n">
        <v>0</v>
      </c>
      <c r="R642" s="2" t="inlineStr"/>
    </row>
    <row r="643" ht="15" customHeight="1">
      <c r="A643" t="inlineStr">
        <is>
          <t>A 8765-2023</t>
        </is>
      </c>
      <c r="B643" s="1" t="n">
        <v>44978.52131944444</v>
      </c>
      <c r="C643" s="1" t="n">
        <v>45895</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20213-2025</t>
        </is>
      </c>
      <c r="B644" s="1" t="n">
        <v>45772.63453703704</v>
      </c>
      <c r="C644" s="1" t="n">
        <v>45895</v>
      </c>
      <c r="D644" t="inlineStr">
        <is>
          <t>SÖDERMANLANDS LÄN</t>
        </is>
      </c>
      <c r="E644" t="inlineStr">
        <is>
          <t>KATRINEHOLM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57154-2023</t>
        </is>
      </c>
      <c r="B645" s="1" t="n">
        <v>45245</v>
      </c>
      <c r="C645" s="1" t="n">
        <v>45895</v>
      </c>
      <c r="D645" t="inlineStr">
        <is>
          <t>SÖDERMANLANDS LÄN</t>
        </is>
      </c>
      <c r="E645" t="inlineStr">
        <is>
          <t>KATRINEHOLM</t>
        </is>
      </c>
      <c r="F645" t="inlineStr">
        <is>
          <t>Allmännings- och besparingsskogar</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3060-2022</t>
        </is>
      </c>
      <c r="B646" s="1" t="n">
        <v>44582.40109953703</v>
      </c>
      <c r="C646" s="1" t="n">
        <v>45895</v>
      </c>
      <c r="D646" t="inlineStr">
        <is>
          <t>SÖDERMANLANDS LÄN</t>
        </is>
      </c>
      <c r="E646" t="inlineStr">
        <is>
          <t>KATRINEHOLM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21959-2022</t>
        </is>
      </c>
      <c r="B647" s="1" t="n">
        <v>44708</v>
      </c>
      <c r="C647" s="1" t="n">
        <v>45895</v>
      </c>
      <c r="D647" t="inlineStr">
        <is>
          <t>SÖDERMANLANDS LÄN</t>
        </is>
      </c>
      <c r="E647" t="inlineStr">
        <is>
          <t>KATRINEHOLM</t>
        </is>
      </c>
      <c r="G647" t="n">
        <v>1.5</v>
      </c>
      <c r="H647" t="n">
        <v>0</v>
      </c>
      <c r="I647" t="n">
        <v>0</v>
      </c>
      <c r="J647" t="n">
        <v>0</v>
      </c>
      <c r="K647" t="n">
        <v>0</v>
      </c>
      <c r="L647" t="n">
        <v>0</v>
      </c>
      <c r="M647" t="n">
        <v>0</v>
      </c>
      <c r="N647" t="n">
        <v>0</v>
      </c>
      <c r="O647" t="n">
        <v>0</v>
      </c>
      <c r="P647" t="n">
        <v>0</v>
      </c>
      <c r="Q647" t="n">
        <v>0</v>
      </c>
      <c r="R647" s="2" t="inlineStr"/>
    </row>
    <row r="648" ht="15" customHeight="1">
      <c r="A648" t="inlineStr">
        <is>
          <t>A 51530-2023</t>
        </is>
      </c>
      <c r="B648" s="1" t="n">
        <v>45222</v>
      </c>
      <c r="C648" s="1" t="n">
        <v>45895</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6611-2023</t>
        </is>
      </c>
      <c r="B649" s="1" t="n">
        <v>44963</v>
      </c>
      <c r="C649" s="1" t="n">
        <v>45895</v>
      </c>
      <c r="D649" t="inlineStr">
        <is>
          <t>SÖDERMANLANDS LÄN</t>
        </is>
      </c>
      <c r="E649" t="inlineStr">
        <is>
          <t>KATRINEHOLM</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23916-2023</t>
        </is>
      </c>
      <c r="B650" s="1" t="n">
        <v>45075</v>
      </c>
      <c r="C650" s="1" t="n">
        <v>45895</v>
      </c>
      <c r="D650" t="inlineStr">
        <is>
          <t>SÖDERMANLANDS LÄN</t>
        </is>
      </c>
      <c r="E650" t="inlineStr">
        <is>
          <t>KATRINEHOLM</t>
        </is>
      </c>
      <c r="G650" t="n">
        <v>8</v>
      </c>
      <c r="H650" t="n">
        <v>0</v>
      </c>
      <c r="I650" t="n">
        <v>0</v>
      </c>
      <c r="J650" t="n">
        <v>0</v>
      </c>
      <c r="K650" t="n">
        <v>0</v>
      </c>
      <c r="L650" t="n">
        <v>0</v>
      </c>
      <c r="M650" t="n">
        <v>0</v>
      </c>
      <c r="N650" t="n">
        <v>0</v>
      </c>
      <c r="O650" t="n">
        <v>0</v>
      </c>
      <c r="P650" t="n">
        <v>0</v>
      </c>
      <c r="Q650" t="n">
        <v>0</v>
      </c>
      <c r="R650" s="2" t="inlineStr"/>
    </row>
    <row r="651" ht="15" customHeight="1">
      <c r="A651" t="inlineStr">
        <is>
          <t>A 38879-2024</t>
        </is>
      </c>
      <c r="B651" s="1" t="n">
        <v>45547</v>
      </c>
      <c r="C651" s="1" t="n">
        <v>45895</v>
      </c>
      <c r="D651" t="inlineStr">
        <is>
          <t>SÖDERMANLANDS LÄN</t>
        </is>
      </c>
      <c r="E651" t="inlineStr">
        <is>
          <t>KATRINEHOLM</t>
        </is>
      </c>
      <c r="G651" t="n">
        <v>2.6</v>
      </c>
      <c r="H651" t="n">
        <v>0</v>
      </c>
      <c r="I651" t="n">
        <v>0</v>
      </c>
      <c r="J651" t="n">
        <v>0</v>
      </c>
      <c r="K651" t="n">
        <v>0</v>
      </c>
      <c r="L651" t="n">
        <v>0</v>
      </c>
      <c r="M651" t="n">
        <v>0</v>
      </c>
      <c r="N651" t="n">
        <v>0</v>
      </c>
      <c r="O651" t="n">
        <v>0</v>
      </c>
      <c r="P651" t="n">
        <v>0</v>
      </c>
      <c r="Q651" t="n">
        <v>0</v>
      </c>
      <c r="R651" s="2" t="inlineStr"/>
    </row>
    <row r="652" ht="15" customHeight="1">
      <c r="A652" t="inlineStr">
        <is>
          <t>A 64657-2020</t>
        </is>
      </c>
      <c r="B652" s="1" t="n">
        <v>44169</v>
      </c>
      <c r="C652" s="1" t="n">
        <v>45895</v>
      </c>
      <c r="D652" t="inlineStr">
        <is>
          <t>SÖDERMANLANDS LÄN</t>
        </is>
      </c>
      <c r="E652" t="inlineStr">
        <is>
          <t>KATRINEHOLM</t>
        </is>
      </c>
      <c r="F652" t="inlineStr">
        <is>
          <t>Kyrkan</t>
        </is>
      </c>
      <c r="G652" t="n">
        <v>7.6</v>
      </c>
      <c r="H652" t="n">
        <v>0</v>
      </c>
      <c r="I652" t="n">
        <v>0</v>
      </c>
      <c r="J652" t="n">
        <v>0</v>
      </c>
      <c r="K652" t="n">
        <v>0</v>
      </c>
      <c r="L652" t="n">
        <v>0</v>
      </c>
      <c r="M652" t="n">
        <v>0</v>
      </c>
      <c r="N652" t="n">
        <v>0</v>
      </c>
      <c r="O652" t="n">
        <v>0</v>
      </c>
      <c r="P652" t="n">
        <v>0</v>
      </c>
      <c r="Q652" t="n">
        <v>0</v>
      </c>
      <c r="R652" s="2" t="inlineStr"/>
    </row>
    <row r="653" ht="15" customHeight="1">
      <c r="A653" t="inlineStr">
        <is>
          <t>A 50804-2023</t>
        </is>
      </c>
      <c r="B653" s="1" t="n">
        <v>45211</v>
      </c>
      <c r="C653" s="1" t="n">
        <v>45895</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20533-2023</t>
        </is>
      </c>
      <c r="B654" s="1" t="n">
        <v>45057</v>
      </c>
      <c r="C654" s="1" t="n">
        <v>45895</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c r="T654">
        <f>HYPERLINK("https://klasma.github.io/Logging_0483/kartor/A 20533-2023 karta.png", "A 20533-2023")</f>
        <v/>
      </c>
      <c r="V654">
        <f>HYPERLINK("https://klasma.github.io/Logging_0483/klagomål/A 20533-2023 FSC-klagomål.docx", "A 20533-2023")</f>
        <v/>
      </c>
      <c r="W654">
        <f>HYPERLINK("https://klasma.github.io/Logging_0483/klagomålsmail/A 20533-2023 FSC-klagomål mail.docx", "A 20533-2023")</f>
        <v/>
      </c>
      <c r="X654">
        <f>HYPERLINK("https://klasma.github.io/Logging_0483/tillsyn/A 20533-2023 tillsynsbegäran.docx", "A 20533-2023")</f>
        <v/>
      </c>
      <c r="Y654">
        <f>HYPERLINK("https://klasma.github.io/Logging_0483/tillsynsmail/A 20533-2023 tillsynsbegäran mail.docx", "A 20533-2023")</f>
        <v/>
      </c>
      <c r="Z654">
        <f>HYPERLINK("https://klasma.github.io/Logging_0483/fåglar/A 20533-2023 prioriterade fågelarter.docx", "A 20533-2023")</f>
        <v/>
      </c>
    </row>
    <row r="655" ht="15" customHeight="1">
      <c r="A655" t="inlineStr">
        <is>
          <t>A 9437-2022</t>
        </is>
      </c>
      <c r="B655" s="1" t="n">
        <v>44616.69246527777</v>
      </c>
      <c r="C655" s="1" t="n">
        <v>45895</v>
      </c>
      <c r="D655" t="inlineStr">
        <is>
          <t>SÖDERMANLANDS LÄN</t>
        </is>
      </c>
      <c r="E655" t="inlineStr">
        <is>
          <t>KATRINEHOLM</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38708-2025</t>
        </is>
      </c>
      <c r="B656" s="1" t="n">
        <v>45885</v>
      </c>
      <c r="C656" s="1" t="n">
        <v>45895</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43499-2021</t>
        </is>
      </c>
      <c r="B657" s="1" t="n">
        <v>44433</v>
      </c>
      <c r="C657" s="1" t="n">
        <v>45895</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53996-2023</t>
        </is>
      </c>
      <c r="B658" s="1" t="n">
        <v>45231</v>
      </c>
      <c r="C658" s="1" t="n">
        <v>45895</v>
      </c>
      <c r="D658" t="inlineStr">
        <is>
          <t>SÖDERMANLANDS LÄN</t>
        </is>
      </c>
      <c r="E658" t="inlineStr">
        <is>
          <t>KATRINEHOLM</t>
        </is>
      </c>
      <c r="G658" t="n">
        <v>4.9</v>
      </c>
      <c r="H658" t="n">
        <v>0</v>
      </c>
      <c r="I658" t="n">
        <v>0</v>
      </c>
      <c r="J658" t="n">
        <v>0</v>
      </c>
      <c r="K658" t="n">
        <v>0</v>
      </c>
      <c r="L658" t="n">
        <v>0</v>
      </c>
      <c r="M658" t="n">
        <v>0</v>
      </c>
      <c r="N658" t="n">
        <v>0</v>
      </c>
      <c r="O658" t="n">
        <v>0</v>
      </c>
      <c r="P658" t="n">
        <v>0</v>
      </c>
      <c r="Q658" t="n">
        <v>0</v>
      </c>
      <c r="R658" s="2" t="inlineStr"/>
    </row>
    <row r="659" ht="15" customHeight="1">
      <c r="A659" t="inlineStr">
        <is>
          <t>A 33790-2024</t>
        </is>
      </c>
      <c r="B659" s="1" t="n">
        <v>45520.59179398148</v>
      </c>
      <c r="C659" s="1" t="n">
        <v>45895</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25362-2023</t>
        </is>
      </c>
      <c r="B660" s="1" t="n">
        <v>45088.83430555555</v>
      </c>
      <c r="C660" s="1" t="n">
        <v>45895</v>
      </c>
      <c r="D660" t="inlineStr">
        <is>
          <t>SÖDERMANLANDS LÄN</t>
        </is>
      </c>
      <c r="E660" t="inlineStr">
        <is>
          <t>KATRINEHOLM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4662-2023</t>
        </is>
      </c>
      <c r="B661" s="1" t="n">
        <v>44957</v>
      </c>
      <c r="C661" s="1" t="n">
        <v>45895</v>
      </c>
      <c r="D661" t="inlineStr">
        <is>
          <t>SÖDERMANLANDS LÄN</t>
        </is>
      </c>
      <c r="E661" t="inlineStr">
        <is>
          <t>KATRINEHOLM</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19685-2022</t>
        </is>
      </c>
      <c r="B662" s="1" t="n">
        <v>44694</v>
      </c>
      <c r="C662" s="1" t="n">
        <v>45895</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62419-2023</t>
        </is>
      </c>
      <c r="B663" s="1" t="n">
        <v>45268</v>
      </c>
      <c r="C663" s="1" t="n">
        <v>45895</v>
      </c>
      <c r="D663" t="inlineStr">
        <is>
          <t>SÖDERMANLANDS LÄN</t>
        </is>
      </c>
      <c r="E663" t="inlineStr">
        <is>
          <t>KATRINEHOLM</t>
        </is>
      </c>
      <c r="G663" t="n">
        <v>9</v>
      </c>
      <c r="H663" t="n">
        <v>0</v>
      </c>
      <c r="I663" t="n">
        <v>0</v>
      </c>
      <c r="J663" t="n">
        <v>0</v>
      </c>
      <c r="K663" t="n">
        <v>0</v>
      </c>
      <c r="L663" t="n">
        <v>0</v>
      </c>
      <c r="M663" t="n">
        <v>0</v>
      </c>
      <c r="N663" t="n">
        <v>0</v>
      </c>
      <c r="O663" t="n">
        <v>0</v>
      </c>
      <c r="P663" t="n">
        <v>0</v>
      </c>
      <c r="Q663" t="n">
        <v>0</v>
      </c>
      <c r="R663" s="2" t="inlineStr"/>
    </row>
    <row r="664" ht="15" customHeight="1">
      <c r="A664" t="inlineStr">
        <is>
          <t>A 39897-2023</t>
        </is>
      </c>
      <c r="B664" s="1" t="n">
        <v>45168</v>
      </c>
      <c r="C664" s="1" t="n">
        <v>45895</v>
      </c>
      <c r="D664" t="inlineStr">
        <is>
          <t>SÖDERMANLANDS LÄN</t>
        </is>
      </c>
      <c r="E664" t="inlineStr">
        <is>
          <t>KATRINEHOLM</t>
        </is>
      </c>
      <c r="G664" t="n">
        <v>15.6</v>
      </c>
      <c r="H664" t="n">
        <v>0</v>
      </c>
      <c r="I664" t="n">
        <v>0</v>
      </c>
      <c r="J664" t="n">
        <v>0</v>
      </c>
      <c r="K664" t="n">
        <v>0</v>
      </c>
      <c r="L664" t="n">
        <v>0</v>
      </c>
      <c r="M664" t="n">
        <v>0</v>
      </c>
      <c r="N664" t="n">
        <v>0</v>
      </c>
      <c r="O664" t="n">
        <v>0</v>
      </c>
      <c r="P664" t="n">
        <v>0</v>
      </c>
      <c r="Q664" t="n">
        <v>0</v>
      </c>
      <c r="R664" s="2" t="inlineStr"/>
    </row>
    <row r="665" ht="15" customHeight="1">
      <c r="A665" t="inlineStr">
        <is>
          <t>A 23207-2023</t>
        </is>
      </c>
      <c r="B665" s="1" t="n">
        <v>45071</v>
      </c>
      <c r="C665" s="1" t="n">
        <v>45895</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47456-2022</t>
        </is>
      </c>
      <c r="B666" s="1" t="n">
        <v>44852</v>
      </c>
      <c r="C666" s="1" t="n">
        <v>45895</v>
      </c>
      <c r="D666" t="inlineStr">
        <is>
          <t>SÖDERMANLANDS LÄN</t>
        </is>
      </c>
      <c r="E666" t="inlineStr">
        <is>
          <t>KATRINEHOLM</t>
        </is>
      </c>
      <c r="G666" t="n">
        <v>3.7</v>
      </c>
      <c r="H666" t="n">
        <v>0</v>
      </c>
      <c r="I666" t="n">
        <v>0</v>
      </c>
      <c r="J666" t="n">
        <v>0</v>
      </c>
      <c r="K666" t="n">
        <v>0</v>
      </c>
      <c r="L666" t="n">
        <v>0</v>
      </c>
      <c r="M666" t="n">
        <v>0</v>
      </c>
      <c r="N666" t="n">
        <v>0</v>
      </c>
      <c r="O666" t="n">
        <v>0</v>
      </c>
      <c r="P666" t="n">
        <v>0</v>
      </c>
      <c r="Q666" t="n">
        <v>0</v>
      </c>
      <c r="R666" s="2" t="inlineStr"/>
    </row>
    <row r="667" ht="15" customHeight="1">
      <c r="A667" t="inlineStr">
        <is>
          <t>A 42025-2022</t>
        </is>
      </c>
      <c r="B667" s="1" t="n">
        <v>44830.47399305556</v>
      </c>
      <c r="C667" s="1" t="n">
        <v>45895</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23347-2023</t>
        </is>
      </c>
      <c r="B668" s="1" t="n">
        <v>45076</v>
      </c>
      <c r="C668" s="1" t="n">
        <v>45895</v>
      </c>
      <c r="D668" t="inlineStr">
        <is>
          <t>SÖDERMANLANDS LÄN</t>
        </is>
      </c>
      <c r="E668" t="inlineStr">
        <is>
          <t>KATRINEHOLM</t>
        </is>
      </c>
      <c r="G668" t="n">
        <v>4.3</v>
      </c>
      <c r="H668" t="n">
        <v>0</v>
      </c>
      <c r="I668" t="n">
        <v>0</v>
      </c>
      <c r="J668" t="n">
        <v>0</v>
      </c>
      <c r="K668" t="n">
        <v>0</v>
      </c>
      <c r="L668" t="n">
        <v>0</v>
      </c>
      <c r="M668" t="n">
        <v>0</v>
      </c>
      <c r="N668" t="n">
        <v>0</v>
      </c>
      <c r="O668" t="n">
        <v>0</v>
      </c>
      <c r="P668" t="n">
        <v>0</v>
      </c>
      <c r="Q668" t="n">
        <v>0</v>
      </c>
      <c r="R668" s="2" t="inlineStr"/>
    </row>
    <row r="669" ht="15" customHeight="1">
      <c r="A669" t="inlineStr">
        <is>
          <t>A 74354-2021</t>
        </is>
      </c>
      <c r="B669" s="1" t="n">
        <v>44559.57041666667</v>
      </c>
      <c r="C669" s="1" t="n">
        <v>45895</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52348-2021</t>
        </is>
      </c>
      <c r="B670" s="1" t="n">
        <v>44464.49756944444</v>
      </c>
      <c r="C670" s="1" t="n">
        <v>45895</v>
      </c>
      <c r="D670" t="inlineStr">
        <is>
          <t>SÖDERMANLANDS LÄN</t>
        </is>
      </c>
      <c r="E670" t="inlineStr">
        <is>
          <t>KATRINEHOLM</t>
        </is>
      </c>
      <c r="G670" t="n">
        <v>1.5</v>
      </c>
      <c r="H670" t="n">
        <v>0</v>
      </c>
      <c r="I670" t="n">
        <v>0</v>
      </c>
      <c r="J670" t="n">
        <v>0</v>
      </c>
      <c r="K670" t="n">
        <v>0</v>
      </c>
      <c r="L670" t="n">
        <v>0</v>
      </c>
      <c r="M670" t="n">
        <v>0</v>
      </c>
      <c r="N670" t="n">
        <v>0</v>
      </c>
      <c r="O670" t="n">
        <v>0</v>
      </c>
      <c r="P670" t="n">
        <v>0</v>
      </c>
      <c r="Q670" t="n">
        <v>0</v>
      </c>
      <c r="R670" s="2" t="inlineStr"/>
    </row>
    <row r="671" ht="15" customHeight="1">
      <c r="A671" t="inlineStr">
        <is>
          <t>A 8791-2023</t>
        </is>
      </c>
      <c r="B671" s="1" t="n">
        <v>44978</v>
      </c>
      <c r="C671" s="1" t="n">
        <v>45895</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48253-2022</t>
        </is>
      </c>
      <c r="B672" s="1" t="n">
        <v>44858</v>
      </c>
      <c r="C672" s="1" t="n">
        <v>45895</v>
      </c>
      <c r="D672" t="inlineStr">
        <is>
          <t>SÖDERMANLANDS LÄN</t>
        </is>
      </c>
      <c r="E672" t="inlineStr">
        <is>
          <t>KATRINEHOLM</t>
        </is>
      </c>
      <c r="G672" t="n">
        <v>4.7</v>
      </c>
      <c r="H672" t="n">
        <v>0</v>
      </c>
      <c r="I672" t="n">
        <v>0</v>
      </c>
      <c r="J672" t="n">
        <v>0</v>
      </c>
      <c r="K672" t="n">
        <v>0</v>
      </c>
      <c r="L672" t="n">
        <v>0</v>
      </c>
      <c r="M672" t="n">
        <v>0</v>
      </c>
      <c r="N672" t="n">
        <v>0</v>
      </c>
      <c r="O672" t="n">
        <v>0</v>
      </c>
      <c r="P672" t="n">
        <v>0</v>
      </c>
      <c r="Q672" t="n">
        <v>0</v>
      </c>
      <c r="R672" s="2" t="inlineStr"/>
    </row>
    <row r="673" ht="15" customHeight="1">
      <c r="A673" t="inlineStr">
        <is>
          <t>A 35160-2025</t>
        </is>
      </c>
      <c r="B673" s="1" t="n">
        <v>45852.70430555556</v>
      </c>
      <c r="C673" s="1" t="n">
        <v>45895</v>
      </c>
      <c r="D673" t="inlineStr">
        <is>
          <t>SÖDERMANLANDS LÄN</t>
        </is>
      </c>
      <c r="E673" t="inlineStr">
        <is>
          <t>KATRINEHOLM</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35156-2025</t>
        </is>
      </c>
      <c r="B674" s="1" t="n">
        <v>45852</v>
      </c>
      <c r="C674" s="1" t="n">
        <v>45895</v>
      </c>
      <c r="D674" t="inlineStr">
        <is>
          <t>SÖDERMANLANDS LÄN</t>
        </is>
      </c>
      <c r="E674" t="inlineStr">
        <is>
          <t>KATRINEHOLM</t>
        </is>
      </c>
      <c r="G674" t="n">
        <v>5.7</v>
      </c>
      <c r="H674" t="n">
        <v>0</v>
      </c>
      <c r="I674" t="n">
        <v>0</v>
      </c>
      <c r="J674" t="n">
        <v>0</v>
      </c>
      <c r="K674" t="n">
        <v>0</v>
      </c>
      <c r="L674" t="n">
        <v>0</v>
      </c>
      <c r="M674" t="n">
        <v>0</v>
      </c>
      <c r="N674" t="n">
        <v>0</v>
      </c>
      <c r="O674" t="n">
        <v>0</v>
      </c>
      <c r="P674" t="n">
        <v>0</v>
      </c>
      <c r="Q674" t="n">
        <v>0</v>
      </c>
      <c r="R674" s="2" t="inlineStr"/>
    </row>
    <row r="675" ht="15" customHeight="1">
      <c r="A675" t="inlineStr">
        <is>
          <t>A 35228-2025</t>
        </is>
      </c>
      <c r="B675" s="1" t="n">
        <v>45853</v>
      </c>
      <c r="C675" s="1" t="n">
        <v>45895</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56628-2021</t>
        </is>
      </c>
      <c r="B676" s="1" t="n">
        <v>44480</v>
      </c>
      <c r="C676" s="1" t="n">
        <v>45895</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45438-2021</t>
        </is>
      </c>
      <c r="B677" s="1" t="n">
        <v>44440</v>
      </c>
      <c r="C677" s="1" t="n">
        <v>45895</v>
      </c>
      <c r="D677" t="inlineStr">
        <is>
          <t>SÖDERMANLANDS LÄN</t>
        </is>
      </c>
      <c r="E677" t="inlineStr">
        <is>
          <t>KATRINEHOLM</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52134-2020</t>
        </is>
      </c>
      <c r="B678" s="1" t="n">
        <v>44110</v>
      </c>
      <c r="C678" s="1" t="n">
        <v>45895</v>
      </c>
      <c r="D678" t="inlineStr">
        <is>
          <t>SÖDERMANLANDS LÄN</t>
        </is>
      </c>
      <c r="E678" t="inlineStr">
        <is>
          <t>KATRINEHOLM</t>
        </is>
      </c>
      <c r="G678" t="n">
        <v>2.2</v>
      </c>
      <c r="H678" t="n">
        <v>0</v>
      </c>
      <c r="I678" t="n">
        <v>0</v>
      </c>
      <c r="J678" t="n">
        <v>0</v>
      </c>
      <c r="K678" t="n">
        <v>0</v>
      </c>
      <c r="L678" t="n">
        <v>0</v>
      </c>
      <c r="M678" t="n">
        <v>0</v>
      </c>
      <c r="N678" t="n">
        <v>0</v>
      </c>
      <c r="O678" t="n">
        <v>0</v>
      </c>
      <c r="P678" t="n">
        <v>0</v>
      </c>
      <c r="Q678" t="n">
        <v>0</v>
      </c>
      <c r="R678" s="2" t="inlineStr"/>
    </row>
    <row r="679" ht="15" customHeight="1">
      <c r="A679" t="inlineStr">
        <is>
          <t>A 53809-2021</t>
        </is>
      </c>
      <c r="B679" s="1" t="n">
        <v>44467</v>
      </c>
      <c r="C679" s="1" t="n">
        <v>45895</v>
      </c>
      <c r="D679" t="inlineStr">
        <is>
          <t>SÖDERMANLANDS LÄN</t>
        </is>
      </c>
      <c r="E679" t="inlineStr">
        <is>
          <t>KATRINEHOLM</t>
        </is>
      </c>
      <c r="G679" t="n">
        <v>7</v>
      </c>
      <c r="H679" t="n">
        <v>0</v>
      </c>
      <c r="I679" t="n">
        <v>0</v>
      </c>
      <c r="J679" t="n">
        <v>0</v>
      </c>
      <c r="K679" t="n">
        <v>0</v>
      </c>
      <c r="L679" t="n">
        <v>0</v>
      </c>
      <c r="M679" t="n">
        <v>0</v>
      </c>
      <c r="N679" t="n">
        <v>0</v>
      </c>
      <c r="O679" t="n">
        <v>0</v>
      </c>
      <c r="P679" t="n">
        <v>0</v>
      </c>
      <c r="Q679" t="n">
        <v>0</v>
      </c>
      <c r="R679" s="2" t="inlineStr"/>
    </row>
    <row r="680" ht="15" customHeight="1">
      <c r="A680" t="inlineStr">
        <is>
          <t>A 31719-2024</t>
        </is>
      </c>
      <c r="B680" s="1" t="n">
        <v>45509</v>
      </c>
      <c r="C680" s="1" t="n">
        <v>45895</v>
      </c>
      <c r="D680" t="inlineStr">
        <is>
          <t>SÖDERMANLANDS LÄN</t>
        </is>
      </c>
      <c r="E680" t="inlineStr">
        <is>
          <t>KATRINEHOLM</t>
        </is>
      </c>
      <c r="F680" t="inlineStr">
        <is>
          <t>Kyrkan</t>
        </is>
      </c>
      <c r="G680" t="n">
        <v>11.9</v>
      </c>
      <c r="H680" t="n">
        <v>0</v>
      </c>
      <c r="I680" t="n">
        <v>0</v>
      </c>
      <c r="J680" t="n">
        <v>0</v>
      </c>
      <c r="K680" t="n">
        <v>0</v>
      </c>
      <c r="L680" t="n">
        <v>0</v>
      </c>
      <c r="M680" t="n">
        <v>0</v>
      </c>
      <c r="N680" t="n">
        <v>0</v>
      </c>
      <c r="O680" t="n">
        <v>0</v>
      </c>
      <c r="P680" t="n">
        <v>0</v>
      </c>
      <c r="Q680" t="n">
        <v>0</v>
      </c>
      <c r="R680" s="2" t="inlineStr"/>
    </row>
    <row r="681" ht="15" customHeight="1">
      <c r="A681" t="inlineStr">
        <is>
          <t>A 50061-2022</t>
        </is>
      </c>
      <c r="B681" s="1" t="n">
        <v>44865</v>
      </c>
      <c r="C681" s="1" t="n">
        <v>45895</v>
      </c>
      <c r="D681" t="inlineStr">
        <is>
          <t>SÖDERMANLANDS LÄN</t>
        </is>
      </c>
      <c r="E681" t="inlineStr">
        <is>
          <t>KATRINEHOLM</t>
        </is>
      </c>
      <c r="G681" t="n">
        <v>4.9</v>
      </c>
      <c r="H681" t="n">
        <v>0</v>
      </c>
      <c r="I681" t="n">
        <v>0</v>
      </c>
      <c r="J681" t="n">
        <v>0</v>
      </c>
      <c r="K681" t="n">
        <v>0</v>
      </c>
      <c r="L681" t="n">
        <v>0</v>
      </c>
      <c r="M681" t="n">
        <v>0</v>
      </c>
      <c r="N681" t="n">
        <v>0</v>
      </c>
      <c r="O681" t="n">
        <v>0</v>
      </c>
      <c r="P681" t="n">
        <v>0</v>
      </c>
      <c r="Q681" t="n">
        <v>0</v>
      </c>
      <c r="R681" s="2" t="inlineStr"/>
    </row>
    <row r="682" ht="15" customHeight="1">
      <c r="A682" t="inlineStr">
        <is>
          <t>A 10446-2024</t>
        </is>
      </c>
      <c r="B682" s="1" t="n">
        <v>45366</v>
      </c>
      <c r="C682" s="1" t="n">
        <v>45895</v>
      </c>
      <c r="D682" t="inlineStr">
        <is>
          <t>SÖDERMANLANDS LÄN</t>
        </is>
      </c>
      <c r="E682" t="inlineStr">
        <is>
          <t>KATRINEHOLM</t>
        </is>
      </c>
      <c r="G682" t="n">
        <v>2.3</v>
      </c>
      <c r="H682" t="n">
        <v>0</v>
      </c>
      <c r="I682" t="n">
        <v>0</v>
      </c>
      <c r="J682" t="n">
        <v>0</v>
      </c>
      <c r="K682" t="n">
        <v>0</v>
      </c>
      <c r="L682" t="n">
        <v>0</v>
      </c>
      <c r="M682" t="n">
        <v>0</v>
      </c>
      <c r="N682" t="n">
        <v>0</v>
      </c>
      <c r="O682" t="n">
        <v>0</v>
      </c>
      <c r="P682" t="n">
        <v>0</v>
      </c>
      <c r="Q682" t="n">
        <v>0</v>
      </c>
      <c r="R682" s="2" t="inlineStr"/>
    </row>
    <row r="683" ht="15" customHeight="1">
      <c r="A683" t="inlineStr">
        <is>
          <t>A 13175-2024</t>
        </is>
      </c>
      <c r="B683" s="1" t="n">
        <v>45386</v>
      </c>
      <c r="C683" s="1" t="n">
        <v>45895</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35152-2025</t>
        </is>
      </c>
      <c r="B684" s="1" t="n">
        <v>45852</v>
      </c>
      <c r="C684" s="1" t="n">
        <v>45895</v>
      </c>
      <c r="D684" t="inlineStr">
        <is>
          <t>SÖDERMANLANDS LÄN</t>
        </is>
      </c>
      <c r="E684" t="inlineStr">
        <is>
          <t>KATRINEHOLM</t>
        </is>
      </c>
      <c r="G684" t="n">
        <v>4.6</v>
      </c>
      <c r="H684" t="n">
        <v>0</v>
      </c>
      <c r="I684" t="n">
        <v>0</v>
      </c>
      <c r="J684" t="n">
        <v>0</v>
      </c>
      <c r="K684" t="n">
        <v>0</v>
      </c>
      <c r="L684" t="n">
        <v>0</v>
      </c>
      <c r="M684" t="n">
        <v>0</v>
      </c>
      <c r="N684" t="n">
        <v>0</v>
      </c>
      <c r="O684" t="n">
        <v>0</v>
      </c>
      <c r="P684" t="n">
        <v>0</v>
      </c>
      <c r="Q684" t="n">
        <v>0</v>
      </c>
      <c r="R684" s="2" t="inlineStr"/>
    </row>
    <row r="685" ht="15" customHeight="1">
      <c r="A685" t="inlineStr">
        <is>
          <t>A 35165-2025</t>
        </is>
      </c>
      <c r="B685" s="1" t="n">
        <v>45852.72320601852</v>
      </c>
      <c r="C685" s="1" t="n">
        <v>45895</v>
      </c>
      <c r="D685" t="inlineStr">
        <is>
          <t>SÖDERMANLANDS LÄN</t>
        </is>
      </c>
      <c r="E685" t="inlineStr">
        <is>
          <t>KATRINEHOLM</t>
        </is>
      </c>
      <c r="F685" t="inlineStr">
        <is>
          <t>Övriga Aktiebolag</t>
        </is>
      </c>
      <c r="G685" t="n">
        <v>20.7</v>
      </c>
      <c r="H685" t="n">
        <v>0</v>
      </c>
      <c r="I685" t="n">
        <v>0</v>
      </c>
      <c r="J685" t="n">
        <v>0</v>
      </c>
      <c r="K685" t="n">
        <v>0</v>
      </c>
      <c r="L685" t="n">
        <v>0</v>
      </c>
      <c r="M685" t="n">
        <v>0</v>
      </c>
      <c r="N685" t="n">
        <v>0</v>
      </c>
      <c r="O685" t="n">
        <v>0</v>
      </c>
      <c r="P685" t="n">
        <v>0</v>
      </c>
      <c r="Q685" t="n">
        <v>0</v>
      </c>
      <c r="R685" s="2" t="inlineStr"/>
    </row>
    <row r="686" ht="15" customHeight="1">
      <c r="A686" t="inlineStr">
        <is>
          <t>A 40744-2022</t>
        </is>
      </c>
      <c r="B686" s="1" t="n">
        <v>44824.55655092592</v>
      </c>
      <c r="C686" s="1" t="n">
        <v>45895</v>
      </c>
      <c r="D686" t="inlineStr">
        <is>
          <t>SÖDERMANLANDS LÄN</t>
        </is>
      </c>
      <c r="E686" t="inlineStr">
        <is>
          <t>KATRINEHOLM</t>
        </is>
      </c>
      <c r="G686" t="n">
        <v>3.7</v>
      </c>
      <c r="H686" t="n">
        <v>0</v>
      </c>
      <c r="I686" t="n">
        <v>0</v>
      </c>
      <c r="J686" t="n">
        <v>0</v>
      </c>
      <c r="K686" t="n">
        <v>0</v>
      </c>
      <c r="L686" t="n">
        <v>0</v>
      </c>
      <c r="M686" t="n">
        <v>0</v>
      </c>
      <c r="N686" t="n">
        <v>0</v>
      </c>
      <c r="O686" t="n">
        <v>0</v>
      </c>
      <c r="P686" t="n">
        <v>0</v>
      </c>
      <c r="Q686" t="n">
        <v>0</v>
      </c>
      <c r="R686" s="2" t="inlineStr"/>
    </row>
    <row r="687" ht="15" customHeight="1">
      <c r="A687" t="inlineStr">
        <is>
          <t>A 39645-2025</t>
        </is>
      </c>
      <c r="B687" s="1" t="n">
        <v>45890</v>
      </c>
      <c r="C687" s="1" t="n">
        <v>45895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39663-2025</t>
        </is>
      </c>
      <c r="B688" s="1" t="n">
        <v>45890</v>
      </c>
      <c r="C688" s="1" t="n">
        <v>45895</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39668-2025</t>
        </is>
      </c>
      <c r="B689" s="1" t="n">
        <v>45890</v>
      </c>
      <c r="C689" s="1" t="n">
        <v>45895</v>
      </c>
      <c r="D689" t="inlineStr">
        <is>
          <t>SÖDERMANLANDS LÄN</t>
        </is>
      </c>
      <c r="E689" t="inlineStr">
        <is>
          <t>KATRINEHOLM</t>
        </is>
      </c>
      <c r="G689" t="n">
        <v>2.9</v>
      </c>
      <c r="H689" t="n">
        <v>0</v>
      </c>
      <c r="I689" t="n">
        <v>0</v>
      </c>
      <c r="J689" t="n">
        <v>0</v>
      </c>
      <c r="K689" t="n">
        <v>0</v>
      </c>
      <c r="L689" t="n">
        <v>0</v>
      </c>
      <c r="M689" t="n">
        <v>0</v>
      </c>
      <c r="N689" t="n">
        <v>0</v>
      </c>
      <c r="O689" t="n">
        <v>0</v>
      </c>
      <c r="P689" t="n">
        <v>0</v>
      </c>
      <c r="Q689" t="n">
        <v>0</v>
      </c>
      <c r="R689" s="2" t="inlineStr"/>
    </row>
    <row r="690" ht="15" customHeight="1">
      <c r="A690" t="inlineStr">
        <is>
          <t>A 39847-2025</t>
        </is>
      </c>
      <c r="B690" s="1" t="n">
        <v>45891.58381944444</v>
      </c>
      <c r="C690" s="1" t="n">
        <v>45895</v>
      </c>
      <c r="D690" t="inlineStr">
        <is>
          <t>SÖDERMANLANDS LÄN</t>
        </is>
      </c>
      <c r="E690" t="inlineStr">
        <is>
          <t>KATRINEHOLM</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35149-2025</t>
        </is>
      </c>
      <c r="B691" s="1" t="n">
        <v>45852</v>
      </c>
      <c r="C691" s="1" t="n">
        <v>45895</v>
      </c>
      <c r="D691" t="inlineStr">
        <is>
          <t>SÖDERMANLANDS LÄN</t>
        </is>
      </c>
      <c r="E691" t="inlineStr">
        <is>
          <t>KATRINEHOLM</t>
        </is>
      </c>
      <c r="G691" t="n">
        <v>2.3</v>
      </c>
      <c r="H691" t="n">
        <v>0</v>
      </c>
      <c r="I691" t="n">
        <v>0</v>
      </c>
      <c r="J691" t="n">
        <v>0</v>
      </c>
      <c r="K691" t="n">
        <v>0</v>
      </c>
      <c r="L691" t="n">
        <v>0</v>
      </c>
      <c r="M691" t="n">
        <v>0</v>
      </c>
      <c r="N691" t="n">
        <v>0</v>
      </c>
      <c r="O691" t="n">
        <v>0</v>
      </c>
      <c r="P691" t="n">
        <v>0</v>
      </c>
      <c r="Q691" t="n">
        <v>0</v>
      </c>
      <c r="R691" s="2" t="inlineStr"/>
    </row>
    <row r="692" ht="15" customHeight="1">
      <c r="A692" t="inlineStr">
        <is>
          <t>A 35161-2025</t>
        </is>
      </c>
      <c r="B692" s="1" t="n">
        <v>45852.70716435185</v>
      </c>
      <c r="C692" s="1" t="n">
        <v>45895</v>
      </c>
      <c r="D692" t="inlineStr">
        <is>
          <t>SÖDERMANLANDS LÄN</t>
        </is>
      </c>
      <c r="E692" t="inlineStr">
        <is>
          <t>KATRINEHOLM</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35084-2025</t>
        </is>
      </c>
      <c r="B693" s="1" t="n">
        <v>45852</v>
      </c>
      <c r="C693" s="1" t="n">
        <v>45895</v>
      </c>
      <c r="D693" t="inlineStr">
        <is>
          <t>SÖDERMANLANDS LÄN</t>
        </is>
      </c>
      <c r="E693" t="inlineStr">
        <is>
          <t>KATRINEHOLM</t>
        </is>
      </c>
      <c r="G693" t="n">
        <v>3.2</v>
      </c>
      <c r="H693" t="n">
        <v>0</v>
      </c>
      <c r="I693" t="n">
        <v>0</v>
      </c>
      <c r="J693" t="n">
        <v>0</v>
      </c>
      <c r="K693" t="n">
        <v>0</v>
      </c>
      <c r="L693" t="n">
        <v>0</v>
      </c>
      <c r="M693" t="n">
        <v>0</v>
      </c>
      <c r="N693" t="n">
        <v>0</v>
      </c>
      <c r="O693" t="n">
        <v>0</v>
      </c>
      <c r="P693" t="n">
        <v>0</v>
      </c>
      <c r="Q693" t="n">
        <v>0</v>
      </c>
      <c r="R693" s="2" t="inlineStr"/>
    </row>
    <row r="694" ht="15" customHeight="1">
      <c r="A694" t="inlineStr">
        <is>
          <t>A 8761-2023</t>
        </is>
      </c>
      <c r="B694" s="1" t="n">
        <v>44978.49685185185</v>
      </c>
      <c r="C694" s="1" t="n">
        <v>45895</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8778-2023</t>
        </is>
      </c>
      <c r="B695" s="1" t="n">
        <v>44978.5737037037</v>
      </c>
      <c r="C695" s="1" t="n">
        <v>45895</v>
      </c>
      <c r="D695" t="inlineStr">
        <is>
          <t>SÖDERMANLANDS LÄN</t>
        </is>
      </c>
      <c r="E695" t="inlineStr">
        <is>
          <t>KATRINEHOLM</t>
        </is>
      </c>
      <c r="G695" t="n">
        <v>4.5</v>
      </c>
      <c r="H695" t="n">
        <v>0</v>
      </c>
      <c r="I695" t="n">
        <v>0</v>
      </c>
      <c r="J695" t="n">
        <v>0</v>
      </c>
      <c r="K695" t="n">
        <v>0</v>
      </c>
      <c r="L695" t="n">
        <v>0</v>
      </c>
      <c r="M695" t="n">
        <v>0</v>
      </c>
      <c r="N695" t="n">
        <v>0</v>
      </c>
      <c r="O695" t="n">
        <v>0</v>
      </c>
      <c r="P695" t="n">
        <v>0</v>
      </c>
      <c r="Q695" t="n">
        <v>0</v>
      </c>
      <c r="R695" s="2" t="inlineStr"/>
    </row>
    <row r="696" ht="15" customHeight="1">
      <c r="A696" t="inlineStr">
        <is>
          <t>A 35145-2025</t>
        </is>
      </c>
      <c r="B696" s="1" t="n">
        <v>45852</v>
      </c>
      <c r="C696" s="1" t="n">
        <v>45895</v>
      </c>
      <c r="D696" t="inlineStr">
        <is>
          <t>SÖDERMANLANDS LÄN</t>
        </is>
      </c>
      <c r="E696" t="inlineStr">
        <is>
          <t>KATRINEHOLM</t>
        </is>
      </c>
      <c r="G696" t="n">
        <v>3.1</v>
      </c>
      <c r="H696" t="n">
        <v>0</v>
      </c>
      <c r="I696" t="n">
        <v>0</v>
      </c>
      <c r="J696" t="n">
        <v>0</v>
      </c>
      <c r="K696" t="n">
        <v>0</v>
      </c>
      <c r="L696" t="n">
        <v>0</v>
      </c>
      <c r="M696" t="n">
        <v>0</v>
      </c>
      <c r="N696" t="n">
        <v>0</v>
      </c>
      <c r="O696" t="n">
        <v>0</v>
      </c>
      <c r="P696" t="n">
        <v>0</v>
      </c>
      <c r="Q696" t="n">
        <v>0</v>
      </c>
      <c r="R696" s="2" t="inlineStr"/>
    </row>
    <row r="697" ht="15" customHeight="1">
      <c r="A697" t="inlineStr">
        <is>
          <t>A 34439-2025</t>
        </is>
      </c>
      <c r="B697" s="1" t="n">
        <v>45845</v>
      </c>
      <c r="C697" s="1" t="n">
        <v>45895</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39737-2025</t>
        </is>
      </c>
      <c r="B698" s="1" t="n">
        <v>45891</v>
      </c>
      <c r="C698" s="1" t="n">
        <v>45895</v>
      </c>
      <c r="D698" t="inlineStr">
        <is>
          <t>SÖDERMANLANDS LÄN</t>
        </is>
      </c>
      <c r="E698" t="inlineStr">
        <is>
          <t>KATRINEHOLM</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35157-2025</t>
        </is>
      </c>
      <c r="B699" s="1" t="n">
        <v>45852</v>
      </c>
      <c r="C699" s="1" t="n">
        <v>45895</v>
      </c>
      <c r="D699" t="inlineStr">
        <is>
          <t>SÖDERMANLANDS LÄN</t>
        </is>
      </c>
      <c r="E699" t="inlineStr">
        <is>
          <t>KATRINEHOLM</t>
        </is>
      </c>
      <c r="G699" t="n">
        <v>3.7</v>
      </c>
      <c r="H699" t="n">
        <v>0</v>
      </c>
      <c r="I699" t="n">
        <v>0</v>
      </c>
      <c r="J699" t="n">
        <v>0</v>
      </c>
      <c r="K699" t="n">
        <v>0</v>
      </c>
      <c r="L699" t="n">
        <v>0</v>
      </c>
      <c r="M699" t="n">
        <v>0</v>
      </c>
      <c r="N699" t="n">
        <v>0</v>
      </c>
      <c r="O699" t="n">
        <v>0</v>
      </c>
      <c r="P699" t="n">
        <v>0</v>
      </c>
      <c r="Q699" t="n">
        <v>0</v>
      </c>
      <c r="R699" s="2" t="inlineStr"/>
    </row>
    <row r="700" ht="15" customHeight="1">
      <c r="A700" t="inlineStr">
        <is>
          <t>A 35158-2025</t>
        </is>
      </c>
      <c r="B700" s="1" t="n">
        <v>45852</v>
      </c>
      <c r="C700" s="1" t="n">
        <v>45895</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61167-2020</t>
        </is>
      </c>
      <c r="B701" s="1" t="n">
        <v>44155</v>
      </c>
      <c r="C701" s="1" t="n">
        <v>45895</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53860-2021</t>
        </is>
      </c>
      <c r="B702" s="1" t="n">
        <v>44467</v>
      </c>
      <c r="C702" s="1" t="n">
        <v>45895</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57687-2020</t>
        </is>
      </c>
      <c r="B703" s="1" t="n">
        <v>44140</v>
      </c>
      <c r="C703" s="1" t="n">
        <v>45895</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8457-2023</t>
        </is>
      </c>
      <c r="B704" s="1" t="n">
        <v>44977</v>
      </c>
      <c r="C704" s="1" t="n">
        <v>45895</v>
      </c>
      <c r="D704" t="inlineStr">
        <is>
          <t>SÖDERMANLANDS LÄN</t>
        </is>
      </c>
      <c r="E704" t="inlineStr">
        <is>
          <t>KATRINEHOLM</t>
        </is>
      </c>
      <c r="F704" t="inlineStr">
        <is>
          <t>Allmännings- och besparingsskogar</t>
        </is>
      </c>
      <c r="G704" t="n">
        <v>16.1</v>
      </c>
      <c r="H704" t="n">
        <v>0</v>
      </c>
      <c r="I704" t="n">
        <v>0</v>
      </c>
      <c r="J704" t="n">
        <v>0</v>
      </c>
      <c r="K704" t="n">
        <v>0</v>
      </c>
      <c r="L704" t="n">
        <v>0</v>
      </c>
      <c r="M704" t="n">
        <v>0</v>
      </c>
      <c r="N704" t="n">
        <v>0</v>
      </c>
      <c r="O704" t="n">
        <v>0</v>
      </c>
      <c r="P704" t="n">
        <v>0</v>
      </c>
      <c r="Q704" t="n">
        <v>0</v>
      </c>
      <c r="R704" s="2" t="inlineStr"/>
    </row>
    <row r="705" ht="15" customHeight="1">
      <c r="A705" t="inlineStr">
        <is>
          <t>A 23842-2023</t>
        </is>
      </c>
      <c r="B705" s="1" t="n">
        <v>45075</v>
      </c>
      <c r="C705" s="1" t="n">
        <v>45895</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7056-2022</t>
        </is>
      </c>
      <c r="B706" s="1" t="n">
        <v>44603</v>
      </c>
      <c r="C706" s="1" t="n">
        <v>45895</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34263-2023</t>
        </is>
      </c>
      <c r="B707" s="1" t="n">
        <v>45138.60248842592</v>
      </c>
      <c r="C707" s="1" t="n">
        <v>45895</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59308-2020</t>
        </is>
      </c>
      <c r="B708" s="1" t="n">
        <v>44147</v>
      </c>
      <c r="C708" s="1" t="n">
        <v>45895</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46899-2022</t>
        </is>
      </c>
      <c r="B709" s="1" t="n">
        <v>44848</v>
      </c>
      <c r="C709" s="1" t="n">
        <v>45895</v>
      </c>
      <c r="D709" t="inlineStr">
        <is>
          <t>SÖDERMANLANDS LÄN</t>
        </is>
      </c>
      <c r="E709" t="inlineStr">
        <is>
          <t>KATRINEHOLM</t>
        </is>
      </c>
      <c r="G709" t="n">
        <v>2</v>
      </c>
      <c r="H709" t="n">
        <v>0</v>
      </c>
      <c r="I709" t="n">
        <v>0</v>
      </c>
      <c r="J709" t="n">
        <v>0</v>
      </c>
      <c r="K709" t="n">
        <v>0</v>
      </c>
      <c r="L709" t="n">
        <v>0</v>
      </c>
      <c r="M709" t="n">
        <v>0</v>
      </c>
      <c r="N709" t="n">
        <v>0</v>
      </c>
      <c r="O709" t="n">
        <v>0</v>
      </c>
      <c r="P709" t="n">
        <v>0</v>
      </c>
      <c r="Q709" t="n">
        <v>0</v>
      </c>
      <c r="R709" s="2" t="inlineStr"/>
    </row>
    <row r="710" ht="15" customHeight="1">
      <c r="A710" t="inlineStr">
        <is>
          <t>A 55296-2022</t>
        </is>
      </c>
      <c r="B710" s="1" t="n">
        <v>44887</v>
      </c>
      <c r="C710" s="1" t="n">
        <v>45895</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57524-2021</t>
        </is>
      </c>
      <c r="B711" s="1" t="n">
        <v>44483</v>
      </c>
      <c r="C711" s="1" t="n">
        <v>45895</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931-2023</t>
        </is>
      </c>
      <c r="B712" s="1" t="n">
        <v>44932.74261574074</v>
      </c>
      <c r="C712" s="1" t="n">
        <v>45895</v>
      </c>
      <c r="D712" t="inlineStr">
        <is>
          <t>SÖDERMANLANDS LÄN</t>
        </is>
      </c>
      <c r="E712" t="inlineStr">
        <is>
          <t>KATRINEHOLM</t>
        </is>
      </c>
      <c r="G712" t="n">
        <v>4</v>
      </c>
      <c r="H712" t="n">
        <v>0</v>
      </c>
      <c r="I712" t="n">
        <v>0</v>
      </c>
      <c r="J712" t="n">
        <v>0</v>
      </c>
      <c r="K712" t="n">
        <v>0</v>
      </c>
      <c r="L712" t="n">
        <v>0</v>
      </c>
      <c r="M712" t="n">
        <v>0</v>
      </c>
      <c r="N712" t="n">
        <v>0</v>
      </c>
      <c r="O712" t="n">
        <v>0</v>
      </c>
      <c r="P712" t="n">
        <v>0</v>
      </c>
      <c r="Q712" t="n">
        <v>0</v>
      </c>
      <c r="R712" s="2" t="inlineStr"/>
    </row>
    <row r="713" ht="15" customHeight="1">
      <c r="A713" t="inlineStr">
        <is>
          <t>A 55171-2023</t>
        </is>
      </c>
      <c r="B713" s="1" t="n">
        <v>45231</v>
      </c>
      <c r="C713" s="1" t="n">
        <v>45895</v>
      </c>
      <c r="D713" t="inlineStr">
        <is>
          <t>SÖDERMANLANDS LÄN</t>
        </is>
      </c>
      <c r="E713" t="inlineStr">
        <is>
          <t>KATRINEHOLM</t>
        </is>
      </c>
      <c r="G713" t="n">
        <v>4.2</v>
      </c>
      <c r="H713" t="n">
        <v>0</v>
      </c>
      <c r="I713" t="n">
        <v>0</v>
      </c>
      <c r="J713" t="n">
        <v>0</v>
      </c>
      <c r="K713" t="n">
        <v>0</v>
      </c>
      <c r="L713" t="n">
        <v>0</v>
      </c>
      <c r="M713" t="n">
        <v>0</v>
      </c>
      <c r="N713" t="n">
        <v>0</v>
      </c>
      <c r="O713" t="n">
        <v>0</v>
      </c>
      <c r="P713" t="n">
        <v>0</v>
      </c>
      <c r="Q713" t="n">
        <v>0</v>
      </c>
      <c r="R713" s="2" t="inlineStr"/>
    </row>
    <row r="714" ht="15" customHeight="1">
      <c r="A714" t="inlineStr">
        <is>
          <t>A 32786-2022</t>
        </is>
      </c>
      <c r="B714" s="1" t="n">
        <v>44784</v>
      </c>
      <c r="C714" s="1" t="n">
        <v>45895</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7223-2022</t>
        </is>
      </c>
      <c r="B715" s="1" t="n">
        <v>44603</v>
      </c>
      <c r="C715" s="1" t="n">
        <v>45895</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7459-2022</t>
        </is>
      </c>
      <c r="B716" s="1" t="n">
        <v>44607.35009259259</v>
      </c>
      <c r="C716" s="1" t="n">
        <v>45895</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27375-2024</t>
        </is>
      </c>
      <c r="B717" s="1" t="n">
        <v>45473.87645833333</v>
      </c>
      <c r="C717" s="1" t="n">
        <v>45895</v>
      </c>
      <c r="D717" t="inlineStr">
        <is>
          <t>SÖDERMANLANDS LÄN</t>
        </is>
      </c>
      <c r="E717" t="inlineStr">
        <is>
          <t>KATRINEHOLM</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53393-2023</t>
        </is>
      </c>
      <c r="B718" s="1" t="n">
        <v>45229</v>
      </c>
      <c r="C718" s="1" t="n">
        <v>45895</v>
      </c>
      <c r="D718" t="inlineStr">
        <is>
          <t>SÖDERMANLANDS LÄN</t>
        </is>
      </c>
      <c r="E718" t="inlineStr">
        <is>
          <t>KATRINEHOLM</t>
        </is>
      </c>
      <c r="F718" t="inlineStr">
        <is>
          <t>Kyrkan</t>
        </is>
      </c>
      <c r="G718" t="n">
        <v>5.6</v>
      </c>
      <c r="H718" t="n">
        <v>0</v>
      </c>
      <c r="I718" t="n">
        <v>0</v>
      </c>
      <c r="J718" t="n">
        <v>0</v>
      </c>
      <c r="K718" t="n">
        <v>0</v>
      </c>
      <c r="L718" t="n">
        <v>0</v>
      </c>
      <c r="M718" t="n">
        <v>0</v>
      </c>
      <c r="N718" t="n">
        <v>0</v>
      </c>
      <c r="O718" t="n">
        <v>0</v>
      </c>
      <c r="P718" t="n">
        <v>0</v>
      </c>
      <c r="Q718" t="n">
        <v>0</v>
      </c>
      <c r="R718" s="2" t="inlineStr"/>
    </row>
    <row r="719" ht="15" customHeight="1">
      <c r="A719" t="inlineStr">
        <is>
          <t>A 20768-2022</t>
        </is>
      </c>
      <c r="B719" s="1" t="n">
        <v>44701.36431712963</v>
      </c>
      <c r="C719" s="1" t="n">
        <v>45895</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ht="15" customHeight="1">
      <c r="A720" t="inlineStr">
        <is>
          <t>A 15284-2023</t>
        </is>
      </c>
      <c r="B720" s="1" t="n">
        <v>45019</v>
      </c>
      <c r="C720" s="1" t="n">
        <v>45895</v>
      </c>
      <c r="D720" t="inlineStr">
        <is>
          <t>SÖDERMANLANDS LÄN</t>
        </is>
      </c>
      <c r="E720" t="inlineStr">
        <is>
          <t>KATRINEHOLM</t>
        </is>
      </c>
      <c r="F720" t="inlineStr">
        <is>
          <t>Allmännings- och besparingsskogar</t>
        </is>
      </c>
      <c r="G720" t="n">
        <v>17.4</v>
      </c>
      <c r="H720" t="n">
        <v>0</v>
      </c>
      <c r="I720" t="n">
        <v>0</v>
      </c>
      <c r="J720" t="n">
        <v>0</v>
      </c>
      <c r="K720" t="n">
        <v>0</v>
      </c>
      <c r="L720" t="n">
        <v>0</v>
      </c>
      <c r="M720" t="n">
        <v>0</v>
      </c>
      <c r="N720" t="n">
        <v>0</v>
      </c>
      <c r="O720" t="n">
        <v>0</v>
      </c>
      <c r="P720" t="n">
        <v>0</v>
      </c>
      <c r="Q720" t="n">
        <v>0</v>
      </c>
      <c r="R720" s="2" t="inlineStr"/>
    </row>
    <row r="721" ht="15" customHeight="1">
      <c r="A721" t="inlineStr">
        <is>
          <t>A 51613-2022</t>
        </is>
      </c>
      <c r="B721" s="1" t="n">
        <v>44871</v>
      </c>
      <c r="C721" s="1" t="n">
        <v>45895</v>
      </c>
      <c r="D721" t="inlineStr">
        <is>
          <t>SÖDERMANLANDS LÄN</t>
        </is>
      </c>
      <c r="E721" t="inlineStr">
        <is>
          <t>KATRINEHOLM</t>
        </is>
      </c>
      <c r="G721" t="n">
        <v>3</v>
      </c>
      <c r="H721" t="n">
        <v>0</v>
      </c>
      <c r="I721" t="n">
        <v>0</v>
      </c>
      <c r="J721" t="n">
        <v>0</v>
      </c>
      <c r="K721" t="n">
        <v>0</v>
      </c>
      <c r="L721" t="n">
        <v>0</v>
      </c>
      <c r="M721" t="n">
        <v>0</v>
      </c>
      <c r="N721" t="n">
        <v>0</v>
      </c>
      <c r="O721" t="n">
        <v>0</v>
      </c>
      <c r="P721" t="n">
        <v>0</v>
      </c>
      <c r="Q721" t="n">
        <v>0</v>
      </c>
      <c r="R721" s="2" t="inlineStr"/>
    </row>
    <row r="722" ht="15" customHeight="1">
      <c r="A722" t="inlineStr">
        <is>
          <t>A 37834-2023</t>
        </is>
      </c>
      <c r="B722" s="1" t="n">
        <v>45160</v>
      </c>
      <c r="C722" s="1" t="n">
        <v>45895</v>
      </c>
      <c r="D722" t="inlineStr">
        <is>
          <t>SÖDERMANLANDS LÄN</t>
        </is>
      </c>
      <c r="E722" t="inlineStr">
        <is>
          <t>KATRINEHOLM</t>
        </is>
      </c>
      <c r="F722" t="inlineStr">
        <is>
          <t>Kyrkan</t>
        </is>
      </c>
      <c r="G722" t="n">
        <v>2.8</v>
      </c>
      <c r="H722" t="n">
        <v>0</v>
      </c>
      <c r="I722" t="n">
        <v>0</v>
      </c>
      <c r="J722" t="n">
        <v>0</v>
      </c>
      <c r="K722" t="n">
        <v>0</v>
      </c>
      <c r="L722" t="n">
        <v>0</v>
      </c>
      <c r="M722" t="n">
        <v>0</v>
      </c>
      <c r="N722" t="n">
        <v>0</v>
      </c>
      <c r="O722" t="n">
        <v>0</v>
      </c>
      <c r="P722" t="n">
        <v>0</v>
      </c>
      <c r="Q722" t="n">
        <v>0</v>
      </c>
      <c r="R722" s="2" t="inlineStr"/>
    </row>
    <row r="723" ht="15" customHeight="1">
      <c r="A723" t="inlineStr">
        <is>
          <t>A 23031-2024</t>
        </is>
      </c>
      <c r="B723" s="1" t="n">
        <v>45450.38120370371</v>
      </c>
      <c r="C723" s="1" t="n">
        <v>45895</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8475-2023</t>
        </is>
      </c>
      <c r="B724" s="1" t="n">
        <v>44977</v>
      </c>
      <c r="C724" s="1" t="n">
        <v>45895</v>
      </c>
      <c r="D724" t="inlineStr">
        <is>
          <t>SÖDERMANLANDS LÄN</t>
        </is>
      </c>
      <c r="E724" t="inlineStr">
        <is>
          <t>KATRINEHOLM</t>
        </is>
      </c>
      <c r="F724" t="inlineStr">
        <is>
          <t>Allmännings- och besparingsskogar</t>
        </is>
      </c>
      <c r="G724" t="n">
        <v>8.1</v>
      </c>
      <c r="H724" t="n">
        <v>0</v>
      </c>
      <c r="I724" t="n">
        <v>0</v>
      </c>
      <c r="J724" t="n">
        <v>0</v>
      </c>
      <c r="K724" t="n">
        <v>0</v>
      </c>
      <c r="L724" t="n">
        <v>0</v>
      </c>
      <c r="M724" t="n">
        <v>0</v>
      </c>
      <c r="N724" t="n">
        <v>0</v>
      </c>
      <c r="O724" t="n">
        <v>0</v>
      </c>
      <c r="P724" t="n">
        <v>0</v>
      </c>
      <c r="Q724" t="n">
        <v>0</v>
      </c>
      <c r="R724" s="2" t="inlineStr"/>
    </row>
    <row r="725" ht="15" customHeight="1">
      <c r="A725" t="inlineStr">
        <is>
          <t>A 32890-2024</t>
        </is>
      </c>
      <c r="B725" s="1" t="n">
        <v>45516</v>
      </c>
      <c r="C725" s="1" t="n">
        <v>45895</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22506-2023</t>
        </is>
      </c>
      <c r="B726" s="1" t="n">
        <v>45071.37393518518</v>
      </c>
      <c r="C726" s="1" t="n">
        <v>45895</v>
      </c>
      <c r="D726" t="inlineStr">
        <is>
          <t>SÖDERMANLANDS LÄN</t>
        </is>
      </c>
      <c r="E726" t="inlineStr">
        <is>
          <t>KATRINEHOLM</t>
        </is>
      </c>
      <c r="F726" t="inlineStr">
        <is>
          <t>Kyrkan</t>
        </is>
      </c>
      <c r="G726" t="n">
        <v>5.9</v>
      </c>
      <c r="H726" t="n">
        <v>0</v>
      </c>
      <c r="I726" t="n">
        <v>0</v>
      </c>
      <c r="J726" t="n">
        <v>0</v>
      </c>
      <c r="K726" t="n">
        <v>0</v>
      </c>
      <c r="L726" t="n">
        <v>0</v>
      </c>
      <c r="M726" t="n">
        <v>0</v>
      </c>
      <c r="N726" t="n">
        <v>0</v>
      </c>
      <c r="O726" t="n">
        <v>0</v>
      </c>
      <c r="P726" t="n">
        <v>0</v>
      </c>
      <c r="Q726" t="n">
        <v>0</v>
      </c>
      <c r="R726" s="2" t="inlineStr"/>
    </row>
    <row r="727" ht="15" customHeight="1">
      <c r="A727" t="inlineStr">
        <is>
          <t>A 12888-2025</t>
        </is>
      </c>
      <c r="B727" s="1" t="n">
        <v>45733</v>
      </c>
      <c r="C727" s="1" t="n">
        <v>45895</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2320-2023</t>
        </is>
      </c>
      <c r="B728" s="1" t="n">
        <v>44942.58850694444</v>
      </c>
      <c r="C728" s="1" t="n">
        <v>45895</v>
      </c>
      <c r="D728" t="inlineStr">
        <is>
          <t>SÖDERMANLANDS LÄN</t>
        </is>
      </c>
      <c r="E728" t="inlineStr">
        <is>
          <t>KATRINEHOLM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59898-2022</t>
        </is>
      </c>
      <c r="B729" s="1" t="n">
        <v>44908</v>
      </c>
      <c r="C729" s="1" t="n">
        <v>45895</v>
      </c>
      <c r="D729" t="inlineStr">
        <is>
          <t>SÖDERMANLANDS LÄN</t>
        </is>
      </c>
      <c r="E729" t="inlineStr">
        <is>
          <t>KATRINEHOLM</t>
        </is>
      </c>
      <c r="G729" t="n">
        <v>4.8</v>
      </c>
      <c r="H729" t="n">
        <v>0</v>
      </c>
      <c r="I729" t="n">
        <v>0</v>
      </c>
      <c r="J729" t="n">
        <v>0</v>
      </c>
      <c r="K729" t="n">
        <v>0</v>
      </c>
      <c r="L729" t="n">
        <v>0</v>
      </c>
      <c r="M729" t="n">
        <v>0</v>
      </c>
      <c r="N729" t="n">
        <v>0</v>
      </c>
      <c r="O729" t="n">
        <v>0</v>
      </c>
      <c r="P729" t="n">
        <v>0</v>
      </c>
      <c r="Q729" t="n">
        <v>0</v>
      </c>
      <c r="R729" s="2" t="inlineStr"/>
    </row>
    <row r="730" ht="15" customHeight="1">
      <c r="A730" t="inlineStr">
        <is>
          <t>A 20326-2023</t>
        </is>
      </c>
      <c r="B730" s="1" t="n">
        <v>45056.46821759259</v>
      </c>
      <c r="C730" s="1" t="n">
        <v>45895</v>
      </c>
      <c r="D730" t="inlineStr">
        <is>
          <t>SÖDERMANLANDS LÄN</t>
        </is>
      </c>
      <c r="E730" t="inlineStr">
        <is>
          <t>KATRINEHOLM</t>
        </is>
      </c>
      <c r="G730" t="n">
        <v>0.9</v>
      </c>
      <c r="H730" t="n">
        <v>0</v>
      </c>
      <c r="I730" t="n">
        <v>0</v>
      </c>
      <c r="J730" t="n">
        <v>0</v>
      </c>
      <c r="K730" t="n">
        <v>0</v>
      </c>
      <c r="L730" t="n">
        <v>0</v>
      </c>
      <c r="M730" t="n">
        <v>0</v>
      </c>
      <c r="N730" t="n">
        <v>0</v>
      </c>
      <c r="O730" t="n">
        <v>0</v>
      </c>
      <c r="P730" t="n">
        <v>0</v>
      </c>
      <c r="Q730" t="n">
        <v>0</v>
      </c>
      <c r="R730" s="2" t="inlineStr"/>
    </row>
    <row r="731" ht="15" customHeight="1">
      <c r="A731" t="inlineStr">
        <is>
          <t>A 15392-2023</t>
        </is>
      </c>
      <c r="B731" s="1" t="n">
        <v>45016</v>
      </c>
      <c r="C731" s="1" t="n">
        <v>45895</v>
      </c>
      <c r="D731" t="inlineStr">
        <is>
          <t>SÖDERMANLANDS LÄN</t>
        </is>
      </c>
      <c r="E731" t="inlineStr">
        <is>
          <t>KATRINEHOLM</t>
        </is>
      </c>
      <c r="F731" t="inlineStr">
        <is>
          <t>Övriga Aktiebolag</t>
        </is>
      </c>
      <c r="G731" t="n">
        <v>2.7</v>
      </c>
      <c r="H731" t="n">
        <v>0</v>
      </c>
      <c r="I731" t="n">
        <v>0</v>
      </c>
      <c r="J731" t="n">
        <v>0</v>
      </c>
      <c r="K731" t="n">
        <v>0</v>
      </c>
      <c r="L731" t="n">
        <v>0</v>
      </c>
      <c r="M731" t="n">
        <v>0</v>
      </c>
      <c r="N731" t="n">
        <v>0</v>
      </c>
      <c r="O731" t="n">
        <v>0</v>
      </c>
      <c r="P731" t="n">
        <v>0</v>
      </c>
      <c r="Q731" t="n">
        <v>0</v>
      </c>
      <c r="R731" s="2" t="inlineStr"/>
    </row>
    <row r="732" ht="15" customHeight="1">
      <c r="A732" t="inlineStr">
        <is>
          <t>A 45246-2023</t>
        </is>
      </c>
      <c r="B732" s="1" t="n">
        <v>45191</v>
      </c>
      <c r="C732" s="1" t="n">
        <v>45895</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2735-2025</t>
        </is>
      </c>
      <c r="B733" s="1" t="n">
        <v>45677</v>
      </c>
      <c r="C733" s="1" t="n">
        <v>45895</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49914-2023</t>
        </is>
      </c>
      <c r="B734" s="1" t="n">
        <v>45214</v>
      </c>
      <c r="C734" s="1" t="n">
        <v>45895</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17335-2023</t>
        </is>
      </c>
      <c r="B735" s="1" t="n">
        <v>45033</v>
      </c>
      <c r="C735" s="1" t="n">
        <v>45895</v>
      </c>
      <c r="D735" t="inlineStr">
        <is>
          <t>SÖDERMANLANDS LÄN</t>
        </is>
      </c>
      <c r="E735" t="inlineStr">
        <is>
          <t>KATRINEHOLM</t>
        </is>
      </c>
      <c r="G735" t="n">
        <v>3.3</v>
      </c>
      <c r="H735" t="n">
        <v>0</v>
      </c>
      <c r="I735" t="n">
        <v>0</v>
      </c>
      <c r="J735" t="n">
        <v>0</v>
      </c>
      <c r="K735" t="n">
        <v>0</v>
      </c>
      <c r="L735" t="n">
        <v>0</v>
      </c>
      <c r="M735" t="n">
        <v>0</v>
      </c>
      <c r="N735" t="n">
        <v>0</v>
      </c>
      <c r="O735" t="n">
        <v>0</v>
      </c>
      <c r="P735" t="n">
        <v>0</v>
      </c>
      <c r="Q735" t="n">
        <v>0</v>
      </c>
      <c r="R735" s="2" t="inlineStr"/>
    </row>
    <row r="736" ht="15" customHeight="1">
      <c r="A736" t="inlineStr">
        <is>
          <t>A 16605-2025</t>
        </is>
      </c>
      <c r="B736" s="1" t="n">
        <v>45753.61614583333</v>
      </c>
      <c r="C736" s="1" t="n">
        <v>45895</v>
      </c>
      <c r="D736" t="inlineStr">
        <is>
          <t>SÖDERMANLANDS LÄN</t>
        </is>
      </c>
      <c r="E736" t="inlineStr">
        <is>
          <t>KATRINEHOLM</t>
        </is>
      </c>
      <c r="G736" t="n">
        <v>5.2</v>
      </c>
      <c r="H736" t="n">
        <v>0</v>
      </c>
      <c r="I736" t="n">
        <v>0</v>
      </c>
      <c r="J736" t="n">
        <v>0</v>
      </c>
      <c r="K736" t="n">
        <v>0</v>
      </c>
      <c r="L736" t="n">
        <v>0</v>
      </c>
      <c r="M736" t="n">
        <v>0</v>
      </c>
      <c r="N736" t="n">
        <v>0</v>
      </c>
      <c r="O736" t="n">
        <v>0</v>
      </c>
      <c r="P736" t="n">
        <v>0</v>
      </c>
      <c r="Q736" t="n">
        <v>0</v>
      </c>
      <c r="R736" s="2" t="inlineStr"/>
    </row>
    <row r="737" ht="15" customHeight="1">
      <c r="A737" t="inlineStr">
        <is>
          <t>A 33141-2023</t>
        </is>
      </c>
      <c r="B737" s="1" t="n">
        <v>45126.65491898148</v>
      </c>
      <c r="C737" s="1" t="n">
        <v>45895</v>
      </c>
      <c r="D737" t="inlineStr">
        <is>
          <t>SÖDERMANLANDS LÄN</t>
        </is>
      </c>
      <c r="E737" t="inlineStr">
        <is>
          <t>KATRINEHOLM</t>
        </is>
      </c>
      <c r="G737" t="n">
        <v>1.4</v>
      </c>
      <c r="H737" t="n">
        <v>0</v>
      </c>
      <c r="I737" t="n">
        <v>0</v>
      </c>
      <c r="J737" t="n">
        <v>0</v>
      </c>
      <c r="K737" t="n">
        <v>0</v>
      </c>
      <c r="L737" t="n">
        <v>0</v>
      </c>
      <c r="M737" t="n">
        <v>0</v>
      </c>
      <c r="N737" t="n">
        <v>0</v>
      </c>
      <c r="O737" t="n">
        <v>0</v>
      </c>
      <c r="P737" t="n">
        <v>0</v>
      </c>
      <c r="Q737" t="n">
        <v>0</v>
      </c>
      <c r="R737" s="2" t="inlineStr"/>
    </row>
    <row r="738" ht="15" customHeight="1">
      <c r="A738" t="inlineStr">
        <is>
          <t>A 58528-2024</t>
        </is>
      </c>
      <c r="B738" s="1" t="n">
        <v>45635.44527777778</v>
      </c>
      <c r="C738" s="1" t="n">
        <v>45895</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9899-2023</t>
        </is>
      </c>
      <c r="B739" s="1" t="n">
        <v>44985</v>
      </c>
      <c r="C739" s="1" t="n">
        <v>45895</v>
      </c>
      <c r="D739" t="inlineStr">
        <is>
          <t>SÖDERMANLANDS LÄN</t>
        </is>
      </c>
      <c r="E739" t="inlineStr">
        <is>
          <t>KATRINEHOLM</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8288-2023</t>
        </is>
      </c>
      <c r="B740" s="1" t="n">
        <v>44974</v>
      </c>
      <c r="C740" s="1" t="n">
        <v>45895</v>
      </c>
      <c r="D740" t="inlineStr">
        <is>
          <t>SÖDERMANLANDS LÄN</t>
        </is>
      </c>
      <c r="E740" t="inlineStr">
        <is>
          <t>KATRINEHOLM</t>
        </is>
      </c>
      <c r="F740" t="inlineStr">
        <is>
          <t>Allmännings- och besparingsskogar</t>
        </is>
      </c>
      <c r="G740" t="n">
        <v>5.6</v>
      </c>
      <c r="H740" t="n">
        <v>0</v>
      </c>
      <c r="I740" t="n">
        <v>0</v>
      </c>
      <c r="J740" t="n">
        <v>0</v>
      </c>
      <c r="K740" t="n">
        <v>0</v>
      </c>
      <c r="L740" t="n">
        <v>0</v>
      </c>
      <c r="M740" t="n">
        <v>0</v>
      </c>
      <c r="N740" t="n">
        <v>0</v>
      </c>
      <c r="O740" t="n">
        <v>0</v>
      </c>
      <c r="P740" t="n">
        <v>0</v>
      </c>
      <c r="Q740" t="n">
        <v>0</v>
      </c>
      <c r="R740" s="2" t="inlineStr"/>
    </row>
    <row r="741" ht="15" customHeight="1">
      <c r="A741" t="inlineStr">
        <is>
          <t>A 3317-2023</t>
        </is>
      </c>
      <c r="B741" s="1" t="n">
        <v>44945</v>
      </c>
      <c r="C741" s="1" t="n">
        <v>45895</v>
      </c>
      <c r="D741" t="inlineStr">
        <is>
          <t>SÖDERMANLANDS LÄN</t>
        </is>
      </c>
      <c r="E741" t="inlineStr">
        <is>
          <t>KATRINEHOLM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37185-2023</t>
        </is>
      </c>
      <c r="B742" s="1" t="n">
        <v>45154</v>
      </c>
      <c r="C742" s="1" t="n">
        <v>45895</v>
      </c>
      <c r="D742" t="inlineStr">
        <is>
          <t>SÖDERMANLANDS LÄN</t>
        </is>
      </c>
      <c r="E742" t="inlineStr">
        <is>
          <t>KATRINEHOLM</t>
        </is>
      </c>
      <c r="G742" t="n">
        <v>3</v>
      </c>
      <c r="H742" t="n">
        <v>0</v>
      </c>
      <c r="I742" t="n">
        <v>0</v>
      </c>
      <c r="J742" t="n">
        <v>0</v>
      </c>
      <c r="K742" t="n">
        <v>0</v>
      </c>
      <c r="L742" t="n">
        <v>0</v>
      </c>
      <c r="M742" t="n">
        <v>0</v>
      </c>
      <c r="N742" t="n">
        <v>0</v>
      </c>
      <c r="O742" t="n">
        <v>0</v>
      </c>
      <c r="P742" t="n">
        <v>0</v>
      </c>
      <c r="Q742" t="n">
        <v>0</v>
      </c>
      <c r="R742" s="2" t="inlineStr"/>
    </row>
    <row r="743" ht="15" customHeight="1">
      <c r="A743" t="inlineStr">
        <is>
          <t>A 51848-2022</t>
        </is>
      </c>
      <c r="B743" s="1" t="n">
        <v>44872.57752314815</v>
      </c>
      <c r="C743" s="1" t="n">
        <v>45895</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49218-2023</t>
        </is>
      </c>
      <c r="B744" s="1" t="n">
        <v>45205</v>
      </c>
      <c r="C744" s="1" t="n">
        <v>45895</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55169-2022</t>
        </is>
      </c>
      <c r="B745" s="1" t="n">
        <v>44886</v>
      </c>
      <c r="C745" s="1" t="n">
        <v>45895</v>
      </c>
      <c r="D745" t="inlineStr">
        <is>
          <t>SÖDERMANLANDS LÄN</t>
        </is>
      </c>
      <c r="E745" t="inlineStr">
        <is>
          <t>KATRINEHOLM</t>
        </is>
      </c>
      <c r="G745" t="n">
        <v>1.3</v>
      </c>
      <c r="H745" t="n">
        <v>0</v>
      </c>
      <c r="I745" t="n">
        <v>0</v>
      </c>
      <c r="J745" t="n">
        <v>0</v>
      </c>
      <c r="K745" t="n">
        <v>0</v>
      </c>
      <c r="L745" t="n">
        <v>0</v>
      </c>
      <c r="M745" t="n">
        <v>0</v>
      </c>
      <c r="N745" t="n">
        <v>0</v>
      </c>
      <c r="O745" t="n">
        <v>0</v>
      </c>
      <c r="P745" t="n">
        <v>0</v>
      </c>
      <c r="Q745" t="n">
        <v>0</v>
      </c>
      <c r="R745" s="2" t="inlineStr"/>
    </row>
    <row r="746" ht="15" customHeight="1">
      <c r="A746" t="inlineStr">
        <is>
          <t>A 1329-2025</t>
        </is>
      </c>
      <c r="B746" s="1" t="n">
        <v>45667</v>
      </c>
      <c r="C746" s="1" t="n">
        <v>45895</v>
      </c>
      <c r="D746" t="inlineStr">
        <is>
          <t>SÖDERMANLANDS LÄN</t>
        </is>
      </c>
      <c r="E746" t="inlineStr">
        <is>
          <t>KATRINEHOLM</t>
        </is>
      </c>
      <c r="G746" t="n">
        <v>2.7</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45895</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24287-2024</t>
        </is>
      </c>
      <c r="B748" s="1" t="n">
        <v>45457</v>
      </c>
      <c r="C748" s="1" t="n">
        <v>45895</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8518-2023</t>
        </is>
      </c>
      <c r="B749" s="1" t="n">
        <v>44977</v>
      </c>
      <c r="C749" s="1" t="n">
        <v>45895</v>
      </c>
      <c r="D749" t="inlineStr">
        <is>
          <t>SÖDERMANLANDS LÄN</t>
        </is>
      </c>
      <c r="E749" t="inlineStr">
        <is>
          <t>KATRINEHOLM</t>
        </is>
      </c>
      <c r="F749" t="inlineStr">
        <is>
          <t>Allmännings- och besparingsskogar</t>
        </is>
      </c>
      <c r="G749" t="n">
        <v>35.3</v>
      </c>
      <c r="H749" t="n">
        <v>0</v>
      </c>
      <c r="I749" t="n">
        <v>0</v>
      </c>
      <c r="J749" t="n">
        <v>0</v>
      </c>
      <c r="K749" t="n">
        <v>0</v>
      </c>
      <c r="L749" t="n">
        <v>0</v>
      </c>
      <c r="M749" t="n">
        <v>0</v>
      </c>
      <c r="N749" t="n">
        <v>0</v>
      </c>
      <c r="O749" t="n">
        <v>0</v>
      </c>
      <c r="P749" t="n">
        <v>0</v>
      </c>
      <c r="Q749" t="n">
        <v>0</v>
      </c>
      <c r="R749" s="2" t="inlineStr"/>
    </row>
    <row r="750" ht="15" customHeight="1">
      <c r="A750" t="inlineStr">
        <is>
          <t>A 48030-2022</t>
        </is>
      </c>
      <c r="B750" s="1" t="n">
        <v>44855</v>
      </c>
      <c r="C750" s="1" t="n">
        <v>45895</v>
      </c>
      <c r="D750" t="inlineStr">
        <is>
          <t>SÖDERMANLANDS LÄN</t>
        </is>
      </c>
      <c r="E750" t="inlineStr">
        <is>
          <t>KATRINEHOLM</t>
        </is>
      </c>
      <c r="F750" t="inlineStr">
        <is>
          <t>Allmännings- och besparingsskogar</t>
        </is>
      </c>
      <c r="G750" t="n">
        <v>1.5</v>
      </c>
      <c r="H750" t="n">
        <v>0</v>
      </c>
      <c r="I750" t="n">
        <v>0</v>
      </c>
      <c r="J750" t="n">
        <v>0</v>
      </c>
      <c r="K750" t="n">
        <v>0</v>
      </c>
      <c r="L750" t="n">
        <v>0</v>
      </c>
      <c r="M750" t="n">
        <v>0</v>
      </c>
      <c r="N750" t="n">
        <v>0</v>
      </c>
      <c r="O750" t="n">
        <v>0</v>
      </c>
      <c r="P750" t="n">
        <v>0</v>
      </c>
      <c r="Q750" t="n">
        <v>0</v>
      </c>
      <c r="R750" s="2" t="inlineStr"/>
    </row>
    <row r="751" ht="15" customHeight="1">
      <c r="A751" t="inlineStr">
        <is>
          <t>A 948-2023</t>
        </is>
      </c>
      <c r="B751" s="1" t="n">
        <v>44934</v>
      </c>
      <c r="C751" s="1" t="n">
        <v>45895</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37542-2022</t>
        </is>
      </c>
      <c r="B752" s="1" t="n">
        <v>44809</v>
      </c>
      <c r="C752" s="1" t="n">
        <v>45895</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41229-2022</t>
        </is>
      </c>
      <c r="B753" s="1" t="n">
        <v>44825</v>
      </c>
      <c r="C753" s="1" t="n">
        <v>45895</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64652-2023</t>
        </is>
      </c>
      <c r="B754" s="1" t="n">
        <v>45281</v>
      </c>
      <c r="C754" s="1" t="n">
        <v>45895</v>
      </c>
      <c r="D754" t="inlineStr">
        <is>
          <t>SÖDERMANLANDS LÄN</t>
        </is>
      </c>
      <c r="E754" t="inlineStr">
        <is>
          <t>KATRINEHOLM</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51404-2023</t>
        </is>
      </c>
      <c r="B755" s="1" t="n">
        <v>45214</v>
      </c>
      <c r="C755" s="1" t="n">
        <v>45895</v>
      </c>
      <c r="D755" t="inlineStr">
        <is>
          <t>SÖDERMANLANDS LÄN</t>
        </is>
      </c>
      <c r="E755" t="inlineStr">
        <is>
          <t>KATRINEHOLM</t>
        </is>
      </c>
      <c r="G755" t="n">
        <v>9</v>
      </c>
      <c r="H755" t="n">
        <v>0</v>
      </c>
      <c r="I755" t="n">
        <v>0</v>
      </c>
      <c r="J755" t="n">
        <v>0</v>
      </c>
      <c r="K755" t="n">
        <v>0</v>
      </c>
      <c r="L755" t="n">
        <v>0</v>
      </c>
      <c r="M755" t="n">
        <v>0</v>
      </c>
      <c r="N755" t="n">
        <v>0</v>
      </c>
      <c r="O755" t="n">
        <v>0</v>
      </c>
      <c r="P755" t="n">
        <v>0</v>
      </c>
      <c r="Q755" t="n">
        <v>0</v>
      </c>
      <c r="R755" s="2" t="inlineStr"/>
    </row>
    <row r="756" ht="15" customHeight="1">
      <c r="A756" t="inlineStr">
        <is>
          <t>A 41946-2022</t>
        </is>
      </c>
      <c r="B756" s="1" t="n">
        <v>44830.38502314815</v>
      </c>
      <c r="C756" s="1" t="n">
        <v>45895</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3115-2024</t>
        </is>
      </c>
      <c r="B757" s="1" t="n">
        <v>45316.49630787037</v>
      </c>
      <c r="C757" s="1" t="n">
        <v>45895</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61431-2024</t>
        </is>
      </c>
      <c r="B758" s="1" t="n">
        <v>45646.45950231481</v>
      </c>
      <c r="C758" s="1" t="n">
        <v>45895</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57645-2020</t>
        </is>
      </c>
      <c r="B759" s="1" t="n">
        <v>44140.68782407408</v>
      </c>
      <c r="C759" s="1" t="n">
        <v>45895</v>
      </c>
      <c r="D759" t="inlineStr">
        <is>
          <t>SÖDERMANLANDS LÄN</t>
        </is>
      </c>
      <c r="E759" t="inlineStr">
        <is>
          <t>KATRINEHOLM</t>
        </is>
      </c>
      <c r="G759" t="n">
        <v>17</v>
      </c>
      <c r="H759" t="n">
        <v>0</v>
      </c>
      <c r="I759" t="n">
        <v>0</v>
      </c>
      <c r="J759" t="n">
        <v>0</v>
      </c>
      <c r="K759" t="n">
        <v>0</v>
      </c>
      <c r="L759" t="n">
        <v>0</v>
      </c>
      <c r="M759" t="n">
        <v>0</v>
      </c>
      <c r="N759" t="n">
        <v>0</v>
      </c>
      <c r="O759" t="n">
        <v>0</v>
      </c>
      <c r="P759" t="n">
        <v>0</v>
      </c>
      <c r="Q759" t="n">
        <v>0</v>
      </c>
      <c r="R759" s="2" t="inlineStr"/>
    </row>
    <row r="760" ht="15" customHeight="1">
      <c r="A760" t="inlineStr">
        <is>
          <t>A 44659-2023</t>
        </is>
      </c>
      <c r="B760" s="1" t="n">
        <v>45189</v>
      </c>
      <c r="C760" s="1" t="n">
        <v>45895</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51446-2023</t>
        </is>
      </c>
      <c r="B761" s="1" t="n">
        <v>45220.48068287037</v>
      </c>
      <c r="C761" s="1" t="n">
        <v>45895</v>
      </c>
      <c r="D761" t="inlineStr">
        <is>
          <t>SÖDERMANLANDS LÄN</t>
        </is>
      </c>
      <c r="E761" t="inlineStr">
        <is>
          <t>KATRINEHOLM</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27955-2023</t>
        </is>
      </c>
      <c r="B762" s="1" t="n">
        <v>45098</v>
      </c>
      <c r="C762" s="1" t="n">
        <v>45895</v>
      </c>
      <c r="D762" t="inlineStr">
        <is>
          <t>SÖDERMANLANDS LÄN</t>
        </is>
      </c>
      <c r="E762" t="inlineStr">
        <is>
          <t>KATRINEHOLM</t>
        </is>
      </c>
      <c r="G762" t="n">
        <v>5.9</v>
      </c>
      <c r="H762" t="n">
        <v>0</v>
      </c>
      <c r="I762" t="n">
        <v>0</v>
      </c>
      <c r="J762" t="n">
        <v>0</v>
      </c>
      <c r="K762" t="n">
        <v>0</v>
      </c>
      <c r="L762" t="n">
        <v>0</v>
      </c>
      <c r="M762" t="n">
        <v>0</v>
      </c>
      <c r="N762" t="n">
        <v>0</v>
      </c>
      <c r="O762" t="n">
        <v>0</v>
      </c>
      <c r="P762" t="n">
        <v>0</v>
      </c>
      <c r="Q762" t="n">
        <v>0</v>
      </c>
      <c r="R762" s="2" t="inlineStr"/>
    </row>
    <row r="763" ht="15" customHeight="1">
      <c r="A763" t="inlineStr">
        <is>
          <t>A 4669-2023</t>
        </is>
      </c>
      <c r="B763" s="1" t="n">
        <v>44957</v>
      </c>
      <c r="C763" s="1" t="n">
        <v>45895</v>
      </c>
      <c r="D763" t="inlineStr">
        <is>
          <t>SÖDERMANLANDS LÄN</t>
        </is>
      </c>
      <c r="E763" t="inlineStr">
        <is>
          <t>KATRINEHOLM</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4724-2023</t>
        </is>
      </c>
      <c r="B764" s="1" t="n">
        <v>44957</v>
      </c>
      <c r="C764" s="1" t="n">
        <v>45895</v>
      </c>
      <c r="D764" t="inlineStr">
        <is>
          <t>SÖDERMANLANDS LÄN</t>
        </is>
      </c>
      <c r="E764" t="inlineStr">
        <is>
          <t>KATRINEHOLM</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7197-2023</t>
        </is>
      </c>
      <c r="B765" s="1" t="n">
        <v>44965</v>
      </c>
      <c r="C765" s="1" t="n">
        <v>45895</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6092-2025</t>
        </is>
      </c>
      <c r="B766" s="1" t="n">
        <v>45697</v>
      </c>
      <c r="C766" s="1" t="n">
        <v>45895</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5327-2025</t>
        </is>
      </c>
      <c r="B767" s="1" t="n">
        <v>45692</v>
      </c>
      <c r="C767" s="1" t="n">
        <v>45895</v>
      </c>
      <c r="D767" t="inlineStr">
        <is>
          <t>SÖDERMANLANDS LÄN</t>
        </is>
      </c>
      <c r="E767" t="inlineStr">
        <is>
          <t>KATRINEHOLM</t>
        </is>
      </c>
      <c r="F767" t="inlineStr">
        <is>
          <t>Kommuner</t>
        </is>
      </c>
      <c r="G767" t="n">
        <v>0.5</v>
      </c>
      <c r="H767" t="n">
        <v>0</v>
      </c>
      <c r="I767" t="n">
        <v>0</v>
      </c>
      <c r="J767" t="n">
        <v>0</v>
      </c>
      <c r="K767" t="n">
        <v>0</v>
      </c>
      <c r="L767" t="n">
        <v>0</v>
      </c>
      <c r="M767" t="n">
        <v>0</v>
      </c>
      <c r="N767" t="n">
        <v>0</v>
      </c>
      <c r="O767" t="n">
        <v>0</v>
      </c>
      <c r="P767" t="n">
        <v>0</v>
      </c>
      <c r="Q767" t="n">
        <v>0</v>
      </c>
      <c r="R767" s="2" t="inlineStr"/>
    </row>
    <row r="768" ht="15" customHeight="1">
      <c r="A768" t="inlineStr">
        <is>
          <t>A 12929-2023</t>
        </is>
      </c>
      <c r="B768" s="1" t="n">
        <v>45001</v>
      </c>
      <c r="C768" s="1" t="n">
        <v>45895</v>
      </c>
      <c r="D768" t="inlineStr">
        <is>
          <t>SÖDERMANLANDS LÄN</t>
        </is>
      </c>
      <c r="E768" t="inlineStr">
        <is>
          <t>KATRINEHOLM</t>
        </is>
      </c>
      <c r="G768" t="n">
        <v>3.1</v>
      </c>
      <c r="H768" t="n">
        <v>0</v>
      </c>
      <c r="I768" t="n">
        <v>0</v>
      </c>
      <c r="J768" t="n">
        <v>0</v>
      </c>
      <c r="K768" t="n">
        <v>0</v>
      </c>
      <c r="L768" t="n">
        <v>0</v>
      </c>
      <c r="M768" t="n">
        <v>0</v>
      </c>
      <c r="N768" t="n">
        <v>0</v>
      </c>
      <c r="O768" t="n">
        <v>0</v>
      </c>
      <c r="P768" t="n">
        <v>0</v>
      </c>
      <c r="Q768" t="n">
        <v>0</v>
      </c>
      <c r="R768" s="2" t="inlineStr"/>
    </row>
    <row r="769" ht="15" customHeight="1">
      <c r="A769" t="inlineStr">
        <is>
          <t>A 12932-2023</t>
        </is>
      </c>
      <c r="B769" s="1" t="n">
        <v>45001</v>
      </c>
      <c r="C769" s="1" t="n">
        <v>45895</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50626-2024</t>
        </is>
      </c>
      <c r="B770" s="1" t="n">
        <v>45601</v>
      </c>
      <c r="C770" s="1" t="n">
        <v>45895</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7398-2024</t>
        </is>
      </c>
      <c r="B771" s="1" t="n">
        <v>45345</v>
      </c>
      <c r="C771" s="1" t="n">
        <v>45895</v>
      </c>
      <c r="D771" t="inlineStr">
        <is>
          <t>SÖDERMANLANDS LÄN</t>
        </is>
      </c>
      <c r="E771" t="inlineStr">
        <is>
          <t>KATRINEHOLM</t>
        </is>
      </c>
      <c r="G771" t="n">
        <v>4.4</v>
      </c>
      <c r="H771" t="n">
        <v>0</v>
      </c>
      <c r="I771" t="n">
        <v>0</v>
      </c>
      <c r="J771" t="n">
        <v>0</v>
      </c>
      <c r="K771" t="n">
        <v>0</v>
      </c>
      <c r="L771" t="n">
        <v>0</v>
      </c>
      <c r="M771" t="n">
        <v>0</v>
      </c>
      <c r="N771" t="n">
        <v>0</v>
      </c>
      <c r="O771" t="n">
        <v>0</v>
      </c>
      <c r="P771" t="n">
        <v>0</v>
      </c>
      <c r="Q771" t="n">
        <v>0</v>
      </c>
      <c r="R771" s="2" t="inlineStr"/>
    </row>
    <row r="772" ht="15" customHeight="1">
      <c r="A772" t="inlineStr">
        <is>
          <t>A 14629-2023</t>
        </is>
      </c>
      <c r="B772" s="1" t="n">
        <v>45013</v>
      </c>
      <c r="C772" s="1" t="n">
        <v>45895</v>
      </c>
      <c r="D772" t="inlineStr">
        <is>
          <t>SÖDERMANLANDS LÄN</t>
        </is>
      </c>
      <c r="E772" t="inlineStr">
        <is>
          <t>KATRINEHOLM</t>
        </is>
      </c>
      <c r="F772" t="inlineStr">
        <is>
          <t>Holmen skog AB</t>
        </is>
      </c>
      <c r="G772" t="n">
        <v>1.3</v>
      </c>
      <c r="H772" t="n">
        <v>0</v>
      </c>
      <c r="I772" t="n">
        <v>0</v>
      </c>
      <c r="J772" t="n">
        <v>0</v>
      </c>
      <c r="K772" t="n">
        <v>0</v>
      </c>
      <c r="L772" t="n">
        <v>0</v>
      </c>
      <c r="M772" t="n">
        <v>0</v>
      </c>
      <c r="N772" t="n">
        <v>0</v>
      </c>
      <c r="O772" t="n">
        <v>0</v>
      </c>
      <c r="P772" t="n">
        <v>0</v>
      </c>
      <c r="Q772" t="n">
        <v>0</v>
      </c>
      <c r="R772" s="2" t="inlineStr"/>
    </row>
    <row r="773">
      <c r="A773" t="inlineStr">
        <is>
          <t>A 49116-2024</t>
        </is>
      </c>
      <c r="B773" s="1" t="n">
        <v>45594.6605787037</v>
      </c>
      <c r="C773" s="1" t="n">
        <v>45895</v>
      </c>
      <c r="D773" t="inlineStr">
        <is>
          <t>SÖDERMANLANDS LÄN</t>
        </is>
      </c>
      <c r="E773" t="inlineStr">
        <is>
          <t>KATRINEHOLM</t>
        </is>
      </c>
      <c r="G773" t="n">
        <v>0.9</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2025-08-26T08:34:26Z</dcterms:created>
  <dcterms:modified xmlns:dcterms="http://purl.org/dc/terms/" xmlns:xsi="http://www.w3.org/2001/XMLSchema-instance" xsi:type="dcterms:W3CDTF">2025-08-26T08:34:27Z</dcterms:modified>
</cp:coreProperties>
</file>