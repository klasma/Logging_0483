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46115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46115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46115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46115</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46115</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46115</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46115</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46115</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46115</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46115</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46115</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46115</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46115</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46115</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16435-2026</t>
        </is>
      </c>
      <c r="B28" s="1" t="n">
        <v>46111.82163194445</v>
      </c>
      <c r="C28" s="1" t="n">
        <v>46115</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46115</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46115</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46115</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46115</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22474-2025</t>
        </is>
      </c>
      <c r="B34" s="1" t="n">
        <v>45786.62152777778</v>
      </c>
      <c r="C34" s="1" t="n">
        <v>46115</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11890-2023</t>
        </is>
      </c>
      <c r="B35" s="1" t="n">
        <v>44995</v>
      </c>
      <c r="C35" s="1" t="n">
        <v>46115</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56074-2022</t>
        </is>
      </c>
      <c r="B36" s="1" t="n">
        <v>44889</v>
      </c>
      <c r="C36" s="1" t="n">
        <v>46115</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46115</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27926-2025</t>
        </is>
      </c>
      <c r="B38" s="1" t="n">
        <v>45814</v>
      </c>
      <c r="C38" s="1" t="n">
        <v>46115</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8917-2024</t>
        </is>
      </c>
      <c r="B39" s="1" t="n">
        <v>45357.37618055556</v>
      </c>
      <c r="C39" s="1" t="n">
        <v>46115</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46115</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46115</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46115</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55700-2025</t>
        </is>
      </c>
      <c r="B43" s="1" t="n">
        <v>45972.45605324074</v>
      </c>
      <c r="C43" s="1" t="n">
        <v>46115</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48199-2025</t>
        </is>
      </c>
      <c r="B44" s="1" t="n">
        <v>45933.47856481482</v>
      </c>
      <c r="C44" s="1" t="n">
        <v>46115</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57519-2021</t>
        </is>
      </c>
      <c r="B45" s="1" t="n">
        <v>44483</v>
      </c>
      <c r="C45" s="1" t="n">
        <v>46115</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35163-2025</t>
        </is>
      </c>
      <c r="B46" s="1" t="n">
        <v>45852.71136574074</v>
      </c>
      <c r="C46" s="1" t="n">
        <v>46115</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44486-2023</t>
        </is>
      </c>
      <c r="B47" s="1" t="n">
        <v>45183</v>
      </c>
      <c r="C47" s="1" t="n">
        <v>46115</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46115</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33801-2023</t>
        </is>
      </c>
      <c r="B49" s="1" t="n">
        <v>45133</v>
      </c>
      <c r="C49" s="1" t="n">
        <v>46115</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46115</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63946-2025</t>
        </is>
      </c>
      <c r="B51" s="1" t="n">
        <v>46010</v>
      </c>
      <c r="C51" s="1" t="n">
        <v>46115</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46115</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45530-2023</t>
        </is>
      </c>
      <c r="B53" s="1" t="n">
        <v>45188</v>
      </c>
      <c r="C53" s="1" t="n">
        <v>46115</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1260-2026</t>
        </is>
      </c>
      <c r="B54" s="1" t="n">
        <v>46031.45652777778</v>
      </c>
      <c r="C54" s="1" t="n">
        <v>46115</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7305-2024</t>
        </is>
      </c>
      <c r="B55" s="1" t="n">
        <v>45344</v>
      </c>
      <c r="C55" s="1" t="n">
        <v>46115</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Gröngöling</t>
        </is>
      </c>
      <c r="S55">
        <f>HYPERLINK("https://klasma.github.io/Logging_0483/artfynd/A 7305-2024 artfynd.xlsx", "A 7305-2024")</f>
        <v/>
      </c>
      <c r="T55">
        <f>HYPERLINK("https://klasma.github.io/Logging_0483/kartor/A 7305-2024 karta.png", "A 7305-2024")</f>
        <v/>
      </c>
      <c r="V55">
        <f>HYPERLINK("https://klasma.github.io/Logging_0483/klagomål/A 7305-2024 FSC-klagomål.docx", "A 7305-2024")</f>
        <v/>
      </c>
      <c r="W55">
        <f>HYPERLINK("https://klasma.github.io/Logging_0483/klagomålsmail/A 7305-2024 FSC-klagomål mail.docx", "A 7305-2024")</f>
        <v/>
      </c>
      <c r="X55">
        <f>HYPERLINK("https://klasma.github.io/Logging_0483/tillsyn/A 7305-2024 tillsynsbegäran.docx", "A 7305-2024")</f>
        <v/>
      </c>
      <c r="Y55">
        <f>HYPERLINK("https://klasma.github.io/Logging_0483/tillsynsmail/A 7305-2024 tillsynsbegäran mail.docx", "A 7305-2024")</f>
        <v/>
      </c>
      <c r="Z55">
        <f>HYPERLINK("https://klasma.github.io/Logging_0483/fåglar/A 7305-2024 prioriterade fågelarter.docx", "A 7305-2024")</f>
        <v/>
      </c>
    </row>
    <row r="56" ht="15" customHeight="1">
      <c r="A56" t="inlineStr">
        <is>
          <t>A 53990-2023</t>
        </is>
      </c>
      <c r="B56" s="1" t="n">
        <v>45231</v>
      </c>
      <c r="C56" s="1" t="n">
        <v>46115</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46115</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11890-2023</t>
        </is>
      </c>
      <c r="B58" s="1" t="n">
        <v>44995</v>
      </c>
      <c r="C58" s="1" t="n">
        <v>46115</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6076-2022</t>
        </is>
      </c>
      <c r="B59" s="1" t="n">
        <v>44599</v>
      </c>
      <c r="C59" s="1" t="n">
        <v>46115</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42745-2022</t>
        </is>
      </c>
      <c r="B60" s="1" t="n">
        <v>44831</v>
      </c>
      <c r="C60" s="1" t="n">
        <v>46115</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12238-2023</t>
        </is>
      </c>
      <c r="B61" s="1" t="n">
        <v>44995</v>
      </c>
      <c r="C61" s="1" t="n">
        <v>46115</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46115</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46115</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36856-2021</t>
        </is>
      </c>
      <c r="B64" s="1" t="n">
        <v>44393</v>
      </c>
      <c r="C64" s="1" t="n">
        <v>46115</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46115</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46115</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46115</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46115</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46115</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46115</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46115</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46115</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46115</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46115</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46115</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46115</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46115</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46115</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46115</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46115</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46115</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46115</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46115</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46115</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46115</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46115</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46115</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46115</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46115</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46115</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46115</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46115</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46115</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46115</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46115</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46115</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46115</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46115</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46115</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46115</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46115</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46115</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46115</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46115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46115</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46115</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46115</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46115</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46115</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46115</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46115</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46115</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46115</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46115</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46115</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46115</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46115</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46115</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46115</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46115</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46115</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46115</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46115</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46115</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46115</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46115</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20847-2022</t>
        </is>
      </c>
      <c r="B127" s="1" t="n">
        <v>44701</v>
      </c>
      <c r="C127" s="1" t="n">
        <v>46115</v>
      </c>
      <c r="D127" t="inlineStr">
        <is>
          <t>SÖDERMANLANDS LÄN</t>
        </is>
      </c>
      <c r="E127" t="inlineStr">
        <is>
          <t>KATRINEHOLM</t>
        </is>
      </c>
      <c r="G127" t="n">
        <v>3.5</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46115</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46115</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39001-2021</t>
        </is>
      </c>
      <c r="B130" s="1" t="n">
        <v>44412</v>
      </c>
      <c r="C130" s="1" t="n">
        <v>46115</v>
      </c>
      <c r="D130" t="inlineStr">
        <is>
          <t>SÖDERMANLANDS LÄN</t>
        </is>
      </c>
      <c r="E130" t="inlineStr">
        <is>
          <t>KATRINEHOLM</t>
        </is>
      </c>
      <c r="G130" t="n">
        <v>0.6</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46115</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46115</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46115</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46115</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46115</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46115</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46115</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46115</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46115</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46115</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46115</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46115</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46115</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46115</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38835-2021</t>
        </is>
      </c>
      <c r="B145" s="1" t="n">
        <v>44411</v>
      </c>
      <c r="C145" s="1" t="n">
        <v>46115</v>
      </c>
      <c r="D145" t="inlineStr">
        <is>
          <t>SÖDERMANLANDS LÄN</t>
        </is>
      </c>
      <c r="E145" t="inlineStr">
        <is>
          <t>KATRINEHOLM</t>
        </is>
      </c>
      <c r="G145" t="n">
        <v>10.2</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46115</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46115</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46115</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46115</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46115</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46115</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46115</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46115</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46115</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46115</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46115</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46115</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46115</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46115</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46115</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60596-2021</t>
        </is>
      </c>
      <c r="B163" s="1" t="n">
        <v>44496.58033564815</v>
      </c>
      <c r="C163" s="1" t="n">
        <v>46115</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46115</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46115</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46115</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46115</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46115</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46115</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46115</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46115</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46115</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46115</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46115</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46115</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46115</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46115</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46115</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46115</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46115</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46115</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46115</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46115</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46115</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46115</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58473-2021</t>
        </is>
      </c>
      <c r="B186" s="1" t="n">
        <v>44488</v>
      </c>
      <c r="C186" s="1" t="n">
        <v>46115</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33538-2022</t>
        </is>
      </c>
      <c r="B187" s="1" t="n">
        <v>44789</v>
      </c>
      <c r="C187" s="1" t="n">
        <v>46115</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20949-2021</t>
        </is>
      </c>
      <c r="B188" s="1" t="n">
        <v>44319</v>
      </c>
      <c r="C188" s="1" t="n">
        <v>46115</v>
      </c>
      <c r="D188" t="inlineStr">
        <is>
          <t>SÖDERMANLANDS LÄN</t>
        </is>
      </c>
      <c r="E188" t="inlineStr">
        <is>
          <t>KATRINEHOLM</t>
        </is>
      </c>
      <c r="G188" t="n">
        <v>0.9</v>
      </c>
      <c r="H188" t="n">
        <v>0</v>
      </c>
      <c r="I188" t="n">
        <v>0</v>
      </c>
      <c r="J188" t="n">
        <v>0</v>
      </c>
      <c r="K188" t="n">
        <v>0</v>
      </c>
      <c r="L188" t="n">
        <v>0</v>
      </c>
      <c r="M188" t="n">
        <v>0</v>
      </c>
      <c r="N188" t="n">
        <v>0</v>
      </c>
      <c r="O188" t="n">
        <v>0</v>
      </c>
      <c r="P188" t="n">
        <v>0</v>
      </c>
      <c r="Q188" t="n">
        <v>0</v>
      </c>
      <c r="R188" s="2" t="inlineStr"/>
    </row>
    <row r="189" ht="15" customHeight="1">
      <c r="A189" t="inlineStr">
        <is>
          <t>A 46569-2022</t>
        </is>
      </c>
      <c r="B189" s="1" t="n">
        <v>44847</v>
      </c>
      <c r="C189" s="1" t="n">
        <v>46115</v>
      </c>
      <c r="D189" t="inlineStr">
        <is>
          <t>SÖDERMANLANDS LÄN</t>
        </is>
      </c>
      <c r="E189" t="inlineStr">
        <is>
          <t>KATRINEHOLM</t>
        </is>
      </c>
      <c r="G189" t="n">
        <v>1.7</v>
      </c>
      <c r="H189" t="n">
        <v>0</v>
      </c>
      <c r="I189" t="n">
        <v>0</v>
      </c>
      <c r="J189" t="n">
        <v>0</v>
      </c>
      <c r="K189" t="n">
        <v>0</v>
      </c>
      <c r="L189" t="n">
        <v>0</v>
      </c>
      <c r="M189" t="n">
        <v>0</v>
      </c>
      <c r="N189" t="n">
        <v>0</v>
      </c>
      <c r="O189" t="n">
        <v>0</v>
      </c>
      <c r="P189" t="n">
        <v>0</v>
      </c>
      <c r="Q189" t="n">
        <v>0</v>
      </c>
      <c r="R189" s="2" t="inlineStr"/>
    </row>
    <row r="190" ht="15" customHeight="1">
      <c r="A190" t="inlineStr">
        <is>
          <t>A 6091-2025</t>
        </is>
      </c>
      <c r="B190" s="1" t="n">
        <v>45697</v>
      </c>
      <c r="C190" s="1" t="n">
        <v>46115</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6093-2025</t>
        </is>
      </c>
      <c r="B191" s="1" t="n">
        <v>45697</v>
      </c>
      <c r="C191" s="1" t="n">
        <v>46115</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46115</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36210-2022</t>
        </is>
      </c>
      <c r="B193" s="1" t="n">
        <v>44803.47950231482</v>
      </c>
      <c r="C193" s="1" t="n">
        <v>46115</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48682-2022</t>
        </is>
      </c>
      <c r="B194" s="1" t="n">
        <v>44859</v>
      </c>
      <c r="C194" s="1" t="n">
        <v>46115</v>
      </c>
      <c r="D194" t="inlineStr">
        <is>
          <t>SÖDERMANLANDS LÄN</t>
        </is>
      </c>
      <c r="E194" t="inlineStr">
        <is>
          <t>KATRINEHOLM</t>
        </is>
      </c>
      <c r="G194" t="n">
        <v>2</v>
      </c>
      <c r="H194" t="n">
        <v>0</v>
      </c>
      <c r="I194" t="n">
        <v>0</v>
      </c>
      <c r="J194" t="n">
        <v>0</v>
      </c>
      <c r="K194" t="n">
        <v>0</v>
      </c>
      <c r="L194" t="n">
        <v>0</v>
      </c>
      <c r="M194" t="n">
        <v>0</v>
      </c>
      <c r="N194" t="n">
        <v>0</v>
      </c>
      <c r="O194" t="n">
        <v>0</v>
      </c>
      <c r="P194" t="n">
        <v>0</v>
      </c>
      <c r="Q194" t="n">
        <v>0</v>
      </c>
      <c r="R194" s="2" t="inlineStr"/>
    </row>
    <row r="195" ht="15" customHeight="1">
      <c r="A195" t="inlineStr">
        <is>
          <t>A 3090-2025</t>
        </is>
      </c>
      <c r="B195" s="1" t="n">
        <v>45678</v>
      </c>
      <c r="C195" s="1" t="n">
        <v>46115</v>
      </c>
      <c r="D195" t="inlineStr">
        <is>
          <t>SÖDERMANLANDS LÄN</t>
        </is>
      </c>
      <c r="E195" t="inlineStr">
        <is>
          <t>KATRINEHOLM</t>
        </is>
      </c>
      <c r="F195" t="inlineStr">
        <is>
          <t>Kyrkan</t>
        </is>
      </c>
      <c r="G195" t="n">
        <v>6.9</v>
      </c>
      <c r="H195" t="n">
        <v>0</v>
      </c>
      <c r="I195" t="n">
        <v>0</v>
      </c>
      <c r="J195" t="n">
        <v>0</v>
      </c>
      <c r="K195" t="n">
        <v>0</v>
      </c>
      <c r="L195" t="n">
        <v>0</v>
      </c>
      <c r="M195" t="n">
        <v>0</v>
      </c>
      <c r="N195" t="n">
        <v>0</v>
      </c>
      <c r="O195" t="n">
        <v>0</v>
      </c>
      <c r="P195" t="n">
        <v>0</v>
      </c>
      <c r="Q195" t="n">
        <v>0</v>
      </c>
      <c r="R195" s="2" t="inlineStr"/>
    </row>
    <row r="196" ht="15" customHeight="1">
      <c r="A196" t="inlineStr">
        <is>
          <t>A 35188-2022</t>
        </is>
      </c>
      <c r="B196" s="1" t="n">
        <v>44797</v>
      </c>
      <c r="C196" s="1" t="n">
        <v>46115</v>
      </c>
      <c r="D196" t="inlineStr">
        <is>
          <t>SÖDERMANLANDS LÄN</t>
        </is>
      </c>
      <c r="E196" t="inlineStr">
        <is>
          <t>KATRINEHOLM</t>
        </is>
      </c>
      <c r="G196" t="n">
        <v>3</v>
      </c>
      <c r="H196" t="n">
        <v>0</v>
      </c>
      <c r="I196" t="n">
        <v>0</v>
      </c>
      <c r="J196" t="n">
        <v>0</v>
      </c>
      <c r="K196" t="n">
        <v>0</v>
      </c>
      <c r="L196" t="n">
        <v>0</v>
      </c>
      <c r="M196" t="n">
        <v>0</v>
      </c>
      <c r="N196" t="n">
        <v>0</v>
      </c>
      <c r="O196" t="n">
        <v>0</v>
      </c>
      <c r="P196" t="n">
        <v>0</v>
      </c>
      <c r="Q196" t="n">
        <v>0</v>
      </c>
      <c r="R196" s="2" t="inlineStr"/>
    </row>
    <row r="197" ht="15" customHeight="1">
      <c r="A197" t="inlineStr">
        <is>
          <t>A 9693-2024</t>
        </is>
      </c>
      <c r="B197" s="1" t="n">
        <v>45362</v>
      </c>
      <c r="C197" s="1" t="n">
        <v>46115</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43964-2022</t>
        </is>
      </c>
      <c r="B198" s="1" t="n">
        <v>44837</v>
      </c>
      <c r="C198" s="1" t="n">
        <v>46115</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46115</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46115</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55846-2022</t>
        </is>
      </c>
      <c r="B201" s="1" t="n">
        <v>44888</v>
      </c>
      <c r="C201" s="1" t="n">
        <v>46115</v>
      </c>
      <c r="D201" t="inlineStr">
        <is>
          <t>SÖDERMANLANDS LÄN</t>
        </is>
      </c>
      <c r="E201" t="inlineStr">
        <is>
          <t>KATRINEHOLM</t>
        </is>
      </c>
      <c r="G201" t="n">
        <v>6.5</v>
      </c>
      <c r="H201" t="n">
        <v>0</v>
      </c>
      <c r="I201" t="n">
        <v>0</v>
      </c>
      <c r="J201" t="n">
        <v>0</v>
      </c>
      <c r="K201" t="n">
        <v>0</v>
      </c>
      <c r="L201" t="n">
        <v>0</v>
      </c>
      <c r="M201" t="n">
        <v>0</v>
      </c>
      <c r="N201" t="n">
        <v>0</v>
      </c>
      <c r="O201" t="n">
        <v>0</v>
      </c>
      <c r="P201" t="n">
        <v>0</v>
      </c>
      <c r="Q201" t="n">
        <v>0</v>
      </c>
      <c r="R201" s="2" t="inlineStr"/>
    </row>
    <row r="202" ht="15" customHeight="1">
      <c r="A202" t="inlineStr">
        <is>
          <t>A 17246-2024</t>
        </is>
      </c>
      <c r="B202" s="1" t="n">
        <v>45414</v>
      </c>
      <c r="C202" s="1" t="n">
        <v>46115</v>
      </c>
      <c r="D202" t="inlineStr">
        <is>
          <t>SÖDERMANLANDS LÄN</t>
        </is>
      </c>
      <c r="E202" t="inlineStr">
        <is>
          <t>KATRINEHOLM</t>
        </is>
      </c>
      <c r="F202" t="inlineStr">
        <is>
          <t>Allmännings- och besparingsskogar</t>
        </is>
      </c>
      <c r="G202" t="n">
        <v>13.7</v>
      </c>
      <c r="H202" t="n">
        <v>0</v>
      </c>
      <c r="I202" t="n">
        <v>0</v>
      </c>
      <c r="J202" t="n">
        <v>0</v>
      </c>
      <c r="K202" t="n">
        <v>0</v>
      </c>
      <c r="L202" t="n">
        <v>0</v>
      </c>
      <c r="M202" t="n">
        <v>0</v>
      </c>
      <c r="N202" t="n">
        <v>0</v>
      </c>
      <c r="O202" t="n">
        <v>0</v>
      </c>
      <c r="P202" t="n">
        <v>0</v>
      </c>
      <c r="Q202" t="n">
        <v>0</v>
      </c>
      <c r="R202" s="2" t="inlineStr"/>
    </row>
    <row r="203" ht="15" customHeight="1">
      <c r="A203" t="inlineStr">
        <is>
          <t>A 20460-2025</t>
        </is>
      </c>
      <c r="B203" s="1" t="n">
        <v>45775.52854166667</v>
      </c>
      <c r="C203" s="1" t="n">
        <v>46115</v>
      </c>
      <c r="D203" t="inlineStr">
        <is>
          <t>SÖDERMANLANDS LÄN</t>
        </is>
      </c>
      <c r="E203" t="inlineStr">
        <is>
          <t>KATRINEHOLM</t>
        </is>
      </c>
      <c r="G203" t="n">
        <v>0.6</v>
      </c>
      <c r="H203" t="n">
        <v>0</v>
      </c>
      <c r="I203" t="n">
        <v>0</v>
      </c>
      <c r="J203" t="n">
        <v>0</v>
      </c>
      <c r="K203" t="n">
        <v>0</v>
      </c>
      <c r="L203" t="n">
        <v>0</v>
      </c>
      <c r="M203" t="n">
        <v>0</v>
      </c>
      <c r="N203" t="n">
        <v>0</v>
      </c>
      <c r="O203" t="n">
        <v>0</v>
      </c>
      <c r="P203" t="n">
        <v>0</v>
      </c>
      <c r="Q203" t="n">
        <v>0</v>
      </c>
      <c r="R203" s="2" t="inlineStr"/>
    </row>
    <row r="204" ht="15" customHeight="1">
      <c r="A204" t="inlineStr">
        <is>
          <t>A 53722-2023</t>
        </is>
      </c>
      <c r="B204" s="1" t="n">
        <v>45230</v>
      </c>
      <c r="C204" s="1" t="n">
        <v>46115</v>
      </c>
      <c r="D204" t="inlineStr">
        <is>
          <t>SÖDERMANLANDS LÄN</t>
        </is>
      </c>
      <c r="E204" t="inlineStr">
        <is>
          <t>KATRINEHOLM</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6311-2025</t>
        </is>
      </c>
      <c r="B205" s="1" t="n">
        <v>45698</v>
      </c>
      <c r="C205" s="1" t="n">
        <v>46115</v>
      </c>
      <c r="D205" t="inlineStr">
        <is>
          <t>SÖDERMANLANDS LÄN</t>
        </is>
      </c>
      <c r="E205" t="inlineStr">
        <is>
          <t>KATRINEHOLM</t>
        </is>
      </c>
      <c r="G205" t="n">
        <v>0.3</v>
      </c>
      <c r="H205" t="n">
        <v>0</v>
      </c>
      <c r="I205" t="n">
        <v>0</v>
      </c>
      <c r="J205" t="n">
        <v>0</v>
      </c>
      <c r="K205" t="n">
        <v>0</v>
      </c>
      <c r="L205" t="n">
        <v>0</v>
      </c>
      <c r="M205" t="n">
        <v>0</v>
      </c>
      <c r="N205" t="n">
        <v>0</v>
      </c>
      <c r="O205" t="n">
        <v>0</v>
      </c>
      <c r="P205" t="n">
        <v>0</v>
      </c>
      <c r="Q205" t="n">
        <v>0</v>
      </c>
      <c r="R205" s="2" t="inlineStr"/>
    </row>
    <row r="206" ht="15" customHeight="1">
      <c r="A206" t="inlineStr">
        <is>
          <t>A 55863-2022</t>
        </is>
      </c>
      <c r="B206" s="1" t="n">
        <v>44888</v>
      </c>
      <c r="C206" s="1" t="n">
        <v>46115</v>
      </c>
      <c r="D206" t="inlineStr">
        <is>
          <t>SÖDERMANLANDS LÄN</t>
        </is>
      </c>
      <c r="E206" t="inlineStr">
        <is>
          <t>KATRINEHOLM</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55865-2022</t>
        </is>
      </c>
      <c r="B207" s="1" t="n">
        <v>44888</v>
      </c>
      <c r="C207" s="1" t="n">
        <v>46115</v>
      </c>
      <c r="D207" t="inlineStr">
        <is>
          <t>SÖDERMANLANDS LÄN</t>
        </is>
      </c>
      <c r="E207" t="inlineStr">
        <is>
          <t>KATRINEHOLM</t>
        </is>
      </c>
      <c r="G207" t="n">
        <v>9.1</v>
      </c>
      <c r="H207" t="n">
        <v>0</v>
      </c>
      <c r="I207" t="n">
        <v>0</v>
      </c>
      <c r="J207" t="n">
        <v>0</v>
      </c>
      <c r="K207" t="n">
        <v>0</v>
      </c>
      <c r="L207" t="n">
        <v>0</v>
      </c>
      <c r="M207" t="n">
        <v>0</v>
      </c>
      <c r="N207" t="n">
        <v>0</v>
      </c>
      <c r="O207" t="n">
        <v>0</v>
      </c>
      <c r="P207" t="n">
        <v>0</v>
      </c>
      <c r="Q207" t="n">
        <v>0</v>
      </c>
      <c r="R207" s="2" t="inlineStr"/>
    </row>
    <row r="208" ht="15" customHeight="1">
      <c r="A208" t="inlineStr">
        <is>
          <t>A 48520-2023</t>
        </is>
      </c>
      <c r="B208" s="1" t="n">
        <v>45208</v>
      </c>
      <c r="C208" s="1" t="n">
        <v>46115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35228-2025</t>
        </is>
      </c>
      <c r="B209" s="1" t="n">
        <v>45853</v>
      </c>
      <c r="C209" s="1" t="n">
        <v>46115</v>
      </c>
      <c r="D209" t="inlineStr">
        <is>
          <t>SÖDERMANLANDS LÄN</t>
        </is>
      </c>
      <c r="E209" t="inlineStr">
        <is>
          <t>KATRINEHOLM</t>
        </is>
      </c>
      <c r="G209" t="n">
        <v>1.1</v>
      </c>
      <c r="H209" t="n">
        <v>0</v>
      </c>
      <c r="I209" t="n">
        <v>0</v>
      </c>
      <c r="J209" t="n">
        <v>0</v>
      </c>
      <c r="K209" t="n">
        <v>0</v>
      </c>
      <c r="L209" t="n">
        <v>0</v>
      </c>
      <c r="M209" t="n">
        <v>0</v>
      </c>
      <c r="N209" t="n">
        <v>0</v>
      </c>
      <c r="O209" t="n">
        <v>0</v>
      </c>
      <c r="P209" t="n">
        <v>0</v>
      </c>
      <c r="Q209" t="n">
        <v>0</v>
      </c>
      <c r="R209" s="2" t="inlineStr"/>
    </row>
    <row r="210" ht="15" customHeight="1">
      <c r="A210" t="inlineStr">
        <is>
          <t>A 56661-2021</t>
        </is>
      </c>
      <c r="B210" s="1" t="n">
        <v>44481.24327546296</v>
      </c>
      <c r="C210" s="1" t="n">
        <v>46115</v>
      </c>
      <c r="D210" t="inlineStr">
        <is>
          <t>SÖDERMANLANDS LÄN</t>
        </is>
      </c>
      <c r="E210" t="inlineStr">
        <is>
          <t>KATRINEHOLM</t>
        </is>
      </c>
      <c r="G210" t="n">
        <v>5.8</v>
      </c>
      <c r="H210" t="n">
        <v>0</v>
      </c>
      <c r="I210" t="n">
        <v>0</v>
      </c>
      <c r="J210" t="n">
        <v>0</v>
      </c>
      <c r="K210" t="n">
        <v>0</v>
      </c>
      <c r="L210" t="n">
        <v>0</v>
      </c>
      <c r="M210" t="n">
        <v>0</v>
      </c>
      <c r="N210" t="n">
        <v>0</v>
      </c>
      <c r="O210" t="n">
        <v>0</v>
      </c>
      <c r="P210" t="n">
        <v>0</v>
      </c>
      <c r="Q210" t="n">
        <v>0</v>
      </c>
      <c r="R210" s="2" t="inlineStr"/>
    </row>
    <row r="211" ht="15" customHeight="1">
      <c r="A211" t="inlineStr">
        <is>
          <t>A 28394-2023</t>
        </is>
      </c>
      <c r="B211" s="1" t="n">
        <v>45100</v>
      </c>
      <c r="C211" s="1" t="n">
        <v>46115</v>
      </c>
      <c r="D211" t="inlineStr">
        <is>
          <t>SÖDERMANLANDS LÄN</t>
        </is>
      </c>
      <c r="E211" t="inlineStr">
        <is>
          <t>KATRINEHOLM</t>
        </is>
      </c>
      <c r="G211" t="n">
        <v>4.2</v>
      </c>
      <c r="H211" t="n">
        <v>0</v>
      </c>
      <c r="I211" t="n">
        <v>0</v>
      </c>
      <c r="J211" t="n">
        <v>0</v>
      </c>
      <c r="K211" t="n">
        <v>0</v>
      </c>
      <c r="L211" t="n">
        <v>0</v>
      </c>
      <c r="M211" t="n">
        <v>0</v>
      </c>
      <c r="N211" t="n">
        <v>0</v>
      </c>
      <c r="O211" t="n">
        <v>0</v>
      </c>
      <c r="P211" t="n">
        <v>0</v>
      </c>
      <c r="Q211" t="n">
        <v>0</v>
      </c>
      <c r="R211" s="2" t="inlineStr"/>
    </row>
    <row r="212" ht="15" customHeight="1">
      <c r="A212" t="inlineStr">
        <is>
          <t>A 4122-2023</t>
        </is>
      </c>
      <c r="B212" s="1" t="n">
        <v>44952</v>
      </c>
      <c r="C212" s="1" t="n">
        <v>46115</v>
      </c>
      <c r="D212" t="inlineStr">
        <is>
          <t>SÖDERMANLANDS LÄN</t>
        </is>
      </c>
      <c r="E212" t="inlineStr">
        <is>
          <t>KATRINEHOLM</t>
        </is>
      </c>
      <c r="G212" t="n">
        <v>9</v>
      </c>
      <c r="H212" t="n">
        <v>0</v>
      </c>
      <c r="I212" t="n">
        <v>0</v>
      </c>
      <c r="J212" t="n">
        <v>0</v>
      </c>
      <c r="K212" t="n">
        <v>0</v>
      </c>
      <c r="L212" t="n">
        <v>0</v>
      </c>
      <c r="M212" t="n">
        <v>0</v>
      </c>
      <c r="N212" t="n">
        <v>0</v>
      </c>
      <c r="O212" t="n">
        <v>0</v>
      </c>
      <c r="P212" t="n">
        <v>0</v>
      </c>
      <c r="Q212" t="n">
        <v>0</v>
      </c>
      <c r="R212" s="2" t="inlineStr"/>
    </row>
    <row r="213" ht="15" customHeight="1">
      <c r="A213" t="inlineStr">
        <is>
          <t>A 23838-2021</t>
        </is>
      </c>
      <c r="B213" s="1" t="n">
        <v>44335</v>
      </c>
      <c r="C213" s="1" t="n">
        <v>46115</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55795-2023</t>
        </is>
      </c>
      <c r="B214" s="1" t="n">
        <v>45239.54861111111</v>
      </c>
      <c r="C214" s="1" t="n">
        <v>46115</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51780-2025</t>
        </is>
      </c>
      <c r="B215" s="1" t="n">
        <v>45951.65725694445</v>
      </c>
      <c r="C215" s="1" t="n">
        <v>46115</v>
      </c>
      <c r="D215" t="inlineStr">
        <is>
          <t>SÖDERMANLANDS LÄN</t>
        </is>
      </c>
      <c r="E215" t="inlineStr">
        <is>
          <t>KATRINEHOLM</t>
        </is>
      </c>
      <c r="F215" t="inlineStr">
        <is>
          <t>Allmännings- och besparingsskogar</t>
        </is>
      </c>
      <c r="G215" t="n">
        <v>1.3</v>
      </c>
      <c r="H215" t="n">
        <v>0</v>
      </c>
      <c r="I215" t="n">
        <v>0</v>
      </c>
      <c r="J215" t="n">
        <v>0</v>
      </c>
      <c r="K215" t="n">
        <v>0</v>
      </c>
      <c r="L215" t="n">
        <v>0</v>
      </c>
      <c r="M215" t="n">
        <v>0</v>
      </c>
      <c r="N215" t="n">
        <v>0</v>
      </c>
      <c r="O215" t="n">
        <v>0</v>
      </c>
      <c r="P215" t="n">
        <v>0</v>
      </c>
      <c r="Q215" t="n">
        <v>0</v>
      </c>
      <c r="R215" s="2" t="inlineStr"/>
    </row>
    <row r="216" ht="15" customHeight="1">
      <c r="A216" t="inlineStr">
        <is>
          <t>A 32943-2024</t>
        </is>
      </c>
      <c r="B216" s="1" t="n">
        <v>45517</v>
      </c>
      <c r="C216" s="1" t="n">
        <v>46115</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24284-2024</t>
        </is>
      </c>
      <c r="B217" s="1" t="n">
        <v>45457</v>
      </c>
      <c r="C217" s="1" t="n">
        <v>46115</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29502-2023</t>
        </is>
      </c>
      <c r="B218" s="1" t="n">
        <v>45106</v>
      </c>
      <c r="C218" s="1" t="n">
        <v>46115</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42111-2022</t>
        </is>
      </c>
      <c r="B219" s="1" t="n">
        <v>44830</v>
      </c>
      <c r="C219" s="1" t="n">
        <v>46115</v>
      </c>
      <c r="D219" t="inlineStr">
        <is>
          <t>SÖDERMANLANDS LÄN</t>
        </is>
      </c>
      <c r="E219" t="inlineStr">
        <is>
          <t>KATRINEHOLM</t>
        </is>
      </c>
      <c r="G219" t="n">
        <v>2.5</v>
      </c>
      <c r="H219" t="n">
        <v>0</v>
      </c>
      <c r="I219" t="n">
        <v>0</v>
      </c>
      <c r="J219" t="n">
        <v>0</v>
      </c>
      <c r="K219" t="n">
        <v>0</v>
      </c>
      <c r="L219" t="n">
        <v>0</v>
      </c>
      <c r="M219" t="n">
        <v>0</v>
      </c>
      <c r="N219" t="n">
        <v>0</v>
      </c>
      <c r="O219" t="n">
        <v>0</v>
      </c>
      <c r="P219" t="n">
        <v>0</v>
      </c>
      <c r="Q219" t="n">
        <v>0</v>
      </c>
      <c r="R219" s="2" t="inlineStr"/>
    </row>
    <row r="220" ht="15" customHeight="1">
      <c r="A220" t="inlineStr">
        <is>
          <t>A 22119-2025</t>
        </is>
      </c>
      <c r="B220" s="1" t="n">
        <v>45785</v>
      </c>
      <c r="C220" s="1" t="n">
        <v>46115</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36767-2022</t>
        </is>
      </c>
      <c r="B221" s="1" t="n">
        <v>44805</v>
      </c>
      <c r="C221" s="1" t="n">
        <v>46115</v>
      </c>
      <c r="D221" t="inlineStr">
        <is>
          <t>SÖDERMANLANDS LÄN</t>
        </is>
      </c>
      <c r="E221" t="inlineStr">
        <is>
          <t>KATRINEHOLM</t>
        </is>
      </c>
      <c r="G221" t="n">
        <v>1.1</v>
      </c>
      <c r="H221" t="n">
        <v>0</v>
      </c>
      <c r="I221" t="n">
        <v>0</v>
      </c>
      <c r="J221" t="n">
        <v>0</v>
      </c>
      <c r="K221" t="n">
        <v>0</v>
      </c>
      <c r="L221" t="n">
        <v>0</v>
      </c>
      <c r="M221" t="n">
        <v>0</v>
      </c>
      <c r="N221" t="n">
        <v>0</v>
      </c>
      <c r="O221" t="n">
        <v>0</v>
      </c>
      <c r="P221" t="n">
        <v>0</v>
      </c>
      <c r="Q221" t="n">
        <v>0</v>
      </c>
      <c r="R221" s="2" t="inlineStr"/>
    </row>
    <row r="222" ht="15" customHeight="1">
      <c r="A222" t="inlineStr">
        <is>
          <t>A 33712-2022</t>
        </is>
      </c>
      <c r="B222" s="1" t="n">
        <v>44789</v>
      </c>
      <c r="C222" s="1" t="n">
        <v>46115</v>
      </c>
      <c r="D222" t="inlineStr">
        <is>
          <t>SÖDERMANLANDS LÄN</t>
        </is>
      </c>
      <c r="E222" t="inlineStr">
        <is>
          <t>KATRINEHOLM</t>
        </is>
      </c>
      <c r="G222" t="n">
        <v>4.3</v>
      </c>
      <c r="H222" t="n">
        <v>0</v>
      </c>
      <c r="I222" t="n">
        <v>0</v>
      </c>
      <c r="J222" t="n">
        <v>0</v>
      </c>
      <c r="K222" t="n">
        <v>0</v>
      </c>
      <c r="L222" t="n">
        <v>0</v>
      </c>
      <c r="M222" t="n">
        <v>0</v>
      </c>
      <c r="N222" t="n">
        <v>0</v>
      </c>
      <c r="O222" t="n">
        <v>0</v>
      </c>
      <c r="P222" t="n">
        <v>0</v>
      </c>
      <c r="Q222" t="n">
        <v>0</v>
      </c>
      <c r="R222" s="2" t="inlineStr"/>
    </row>
    <row r="223" ht="15" customHeight="1">
      <c r="A223" t="inlineStr">
        <is>
          <t>A 55034-2021</t>
        </is>
      </c>
      <c r="B223" s="1" t="n">
        <v>44474</v>
      </c>
      <c r="C223" s="1" t="n">
        <v>46115</v>
      </c>
      <c r="D223" t="inlineStr">
        <is>
          <t>SÖDERMANLANDS LÄN</t>
        </is>
      </c>
      <c r="E223" t="inlineStr">
        <is>
          <t>KATRINEHOLM</t>
        </is>
      </c>
      <c r="G223" t="n">
        <v>5</v>
      </c>
      <c r="H223" t="n">
        <v>0</v>
      </c>
      <c r="I223" t="n">
        <v>0</v>
      </c>
      <c r="J223" t="n">
        <v>0</v>
      </c>
      <c r="K223" t="n">
        <v>0</v>
      </c>
      <c r="L223" t="n">
        <v>0</v>
      </c>
      <c r="M223" t="n">
        <v>0</v>
      </c>
      <c r="N223" t="n">
        <v>0</v>
      </c>
      <c r="O223" t="n">
        <v>0</v>
      </c>
      <c r="P223" t="n">
        <v>0</v>
      </c>
      <c r="Q223" t="n">
        <v>0</v>
      </c>
      <c r="R223" s="2" t="inlineStr"/>
    </row>
    <row r="224" ht="15" customHeight="1">
      <c r="A224" t="inlineStr">
        <is>
          <t>A 33717-2022</t>
        </is>
      </c>
      <c r="B224" s="1" t="n">
        <v>44789</v>
      </c>
      <c r="C224" s="1" t="n">
        <v>46115</v>
      </c>
      <c r="D224" t="inlineStr">
        <is>
          <t>SÖDERMANLANDS LÄN</t>
        </is>
      </c>
      <c r="E224" t="inlineStr">
        <is>
          <t>KATRINEHOLM</t>
        </is>
      </c>
      <c r="G224" t="n">
        <v>4.4</v>
      </c>
      <c r="H224" t="n">
        <v>0</v>
      </c>
      <c r="I224" t="n">
        <v>0</v>
      </c>
      <c r="J224" t="n">
        <v>0</v>
      </c>
      <c r="K224" t="n">
        <v>0</v>
      </c>
      <c r="L224" t="n">
        <v>0</v>
      </c>
      <c r="M224" t="n">
        <v>0</v>
      </c>
      <c r="N224" t="n">
        <v>0</v>
      </c>
      <c r="O224" t="n">
        <v>0</v>
      </c>
      <c r="P224" t="n">
        <v>0</v>
      </c>
      <c r="Q224" t="n">
        <v>0</v>
      </c>
      <c r="R224" s="2" t="inlineStr"/>
    </row>
    <row r="225" ht="15" customHeight="1">
      <c r="A225" t="inlineStr">
        <is>
          <t>A 51774-2025</t>
        </is>
      </c>
      <c r="B225" s="1" t="n">
        <v>45951.65359953704</v>
      </c>
      <c r="C225" s="1" t="n">
        <v>46115</v>
      </c>
      <c r="D225" t="inlineStr">
        <is>
          <t>SÖDERMANLANDS LÄN</t>
        </is>
      </c>
      <c r="E225" t="inlineStr">
        <is>
          <t>KATRINEHOLM</t>
        </is>
      </c>
      <c r="F225" t="inlineStr">
        <is>
          <t>Allmännings- och besparingsskogar</t>
        </is>
      </c>
      <c r="G225" t="n">
        <v>3.7</v>
      </c>
      <c r="H225" t="n">
        <v>0</v>
      </c>
      <c r="I225" t="n">
        <v>0</v>
      </c>
      <c r="J225" t="n">
        <v>0</v>
      </c>
      <c r="K225" t="n">
        <v>0</v>
      </c>
      <c r="L225" t="n">
        <v>0</v>
      </c>
      <c r="M225" t="n">
        <v>0</v>
      </c>
      <c r="N225" t="n">
        <v>0</v>
      </c>
      <c r="O225" t="n">
        <v>0</v>
      </c>
      <c r="P225" t="n">
        <v>0</v>
      </c>
      <c r="Q225" t="n">
        <v>0</v>
      </c>
      <c r="R225" s="2" t="inlineStr"/>
    </row>
    <row r="226" ht="15" customHeight="1">
      <c r="A226" t="inlineStr">
        <is>
          <t>A 51783-2025</t>
        </is>
      </c>
      <c r="B226" s="1" t="n">
        <v>45951.67546296296</v>
      </c>
      <c r="C226" s="1" t="n">
        <v>46115</v>
      </c>
      <c r="D226" t="inlineStr">
        <is>
          <t>SÖDERMANLANDS LÄN</t>
        </is>
      </c>
      <c r="E226" t="inlineStr">
        <is>
          <t>KATRINEHOLM</t>
        </is>
      </c>
      <c r="F226" t="inlineStr">
        <is>
          <t>Allmännings- och besparingsskogar</t>
        </is>
      </c>
      <c r="G226" t="n">
        <v>5.8</v>
      </c>
      <c r="H226" t="n">
        <v>0</v>
      </c>
      <c r="I226" t="n">
        <v>0</v>
      </c>
      <c r="J226" t="n">
        <v>0</v>
      </c>
      <c r="K226" t="n">
        <v>0</v>
      </c>
      <c r="L226" t="n">
        <v>0</v>
      </c>
      <c r="M226" t="n">
        <v>0</v>
      </c>
      <c r="N226" t="n">
        <v>0</v>
      </c>
      <c r="O226" t="n">
        <v>0</v>
      </c>
      <c r="P226" t="n">
        <v>0</v>
      </c>
      <c r="Q226" t="n">
        <v>0</v>
      </c>
      <c r="R226" s="2" t="inlineStr"/>
    </row>
    <row r="227" ht="15" customHeight="1">
      <c r="A227" t="inlineStr">
        <is>
          <t>A 33752-2023</t>
        </is>
      </c>
      <c r="B227" s="1" t="n">
        <v>45120</v>
      </c>
      <c r="C227" s="1" t="n">
        <v>46115</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22113-2025</t>
        </is>
      </c>
      <c r="B228" s="1" t="n">
        <v>45785</v>
      </c>
      <c r="C228" s="1" t="n">
        <v>46115</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45376-2022</t>
        </is>
      </c>
      <c r="B229" s="1" t="n">
        <v>44844</v>
      </c>
      <c r="C229" s="1" t="n">
        <v>46115</v>
      </c>
      <c r="D229" t="inlineStr">
        <is>
          <t>SÖDERMANLANDS LÄN</t>
        </is>
      </c>
      <c r="E229" t="inlineStr">
        <is>
          <t>KATRINEHOLM</t>
        </is>
      </c>
      <c r="G229" t="n">
        <v>4.7</v>
      </c>
      <c r="H229" t="n">
        <v>0</v>
      </c>
      <c r="I229" t="n">
        <v>0</v>
      </c>
      <c r="J229" t="n">
        <v>0</v>
      </c>
      <c r="K229" t="n">
        <v>0</v>
      </c>
      <c r="L229" t="n">
        <v>0</v>
      </c>
      <c r="M229" t="n">
        <v>0</v>
      </c>
      <c r="N229" t="n">
        <v>0</v>
      </c>
      <c r="O229" t="n">
        <v>0</v>
      </c>
      <c r="P229" t="n">
        <v>0</v>
      </c>
      <c r="Q229" t="n">
        <v>0</v>
      </c>
      <c r="R229" s="2" t="inlineStr"/>
    </row>
    <row r="230" ht="15" customHeight="1">
      <c r="A230" t="inlineStr">
        <is>
          <t>A 55122-2022</t>
        </is>
      </c>
      <c r="B230" s="1" t="n">
        <v>44886.65092592593</v>
      </c>
      <c r="C230" s="1" t="n">
        <v>46115</v>
      </c>
      <c r="D230" t="inlineStr">
        <is>
          <t>SÖDERMANLANDS LÄN</t>
        </is>
      </c>
      <c r="E230" t="inlineStr">
        <is>
          <t>KATRINEHOLM</t>
        </is>
      </c>
      <c r="G230" t="n">
        <v>6.5</v>
      </c>
      <c r="H230" t="n">
        <v>0</v>
      </c>
      <c r="I230" t="n">
        <v>0</v>
      </c>
      <c r="J230" t="n">
        <v>0</v>
      </c>
      <c r="K230" t="n">
        <v>0</v>
      </c>
      <c r="L230" t="n">
        <v>0</v>
      </c>
      <c r="M230" t="n">
        <v>0</v>
      </c>
      <c r="N230" t="n">
        <v>0</v>
      </c>
      <c r="O230" t="n">
        <v>0</v>
      </c>
      <c r="P230" t="n">
        <v>0</v>
      </c>
      <c r="Q230" t="n">
        <v>0</v>
      </c>
      <c r="R230" s="2" t="inlineStr"/>
    </row>
    <row r="231" ht="15" customHeight="1">
      <c r="A231" t="inlineStr">
        <is>
          <t>A 17746-2024</t>
        </is>
      </c>
      <c r="B231" s="1" t="n">
        <v>45415</v>
      </c>
      <c r="C231" s="1" t="n">
        <v>46115</v>
      </c>
      <c r="D231" t="inlineStr">
        <is>
          <t>SÖDERMANLANDS LÄN</t>
        </is>
      </c>
      <c r="E231" t="inlineStr">
        <is>
          <t>KATRINEHOLM</t>
        </is>
      </c>
      <c r="G231" t="n">
        <v>7.8</v>
      </c>
      <c r="H231" t="n">
        <v>0</v>
      </c>
      <c r="I231" t="n">
        <v>0</v>
      </c>
      <c r="J231" t="n">
        <v>0</v>
      </c>
      <c r="K231" t="n">
        <v>0</v>
      </c>
      <c r="L231" t="n">
        <v>0</v>
      </c>
      <c r="M231" t="n">
        <v>0</v>
      </c>
      <c r="N231" t="n">
        <v>0</v>
      </c>
      <c r="O231" t="n">
        <v>0</v>
      </c>
      <c r="P231" t="n">
        <v>0</v>
      </c>
      <c r="Q231" t="n">
        <v>0</v>
      </c>
      <c r="R231" s="2" t="inlineStr"/>
    </row>
    <row r="232" ht="15" customHeight="1">
      <c r="A232" t="inlineStr">
        <is>
          <t>A 24983-2024</t>
        </is>
      </c>
      <c r="B232" s="1" t="n">
        <v>45461</v>
      </c>
      <c r="C232" s="1" t="n">
        <v>46115</v>
      </c>
      <c r="D232" t="inlineStr">
        <is>
          <t>SÖDERMANLANDS LÄN</t>
        </is>
      </c>
      <c r="E232" t="inlineStr">
        <is>
          <t>KATRINEHOLM</t>
        </is>
      </c>
      <c r="G232" t="n">
        <v>2.6</v>
      </c>
      <c r="H232" t="n">
        <v>0</v>
      </c>
      <c r="I232" t="n">
        <v>0</v>
      </c>
      <c r="J232" t="n">
        <v>0</v>
      </c>
      <c r="K232" t="n">
        <v>0</v>
      </c>
      <c r="L232" t="n">
        <v>0</v>
      </c>
      <c r="M232" t="n">
        <v>0</v>
      </c>
      <c r="N232" t="n">
        <v>0</v>
      </c>
      <c r="O232" t="n">
        <v>0</v>
      </c>
      <c r="P232" t="n">
        <v>0</v>
      </c>
      <c r="Q232" t="n">
        <v>0</v>
      </c>
      <c r="R232" s="2" t="inlineStr"/>
    </row>
    <row r="233" ht="15" customHeight="1">
      <c r="A233" t="inlineStr">
        <is>
          <t>A 24179-2024</t>
        </is>
      </c>
      <c r="B233" s="1" t="n">
        <v>45456.83059027778</v>
      </c>
      <c r="C233" s="1" t="n">
        <v>46115</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51264-2021</t>
        </is>
      </c>
      <c r="B234" s="1" t="n">
        <v>44461</v>
      </c>
      <c r="C234" s="1" t="n">
        <v>46115</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22476-2025</t>
        </is>
      </c>
      <c r="B235" s="1" t="n">
        <v>45786</v>
      </c>
      <c r="C235" s="1" t="n">
        <v>46115</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46115</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22336-2025</t>
        </is>
      </c>
      <c r="B237" s="1" t="n">
        <v>45786.44217592593</v>
      </c>
      <c r="C237" s="1" t="n">
        <v>46115</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28427-2024</t>
        </is>
      </c>
      <c r="B238" s="1" t="n">
        <v>45477.64910879629</v>
      </c>
      <c r="C238" s="1" t="n">
        <v>46115</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23050-2025</t>
        </is>
      </c>
      <c r="B239" s="1" t="n">
        <v>45790.69971064815</v>
      </c>
      <c r="C239" s="1" t="n">
        <v>46115</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3980-2024</t>
        </is>
      </c>
      <c r="B240" s="1" t="n">
        <v>45322</v>
      </c>
      <c r="C240" s="1" t="n">
        <v>46115</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64713-2023</t>
        </is>
      </c>
      <c r="B241" s="1" t="n">
        <v>45281</v>
      </c>
      <c r="C241" s="1" t="n">
        <v>46115</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46115</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60677-2021</t>
        </is>
      </c>
      <c r="B243" s="1" t="n">
        <v>44495</v>
      </c>
      <c r="C243" s="1" t="n">
        <v>46115</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52242-2025</t>
        </is>
      </c>
      <c r="B244" s="1" t="n">
        <v>45953.46886574074</v>
      </c>
      <c r="C244" s="1" t="n">
        <v>46115</v>
      </c>
      <c r="D244" t="inlineStr">
        <is>
          <t>SÖDERMANLANDS LÄN</t>
        </is>
      </c>
      <c r="E244" t="inlineStr">
        <is>
          <t>KATRINEHOLM</t>
        </is>
      </c>
      <c r="G244" t="n">
        <v>5.3</v>
      </c>
      <c r="H244" t="n">
        <v>0</v>
      </c>
      <c r="I244" t="n">
        <v>0</v>
      </c>
      <c r="J244" t="n">
        <v>0</v>
      </c>
      <c r="K244" t="n">
        <v>0</v>
      </c>
      <c r="L244" t="n">
        <v>0</v>
      </c>
      <c r="M244" t="n">
        <v>0</v>
      </c>
      <c r="N244" t="n">
        <v>0</v>
      </c>
      <c r="O244" t="n">
        <v>0</v>
      </c>
      <c r="P244" t="n">
        <v>0</v>
      </c>
      <c r="Q244" t="n">
        <v>0</v>
      </c>
      <c r="R244" s="2" t="inlineStr"/>
    </row>
    <row r="245" ht="15" customHeight="1">
      <c r="A245" t="inlineStr">
        <is>
          <t>A 43088-2022</t>
        </is>
      </c>
      <c r="B245" s="1" t="n">
        <v>44833</v>
      </c>
      <c r="C245" s="1" t="n">
        <v>46115</v>
      </c>
      <c r="D245" t="inlineStr">
        <is>
          <t>SÖDERMANLANDS LÄN</t>
        </is>
      </c>
      <c r="E245" t="inlineStr">
        <is>
          <t>KATRINEHOLM</t>
        </is>
      </c>
      <c r="G245" t="n">
        <v>6.6</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46115</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52239-2025</t>
        </is>
      </c>
      <c r="B247" s="1" t="n">
        <v>45953.46193287037</v>
      </c>
      <c r="C247" s="1" t="n">
        <v>46115</v>
      </c>
      <c r="D247" t="inlineStr">
        <is>
          <t>SÖDERMANLANDS LÄN</t>
        </is>
      </c>
      <c r="E247" t="inlineStr">
        <is>
          <t>KATRINEHOLM</t>
        </is>
      </c>
      <c r="G247" t="n">
        <v>0.7</v>
      </c>
      <c r="H247" t="n">
        <v>0</v>
      </c>
      <c r="I247" t="n">
        <v>0</v>
      </c>
      <c r="J247" t="n">
        <v>0</v>
      </c>
      <c r="K247" t="n">
        <v>0</v>
      </c>
      <c r="L247" t="n">
        <v>0</v>
      </c>
      <c r="M247" t="n">
        <v>0</v>
      </c>
      <c r="N247" t="n">
        <v>0</v>
      </c>
      <c r="O247" t="n">
        <v>0</v>
      </c>
      <c r="P247" t="n">
        <v>0</v>
      </c>
      <c r="Q247" t="n">
        <v>0</v>
      </c>
      <c r="R247" s="2" t="inlineStr"/>
    </row>
    <row r="248" ht="15" customHeight="1">
      <c r="A248" t="inlineStr">
        <is>
          <t>A 52244-2025</t>
        </is>
      </c>
      <c r="B248" s="1" t="n">
        <v>45953</v>
      </c>
      <c r="C248" s="1" t="n">
        <v>46115</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39645-2025</t>
        </is>
      </c>
      <c r="B249" s="1" t="n">
        <v>45890</v>
      </c>
      <c r="C249" s="1" t="n">
        <v>46115</v>
      </c>
      <c r="D249" t="inlineStr">
        <is>
          <t>SÖDERMANLANDS LÄN</t>
        </is>
      </c>
      <c r="E249" t="inlineStr">
        <is>
          <t>KATRINEHOLM</t>
        </is>
      </c>
      <c r="G249" t="n">
        <v>0.2</v>
      </c>
      <c r="H249" t="n">
        <v>0</v>
      </c>
      <c r="I249" t="n">
        <v>0</v>
      </c>
      <c r="J249" t="n">
        <v>0</v>
      </c>
      <c r="K249" t="n">
        <v>0</v>
      </c>
      <c r="L249" t="n">
        <v>0</v>
      </c>
      <c r="M249" t="n">
        <v>0</v>
      </c>
      <c r="N249" t="n">
        <v>0</v>
      </c>
      <c r="O249" t="n">
        <v>0</v>
      </c>
      <c r="P249" t="n">
        <v>0</v>
      </c>
      <c r="Q249" t="n">
        <v>0</v>
      </c>
      <c r="R249" s="2" t="inlineStr"/>
    </row>
    <row r="250" ht="15" customHeight="1">
      <c r="A250" t="inlineStr">
        <is>
          <t>A 28582-2024</t>
        </is>
      </c>
      <c r="B250" s="1" t="n">
        <v>45478.40751157407</v>
      </c>
      <c r="C250" s="1" t="n">
        <v>46115</v>
      </c>
      <c r="D250" t="inlineStr">
        <is>
          <t>SÖDERMANLANDS LÄN</t>
        </is>
      </c>
      <c r="E250" t="inlineStr">
        <is>
          <t>KATRINEHOLM</t>
        </is>
      </c>
      <c r="F250" t="inlineStr">
        <is>
          <t>Övriga Aktiebolag</t>
        </is>
      </c>
      <c r="G250" t="n">
        <v>4</v>
      </c>
      <c r="H250" t="n">
        <v>0</v>
      </c>
      <c r="I250" t="n">
        <v>0</v>
      </c>
      <c r="J250" t="n">
        <v>0</v>
      </c>
      <c r="K250" t="n">
        <v>0</v>
      </c>
      <c r="L250" t="n">
        <v>0</v>
      </c>
      <c r="M250" t="n">
        <v>0</v>
      </c>
      <c r="N250" t="n">
        <v>0</v>
      </c>
      <c r="O250" t="n">
        <v>0</v>
      </c>
      <c r="P250" t="n">
        <v>0</v>
      </c>
      <c r="Q250" t="n">
        <v>0</v>
      </c>
      <c r="R250" s="2" t="inlineStr"/>
    </row>
    <row r="251" ht="15" customHeight="1">
      <c r="A251" t="inlineStr">
        <is>
          <t>A 39663-2025</t>
        </is>
      </c>
      <c r="B251" s="1" t="n">
        <v>45890</v>
      </c>
      <c r="C251" s="1" t="n">
        <v>46115</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39668-2025</t>
        </is>
      </c>
      <c r="B252" s="1" t="n">
        <v>45890</v>
      </c>
      <c r="C252" s="1" t="n">
        <v>46115</v>
      </c>
      <c r="D252" t="inlineStr">
        <is>
          <t>SÖDERMANLANDS LÄN</t>
        </is>
      </c>
      <c r="E252" t="inlineStr">
        <is>
          <t>KATRINEHOLM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26081-2024</t>
        </is>
      </c>
      <c r="B253" s="1" t="n">
        <v>45462</v>
      </c>
      <c r="C253" s="1" t="n">
        <v>46115</v>
      </c>
      <c r="D253" t="inlineStr">
        <is>
          <t>SÖDERMANLANDS LÄN</t>
        </is>
      </c>
      <c r="E253" t="inlineStr">
        <is>
          <t>KATRINEHOLM</t>
        </is>
      </c>
      <c r="G253" t="n">
        <v>4.1</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46115</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24902-2024</t>
        </is>
      </c>
      <c r="B255" s="1" t="n">
        <v>45461</v>
      </c>
      <c r="C255" s="1" t="n">
        <v>46115</v>
      </c>
      <c r="D255" t="inlineStr">
        <is>
          <t>SÖDERMANLANDS LÄN</t>
        </is>
      </c>
      <c r="E255" t="inlineStr">
        <is>
          <t>KATRINEHOLM</t>
        </is>
      </c>
      <c r="G255" t="n">
        <v>3.5</v>
      </c>
      <c r="H255" t="n">
        <v>0</v>
      </c>
      <c r="I255" t="n">
        <v>0</v>
      </c>
      <c r="J255" t="n">
        <v>0</v>
      </c>
      <c r="K255" t="n">
        <v>0</v>
      </c>
      <c r="L255" t="n">
        <v>0</v>
      </c>
      <c r="M255" t="n">
        <v>0</v>
      </c>
      <c r="N255" t="n">
        <v>0</v>
      </c>
      <c r="O255" t="n">
        <v>0</v>
      </c>
      <c r="P255" t="n">
        <v>0</v>
      </c>
      <c r="Q255" t="n">
        <v>0</v>
      </c>
      <c r="R255" s="2" t="inlineStr"/>
    </row>
    <row r="256" ht="15" customHeight="1">
      <c r="A256" t="inlineStr">
        <is>
          <t>A 69117-2021</t>
        </is>
      </c>
      <c r="B256" s="1" t="n">
        <v>44530.82445601852</v>
      </c>
      <c r="C256" s="1" t="n">
        <v>46115</v>
      </c>
      <c r="D256" t="inlineStr">
        <is>
          <t>SÖDERMANLANDS LÄN</t>
        </is>
      </c>
      <c r="E256" t="inlineStr">
        <is>
          <t>KATRINEHOLM</t>
        </is>
      </c>
      <c r="G256" t="n">
        <v>1.7</v>
      </c>
      <c r="H256" t="n">
        <v>0</v>
      </c>
      <c r="I256" t="n">
        <v>0</v>
      </c>
      <c r="J256" t="n">
        <v>0</v>
      </c>
      <c r="K256" t="n">
        <v>0</v>
      </c>
      <c r="L256" t="n">
        <v>0</v>
      </c>
      <c r="M256" t="n">
        <v>0</v>
      </c>
      <c r="N256" t="n">
        <v>0</v>
      </c>
      <c r="O256" t="n">
        <v>0</v>
      </c>
      <c r="P256" t="n">
        <v>0</v>
      </c>
      <c r="Q256" t="n">
        <v>0</v>
      </c>
      <c r="R256" s="2" t="inlineStr"/>
    </row>
    <row r="257" ht="15" customHeight="1">
      <c r="A257" t="inlineStr">
        <is>
          <t>A 38308-2021</t>
        </is>
      </c>
      <c r="B257" s="1" t="n">
        <v>44406</v>
      </c>
      <c r="C257" s="1" t="n">
        <v>46115</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55172-2022</t>
        </is>
      </c>
      <c r="B258" s="1" t="n">
        <v>44886</v>
      </c>
      <c r="C258" s="1" t="n">
        <v>46115</v>
      </c>
      <c r="D258" t="inlineStr">
        <is>
          <t>SÖDERMANLANDS LÄN</t>
        </is>
      </c>
      <c r="E258" t="inlineStr">
        <is>
          <t>KATRINEHOLM</t>
        </is>
      </c>
      <c r="G258" t="n">
        <v>1.3</v>
      </c>
      <c r="H258" t="n">
        <v>0</v>
      </c>
      <c r="I258" t="n">
        <v>0</v>
      </c>
      <c r="J258" t="n">
        <v>0</v>
      </c>
      <c r="K258" t="n">
        <v>0</v>
      </c>
      <c r="L258" t="n">
        <v>0</v>
      </c>
      <c r="M258" t="n">
        <v>0</v>
      </c>
      <c r="N258" t="n">
        <v>0</v>
      </c>
      <c r="O258" t="n">
        <v>0</v>
      </c>
      <c r="P258" t="n">
        <v>0</v>
      </c>
      <c r="Q258" t="n">
        <v>0</v>
      </c>
      <c r="R258" s="2" t="inlineStr"/>
    </row>
    <row r="259" ht="15" customHeight="1">
      <c r="A259" t="inlineStr">
        <is>
          <t>A 67337-2021</t>
        </is>
      </c>
      <c r="B259" s="1" t="n">
        <v>44523</v>
      </c>
      <c r="C259" s="1" t="n">
        <v>46115</v>
      </c>
      <c r="D259" t="inlineStr">
        <is>
          <t>SÖDERMANLANDS LÄN</t>
        </is>
      </c>
      <c r="E259" t="inlineStr">
        <is>
          <t>KATRINEHOLM</t>
        </is>
      </c>
      <c r="G259" t="n">
        <v>5.2</v>
      </c>
      <c r="H259" t="n">
        <v>0</v>
      </c>
      <c r="I259" t="n">
        <v>0</v>
      </c>
      <c r="J259" t="n">
        <v>0</v>
      </c>
      <c r="K259" t="n">
        <v>0</v>
      </c>
      <c r="L259" t="n">
        <v>0</v>
      </c>
      <c r="M259" t="n">
        <v>0</v>
      </c>
      <c r="N259" t="n">
        <v>0</v>
      </c>
      <c r="O259" t="n">
        <v>0</v>
      </c>
      <c r="P259" t="n">
        <v>0</v>
      </c>
      <c r="Q259" t="n">
        <v>0</v>
      </c>
      <c r="R259" s="2" t="inlineStr"/>
    </row>
    <row r="260" ht="15" customHeight="1">
      <c r="A260" t="inlineStr">
        <is>
          <t>A 39737-2025</t>
        </is>
      </c>
      <c r="B260" s="1" t="n">
        <v>45891</v>
      </c>
      <c r="C260" s="1" t="n">
        <v>46115</v>
      </c>
      <c r="D260" t="inlineStr">
        <is>
          <t>SÖDERMANLANDS LÄN</t>
        </is>
      </c>
      <c r="E260" t="inlineStr">
        <is>
          <t>KATRINEHOLM</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39847-2025</t>
        </is>
      </c>
      <c r="B261" s="1" t="n">
        <v>45891.58381944444</v>
      </c>
      <c r="C261" s="1" t="n">
        <v>46115</v>
      </c>
      <c r="D261" t="inlineStr">
        <is>
          <t>SÖDERMANLANDS LÄN</t>
        </is>
      </c>
      <c r="E261" t="inlineStr">
        <is>
          <t>KATRINEHOLM</t>
        </is>
      </c>
      <c r="F261" t="inlineStr">
        <is>
          <t>Holmen skog AB</t>
        </is>
      </c>
      <c r="G261" t="n">
        <v>2.5</v>
      </c>
      <c r="H261" t="n">
        <v>0</v>
      </c>
      <c r="I261" t="n">
        <v>0</v>
      </c>
      <c r="J261" t="n">
        <v>0</v>
      </c>
      <c r="K261" t="n">
        <v>0</v>
      </c>
      <c r="L261" t="n">
        <v>0</v>
      </c>
      <c r="M261" t="n">
        <v>0</v>
      </c>
      <c r="N261" t="n">
        <v>0</v>
      </c>
      <c r="O261" t="n">
        <v>0</v>
      </c>
      <c r="P261" t="n">
        <v>0</v>
      </c>
      <c r="Q261" t="n">
        <v>0</v>
      </c>
      <c r="R261" s="2" t="inlineStr"/>
    </row>
    <row r="262" ht="15" customHeight="1">
      <c r="A262" t="inlineStr">
        <is>
          <t>A 29394-2024</t>
        </is>
      </c>
      <c r="B262" s="1" t="n">
        <v>45483</v>
      </c>
      <c r="C262" s="1" t="n">
        <v>46115</v>
      </c>
      <c r="D262" t="inlineStr">
        <is>
          <t>SÖDERMANLANDS LÄN</t>
        </is>
      </c>
      <c r="E262" t="inlineStr">
        <is>
          <t>KATRINEHOLM</t>
        </is>
      </c>
      <c r="G262" t="n">
        <v>0.9</v>
      </c>
      <c r="H262" t="n">
        <v>0</v>
      </c>
      <c r="I262" t="n">
        <v>0</v>
      </c>
      <c r="J262" t="n">
        <v>0</v>
      </c>
      <c r="K262" t="n">
        <v>0</v>
      </c>
      <c r="L262" t="n">
        <v>0</v>
      </c>
      <c r="M262" t="n">
        <v>0</v>
      </c>
      <c r="N262" t="n">
        <v>0</v>
      </c>
      <c r="O262" t="n">
        <v>0</v>
      </c>
      <c r="P262" t="n">
        <v>0</v>
      </c>
      <c r="Q262" t="n">
        <v>0</v>
      </c>
      <c r="R262" s="2" t="inlineStr"/>
    </row>
    <row r="263" ht="15" customHeight="1">
      <c r="A263" t="inlineStr">
        <is>
          <t>A 50032-2022</t>
        </is>
      </c>
      <c r="B263" s="1" t="n">
        <v>44860</v>
      </c>
      <c r="C263" s="1" t="n">
        <v>46115</v>
      </c>
      <c r="D263" t="inlineStr">
        <is>
          <t>SÖDERMANLANDS LÄN</t>
        </is>
      </c>
      <c r="E263" t="inlineStr">
        <is>
          <t>KATRINEHOLM</t>
        </is>
      </c>
      <c r="G263" t="n">
        <v>7.5</v>
      </c>
      <c r="H263" t="n">
        <v>0</v>
      </c>
      <c r="I263" t="n">
        <v>0</v>
      </c>
      <c r="J263" t="n">
        <v>0</v>
      </c>
      <c r="K263" t="n">
        <v>0</v>
      </c>
      <c r="L263" t="n">
        <v>0</v>
      </c>
      <c r="M263" t="n">
        <v>0</v>
      </c>
      <c r="N263" t="n">
        <v>0</v>
      </c>
      <c r="O263" t="n">
        <v>0</v>
      </c>
      <c r="P263" t="n">
        <v>0</v>
      </c>
      <c r="Q263" t="n">
        <v>0</v>
      </c>
      <c r="R263" s="2" t="inlineStr"/>
    </row>
    <row r="264" ht="15" customHeight="1">
      <c r="A264" t="inlineStr">
        <is>
          <t>A 26713-2024</t>
        </is>
      </c>
      <c r="B264" s="1" t="n">
        <v>45470</v>
      </c>
      <c r="C264" s="1" t="n">
        <v>46115</v>
      </c>
      <c r="D264" t="inlineStr">
        <is>
          <t>SÖDERMANLANDS LÄN</t>
        </is>
      </c>
      <c r="E264" t="inlineStr">
        <is>
          <t>KATRINEHOLM</t>
        </is>
      </c>
      <c r="G264" t="n">
        <v>0.7</v>
      </c>
      <c r="H264" t="n">
        <v>0</v>
      </c>
      <c r="I264" t="n">
        <v>0</v>
      </c>
      <c r="J264" t="n">
        <v>0</v>
      </c>
      <c r="K264" t="n">
        <v>0</v>
      </c>
      <c r="L264" t="n">
        <v>0</v>
      </c>
      <c r="M264" t="n">
        <v>0</v>
      </c>
      <c r="N264" t="n">
        <v>0</v>
      </c>
      <c r="O264" t="n">
        <v>0</v>
      </c>
      <c r="P264" t="n">
        <v>0</v>
      </c>
      <c r="Q264" t="n">
        <v>0</v>
      </c>
      <c r="R264" s="2" t="inlineStr"/>
    </row>
    <row r="265" ht="15" customHeight="1">
      <c r="A265" t="inlineStr">
        <is>
          <t>A 43837-2022</t>
        </is>
      </c>
      <c r="B265" s="1" t="n">
        <v>44838</v>
      </c>
      <c r="C265" s="1" t="n">
        <v>46115</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57510-2021</t>
        </is>
      </c>
      <c r="B266" s="1" t="n">
        <v>44483</v>
      </c>
      <c r="C266" s="1" t="n">
        <v>46115</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2603-2025</t>
        </is>
      </c>
      <c r="B267" s="1" t="n">
        <v>45674</v>
      </c>
      <c r="C267" s="1" t="n">
        <v>46115</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55732-2023</t>
        </is>
      </c>
      <c r="B268" s="1" t="n">
        <v>45239</v>
      </c>
      <c r="C268" s="1" t="n">
        <v>46115</v>
      </c>
      <c r="D268" t="inlineStr">
        <is>
          <t>SÖDERMANLANDS LÄN</t>
        </is>
      </c>
      <c r="E268" t="inlineStr">
        <is>
          <t>KATRINEHOLM</t>
        </is>
      </c>
      <c r="G268" t="n">
        <v>0.9</v>
      </c>
      <c r="H268" t="n">
        <v>0</v>
      </c>
      <c r="I268" t="n">
        <v>0</v>
      </c>
      <c r="J268" t="n">
        <v>0</v>
      </c>
      <c r="K268" t="n">
        <v>0</v>
      </c>
      <c r="L268" t="n">
        <v>0</v>
      </c>
      <c r="M268" t="n">
        <v>0</v>
      </c>
      <c r="N268" t="n">
        <v>0</v>
      </c>
      <c r="O268" t="n">
        <v>0</v>
      </c>
      <c r="P268" t="n">
        <v>0</v>
      </c>
      <c r="Q268" t="n">
        <v>0</v>
      </c>
      <c r="R268" s="2" t="inlineStr"/>
    </row>
    <row r="269" ht="15" customHeight="1">
      <c r="A269" t="inlineStr">
        <is>
          <t>A 40159-2023</t>
        </is>
      </c>
      <c r="B269" s="1" t="n">
        <v>45169</v>
      </c>
      <c r="C269" s="1" t="n">
        <v>46115</v>
      </c>
      <c r="D269" t="inlineStr">
        <is>
          <t>SÖDERMANLANDS LÄN</t>
        </is>
      </c>
      <c r="E269" t="inlineStr">
        <is>
          <t>KATRINEHOLM</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28675-2024</t>
        </is>
      </c>
      <c r="B270" s="1" t="n">
        <v>45478</v>
      </c>
      <c r="C270" s="1" t="n">
        <v>46115</v>
      </c>
      <c r="D270" t="inlineStr">
        <is>
          <t>SÖDERMANLANDS LÄN</t>
        </is>
      </c>
      <c r="E270" t="inlineStr">
        <is>
          <t>KATRINEHOLM</t>
        </is>
      </c>
      <c r="F270" t="inlineStr">
        <is>
          <t>Övriga Aktiebolag</t>
        </is>
      </c>
      <c r="G270" t="n">
        <v>3.5</v>
      </c>
      <c r="H270" t="n">
        <v>0</v>
      </c>
      <c r="I270" t="n">
        <v>0</v>
      </c>
      <c r="J270" t="n">
        <v>0</v>
      </c>
      <c r="K270" t="n">
        <v>0</v>
      </c>
      <c r="L270" t="n">
        <v>0</v>
      </c>
      <c r="M270" t="n">
        <v>0</v>
      </c>
      <c r="N270" t="n">
        <v>0</v>
      </c>
      <c r="O270" t="n">
        <v>0</v>
      </c>
      <c r="P270" t="n">
        <v>0</v>
      </c>
      <c r="Q270" t="n">
        <v>0</v>
      </c>
      <c r="R270" s="2" t="inlineStr"/>
    </row>
    <row r="271" ht="15" customHeight="1">
      <c r="A271" t="inlineStr">
        <is>
          <t>A 24566-2025</t>
        </is>
      </c>
      <c r="B271" s="1" t="n">
        <v>45798.46452546296</v>
      </c>
      <c r="C271" s="1" t="n">
        <v>46115</v>
      </c>
      <c r="D271" t="inlineStr">
        <is>
          <t>SÖDERMANLANDS LÄN</t>
        </is>
      </c>
      <c r="E271" t="inlineStr">
        <is>
          <t>KATRINEHOLM</t>
        </is>
      </c>
      <c r="G271" t="n">
        <v>6.3</v>
      </c>
      <c r="H271" t="n">
        <v>0</v>
      </c>
      <c r="I271" t="n">
        <v>0</v>
      </c>
      <c r="J271" t="n">
        <v>0</v>
      </c>
      <c r="K271" t="n">
        <v>0</v>
      </c>
      <c r="L271" t="n">
        <v>0</v>
      </c>
      <c r="M271" t="n">
        <v>0</v>
      </c>
      <c r="N271" t="n">
        <v>0</v>
      </c>
      <c r="O271" t="n">
        <v>0</v>
      </c>
      <c r="P271" t="n">
        <v>0</v>
      </c>
      <c r="Q271" t="n">
        <v>0</v>
      </c>
      <c r="R271" s="2" t="inlineStr"/>
    </row>
    <row r="272" ht="15" customHeight="1">
      <c r="A272" t="inlineStr">
        <is>
          <t>A 27875-2024</t>
        </is>
      </c>
      <c r="B272" s="1" t="n">
        <v>45475</v>
      </c>
      <c r="C272" s="1" t="n">
        <v>46115</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27376-2024</t>
        </is>
      </c>
      <c r="B273" s="1" t="n">
        <v>45473.88313657408</v>
      </c>
      <c r="C273" s="1" t="n">
        <v>46115</v>
      </c>
      <c r="D273" t="inlineStr">
        <is>
          <t>SÖDERMANLANDS LÄN</t>
        </is>
      </c>
      <c r="E273" t="inlineStr">
        <is>
          <t>KATRINEHOLM</t>
        </is>
      </c>
      <c r="F273" t="inlineStr">
        <is>
          <t>Kommuner</t>
        </is>
      </c>
      <c r="G273" t="n">
        <v>2.8</v>
      </c>
      <c r="H273" t="n">
        <v>0</v>
      </c>
      <c r="I273" t="n">
        <v>0</v>
      </c>
      <c r="J273" t="n">
        <v>0</v>
      </c>
      <c r="K273" t="n">
        <v>0</v>
      </c>
      <c r="L273" t="n">
        <v>0</v>
      </c>
      <c r="M273" t="n">
        <v>0</v>
      </c>
      <c r="N273" t="n">
        <v>0</v>
      </c>
      <c r="O273" t="n">
        <v>0</v>
      </c>
      <c r="P273" t="n">
        <v>0</v>
      </c>
      <c r="Q273" t="n">
        <v>0</v>
      </c>
      <c r="R273" s="2" t="inlineStr"/>
    </row>
    <row r="274" ht="15" customHeight="1">
      <c r="A274" t="inlineStr">
        <is>
          <t>A 24605-2025</t>
        </is>
      </c>
      <c r="B274" s="1" t="n">
        <v>45798.57403935185</v>
      </c>
      <c r="C274" s="1" t="n">
        <v>46115</v>
      </c>
      <c r="D274" t="inlineStr">
        <is>
          <t>SÖDERMANLANDS LÄN</t>
        </is>
      </c>
      <c r="E274" t="inlineStr">
        <is>
          <t>KATRINEHOLM</t>
        </is>
      </c>
      <c r="G274" t="n">
        <v>7</v>
      </c>
      <c r="H274" t="n">
        <v>0</v>
      </c>
      <c r="I274" t="n">
        <v>0</v>
      </c>
      <c r="J274" t="n">
        <v>0</v>
      </c>
      <c r="K274" t="n">
        <v>0</v>
      </c>
      <c r="L274" t="n">
        <v>0</v>
      </c>
      <c r="M274" t="n">
        <v>0</v>
      </c>
      <c r="N274" t="n">
        <v>0</v>
      </c>
      <c r="O274" t="n">
        <v>0</v>
      </c>
      <c r="P274" t="n">
        <v>0</v>
      </c>
      <c r="Q274" t="n">
        <v>0</v>
      </c>
      <c r="R274" s="2" t="inlineStr"/>
    </row>
    <row r="275" ht="15" customHeight="1">
      <c r="A275" t="inlineStr">
        <is>
          <t>A 28995-2024</t>
        </is>
      </c>
      <c r="B275" s="1" t="n">
        <v>45481.49899305555</v>
      </c>
      <c r="C275" s="1" t="n">
        <v>46115</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44989-2022</t>
        </is>
      </c>
      <c r="B276" s="1" t="n">
        <v>44840</v>
      </c>
      <c r="C276" s="1" t="n">
        <v>46115</v>
      </c>
      <c r="D276" t="inlineStr">
        <is>
          <t>SÖDERMANLANDS LÄN</t>
        </is>
      </c>
      <c r="E276" t="inlineStr">
        <is>
          <t>KATRINEHOLM</t>
        </is>
      </c>
      <c r="G276" t="n">
        <v>6</v>
      </c>
      <c r="H276" t="n">
        <v>0</v>
      </c>
      <c r="I276" t="n">
        <v>0</v>
      </c>
      <c r="J276" t="n">
        <v>0</v>
      </c>
      <c r="K276" t="n">
        <v>0</v>
      </c>
      <c r="L276" t="n">
        <v>0</v>
      </c>
      <c r="M276" t="n">
        <v>0</v>
      </c>
      <c r="N276" t="n">
        <v>0</v>
      </c>
      <c r="O276" t="n">
        <v>0</v>
      </c>
      <c r="P276" t="n">
        <v>0</v>
      </c>
      <c r="Q276" t="n">
        <v>0</v>
      </c>
      <c r="R276" s="2" t="inlineStr"/>
    </row>
    <row r="277" ht="15" customHeight="1">
      <c r="A277" t="inlineStr">
        <is>
          <t>A 48259-2022</t>
        </is>
      </c>
      <c r="B277" s="1" t="n">
        <v>44858</v>
      </c>
      <c r="C277" s="1" t="n">
        <v>46115</v>
      </c>
      <c r="D277" t="inlineStr">
        <is>
          <t>SÖDERMANLANDS LÄN</t>
        </is>
      </c>
      <c r="E277" t="inlineStr">
        <is>
          <t>KATRINEHOLM</t>
        </is>
      </c>
      <c r="G277" t="n">
        <v>3.5</v>
      </c>
      <c r="H277" t="n">
        <v>0</v>
      </c>
      <c r="I277" t="n">
        <v>0</v>
      </c>
      <c r="J277" t="n">
        <v>0</v>
      </c>
      <c r="K277" t="n">
        <v>0</v>
      </c>
      <c r="L277" t="n">
        <v>0</v>
      </c>
      <c r="M277" t="n">
        <v>0</v>
      </c>
      <c r="N277" t="n">
        <v>0</v>
      </c>
      <c r="O277" t="n">
        <v>0</v>
      </c>
      <c r="P277" t="n">
        <v>0</v>
      </c>
      <c r="Q277" t="n">
        <v>0</v>
      </c>
      <c r="R277" s="2" t="inlineStr"/>
    </row>
    <row r="278" ht="15" customHeight="1">
      <c r="A278" t="inlineStr">
        <is>
          <t>A 28992-2024</t>
        </is>
      </c>
      <c r="B278" s="1" t="n">
        <v>45481.49289351852</v>
      </c>
      <c r="C278" s="1" t="n">
        <v>46115</v>
      </c>
      <c r="D278" t="inlineStr">
        <is>
          <t>SÖDERMANLANDS LÄN</t>
        </is>
      </c>
      <c r="E278" t="inlineStr">
        <is>
          <t>KATRINEHOLM</t>
        </is>
      </c>
      <c r="G278" t="n">
        <v>2.3</v>
      </c>
      <c r="H278" t="n">
        <v>0</v>
      </c>
      <c r="I278" t="n">
        <v>0</v>
      </c>
      <c r="J278" t="n">
        <v>0</v>
      </c>
      <c r="K278" t="n">
        <v>0</v>
      </c>
      <c r="L278" t="n">
        <v>0</v>
      </c>
      <c r="M278" t="n">
        <v>0</v>
      </c>
      <c r="N278" t="n">
        <v>0</v>
      </c>
      <c r="O278" t="n">
        <v>0</v>
      </c>
      <c r="P278" t="n">
        <v>0</v>
      </c>
      <c r="Q278" t="n">
        <v>0</v>
      </c>
      <c r="R278" s="2" t="inlineStr"/>
    </row>
    <row r="279" ht="15" customHeight="1">
      <c r="A279" t="inlineStr">
        <is>
          <t>A 56086-2023</t>
        </is>
      </c>
      <c r="B279" s="1" t="n">
        <v>45240</v>
      </c>
      <c r="C279" s="1" t="n">
        <v>46115</v>
      </c>
      <c r="D279" t="inlineStr">
        <is>
          <t>SÖDERMANLANDS LÄN</t>
        </is>
      </c>
      <c r="E279" t="inlineStr">
        <is>
          <t>KATRINEHOLM</t>
        </is>
      </c>
      <c r="F279" t="inlineStr">
        <is>
          <t>Kyrkan</t>
        </is>
      </c>
      <c r="G279" t="n">
        <v>17</v>
      </c>
      <c r="H279" t="n">
        <v>0</v>
      </c>
      <c r="I279" t="n">
        <v>0</v>
      </c>
      <c r="J279" t="n">
        <v>0</v>
      </c>
      <c r="K279" t="n">
        <v>0</v>
      </c>
      <c r="L279" t="n">
        <v>0</v>
      </c>
      <c r="M279" t="n">
        <v>0</v>
      </c>
      <c r="N279" t="n">
        <v>0</v>
      </c>
      <c r="O279" t="n">
        <v>0</v>
      </c>
      <c r="P279" t="n">
        <v>0</v>
      </c>
      <c r="Q279" t="n">
        <v>0</v>
      </c>
      <c r="R279" s="2" t="inlineStr"/>
    </row>
    <row r="280" ht="15" customHeight="1">
      <c r="A280" t="inlineStr">
        <is>
          <t>A 7322-2023</t>
        </is>
      </c>
      <c r="B280" s="1" t="n">
        <v>44970</v>
      </c>
      <c r="C280" s="1" t="n">
        <v>46115</v>
      </c>
      <c r="D280" t="inlineStr">
        <is>
          <t>SÖDERMANLANDS LÄN</t>
        </is>
      </c>
      <c r="E280" t="inlineStr">
        <is>
          <t>KATRINEHOLM</t>
        </is>
      </c>
      <c r="G280" t="n">
        <v>2.1</v>
      </c>
      <c r="H280" t="n">
        <v>0</v>
      </c>
      <c r="I280" t="n">
        <v>0</v>
      </c>
      <c r="J280" t="n">
        <v>0</v>
      </c>
      <c r="K280" t="n">
        <v>0</v>
      </c>
      <c r="L280" t="n">
        <v>0</v>
      </c>
      <c r="M280" t="n">
        <v>0</v>
      </c>
      <c r="N280" t="n">
        <v>0</v>
      </c>
      <c r="O280" t="n">
        <v>0</v>
      </c>
      <c r="P280" t="n">
        <v>0</v>
      </c>
      <c r="Q280" t="n">
        <v>0</v>
      </c>
      <c r="R280" s="2" t="inlineStr"/>
    </row>
    <row r="281" ht="15" customHeight="1">
      <c r="A281" t="inlineStr">
        <is>
          <t>A 2093-2025</t>
        </is>
      </c>
      <c r="B281" s="1" t="n">
        <v>45672</v>
      </c>
      <c r="C281" s="1" t="n">
        <v>46115</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41074-2025</t>
        </is>
      </c>
      <c r="B282" s="1" t="n">
        <v>45898</v>
      </c>
      <c r="C282" s="1" t="n">
        <v>46115</v>
      </c>
      <c r="D282" t="inlineStr">
        <is>
          <t>SÖDERMANLANDS LÄN</t>
        </is>
      </c>
      <c r="E282" t="inlineStr">
        <is>
          <t>KATRINEHOLM</t>
        </is>
      </c>
      <c r="F282" t="inlineStr">
        <is>
          <t>Allmännings- och besparingsskogar</t>
        </is>
      </c>
      <c r="G282" t="n">
        <v>4.8</v>
      </c>
      <c r="H282" t="n">
        <v>0</v>
      </c>
      <c r="I282" t="n">
        <v>0</v>
      </c>
      <c r="J282" t="n">
        <v>0</v>
      </c>
      <c r="K282" t="n">
        <v>0</v>
      </c>
      <c r="L282" t="n">
        <v>0</v>
      </c>
      <c r="M282" t="n">
        <v>0</v>
      </c>
      <c r="N282" t="n">
        <v>0</v>
      </c>
      <c r="O282" t="n">
        <v>0</v>
      </c>
      <c r="P282" t="n">
        <v>0</v>
      </c>
      <c r="Q282" t="n">
        <v>0</v>
      </c>
      <c r="R282" s="2" t="inlineStr"/>
    </row>
    <row r="283" ht="15" customHeight="1">
      <c r="A283" t="inlineStr">
        <is>
          <t>A 27886-2024</t>
        </is>
      </c>
      <c r="B283" s="1" t="n">
        <v>45475</v>
      </c>
      <c r="C283" s="1" t="n">
        <v>46115</v>
      </c>
      <c r="D283" t="inlineStr">
        <is>
          <t>SÖDERMANLANDS LÄN</t>
        </is>
      </c>
      <c r="E283" t="inlineStr">
        <is>
          <t>KATRINEHOLM</t>
        </is>
      </c>
      <c r="G283" t="n">
        <v>10.3</v>
      </c>
      <c r="H283" t="n">
        <v>0</v>
      </c>
      <c r="I283" t="n">
        <v>0</v>
      </c>
      <c r="J283" t="n">
        <v>0</v>
      </c>
      <c r="K283" t="n">
        <v>0</v>
      </c>
      <c r="L283" t="n">
        <v>0</v>
      </c>
      <c r="M283" t="n">
        <v>0</v>
      </c>
      <c r="N283" t="n">
        <v>0</v>
      </c>
      <c r="O283" t="n">
        <v>0</v>
      </c>
      <c r="P283" t="n">
        <v>0</v>
      </c>
      <c r="Q283" t="n">
        <v>0</v>
      </c>
      <c r="R283" s="2" t="inlineStr"/>
    </row>
    <row r="284" ht="15" customHeight="1">
      <c r="A284" t="inlineStr">
        <is>
          <t>A 61423-2024</t>
        </is>
      </c>
      <c r="B284" s="1" t="n">
        <v>45646.45209490741</v>
      </c>
      <c r="C284" s="1" t="n">
        <v>46115</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41727-2024</t>
        </is>
      </c>
      <c r="B285" s="1" t="n">
        <v>45560</v>
      </c>
      <c r="C285" s="1" t="n">
        <v>46115</v>
      </c>
      <c r="D285" t="inlineStr">
        <is>
          <t>SÖDERMANLANDS LÄN</t>
        </is>
      </c>
      <c r="E285" t="inlineStr">
        <is>
          <t>KATRINEHOLM</t>
        </is>
      </c>
      <c r="G285" t="n">
        <v>3.9</v>
      </c>
      <c r="H285" t="n">
        <v>0</v>
      </c>
      <c r="I285" t="n">
        <v>0</v>
      </c>
      <c r="J285" t="n">
        <v>0</v>
      </c>
      <c r="K285" t="n">
        <v>0</v>
      </c>
      <c r="L285" t="n">
        <v>0</v>
      </c>
      <c r="M285" t="n">
        <v>0</v>
      </c>
      <c r="N285" t="n">
        <v>0</v>
      </c>
      <c r="O285" t="n">
        <v>0</v>
      </c>
      <c r="P285" t="n">
        <v>0</v>
      </c>
      <c r="Q285" t="n">
        <v>0</v>
      </c>
      <c r="R285" s="2" t="inlineStr"/>
    </row>
    <row r="286" ht="15" customHeight="1">
      <c r="A286" t="inlineStr">
        <is>
          <t>A 41498-2025</t>
        </is>
      </c>
      <c r="B286" s="1" t="n">
        <v>45901.49755787037</v>
      </c>
      <c r="C286" s="1" t="n">
        <v>46115</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25363-2023</t>
        </is>
      </c>
      <c r="B287" s="1" t="n">
        <v>45088.83840277778</v>
      </c>
      <c r="C287" s="1" t="n">
        <v>46115</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24717-2025</t>
        </is>
      </c>
      <c r="B288" s="1" t="n">
        <v>45799.27168981481</v>
      </c>
      <c r="C288" s="1" t="n">
        <v>46115</v>
      </c>
      <c r="D288" t="inlineStr">
        <is>
          <t>SÖDERMANLANDS LÄN</t>
        </is>
      </c>
      <c r="E288" t="inlineStr">
        <is>
          <t>KATRINEHOLM</t>
        </is>
      </c>
      <c r="G288" t="n">
        <v>24.5</v>
      </c>
      <c r="H288" t="n">
        <v>0</v>
      </c>
      <c r="I288" t="n">
        <v>0</v>
      </c>
      <c r="J288" t="n">
        <v>0</v>
      </c>
      <c r="K288" t="n">
        <v>0</v>
      </c>
      <c r="L288" t="n">
        <v>0</v>
      </c>
      <c r="M288" t="n">
        <v>0</v>
      </c>
      <c r="N288" t="n">
        <v>0</v>
      </c>
      <c r="O288" t="n">
        <v>0</v>
      </c>
      <c r="P288" t="n">
        <v>0</v>
      </c>
      <c r="Q288" t="n">
        <v>0</v>
      </c>
      <c r="R288" s="2" t="inlineStr"/>
    </row>
    <row r="289" ht="15" customHeight="1">
      <c r="A289" t="inlineStr">
        <is>
          <t>A 6722-2022</t>
        </is>
      </c>
      <c r="B289" s="1" t="n">
        <v>44602</v>
      </c>
      <c r="C289" s="1" t="n">
        <v>46115</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53999-2023</t>
        </is>
      </c>
      <c r="B290" s="1" t="n">
        <v>45231</v>
      </c>
      <c r="C290" s="1" t="n">
        <v>46115</v>
      </c>
      <c r="D290" t="inlineStr">
        <is>
          <t>SÖDERMANLANDS LÄN</t>
        </is>
      </c>
      <c r="E290" t="inlineStr">
        <is>
          <t>KATRINEHOLM</t>
        </is>
      </c>
      <c r="G290" t="n">
        <v>5.4</v>
      </c>
      <c r="H290" t="n">
        <v>0</v>
      </c>
      <c r="I290" t="n">
        <v>0</v>
      </c>
      <c r="J290" t="n">
        <v>0</v>
      </c>
      <c r="K290" t="n">
        <v>0</v>
      </c>
      <c r="L290" t="n">
        <v>0</v>
      </c>
      <c r="M290" t="n">
        <v>0</v>
      </c>
      <c r="N290" t="n">
        <v>0</v>
      </c>
      <c r="O290" t="n">
        <v>0</v>
      </c>
      <c r="P290" t="n">
        <v>0</v>
      </c>
      <c r="Q290" t="n">
        <v>0</v>
      </c>
      <c r="R290" s="2" t="inlineStr"/>
    </row>
    <row r="291" ht="15" customHeight="1">
      <c r="A291" t="inlineStr">
        <is>
          <t>A 24719-2025</t>
        </is>
      </c>
      <c r="B291" s="1" t="n">
        <v>45799</v>
      </c>
      <c r="C291" s="1" t="n">
        <v>46115</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6763-2022</t>
        </is>
      </c>
      <c r="B292" s="1" t="n">
        <v>44602</v>
      </c>
      <c r="C292" s="1" t="n">
        <v>46115</v>
      </c>
      <c r="D292" t="inlineStr">
        <is>
          <t>SÖDERMANLANDS LÄN</t>
        </is>
      </c>
      <c r="E292" t="inlineStr">
        <is>
          <t>KATRINEHOLM</t>
        </is>
      </c>
      <c r="G292" t="n">
        <v>6.7</v>
      </c>
      <c r="H292" t="n">
        <v>0</v>
      </c>
      <c r="I292" t="n">
        <v>0</v>
      </c>
      <c r="J292" t="n">
        <v>0</v>
      </c>
      <c r="K292" t="n">
        <v>0</v>
      </c>
      <c r="L292" t="n">
        <v>0</v>
      </c>
      <c r="M292" t="n">
        <v>0</v>
      </c>
      <c r="N292" t="n">
        <v>0</v>
      </c>
      <c r="O292" t="n">
        <v>0</v>
      </c>
      <c r="P292" t="n">
        <v>0</v>
      </c>
      <c r="Q292" t="n">
        <v>0</v>
      </c>
      <c r="R292" s="2" t="inlineStr"/>
    </row>
    <row r="293" ht="15" customHeight="1">
      <c r="A293" t="inlineStr">
        <is>
          <t>A 5790-2022</t>
        </is>
      </c>
      <c r="B293" s="1" t="n">
        <v>44596.55368055555</v>
      </c>
      <c r="C293" s="1" t="n">
        <v>46115</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14313-2024</t>
        </is>
      </c>
      <c r="B294" s="1" t="n">
        <v>45393</v>
      </c>
      <c r="C294" s="1" t="n">
        <v>46115</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29397-2024</t>
        </is>
      </c>
      <c r="B295" s="1" t="n">
        <v>45483</v>
      </c>
      <c r="C295" s="1" t="n">
        <v>46115</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49341-2024</t>
        </is>
      </c>
      <c r="B296" s="1" t="n">
        <v>45595</v>
      </c>
      <c r="C296" s="1" t="n">
        <v>46115</v>
      </c>
      <c r="D296" t="inlineStr">
        <is>
          <t>SÖDERMANLANDS LÄN</t>
        </is>
      </c>
      <c r="E296" t="inlineStr">
        <is>
          <t>KATRINEHOLM</t>
        </is>
      </c>
      <c r="G296" t="n">
        <v>10</v>
      </c>
      <c r="H296" t="n">
        <v>0</v>
      </c>
      <c r="I296" t="n">
        <v>0</v>
      </c>
      <c r="J296" t="n">
        <v>0</v>
      </c>
      <c r="K296" t="n">
        <v>0</v>
      </c>
      <c r="L296" t="n">
        <v>0</v>
      </c>
      <c r="M296" t="n">
        <v>0</v>
      </c>
      <c r="N296" t="n">
        <v>0</v>
      </c>
      <c r="O296" t="n">
        <v>0</v>
      </c>
      <c r="P296" t="n">
        <v>0</v>
      </c>
      <c r="Q296" t="n">
        <v>0</v>
      </c>
      <c r="R296" s="2" t="inlineStr"/>
    </row>
    <row r="297" ht="15" customHeight="1">
      <c r="A297" t="inlineStr">
        <is>
          <t>A 41633-2025</t>
        </is>
      </c>
      <c r="B297" s="1" t="n">
        <v>45901</v>
      </c>
      <c r="C297" s="1" t="n">
        <v>46115</v>
      </c>
      <c r="D297" t="inlineStr">
        <is>
          <t>SÖDERMANLANDS LÄN</t>
        </is>
      </c>
      <c r="E297" t="inlineStr">
        <is>
          <t>KATRINEHOLM</t>
        </is>
      </c>
      <c r="G297" t="n">
        <v>2.1</v>
      </c>
      <c r="H297" t="n">
        <v>0</v>
      </c>
      <c r="I297" t="n">
        <v>0</v>
      </c>
      <c r="J297" t="n">
        <v>0</v>
      </c>
      <c r="K297" t="n">
        <v>0</v>
      </c>
      <c r="L297" t="n">
        <v>0</v>
      </c>
      <c r="M297" t="n">
        <v>0</v>
      </c>
      <c r="N297" t="n">
        <v>0</v>
      </c>
      <c r="O297" t="n">
        <v>0</v>
      </c>
      <c r="P297" t="n">
        <v>0</v>
      </c>
      <c r="Q297" t="n">
        <v>0</v>
      </c>
      <c r="R297" s="2" t="inlineStr"/>
    </row>
    <row r="298" ht="15" customHeight="1">
      <c r="A298" t="inlineStr">
        <is>
          <t>A 41632-2025</t>
        </is>
      </c>
      <c r="B298" s="1" t="n">
        <v>45901</v>
      </c>
      <c r="C298" s="1" t="n">
        <v>46115</v>
      </c>
      <c r="D298" t="inlineStr">
        <is>
          <t>SÖDERMANLANDS LÄN</t>
        </is>
      </c>
      <c r="E298" t="inlineStr">
        <is>
          <t>KATRINEHOLM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41648-2025</t>
        </is>
      </c>
      <c r="B299" s="1" t="n">
        <v>45902.32601851852</v>
      </c>
      <c r="C299" s="1" t="n">
        <v>46115</v>
      </c>
      <c r="D299" t="inlineStr">
        <is>
          <t>SÖDERMANLANDS LÄN</t>
        </is>
      </c>
      <c r="E299" t="inlineStr">
        <is>
          <t>KATRINEHOLM</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33278-2024</t>
        </is>
      </c>
      <c r="B300" s="1" t="n">
        <v>45518</v>
      </c>
      <c r="C300" s="1" t="n">
        <v>46115</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41793-2025</t>
        </is>
      </c>
      <c r="B301" s="1" t="n">
        <v>45902</v>
      </c>
      <c r="C301" s="1" t="n">
        <v>46115</v>
      </c>
      <c r="D301" t="inlineStr">
        <is>
          <t>SÖDERMANLANDS LÄN</t>
        </is>
      </c>
      <c r="E301" t="inlineStr">
        <is>
          <t>KATRINEHOLM</t>
        </is>
      </c>
      <c r="G301" t="n">
        <v>1.1</v>
      </c>
      <c r="H301" t="n">
        <v>0</v>
      </c>
      <c r="I301" t="n">
        <v>0</v>
      </c>
      <c r="J301" t="n">
        <v>0</v>
      </c>
      <c r="K301" t="n">
        <v>0</v>
      </c>
      <c r="L301" t="n">
        <v>0</v>
      </c>
      <c r="M301" t="n">
        <v>0</v>
      </c>
      <c r="N301" t="n">
        <v>0</v>
      </c>
      <c r="O301" t="n">
        <v>0</v>
      </c>
      <c r="P301" t="n">
        <v>0</v>
      </c>
      <c r="Q301" t="n">
        <v>0</v>
      </c>
      <c r="R301" s="2" t="inlineStr"/>
    </row>
    <row r="302" ht="15" customHeight="1">
      <c r="A302" t="inlineStr">
        <is>
          <t>A 9714-2024</t>
        </is>
      </c>
      <c r="B302" s="1" t="n">
        <v>45362</v>
      </c>
      <c r="C302" s="1" t="n">
        <v>46115</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25786-2025</t>
        </is>
      </c>
      <c r="B303" s="1" t="n">
        <v>45804.37456018518</v>
      </c>
      <c r="C303" s="1" t="n">
        <v>46115</v>
      </c>
      <c r="D303" t="inlineStr">
        <is>
          <t>SÖDERMANLANDS LÄN</t>
        </is>
      </c>
      <c r="E303" t="inlineStr">
        <is>
          <t>KATRINEHOLM</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26154-2025</t>
        </is>
      </c>
      <c r="B304" s="1" t="n">
        <v>45805.43341435185</v>
      </c>
      <c r="C304" s="1" t="n">
        <v>46115</v>
      </c>
      <c r="D304" t="inlineStr">
        <is>
          <t>SÖDERMANLANDS LÄN</t>
        </is>
      </c>
      <c r="E304" t="inlineStr">
        <is>
          <t>KATRINEHOLM</t>
        </is>
      </c>
      <c r="G304" t="n">
        <v>4.5</v>
      </c>
      <c r="H304" t="n">
        <v>0</v>
      </c>
      <c r="I304" t="n">
        <v>0</v>
      </c>
      <c r="J304" t="n">
        <v>0</v>
      </c>
      <c r="K304" t="n">
        <v>0</v>
      </c>
      <c r="L304" t="n">
        <v>0</v>
      </c>
      <c r="M304" t="n">
        <v>0</v>
      </c>
      <c r="N304" t="n">
        <v>0</v>
      </c>
      <c r="O304" t="n">
        <v>0</v>
      </c>
      <c r="P304" t="n">
        <v>0</v>
      </c>
      <c r="Q304" t="n">
        <v>0</v>
      </c>
      <c r="R304" s="2" t="inlineStr"/>
    </row>
    <row r="305" ht="15" customHeight="1">
      <c r="A305" t="inlineStr">
        <is>
          <t>A 26156-2025</t>
        </is>
      </c>
      <c r="B305" s="1" t="n">
        <v>45805.43864583333</v>
      </c>
      <c r="C305" s="1" t="n">
        <v>46115</v>
      </c>
      <c r="D305" t="inlineStr">
        <is>
          <t>SÖDERMANLANDS LÄN</t>
        </is>
      </c>
      <c r="E305" t="inlineStr">
        <is>
          <t>KATRINEHOLM</t>
        </is>
      </c>
      <c r="G305" t="n">
        <v>4.1</v>
      </c>
      <c r="H305" t="n">
        <v>0</v>
      </c>
      <c r="I305" t="n">
        <v>0</v>
      </c>
      <c r="J305" t="n">
        <v>0</v>
      </c>
      <c r="K305" t="n">
        <v>0</v>
      </c>
      <c r="L305" t="n">
        <v>0</v>
      </c>
      <c r="M305" t="n">
        <v>0</v>
      </c>
      <c r="N305" t="n">
        <v>0</v>
      </c>
      <c r="O305" t="n">
        <v>0</v>
      </c>
      <c r="P305" t="n">
        <v>0</v>
      </c>
      <c r="Q305" t="n">
        <v>0</v>
      </c>
      <c r="R305" s="2" t="inlineStr"/>
    </row>
    <row r="306" ht="15" customHeight="1">
      <c r="A306" t="inlineStr">
        <is>
          <t>A 24619-2024</t>
        </is>
      </c>
      <c r="B306" s="1" t="n">
        <v>45460</v>
      </c>
      <c r="C306" s="1" t="n">
        <v>46115</v>
      </c>
      <c r="D306" t="inlineStr">
        <is>
          <t>SÖDERMANLANDS LÄN</t>
        </is>
      </c>
      <c r="E306" t="inlineStr">
        <is>
          <t>KATRINEHOLM</t>
        </is>
      </c>
      <c r="G306" t="n">
        <v>4.7</v>
      </c>
      <c r="H306" t="n">
        <v>0</v>
      </c>
      <c r="I306" t="n">
        <v>0</v>
      </c>
      <c r="J306" t="n">
        <v>0</v>
      </c>
      <c r="K306" t="n">
        <v>0</v>
      </c>
      <c r="L306" t="n">
        <v>0</v>
      </c>
      <c r="M306" t="n">
        <v>0</v>
      </c>
      <c r="N306" t="n">
        <v>0</v>
      </c>
      <c r="O306" t="n">
        <v>0</v>
      </c>
      <c r="P306" t="n">
        <v>0</v>
      </c>
      <c r="Q306" t="n">
        <v>0</v>
      </c>
      <c r="R306" s="2" t="inlineStr"/>
    </row>
    <row r="307" ht="15" customHeight="1">
      <c r="A307" t="inlineStr">
        <is>
          <t>A 9699-2024</t>
        </is>
      </c>
      <c r="B307" s="1" t="n">
        <v>45362</v>
      </c>
      <c r="C307" s="1" t="n">
        <v>46115</v>
      </c>
      <c r="D307" t="inlineStr">
        <is>
          <t>SÖDERMANLANDS LÄN</t>
        </is>
      </c>
      <c r="E307" t="inlineStr">
        <is>
          <t>KATRINEHOLM</t>
        </is>
      </c>
      <c r="G307" t="n">
        <v>7.7</v>
      </c>
      <c r="H307" t="n">
        <v>0</v>
      </c>
      <c r="I307" t="n">
        <v>0</v>
      </c>
      <c r="J307" t="n">
        <v>0</v>
      </c>
      <c r="K307" t="n">
        <v>0</v>
      </c>
      <c r="L307" t="n">
        <v>0</v>
      </c>
      <c r="M307" t="n">
        <v>0</v>
      </c>
      <c r="N307" t="n">
        <v>0</v>
      </c>
      <c r="O307" t="n">
        <v>0</v>
      </c>
      <c r="P307" t="n">
        <v>0</v>
      </c>
      <c r="Q307" t="n">
        <v>0</v>
      </c>
      <c r="R307" s="2" t="inlineStr"/>
    </row>
    <row r="308" ht="15" customHeight="1">
      <c r="A308" t="inlineStr">
        <is>
          <t>A 52744-2025</t>
        </is>
      </c>
      <c r="B308" s="1" t="n">
        <v>45957.38387731482</v>
      </c>
      <c r="C308" s="1" t="n">
        <v>46115</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59474-2021</t>
        </is>
      </c>
      <c r="B309" s="1" t="n">
        <v>44491</v>
      </c>
      <c r="C309" s="1" t="n">
        <v>46115</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14239-2024</t>
        </is>
      </c>
      <c r="B310" s="1" t="n">
        <v>45393</v>
      </c>
      <c r="C310" s="1" t="n">
        <v>46115</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14248-2024</t>
        </is>
      </c>
      <c r="B311" s="1" t="n">
        <v>45393</v>
      </c>
      <c r="C311" s="1" t="n">
        <v>46115</v>
      </c>
      <c r="D311" t="inlineStr">
        <is>
          <t>SÖDERMANLANDS LÄN</t>
        </is>
      </c>
      <c r="E311" t="inlineStr">
        <is>
          <t>KATRINEHOLM</t>
        </is>
      </c>
      <c r="G311" t="n">
        <v>1.4</v>
      </c>
      <c r="H311" t="n">
        <v>0</v>
      </c>
      <c r="I311" t="n">
        <v>0</v>
      </c>
      <c r="J311" t="n">
        <v>0</v>
      </c>
      <c r="K311" t="n">
        <v>0</v>
      </c>
      <c r="L311" t="n">
        <v>0</v>
      </c>
      <c r="M311" t="n">
        <v>0</v>
      </c>
      <c r="N311" t="n">
        <v>0</v>
      </c>
      <c r="O311" t="n">
        <v>0</v>
      </c>
      <c r="P311" t="n">
        <v>0</v>
      </c>
      <c r="Q311" t="n">
        <v>0</v>
      </c>
      <c r="R311" s="2" t="inlineStr"/>
    </row>
    <row r="312" ht="15" customHeight="1">
      <c r="A312" t="inlineStr">
        <is>
          <t>A 11635-2023</t>
        </is>
      </c>
      <c r="B312" s="1" t="n">
        <v>44994</v>
      </c>
      <c r="C312" s="1" t="n">
        <v>46115</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10932-2023</t>
        </is>
      </c>
      <c r="B313" s="1" t="n">
        <v>44985</v>
      </c>
      <c r="C313" s="1" t="n">
        <v>46115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6087-2022</t>
        </is>
      </c>
      <c r="B314" s="1" t="n">
        <v>44599.61034722222</v>
      </c>
      <c r="C314" s="1" t="n">
        <v>46115</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8957-2024</t>
        </is>
      </c>
      <c r="B315" s="1" t="n">
        <v>45357.45089120371</v>
      </c>
      <c r="C315" s="1" t="n">
        <v>46115</v>
      </c>
      <c r="D315" t="inlineStr">
        <is>
          <t>SÖDERMANLANDS LÄN</t>
        </is>
      </c>
      <c r="E315" t="inlineStr">
        <is>
          <t>KATRINEHOLM</t>
        </is>
      </c>
      <c r="G315" t="n">
        <v>3.6</v>
      </c>
      <c r="H315" t="n">
        <v>0</v>
      </c>
      <c r="I315" t="n">
        <v>0</v>
      </c>
      <c r="J315" t="n">
        <v>0</v>
      </c>
      <c r="K315" t="n">
        <v>0</v>
      </c>
      <c r="L315" t="n">
        <v>0</v>
      </c>
      <c r="M315" t="n">
        <v>0</v>
      </c>
      <c r="N315" t="n">
        <v>0</v>
      </c>
      <c r="O315" t="n">
        <v>0</v>
      </c>
      <c r="P315" t="n">
        <v>0</v>
      </c>
      <c r="Q315" t="n">
        <v>0</v>
      </c>
      <c r="R315" s="2" t="inlineStr"/>
    </row>
    <row r="316" ht="15" customHeight="1">
      <c r="A316" t="inlineStr">
        <is>
          <t>A 42686-2025</t>
        </is>
      </c>
      <c r="B316" s="1" t="n">
        <v>45908.35550925926</v>
      </c>
      <c r="C316" s="1" t="n">
        <v>46115</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42799-2025</t>
        </is>
      </c>
      <c r="B317" s="1" t="n">
        <v>45907</v>
      </c>
      <c r="C317" s="1" t="n">
        <v>46115</v>
      </c>
      <c r="D317" t="inlineStr">
        <is>
          <t>SÖDERMANLANDS LÄN</t>
        </is>
      </c>
      <c r="E317" t="inlineStr">
        <is>
          <t>KATRINEHOLM</t>
        </is>
      </c>
      <c r="G317" t="n">
        <v>3.9</v>
      </c>
      <c r="H317" t="n">
        <v>0</v>
      </c>
      <c r="I317" t="n">
        <v>0</v>
      </c>
      <c r="J317" t="n">
        <v>0</v>
      </c>
      <c r="K317" t="n">
        <v>0</v>
      </c>
      <c r="L317" t="n">
        <v>0</v>
      </c>
      <c r="M317" t="n">
        <v>0</v>
      </c>
      <c r="N317" t="n">
        <v>0</v>
      </c>
      <c r="O317" t="n">
        <v>0</v>
      </c>
      <c r="P317" t="n">
        <v>0</v>
      </c>
      <c r="Q317" t="n">
        <v>0</v>
      </c>
      <c r="R317" s="2" t="inlineStr"/>
    </row>
    <row r="318" ht="15" customHeight="1">
      <c r="A318" t="inlineStr">
        <is>
          <t>A 42474-2025</t>
        </is>
      </c>
      <c r="B318" s="1" t="n">
        <v>45905.46659722222</v>
      </c>
      <c r="C318" s="1" t="n">
        <v>46115</v>
      </c>
      <c r="D318" t="inlineStr">
        <is>
          <t>SÖDERMANLANDS LÄN</t>
        </is>
      </c>
      <c r="E318" t="inlineStr">
        <is>
          <t>KATRINEHOLM</t>
        </is>
      </c>
      <c r="G318" t="n">
        <v>4</v>
      </c>
      <c r="H318" t="n">
        <v>0</v>
      </c>
      <c r="I318" t="n">
        <v>0</v>
      </c>
      <c r="J318" t="n">
        <v>0</v>
      </c>
      <c r="K318" t="n">
        <v>0</v>
      </c>
      <c r="L318" t="n">
        <v>0</v>
      </c>
      <c r="M318" t="n">
        <v>0</v>
      </c>
      <c r="N318" t="n">
        <v>0</v>
      </c>
      <c r="O318" t="n">
        <v>0</v>
      </c>
      <c r="P318" t="n">
        <v>0</v>
      </c>
      <c r="Q318" t="n">
        <v>0</v>
      </c>
      <c r="R318" s="2" t="inlineStr"/>
    </row>
    <row r="319" ht="15" customHeight="1">
      <c r="A319" t="inlineStr">
        <is>
          <t>A 42896-2024</t>
        </is>
      </c>
      <c r="B319" s="1" t="n">
        <v>45566.82973379629</v>
      </c>
      <c r="C319" s="1" t="n">
        <v>46115</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7747-2024</t>
        </is>
      </c>
      <c r="B320" s="1" t="n">
        <v>45348</v>
      </c>
      <c r="C320" s="1" t="n">
        <v>46115</v>
      </c>
      <c r="D320" t="inlineStr">
        <is>
          <t>SÖDERMANLANDS LÄN</t>
        </is>
      </c>
      <c r="E320" t="inlineStr">
        <is>
          <t>KATRINEHOLM</t>
        </is>
      </c>
      <c r="G320" t="n">
        <v>1.1</v>
      </c>
      <c r="H320" t="n">
        <v>0</v>
      </c>
      <c r="I320" t="n">
        <v>0</v>
      </c>
      <c r="J320" t="n">
        <v>0</v>
      </c>
      <c r="K320" t="n">
        <v>0</v>
      </c>
      <c r="L320" t="n">
        <v>0</v>
      </c>
      <c r="M320" t="n">
        <v>0</v>
      </c>
      <c r="N320" t="n">
        <v>0</v>
      </c>
      <c r="O320" t="n">
        <v>0</v>
      </c>
      <c r="P320" t="n">
        <v>0</v>
      </c>
      <c r="Q320" t="n">
        <v>0</v>
      </c>
      <c r="R320" s="2" t="inlineStr"/>
    </row>
    <row r="321" ht="15" customHeight="1">
      <c r="A321" t="inlineStr">
        <is>
          <t>A 7753-2024</t>
        </is>
      </c>
      <c r="B321" s="1" t="n">
        <v>45348</v>
      </c>
      <c r="C321" s="1" t="n">
        <v>46115</v>
      </c>
      <c r="D321" t="inlineStr">
        <is>
          <t>SÖDERMANLANDS LÄN</t>
        </is>
      </c>
      <c r="E321" t="inlineStr">
        <is>
          <t>KATRINEHOLM</t>
        </is>
      </c>
      <c r="G321" t="n">
        <v>13.4</v>
      </c>
      <c r="H321" t="n">
        <v>0</v>
      </c>
      <c r="I321" t="n">
        <v>0</v>
      </c>
      <c r="J321" t="n">
        <v>0</v>
      </c>
      <c r="K321" t="n">
        <v>0</v>
      </c>
      <c r="L321" t="n">
        <v>0</v>
      </c>
      <c r="M321" t="n">
        <v>0</v>
      </c>
      <c r="N321" t="n">
        <v>0</v>
      </c>
      <c r="O321" t="n">
        <v>0</v>
      </c>
      <c r="P321" t="n">
        <v>0</v>
      </c>
      <c r="Q321" t="n">
        <v>0</v>
      </c>
      <c r="R321" s="2" t="inlineStr"/>
    </row>
    <row r="322" ht="15" customHeight="1">
      <c r="A322" t="inlineStr">
        <is>
          <t>A 53338-2025</t>
        </is>
      </c>
      <c r="B322" s="1" t="n">
        <v>45959.40447916667</v>
      </c>
      <c r="C322" s="1" t="n">
        <v>46115</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5935-2023</t>
        </is>
      </c>
      <c r="B323" s="1" t="n">
        <v>44963</v>
      </c>
      <c r="C323" s="1" t="n">
        <v>46115</v>
      </c>
      <c r="D323" t="inlineStr">
        <is>
          <t>SÖDERMANLANDS LÄN</t>
        </is>
      </c>
      <c r="E323" t="inlineStr">
        <is>
          <t>KATRINEHOLM</t>
        </is>
      </c>
      <c r="G323" t="n">
        <v>1.5</v>
      </c>
      <c r="H323" t="n">
        <v>0</v>
      </c>
      <c r="I323" t="n">
        <v>0</v>
      </c>
      <c r="J323" t="n">
        <v>0</v>
      </c>
      <c r="K323" t="n">
        <v>0</v>
      </c>
      <c r="L323" t="n">
        <v>0</v>
      </c>
      <c r="M323" t="n">
        <v>0</v>
      </c>
      <c r="N323" t="n">
        <v>0</v>
      </c>
      <c r="O323" t="n">
        <v>0</v>
      </c>
      <c r="P323" t="n">
        <v>0</v>
      </c>
      <c r="Q323" t="n">
        <v>0</v>
      </c>
      <c r="R323" s="2" t="inlineStr"/>
    </row>
    <row r="324" ht="15" customHeight="1">
      <c r="A324" t="inlineStr">
        <is>
          <t>A 10732-2022</t>
        </is>
      </c>
      <c r="B324" s="1" t="n">
        <v>44627.34033564815</v>
      </c>
      <c r="C324" s="1" t="n">
        <v>46115</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33469-2025</t>
        </is>
      </c>
      <c r="B325" s="1" t="n">
        <v>45841.48686342593</v>
      </c>
      <c r="C325" s="1" t="n">
        <v>46115</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33129-2025</t>
        </is>
      </c>
      <c r="B326" s="1" t="n">
        <v>45840.50141203704</v>
      </c>
      <c r="C326" s="1" t="n">
        <v>46115</v>
      </c>
      <c r="D326" t="inlineStr">
        <is>
          <t>SÖDERMANLANDS LÄN</t>
        </is>
      </c>
      <c r="E326" t="inlineStr">
        <is>
          <t>KATRINEHOLM</t>
        </is>
      </c>
      <c r="G326" t="n">
        <v>2.6</v>
      </c>
      <c r="H326" t="n">
        <v>0</v>
      </c>
      <c r="I326" t="n">
        <v>0</v>
      </c>
      <c r="J326" t="n">
        <v>0</v>
      </c>
      <c r="K326" t="n">
        <v>0</v>
      </c>
      <c r="L326" t="n">
        <v>0</v>
      </c>
      <c r="M326" t="n">
        <v>0</v>
      </c>
      <c r="N326" t="n">
        <v>0</v>
      </c>
      <c r="O326" t="n">
        <v>0</v>
      </c>
      <c r="P326" t="n">
        <v>0</v>
      </c>
      <c r="Q326" t="n">
        <v>0</v>
      </c>
      <c r="R326" s="2" t="inlineStr"/>
    </row>
    <row r="327" ht="15" customHeight="1">
      <c r="A327" t="inlineStr">
        <is>
          <t>A 27534-2025</t>
        </is>
      </c>
      <c r="B327" s="1" t="n">
        <v>45813</v>
      </c>
      <c r="C327" s="1" t="n">
        <v>46115</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27552-2025</t>
        </is>
      </c>
      <c r="B328" s="1" t="n">
        <v>45813</v>
      </c>
      <c r="C328" s="1" t="n">
        <v>46115</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41548-2025</t>
        </is>
      </c>
      <c r="B329" s="1" t="n">
        <v>45901</v>
      </c>
      <c r="C329" s="1" t="n">
        <v>46115</v>
      </c>
      <c r="D329" t="inlineStr">
        <is>
          <t>SÖDERMANLANDS LÄN</t>
        </is>
      </c>
      <c r="E329" t="inlineStr">
        <is>
          <t>KATRINEHOLM</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27636-2025</t>
        </is>
      </c>
      <c r="B330" s="1" t="n">
        <v>45813.57603009259</v>
      </c>
      <c r="C330" s="1" t="n">
        <v>46115</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33096-2025</t>
        </is>
      </c>
      <c r="B331" s="1" t="n">
        <v>45840.47563657408</v>
      </c>
      <c r="C331" s="1" t="n">
        <v>46115</v>
      </c>
      <c r="D331" t="inlineStr">
        <is>
          <t>SÖDERMANLANDS LÄN</t>
        </is>
      </c>
      <c r="E331" t="inlineStr">
        <is>
          <t>KATRINEHOLM</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24600-2025</t>
        </is>
      </c>
      <c r="B332" s="1" t="n">
        <v>45798.56348379629</v>
      </c>
      <c r="C332" s="1" t="n">
        <v>46115</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33077-2025</t>
        </is>
      </c>
      <c r="B333" s="1" t="n">
        <v>45840.45864583334</v>
      </c>
      <c r="C333" s="1" t="n">
        <v>46115</v>
      </c>
      <c r="D333" t="inlineStr">
        <is>
          <t>SÖDERMANLANDS LÄN</t>
        </is>
      </c>
      <c r="E333" t="inlineStr">
        <is>
          <t>KATRINEHOLM</t>
        </is>
      </c>
      <c r="G333" t="n">
        <v>7</v>
      </c>
      <c r="H333" t="n">
        <v>0</v>
      </c>
      <c r="I333" t="n">
        <v>0</v>
      </c>
      <c r="J333" t="n">
        <v>0</v>
      </c>
      <c r="K333" t="n">
        <v>0</v>
      </c>
      <c r="L333" t="n">
        <v>0</v>
      </c>
      <c r="M333" t="n">
        <v>0</v>
      </c>
      <c r="N333" t="n">
        <v>0</v>
      </c>
      <c r="O333" t="n">
        <v>0</v>
      </c>
      <c r="P333" t="n">
        <v>0</v>
      </c>
      <c r="Q333" t="n">
        <v>0</v>
      </c>
      <c r="R333" s="2" t="inlineStr"/>
    </row>
    <row r="334" ht="15" customHeight="1">
      <c r="A334" t="inlineStr">
        <is>
          <t>A 33101-2025</t>
        </is>
      </c>
      <c r="B334" s="1" t="n">
        <v>45840.47953703703</v>
      </c>
      <c r="C334" s="1" t="n">
        <v>46115</v>
      </c>
      <c r="D334" t="inlineStr">
        <is>
          <t>SÖDERMANLANDS LÄN</t>
        </is>
      </c>
      <c r="E334" t="inlineStr">
        <is>
          <t>KATRINEHOLM</t>
        </is>
      </c>
      <c r="G334" t="n">
        <v>4.4</v>
      </c>
      <c r="H334" t="n">
        <v>0</v>
      </c>
      <c r="I334" t="n">
        <v>0</v>
      </c>
      <c r="J334" t="n">
        <v>0</v>
      </c>
      <c r="K334" t="n">
        <v>0</v>
      </c>
      <c r="L334" t="n">
        <v>0</v>
      </c>
      <c r="M334" t="n">
        <v>0</v>
      </c>
      <c r="N334" t="n">
        <v>0</v>
      </c>
      <c r="O334" t="n">
        <v>0</v>
      </c>
      <c r="P334" t="n">
        <v>0</v>
      </c>
      <c r="Q334" t="n">
        <v>0</v>
      </c>
      <c r="R334" s="2" t="inlineStr"/>
    </row>
    <row r="335" ht="15" customHeight="1">
      <c r="A335" t="inlineStr">
        <is>
          <t>A 54359-2025</t>
        </is>
      </c>
      <c r="B335" s="1" t="n">
        <v>45964</v>
      </c>
      <c r="C335" s="1" t="n">
        <v>46115</v>
      </c>
      <c r="D335" t="inlineStr">
        <is>
          <t>SÖDERMANLANDS LÄN</t>
        </is>
      </c>
      <c r="E335" t="inlineStr">
        <is>
          <t>KATRINEHOLM</t>
        </is>
      </c>
      <c r="G335" t="n">
        <v>2.5</v>
      </c>
      <c r="H335" t="n">
        <v>0</v>
      </c>
      <c r="I335" t="n">
        <v>0</v>
      </c>
      <c r="J335" t="n">
        <v>0</v>
      </c>
      <c r="K335" t="n">
        <v>0</v>
      </c>
      <c r="L335" t="n">
        <v>0</v>
      </c>
      <c r="M335" t="n">
        <v>0</v>
      </c>
      <c r="N335" t="n">
        <v>0</v>
      </c>
      <c r="O335" t="n">
        <v>0</v>
      </c>
      <c r="P335" t="n">
        <v>0</v>
      </c>
      <c r="Q335" t="n">
        <v>0</v>
      </c>
      <c r="R335" s="2" t="inlineStr"/>
    </row>
    <row r="336" ht="15" customHeight="1">
      <c r="A336" t="inlineStr">
        <is>
          <t>A 54395-2025</t>
        </is>
      </c>
      <c r="B336" s="1" t="n">
        <v>45964</v>
      </c>
      <c r="C336" s="1" t="n">
        <v>46115</v>
      </c>
      <c r="D336" t="inlineStr">
        <is>
          <t>SÖDERMANLANDS LÄN</t>
        </is>
      </c>
      <c r="E336" t="inlineStr">
        <is>
          <t>KATRINEHOLM</t>
        </is>
      </c>
      <c r="G336" t="n">
        <v>0.7</v>
      </c>
      <c r="H336" t="n">
        <v>0</v>
      </c>
      <c r="I336" t="n">
        <v>0</v>
      </c>
      <c r="J336" t="n">
        <v>0</v>
      </c>
      <c r="K336" t="n">
        <v>0</v>
      </c>
      <c r="L336" t="n">
        <v>0</v>
      </c>
      <c r="M336" t="n">
        <v>0</v>
      </c>
      <c r="N336" t="n">
        <v>0</v>
      </c>
      <c r="O336" t="n">
        <v>0</v>
      </c>
      <c r="P336" t="n">
        <v>0</v>
      </c>
      <c r="Q336" t="n">
        <v>0</v>
      </c>
      <c r="R336" s="2" t="inlineStr"/>
    </row>
    <row r="337" ht="15" customHeight="1">
      <c r="A337" t="inlineStr">
        <is>
          <t>A 3939-2022</t>
        </is>
      </c>
      <c r="B337" s="1" t="n">
        <v>44587</v>
      </c>
      <c r="C337" s="1" t="n">
        <v>46115</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56074-2022</t>
        </is>
      </c>
      <c r="B338" s="1" t="n">
        <v>44889</v>
      </c>
      <c r="C338" s="1" t="n">
        <v>46115</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c r="T338">
        <f>HYPERLINK("https://klasma.github.io/Logging_0483/kartor/A 56074-2022 karta.png", "A 56074-2022")</f>
        <v/>
      </c>
      <c r="V338">
        <f>HYPERLINK("https://klasma.github.io/Logging_0483/klagomål/A 56074-2022 FSC-klagomål.docx", "A 56074-2022")</f>
        <v/>
      </c>
      <c r="W338">
        <f>HYPERLINK("https://klasma.github.io/Logging_0483/klagomålsmail/A 56074-2022 FSC-klagomål mail.docx", "A 56074-2022")</f>
        <v/>
      </c>
      <c r="X338">
        <f>HYPERLINK("https://klasma.github.io/Logging_0483/tillsyn/A 56074-2022 tillsynsbegäran.docx", "A 56074-2022")</f>
        <v/>
      </c>
      <c r="Y338">
        <f>HYPERLINK("https://klasma.github.io/Logging_0483/tillsynsmail/A 56074-2022 tillsynsbegäran mail.docx", "A 56074-2022")</f>
        <v/>
      </c>
    </row>
    <row r="339" ht="15" customHeight="1">
      <c r="A339" t="inlineStr">
        <is>
          <t>A 35608-2024</t>
        </is>
      </c>
      <c r="B339" s="1" t="n">
        <v>45531</v>
      </c>
      <c r="C339" s="1" t="n">
        <v>46115</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61915-2021</t>
        </is>
      </c>
      <c r="B340" s="1" t="n">
        <v>44502.36780092592</v>
      </c>
      <c r="C340" s="1" t="n">
        <v>46115</v>
      </c>
      <c r="D340" t="inlineStr">
        <is>
          <t>SÖDERMANLANDS LÄN</t>
        </is>
      </c>
      <c r="E340" t="inlineStr">
        <is>
          <t>KATRINEHOLM</t>
        </is>
      </c>
      <c r="G340" t="n">
        <v>2.6</v>
      </c>
      <c r="H340" t="n">
        <v>0</v>
      </c>
      <c r="I340" t="n">
        <v>0</v>
      </c>
      <c r="J340" t="n">
        <v>0</v>
      </c>
      <c r="K340" t="n">
        <v>0</v>
      </c>
      <c r="L340" t="n">
        <v>0</v>
      </c>
      <c r="M340" t="n">
        <v>0</v>
      </c>
      <c r="N340" t="n">
        <v>0</v>
      </c>
      <c r="O340" t="n">
        <v>0</v>
      </c>
      <c r="P340" t="n">
        <v>0</v>
      </c>
      <c r="Q340" t="n">
        <v>0</v>
      </c>
      <c r="R340" s="2" t="inlineStr"/>
    </row>
    <row r="341" ht="15" customHeight="1">
      <c r="A341" t="inlineStr">
        <is>
          <t>A 12633-2022</t>
        </is>
      </c>
      <c r="B341" s="1" t="n">
        <v>44638</v>
      </c>
      <c r="C341" s="1" t="n">
        <v>46115</v>
      </c>
      <c r="D341" t="inlineStr">
        <is>
          <t>SÖDERMANLANDS LÄN</t>
        </is>
      </c>
      <c r="E341" t="inlineStr">
        <is>
          <t>KATRINEHOLM</t>
        </is>
      </c>
      <c r="G341" t="n">
        <v>6.4</v>
      </c>
      <c r="H341" t="n">
        <v>0</v>
      </c>
      <c r="I341" t="n">
        <v>0</v>
      </c>
      <c r="J341" t="n">
        <v>0</v>
      </c>
      <c r="K341" t="n">
        <v>0</v>
      </c>
      <c r="L341" t="n">
        <v>0</v>
      </c>
      <c r="M341" t="n">
        <v>0</v>
      </c>
      <c r="N341" t="n">
        <v>0</v>
      </c>
      <c r="O341" t="n">
        <v>0</v>
      </c>
      <c r="P341" t="n">
        <v>0</v>
      </c>
      <c r="Q341" t="n">
        <v>0</v>
      </c>
      <c r="R341" s="2" t="inlineStr"/>
    </row>
    <row r="342" ht="15" customHeight="1">
      <c r="A342" t="inlineStr">
        <is>
          <t>A 44071-2025</t>
        </is>
      </c>
      <c r="B342" s="1" t="n">
        <v>45915</v>
      </c>
      <c r="C342" s="1" t="n">
        <v>46115</v>
      </c>
      <c r="D342" t="inlineStr">
        <is>
          <t>SÖDERMANLANDS LÄN</t>
        </is>
      </c>
      <c r="E342" t="inlineStr">
        <is>
          <t>KATRINEHOLM</t>
        </is>
      </c>
      <c r="G342" t="n">
        <v>3.1</v>
      </c>
      <c r="H342" t="n">
        <v>0</v>
      </c>
      <c r="I342" t="n">
        <v>0</v>
      </c>
      <c r="J342" t="n">
        <v>0</v>
      </c>
      <c r="K342" t="n">
        <v>0</v>
      </c>
      <c r="L342" t="n">
        <v>0</v>
      </c>
      <c r="M342" t="n">
        <v>0</v>
      </c>
      <c r="N342" t="n">
        <v>0</v>
      </c>
      <c r="O342" t="n">
        <v>0</v>
      </c>
      <c r="P342" t="n">
        <v>0</v>
      </c>
      <c r="Q342" t="n">
        <v>0</v>
      </c>
      <c r="R342" s="2" t="inlineStr"/>
    </row>
    <row r="343" ht="15" customHeight="1">
      <c r="A343" t="inlineStr">
        <is>
          <t>A 43975-2025</t>
        </is>
      </c>
      <c r="B343" s="1" t="n">
        <v>45915.41148148148</v>
      </c>
      <c r="C343" s="1" t="n">
        <v>46115</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4656-2023</t>
        </is>
      </c>
      <c r="B344" s="1" t="n">
        <v>44957</v>
      </c>
      <c r="C344" s="1" t="n">
        <v>46115</v>
      </c>
      <c r="D344" t="inlineStr">
        <is>
          <t>SÖDERMANLANDS LÄN</t>
        </is>
      </c>
      <c r="E344" t="inlineStr">
        <is>
          <t>KATRINEHOLM</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59093-2024</t>
        </is>
      </c>
      <c r="B345" s="1" t="n">
        <v>45636</v>
      </c>
      <c r="C345" s="1" t="n">
        <v>46115</v>
      </c>
      <c r="D345" t="inlineStr">
        <is>
          <t>SÖDERMANLANDS LÄN</t>
        </is>
      </c>
      <c r="E345" t="inlineStr">
        <is>
          <t>KATRINEHOLM</t>
        </is>
      </c>
      <c r="G345" t="n">
        <v>2.8</v>
      </c>
      <c r="H345" t="n">
        <v>0</v>
      </c>
      <c r="I345" t="n">
        <v>0</v>
      </c>
      <c r="J345" t="n">
        <v>0</v>
      </c>
      <c r="K345" t="n">
        <v>0</v>
      </c>
      <c r="L345" t="n">
        <v>0</v>
      </c>
      <c r="M345" t="n">
        <v>0</v>
      </c>
      <c r="N345" t="n">
        <v>0</v>
      </c>
      <c r="O345" t="n">
        <v>0</v>
      </c>
      <c r="P345" t="n">
        <v>0</v>
      </c>
      <c r="Q345" t="n">
        <v>0</v>
      </c>
      <c r="R345" s="2" t="inlineStr"/>
    </row>
    <row r="346" ht="15" customHeight="1">
      <c r="A346" t="inlineStr">
        <is>
          <t>A 29189-2025</t>
        </is>
      </c>
      <c r="B346" s="1" t="n">
        <v>45822</v>
      </c>
      <c r="C346" s="1" t="n">
        <v>46115</v>
      </c>
      <c r="D346" t="inlineStr">
        <is>
          <t>SÖDERMANLANDS LÄN</t>
        </is>
      </c>
      <c r="E346" t="inlineStr">
        <is>
          <t>KATRINEHOLM</t>
        </is>
      </c>
      <c r="G346" t="n">
        <v>3.5</v>
      </c>
      <c r="H346" t="n">
        <v>0</v>
      </c>
      <c r="I346" t="n">
        <v>0</v>
      </c>
      <c r="J346" t="n">
        <v>0</v>
      </c>
      <c r="K346" t="n">
        <v>0</v>
      </c>
      <c r="L346" t="n">
        <v>0</v>
      </c>
      <c r="M346" t="n">
        <v>0</v>
      </c>
      <c r="N346" t="n">
        <v>0</v>
      </c>
      <c r="O346" t="n">
        <v>0</v>
      </c>
      <c r="P346" t="n">
        <v>0</v>
      </c>
      <c r="Q346" t="n">
        <v>0</v>
      </c>
      <c r="R346" s="2" t="inlineStr"/>
    </row>
    <row r="347" ht="15" customHeight="1">
      <c r="A347" t="inlineStr">
        <is>
          <t>A 38872-2024</t>
        </is>
      </c>
      <c r="B347" s="1" t="n">
        <v>45547</v>
      </c>
      <c r="C347" s="1" t="n">
        <v>46115</v>
      </c>
      <c r="D347" t="inlineStr">
        <is>
          <t>SÖDERMANLANDS LÄN</t>
        </is>
      </c>
      <c r="E347" t="inlineStr">
        <is>
          <t>KATRINEHOLM</t>
        </is>
      </c>
      <c r="G347" t="n">
        <v>5.7</v>
      </c>
      <c r="H347" t="n">
        <v>0</v>
      </c>
      <c r="I347" t="n">
        <v>0</v>
      </c>
      <c r="J347" t="n">
        <v>0</v>
      </c>
      <c r="K347" t="n">
        <v>0</v>
      </c>
      <c r="L347" t="n">
        <v>0</v>
      </c>
      <c r="M347" t="n">
        <v>0</v>
      </c>
      <c r="N347" t="n">
        <v>0</v>
      </c>
      <c r="O347" t="n">
        <v>0</v>
      </c>
      <c r="P347" t="n">
        <v>0</v>
      </c>
      <c r="Q347" t="n">
        <v>0</v>
      </c>
      <c r="R347" s="2" t="inlineStr"/>
    </row>
    <row r="348" ht="15" customHeight="1">
      <c r="A348" t="inlineStr">
        <is>
          <t>A 30050-2025</t>
        </is>
      </c>
      <c r="B348" s="1" t="n">
        <v>45826.59151620371</v>
      </c>
      <c r="C348" s="1" t="n">
        <v>46115</v>
      </c>
      <c r="D348" t="inlineStr">
        <is>
          <t>SÖDERMANLANDS LÄN</t>
        </is>
      </c>
      <c r="E348" t="inlineStr">
        <is>
          <t>KATRINEHOLM</t>
        </is>
      </c>
      <c r="G348" t="n">
        <v>7.9</v>
      </c>
      <c r="H348" t="n">
        <v>0</v>
      </c>
      <c r="I348" t="n">
        <v>0</v>
      </c>
      <c r="J348" t="n">
        <v>0</v>
      </c>
      <c r="K348" t="n">
        <v>0</v>
      </c>
      <c r="L348" t="n">
        <v>0</v>
      </c>
      <c r="M348" t="n">
        <v>0</v>
      </c>
      <c r="N348" t="n">
        <v>0</v>
      </c>
      <c r="O348" t="n">
        <v>0</v>
      </c>
      <c r="P348" t="n">
        <v>0</v>
      </c>
      <c r="Q348" t="n">
        <v>0</v>
      </c>
      <c r="R348" s="2" t="inlineStr"/>
    </row>
    <row r="349" ht="15" customHeight="1">
      <c r="A349" t="inlineStr">
        <is>
          <t>A 30070-2025</t>
        </is>
      </c>
      <c r="B349" s="1" t="n">
        <v>45826.63324074074</v>
      </c>
      <c r="C349" s="1" t="n">
        <v>46115</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9932-2023</t>
        </is>
      </c>
      <c r="B350" s="1" t="n">
        <v>44985.46709490741</v>
      </c>
      <c r="C350" s="1" t="n">
        <v>46115</v>
      </c>
      <c r="D350" t="inlineStr">
        <is>
          <t>SÖDERMANLANDS LÄN</t>
        </is>
      </c>
      <c r="E350" t="inlineStr">
        <is>
          <t>KATRINEHOLM</t>
        </is>
      </c>
      <c r="G350" t="n">
        <v>0.3</v>
      </c>
      <c r="H350" t="n">
        <v>0</v>
      </c>
      <c r="I350" t="n">
        <v>0</v>
      </c>
      <c r="J350" t="n">
        <v>0</v>
      </c>
      <c r="K350" t="n">
        <v>0</v>
      </c>
      <c r="L350" t="n">
        <v>0</v>
      </c>
      <c r="M350" t="n">
        <v>0</v>
      </c>
      <c r="N350" t="n">
        <v>0</v>
      </c>
      <c r="O350" t="n">
        <v>0</v>
      </c>
      <c r="P350" t="n">
        <v>0</v>
      </c>
      <c r="Q350" t="n">
        <v>0</v>
      </c>
      <c r="R350" s="2" t="inlineStr"/>
    </row>
    <row r="351" ht="15" customHeight="1">
      <c r="A351" t="inlineStr">
        <is>
          <t>A 55029-2025</t>
        </is>
      </c>
      <c r="B351" s="1" t="n">
        <v>45967.63784722222</v>
      </c>
      <c r="C351" s="1" t="n">
        <v>46115</v>
      </c>
      <c r="D351" t="inlineStr">
        <is>
          <t>SÖDERMANLANDS LÄN</t>
        </is>
      </c>
      <c r="E351" t="inlineStr">
        <is>
          <t>KATRINEHOLM</t>
        </is>
      </c>
      <c r="G351" t="n">
        <v>10.1</v>
      </c>
      <c r="H351" t="n">
        <v>0</v>
      </c>
      <c r="I351" t="n">
        <v>0</v>
      </c>
      <c r="J351" t="n">
        <v>0</v>
      </c>
      <c r="K351" t="n">
        <v>0</v>
      </c>
      <c r="L351" t="n">
        <v>0</v>
      </c>
      <c r="M351" t="n">
        <v>0</v>
      </c>
      <c r="N351" t="n">
        <v>0</v>
      </c>
      <c r="O351" t="n">
        <v>0</v>
      </c>
      <c r="P351" t="n">
        <v>0</v>
      </c>
      <c r="Q351" t="n">
        <v>0</v>
      </c>
      <c r="R351" s="2" t="inlineStr"/>
    </row>
    <row r="352" ht="15" customHeight="1">
      <c r="A352" t="inlineStr">
        <is>
          <t>A 9192-2023</t>
        </is>
      </c>
      <c r="B352" s="1" t="n">
        <v>44980</v>
      </c>
      <c r="C352" s="1" t="n">
        <v>46115</v>
      </c>
      <c r="D352" t="inlineStr">
        <is>
          <t>SÖDERMANLANDS LÄN</t>
        </is>
      </c>
      <c r="E352" t="inlineStr">
        <is>
          <t>KATRINEHOLM</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15399-2022</t>
        </is>
      </c>
      <c r="B353" s="1" t="n">
        <v>44659</v>
      </c>
      <c r="C353" s="1" t="n">
        <v>46115</v>
      </c>
      <c r="D353" t="inlineStr">
        <is>
          <t>SÖDERMANLANDS LÄN</t>
        </is>
      </c>
      <c r="E353" t="inlineStr">
        <is>
          <t>KATRINEHOLM</t>
        </is>
      </c>
      <c r="G353" t="n">
        <v>5.6</v>
      </c>
      <c r="H353" t="n">
        <v>0</v>
      </c>
      <c r="I353" t="n">
        <v>0</v>
      </c>
      <c r="J353" t="n">
        <v>0</v>
      </c>
      <c r="K353" t="n">
        <v>0</v>
      </c>
      <c r="L353" t="n">
        <v>0</v>
      </c>
      <c r="M353" t="n">
        <v>0</v>
      </c>
      <c r="N353" t="n">
        <v>0</v>
      </c>
      <c r="O353" t="n">
        <v>0</v>
      </c>
      <c r="P353" t="n">
        <v>0</v>
      </c>
      <c r="Q353" t="n">
        <v>0</v>
      </c>
      <c r="R353" s="2" t="inlineStr"/>
    </row>
    <row r="354" ht="15" customHeight="1">
      <c r="A354" t="inlineStr">
        <is>
          <t>A 11872-2023</t>
        </is>
      </c>
      <c r="B354" s="1" t="n">
        <v>44995</v>
      </c>
      <c r="C354" s="1" t="n">
        <v>46115</v>
      </c>
      <c r="D354" t="inlineStr">
        <is>
          <t>SÖDERMANLANDS LÄN</t>
        </is>
      </c>
      <c r="E354" t="inlineStr">
        <is>
          <t>KATRINEHOLM</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49092-2024</t>
        </is>
      </c>
      <c r="B355" s="1" t="n">
        <v>45594.63619212963</v>
      </c>
      <c r="C355" s="1" t="n">
        <v>46115</v>
      </c>
      <c r="D355" t="inlineStr">
        <is>
          <t>SÖDERMANLANDS LÄN</t>
        </is>
      </c>
      <c r="E355" t="inlineStr">
        <is>
          <t>KATRINEHOLM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49095-2024</t>
        </is>
      </c>
      <c r="B356" s="1" t="n">
        <v>45594.63828703704</v>
      </c>
      <c r="C356" s="1" t="n">
        <v>46115</v>
      </c>
      <c r="D356" t="inlineStr">
        <is>
          <t>SÖDERMANLANDS LÄN</t>
        </is>
      </c>
      <c r="E356" t="inlineStr">
        <is>
          <t>KATRINEHOLM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30287-2025</t>
        </is>
      </c>
      <c r="B357" s="1" t="n">
        <v>45827</v>
      </c>
      <c r="C357" s="1" t="n">
        <v>46115</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30350-2025</t>
        </is>
      </c>
      <c r="B358" s="1" t="n">
        <v>45827.53319444445</v>
      </c>
      <c r="C358" s="1" t="n">
        <v>46115</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30352-2025</t>
        </is>
      </c>
      <c r="B359" s="1" t="n">
        <v>45827</v>
      </c>
      <c r="C359" s="1" t="n">
        <v>46115</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30386-2025</t>
        </is>
      </c>
      <c r="B360" s="1" t="n">
        <v>45827</v>
      </c>
      <c r="C360" s="1" t="n">
        <v>46115</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30402-2025</t>
        </is>
      </c>
      <c r="B361" s="1" t="n">
        <v>45827</v>
      </c>
      <c r="C361" s="1" t="n">
        <v>46115</v>
      </c>
      <c r="D361" t="inlineStr">
        <is>
          <t>SÖDERMANLANDS LÄN</t>
        </is>
      </c>
      <c r="E361" t="inlineStr">
        <is>
          <t>KATRINEHOLM</t>
        </is>
      </c>
      <c r="G361" t="n">
        <v>7.1</v>
      </c>
      <c r="H361" t="n">
        <v>0</v>
      </c>
      <c r="I361" t="n">
        <v>0</v>
      </c>
      <c r="J361" t="n">
        <v>0</v>
      </c>
      <c r="K361" t="n">
        <v>0</v>
      </c>
      <c r="L361" t="n">
        <v>0</v>
      </c>
      <c r="M361" t="n">
        <v>0</v>
      </c>
      <c r="N361" t="n">
        <v>0</v>
      </c>
      <c r="O361" t="n">
        <v>0</v>
      </c>
      <c r="P361" t="n">
        <v>0</v>
      </c>
      <c r="Q361" t="n">
        <v>0</v>
      </c>
      <c r="R361" s="2" t="inlineStr"/>
    </row>
    <row r="362" ht="15" customHeight="1">
      <c r="A362" t="inlineStr">
        <is>
          <t>A 36-2023</t>
        </is>
      </c>
      <c r="B362" s="1" t="n">
        <v>44928.36578703704</v>
      </c>
      <c r="C362" s="1" t="n">
        <v>46115</v>
      </c>
      <c r="D362" t="inlineStr">
        <is>
          <t>SÖDERMANLANDS LÄN</t>
        </is>
      </c>
      <c r="E362" t="inlineStr">
        <is>
          <t>KATRINEHOLM</t>
        </is>
      </c>
      <c r="G362" t="n">
        <v>3.7</v>
      </c>
      <c r="H362" t="n">
        <v>0</v>
      </c>
      <c r="I362" t="n">
        <v>0</v>
      </c>
      <c r="J362" t="n">
        <v>0</v>
      </c>
      <c r="K362" t="n">
        <v>0</v>
      </c>
      <c r="L362" t="n">
        <v>0</v>
      </c>
      <c r="M362" t="n">
        <v>0</v>
      </c>
      <c r="N362" t="n">
        <v>0</v>
      </c>
      <c r="O362" t="n">
        <v>0</v>
      </c>
      <c r="P362" t="n">
        <v>0</v>
      </c>
      <c r="Q362" t="n">
        <v>0</v>
      </c>
      <c r="R362" s="2" t="inlineStr"/>
    </row>
    <row r="363" ht="15" customHeight="1">
      <c r="A363" t="inlineStr">
        <is>
          <t>A 10341-2022</t>
        </is>
      </c>
      <c r="B363" s="1" t="n">
        <v>44623</v>
      </c>
      <c r="C363" s="1" t="n">
        <v>46115</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46115</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25716-2022</t>
        </is>
      </c>
      <c r="B365" s="1" t="n">
        <v>44733.39600694444</v>
      </c>
      <c r="C365" s="1" t="n">
        <v>46115</v>
      </c>
      <c r="D365" t="inlineStr">
        <is>
          <t>SÖDERMANLANDS LÄN</t>
        </is>
      </c>
      <c r="E365" t="inlineStr">
        <is>
          <t>KATRINEHOLM</t>
        </is>
      </c>
      <c r="G365" t="n">
        <v>3.4</v>
      </c>
      <c r="H365" t="n">
        <v>0</v>
      </c>
      <c r="I365" t="n">
        <v>0</v>
      </c>
      <c r="J365" t="n">
        <v>0</v>
      </c>
      <c r="K365" t="n">
        <v>0</v>
      </c>
      <c r="L365" t="n">
        <v>0</v>
      </c>
      <c r="M365" t="n">
        <v>0</v>
      </c>
      <c r="N365" t="n">
        <v>0</v>
      </c>
      <c r="O365" t="n">
        <v>0</v>
      </c>
      <c r="P365" t="n">
        <v>0</v>
      </c>
      <c r="Q365" t="n">
        <v>0</v>
      </c>
      <c r="R365" s="2" t="inlineStr"/>
    </row>
    <row r="366" ht="15" customHeight="1">
      <c r="A366" t="inlineStr">
        <is>
          <t>A 6807-2023</t>
        </is>
      </c>
      <c r="B366" s="1" t="n">
        <v>44964</v>
      </c>
      <c r="C366" s="1" t="n">
        <v>46115</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9668-2023</t>
        </is>
      </c>
      <c r="B367" s="1" t="n">
        <v>44984.41238425926</v>
      </c>
      <c r="C367" s="1" t="n">
        <v>46115</v>
      </c>
      <c r="D367" t="inlineStr">
        <is>
          <t>SÖDERMANLANDS LÄN</t>
        </is>
      </c>
      <c r="E367" t="inlineStr">
        <is>
          <t>KATRINEHOLM</t>
        </is>
      </c>
      <c r="G367" t="n">
        <v>4.8</v>
      </c>
      <c r="H367" t="n">
        <v>0</v>
      </c>
      <c r="I367" t="n">
        <v>0</v>
      </c>
      <c r="J367" t="n">
        <v>0</v>
      </c>
      <c r="K367" t="n">
        <v>0</v>
      </c>
      <c r="L367" t="n">
        <v>0</v>
      </c>
      <c r="M367" t="n">
        <v>0</v>
      </c>
      <c r="N367" t="n">
        <v>0</v>
      </c>
      <c r="O367" t="n">
        <v>0</v>
      </c>
      <c r="P367" t="n">
        <v>0</v>
      </c>
      <c r="Q367" t="n">
        <v>0</v>
      </c>
      <c r="R367" s="2" t="inlineStr"/>
    </row>
    <row r="368" ht="15" customHeight="1">
      <c r="A368" t="inlineStr">
        <is>
          <t>A 54999-2025</t>
        </is>
      </c>
      <c r="B368" s="1" t="n">
        <v>45967.59880787037</v>
      </c>
      <c r="C368" s="1" t="n">
        <v>46115</v>
      </c>
      <c r="D368" t="inlineStr">
        <is>
          <t>SÖDERMANLANDS LÄN</t>
        </is>
      </c>
      <c r="E368" t="inlineStr">
        <is>
          <t>KATRINEHOLM</t>
        </is>
      </c>
      <c r="G368" t="n">
        <v>8.5</v>
      </c>
      <c r="H368" t="n">
        <v>0</v>
      </c>
      <c r="I368" t="n">
        <v>0</v>
      </c>
      <c r="J368" t="n">
        <v>0</v>
      </c>
      <c r="K368" t="n">
        <v>0</v>
      </c>
      <c r="L368" t="n">
        <v>0</v>
      </c>
      <c r="M368" t="n">
        <v>0</v>
      </c>
      <c r="N368" t="n">
        <v>0</v>
      </c>
      <c r="O368" t="n">
        <v>0</v>
      </c>
      <c r="P368" t="n">
        <v>0</v>
      </c>
      <c r="Q368" t="n">
        <v>0</v>
      </c>
      <c r="R368" s="2" t="inlineStr"/>
    </row>
    <row r="369" ht="15" customHeight="1">
      <c r="A369" t="inlineStr">
        <is>
          <t>A 31376-2025</t>
        </is>
      </c>
      <c r="B369" s="1" t="n">
        <v>45833</v>
      </c>
      <c r="C369" s="1" t="n">
        <v>46115</v>
      </c>
      <c r="D369" t="inlineStr">
        <is>
          <t>SÖDERMANLANDS LÄN</t>
        </is>
      </c>
      <c r="E369" t="inlineStr">
        <is>
          <t>KATRINEHOLM</t>
        </is>
      </c>
      <c r="G369" t="n">
        <v>1.6</v>
      </c>
      <c r="H369" t="n">
        <v>0</v>
      </c>
      <c r="I369" t="n">
        <v>0</v>
      </c>
      <c r="J369" t="n">
        <v>0</v>
      </c>
      <c r="K369" t="n">
        <v>0</v>
      </c>
      <c r="L369" t="n">
        <v>0</v>
      </c>
      <c r="M369" t="n">
        <v>0</v>
      </c>
      <c r="N369" t="n">
        <v>0</v>
      </c>
      <c r="O369" t="n">
        <v>0</v>
      </c>
      <c r="P369" t="n">
        <v>0</v>
      </c>
      <c r="Q369" t="n">
        <v>0</v>
      </c>
      <c r="R369" s="2" t="inlineStr"/>
    </row>
    <row r="370" ht="15" customHeight="1">
      <c r="A370" t="inlineStr">
        <is>
          <t>A 9044-2022</t>
        </is>
      </c>
      <c r="B370" s="1" t="n">
        <v>44602</v>
      </c>
      <c r="C370" s="1" t="n">
        <v>46115</v>
      </c>
      <c r="D370" t="inlineStr">
        <is>
          <t>SÖDERMANLANDS LÄN</t>
        </is>
      </c>
      <c r="E370" t="inlineStr">
        <is>
          <t>KATRINEHOLM</t>
        </is>
      </c>
      <c r="G370" t="n">
        <v>5.8</v>
      </c>
      <c r="H370" t="n">
        <v>0</v>
      </c>
      <c r="I370" t="n">
        <v>0</v>
      </c>
      <c r="J370" t="n">
        <v>0</v>
      </c>
      <c r="K370" t="n">
        <v>0</v>
      </c>
      <c r="L370" t="n">
        <v>0</v>
      </c>
      <c r="M370" t="n">
        <v>0</v>
      </c>
      <c r="N370" t="n">
        <v>0</v>
      </c>
      <c r="O370" t="n">
        <v>0</v>
      </c>
      <c r="P370" t="n">
        <v>0</v>
      </c>
      <c r="Q370" t="n">
        <v>0</v>
      </c>
      <c r="R370" s="2" t="inlineStr"/>
    </row>
    <row r="371" ht="15" customHeight="1">
      <c r="A371" t="inlineStr">
        <is>
          <t>A 46288-2025</t>
        </is>
      </c>
      <c r="B371" s="1" t="n">
        <v>45925.38545138889</v>
      </c>
      <c r="C371" s="1" t="n">
        <v>46115</v>
      </c>
      <c r="D371" t="inlineStr">
        <is>
          <t>SÖDERMANLANDS LÄN</t>
        </is>
      </c>
      <c r="E371" t="inlineStr">
        <is>
          <t>KATRINEHOLM</t>
        </is>
      </c>
      <c r="G371" t="n">
        <v>0.4</v>
      </c>
      <c r="H371" t="n">
        <v>0</v>
      </c>
      <c r="I371" t="n">
        <v>0</v>
      </c>
      <c r="J371" t="n">
        <v>0</v>
      </c>
      <c r="K371" t="n">
        <v>0</v>
      </c>
      <c r="L371" t="n">
        <v>0</v>
      </c>
      <c r="M371" t="n">
        <v>0</v>
      </c>
      <c r="N371" t="n">
        <v>0</v>
      </c>
      <c r="O371" t="n">
        <v>0</v>
      </c>
      <c r="P371" t="n">
        <v>0</v>
      </c>
      <c r="Q371" t="n">
        <v>0</v>
      </c>
      <c r="R371" s="2" t="inlineStr"/>
    </row>
    <row r="372" ht="15" customHeight="1">
      <c r="A372" t="inlineStr">
        <is>
          <t>A 31392-2025</t>
        </is>
      </c>
      <c r="B372" s="1" t="n">
        <v>45833</v>
      </c>
      <c r="C372" s="1" t="n">
        <v>46115</v>
      </c>
      <c r="D372" t="inlineStr">
        <is>
          <t>SÖDERMANLANDS LÄN</t>
        </is>
      </c>
      <c r="E372" t="inlineStr">
        <is>
          <t>KATRINEHOLM</t>
        </is>
      </c>
      <c r="G372" t="n">
        <v>5</v>
      </c>
      <c r="H372" t="n">
        <v>0</v>
      </c>
      <c r="I372" t="n">
        <v>0</v>
      </c>
      <c r="J372" t="n">
        <v>0</v>
      </c>
      <c r="K372" t="n">
        <v>0</v>
      </c>
      <c r="L372" t="n">
        <v>0</v>
      </c>
      <c r="M372" t="n">
        <v>0</v>
      </c>
      <c r="N372" t="n">
        <v>0</v>
      </c>
      <c r="O372" t="n">
        <v>0</v>
      </c>
      <c r="P372" t="n">
        <v>0</v>
      </c>
      <c r="Q372" t="n">
        <v>0</v>
      </c>
      <c r="R372" s="2" t="inlineStr"/>
    </row>
    <row r="373" ht="15" customHeight="1">
      <c r="A373" t="inlineStr">
        <is>
          <t>A 31386-2025</t>
        </is>
      </c>
      <c r="B373" s="1" t="n">
        <v>45833.45259259259</v>
      </c>
      <c r="C373" s="1" t="n">
        <v>46115</v>
      </c>
      <c r="D373" t="inlineStr">
        <is>
          <t>SÖDERMANLANDS LÄN</t>
        </is>
      </c>
      <c r="E373" t="inlineStr">
        <is>
          <t>KATRINEHOLM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46524-2025</t>
        </is>
      </c>
      <c r="B374" s="1" t="n">
        <v>45926</v>
      </c>
      <c r="C374" s="1" t="n">
        <v>46115</v>
      </c>
      <c r="D374" t="inlineStr">
        <is>
          <t>SÖDERMANLANDS LÄN</t>
        </is>
      </c>
      <c r="E374" t="inlineStr">
        <is>
          <t>KATRINEHOLM</t>
        </is>
      </c>
      <c r="G374" t="n">
        <v>5.7</v>
      </c>
      <c r="H374" t="n">
        <v>0</v>
      </c>
      <c r="I374" t="n">
        <v>0</v>
      </c>
      <c r="J374" t="n">
        <v>0</v>
      </c>
      <c r="K374" t="n">
        <v>0</v>
      </c>
      <c r="L374" t="n">
        <v>0</v>
      </c>
      <c r="M374" t="n">
        <v>0</v>
      </c>
      <c r="N374" t="n">
        <v>0</v>
      </c>
      <c r="O374" t="n">
        <v>0</v>
      </c>
      <c r="P374" t="n">
        <v>0</v>
      </c>
      <c r="Q374" t="n">
        <v>0</v>
      </c>
      <c r="R374" s="2" t="inlineStr"/>
    </row>
    <row r="375" ht="15" customHeight="1">
      <c r="A375" t="inlineStr">
        <is>
          <t>A 48091-2024</t>
        </is>
      </c>
      <c r="B375" s="1" t="n">
        <v>45590</v>
      </c>
      <c r="C375" s="1" t="n">
        <v>46115</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24097-2022</t>
        </is>
      </c>
      <c r="B376" s="1" t="n">
        <v>44725.39371527778</v>
      </c>
      <c r="C376" s="1" t="n">
        <v>46115</v>
      </c>
      <c r="D376" t="inlineStr">
        <is>
          <t>SÖDERMANLANDS LÄN</t>
        </is>
      </c>
      <c r="E376" t="inlineStr">
        <is>
          <t>KATRINEHOLM</t>
        </is>
      </c>
      <c r="G376" t="n">
        <v>6.5</v>
      </c>
      <c r="H376" t="n">
        <v>0</v>
      </c>
      <c r="I376" t="n">
        <v>0</v>
      </c>
      <c r="J376" t="n">
        <v>0</v>
      </c>
      <c r="K376" t="n">
        <v>0</v>
      </c>
      <c r="L376" t="n">
        <v>0</v>
      </c>
      <c r="M376" t="n">
        <v>0</v>
      </c>
      <c r="N376" t="n">
        <v>0</v>
      </c>
      <c r="O376" t="n">
        <v>0</v>
      </c>
      <c r="P376" t="n">
        <v>0</v>
      </c>
      <c r="Q376" t="n">
        <v>0</v>
      </c>
      <c r="R376" s="2" t="inlineStr"/>
    </row>
    <row r="377" ht="15" customHeight="1">
      <c r="A377" t="inlineStr">
        <is>
          <t>A 46670-2021</t>
        </is>
      </c>
      <c r="B377" s="1" t="n">
        <v>44445</v>
      </c>
      <c r="C377" s="1" t="n">
        <v>46115</v>
      </c>
      <c r="D377" t="inlineStr">
        <is>
          <t>SÖDERMANLANDS LÄN</t>
        </is>
      </c>
      <c r="E377" t="inlineStr">
        <is>
          <t>KATRINEHOLM</t>
        </is>
      </c>
      <c r="G377" t="n">
        <v>4.4</v>
      </c>
      <c r="H377" t="n">
        <v>0</v>
      </c>
      <c r="I377" t="n">
        <v>0</v>
      </c>
      <c r="J377" t="n">
        <v>0</v>
      </c>
      <c r="K377" t="n">
        <v>0</v>
      </c>
      <c r="L377" t="n">
        <v>0</v>
      </c>
      <c r="M377" t="n">
        <v>0</v>
      </c>
      <c r="N377" t="n">
        <v>0</v>
      </c>
      <c r="O377" t="n">
        <v>0</v>
      </c>
      <c r="P377" t="n">
        <v>0</v>
      </c>
      <c r="Q377" t="n">
        <v>0</v>
      </c>
      <c r="R377" s="2" t="inlineStr"/>
    </row>
    <row r="378" ht="15" customHeight="1">
      <c r="A378" t="inlineStr">
        <is>
          <t>A 62954-2023</t>
        </is>
      </c>
      <c r="B378" s="1" t="n">
        <v>45272.55362268518</v>
      </c>
      <c r="C378" s="1" t="n">
        <v>46115</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55829-2025</t>
        </is>
      </c>
      <c r="B379" s="1" t="n">
        <v>45972.79274305556</v>
      </c>
      <c r="C379" s="1" t="n">
        <v>46115</v>
      </c>
      <c r="D379" t="inlineStr">
        <is>
          <t>SÖDERMANLANDS LÄN</t>
        </is>
      </c>
      <c r="E379" t="inlineStr">
        <is>
          <t>KATRINEHOLM</t>
        </is>
      </c>
      <c r="G379" t="n">
        <v>3.2</v>
      </c>
      <c r="H379" t="n">
        <v>0</v>
      </c>
      <c r="I379" t="n">
        <v>0</v>
      </c>
      <c r="J379" t="n">
        <v>0</v>
      </c>
      <c r="K379" t="n">
        <v>0</v>
      </c>
      <c r="L379" t="n">
        <v>0</v>
      </c>
      <c r="M379" t="n">
        <v>0</v>
      </c>
      <c r="N379" t="n">
        <v>0</v>
      </c>
      <c r="O379" t="n">
        <v>0</v>
      </c>
      <c r="P379" t="n">
        <v>0</v>
      </c>
      <c r="Q379" t="n">
        <v>0</v>
      </c>
      <c r="R379" s="2" t="inlineStr"/>
    </row>
    <row r="380" ht="15" customHeight="1">
      <c r="A380" t="inlineStr">
        <is>
          <t>A 55832-2025</t>
        </is>
      </c>
      <c r="B380" s="1" t="n">
        <v>45972.81768518518</v>
      </c>
      <c r="C380" s="1" t="n">
        <v>46115</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31990-2025</t>
        </is>
      </c>
      <c r="B381" s="1" t="n">
        <v>45835.36697916667</v>
      </c>
      <c r="C381" s="1" t="n">
        <v>46115</v>
      </c>
      <c r="D381" t="inlineStr">
        <is>
          <t>SÖDERMANLANDS LÄN</t>
        </is>
      </c>
      <c r="E381" t="inlineStr">
        <is>
          <t>KATRINEHOLM</t>
        </is>
      </c>
      <c r="G381" t="n">
        <v>0.5</v>
      </c>
      <c r="H381" t="n">
        <v>0</v>
      </c>
      <c r="I381" t="n">
        <v>0</v>
      </c>
      <c r="J381" t="n">
        <v>0</v>
      </c>
      <c r="K381" t="n">
        <v>0</v>
      </c>
      <c r="L381" t="n">
        <v>0</v>
      </c>
      <c r="M381" t="n">
        <v>0</v>
      </c>
      <c r="N381" t="n">
        <v>0</v>
      </c>
      <c r="O381" t="n">
        <v>0</v>
      </c>
      <c r="P381" t="n">
        <v>0</v>
      </c>
      <c r="Q381" t="n">
        <v>0</v>
      </c>
      <c r="R381" s="2" t="inlineStr"/>
    </row>
    <row r="382" ht="15" customHeight="1">
      <c r="A382" t="inlineStr">
        <is>
          <t>A 58651-2023</t>
        </is>
      </c>
      <c r="B382" s="1" t="n">
        <v>45247</v>
      </c>
      <c r="C382" s="1" t="n">
        <v>46115</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55831-2025</t>
        </is>
      </c>
      <c r="B383" s="1" t="n">
        <v>45972.81034722222</v>
      </c>
      <c r="C383" s="1" t="n">
        <v>46115</v>
      </c>
      <c r="D383" t="inlineStr">
        <is>
          <t>SÖDERMANLANDS LÄN</t>
        </is>
      </c>
      <c r="E383" t="inlineStr">
        <is>
          <t>KATRINEHOLM</t>
        </is>
      </c>
      <c r="G383" t="n">
        <v>6.2</v>
      </c>
      <c r="H383" t="n">
        <v>0</v>
      </c>
      <c r="I383" t="n">
        <v>0</v>
      </c>
      <c r="J383" t="n">
        <v>0</v>
      </c>
      <c r="K383" t="n">
        <v>0</v>
      </c>
      <c r="L383" t="n">
        <v>0</v>
      </c>
      <c r="M383" t="n">
        <v>0</v>
      </c>
      <c r="N383" t="n">
        <v>0</v>
      </c>
      <c r="O383" t="n">
        <v>0</v>
      </c>
      <c r="P383" t="n">
        <v>0</v>
      </c>
      <c r="Q383" t="n">
        <v>0</v>
      </c>
      <c r="R383" s="2" t="inlineStr"/>
    </row>
    <row r="384" ht="15" customHeight="1">
      <c r="A384" t="inlineStr">
        <is>
          <t>A 56330-2025</t>
        </is>
      </c>
      <c r="B384" s="1" t="n">
        <v>45974.64094907408</v>
      </c>
      <c r="C384" s="1" t="n">
        <v>46115</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6446-2022</t>
        </is>
      </c>
      <c r="B385" s="1" t="n">
        <v>44600</v>
      </c>
      <c r="C385" s="1" t="n">
        <v>46115</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33090-2025</t>
        </is>
      </c>
      <c r="B386" s="1" t="n">
        <v>45840.46840277778</v>
      </c>
      <c r="C386" s="1" t="n">
        <v>46115</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33084-2025</t>
        </is>
      </c>
      <c r="B387" s="1" t="n">
        <v>45840.46559027778</v>
      </c>
      <c r="C387" s="1" t="n">
        <v>46115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33577-2025</t>
        </is>
      </c>
      <c r="B388" s="1" t="n">
        <v>45841.59056712963</v>
      </c>
      <c r="C388" s="1" t="n">
        <v>46115</v>
      </c>
      <c r="D388" t="inlineStr">
        <is>
          <t>SÖDERMANLANDS LÄN</t>
        </is>
      </c>
      <c r="E388" t="inlineStr">
        <is>
          <t>KATRINEHOLM</t>
        </is>
      </c>
      <c r="F388" t="inlineStr">
        <is>
          <t>Holmen skog AB</t>
        </is>
      </c>
      <c r="G388" t="n">
        <v>0.3</v>
      </c>
      <c r="H388" t="n">
        <v>0</v>
      </c>
      <c r="I388" t="n">
        <v>0</v>
      </c>
      <c r="J388" t="n">
        <v>0</v>
      </c>
      <c r="K388" t="n">
        <v>0</v>
      </c>
      <c r="L388" t="n">
        <v>0</v>
      </c>
      <c r="M388" t="n">
        <v>0</v>
      </c>
      <c r="N388" t="n">
        <v>0</v>
      </c>
      <c r="O388" t="n">
        <v>0</v>
      </c>
      <c r="P388" t="n">
        <v>0</v>
      </c>
      <c r="Q388" t="n">
        <v>0</v>
      </c>
      <c r="R388" s="2" t="inlineStr"/>
    </row>
    <row r="389" ht="15" customHeight="1">
      <c r="A389" t="inlineStr">
        <is>
          <t>A 51923-2023</t>
        </is>
      </c>
      <c r="B389" s="1" t="n">
        <v>45223</v>
      </c>
      <c r="C389" s="1" t="n">
        <v>46115</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33812-2025</t>
        </is>
      </c>
      <c r="B390" s="1" t="n">
        <v>45842</v>
      </c>
      <c r="C390" s="1" t="n">
        <v>46115</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33815-2025</t>
        </is>
      </c>
      <c r="B391" s="1" t="n">
        <v>45842</v>
      </c>
      <c r="C391" s="1" t="n">
        <v>46115</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56597-2025</t>
        </is>
      </c>
      <c r="B392" s="1" t="n">
        <v>45975.57271990741</v>
      </c>
      <c r="C392" s="1" t="n">
        <v>46115</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6762-2025</t>
        </is>
      </c>
      <c r="B393" s="1" t="n">
        <v>45700</v>
      </c>
      <c r="C393" s="1" t="n">
        <v>46115</v>
      </c>
      <c r="D393" t="inlineStr">
        <is>
          <t>SÖDERMANLANDS LÄN</t>
        </is>
      </c>
      <c r="E393" t="inlineStr">
        <is>
          <t>KATRINEHOLM</t>
        </is>
      </c>
      <c r="G393" t="n">
        <v>1</v>
      </c>
      <c r="H393" t="n">
        <v>0</v>
      </c>
      <c r="I393" t="n">
        <v>0</v>
      </c>
      <c r="J393" t="n">
        <v>0</v>
      </c>
      <c r="K393" t="n">
        <v>0</v>
      </c>
      <c r="L393" t="n">
        <v>0</v>
      </c>
      <c r="M393" t="n">
        <v>0</v>
      </c>
      <c r="N393" t="n">
        <v>0</v>
      </c>
      <c r="O393" t="n">
        <v>0</v>
      </c>
      <c r="P393" t="n">
        <v>0</v>
      </c>
      <c r="Q393" t="n">
        <v>0</v>
      </c>
      <c r="R393" s="2" t="inlineStr"/>
    </row>
    <row r="394" ht="15" customHeight="1">
      <c r="A394" t="inlineStr">
        <is>
          <t>A 20213-2025</t>
        </is>
      </c>
      <c r="B394" s="1" t="n">
        <v>45772.63453703704</v>
      </c>
      <c r="C394" s="1" t="n">
        <v>46115</v>
      </c>
      <c r="D394" t="inlineStr">
        <is>
          <t>SÖDERMANLANDS LÄN</t>
        </is>
      </c>
      <c r="E394" t="inlineStr">
        <is>
          <t>KATRINEHOLM</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18386-2025</t>
        </is>
      </c>
      <c r="B395" s="1" t="n">
        <v>45762</v>
      </c>
      <c r="C395" s="1" t="n">
        <v>46115</v>
      </c>
      <c r="D395" t="inlineStr">
        <is>
          <t>SÖDERMANLANDS LÄN</t>
        </is>
      </c>
      <c r="E395" t="inlineStr">
        <is>
          <t>KATRINEHOLM</t>
        </is>
      </c>
      <c r="G395" t="n">
        <v>0.5</v>
      </c>
      <c r="H395" t="n">
        <v>0</v>
      </c>
      <c r="I395" t="n">
        <v>0</v>
      </c>
      <c r="J395" t="n">
        <v>0</v>
      </c>
      <c r="K395" t="n">
        <v>0</v>
      </c>
      <c r="L395" t="n">
        <v>0</v>
      </c>
      <c r="M395" t="n">
        <v>0</v>
      </c>
      <c r="N395" t="n">
        <v>0</v>
      </c>
      <c r="O395" t="n">
        <v>0</v>
      </c>
      <c r="P395" t="n">
        <v>0</v>
      </c>
      <c r="Q395" t="n">
        <v>0</v>
      </c>
      <c r="R395" s="2" t="inlineStr"/>
    </row>
    <row r="396" ht="15" customHeight="1">
      <c r="A396" t="inlineStr">
        <is>
          <t>A 3125-2024</t>
        </is>
      </c>
      <c r="B396" s="1" t="n">
        <v>45316</v>
      </c>
      <c r="C396" s="1" t="n">
        <v>46115</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35183-2022</t>
        </is>
      </c>
      <c r="B397" s="1" t="n">
        <v>44797</v>
      </c>
      <c r="C397" s="1" t="n">
        <v>46115</v>
      </c>
      <c r="D397" t="inlineStr">
        <is>
          <t>SÖDERMANLANDS LÄN</t>
        </is>
      </c>
      <c r="E397" t="inlineStr">
        <is>
          <t>KATRINEHOLM</t>
        </is>
      </c>
      <c r="G397" t="n">
        <v>4.6</v>
      </c>
      <c r="H397" t="n">
        <v>0</v>
      </c>
      <c r="I397" t="n">
        <v>0</v>
      </c>
      <c r="J397" t="n">
        <v>0</v>
      </c>
      <c r="K397" t="n">
        <v>0</v>
      </c>
      <c r="L397" t="n">
        <v>0</v>
      </c>
      <c r="M397" t="n">
        <v>0</v>
      </c>
      <c r="N397" t="n">
        <v>0</v>
      </c>
      <c r="O397" t="n">
        <v>0</v>
      </c>
      <c r="P397" t="n">
        <v>0</v>
      </c>
      <c r="Q397" t="n">
        <v>0</v>
      </c>
      <c r="R397" s="2" t="inlineStr"/>
    </row>
    <row r="398" ht="15" customHeight="1">
      <c r="A398" t="inlineStr">
        <is>
          <t>A 42519-2024</t>
        </is>
      </c>
      <c r="B398" s="1" t="n">
        <v>45565</v>
      </c>
      <c r="C398" s="1" t="n">
        <v>46115</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20826-2022</t>
        </is>
      </c>
      <c r="B399" s="1" t="n">
        <v>44701.44754629629</v>
      </c>
      <c r="C399" s="1" t="n">
        <v>46115</v>
      </c>
      <c r="D399" t="inlineStr">
        <is>
          <t>SÖDERMANLANDS LÄN</t>
        </is>
      </c>
      <c r="E399" t="inlineStr">
        <is>
          <t>KATRINEHOLM</t>
        </is>
      </c>
      <c r="G399" t="n">
        <v>6.8</v>
      </c>
      <c r="H399" t="n">
        <v>0</v>
      </c>
      <c r="I399" t="n">
        <v>0</v>
      </c>
      <c r="J399" t="n">
        <v>0</v>
      </c>
      <c r="K399" t="n">
        <v>0</v>
      </c>
      <c r="L399" t="n">
        <v>0</v>
      </c>
      <c r="M399" t="n">
        <v>0</v>
      </c>
      <c r="N399" t="n">
        <v>0</v>
      </c>
      <c r="O399" t="n">
        <v>0</v>
      </c>
      <c r="P399" t="n">
        <v>0</v>
      </c>
      <c r="Q399" t="n">
        <v>0</v>
      </c>
      <c r="R399" s="2" t="inlineStr"/>
    </row>
    <row r="400" ht="15" customHeight="1">
      <c r="A400" t="inlineStr">
        <is>
          <t>A 20846-2022</t>
        </is>
      </c>
      <c r="B400" s="1" t="n">
        <v>44701.4744212963</v>
      </c>
      <c r="C400" s="1" t="n">
        <v>46115</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49078-2024</t>
        </is>
      </c>
      <c r="B401" s="1" t="n">
        <v>45594.62556712963</v>
      </c>
      <c r="C401" s="1" t="n">
        <v>46115</v>
      </c>
      <c r="D401" t="inlineStr">
        <is>
          <t>SÖDERMANLANDS LÄN</t>
        </is>
      </c>
      <c r="E401" t="inlineStr">
        <is>
          <t>KATRINEHOLM</t>
        </is>
      </c>
      <c r="F401" t="inlineStr">
        <is>
          <t>Övriga Aktiebolag</t>
        </is>
      </c>
      <c r="G401" t="n">
        <v>0.4</v>
      </c>
      <c r="H401" t="n">
        <v>0</v>
      </c>
      <c r="I401" t="n">
        <v>0</v>
      </c>
      <c r="J401" t="n">
        <v>0</v>
      </c>
      <c r="K401" t="n">
        <v>0</v>
      </c>
      <c r="L401" t="n">
        <v>0</v>
      </c>
      <c r="M401" t="n">
        <v>0</v>
      </c>
      <c r="N401" t="n">
        <v>0</v>
      </c>
      <c r="O401" t="n">
        <v>0</v>
      </c>
      <c r="P401" t="n">
        <v>0</v>
      </c>
      <c r="Q401" t="n">
        <v>0</v>
      </c>
      <c r="R401" s="2" t="inlineStr"/>
    </row>
    <row r="402" ht="15" customHeight="1">
      <c r="A402" t="inlineStr">
        <is>
          <t>A 51440-2024</t>
        </is>
      </c>
      <c r="B402" s="1" t="n">
        <v>45604</v>
      </c>
      <c r="C402" s="1" t="n">
        <v>46115</v>
      </c>
      <c r="D402" t="inlineStr">
        <is>
          <t>SÖDERMANLANDS LÄN</t>
        </is>
      </c>
      <c r="E402" t="inlineStr">
        <is>
          <t>KATRINEHOLM</t>
        </is>
      </c>
      <c r="G402" t="n">
        <v>4.7</v>
      </c>
      <c r="H402" t="n">
        <v>0</v>
      </c>
      <c r="I402" t="n">
        <v>0</v>
      </c>
      <c r="J402" t="n">
        <v>0</v>
      </c>
      <c r="K402" t="n">
        <v>0</v>
      </c>
      <c r="L402" t="n">
        <v>0</v>
      </c>
      <c r="M402" t="n">
        <v>0</v>
      </c>
      <c r="N402" t="n">
        <v>0</v>
      </c>
      <c r="O402" t="n">
        <v>0</v>
      </c>
      <c r="P402" t="n">
        <v>0</v>
      </c>
      <c r="Q402" t="n">
        <v>0</v>
      </c>
      <c r="R402" s="2" t="inlineStr"/>
    </row>
    <row r="403" ht="15" customHeight="1">
      <c r="A403" t="inlineStr">
        <is>
          <t>A 47879-2023</t>
        </is>
      </c>
      <c r="B403" s="1" t="n">
        <v>45204</v>
      </c>
      <c r="C403" s="1" t="n">
        <v>46115</v>
      </c>
      <c r="D403" t="inlineStr">
        <is>
          <t>SÖDERMANLANDS LÄN</t>
        </is>
      </c>
      <c r="E403" t="inlineStr">
        <is>
          <t>KATRINEHOLM</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12975-2022</t>
        </is>
      </c>
      <c r="B404" s="1" t="n">
        <v>44643</v>
      </c>
      <c r="C404" s="1" t="n">
        <v>46115</v>
      </c>
      <c r="D404" t="inlineStr">
        <is>
          <t>SÖDERMANLANDS LÄN</t>
        </is>
      </c>
      <c r="E404" t="inlineStr">
        <is>
          <t>KATRINEHOLM</t>
        </is>
      </c>
      <c r="G404" t="n">
        <v>2.4</v>
      </c>
      <c r="H404" t="n">
        <v>0</v>
      </c>
      <c r="I404" t="n">
        <v>0</v>
      </c>
      <c r="J404" t="n">
        <v>0</v>
      </c>
      <c r="K404" t="n">
        <v>0</v>
      </c>
      <c r="L404" t="n">
        <v>0</v>
      </c>
      <c r="M404" t="n">
        <v>0</v>
      </c>
      <c r="N404" t="n">
        <v>0</v>
      </c>
      <c r="O404" t="n">
        <v>0</v>
      </c>
      <c r="P404" t="n">
        <v>0</v>
      </c>
      <c r="Q404" t="n">
        <v>0</v>
      </c>
      <c r="R404" s="2" t="inlineStr"/>
    </row>
    <row r="405" ht="15" customHeight="1">
      <c r="A405" t="inlineStr">
        <is>
          <t>A 51260-2021</t>
        </is>
      </c>
      <c r="B405" s="1" t="n">
        <v>44461</v>
      </c>
      <c r="C405" s="1" t="n">
        <v>46115</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35156-2025</t>
        </is>
      </c>
      <c r="B406" s="1" t="n">
        <v>45852</v>
      </c>
      <c r="C406" s="1" t="n">
        <v>46115</v>
      </c>
      <c r="D406" t="inlineStr">
        <is>
          <t>SÖDERMANLANDS LÄN</t>
        </is>
      </c>
      <c r="E406" t="inlineStr">
        <is>
          <t>KATRINEHOLM</t>
        </is>
      </c>
      <c r="G406" t="n">
        <v>5.7</v>
      </c>
      <c r="H406" t="n">
        <v>0</v>
      </c>
      <c r="I406" t="n">
        <v>0</v>
      </c>
      <c r="J406" t="n">
        <v>0</v>
      </c>
      <c r="K406" t="n">
        <v>0</v>
      </c>
      <c r="L406" t="n">
        <v>0</v>
      </c>
      <c r="M406" t="n">
        <v>0</v>
      </c>
      <c r="N406" t="n">
        <v>0</v>
      </c>
      <c r="O406" t="n">
        <v>0</v>
      </c>
      <c r="P406" t="n">
        <v>0</v>
      </c>
      <c r="Q406" t="n">
        <v>0</v>
      </c>
      <c r="R406" s="2" t="inlineStr"/>
    </row>
    <row r="407" ht="15" customHeight="1">
      <c r="A407" t="inlineStr">
        <is>
          <t>A 53843-2023</t>
        </is>
      </c>
      <c r="B407" s="1" t="n">
        <v>45230</v>
      </c>
      <c r="C407" s="1" t="n">
        <v>46115</v>
      </c>
      <c r="D407" t="inlineStr">
        <is>
          <t>SÖDERMANLANDS LÄN</t>
        </is>
      </c>
      <c r="E407" t="inlineStr">
        <is>
          <t>KATRINEHOLM</t>
        </is>
      </c>
      <c r="G407" t="n">
        <v>14.2</v>
      </c>
      <c r="H407" t="n">
        <v>0</v>
      </c>
      <c r="I407" t="n">
        <v>0</v>
      </c>
      <c r="J407" t="n">
        <v>0</v>
      </c>
      <c r="K407" t="n">
        <v>0</v>
      </c>
      <c r="L407" t="n">
        <v>0</v>
      </c>
      <c r="M407" t="n">
        <v>0</v>
      </c>
      <c r="N407" t="n">
        <v>0</v>
      </c>
      <c r="O407" t="n">
        <v>0</v>
      </c>
      <c r="P407" t="n">
        <v>0</v>
      </c>
      <c r="Q407" t="n">
        <v>0</v>
      </c>
      <c r="R407" s="2" t="inlineStr"/>
    </row>
    <row r="408" ht="15" customHeight="1">
      <c r="A408" t="inlineStr">
        <is>
          <t>A 35152-2025</t>
        </is>
      </c>
      <c r="B408" s="1" t="n">
        <v>45852</v>
      </c>
      <c r="C408" s="1" t="n">
        <v>46115</v>
      </c>
      <c r="D408" t="inlineStr">
        <is>
          <t>SÖDERMANLANDS LÄN</t>
        </is>
      </c>
      <c r="E408" t="inlineStr">
        <is>
          <t>KATRINEHOLM</t>
        </is>
      </c>
      <c r="G408" t="n">
        <v>4.6</v>
      </c>
      <c r="H408" t="n">
        <v>0</v>
      </c>
      <c r="I408" t="n">
        <v>0</v>
      </c>
      <c r="J408" t="n">
        <v>0</v>
      </c>
      <c r="K408" t="n">
        <v>0</v>
      </c>
      <c r="L408" t="n">
        <v>0</v>
      </c>
      <c r="M408" t="n">
        <v>0</v>
      </c>
      <c r="N408" t="n">
        <v>0</v>
      </c>
      <c r="O408" t="n">
        <v>0</v>
      </c>
      <c r="P408" t="n">
        <v>0</v>
      </c>
      <c r="Q408" t="n">
        <v>0</v>
      </c>
      <c r="R408" s="2" t="inlineStr"/>
    </row>
    <row r="409" ht="15" customHeight="1">
      <c r="A409" t="inlineStr">
        <is>
          <t>A 35165-2025</t>
        </is>
      </c>
      <c r="B409" s="1" t="n">
        <v>45852.72320601852</v>
      </c>
      <c r="C409" s="1" t="n">
        <v>46115</v>
      </c>
      <c r="D409" t="inlineStr">
        <is>
          <t>SÖDERMANLANDS LÄN</t>
        </is>
      </c>
      <c r="E409" t="inlineStr">
        <is>
          <t>KATRINEHOLM</t>
        </is>
      </c>
      <c r="F409" t="inlineStr">
        <is>
          <t>Övriga Aktiebolag</t>
        </is>
      </c>
      <c r="G409" t="n">
        <v>20.7</v>
      </c>
      <c r="H409" t="n">
        <v>0</v>
      </c>
      <c r="I409" t="n">
        <v>0</v>
      </c>
      <c r="J409" t="n">
        <v>0</v>
      </c>
      <c r="K409" t="n">
        <v>0</v>
      </c>
      <c r="L409" t="n">
        <v>0</v>
      </c>
      <c r="M409" t="n">
        <v>0</v>
      </c>
      <c r="N409" t="n">
        <v>0</v>
      </c>
      <c r="O409" t="n">
        <v>0</v>
      </c>
      <c r="P409" t="n">
        <v>0</v>
      </c>
      <c r="Q409" t="n">
        <v>0</v>
      </c>
      <c r="R409" s="2" t="inlineStr"/>
    </row>
    <row r="410" ht="15" customHeight="1">
      <c r="A410" t="inlineStr">
        <is>
          <t>A 35149-2025</t>
        </is>
      </c>
      <c r="B410" s="1" t="n">
        <v>45852</v>
      </c>
      <c r="C410" s="1" t="n">
        <v>46115</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35161-2025</t>
        </is>
      </c>
      <c r="B411" s="1" t="n">
        <v>45852.70716435185</v>
      </c>
      <c r="C411" s="1" t="n">
        <v>46115</v>
      </c>
      <c r="D411" t="inlineStr">
        <is>
          <t>SÖDERMANLANDS LÄN</t>
        </is>
      </c>
      <c r="E411" t="inlineStr">
        <is>
          <t>KATRINEHOLM</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35084-2025</t>
        </is>
      </c>
      <c r="B412" s="1" t="n">
        <v>45852</v>
      </c>
      <c r="C412" s="1" t="n">
        <v>46115</v>
      </c>
      <c r="D412" t="inlineStr">
        <is>
          <t>SÖDERMANLANDS LÄN</t>
        </is>
      </c>
      <c r="E412" t="inlineStr">
        <is>
          <t>KATRINEHOLM</t>
        </is>
      </c>
      <c r="G412" t="n">
        <v>3.2</v>
      </c>
      <c r="H412" t="n">
        <v>0</v>
      </c>
      <c r="I412" t="n">
        <v>0</v>
      </c>
      <c r="J412" t="n">
        <v>0</v>
      </c>
      <c r="K412" t="n">
        <v>0</v>
      </c>
      <c r="L412" t="n">
        <v>0</v>
      </c>
      <c r="M412" t="n">
        <v>0</v>
      </c>
      <c r="N412" t="n">
        <v>0</v>
      </c>
      <c r="O412" t="n">
        <v>0</v>
      </c>
      <c r="P412" t="n">
        <v>0</v>
      </c>
      <c r="Q412" t="n">
        <v>0</v>
      </c>
      <c r="R412" s="2" t="inlineStr"/>
    </row>
    <row r="413" ht="15" customHeight="1">
      <c r="A413" t="inlineStr">
        <is>
          <t>A 48763-2024</t>
        </is>
      </c>
      <c r="B413" s="1" t="n">
        <v>45593.60288194445</v>
      </c>
      <c r="C413" s="1" t="n">
        <v>46115</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35145-2025</t>
        </is>
      </c>
      <c r="B414" s="1" t="n">
        <v>45852</v>
      </c>
      <c r="C414" s="1" t="n">
        <v>46115</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34439-2025</t>
        </is>
      </c>
      <c r="B415" s="1" t="n">
        <v>45845</v>
      </c>
      <c r="C415" s="1" t="n">
        <v>46115</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49743-2025</t>
        </is>
      </c>
      <c r="B416" s="1" t="n">
        <v>45940</v>
      </c>
      <c r="C416" s="1" t="n">
        <v>46115</v>
      </c>
      <c r="D416" t="inlineStr">
        <is>
          <t>SÖDERMANLANDS LÄN</t>
        </is>
      </c>
      <c r="E416" t="inlineStr">
        <is>
          <t>KATRINEHOLM</t>
        </is>
      </c>
      <c r="G416" t="n">
        <v>1.1</v>
      </c>
      <c r="H416" t="n">
        <v>0</v>
      </c>
      <c r="I416" t="n">
        <v>0</v>
      </c>
      <c r="J416" t="n">
        <v>0</v>
      </c>
      <c r="K416" t="n">
        <v>0</v>
      </c>
      <c r="L416" t="n">
        <v>0</v>
      </c>
      <c r="M416" t="n">
        <v>0</v>
      </c>
      <c r="N416" t="n">
        <v>0</v>
      </c>
      <c r="O416" t="n">
        <v>0</v>
      </c>
      <c r="P416" t="n">
        <v>0</v>
      </c>
      <c r="Q416" t="n">
        <v>0</v>
      </c>
      <c r="R416" s="2" t="inlineStr"/>
    </row>
    <row r="417" ht="15" customHeight="1">
      <c r="A417" t="inlineStr">
        <is>
          <t>A 35157-2025</t>
        </is>
      </c>
      <c r="B417" s="1" t="n">
        <v>45852</v>
      </c>
      <c r="C417" s="1" t="n">
        <v>46115</v>
      </c>
      <c r="D417" t="inlineStr">
        <is>
          <t>SÖDERMANLANDS LÄN</t>
        </is>
      </c>
      <c r="E417" t="inlineStr">
        <is>
          <t>KATRINEHOLM</t>
        </is>
      </c>
      <c r="G417" t="n">
        <v>3.7</v>
      </c>
      <c r="H417" t="n">
        <v>0</v>
      </c>
      <c r="I417" t="n">
        <v>0</v>
      </c>
      <c r="J417" t="n">
        <v>0</v>
      </c>
      <c r="K417" t="n">
        <v>0</v>
      </c>
      <c r="L417" t="n">
        <v>0</v>
      </c>
      <c r="M417" t="n">
        <v>0</v>
      </c>
      <c r="N417" t="n">
        <v>0</v>
      </c>
      <c r="O417" t="n">
        <v>0</v>
      </c>
      <c r="P417" t="n">
        <v>0</v>
      </c>
      <c r="Q417" t="n">
        <v>0</v>
      </c>
      <c r="R417" s="2" t="inlineStr"/>
    </row>
    <row r="418" ht="15" customHeight="1">
      <c r="A418" t="inlineStr">
        <is>
          <t>A 35158-2025</t>
        </is>
      </c>
      <c r="B418" s="1" t="n">
        <v>45852</v>
      </c>
      <c r="C418" s="1" t="n">
        <v>46115</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14478-2023</t>
        </is>
      </c>
      <c r="B419" s="1" t="n">
        <v>45012.66421296296</v>
      </c>
      <c r="C419" s="1" t="n">
        <v>46115</v>
      </c>
      <c r="D419" t="inlineStr">
        <is>
          <t>SÖDERMANLANDS LÄN</t>
        </is>
      </c>
      <c r="E419" t="inlineStr">
        <is>
          <t>KATRINEHOLM</t>
        </is>
      </c>
      <c r="G419" t="n">
        <v>3.9</v>
      </c>
      <c r="H419" t="n">
        <v>0</v>
      </c>
      <c r="I419" t="n">
        <v>0</v>
      </c>
      <c r="J419" t="n">
        <v>0</v>
      </c>
      <c r="K419" t="n">
        <v>0</v>
      </c>
      <c r="L419" t="n">
        <v>0</v>
      </c>
      <c r="M419" t="n">
        <v>0</v>
      </c>
      <c r="N419" t="n">
        <v>0</v>
      </c>
      <c r="O419" t="n">
        <v>0</v>
      </c>
      <c r="P419" t="n">
        <v>0</v>
      </c>
      <c r="Q419" t="n">
        <v>0</v>
      </c>
      <c r="R419" s="2" t="inlineStr"/>
    </row>
    <row r="420" ht="15" customHeight="1">
      <c r="A420" t="inlineStr">
        <is>
          <t>A 20921-2023</t>
        </is>
      </c>
      <c r="B420" s="1" t="n">
        <v>45061</v>
      </c>
      <c r="C420" s="1" t="n">
        <v>46115</v>
      </c>
      <c r="D420" t="inlineStr">
        <is>
          <t>SÖDERMANLANDS LÄN</t>
        </is>
      </c>
      <c r="E420" t="inlineStr">
        <is>
          <t>KATRINEHOLM</t>
        </is>
      </c>
      <c r="G420" t="n">
        <v>8.9</v>
      </c>
      <c r="H420" t="n">
        <v>0</v>
      </c>
      <c r="I420" t="n">
        <v>0</v>
      </c>
      <c r="J420" t="n">
        <v>0</v>
      </c>
      <c r="K420" t="n">
        <v>0</v>
      </c>
      <c r="L420" t="n">
        <v>0</v>
      </c>
      <c r="M420" t="n">
        <v>0</v>
      </c>
      <c r="N420" t="n">
        <v>0</v>
      </c>
      <c r="O420" t="n">
        <v>0</v>
      </c>
      <c r="P420" t="n">
        <v>0</v>
      </c>
      <c r="Q420" t="n">
        <v>0</v>
      </c>
      <c r="R420" s="2" t="inlineStr"/>
    </row>
    <row r="421" ht="15" customHeight="1">
      <c r="A421" t="inlineStr">
        <is>
          <t>A 12930-2023</t>
        </is>
      </c>
      <c r="B421" s="1" t="n">
        <v>45001</v>
      </c>
      <c r="C421" s="1" t="n">
        <v>46115</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12938-2023</t>
        </is>
      </c>
      <c r="B422" s="1" t="n">
        <v>45001</v>
      </c>
      <c r="C422" s="1" t="n">
        <v>46115</v>
      </c>
      <c r="D422" t="inlineStr">
        <is>
          <t>SÖDERMANLANDS LÄN</t>
        </is>
      </c>
      <c r="E422" t="inlineStr">
        <is>
          <t>KATRINEHOLM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12559-2023</t>
        </is>
      </c>
      <c r="B423" s="1" t="n">
        <v>45000.36373842593</v>
      </c>
      <c r="C423" s="1" t="n">
        <v>46115</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7704-2023</t>
        </is>
      </c>
      <c r="B424" s="1" t="n">
        <v>44968</v>
      </c>
      <c r="C424" s="1" t="n">
        <v>46115</v>
      </c>
      <c r="D424" t="inlineStr">
        <is>
          <t>SÖDERMANLANDS LÄN</t>
        </is>
      </c>
      <c r="E424" t="inlineStr">
        <is>
          <t>KATRINEHOLM</t>
        </is>
      </c>
      <c r="G424" t="n">
        <v>7.3</v>
      </c>
      <c r="H424" t="n">
        <v>0</v>
      </c>
      <c r="I424" t="n">
        <v>0</v>
      </c>
      <c r="J424" t="n">
        <v>0</v>
      </c>
      <c r="K424" t="n">
        <v>0</v>
      </c>
      <c r="L424" t="n">
        <v>0</v>
      </c>
      <c r="M424" t="n">
        <v>0</v>
      </c>
      <c r="N424" t="n">
        <v>0</v>
      </c>
      <c r="O424" t="n">
        <v>0</v>
      </c>
      <c r="P424" t="n">
        <v>0</v>
      </c>
      <c r="Q424" t="n">
        <v>0</v>
      </c>
      <c r="R424" s="2" t="inlineStr"/>
    </row>
    <row r="425" ht="15" customHeight="1">
      <c r="A425" t="inlineStr">
        <is>
          <t>A 49122-2024</t>
        </is>
      </c>
      <c r="B425" s="1" t="n">
        <v>45594</v>
      </c>
      <c r="C425" s="1" t="n">
        <v>46115</v>
      </c>
      <c r="D425" t="inlineStr">
        <is>
          <t>SÖDERMANLANDS LÄN</t>
        </is>
      </c>
      <c r="E425" t="inlineStr">
        <is>
          <t>KATRINEHOLM</t>
        </is>
      </c>
      <c r="G425" t="n">
        <v>19.4</v>
      </c>
      <c r="H425" t="n">
        <v>0</v>
      </c>
      <c r="I425" t="n">
        <v>0</v>
      </c>
      <c r="J425" t="n">
        <v>0</v>
      </c>
      <c r="K425" t="n">
        <v>0</v>
      </c>
      <c r="L425" t="n">
        <v>0</v>
      </c>
      <c r="M425" t="n">
        <v>0</v>
      </c>
      <c r="N425" t="n">
        <v>0</v>
      </c>
      <c r="O425" t="n">
        <v>0</v>
      </c>
      <c r="P425" t="n">
        <v>0</v>
      </c>
      <c r="Q425" t="n">
        <v>0</v>
      </c>
      <c r="R425" s="2" t="inlineStr"/>
    </row>
    <row r="426" ht="15" customHeight="1">
      <c r="A426" t="inlineStr">
        <is>
          <t>A 12937-2023</t>
        </is>
      </c>
      <c r="B426" s="1" t="n">
        <v>45001</v>
      </c>
      <c r="C426" s="1" t="n">
        <v>46115</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11127-2023</t>
        </is>
      </c>
      <c r="B427" s="1" t="n">
        <v>44987</v>
      </c>
      <c r="C427" s="1" t="n">
        <v>46115</v>
      </c>
      <c r="D427" t="inlineStr">
        <is>
          <t>SÖDERMANLANDS LÄN</t>
        </is>
      </c>
      <c r="E427" t="inlineStr">
        <is>
          <t>KATRINEHOLM</t>
        </is>
      </c>
      <c r="G427" t="n">
        <v>4.3</v>
      </c>
      <c r="H427" t="n">
        <v>0</v>
      </c>
      <c r="I427" t="n">
        <v>0</v>
      </c>
      <c r="J427" t="n">
        <v>0</v>
      </c>
      <c r="K427" t="n">
        <v>0</v>
      </c>
      <c r="L427" t="n">
        <v>0</v>
      </c>
      <c r="M427" t="n">
        <v>0</v>
      </c>
      <c r="N427" t="n">
        <v>0</v>
      </c>
      <c r="O427" t="n">
        <v>0</v>
      </c>
      <c r="P427" t="n">
        <v>0</v>
      </c>
      <c r="Q427" t="n">
        <v>0</v>
      </c>
      <c r="R427" s="2" t="inlineStr"/>
    </row>
    <row r="428" ht="15" customHeight="1">
      <c r="A428" t="inlineStr">
        <is>
          <t>A 34176-2025</t>
        </is>
      </c>
      <c r="B428" s="1" t="n">
        <v>45845</v>
      </c>
      <c r="C428" s="1" t="n">
        <v>46115</v>
      </c>
      <c r="D428" t="inlineStr">
        <is>
          <t>SÖDERMANLANDS LÄN</t>
        </is>
      </c>
      <c r="E428" t="inlineStr">
        <is>
          <t>KATRINEHOLM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27345-2023</t>
        </is>
      </c>
      <c r="B429" s="1" t="n">
        <v>45096</v>
      </c>
      <c r="C429" s="1" t="n">
        <v>46115</v>
      </c>
      <c r="D429" t="inlineStr">
        <is>
          <t>SÖDERMANLANDS LÄN</t>
        </is>
      </c>
      <c r="E429" t="inlineStr">
        <is>
          <t>KATRINEHOLM</t>
        </is>
      </c>
      <c r="G429" t="n">
        <v>1.4</v>
      </c>
      <c r="H429" t="n">
        <v>0</v>
      </c>
      <c r="I429" t="n">
        <v>0</v>
      </c>
      <c r="J429" t="n">
        <v>0</v>
      </c>
      <c r="K429" t="n">
        <v>0</v>
      </c>
      <c r="L429" t="n">
        <v>0</v>
      </c>
      <c r="M429" t="n">
        <v>0</v>
      </c>
      <c r="N429" t="n">
        <v>0</v>
      </c>
      <c r="O429" t="n">
        <v>0</v>
      </c>
      <c r="P429" t="n">
        <v>0</v>
      </c>
      <c r="Q429" t="n">
        <v>0</v>
      </c>
      <c r="R429" s="2" t="inlineStr"/>
    </row>
    <row r="430" ht="15" customHeight="1">
      <c r="A430" t="inlineStr">
        <is>
          <t>A 1151-2025</t>
        </is>
      </c>
      <c r="B430" s="1" t="n">
        <v>45666</v>
      </c>
      <c r="C430" s="1" t="n">
        <v>46115</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6808-2023</t>
        </is>
      </c>
      <c r="B431" s="1" t="n">
        <v>44964</v>
      </c>
      <c r="C431" s="1" t="n">
        <v>46115</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57323-2025</t>
        </is>
      </c>
      <c r="B432" s="1" t="n">
        <v>45980.32501157407</v>
      </c>
      <c r="C432" s="1" t="n">
        <v>46115</v>
      </c>
      <c r="D432" t="inlineStr">
        <is>
          <t>SÖDERMANLANDS LÄN</t>
        </is>
      </c>
      <c r="E432" t="inlineStr">
        <is>
          <t>KATRINEHOLM</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61394-2024</t>
        </is>
      </c>
      <c r="B433" s="1" t="n">
        <v>45646.42061342593</v>
      </c>
      <c r="C433" s="1" t="n">
        <v>46115</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46115</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50934-2025</t>
        </is>
      </c>
      <c r="B435" s="1" t="n">
        <v>45946.69195601852</v>
      </c>
      <c r="C435" s="1" t="n">
        <v>46115</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36590-2025</t>
        </is>
      </c>
      <c r="B436" s="1" t="n">
        <v>45870</v>
      </c>
      <c r="C436" s="1" t="n">
        <v>46115</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26684-2025</t>
        </is>
      </c>
      <c r="B437" s="1" t="n">
        <v>45810</v>
      </c>
      <c r="C437" s="1" t="n">
        <v>46115</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51367-2025</t>
        </is>
      </c>
      <c r="B438" s="1" t="n">
        <v>45950.44700231482</v>
      </c>
      <c r="C438" s="1" t="n">
        <v>46115</v>
      </c>
      <c r="D438" t="inlineStr">
        <is>
          <t>SÖDERMANLANDS LÄN</t>
        </is>
      </c>
      <c r="E438" t="inlineStr">
        <is>
          <t>KATRINEHOLM</t>
        </is>
      </c>
      <c r="G438" t="n">
        <v>2.7</v>
      </c>
      <c r="H438" t="n">
        <v>0</v>
      </c>
      <c r="I438" t="n">
        <v>0</v>
      </c>
      <c r="J438" t="n">
        <v>0</v>
      </c>
      <c r="K438" t="n">
        <v>0</v>
      </c>
      <c r="L438" t="n">
        <v>0</v>
      </c>
      <c r="M438" t="n">
        <v>0</v>
      </c>
      <c r="N438" t="n">
        <v>0</v>
      </c>
      <c r="O438" t="n">
        <v>0</v>
      </c>
      <c r="P438" t="n">
        <v>0</v>
      </c>
      <c r="Q438" t="n">
        <v>0</v>
      </c>
      <c r="R438" s="2" t="inlineStr"/>
    </row>
    <row r="439" ht="15" customHeight="1">
      <c r="A439" t="inlineStr">
        <is>
          <t>A 18339-2023</t>
        </is>
      </c>
      <c r="B439" s="1" t="n">
        <v>45041</v>
      </c>
      <c r="C439" s="1" t="n">
        <v>46115</v>
      </c>
      <c r="D439" t="inlineStr">
        <is>
          <t>SÖDERMANLANDS LÄN</t>
        </is>
      </c>
      <c r="E439" t="inlineStr">
        <is>
          <t>KATRINEHOLM</t>
        </is>
      </c>
      <c r="G439" t="n">
        <v>1.7</v>
      </c>
      <c r="H439" t="n">
        <v>0</v>
      </c>
      <c r="I439" t="n">
        <v>0</v>
      </c>
      <c r="J439" t="n">
        <v>0</v>
      </c>
      <c r="K439" t="n">
        <v>0</v>
      </c>
      <c r="L439" t="n">
        <v>0</v>
      </c>
      <c r="M439" t="n">
        <v>0</v>
      </c>
      <c r="N439" t="n">
        <v>0</v>
      </c>
      <c r="O439" t="n">
        <v>0</v>
      </c>
      <c r="P439" t="n">
        <v>0</v>
      </c>
      <c r="Q439" t="n">
        <v>0</v>
      </c>
      <c r="R439" s="2" t="inlineStr"/>
    </row>
    <row r="440" ht="15" customHeight="1">
      <c r="A440" t="inlineStr">
        <is>
          <t>A 58522-2024</t>
        </is>
      </c>
      <c r="B440" s="1" t="n">
        <v>45635.43770833333</v>
      </c>
      <c r="C440" s="1" t="n">
        <v>46115</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12227-2025</t>
        </is>
      </c>
      <c r="B441" s="1" t="n">
        <v>45729.56836805555</v>
      </c>
      <c r="C441" s="1" t="n">
        <v>46115</v>
      </c>
      <c r="D441" t="inlineStr">
        <is>
          <t>SÖDERMANLANDS LÄN</t>
        </is>
      </c>
      <c r="E441" t="inlineStr">
        <is>
          <t>KATRINEHOLM</t>
        </is>
      </c>
      <c r="G441" t="n">
        <v>7</v>
      </c>
      <c r="H441" t="n">
        <v>0</v>
      </c>
      <c r="I441" t="n">
        <v>0</v>
      </c>
      <c r="J441" t="n">
        <v>0</v>
      </c>
      <c r="K441" t="n">
        <v>0</v>
      </c>
      <c r="L441" t="n">
        <v>0</v>
      </c>
      <c r="M441" t="n">
        <v>0</v>
      </c>
      <c r="N441" t="n">
        <v>0</v>
      </c>
      <c r="O441" t="n">
        <v>0</v>
      </c>
      <c r="P441" t="n">
        <v>0</v>
      </c>
      <c r="Q441" t="n">
        <v>0</v>
      </c>
      <c r="R441" s="2" t="inlineStr"/>
    </row>
    <row r="442" ht="15" customHeight="1">
      <c r="A442" t="inlineStr">
        <is>
          <t>A 47889-2023</t>
        </is>
      </c>
      <c r="B442" s="1" t="n">
        <v>45204</v>
      </c>
      <c r="C442" s="1" t="n">
        <v>46115</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34732-2022</t>
        </is>
      </c>
      <c r="B443" s="1" t="n">
        <v>44795</v>
      </c>
      <c r="C443" s="1" t="n">
        <v>46115</v>
      </c>
      <c r="D443" t="inlineStr">
        <is>
          <t>SÖDERMANLANDS LÄN</t>
        </is>
      </c>
      <c r="E443" t="inlineStr">
        <is>
          <t>KATRINEHOLM</t>
        </is>
      </c>
      <c r="G443" t="n">
        <v>3</v>
      </c>
      <c r="H443" t="n">
        <v>0</v>
      </c>
      <c r="I443" t="n">
        <v>0</v>
      </c>
      <c r="J443" t="n">
        <v>0</v>
      </c>
      <c r="K443" t="n">
        <v>0</v>
      </c>
      <c r="L443" t="n">
        <v>0</v>
      </c>
      <c r="M443" t="n">
        <v>0</v>
      </c>
      <c r="N443" t="n">
        <v>0</v>
      </c>
      <c r="O443" t="n">
        <v>0</v>
      </c>
      <c r="P443" t="n">
        <v>0</v>
      </c>
      <c r="Q443" t="n">
        <v>0</v>
      </c>
      <c r="R443" s="2" t="inlineStr"/>
    </row>
    <row r="444" ht="15" customHeight="1">
      <c r="A444" t="inlineStr">
        <is>
          <t>A 50021-2023</t>
        </is>
      </c>
      <c r="B444" s="1" t="n">
        <v>45215</v>
      </c>
      <c r="C444" s="1" t="n">
        <v>46115</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37043-2025</t>
        </is>
      </c>
      <c r="B445" s="1" t="n">
        <v>45875.3396412037</v>
      </c>
      <c r="C445" s="1" t="n">
        <v>46115</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32166-2022</t>
        </is>
      </c>
      <c r="B446" s="1" t="n">
        <v>44781</v>
      </c>
      <c r="C446" s="1" t="n">
        <v>46115</v>
      </c>
      <c r="D446" t="inlineStr">
        <is>
          <t>SÖDERMANLANDS LÄN</t>
        </is>
      </c>
      <c r="E446" t="inlineStr">
        <is>
          <t>KATRINEHOLM</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32169-2022</t>
        </is>
      </c>
      <c r="B447" s="1" t="n">
        <v>44781</v>
      </c>
      <c r="C447" s="1" t="n">
        <v>46115</v>
      </c>
      <c r="D447" t="inlineStr">
        <is>
          <t>SÖDERMANLANDS LÄN</t>
        </is>
      </c>
      <c r="E447" t="inlineStr">
        <is>
          <t>KATRINEHOLM</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35864-2023</t>
        </is>
      </c>
      <c r="B448" s="1" t="n">
        <v>45147</v>
      </c>
      <c r="C448" s="1" t="n">
        <v>46115</v>
      </c>
      <c r="D448" t="inlineStr">
        <is>
          <t>SÖDERMANLANDS LÄN</t>
        </is>
      </c>
      <c r="E448" t="inlineStr">
        <is>
          <t>KATRINEHOLM</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57975-2025</t>
        </is>
      </c>
      <c r="B449" s="1" t="n">
        <v>45981</v>
      </c>
      <c r="C449" s="1" t="n">
        <v>46115</v>
      </c>
      <c r="D449" t="inlineStr">
        <is>
          <t>SÖDERMANLANDS LÄN</t>
        </is>
      </c>
      <c r="E449" t="inlineStr">
        <is>
          <t>KATRINEHOLM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44637-2023</t>
        </is>
      </c>
      <c r="B450" s="1" t="n">
        <v>45189</v>
      </c>
      <c r="C450" s="1" t="n">
        <v>46115</v>
      </c>
      <c r="D450" t="inlineStr">
        <is>
          <t>SÖDERMANLANDS LÄN</t>
        </is>
      </c>
      <c r="E450" t="inlineStr">
        <is>
          <t>KATRINEHOLM</t>
        </is>
      </c>
      <c r="G450" t="n">
        <v>5.1</v>
      </c>
      <c r="H450" t="n">
        <v>0</v>
      </c>
      <c r="I450" t="n">
        <v>0</v>
      </c>
      <c r="J450" t="n">
        <v>0</v>
      </c>
      <c r="K450" t="n">
        <v>0</v>
      </c>
      <c r="L450" t="n">
        <v>0</v>
      </c>
      <c r="M450" t="n">
        <v>0</v>
      </c>
      <c r="N450" t="n">
        <v>0</v>
      </c>
      <c r="O450" t="n">
        <v>0</v>
      </c>
      <c r="P450" t="n">
        <v>0</v>
      </c>
      <c r="Q450" t="n">
        <v>0</v>
      </c>
      <c r="R450" s="2" t="inlineStr"/>
    </row>
    <row r="451" ht="15" customHeight="1">
      <c r="A451" t="inlineStr">
        <is>
          <t>A 11543-2025</t>
        </is>
      </c>
      <c r="B451" s="1" t="n">
        <v>45727.34248842593</v>
      </c>
      <c r="C451" s="1" t="n">
        <v>46115</v>
      </c>
      <c r="D451" t="inlineStr">
        <is>
          <t>SÖDERMANLANDS LÄN</t>
        </is>
      </c>
      <c r="E451" t="inlineStr">
        <is>
          <t>KATRINEHOLM</t>
        </is>
      </c>
      <c r="G451" t="n">
        <v>3.6</v>
      </c>
      <c r="H451" t="n">
        <v>0</v>
      </c>
      <c r="I451" t="n">
        <v>0</v>
      </c>
      <c r="J451" t="n">
        <v>0</v>
      </c>
      <c r="K451" t="n">
        <v>0</v>
      </c>
      <c r="L451" t="n">
        <v>0</v>
      </c>
      <c r="M451" t="n">
        <v>0</v>
      </c>
      <c r="N451" t="n">
        <v>0</v>
      </c>
      <c r="O451" t="n">
        <v>0</v>
      </c>
      <c r="P451" t="n">
        <v>0</v>
      </c>
      <c r="Q451" t="n">
        <v>0</v>
      </c>
      <c r="R451" s="2" t="inlineStr"/>
    </row>
    <row r="452" ht="15" customHeight="1">
      <c r="A452" t="inlineStr">
        <is>
          <t>A 37827-2025</t>
        </is>
      </c>
      <c r="B452" s="1" t="n">
        <v>45881.40907407407</v>
      </c>
      <c r="C452" s="1" t="n">
        <v>46115</v>
      </c>
      <c r="D452" t="inlineStr">
        <is>
          <t>SÖDERMANLANDS LÄN</t>
        </is>
      </c>
      <c r="E452" t="inlineStr">
        <is>
          <t>KATRINEHOLM</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39055-2022</t>
        </is>
      </c>
      <c r="B453" s="1" t="n">
        <v>44817</v>
      </c>
      <c r="C453" s="1" t="n">
        <v>46115</v>
      </c>
      <c r="D453" t="inlineStr">
        <is>
          <t>SÖDERMANLANDS LÄN</t>
        </is>
      </c>
      <c r="E453" t="inlineStr">
        <is>
          <t>KATRINEHOLM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46257-2021</t>
        </is>
      </c>
      <c r="B454" s="1" t="n">
        <v>44442</v>
      </c>
      <c r="C454" s="1" t="n">
        <v>46115</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52769-2023</t>
        </is>
      </c>
      <c r="B455" s="1" t="n">
        <v>45226</v>
      </c>
      <c r="C455" s="1" t="n">
        <v>46115</v>
      </c>
      <c r="D455" t="inlineStr">
        <is>
          <t>SÖDERMANLANDS LÄN</t>
        </is>
      </c>
      <c r="E455" t="inlineStr">
        <is>
          <t>KATRINEHOLM</t>
        </is>
      </c>
      <c r="G455" t="n">
        <v>0.5</v>
      </c>
      <c r="H455" t="n">
        <v>0</v>
      </c>
      <c r="I455" t="n">
        <v>0</v>
      </c>
      <c r="J455" t="n">
        <v>0</v>
      </c>
      <c r="K455" t="n">
        <v>0</v>
      </c>
      <c r="L455" t="n">
        <v>0</v>
      </c>
      <c r="M455" t="n">
        <v>0</v>
      </c>
      <c r="N455" t="n">
        <v>0</v>
      </c>
      <c r="O455" t="n">
        <v>0</v>
      </c>
      <c r="P455" t="n">
        <v>0</v>
      </c>
      <c r="Q455" t="n">
        <v>0</v>
      </c>
      <c r="R455" s="2" t="inlineStr"/>
    </row>
    <row r="456" ht="15" customHeight="1">
      <c r="A456" t="inlineStr">
        <is>
          <t>A 4758-2025</t>
        </is>
      </c>
      <c r="B456" s="1" t="n">
        <v>45688</v>
      </c>
      <c r="C456" s="1" t="n">
        <v>46115</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27852-2023</t>
        </is>
      </c>
      <c r="B457" s="1" t="n">
        <v>45098</v>
      </c>
      <c r="C457" s="1" t="n">
        <v>46115</v>
      </c>
      <c r="D457" t="inlineStr">
        <is>
          <t>SÖDERMANLANDS LÄN</t>
        </is>
      </c>
      <c r="E457" t="inlineStr">
        <is>
          <t>KATRINEHOLM</t>
        </is>
      </c>
      <c r="G457" t="n">
        <v>7.4</v>
      </c>
      <c r="H457" t="n">
        <v>0</v>
      </c>
      <c r="I457" t="n">
        <v>0</v>
      </c>
      <c r="J457" t="n">
        <v>0</v>
      </c>
      <c r="K457" t="n">
        <v>0</v>
      </c>
      <c r="L457" t="n">
        <v>0</v>
      </c>
      <c r="M457" t="n">
        <v>0</v>
      </c>
      <c r="N457" t="n">
        <v>0</v>
      </c>
      <c r="O457" t="n">
        <v>0</v>
      </c>
      <c r="P457" t="n">
        <v>0</v>
      </c>
      <c r="Q457" t="n">
        <v>0</v>
      </c>
      <c r="R457" s="2" t="inlineStr"/>
    </row>
    <row r="458" ht="15" customHeight="1">
      <c r="A458" t="inlineStr">
        <is>
          <t>A 28304-2024</t>
        </is>
      </c>
      <c r="B458" s="1" t="n">
        <v>45477</v>
      </c>
      <c r="C458" s="1" t="n">
        <v>46115</v>
      </c>
      <c r="D458" t="inlineStr">
        <is>
          <t>SÖDERMANLANDS LÄN</t>
        </is>
      </c>
      <c r="E458" t="inlineStr">
        <is>
          <t>KATRINEHOLM</t>
        </is>
      </c>
      <c r="G458" t="n">
        <v>3.8</v>
      </c>
      <c r="H458" t="n">
        <v>0</v>
      </c>
      <c r="I458" t="n">
        <v>0</v>
      </c>
      <c r="J458" t="n">
        <v>0</v>
      </c>
      <c r="K458" t="n">
        <v>0</v>
      </c>
      <c r="L458" t="n">
        <v>0</v>
      </c>
      <c r="M458" t="n">
        <v>0</v>
      </c>
      <c r="N458" t="n">
        <v>0</v>
      </c>
      <c r="O458" t="n">
        <v>0</v>
      </c>
      <c r="P458" t="n">
        <v>0</v>
      </c>
      <c r="Q458" t="n">
        <v>0</v>
      </c>
      <c r="R458" s="2" t="inlineStr"/>
    </row>
    <row r="459" ht="15" customHeight="1">
      <c r="A459" t="inlineStr">
        <is>
          <t>A 61911-2021</t>
        </is>
      </c>
      <c r="B459" s="1" t="n">
        <v>44502.35746527778</v>
      </c>
      <c r="C459" s="1" t="n">
        <v>46115</v>
      </c>
      <c r="D459" t="inlineStr">
        <is>
          <t>SÖDERMANLANDS LÄN</t>
        </is>
      </c>
      <c r="E459" t="inlineStr">
        <is>
          <t>KATRINEHOLM</t>
        </is>
      </c>
      <c r="G459" t="n">
        <v>3.8</v>
      </c>
      <c r="H459" t="n">
        <v>0</v>
      </c>
      <c r="I459" t="n">
        <v>0</v>
      </c>
      <c r="J459" t="n">
        <v>0</v>
      </c>
      <c r="K459" t="n">
        <v>0</v>
      </c>
      <c r="L459" t="n">
        <v>0</v>
      </c>
      <c r="M459" t="n">
        <v>0</v>
      </c>
      <c r="N459" t="n">
        <v>0</v>
      </c>
      <c r="O459" t="n">
        <v>0</v>
      </c>
      <c r="P459" t="n">
        <v>0</v>
      </c>
      <c r="Q459" t="n">
        <v>0</v>
      </c>
      <c r="R459" s="2" t="inlineStr"/>
    </row>
    <row r="460" ht="15" customHeight="1">
      <c r="A460" t="inlineStr">
        <is>
          <t>A 42945-2023</t>
        </is>
      </c>
      <c r="B460" s="1" t="n">
        <v>45182.5793287037</v>
      </c>
      <c r="C460" s="1" t="n">
        <v>46115</v>
      </c>
      <c r="D460" t="inlineStr">
        <is>
          <t>SÖDERMANLANDS LÄN</t>
        </is>
      </c>
      <c r="E460" t="inlineStr">
        <is>
          <t>KATRINEHOLM</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42962-2023</t>
        </is>
      </c>
      <c r="B461" s="1" t="n">
        <v>45182</v>
      </c>
      <c r="C461" s="1" t="n">
        <v>46115</v>
      </c>
      <c r="D461" t="inlineStr">
        <is>
          <t>SÖDERMANLANDS LÄN</t>
        </is>
      </c>
      <c r="E461" t="inlineStr">
        <is>
          <t>KATRINEHOLM</t>
        </is>
      </c>
      <c r="F461" t="inlineStr">
        <is>
          <t>Övriga Aktiebolag</t>
        </is>
      </c>
      <c r="G461" t="n">
        <v>10.6</v>
      </c>
      <c r="H461" t="n">
        <v>0</v>
      </c>
      <c r="I461" t="n">
        <v>0</v>
      </c>
      <c r="J461" t="n">
        <v>0</v>
      </c>
      <c r="K461" t="n">
        <v>0</v>
      </c>
      <c r="L461" t="n">
        <v>0</v>
      </c>
      <c r="M461" t="n">
        <v>0</v>
      </c>
      <c r="N461" t="n">
        <v>0</v>
      </c>
      <c r="O461" t="n">
        <v>0</v>
      </c>
      <c r="P461" t="n">
        <v>0</v>
      </c>
      <c r="Q461" t="n">
        <v>0</v>
      </c>
      <c r="R461" s="2" t="inlineStr"/>
    </row>
    <row r="462" ht="15" customHeight="1">
      <c r="A462" t="inlineStr">
        <is>
          <t>A 44915-2022</t>
        </is>
      </c>
      <c r="B462" s="1" t="n">
        <v>44840</v>
      </c>
      <c r="C462" s="1" t="n">
        <v>46115</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48097-2023</t>
        </is>
      </c>
      <c r="B463" s="1" t="n">
        <v>45205.31987268518</v>
      </c>
      <c r="C463" s="1" t="n">
        <v>46115</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45793-2022</t>
        </is>
      </c>
      <c r="B464" s="1" t="n">
        <v>44844</v>
      </c>
      <c r="C464" s="1" t="n">
        <v>46115</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40393-2022</t>
        </is>
      </c>
      <c r="B465" s="1" t="n">
        <v>44823</v>
      </c>
      <c r="C465" s="1" t="n">
        <v>46115</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48685-2022</t>
        </is>
      </c>
      <c r="B466" s="1" t="n">
        <v>44859</v>
      </c>
      <c r="C466" s="1" t="n">
        <v>46115</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36133-2021</t>
        </is>
      </c>
      <c r="B467" s="1" t="n">
        <v>44386</v>
      </c>
      <c r="C467" s="1" t="n">
        <v>46115</v>
      </c>
      <c r="D467" t="inlineStr">
        <is>
          <t>SÖDERMANLANDS LÄN</t>
        </is>
      </c>
      <c r="E467" t="inlineStr">
        <is>
          <t>KATRINEHOLM</t>
        </is>
      </c>
      <c r="F467" t="inlineStr">
        <is>
          <t>Övriga Aktiebolag</t>
        </is>
      </c>
      <c r="G467" t="n">
        <v>8.9</v>
      </c>
      <c r="H467" t="n">
        <v>0</v>
      </c>
      <c r="I467" t="n">
        <v>0</v>
      </c>
      <c r="J467" t="n">
        <v>0</v>
      </c>
      <c r="K467" t="n">
        <v>0</v>
      </c>
      <c r="L467" t="n">
        <v>0</v>
      </c>
      <c r="M467" t="n">
        <v>0</v>
      </c>
      <c r="N467" t="n">
        <v>0</v>
      </c>
      <c r="O467" t="n">
        <v>0</v>
      </c>
      <c r="P467" t="n">
        <v>0</v>
      </c>
      <c r="Q467" t="n">
        <v>0</v>
      </c>
      <c r="R467" s="2" t="inlineStr"/>
    </row>
    <row r="468" ht="15" customHeight="1">
      <c r="A468" t="inlineStr">
        <is>
          <t>A 49700-2022</t>
        </is>
      </c>
      <c r="B468" s="1" t="n">
        <v>44862</v>
      </c>
      <c r="C468" s="1" t="n">
        <v>46115</v>
      </c>
      <c r="D468" t="inlineStr">
        <is>
          <t>SÖDERMANLANDS LÄN</t>
        </is>
      </c>
      <c r="E468" t="inlineStr">
        <is>
          <t>KATRINEHOLM</t>
        </is>
      </c>
      <c r="G468" t="n">
        <v>19.5</v>
      </c>
      <c r="H468" t="n">
        <v>0</v>
      </c>
      <c r="I468" t="n">
        <v>0</v>
      </c>
      <c r="J468" t="n">
        <v>0</v>
      </c>
      <c r="K468" t="n">
        <v>0</v>
      </c>
      <c r="L468" t="n">
        <v>0</v>
      </c>
      <c r="M468" t="n">
        <v>0</v>
      </c>
      <c r="N468" t="n">
        <v>0</v>
      </c>
      <c r="O468" t="n">
        <v>0</v>
      </c>
      <c r="P468" t="n">
        <v>0</v>
      </c>
      <c r="Q468" t="n">
        <v>0</v>
      </c>
      <c r="R468" s="2" t="inlineStr"/>
    </row>
    <row r="469" ht="15" customHeight="1">
      <c r="A469" t="inlineStr">
        <is>
          <t>A 30276-2023</t>
        </is>
      </c>
      <c r="B469" s="1" t="n">
        <v>45110</v>
      </c>
      <c r="C469" s="1" t="n">
        <v>46115</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57265-2022</t>
        </is>
      </c>
      <c r="B470" s="1" t="n">
        <v>44895</v>
      </c>
      <c r="C470" s="1" t="n">
        <v>46115</v>
      </c>
      <c r="D470" t="inlineStr">
        <is>
          <t>SÖDERMANLANDS LÄN</t>
        </is>
      </c>
      <c r="E470" t="inlineStr">
        <is>
          <t>KATRINEHOLM</t>
        </is>
      </c>
      <c r="G470" t="n">
        <v>2</v>
      </c>
      <c r="H470" t="n">
        <v>0</v>
      </c>
      <c r="I470" t="n">
        <v>0</v>
      </c>
      <c r="J470" t="n">
        <v>0</v>
      </c>
      <c r="K470" t="n">
        <v>0</v>
      </c>
      <c r="L470" t="n">
        <v>0</v>
      </c>
      <c r="M470" t="n">
        <v>0</v>
      </c>
      <c r="N470" t="n">
        <v>0</v>
      </c>
      <c r="O470" t="n">
        <v>0</v>
      </c>
      <c r="P470" t="n">
        <v>0</v>
      </c>
      <c r="Q470" t="n">
        <v>0</v>
      </c>
      <c r="R470" s="2" t="inlineStr"/>
    </row>
    <row r="471" ht="15" customHeight="1">
      <c r="A471" t="inlineStr">
        <is>
          <t>A 50316-2023</t>
        </is>
      </c>
      <c r="B471" s="1" t="n">
        <v>45209</v>
      </c>
      <c r="C471" s="1" t="n">
        <v>46115</v>
      </c>
      <c r="D471" t="inlineStr">
        <is>
          <t>SÖDERMANLANDS LÄN</t>
        </is>
      </c>
      <c r="E471" t="inlineStr">
        <is>
          <t>KATRINEHOLM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59967-2025</t>
        </is>
      </c>
      <c r="B472" s="1" t="n">
        <v>45993.48525462963</v>
      </c>
      <c r="C472" s="1" t="n">
        <v>46115</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46115</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46115</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46115</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60678-2025</t>
        </is>
      </c>
      <c r="B476" s="1" t="n">
        <v>45996.56251157408</v>
      </c>
      <c r="C476" s="1" t="n">
        <v>46115</v>
      </c>
      <c r="D476" t="inlineStr">
        <is>
          <t>SÖDERMANLANDS LÄN</t>
        </is>
      </c>
      <c r="E476" t="inlineStr">
        <is>
          <t>KATRINEHOLM</t>
        </is>
      </c>
      <c r="G476" t="n">
        <v>2</v>
      </c>
      <c r="H476" t="n">
        <v>0</v>
      </c>
      <c r="I476" t="n">
        <v>0</v>
      </c>
      <c r="J476" t="n">
        <v>0</v>
      </c>
      <c r="K476" t="n">
        <v>0</v>
      </c>
      <c r="L476" t="n">
        <v>0</v>
      </c>
      <c r="M476" t="n">
        <v>0</v>
      </c>
      <c r="N476" t="n">
        <v>0</v>
      </c>
      <c r="O476" t="n">
        <v>0</v>
      </c>
      <c r="P476" t="n">
        <v>0</v>
      </c>
      <c r="Q476" t="n">
        <v>0</v>
      </c>
      <c r="R476" s="2" t="inlineStr"/>
    </row>
    <row r="477" ht="15" customHeight="1">
      <c r="A477" t="inlineStr">
        <is>
          <t>A 50840-2022</t>
        </is>
      </c>
      <c r="B477" s="1" t="n">
        <v>44862</v>
      </c>
      <c r="C477" s="1" t="n">
        <v>46115</v>
      </c>
      <c r="D477" t="inlineStr">
        <is>
          <t>SÖDERMANLANDS LÄN</t>
        </is>
      </c>
      <c r="E477" t="inlineStr">
        <is>
          <t>KATRINEHOLM</t>
        </is>
      </c>
      <c r="G477" t="n">
        <v>4.2</v>
      </c>
      <c r="H477" t="n">
        <v>0</v>
      </c>
      <c r="I477" t="n">
        <v>0</v>
      </c>
      <c r="J477" t="n">
        <v>0</v>
      </c>
      <c r="K477" t="n">
        <v>0</v>
      </c>
      <c r="L477" t="n">
        <v>0</v>
      </c>
      <c r="M477" t="n">
        <v>0</v>
      </c>
      <c r="N477" t="n">
        <v>0</v>
      </c>
      <c r="O477" t="n">
        <v>0</v>
      </c>
      <c r="P477" t="n">
        <v>0</v>
      </c>
      <c r="Q477" t="n">
        <v>0</v>
      </c>
      <c r="R477" s="2" t="inlineStr"/>
    </row>
    <row r="478" ht="15" customHeight="1">
      <c r="A478" t="inlineStr">
        <is>
          <t>A 61121-2025</t>
        </is>
      </c>
      <c r="B478" s="1" t="n">
        <v>46000.46746527778</v>
      </c>
      <c r="C478" s="1" t="n">
        <v>46115</v>
      </c>
      <c r="D478" t="inlineStr">
        <is>
          <t>SÖDERMANLANDS LÄN</t>
        </is>
      </c>
      <c r="E478" t="inlineStr">
        <is>
          <t>KATRINEHOLM</t>
        </is>
      </c>
      <c r="G478" t="n">
        <v>0.2</v>
      </c>
      <c r="H478" t="n">
        <v>0</v>
      </c>
      <c r="I478" t="n">
        <v>0</v>
      </c>
      <c r="J478" t="n">
        <v>0</v>
      </c>
      <c r="K478" t="n">
        <v>0</v>
      </c>
      <c r="L478" t="n">
        <v>0</v>
      </c>
      <c r="M478" t="n">
        <v>0</v>
      </c>
      <c r="N478" t="n">
        <v>0</v>
      </c>
      <c r="O478" t="n">
        <v>0</v>
      </c>
      <c r="P478" t="n">
        <v>0</v>
      </c>
      <c r="Q478" t="n">
        <v>0</v>
      </c>
      <c r="R478" s="2" t="inlineStr"/>
    </row>
    <row r="479" ht="15" customHeight="1">
      <c r="A479" t="inlineStr">
        <is>
          <t>A 61066-2025</t>
        </is>
      </c>
      <c r="B479" s="1" t="n">
        <v>46000.37695601852</v>
      </c>
      <c r="C479" s="1" t="n">
        <v>46115</v>
      </c>
      <c r="D479" t="inlineStr">
        <is>
          <t>SÖDERMANLANDS LÄN</t>
        </is>
      </c>
      <c r="E479" t="inlineStr">
        <is>
          <t>KATRINEHOLM</t>
        </is>
      </c>
      <c r="F479" t="inlineStr">
        <is>
          <t>Kyrkan</t>
        </is>
      </c>
      <c r="G479" t="n">
        <v>5</v>
      </c>
      <c r="H479" t="n">
        <v>0</v>
      </c>
      <c r="I479" t="n">
        <v>0</v>
      </c>
      <c r="J479" t="n">
        <v>0</v>
      </c>
      <c r="K479" t="n">
        <v>0</v>
      </c>
      <c r="L479" t="n">
        <v>0</v>
      </c>
      <c r="M479" t="n">
        <v>0</v>
      </c>
      <c r="N479" t="n">
        <v>0</v>
      </c>
      <c r="O479" t="n">
        <v>0</v>
      </c>
      <c r="P479" t="n">
        <v>0</v>
      </c>
      <c r="Q479" t="n">
        <v>0</v>
      </c>
      <c r="R479" s="2" t="inlineStr"/>
    </row>
    <row r="480" ht="15" customHeight="1">
      <c r="A480" t="inlineStr">
        <is>
          <t>A 3060-2022</t>
        </is>
      </c>
      <c r="B480" s="1" t="n">
        <v>44582.40109953703</v>
      </c>
      <c r="C480" s="1" t="n">
        <v>46115</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6611-2023</t>
        </is>
      </c>
      <c r="B481" s="1" t="n">
        <v>44963</v>
      </c>
      <c r="C481" s="1" t="n">
        <v>46115</v>
      </c>
      <c r="D481" t="inlineStr">
        <is>
          <t>SÖDERMANLANDS LÄN</t>
        </is>
      </c>
      <c r="E481" t="inlineStr">
        <is>
          <t>KATRINEHOLM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50804-2023</t>
        </is>
      </c>
      <c r="B482" s="1" t="n">
        <v>45211</v>
      </c>
      <c r="C482" s="1" t="n">
        <v>46115</v>
      </c>
      <c r="D482" t="inlineStr">
        <is>
          <t>SÖDERMANLANDS LÄN</t>
        </is>
      </c>
      <c r="E482" t="inlineStr">
        <is>
          <t>KATRINEHOLM</t>
        </is>
      </c>
      <c r="G482" t="n">
        <v>4</v>
      </c>
      <c r="H482" t="n">
        <v>0</v>
      </c>
      <c r="I482" t="n">
        <v>0</v>
      </c>
      <c r="J482" t="n">
        <v>0</v>
      </c>
      <c r="K482" t="n">
        <v>0</v>
      </c>
      <c r="L482" t="n">
        <v>0</v>
      </c>
      <c r="M482" t="n">
        <v>0</v>
      </c>
      <c r="N482" t="n">
        <v>0</v>
      </c>
      <c r="O482" t="n">
        <v>0</v>
      </c>
      <c r="P482" t="n">
        <v>0</v>
      </c>
      <c r="Q482" t="n">
        <v>0</v>
      </c>
      <c r="R482" s="2" t="inlineStr"/>
    </row>
    <row r="483" ht="15" customHeight="1">
      <c r="A483" t="inlineStr">
        <is>
          <t>A 20533-2023</t>
        </is>
      </c>
      <c r="B483" s="1" t="n">
        <v>45057</v>
      </c>
      <c r="C483" s="1" t="n">
        <v>46115</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c r="T483">
        <f>HYPERLINK("https://klasma.github.io/Logging_0483/kartor/A 20533-2023 karta.png", "A 20533-2023")</f>
        <v/>
      </c>
      <c r="V483">
        <f>HYPERLINK("https://klasma.github.io/Logging_0483/klagomål/A 20533-2023 FSC-klagomål.docx", "A 20533-2023")</f>
        <v/>
      </c>
      <c r="W483">
        <f>HYPERLINK("https://klasma.github.io/Logging_0483/klagomålsmail/A 20533-2023 FSC-klagomål mail.docx", "A 20533-2023")</f>
        <v/>
      </c>
      <c r="X483">
        <f>HYPERLINK("https://klasma.github.io/Logging_0483/tillsyn/A 20533-2023 tillsynsbegäran.docx", "A 20533-2023")</f>
        <v/>
      </c>
      <c r="Y483">
        <f>HYPERLINK("https://klasma.github.io/Logging_0483/tillsynsmail/A 20533-2023 tillsynsbegäran mail.docx", "A 20533-2023")</f>
        <v/>
      </c>
      <c r="Z483">
        <f>HYPERLINK("https://klasma.github.io/Logging_0483/fåglar/A 20533-2023 prioriterade fågelarter.docx", "A 20533-2023")</f>
        <v/>
      </c>
    </row>
    <row r="484" ht="15" customHeight="1">
      <c r="A484" t="inlineStr">
        <is>
          <t>A 43499-2021</t>
        </is>
      </c>
      <c r="B484" s="1" t="n">
        <v>44433</v>
      </c>
      <c r="C484" s="1" t="n">
        <v>46115</v>
      </c>
      <c r="D484" t="inlineStr">
        <is>
          <t>SÖDERMANLANDS LÄN</t>
        </is>
      </c>
      <c r="E484" t="inlineStr">
        <is>
          <t>KATRINEHOLM</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53996-2023</t>
        </is>
      </c>
      <c r="B485" s="1" t="n">
        <v>45231</v>
      </c>
      <c r="C485" s="1" t="n">
        <v>46115</v>
      </c>
      <c r="D485" t="inlineStr">
        <is>
          <t>SÖDERMANLANDS LÄN</t>
        </is>
      </c>
      <c r="E485" t="inlineStr">
        <is>
          <t>KATRINEHOLM</t>
        </is>
      </c>
      <c r="G485" t="n">
        <v>4.9</v>
      </c>
      <c r="H485" t="n">
        <v>0</v>
      </c>
      <c r="I485" t="n">
        <v>0</v>
      </c>
      <c r="J485" t="n">
        <v>0</v>
      </c>
      <c r="K485" t="n">
        <v>0</v>
      </c>
      <c r="L485" t="n">
        <v>0</v>
      </c>
      <c r="M485" t="n">
        <v>0</v>
      </c>
      <c r="N485" t="n">
        <v>0</v>
      </c>
      <c r="O485" t="n">
        <v>0</v>
      </c>
      <c r="P485" t="n">
        <v>0</v>
      </c>
      <c r="Q485" t="n">
        <v>0</v>
      </c>
      <c r="R485" s="2" t="inlineStr"/>
    </row>
    <row r="486" ht="15" customHeight="1">
      <c r="A486" t="inlineStr">
        <is>
          <t>A 33790-2024</t>
        </is>
      </c>
      <c r="B486" s="1" t="n">
        <v>45520.59179398148</v>
      </c>
      <c r="C486" s="1" t="n">
        <v>46115</v>
      </c>
      <c r="D486" t="inlineStr">
        <is>
          <t>SÖDERMANLANDS LÄN</t>
        </is>
      </c>
      <c r="E486" t="inlineStr">
        <is>
          <t>KATRINEHOLM</t>
        </is>
      </c>
      <c r="G486" t="n">
        <v>14</v>
      </c>
      <c r="H486" t="n">
        <v>0</v>
      </c>
      <c r="I486" t="n">
        <v>0</v>
      </c>
      <c r="J486" t="n">
        <v>0</v>
      </c>
      <c r="K486" t="n">
        <v>0</v>
      </c>
      <c r="L486" t="n">
        <v>0</v>
      </c>
      <c r="M486" t="n">
        <v>0</v>
      </c>
      <c r="N486" t="n">
        <v>0</v>
      </c>
      <c r="O486" t="n">
        <v>0</v>
      </c>
      <c r="P486" t="n">
        <v>0</v>
      </c>
      <c r="Q486" t="n">
        <v>0</v>
      </c>
      <c r="R486" s="2" t="inlineStr"/>
    </row>
    <row r="487" ht="15" customHeight="1">
      <c r="A487" t="inlineStr">
        <is>
          <t>A 61721-2025</t>
        </is>
      </c>
      <c r="B487" s="1" t="n">
        <v>46002.57778935185</v>
      </c>
      <c r="C487" s="1" t="n">
        <v>46115</v>
      </c>
      <c r="D487" t="inlineStr">
        <is>
          <t>SÖDERMANLANDS LÄN</t>
        </is>
      </c>
      <c r="E487" t="inlineStr">
        <is>
          <t>KATRINEHOLM</t>
        </is>
      </c>
      <c r="G487" t="n">
        <v>4.5</v>
      </c>
      <c r="H487" t="n">
        <v>0</v>
      </c>
      <c r="I487" t="n">
        <v>0</v>
      </c>
      <c r="J487" t="n">
        <v>0</v>
      </c>
      <c r="K487" t="n">
        <v>0</v>
      </c>
      <c r="L487" t="n">
        <v>0</v>
      </c>
      <c r="M487" t="n">
        <v>0</v>
      </c>
      <c r="N487" t="n">
        <v>0</v>
      </c>
      <c r="O487" t="n">
        <v>0</v>
      </c>
      <c r="P487" t="n">
        <v>0</v>
      </c>
      <c r="Q487" t="n">
        <v>0</v>
      </c>
      <c r="R487" s="2" t="inlineStr"/>
    </row>
    <row r="488" ht="15" customHeight="1">
      <c r="A488" t="inlineStr">
        <is>
          <t>A 47456-2022</t>
        </is>
      </c>
      <c r="B488" s="1" t="n">
        <v>44852</v>
      </c>
      <c r="C488" s="1" t="n">
        <v>46115</v>
      </c>
      <c r="D488" t="inlineStr">
        <is>
          <t>SÖDERMANLANDS LÄN</t>
        </is>
      </c>
      <c r="E488" t="inlineStr">
        <is>
          <t>KATRINEHOLM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23347-2023</t>
        </is>
      </c>
      <c r="B489" s="1" t="n">
        <v>45076</v>
      </c>
      <c r="C489" s="1" t="n">
        <v>46115</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74354-2021</t>
        </is>
      </c>
      <c r="B490" s="1" t="n">
        <v>44559.57041666667</v>
      </c>
      <c r="C490" s="1" t="n">
        <v>46115</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52348-2021</t>
        </is>
      </c>
      <c r="B491" s="1" t="n">
        <v>44464.49756944444</v>
      </c>
      <c r="C491" s="1" t="n">
        <v>46115</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56628-2021</t>
        </is>
      </c>
      <c r="B492" s="1" t="n">
        <v>44480</v>
      </c>
      <c r="C492" s="1" t="n">
        <v>46115</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45438-2021</t>
        </is>
      </c>
      <c r="B493" s="1" t="n">
        <v>44440</v>
      </c>
      <c r="C493" s="1" t="n">
        <v>46115</v>
      </c>
      <c r="D493" t="inlineStr">
        <is>
          <t>SÖDERMANLANDS LÄN</t>
        </is>
      </c>
      <c r="E493" t="inlineStr">
        <is>
          <t>KATRINEHOLM</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50061-2022</t>
        </is>
      </c>
      <c r="B494" s="1" t="n">
        <v>44865</v>
      </c>
      <c r="C494" s="1" t="n">
        <v>46115</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10446-2024</t>
        </is>
      </c>
      <c r="B495" s="1" t="n">
        <v>45366</v>
      </c>
      <c r="C495" s="1" t="n">
        <v>46115</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53860-2021</t>
        </is>
      </c>
      <c r="B496" s="1" t="n">
        <v>44467</v>
      </c>
      <c r="C496" s="1" t="n">
        <v>46115</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23842-2023</t>
        </is>
      </c>
      <c r="B497" s="1" t="n">
        <v>45075</v>
      </c>
      <c r="C497" s="1" t="n">
        <v>46115</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34263-2023</t>
        </is>
      </c>
      <c r="B498" s="1" t="n">
        <v>45138.60248842592</v>
      </c>
      <c r="C498" s="1" t="n">
        <v>46115</v>
      </c>
      <c r="D498" t="inlineStr">
        <is>
          <t>SÖDERMANLANDS LÄN</t>
        </is>
      </c>
      <c r="E498" t="inlineStr">
        <is>
          <t>KATRINEHOLM</t>
        </is>
      </c>
      <c r="G498" t="n">
        <v>0.7</v>
      </c>
      <c r="H498" t="n">
        <v>0</v>
      </c>
      <c r="I498" t="n">
        <v>0</v>
      </c>
      <c r="J498" t="n">
        <v>0</v>
      </c>
      <c r="K498" t="n">
        <v>0</v>
      </c>
      <c r="L498" t="n">
        <v>0</v>
      </c>
      <c r="M498" t="n">
        <v>0</v>
      </c>
      <c r="N498" t="n">
        <v>0</v>
      </c>
      <c r="O498" t="n">
        <v>0</v>
      </c>
      <c r="P498" t="n">
        <v>0</v>
      </c>
      <c r="Q498" t="n">
        <v>0</v>
      </c>
      <c r="R498" s="2" t="inlineStr"/>
    </row>
    <row r="499" ht="15" customHeight="1">
      <c r="A499" t="inlineStr">
        <is>
          <t>A 63945-2025</t>
        </is>
      </c>
      <c r="B499" s="1" t="n">
        <v>46010</v>
      </c>
      <c r="C499" s="1" t="n">
        <v>46115</v>
      </c>
      <c r="D499" t="inlineStr">
        <is>
          <t>SÖDERMANLANDS LÄN</t>
        </is>
      </c>
      <c r="E499" t="inlineStr">
        <is>
          <t>KATRINEHOLM</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63947-2025</t>
        </is>
      </c>
      <c r="B500" s="1" t="n">
        <v>46010</v>
      </c>
      <c r="C500" s="1" t="n">
        <v>46115</v>
      </c>
      <c r="D500" t="inlineStr">
        <is>
          <t>SÖDERMANLANDS LÄN</t>
        </is>
      </c>
      <c r="E500" t="inlineStr">
        <is>
          <t>KATRINEHOLM</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63949-2025</t>
        </is>
      </c>
      <c r="B501" s="1" t="n">
        <v>46010</v>
      </c>
      <c r="C501" s="1" t="n">
        <v>46115</v>
      </c>
      <c r="D501" t="inlineStr">
        <is>
          <t>SÖDERMANLANDS LÄN</t>
        </is>
      </c>
      <c r="E501" t="inlineStr">
        <is>
          <t>KATRINEHOLM</t>
        </is>
      </c>
      <c r="F501" t="inlineStr">
        <is>
          <t>Allmännings- och besparingsskogar</t>
        </is>
      </c>
      <c r="G501" t="n">
        <v>5.1</v>
      </c>
      <c r="H501" t="n">
        <v>0</v>
      </c>
      <c r="I501" t="n">
        <v>0</v>
      </c>
      <c r="J501" t="n">
        <v>0</v>
      </c>
      <c r="K501" t="n">
        <v>0</v>
      </c>
      <c r="L501" t="n">
        <v>0</v>
      </c>
      <c r="M501" t="n">
        <v>0</v>
      </c>
      <c r="N501" t="n">
        <v>0</v>
      </c>
      <c r="O501" t="n">
        <v>0</v>
      </c>
      <c r="P501" t="n">
        <v>0</v>
      </c>
      <c r="Q501" t="n">
        <v>0</v>
      </c>
      <c r="R501" s="2" t="inlineStr"/>
    </row>
    <row r="502" ht="15" customHeight="1">
      <c r="A502" t="inlineStr">
        <is>
          <t>A 46899-2022</t>
        </is>
      </c>
      <c r="B502" s="1" t="n">
        <v>44848</v>
      </c>
      <c r="C502" s="1" t="n">
        <v>46115</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55296-2022</t>
        </is>
      </c>
      <c r="B503" s="1" t="n">
        <v>44887</v>
      </c>
      <c r="C503" s="1" t="n">
        <v>46115</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63948-2025</t>
        </is>
      </c>
      <c r="B504" s="1" t="n">
        <v>46010</v>
      </c>
      <c r="C504" s="1" t="n">
        <v>46115</v>
      </c>
      <c r="D504" t="inlineStr">
        <is>
          <t>SÖDERMANLANDS LÄN</t>
        </is>
      </c>
      <c r="E504" t="inlineStr">
        <is>
          <t>KATRINEHOLM</t>
        </is>
      </c>
      <c r="F504" t="inlineStr">
        <is>
          <t>Allmännings- och besparingsskogar</t>
        </is>
      </c>
      <c r="G504" t="n">
        <v>4.9</v>
      </c>
      <c r="H504" t="n">
        <v>0</v>
      </c>
      <c r="I504" t="n">
        <v>0</v>
      </c>
      <c r="J504" t="n">
        <v>0</v>
      </c>
      <c r="K504" t="n">
        <v>0</v>
      </c>
      <c r="L504" t="n">
        <v>0</v>
      </c>
      <c r="M504" t="n">
        <v>0</v>
      </c>
      <c r="N504" t="n">
        <v>0</v>
      </c>
      <c r="O504" t="n">
        <v>0</v>
      </c>
      <c r="P504" t="n">
        <v>0</v>
      </c>
      <c r="Q504" t="n">
        <v>0</v>
      </c>
      <c r="R504" s="2" t="inlineStr"/>
    </row>
    <row r="505" ht="15" customHeight="1">
      <c r="A505" t="inlineStr">
        <is>
          <t>A 57524-2021</t>
        </is>
      </c>
      <c r="B505" s="1" t="n">
        <v>44483</v>
      </c>
      <c r="C505" s="1" t="n">
        <v>46115</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931-2023</t>
        </is>
      </c>
      <c r="B506" s="1" t="n">
        <v>44932.74261574074</v>
      </c>
      <c r="C506" s="1" t="n">
        <v>46115</v>
      </c>
      <c r="D506" t="inlineStr">
        <is>
          <t>SÖDERMANLANDS LÄN</t>
        </is>
      </c>
      <c r="E506" t="inlineStr">
        <is>
          <t>KATRINEHOLM</t>
        </is>
      </c>
      <c r="G506" t="n">
        <v>4</v>
      </c>
      <c r="H506" t="n">
        <v>0</v>
      </c>
      <c r="I506" t="n">
        <v>0</v>
      </c>
      <c r="J506" t="n">
        <v>0</v>
      </c>
      <c r="K506" t="n">
        <v>0</v>
      </c>
      <c r="L506" t="n">
        <v>0</v>
      </c>
      <c r="M506" t="n">
        <v>0</v>
      </c>
      <c r="N506" t="n">
        <v>0</v>
      </c>
      <c r="O506" t="n">
        <v>0</v>
      </c>
      <c r="P506" t="n">
        <v>0</v>
      </c>
      <c r="Q506" t="n">
        <v>0</v>
      </c>
      <c r="R506" s="2" t="inlineStr"/>
    </row>
    <row r="507" ht="15" customHeight="1">
      <c r="A507" t="inlineStr">
        <is>
          <t>A 55171-2023</t>
        </is>
      </c>
      <c r="B507" s="1" t="n">
        <v>45231</v>
      </c>
      <c r="C507" s="1" t="n">
        <v>46115</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53393-2023</t>
        </is>
      </c>
      <c r="B508" s="1" t="n">
        <v>45229</v>
      </c>
      <c r="C508" s="1" t="n">
        <v>46115</v>
      </c>
      <c r="D508" t="inlineStr">
        <is>
          <t>SÖDERMANLANDS LÄN</t>
        </is>
      </c>
      <c r="E508" t="inlineStr">
        <is>
          <t>KATRINEHOLM</t>
        </is>
      </c>
      <c r="F508" t="inlineStr">
        <is>
          <t>Kyrkan</t>
        </is>
      </c>
      <c r="G508" t="n">
        <v>5.6</v>
      </c>
      <c r="H508" t="n">
        <v>0</v>
      </c>
      <c r="I508" t="n">
        <v>0</v>
      </c>
      <c r="J508" t="n">
        <v>0</v>
      </c>
      <c r="K508" t="n">
        <v>0</v>
      </c>
      <c r="L508" t="n">
        <v>0</v>
      </c>
      <c r="M508" t="n">
        <v>0</v>
      </c>
      <c r="N508" t="n">
        <v>0</v>
      </c>
      <c r="O508" t="n">
        <v>0</v>
      </c>
      <c r="P508" t="n">
        <v>0</v>
      </c>
      <c r="Q508" t="n">
        <v>0</v>
      </c>
      <c r="R508" s="2" t="inlineStr"/>
    </row>
    <row r="509" ht="15" customHeight="1">
      <c r="A509" t="inlineStr">
        <is>
          <t>A 23031-2024</t>
        </is>
      </c>
      <c r="B509" s="1" t="n">
        <v>45450.38120370371</v>
      </c>
      <c r="C509" s="1" t="n">
        <v>46115</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22506-2023</t>
        </is>
      </c>
      <c r="B510" s="1" t="n">
        <v>45071.37393518518</v>
      </c>
      <c r="C510" s="1" t="n">
        <v>46115</v>
      </c>
      <c r="D510" t="inlineStr">
        <is>
          <t>SÖDERMANLANDS LÄN</t>
        </is>
      </c>
      <c r="E510" t="inlineStr">
        <is>
          <t>KATRINEHOLM</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12888-2025</t>
        </is>
      </c>
      <c r="B511" s="1" t="n">
        <v>45733</v>
      </c>
      <c r="C511" s="1" t="n">
        <v>46115</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63895-2025</t>
        </is>
      </c>
      <c r="B512" s="1" t="n">
        <v>46020</v>
      </c>
      <c r="C512" s="1" t="n">
        <v>46115</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22345-2023</t>
        </is>
      </c>
      <c r="B513" s="1" t="n">
        <v>45070</v>
      </c>
      <c r="C513" s="1" t="n">
        <v>46115</v>
      </c>
      <c r="D513" t="inlineStr">
        <is>
          <t>SÖDERMANLANDS LÄN</t>
        </is>
      </c>
      <c r="E513" t="inlineStr">
        <is>
          <t>KATRINEHOLM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54873-2025</t>
        </is>
      </c>
      <c r="B514" s="1" t="n">
        <v>45967</v>
      </c>
      <c r="C514" s="1" t="n">
        <v>46115</v>
      </c>
      <c r="D514" t="inlineStr">
        <is>
          <t>SÖDERMANLANDS LÄN</t>
        </is>
      </c>
      <c r="E514" t="inlineStr">
        <is>
          <t>KATRINEHOLM</t>
        </is>
      </c>
      <c r="G514" t="n">
        <v>2.7</v>
      </c>
      <c r="H514" t="n">
        <v>0</v>
      </c>
      <c r="I514" t="n">
        <v>0</v>
      </c>
      <c r="J514" t="n">
        <v>0</v>
      </c>
      <c r="K514" t="n">
        <v>0</v>
      </c>
      <c r="L514" t="n">
        <v>0</v>
      </c>
      <c r="M514" t="n">
        <v>0</v>
      </c>
      <c r="N514" t="n">
        <v>0</v>
      </c>
      <c r="O514" t="n">
        <v>0</v>
      </c>
      <c r="P514" t="n">
        <v>0</v>
      </c>
      <c r="Q514" t="n">
        <v>0</v>
      </c>
      <c r="R514" s="2" t="inlineStr"/>
    </row>
    <row r="515" ht="15" customHeight="1">
      <c r="A515" t="inlineStr">
        <is>
          <t>A 48877-2022</t>
        </is>
      </c>
      <c r="B515" s="1" t="n">
        <v>44859</v>
      </c>
      <c r="C515" s="1" t="n">
        <v>46115</v>
      </c>
      <c r="D515" t="inlineStr">
        <is>
          <t>SÖDERMANLANDS LÄN</t>
        </is>
      </c>
      <c r="E515" t="inlineStr">
        <is>
          <t>KATRINEHOLM</t>
        </is>
      </c>
      <c r="G515" t="n">
        <v>1</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46115</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63188-2021</t>
        </is>
      </c>
      <c r="B517" s="1" t="n">
        <v>44507.56865740741</v>
      </c>
      <c r="C517" s="1" t="n">
        <v>46115</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29843-2023</t>
        </is>
      </c>
      <c r="B518" s="1" t="n">
        <v>45107</v>
      </c>
      <c r="C518" s="1" t="n">
        <v>46115</v>
      </c>
      <c r="D518" t="inlineStr">
        <is>
          <t>SÖDERMANLANDS LÄN</t>
        </is>
      </c>
      <c r="E518" t="inlineStr">
        <is>
          <t>KATRINEHOLM</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5834-2025</t>
        </is>
      </c>
      <c r="B519" s="1" t="n">
        <v>45694</v>
      </c>
      <c r="C519" s="1" t="n">
        <v>46115</v>
      </c>
      <c r="D519" t="inlineStr">
        <is>
          <t>SÖDERMANLANDS LÄN</t>
        </is>
      </c>
      <c r="E519" t="inlineStr">
        <is>
          <t>KATRINEHOLM</t>
        </is>
      </c>
      <c r="G519" t="n">
        <v>3.3</v>
      </c>
      <c r="H519" t="n">
        <v>0</v>
      </c>
      <c r="I519" t="n">
        <v>0</v>
      </c>
      <c r="J519" t="n">
        <v>0</v>
      </c>
      <c r="K519" t="n">
        <v>0</v>
      </c>
      <c r="L519" t="n">
        <v>0</v>
      </c>
      <c r="M519" t="n">
        <v>0</v>
      </c>
      <c r="N519" t="n">
        <v>0</v>
      </c>
      <c r="O519" t="n">
        <v>0</v>
      </c>
      <c r="P519" t="n">
        <v>0</v>
      </c>
      <c r="Q519" t="n">
        <v>0</v>
      </c>
      <c r="R519" s="2" t="inlineStr"/>
    </row>
    <row r="520" ht="15" customHeight="1">
      <c r="A520" t="inlineStr">
        <is>
          <t>A 1098-2026</t>
        </is>
      </c>
      <c r="B520" s="1" t="n">
        <v>46030.66519675926</v>
      </c>
      <c r="C520" s="1" t="n">
        <v>46115</v>
      </c>
      <c r="D520" t="inlineStr">
        <is>
          <t>SÖDERMANLANDS LÄN</t>
        </is>
      </c>
      <c r="E520" t="inlineStr">
        <is>
          <t>KATRINEHOLM</t>
        </is>
      </c>
      <c r="G520" t="n">
        <v>3.4</v>
      </c>
      <c r="H520" t="n">
        <v>0</v>
      </c>
      <c r="I520" t="n">
        <v>0</v>
      </c>
      <c r="J520" t="n">
        <v>0</v>
      </c>
      <c r="K520" t="n">
        <v>0</v>
      </c>
      <c r="L520" t="n">
        <v>0</v>
      </c>
      <c r="M520" t="n">
        <v>0</v>
      </c>
      <c r="N520" t="n">
        <v>0</v>
      </c>
      <c r="O520" t="n">
        <v>0</v>
      </c>
      <c r="P520" t="n">
        <v>0</v>
      </c>
      <c r="Q520" t="n">
        <v>0</v>
      </c>
      <c r="R520" s="2" t="inlineStr"/>
    </row>
    <row r="521" ht="15" customHeight="1">
      <c r="A521" t="inlineStr">
        <is>
          <t>A 1106-2026</t>
        </is>
      </c>
      <c r="B521" s="1" t="n">
        <v>46030.67123842592</v>
      </c>
      <c r="C521" s="1" t="n">
        <v>46115</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34981-2023</t>
        </is>
      </c>
      <c r="B522" s="1" t="n">
        <v>45142</v>
      </c>
      <c r="C522" s="1" t="n">
        <v>46115</v>
      </c>
      <c r="D522" t="inlineStr">
        <is>
          <t>SÖDERMANLANDS LÄN</t>
        </is>
      </c>
      <c r="E522" t="inlineStr">
        <is>
          <t>KATRINEHOLM</t>
        </is>
      </c>
      <c r="G522" t="n">
        <v>10</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46115</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53750-2022</t>
        </is>
      </c>
      <c r="B524" s="1" t="n">
        <v>44875</v>
      </c>
      <c r="C524" s="1" t="n">
        <v>46115</v>
      </c>
      <c r="D524" t="inlineStr">
        <is>
          <t>SÖDERMANLANDS LÄN</t>
        </is>
      </c>
      <c r="E524" t="inlineStr">
        <is>
          <t>KATRINEHOLM</t>
        </is>
      </c>
      <c r="F524" t="inlineStr">
        <is>
          <t>Övriga Aktiebolag</t>
        </is>
      </c>
      <c r="G524" t="n">
        <v>12.6</v>
      </c>
      <c r="H524" t="n">
        <v>0</v>
      </c>
      <c r="I524" t="n">
        <v>0</v>
      </c>
      <c r="J524" t="n">
        <v>0</v>
      </c>
      <c r="K524" t="n">
        <v>0</v>
      </c>
      <c r="L524" t="n">
        <v>0</v>
      </c>
      <c r="M524" t="n">
        <v>0</v>
      </c>
      <c r="N524" t="n">
        <v>0</v>
      </c>
      <c r="O524" t="n">
        <v>0</v>
      </c>
      <c r="P524" t="n">
        <v>0</v>
      </c>
      <c r="Q524" t="n">
        <v>0</v>
      </c>
      <c r="R524" s="2" t="inlineStr"/>
    </row>
    <row r="525" ht="15" customHeight="1">
      <c r="A525" t="inlineStr">
        <is>
          <t>A 14245-2024</t>
        </is>
      </c>
      <c r="B525" s="1" t="n">
        <v>45393</v>
      </c>
      <c r="C525" s="1" t="n">
        <v>46115</v>
      </c>
      <c r="D525" t="inlineStr">
        <is>
          <t>SÖDERMANLANDS LÄN</t>
        </is>
      </c>
      <c r="E525" t="inlineStr">
        <is>
          <t>KATRINEHOLM</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1112-2026</t>
        </is>
      </c>
      <c r="B526" s="1" t="n">
        <v>46030.68107638889</v>
      </c>
      <c r="C526" s="1" t="n">
        <v>46115</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1114-2026</t>
        </is>
      </c>
      <c r="B527" s="1" t="n">
        <v>46030.684375</v>
      </c>
      <c r="C527" s="1" t="n">
        <v>46115</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11104-2023</t>
        </is>
      </c>
      <c r="B528" s="1" t="n">
        <v>44992</v>
      </c>
      <c r="C528" s="1" t="n">
        <v>46115</v>
      </c>
      <c r="D528" t="inlineStr">
        <is>
          <t>SÖDERMANLANDS LÄN</t>
        </is>
      </c>
      <c r="E528" t="inlineStr">
        <is>
          <t>KATRINEHOLM</t>
        </is>
      </c>
      <c r="F528" t="inlineStr">
        <is>
          <t>Allmännings- och besparingsskogar</t>
        </is>
      </c>
      <c r="G528" t="n">
        <v>7.8</v>
      </c>
      <c r="H528" t="n">
        <v>0</v>
      </c>
      <c r="I528" t="n">
        <v>0</v>
      </c>
      <c r="J528" t="n">
        <v>0</v>
      </c>
      <c r="K528" t="n">
        <v>0</v>
      </c>
      <c r="L528" t="n">
        <v>0</v>
      </c>
      <c r="M528" t="n">
        <v>0</v>
      </c>
      <c r="N528" t="n">
        <v>0</v>
      </c>
      <c r="O528" t="n">
        <v>0</v>
      </c>
      <c r="P528" t="n">
        <v>0</v>
      </c>
      <c r="Q528" t="n">
        <v>0</v>
      </c>
      <c r="R528" s="2" t="inlineStr"/>
    </row>
    <row r="529" ht="15" customHeight="1">
      <c r="A529" t="inlineStr">
        <is>
          <t>A 4387-2024</t>
        </is>
      </c>
      <c r="B529" s="1" t="n">
        <v>45327.35068287037</v>
      </c>
      <c r="C529" s="1" t="n">
        <v>46115</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4872-2024</t>
        </is>
      </c>
      <c r="B530" s="1" t="n">
        <v>45329</v>
      </c>
      <c r="C530" s="1" t="n">
        <v>46115</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29702-2021</t>
        </is>
      </c>
      <c r="B531" s="1" t="n">
        <v>44362</v>
      </c>
      <c r="C531" s="1" t="n">
        <v>46115</v>
      </c>
      <c r="D531" t="inlineStr">
        <is>
          <t>SÖDERMANLANDS LÄN</t>
        </is>
      </c>
      <c r="E531" t="inlineStr">
        <is>
          <t>KATRINEHOLM</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10091-2026</t>
        </is>
      </c>
      <c r="B532" s="1" t="n">
        <v>46073.70451388889</v>
      </c>
      <c r="C532" s="1" t="n">
        <v>46115</v>
      </c>
      <c r="D532" t="inlineStr">
        <is>
          <t>SÖDERMANLANDS LÄN</t>
        </is>
      </c>
      <c r="E532" t="inlineStr">
        <is>
          <t>KATRINEHOLM</t>
        </is>
      </c>
      <c r="G532" t="n">
        <v>2.2</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46115</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10996-2022</t>
        </is>
      </c>
      <c r="B534" s="1" t="n">
        <v>44628</v>
      </c>
      <c r="C534" s="1" t="n">
        <v>46115</v>
      </c>
      <c r="D534" t="inlineStr">
        <is>
          <t>SÖDERMANLANDS LÄN</t>
        </is>
      </c>
      <c r="E534" t="inlineStr">
        <is>
          <t>KATRINEHOLM</t>
        </is>
      </c>
      <c r="G534" t="n">
        <v>0.3</v>
      </c>
      <c r="H534" t="n">
        <v>0</v>
      </c>
      <c r="I534" t="n">
        <v>0</v>
      </c>
      <c r="J534" t="n">
        <v>0</v>
      </c>
      <c r="K534" t="n">
        <v>0</v>
      </c>
      <c r="L534" t="n">
        <v>0</v>
      </c>
      <c r="M534" t="n">
        <v>0</v>
      </c>
      <c r="N534" t="n">
        <v>0</v>
      </c>
      <c r="O534" t="n">
        <v>0</v>
      </c>
      <c r="P534" t="n">
        <v>0</v>
      </c>
      <c r="Q534" t="n">
        <v>0</v>
      </c>
      <c r="R534" s="2" t="inlineStr"/>
    </row>
    <row r="535" ht="15" customHeight="1">
      <c r="A535" t="inlineStr">
        <is>
          <t>A 42451-2023</t>
        </is>
      </c>
      <c r="B535" s="1" t="n">
        <v>45180</v>
      </c>
      <c r="C535" s="1" t="n">
        <v>46115</v>
      </c>
      <c r="D535" t="inlineStr">
        <is>
          <t>SÖDERMANLANDS LÄN</t>
        </is>
      </c>
      <c r="E535" t="inlineStr">
        <is>
          <t>KATRINEHOLM</t>
        </is>
      </c>
      <c r="G535" t="n">
        <v>3.8</v>
      </c>
      <c r="H535" t="n">
        <v>0</v>
      </c>
      <c r="I535" t="n">
        <v>0</v>
      </c>
      <c r="J535" t="n">
        <v>0</v>
      </c>
      <c r="K535" t="n">
        <v>0</v>
      </c>
      <c r="L535" t="n">
        <v>0</v>
      </c>
      <c r="M535" t="n">
        <v>0</v>
      </c>
      <c r="N535" t="n">
        <v>0</v>
      </c>
      <c r="O535" t="n">
        <v>0</v>
      </c>
      <c r="P535" t="n">
        <v>0</v>
      </c>
      <c r="Q535" t="n">
        <v>0</v>
      </c>
      <c r="R535" s="2" t="inlineStr"/>
    </row>
    <row r="536" ht="15" customHeight="1">
      <c r="A536" t="inlineStr">
        <is>
          <t>A 1668-2026</t>
        </is>
      </c>
      <c r="B536" s="1" t="n">
        <v>46034.55986111111</v>
      </c>
      <c r="C536" s="1" t="n">
        <v>46115</v>
      </c>
      <c r="D536" t="inlineStr">
        <is>
          <t>SÖDERMANLANDS LÄN</t>
        </is>
      </c>
      <c r="E536" t="inlineStr">
        <is>
          <t>KATRINEHOLM</t>
        </is>
      </c>
      <c r="G536" t="n">
        <v>4.1</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46115</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10086-2026</t>
        </is>
      </c>
      <c r="B538" s="1" t="n">
        <v>46073.68959490741</v>
      </c>
      <c r="C538" s="1" t="n">
        <v>46115</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6606-2022</t>
        </is>
      </c>
      <c r="B539" s="1" t="n">
        <v>44601</v>
      </c>
      <c r="C539" s="1" t="n">
        <v>46115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27646-2023</t>
        </is>
      </c>
      <c r="B540" s="1" t="n">
        <v>45097</v>
      </c>
      <c r="C540" s="1" t="n">
        <v>46115</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15235-2023</t>
        </is>
      </c>
      <c r="B541" s="1" t="n">
        <v>45019</v>
      </c>
      <c r="C541" s="1" t="n">
        <v>46115</v>
      </c>
      <c r="D541" t="inlineStr">
        <is>
          <t>SÖDERMANLANDS LÄN</t>
        </is>
      </c>
      <c r="E541" t="inlineStr">
        <is>
          <t>KATRINEHOLM</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25433-2024</t>
        </is>
      </c>
      <c r="B542" s="1" t="n">
        <v>45463</v>
      </c>
      <c r="C542" s="1" t="n">
        <v>46115</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22304-2024</t>
        </is>
      </c>
      <c r="B543" s="1" t="n">
        <v>45446.56626157407</v>
      </c>
      <c r="C543" s="1" t="n">
        <v>46115</v>
      </c>
      <c r="D543" t="inlineStr">
        <is>
          <t>SÖDERMANLANDS LÄN</t>
        </is>
      </c>
      <c r="E543" t="inlineStr">
        <is>
          <t>KATRINEHOLM</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10892-2026</t>
        </is>
      </c>
      <c r="B544" s="1" t="n">
        <v>46078.8040625</v>
      </c>
      <c r="C544" s="1" t="n">
        <v>46115</v>
      </c>
      <c r="D544" t="inlineStr">
        <is>
          <t>SÖDERMANLANDS LÄN</t>
        </is>
      </c>
      <c r="E544" t="inlineStr">
        <is>
          <t>KATRINEHOLM</t>
        </is>
      </c>
      <c r="F544" t="inlineStr">
        <is>
          <t>Allmännings- och besparingsskogar</t>
        </is>
      </c>
      <c r="G544" t="n">
        <v>3</v>
      </c>
      <c r="H544" t="n">
        <v>0</v>
      </c>
      <c r="I544" t="n">
        <v>0</v>
      </c>
      <c r="J544" t="n">
        <v>0</v>
      </c>
      <c r="K544" t="n">
        <v>0</v>
      </c>
      <c r="L544" t="n">
        <v>0</v>
      </c>
      <c r="M544" t="n">
        <v>0</v>
      </c>
      <c r="N544" t="n">
        <v>0</v>
      </c>
      <c r="O544" t="n">
        <v>0</v>
      </c>
      <c r="P544" t="n">
        <v>0</v>
      </c>
      <c r="Q544" t="n">
        <v>0</v>
      </c>
      <c r="R544" s="2" t="inlineStr"/>
    </row>
    <row r="545" ht="15" customHeight="1">
      <c r="A545" t="inlineStr">
        <is>
          <t>A 14224-2024</t>
        </is>
      </c>
      <c r="B545" s="1" t="n">
        <v>45393</v>
      </c>
      <c r="C545" s="1" t="n">
        <v>46115</v>
      </c>
      <c r="D545" t="inlineStr">
        <is>
          <t>SÖDERMANLANDS LÄN</t>
        </is>
      </c>
      <c r="E545" t="inlineStr">
        <is>
          <t>KATRINEHOLM</t>
        </is>
      </c>
      <c r="F545" t="inlineStr">
        <is>
          <t>Sveaskog</t>
        </is>
      </c>
      <c r="G545" t="n">
        <v>7.6</v>
      </c>
      <c r="H545" t="n">
        <v>0</v>
      </c>
      <c r="I545" t="n">
        <v>0</v>
      </c>
      <c r="J545" t="n">
        <v>0</v>
      </c>
      <c r="K545" t="n">
        <v>0</v>
      </c>
      <c r="L545" t="n">
        <v>0</v>
      </c>
      <c r="M545" t="n">
        <v>0</v>
      </c>
      <c r="N545" t="n">
        <v>0</v>
      </c>
      <c r="O545" t="n">
        <v>0</v>
      </c>
      <c r="P545" t="n">
        <v>0</v>
      </c>
      <c r="Q545" t="n">
        <v>0</v>
      </c>
      <c r="R545" s="2" t="inlineStr"/>
    </row>
    <row r="546" ht="15" customHeight="1">
      <c r="A546" t="inlineStr">
        <is>
          <t>A 23341-2023</t>
        </is>
      </c>
      <c r="B546" s="1" t="n">
        <v>45076</v>
      </c>
      <c r="C546" s="1" t="n">
        <v>46115</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10721-2026</t>
        </is>
      </c>
      <c r="B547" s="1" t="n">
        <v>46078.46894675926</v>
      </c>
      <c r="C547" s="1" t="n">
        <v>46115</v>
      </c>
      <c r="D547" t="inlineStr">
        <is>
          <t>SÖDERMANLANDS LÄN</t>
        </is>
      </c>
      <c r="E547" t="inlineStr">
        <is>
          <t>KATRINEHOLM</t>
        </is>
      </c>
      <c r="F547" t="inlineStr">
        <is>
          <t>Allmännings- och besparingsskogar</t>
        </is>
      </c>
      <c r="G547" t="n">
        <v>1.8</v>
      </c>
      <c r="H547" t="n">
        <v>0</v>
      </c>
      <c r="I547" t="n">
        <v>0</v>
      </c>
      <c r="J547" t="n">
        <v>0</v>
      </c>
      <c r="K547" t="n">
        <v>0</v>
      </c>
      <c r="L547" t="n">
        <v>0</v>
      </c>
      <c r="M547" t="n">
        <v>0</v>
      </c>
      <c r="N547" t="n">
        <v>0</v>
      </c>
      <c r="O547" t="n">
        <v>0</v>
      </c>
      <c r="P547" t="n">
        <v>0</v>
      </c>
      <c r="Q547" t="n">
        <v>0</v>
      </c>
      <c r="R547" s="2" t="inlineStr"/>
    </row>
    <row r="548" ht="15" customHeight="1">
      <c r="A548" t="inlineStr">
        <is>
          <t>A 36366-2023</t>
        </is>
      </c>
      <c r="B548" s="1" t="n">
        <v>45152</v>
      </c>
      <c r="C548" s="1" t="n">
        <v>46115</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36021-2023</t>
        </is>
      </c>
      <c r="B549" s="1" t="n">
        <v>45148</v>
      </c>
      <c r="C549" s="1" t="n">
        <v>46115</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10891-2026</t>
        </is>
      </c>
      <c r="B550" s="1" t="n">
        <v>46078.78545138889</v>
      </c>
      <c r="C550" s="1" t="n">
        <v>46115</v>
      </c>
      <c r="D550" t="inlineStr">
        <is>
          <t>SÖDERMANLANDS LÄN</t>
        </is>
      </c>
      <c r="E550" t="inlineStr">
        <is>
          <t>KATRINEHOLM</t>
        </is>
      </c>
      <c r="F550" t="inlineStr">
        <is>
          <t>Allmännings- och besparingsskogar</t>
        </is>
      </c>
      <c r="G550" t="n">
        <v>1.6</v>
      </c>
      <c r="H550" t="n">
        <v>0</v>
      </c>
      <c r="I550" t="n">
        <v>0</v>
      </c>
      <c r="J550" t="n">
        <v>0</v>
      </c>
      <c r="K550" t="n">
        <v>0</v>
      </c>
      <c r="L550" t="n">
        <v>0</v>
      </c>
      <c r="M550" t="n">
        <v>0</v>
      </c>
      <c r="N550" t="n">
        <v>0</v>
      </c>
      <c r="O550" t="n">
        <v>0</v>
      </c>
      <c r="P550" t="n">
        <v>0</v>
      </c>
      <c r="Q550" t="n">
        <v>0</v>
      </c>
      <c r="R550" s="2" t="inlineStr"/>
    </row>
    <row r="551" ht="15" customHeight="1">
      <c r="A551" t="inlineStr">
        <is>
          <t>A 10893-2026</t>
        </is>
      </c>
      <c r="B551" s="1" t="n">
        <v>46078.81072916667</v>
      </c>
      <c r="C551" s="1" t="n">
        <v>46115</v>
      </c>
      <c r="D551" t="inlineStr">
        <is>
          <t>SÖDERMANLANDS LÄN</t>
        </is>
      </c>
      <c r="E551" t="inlineStr">
        <is>
          <t>KATRINEHOLM</t>
        </is>
      </c>
      <c r="F551" t="inlineStr">
        <is>
          <t>Allmännings- och besparingsskogar</t>
        </is>
      </c>
      <c r="G551" t="n">
        <v>2</v>
      </c>
      <c r="H551" t="n">
        <v>0</v>
      </c>
      <c r="I551" t="n">
        <v>0</v>
      </c>
      <c r="J551" t="n">
        <v>0</v>
      </c>
      <c r="K551" t="n">
        <v>0</v>
      </c>
      <c r="L551" t="n">
        <v>0</v>
      </c>
      <c r="M551" t="n">
        <v>0</v>
      </c>
      <c r="N551" t="n">
        <v>0</v>
      </c>
      <c r="O551" t="n">
        <v>0</v>
      </c>
      <c r="P551" t="n">
        <v>0</v>
      </c>
      <c r="Q551" t="n">
        <v>0</v>
      </c>
      <c r="R551" s="2" t="inlineStr"/>
    </row>
    <row r="552" ht="15" customHeight="1">
      <c r="A552" t="inlineStr">
        <is>
          <t>A 28597-2024</t>
        </is>
      </c>
      <c r="B552" s="1" t="n">
        <v>45478</v>
      </c>
      <c r="C552" s="1" t="n">
        <v>46115</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2645-2026</t>
        </is>
      </c>
      <c r="B553" s="1" t="n">
        <v>46037.62321759259</v>
      </c>
      <c r="C553" s="1" t="n">
        <v>46115</v>
      </c>
      <c r="D553" t="inlineStr">
        <is>
          <t>SÖDERMANLANDS LÄN</t>
        </is>
      </c>
      <c r="E553" t="inlineStr">
        <is>
          <t>KATRINEHOLM</t>
        </is>
      </c>
      <c r="G553" t="n">
        <v>2.1</v>
      </c>
      <c r="H553" t="n">
        <v>0</v>
      </c>
      <c r="I553" t="n">
        <v>0</v>
      </c>
      <c r="J553" t="n">
        <v>0</v>
      </c>
      <c r="K553" t="n">
        <v>0</v>
      </c>
      <c r="L553" t="n">
        <v>0</v>
      </c>
      <c r="M553" t="n">
        <v>0</v>
      </c>
      <c r="N553" t="n">
        <v>0</v>
      </c>
      <c r="O553" t="n">
        <v>0</v>
      </c>
      <c r="P553" t="n">
        <v>0</v>
      </c>
      <c r="Q553" t="n">
        <v>0</v>
      </c>
      <c r="R553" s="2" t="inlineStr"/>
    </row>
    <row r="554" ht="15" customHeight="1">
      <c r="A554" t="inlineStr">
        <is>
          <t>A 2672-2026</t>
        </is>
      </c>
      <c r="B554" s="1" t="n">
        <v>46037</v>
      </c>
      <c r="C554" s="1" t="n">
        <v>46115</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2913-2026</t>
        </is>
      </c>
      <c r="B555" s="1" t="n">
        <v>46038.56913194444</v>
      </c>
      <c r="C555" s="1" t="n">
        <v>46115</v>
      </c>
      <c r="D555" t="inlineStr">
        <is>
          <t>SÖDERMANLANDS LÄN</t>
        </is>
      </c>
      <c r="E555" t="inlineStr">
        <is>
          <t>KATRINEHOLM</t>
        </is>
      </c>
      <c r="F555" t="inlineStr">
        <is>
          <t>Övriga Aktiebolag</t>
        </is>
      </c>
      <c r="G555" t="n">
        <v>6.2</v>
      </c>
      <c r="H555" t="n">
        <v>0</v>
      </c>
      <c r="I555" t="n">
        <v>0</v>
      </c>
      <c r="J555" t="n">
        <v>0</v>
      </c>
      <c r="K555" t="n">
        <v>0</v>
      </c>
      <c r="L555" t="n">
        <v>0</v>
      </c>
      <c r="M555" t="n">
        <v>0</v>
      </c>
      <c r="N555" t="n">
        <v>0</v>
      </c>
      <c r="O555" t="n">
        <v>0</v>
      </c>
      <c r="P555" t="n">
        <v>0</v>
      </c>
      <c r="Q555" t="n">
        <v>0</v>
      </c>
      <c r="R555" s="2" t="inlineStr"/>
    </row>
    <row r="556" ht="15" customHeight="1">
      <c r="A556" t="inlineStr">
        <is>
          <t>A 2473-2026</t>
        </is>
      </c>
      <c r="B556" s="1" t="n">
        <v>46037.37704861111</v>
      </c>
      <c r="C556" s="1" t="n">
        <v>46115</v>
      </c>
      <c r="D556" t="inlineStr">
        <is>
          <t>SÖDERMANLANDS LÄN</t>
        </is>
      </c>
      <c r="E556" t="inlineStr">
        <is>
          <t>KATRINEHOLM</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29198-2023</t>
        </is>
      </c>
      <c r="B557" s="1" t="n">
        <v>45105</v>
      </c>
      <c r="C557" s="1" t="n">
        <v>46115</v>
      </c>
      <c r="D557" t="inlineStr">
        <is>
          <t>SÖDERMANLANDS LÄN</t>
        </is>
      </c>
      <c r="E557" t="inlineStr">
        <is>
          <t>KATRINEHOLM</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9992-2022</t>
        </is>
      </c>
      <c r="B558" s="1" t="n">
        <v>44621</v>
      </c>
      <c r="C558" s="1" t="n">
        <v>46115</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41267-2023</t>
        </is>
      </c>
      <c r="B559" s="1" t="n">
        <v>45174</v>
      </c>
      <c r="C559" s="1" t="n">
        <v>46115</v>
      </c>
      <c r="D559" t="inlineStr">
        <is>
          <t>SÖDERMANLANDS LÄN</t>
        </is>
      </c>
      <c r="E559" t="inlineStr">
        <is>
          <t>KATRINEHOLM</t>
        </is>
      </c>
      <c r="F559" t="inlineStr">
        <is>
          <t>Holmen skog AB</t>
        </is>
      </c>
      <c r="G559" t="n">
        <v>4.5</v>
      </c>
      <c r="H559" t="n">
        <v>0</v>
      </c>
      <c r="I559" t="n">
        <v>0</v>
      </c>
      <c r="J559" t="n">
        <v>0</v>
      </c>
      <c r="K559" t="n">
        <v>0</v>
      </c>
      <c r="L559" t="n">
        <v>0</v>
      </c>
      <c r="M559" t="n">
        <v>0</v>
      </c>
      <c r="N559" t="n">
        <v>0</v>
      </c>
      <c r="O559" t="n">
        <v>0</v>
      </c>
      <c r="P559" t="n">
        <v>0</v>
      </c>
      <c r="Q559" t="n">
        <v>0</v>
      </c>
      <c r="R559" s="2" t="inlineStr"/>
    </row>
    <row r="560" ht="15" customHeight="1">
      <c r="A560" t="inlineStr">
        <is>
          <t>A 11130-2026</t>
        </is>
      </c>
      <c r="B560" s="1" t="n">
        <v>46079.70384259259</v>
      </c>
      <c r="C560" s="1" t="n">
        <v>46115</v>
      </c>
      <c r="D560" t="inlineStr">
        <is>
          <t>SÖDERMANLANDS LÄN</t>
        </is>
      </c>
      <c r="E560" t="inlineStr">
        <is>
          <t>KATRINEHOLM</t>
        </is>
      </c>
      <c r="F560" t="inlineStr">
        <is>
          <t>Kommuner</t>
        </is>
      </c>
      <c r="G560" t="n">
        <v>1.5</v>
      </c>
      <c r="H560" t="n">
        <v>0</v>
      </c>
      <c r="I560" t="n">
        <v>0</v>
      </c>
      <c r="J560" t="n">
        <v>0</v>
      </c>
      <c r="K560" t="n">
        <v>0</v>
      </c>
      <c r="L560" t="n">
        <v>0</v>
      </c>
      <c r="M560" t="n">
        <v>0</v>
      </c>
      <c r="N560" t="n">
        <v>0</v>
      </c>
      <c r="O560" t="n">
        <v>0</v>
      </c>
      <c r="P560" t="n">
        <v>0</v>
      </c>
      <c r="Q560" t="n">
        <v>0</v>
      </c>
      <c r="R560" s="2" t="inlineStr"/>
    </row>
    <row r="561" ht="15" customHeight="1">
      <c r="A561" t="inlineStr">
        <is>
          <t>A 11621-2026</t>
        </is>
      </c>
      <c r="B561" s="1" t="n">
        <v>46084.46734953704</v>
      </c>
      <c r="C561" s="1" t="n">
        <v>46115</v>
      </c>
      <c r="D561" t="inlineStr">
        <is>
          <t>SÖDERMANLANDS LÄN</t>
        </is>
      </c>
      <c r="E561" t="inlineStr">
        <is>
          <t>KATRINEHOLM</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11677-2026</t>
        </is>
      </c>
      <c r="B562" s="1" t="n">
        <v>46084.56711805556</v>
      </c>
      <c r="C562" s="1" t="n">
        <v>46115</v>
      </c>
      <c r="D562" t="inlineStr">
        <is>
          <t>SÖDERMANLANDS LÄN</t>
        </is>
      </c>
      <c r="E562" t="inlineStr">
        <is>
          <t>KATRINEHOLM</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4650-2024</t>
        </is>
      </c>
      <c r="B563" s="1" t="n">
        <v>45328</v>
      </c>
      <c r="C563" s="1" t="n">
        <v>46115</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4652-2024</t>
        </is>
      </c>
      <c r="B564" s="1" t="n">
        <v>45328</v>
      </c>
      <c r="C564" s="1" t="n">
        <v>46115</v>
      </c>
      <c r="D564" t="inlineStr">
        <is>
          <t>SÖDERMANLANDS LÄN</t>
        </is>
      </c>
      <c r="E564" t="inlineStr">
        <is>
          <t>KATRINEHOLM</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29008-2024</t>
        </is>
      </c>
      <c r="B565" s="1" t="n">
        <v>45481</v>
      </c>
      <c r="C565" s="1" t="n">
        <v>46115</v>
      </c>
      <c r="D565" t="inlineStr">
        <is>
          <t>SÖDERMANLANDS LÄN</t>
        </is>
      </c>
      <c r="E565" t="inlineStr">
        <is>
          <t>KATRINEHOLM</t>
        </is>
      </c>
      <c r="G565" t="n">
        <v>1.7</v>
      </c>
      <c r="H565" t="n">
        <v>0</v>
      </c>
      <c r="I565" t="n">
        <v>0</v>
      </c>
      <c r="J565" t="n">
        <v>0</v>
      </c>
      <c r="K565" t="n">
        <v>0</v>
      </c>
      <c r="L565" t="n">
        <v>0</v>
      </c>
      <c r="M565" t="n">
        <v>0</v>
      </c>
      <c r="N565" t="n">
        <v>0</v>
      </c>
      <c r="O565" t="n">
        <v>0</v>
      </c>
      <c r="P565" t="n">
        <v>0</v>
      </c>
      <c r="Q565" t="n">
        <v>0</v>
      </c>
      <c r="R565" s="2" t="inlineStr"/>
    </row>
    <row r="566" ht="15" customHeight="1">
      <c r="A566" t="inlineStr">
        <is>
          <t>A 9936-2023</t>
        </is>
      </c>
      <c r="B566" s="1" t="n">
        <v>44985.47086805556</v>
      </c>
      <c r="C566" s="1" t="n">
        <v>46115</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4645-2024</t>
        </is>
      </c>
      <c r="B567" s="1" t="n">
        <v>45328</v>
      </c>
      <c r="C567" s="1" t="n">
        <v>46115</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36001-2024</t>
        </is>
      </c>
      <c r="B568" s="1" t="n">
        <v>45533.54609953704</v>
      </c>
      <c r="C568" s="1" t="n">
        <v>46115</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11666-2026</t>
        </is>
      </c>
      <c r="B569" s="1" t="n">
        <v>46084.55381944445</v>
      </c>
      <c r="C569" s="1" t="n">
        <v>46115</v>
      </c>
      <c r="D569" t="inlineStr">
        <is>
          <t>SÖDERMANLANDS LÄN</t>
        </is>
      </c>
      <c r="E569" t="inlineStr">
        <is>
          <t>KATRINEHOLM</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36832-2023</t>
        </is>
      </c>
      <c r="B570" s="1" t="n">
        <v>45153</v>
      </c>
      <c r="C570" s="1" t="n">
        <v>46115</v>
      </c>
      <c r="D570" t="inlineStr">
        <is>
          <t>SÖDERMANLANDS LÄN</t>
        </is>
      </c>
      <c r="E570" t="inlineStr">
        <is>
          <t>KATRINEHOLM</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28931-2024</t>
        </is>
      </c>
      <c r="B571" s="1" t="n">
        <v>45479</v>
      </c>
      <c r="C571" s="1" t="n">
        <v>46115</v>
      </c>
      <c r="D571" t="inlineStr">
        <is>
          <t>SÖDERMANLANDS LÄN</t>
        </is>
      </c>
      <c r="E571" t="inlineStr">
        <is>
          <t>KATRINEHOLM</t>
        </is>
      </c>
      <c r="G571" t="n">
        <v>7.4</v>
      </c>
      <c r="H571" t="n">
        <v>0</v>
      </c>
      <c r="I571" t="n">
        <v>0</v>
      </c>
      <c r="J571" t="n">
        <v>0</v>
      </c>
      <c r="K571" t="n">
        <v>0</v>
      </c>
      <c r="L571" t="n">
        <v>0</v>
      </c>
      <c r="M571" t="n">
        <v>0</v>
      </c>
      <c r="N571" t="n">
        <v>0</v>
      </c>
      <c r="O571" t="n">
        <v>0</v>
      </c>
      <c r="P571" t="n">
        <v>0</v>
      </c>
      <c r="Q571" t="n">
        <v>0</v>
      </c>
      <c r="R571" s="2" t="inlineStr"/>
    </row>
    <row r="572" ht="15" customHeight="1">
      <c r="A572" t="inlineStr">
        <is>
          <t>A 6810-2023</t>
        </is>
      </c>
      <c r="B572" s="1" t="n">
        <v>44964</v>
      </c>
      <c r="C572" s="1" t="n">
        <v>46115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32944-2023</t>
        </is>
      </c>
      <c r="B573" s="1" t="n">
        <v>45125</v>
      </c>
      <c r="C573" s="1" t="n">
        <v>46115</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29977-2023</t>
        </is>
      </c>
      <c r="B574" s="1" t="n">
        <v>45108</v>
      </c>
      <c r="C574" s="1" t="n">
        <v>46115</v>
      </c>
      <c r="D574" t="inlineStr">
        <is>
          <t>SÖDERMANLANDS LÄN</t>
        </is>
      </c>
      <c r="E574" t="inlineStr">
        <is>
          <t>KATRINEHOLM</t>
        </is>
      </c>
      <c r="G574" t="n">
        <v>2.4</v>
      </c>
      <c r="H574" t="n">
        <v>0</v>
      </c>
      <c r="I574" t="n">
        <v>0</v>
      </c>
      <c r="J574" t="n">
        <v>0</v>
      </c>
      <c r="K574" t="n">
        <v>0</v>
      </c>
      <c r="L574" t="n">
        <v>0</v>
      </c>
      <c r="M574" t="n">
        <v>0</v>
      </c>
      <c r="N574" t="n">
        <v>0</v>
      </c>
      <c r="O574" t="n">
        <v>0</v>
      </c>
      <c r="P574" t="n">
        <v>0</v>
      </c>
      <c r="Q574" t="n">
        <v>0</v>
      </c>
      <c r="R574" s="2" t="inlineStr"/>
    </row>
    <row r="575" ht="15" customHeight="1">
      <c r="A575" t="inlineStr">
        <is>
          <t>A 5788-2022</t>
        </is>
      </c>
      <c r="B575" s="1" t="n">
        <v>44596.54990740741</v>
      </c>
      <c r="C575" s="1" t="n">
        <v>46115</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20803-2024</t>
        </is>
      </c>
      <c r="B576" s="1" t="n">
        <v>45438</v>
      </c>
      <c r="C576" s="1" t="n">
        <v>46115</v>
      </c>
      <c r="D576" t="inlineStr">
        <is>
          <t>SÖDERMANLANDS LÄN</t>
        </is>
      </c>
      <c r="E576" t="inlineStr">
        <is>
          <t>KATRINEHOLM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5795-2022</t>
        </is>
      </c>
      <c r="B577" s="1" t="n">
        <v>44596</v>
      </c>
      <c r="C577" s="1" t="n">
        <v>46115</v>
      </c>
      <c r="D577" t="inlineStr">
        <is>
          <t>SÖDERMANLANDS LÄN</t>
        </is>
      </c>
      <c r="E577" t="inlineStr">
        <is>
          <t>KATRINEHOLM</t>
        </is>
      </c>
      <c r="G577" t="n">
        <v>8.1</v>
      </c>
      <c r="H577" t="n">
        <v>0</v>
      </c>
      <c r="I577" t="n">
        <v>0</v>
      </c>
      <c r="J577" t="n">
        <v>0</v>
      </c>
      <c r="K577" t="n">
        <v>0</v>
      </c>
      <c r="L577" t="n">
        <v>0</v>
      </c>
      <c r="M577" t="n">
        <v>0</v>
      </c>
      <c r="N577" t="n">
        <v>0</v>
      </c>
      <c r="O577" t="n">
        <v>0</v>
      </c>
      <c r="P577" t="n">
        <v>0</v>
      </c>
      <c r="Q577" t="n">
        <v>0</v>
      </c>
      <c r="R577" s="2" t="inlineStr"/>
    </row>
    <row r="578" ht="15" customHeight="1">
      <c r="A578" t="inlineStr">
        <is>
          <t>A 3075-2022</t>
        </is>
      </c>
      <c r="B578" s="1" t="n">
        <v>44582</v>
      </c>
      <c r="C578" s="1" t="n">
        <v>46115</v>
      </c>
      <c r="D578" t="inlineStr">
        <is>
          <t>SÖDERMANLANDS LÄN</t>
        </is>
      </c>
      <c r="E578" t="inlineStr">
        <is>
          <t>KATRINEHOLM</t>
        </is>
      </c>
      <c r="G578" t="n">
        <v>3.5</v>
      </c>
      <c r="H578" t="n">
        <v>0</v>
      </c>
      <c r="I578" t="n">
        <v>0</v>
      </c>
      <c r="J578" t="n">
        <v>0</v>
      </c>
      <c r="K578" t="n">
        <v>0</v>
      </c>
      <c r="L578" t="n">
        <v>0</v>
      </c>
      <c r="M578" t="n">
        <v>0</v>
      </c>
      <c r="N578" t="n">
        <v>0</v>
      </c>
      <c r="O578" t="n">
        <v>0</v>
      </c>
      <c r="P578" t="n">
        <v>0</v>
      </c>
      <c r="Q578" t="n">
        <v>0</v>
      </c>
      <c r="R578" s="2" t="inlineStr"/>
    </row>
    <row r="579" ht="15" customHeight="1">
      <c r="A579" t="inlineStr">
        <is>
          <t>A 73409-2021</t>
        </is>
      </c>
      <c r="B579" s="1" t="n">
        <v>44551</v>
      </c>
      <c r="C579" s="1" t="n">
        <v>46115</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73415-2021</t>
        </is>
      </c>
      <c r="B580" s="1" t="n">
        <v>44551</v>
      </c>
      <c r="C580" s="1" t="n">
        <v>46115</v>
      </c>
      <c r="D580" t="inlineStr">
        <is>
          <t>SÖDERMANLANDS LÄN</t>
        </is>
      </c>
      <c r="E580" t="inlineStr">
        <is>
          <t>KATRINEHOLM</t>
        </is>
      </c>
      <c r="G580" t="n">
        <v>3.2</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46115</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8087-2022</t>
        </is>
      </c>
      <c r="B582" s="1" t="n">
        <v>44609.53502314815</v>
      </c>
      <c r="C582" s="1" t="n">
        <v>46115</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50935-2023</t>
        </is>
      </c>
      <c r="B583" s="1" t="n">
        <v>45211</v>
      </c>
      <c r="C583" s="1" t="n">
        <v>46115</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6298-2024</t>
        </is>
      </c>
      <c r="B584" s="1" t="n">
        <v>45338.34245370371</v>
      </c>
      <c r="C584" s="1" t="n">
        <v>46115</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33001-2024</t>
        </is>
      </c>
      <c r="B585" s="1" t="n">
        <v>45517</v>
      </c>
      <c r="C585" s="1" t="n">
        <v>46115</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58175-2024</t>
        </is>
      </c>
      <c r="B586" s="1" t="n">
        <v>45632.46648148148</v>
      </c>
      <c r="C586" s="1" t="n">
        <v>46115</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53715-2023</t>
        </is>
      </c>
      <c r="B587" s="1" t="n">
        <v>45230</v>
      </c>
      <c r="C587" s="1" t="n">
        <v>46115</v>
      </c>
      <c r="D587" t="inlineStr">
        <is>
          <t>SÖDERMANLANDS LÄN</t>
        </is>
      </c>
      <c r="E587" t="inlineStr">
        <is>
          <t>KATRINEHOLM</t>
        </is>
      </c>
      <c r="F587" t="inlineStr">
        <is>
          <t>Allmännings- och besparingsskogar</t>
        </is>
      </c>
      <c r="G587" t="n">
        <v>5.6</v>
      </c>
      <c r="H587" t="n">
        <v>0</v>
      </c>
      <c r="I587" t="n">
        <v>0</v>
      </c>
      <c r="J587" t="n">
        <v>0</v>
      </c>
      <c r="K587" t="n">
        <v>0</v>
      </c>
      <c r="L587" t="n">
        <v>0</v>
      </c>
      <c r="M587" t="n">
        <v>0</v>
      </c>
      <c r="N587" t="n">
        <v>0</v>
      </c>
      <c r="O587" t="n">
        <v>0</v>
      </c>
      <c r="P587" t="n">
        <v>0</v>
      </c>
      <c r="Q587" t="n">
        <v>0</v>
      </c>
      <c r="R587" s="2" t="inlineStr"/>
    </row>
    <row r="588" ht="15" customHeight="1">
      <c r="A588" t="inlineStr">
        <is>
          <t>A 23705-2023</t>
        </is>
      </c>
      <c r="B588" s="1" t="n">
        <v>45077</v>
      </c>
      <c r="C588" s="1" t="n">
        <v>46115</v>
      </c>
      <c r="D588" t="inlineStr">
        <is>
          <t>SÖDERMANLANDS LÄN</t>
        </is>
      </c>
      <c r="E588" t="inlineStr">
        <is>
          <t>KATRINEHOLM</t>
        </is>
      </c>
      <c r="F588" t="inlineStr">
        <is>
          <t>Kyrkan</t>
        </is>
      </c>
      <c r="G588" t="n">
        <v>11.9</v>
      </c>
      <c r="H588" t="n">
        <v>0</v>
      </c>
      <c r="I588" t="n">
        <v>0</v>
      </c>
      <c r="J588" t="n">
        <v>0</v>
      </c>
      <c r="K588" t="n">
        <v>0</v>
      </c>
      <c r="L588" t="n">
        <v>0</v>
      </c>
      <c r="M588" t="n">
        <v>0</v>
      </c>
      <c r="N588" t="n">
        <v>0</v>
      </c>
      <c r="O588" t="n">
        <v>0</v>
      </c>
      <c r="P588" t="n">
        <v>0</v>
      </c>
      <c r="Q588" t="n">
        <v>0</v>
      </c>
      <c r="R588" s="2" t="inlineStr"/>
    </row>
    <row r="589" ht="15" customHeight="1">
      <c r="A589" t="inlineStr">
        <is>
          <t>A 12831-2026</t>
        </is>
      </c>
      <c r="B589" s="1" t="n">
        <v>46092.42416666666</v>
      </c>
      <c r="C589" s="1" t="n">
        <v>46115</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39120-2023</t>
        </is>
      </c>
      <c r="B590" s="1" t="n">
        <v>45165</v>
      </c>
      <c r="C590" s="1" t="n">
        <v>46115</v>
      </c>
      <c r="D590" t="inlineStr">
        <is>
          <t>SÖDERMANLANDS LÄN</t>
        </is>
      </c>
      <c r="E590" t="inlineStr">
        <is>
          <t>KATRINEHOLM</t>
        </is>
      </c>
      <c r="G590" t="n">
        <v>4.4</v>
      </c>
      <c r="H590" t="n">
        <v>0</v>
      </c>
      <c r="I590" t="n">
        <v>0</v>
      </c>
      <c r="J590" t="n">
        <v>0</v>
      </c>
      <c r="K590" t="n">
        <v>0</v>
      </c>
      <c r="L590" t="n">
        <v>0</v>
      </c>
      <c r="M590" t="n">
        <v>0</v>
      </c>
      <c r="N590" t="n">
        <v>0</v>
      </c>
      <c r="O590" t="n">
        <v>0</v>
      </c>
      <c r="P590" t="n">
        <v>0</v>
      </c>
      <c r="Q590" t="n">
        <v>0</v>
      </c>
      <c r="R590" s="2" t="inlineStr"/>
    </row>
    <row r="591" ht="15" customHeight="1">
      <c r="A591" t="inlineStr">
        <is>
          <t>A 5703-2026</t>
        </is>
      </c>
      <c r="B591" s="1" t="n">
        <v>46051.50774305555</v>
      </c>
      <c r="C591" s="1" t="n">
        <v>46115</v>
      </c>
      <c r="D591" t="inlineStr">
        <is>
          <t>SÖDERMANLANDS LÄN</t>
        </is>
      </c>
      <c r="E591" t="inlineStr">
        <is>
          <t>KATRINEHOLM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51397-2023</t>
        </is>
      </c>
      <c r="B592" s="1" t="n">
        <v>45214</v>
      </c>
      <c r="C592" s="1" t="n">
        <v>46115</v>
      </c>
      <c r="D592" t="inlineStr">
        <is>
          <t>SÖDERMANLANDS LÄN</t>
        </is>
      </c>
      <c r="E592" t="inlineStr">
        <is>
          <t>KATRINEHOLM</t>
        </is>
      </c>
      <c r="G592" t="n">
        <v>4.9</v>
      </c>
      <c r="H592" t="n">
        <v>0</v>
      </c>
      <c r="I592" t="n">
        <v>0</v>
      </c>
      <c r="J592" t="n">
        <v>0</v>
      </c>
      <c r="K592" t="n">
        <v>0</v>
      </c>
      <c r="L592" t="n">
        <v>0</v>
      </c>
      <c r="M592" t="n">
        <v>0</v>
      </c>
      <c r="N592" t="n">
        <v>0</v>
      </c>
      <c r="O592" t="n">
        <v>0</v>
      </c>
      <c r="P592" t="n">
        <v>0</v>
      </c>
      <c r="Q592" t="n">
        <v>0</v>
      </c>
      <c r="R592" s="2" t="inlineStr"/>
    </row>
    <row r="593" ht="15" customHeight="1">
      <c r="A593" t="inlineStr">
        <is>
          <t>A 19452-2023</t>
        </is>
      </c>
      <c r="B593" s="1" t="n">
        <v>45050</v>
      </c>
      <c r="C593" s="1" t="n">
        <v>46115</v>
      </c>
      <c r="D593" t="inlineStr">
        <is>
          <t>SÖDERMANLANDS LÄN</t>
        </is>
      </c>
      <c r="E593" t="inlineStr">
        <is>
          <t>KATRINEHOLM</t>
        </is>
      </c>
      <c r="F593" t="inlineStr">
        <is>
          <t>Holmen skog AB</t>
        </is>
      </c>
      <c r="G593" t="n">
        <v>4.7</v>
      </c>
      <c r="H593" t="n">
        <v>0</v>
      </c>
      <c r="I593" t="n">
        <v>0</v>
      </c>
      <c r="J593" t="n">
        <v>0</v>
      </c>
      <c r="K593" t="n">
        <v>0</v>
      </c>
      <c r="L593" t="n">
        <v>0</v>
      </c>
      <c r="M593" t="n">
        <v>0</v>
      </c>
      <c r="N593" t="n">
        <v>0</v>
      </c>
      <c r="O593" t="n">
        <v>0</v>
      </c>
      <c r="P593" t="n">
        <v>0</v>
      </c>
      <c r="Q593" t="n">
        <v>0</v>
      </c>
      <c r="R593" s="2" t="inlineStr"/>
    </row>
    <row r="594" ht="15" customHeight="1">
      <c r="A594" t="inlineStr">
        <is>
          <t>A 52658-2023</t>
        </is>
      </c>
      <c r="B594" s="1" t="n">
        <v>45225</v>
      </c>
      <c r="C594" s="1" t="n">
        <v>46115</v>
      </c>
      <c r="D594" t="inlineStr">
        <is>
          <t>SÖDERMANLANDS LÄN</t>
        </is>
      </c>
      <c r="E594" t="inlineStr">
        <is>
          <t>KATRINEHOLM</t>
        </is>
      </c>
      <c r="G594" t="n">
        <v>1.2</v>
      </c>
      <c r="H594" t="n">
        <v>0</v>
      </c>
      <c r="I594" t="n">
        <v>0</v>
      </c>
      <c r="J594" t="n">
        <v>0</v>
      </c>
      <c r="K594" t="n">
        <v>0</v>
      </c>
      <c r="L594" t="n">
        <v>0</v>
      </c>
      <c r="M594" t="n">
        <v>0</v>
      </c>
      <c r="N594" t="n">
        <v>0</v>
      </c>
      <c r="O594" t="n">
        <v>0</v>
      </c>
      <c r="P594" t="n">
        <v>0</v>
      </c>
      <c r="Q594" t="n">
        <v>0</v>
      </c>
      <c r="R594" s="2" t="inlineStr"/>
    </row>
    <row r="595" ht="15" customHeight="1">
      <c r="A595" t="inlineStr">
        <is>
          <t>A 5320-2025</t>
        </is>
      </c>
      <c r="B595" s="1" t="n">
        <v>45692</v>
      </c>
      <c r="C595" s="1" t="n">
        <v>46115</v>
      </c>
      <c r="D595" t="inlineStr">
        <is>
          <t>SÖDERMANLANDS LÄN</t>
        </is>
      </c>
      <c r="E595" t="inlineStr">
        <is>
          <t>KATRINEHOLM</t>
        </is>
      </c>
      <c r="F595" t="inlineStr">
        <is>
          <t>Kommuner</t>
        </is>
      </c>
      <c r="G595" t="n">
        <v>0.9</v>
      </c>
      <c r="H595" t="n">
        <v>0</v>
      </c>
      <c r="I595" t="n">
        <v>0</v>
      </c>
      <c r="J595" t="n">
        <v>0</v>
      </c>
      <c r="K595" t="n">
        <v>0</v>
      </c>
      <c r="L595" t="n">
        <v>0</v>
      </c>
      <c r="M595" t="n">
        <v>0</v>
      </c>
      <c r="N595" t="n">
        <v>0</v>
      </c>
      <c r="O595" t="n">
        <v>0</v>
      </c>
      <c r="P595" t="n">
        <v>0</v>
      </c>
      <c r="Q595" t="n">
        <v>0</v>
      </c>
      <c r="R595" s="2" t="inlineStr"/>
    </row>
    <row r="596" ht="15" customHeight="1">
      <c r="A596" t="inlineStr">
        <is>
          <t>A 2606-2025</t>
        </is>
      </c>
      <c r="B596" s="1" t="n">
        <v>45674</v>
      </c>
      <c r="C596" s="1" t="n">
        <v>46115</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13841-2026</t>
        </is>
      </c>
      <c r="B597" s="1" t="n">
        <v>46098.37181712963</v>
      </c>
      <c r="C597" s="1" t="n">
        <v>46115</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39748-2022</t>
        </is>
      </c>
      <c r="B598" s="1" t="n">
        <v>44817</v>
      </c>
      <c r="C598" s="1" t="n">
        <v>46115</v>
      </c>
      <c r="D598" t="inlineStr">
        <is>
          <t>SÖDERMANLANDS LÄN</t>
        </is>
      </c>
      <c r="E598" t="inlineStr">
        <is>
          <t>KATRINEHOLM</t>
        </is>
      </c>
      <c r="G598" t="n">
        <v>10.2</v>
      </c>
      <c r="H598" t="n">
        <v>0</v>
      </c>
      <c r="I598" t="n">
        <v>0</v>
      </c>
      <c r="J598" t="n">
        <v>0</v>
      </c>
      <c r="K598" t="n">
        <v>0</v>
      </c>
      <c r="L598" t="n">
        <v>0</v>
      </c>
      <c r="M598" t="n">
        <v>0</v>
      </c>
      <c r="N598" t="n">
        <v>0</v>
      </c>
      <c r="O598" t="n">
        <v>0</v>
      </c>
      <c r="P598" t="n">
        <v>0</v>
      </c>
      <c r="Q598" t="n">
        <v>0</v>
      </c>
      <c r="R598" s="2" t="inlineStr"/>
    </row>
    <row r="599" ht="15" customHeight="1">
      <c r="A599" t="inlineStr">
        <is>
          <t>A 34731-2023</t>
        </is>
      </c>
      <c r="B599" s="1" t="n">
        <v>45141</v>
      </c>
      <c r="C599" s="1" t="n">
        <v>46115</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34739-2023</t>
        </is>
      </c>
      <c r="B600" s="1" t="n">
        <v>45141</v>
      </c>
      <c r="C600" s="1" t="n">
        <v>46115</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13848-2026</t>
        </is>
      </c>
      <c r="B601" s="1" t="n">
        <v>46098.38704861111</v>
      </c>
      <c r="C601" s="1" t="n">
        <v>46115</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20480-2022</t>
        </is>
      </c>
      <c r="B602" s="1" t="n">
        <v>44699</v>
      </c>
      <c r="C602" s="1" t="n">
        <v>46115</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50017-2023</t>
        </is>
      </c>
      <c r="B603" s="1" t="n">
        <v>45215</v>
      </c>
      <c r="C603" s="1" t="n">
        <v>46115</v>
      </c>
      <c r="D603" t="inlineStr">
        <is>
          <t>SÖDERMANLANDS LÄN</t>
        </is>
      </c>
      <c r="E603" t="inlineStr">
        <is>
          <t>KATRINEHOLM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50018-2023</t>
        </is>
      </c>
      <c r="B604" s="1" t="n">
        <v>45215</v>
      </c>
      <c r="C604" s="1" t="n">
        <v>46115</v>
      </c>
      <c r="D604" t="inlineStr">
        <is>
          <t>SÖDERMANLANDS LÄN</t>
        </is>
      </c>
      <c r="E604" t="inlineStr">
        <is>
          <t>KATRINEHOLM</t>
        </is>
      </c>
      <c r="G604" t="n">
        <v>2.4</v>
      </c>
      <c r="H604" t="n">
        <v>0</v>
      </c>
      <c r="I604" t="n">
        <v>0</v>
      </c>
      <c r="J604" t="n">
        <v>0</v>
      </c>
      <c r="K604" t="n">
        <v>0</v>
      </c>
      <c r="L604" t="n">
        <v>0</v>
      </c>
      <c r="M604" t="n">
        <v>0</v>
      </c>
      <c r="N604" t="n">
        <v>0</v>
      </c>
      <c r="O604" t="n">
        <v>0</v>
      </c>
      <c r="P604" t="n">
        <v>0</v>
      </c>
      <c r="Q604" t="n">
        <v>0</v>
      </c>
      <c r="R604" s="2" t="inlineStr"/>
    </row>
    <row r="605" ht="15" customHeight="1">
      <c r="A605" t="inlineStr">
        <is>
          <t>A 28508-2023</t>
        </is>
      </c>
      <c r="B605" s="1" t="n">
        <v>45103.46788194445</v>
      </c>
      <c r="C605" s="1" t="n">
        <v>46115</v>
      </c>
      <c r="D605" t="inlineStr">
        <is>
          <t>SÖDERMANLANDS LÄN</t>
        </is>
      </c>
      <c r="E605" t="inlineStr">
        <is>
          <t>KATRINEHOLM</t>
        </is>
      </c>
      <c r="F605" t="inlineStr">
        <is>
          <t>Kyrkan</t>
        </is>
      </c>
      <c r="G605" t="n">
        <v>20.5</v>
      </c>
      <c r="H605" t="n">
        <v>0</v>
      </c>
      <c r="I605" t="n">
        <v>0</v>
      </c>
      <c r="J605" t="n">
        <v>0</v>
      </c>
      <c r="K605" t="n">
        <v>0</v>
      </c>
      <c r="L605" t="n">
        <v>0</v>
      </c>
      <c r="M605" t="n">
        <v>0</v>
      </c>
      <c r="N605" t="n">
        <v>0</v>
      </c>
      <c r="O605" t="n">
        <v>0</v>
      </c>
      <c r="P605" t="n">
        <v>0</v>
      </c>
      <c r="Q605" t="n">
        <v>0</v>
      </c>
      <c r="R605" s="2" t="inlineStr"/>
    </row>
    <row r="606" ht="15" customHeight="1">
      <c r="A606" t="inlineStr">
        <is>
          <t>A 46075-2023</t>
        </is>
      </c>
      <c r="B606" s="1" t="n">
        <v>45196</v>
      </c>
      <c r="C606" s="1" t="n">
        <v>46115</v>
      </c>
      <c r="D606" t="inlineStr">
        <is>
          <t>SÖDERMANLANDS LÄN</t>
        </is>
      </c>
      <c r="E606" t="inlineStr">
        <is>
          <t>KATRINEHOLM</t>
        </is>
      </c>
      <c r="F606" t="inlineStr">
        <is>
          <t>Övriga Aktiebolag</t>
        </is>
      </c>
      <c r="G606" t="n">
        <v>9.5</v>
      </c>
      <c r="H606" t="n">
        <v>0</v>
      </c>
      <c r="I606" t="n">
        <v>0</v>
      </c>
      <c r="J606" t="n">
        <v>0</v>
      </c>
      <c r="K606" t="n">
        <v>0</v>
      </c>
      <c r="L606" t="n">
        <v>0</v>
      </c>
      <c r="M606" t="n">
        <v>0</v>
      </c>
      <c r="N606" t="n">
        <v>0</v>
      </c>
      <c r="O606" t="n">
        <v>0</v>
      </c>
      <c r="P606" t="n">
        <v>0</v>
      </c>
      <c r="Q606" t="n">
        <v>0</v>
      </c>
      <c r="R606" s="2" t="inlineStr"/>
    </row>
    <row r="607" ht="15" customHeight="1">
      <c r="A607" t="inlineStr">
        <is>
          <t>A 13630-2026</t>
        </is>
      </c>
      <c r="B607" s="1" t="n">
        <v>46097.37490740741</v>
      </c>
      <c r="C607" s="1" t="n">
        <v>46115</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13631-2026</t>
        </is>
      </c>
      <c r="B608" s="1" t="n">
        <v>46095</v>
      </c>
      <c r="C608" s="1" t="n">
        <v>46115</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13632-2026</t>
        </is>
      </c>
      <c r="B609" s="1" t="n">
        <v>46097.37996527777</v>
      </c>
      <c r="C609" s="1" t="n">
        <v>46115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13633-2026</t>
        </is>
      </c>
      <c r="B610" s="1" t="n">
        <v>46097.38148148148</v>
      </c>
      <c r="C610" s="1" t="n">
        <v>46115</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13655-2026</t>
        </is>
      </c>
      <c r="B611" s="1" t="n">
        <v>46097.45415509259</v>
      </c>
      <c r="C611" s="1" t="n">
        <v>46115</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25823-2023</t>
        </is>
      </c>
      <c r="B612" s="1" t="n">
        <v>45090.55078703703</v>
      </c>
      <c r="C612" s="1" t="n">
        <v>46115</v>
      </c>
      <c r="D612" t="inlineStr">
        <is>
          <t>SÖDERMANLANDS LÄN</t>
        </is>
      </c>
      <c r="E612" t="inlineStr">
        <is>
          <t>KATRINEHOLM</t>
        </is>
      </c>
      <c r="F612" t="inlineStr">
        <is>
          <t>Kyrkan</t>
        </is>
      </c>
      <c r="G612" t="n">
        <v>10.2</v>
      </c>
      <c r="H612" t="n">
        <v>0</v>
      </c>
      <c r="I612" t="n">
        <v>0</v>
      </c>
      <c r="J612" t="n">
        <v>0</v>
      </c>
      <c r="K612" t="n">
        <v>0</v>
      </c>
      <c r="L612" t="n">
        <v>0</v>
      </c>
      <c r="M612" t="n">
        <v>0</v>
      </c>
      <c r="N612" t="n">
        <v>0</v>
      </c>
      <c r="O612" t="n">
        <v>0</v>
      </c>
      <c r="P612" t="n">
        <v>0</v>
      </c>
      <c r="Q612" t="n">
        <v>0</v>
      </c>
      <c r="R612" s="2" t="inlineStr"/>
    </row>
    <row r="613" ht="15" customHeight="1">
      <c r="A613" t="inlineStr">
        <is>
          <t>A 17360-2022</t>
        </is>
      </c>
      <c r="B613" s="1" t="n">
        <v>44678</v>
      </c>
      <c r="C613" s="1" t="n">
        <v>46115</v>
      </c>
      <c r="D613" t="inlineStr">
        <is>
          <t>SÖDERMANLANDS LÄN</t>
        </is>
      </c>
      <c r="E613" t="inlineStr">
        <is>
          <t>KATRINEHOLM</t>
        </is>
      </c>
      <c r="G613" t="n">
        <v>4.5</v>
      </c>
      <c r="H613" t="n">
        <v>0</v>
      </c>
      <c r="I613" t="n">
        <v>0</v>
      </c>
      <c r="J613" t="n">
        <v>0</v>
      </c>
      <c r="K613" t="n">
        <v>0</v>
      </c>
      <c r="L613" t="n">
        <v>0</v>
      </c>
      <c r="M613" t="n">
        <v>0</v>
      </c>
      <c r="N613" t="n">
        <v>0</v>
      </c>
      <c r="O613" t="n">
        <v>0</v>
      </c>
      <c r="P613" t="n">
        <v>0</v>
      </c>
      <c r="Q613" t="n">
        <v>0</v>
      </c>
      <c r="R613" s="2" t="inlineStr"/>
    </row>
    <row r="614" ht="15" customHeight="1">
      <c r="A614" t="inlineStr">
        <is>
          <t>A 22295-2024</t>
        </is>
      </c>
      <c r="B614" s="1" t="n">
        <v>45446.56141203704</v>
      </c>
      <c r="C614" s="1" t="n">
        <v>46115</v>
      </c>
      <c r="D614" t="inlineStr">
        <is>
          <t>SÖDERMANLANDS LÄN</t>
        </is>
      </c>
      <c r="E614" t="inlineStr">
        <is>
          <t>KATRINEHOLM</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46700-2023</t>
        </is>
      </c>
      <c r="B615" s="1" t="n">
        <v>45194</v>
      </c>
      <c r="C615" s="1" t="n">
        <v>46115</v>
      </c>
      <c r="D615" t="inlineStr">
        <is>
          <t>SÖDERMANLANDS LÄN</t>
        </is>
      </c>
      <c r="E615" t="inlineStr">
        <is>
          <t>KATRINEHOLM</t>
        </is>
      </c>
      <c r="G615" t="n">
        <v>3</v>
      </c>
      <c r="H615" t="n">
        <v>0</v>
      </c>
      <c r="I615" t="n">
        <v>0</v>
      </c>
      <c r="J615" t="n">
        <v>0</v>
      </c>
      <c r="K615" t="n">
        <v>0</v>
      </c>
      <c r="L615" t="n">
        <v>0</v>
      </c>
      <c r="M615" t="n">
        <v>0</v>
      </c>
      <c r="N615" t="n">
        <v>0</v>
      </c>
      <c r="O615" t="n">
        <v>0</v>
      </c>
      <c r="P615" t="n">
        <v>0</v>
      </c>
      <c r="Q615" t="n">
        <v>0</v>
      </c>
      <c r="R615" s="2" t="inlineStr"/>
    </row>
    <row r="616" ht="15" customHeight="1">
      <c r="A616" t="inlineStr">
        <is>
          <t>A 55590-2023</t>
        </is>
      </c>
      <c r="B616" s="1" t="n">
        <v>45238</v>
      </c>
      <c r="C616" s="1" t="n">
        <v>46115</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14622-2026</t>
        </is>
      </c>
      <c r="B617" s="1" t="n">
        <v>46101.38826388889</v>
      </c>
      <c r="C617" s="1" t="n">
        <v>46115</v>
      </c>
      <c r="D617" t="inlineStr">
        <is>
          <t>SÖDERMANLANDS LÄN</t>
        </is>
      </c>
      <c r="E617" t="inlineStr">
        <is>
          <t>KATRINEHOLM</t>
        </is>
      </c>
      <c r="G617" t="n">
        <v>2.5</v>
      </c>
      <c r="H617" t="n">
        <v>0</v>
      </c>
      <c r="I617" t="n">
        <v>0</v>
      </c>
      <c r="J617" t="n">
        <v>0</v>
      </c>
      <c r="K617" t="n">
        <v>0</v>
      </c>
      <c r="L617" t="n">
        <v>0</v>
      </c>
      <c r="M617" t="n">
        <v>0</v>
      </c>
      <c r="N617" t="n">
        <v>0</v>
      </c>
      <c r="O617" t="n">
        <v>0</v>
      </c>
      <c r="P617" t="n">
        <v>0</v>
      </c>
      <c r="Q617" t="n">
        <v>0</v>
      </c>
      <c r="R617" s="2" t="inlineStr"/>
    </row>
    <row r="618" ht="15" customHeight="1">
      <c r="A618" t="inlineStr">
        <is>
          <t>A 15898-2022</t>
        </is>
      </c>
      <c r="B618" s="1" t="n">
        <v>44664.55688657407</v>
      </c>
      <c r="C618" s="1" t="n">
        <v>46115</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15910-2022</t>
        </is>
      </c>
      <c r="B619" s="1" t="n">
        <v>44664</v>
      </c>
      <c r="C619" s="1" t="n">
        <v>46115</v>
      </c>
      <c r="D619" t="inlineStr">
        <is>
          <t>SÖDERMANLANDS LÄN</t>
        </is>
      </c>
      <c r="E619" t="inlineStr">
        <is>
          <t>KATRINEHOLM</t>
        </is>
      </c>
      <c r="G619" t="n">
        <v>5.6</v>
      </c>
      <c r="H619" t="n">
        <v>0</v>
      </c>
      <c r="I619" t="n">
        <v>0</v>
      </c>
      <c r="J619" t="n">
        <v>0</v>
      </c>
      <c r="K619" t="n">
        <v>0</v>
      </c>
      <c r="L619" t="n">
        <v>0</v>
      </c>
      <c r="M619" t="n">
        <v>0</v>
      </c>
      <c r="N619" t="n">
        <v>0</v>
      </c>
      <c r="O619" t="n">
        <v>0</v>
      </c>
      <c r="P619" t="n">
        <v>0</v>
      </c>
      <c r="Q619" t="n">
        <v>0</v>
      </c>
      <c r="R619" s="2" t="inlineStr"/>
    </row>
    <row r="620" ht="15" customHeight="1">
      <c r="A620" t="inlineStr">
        <is>
          <t>A 14754-2026</t>
        </is>
      </c>
      <c r="B620" s="1" t="n">
        <v>46101.62297453704</v>
      </c>
      <c r="C620" s="1" t="n">
        <v>46115</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7513-2026</t>
        </is>
      </c>
      <c r="B621" s="1" t="n">
        <v>46059.59083333334</v>
      </c>
      <c r="C621" s="1" t="n">
        <v>46115</v>
      </c>
      <c r="D621" t="inlineStr">
        <is>
          <t>SÖDERMANLANDS LÄN</t>
        </is>
      </c>
      <c r="E621" t="inlineStr">
        <is>
          <t>KATRINEHOLM</t>
        </is>
      </c>
      <c r="F621" t="inlineStr">
        <is>
          <t>Övriga Aktiebolag</t>
        </is>
      </c>
      <c r="G621" t="n">
        <v>5</v>
      </c>
      <c r="H621" t="n">
        <v>0</v>
      </c>
      <c r="I621" t="n">
        <v>0</v>
      </c>
      <c r="J621" t="n">
        <v>0</v>
      </c>
      <c r="K621" t="n">
        <v>0</v>
      </c>
      <c r="L621" t="n">
        <v>0</v>
      </c>
      <c r="M621" t="n">
        <v>0</v>
      </c>
      <c r="N621" t="n">
        <v>0</v>
      </c>
      <c r="O621" t="n">
        <v>0</v>
      </c>
      <c r="P621" t="n">
        <v>0</v>
      </c>
      <c r="Q621" t="n">
        <v>0</v>
      </c>
      <c r="R621" s="2" t="inlineStr"/>
    </row>
    <row r="622" ht="15" customHeight="1">
      <c r="A622" t="inlineStr">
        <is>
          <t>A 14750-2026</t>
        </is>
      </c>
      <c r="B622" s="1" t="n">
        <v>46101.6208912037</v>
      </c>
      <c r="C622" s="1" t="n">
        <v>46115</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32818-2023</t>
        </is>
      </c>
      <c r="B623" s="1" t="n">
        <v>45124.55633101852</v>
      </c>
      <c r="C623" s="1" t="n">
        <v>46115</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20214-2025</t>
        </is>
      </c>
      <c r="B624" s="1" t="n">
        <v>45772.63540509259</v>
      </c>
      <c r="C624" s="1" t="n">
        <v>46115</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14770-2026</t>
        </is>
      </c>
      <c r="B625" s="1" t="n">
        <v>46101.63951388889</v>
      </c>
      <c r="C625" s="1" t="n">
        <v>46115</v>
      </c>
      <c r="D625" t="inlineStr">
        <is>
          <t>SÖDERMANLANDS LÄN</t>
        </is>
      </c>
      <c r="E625" t="inlineStr">
        <is>
          <t>KATRINEHOLM</t>
        </is>
      </c>
      <c r="G625" t="n">
        <v>7.5</v>
      </c>
      <c r="H625" t="n">
        <v>0</v>
      </c>
      <c r="I625" t="n">
        <v>0</v>
      </c>
      <c r="J625" t="n">
        <v>0</v>
      </c>
      <c r="K625" t="n">
        <v>0</v>
      </c>
      <c r="L625" t="n">
        <v>0</v>
      </c>
      <c r="M625" t="n">
        <v>0</v>
      </c>
      <c r="N625" t="n">
        <v>0</v>
      </c>
      <c r="O625" t="n">
        <v>0</v>
      </c>
      <c r="P625" t="n">
        <v>0</v>
      </c>
      <c r="Q625" t="n">
        <v>0</v>
      </c>
      <c r="R625" s="2" t="inlineStr"/>
    </row>
    <row r="626" ht="15" customHeight="1">
      <c r="A626" t="inlineStr">
        <is>
          <t>A 22272-2022</t>
        </is>
      </c>
      <c r="B626" s="1" t="n">
        <v>44712</v>
      </c>
      <c r="C626" s="1" t="n">
        <v>46115</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27334-2023</t>
        </is>
      </c>
      <c r="B627" s="1" t="n">
        <v>45096</v>
      </c>
      <c r="C627" s="1" t="n">
        <v>46115</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14751-2026</t>
        </is>
      </c>
      <c r="B628" s="1" t="n">
        <v>46101.6220949074</v>
      </c>
      <c r="C628" s="1" t="n">
        <v>46115</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40186-2023</t>
        </is>
      </c>
      <c r="B629" s="1" t="n">
        <v>45169</v>
      </c>
      <c r="C629" s="1" t="n">
        <v>46115</v>
      </c>
      <c r="D629" t="inlineStr">
        <is>
          <t>SÖDERMANLANDS LÄN</t>
        </is>
      </c>
      <c r="E629" t="inlineStr">
        <is>
          <t>KATRINEHOLM</t>
        </is>
      </c>
      <c r="G629" t="n">
        <v>2.1</v>
      </c>
      <c r="H629" t="n">
        <v>0</v>
      </c>
      <c r="I629" t="n">
        <v>0</v>
      </c>
      <c r="J629" t="n">
        <v>0</v>
      </c>
      <c r="K629" t="n">
        <v>0</v>
      </c>
      <c r="L629" t="n">
        <v>0</v>
      </c>
      <c r="M629" t="n">
        <v>0</v>
      </c>
      <c r="N629" t="n">
        <v>0</v>
      </c>
      <c r="O629" t="n">
        <v>0</v>
      </c>
      <c r="P629" t="n">
        <v>0</v>
      </c>
      <c r="Q629" t="n">
        <v>0</v>
      </c>
      <c r="R629" s="2" t="inlineStr"/>
    </row>
    <row r="630" ht="15" customHeight="1">
      <c r="A630" t="inlineStr">
        <is>
          <t>A 47886-2023</t>
        </is>
      </c>
      <c r="B630" s="1" t="n">
        <v>45204</v>
      </c>
      <c r="C630" s="1" t="n">
        <v>46115</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36562-2023</t>
        </is>
      </c>
      <c r="B631" s="1" t="n">
        <v>45153</v>
      </c>
      <c r="C631" s="1" t="n">
        <v>46115</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34539-2022</t>
        </is>
      </c>
      <c r="B632" s="1" t="n">
        <v>44793.50563657407</v>
      </c>
      <c r="C632" s="1" t="n">
        <v>46115</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41205-2021</t>
        </is>
      </c>
      <c r="B633" s="1" t="n">
        <v>44424.38577546296</v>
      </c>
      <c r="C633" s="1" t="n">
        <v>46115</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24748-2024</t>
        </is>
      </c>
      <c r="B634" s="1" t="n">
        <v>45460.66567129629</v>
      </c>
      <c r="C634" s="1" t="n">
        <v>46115</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15191-2026</t>
        </is>
      </c>
      <c r="B635" s="1" t="n">
        <v>46105.46846064815</v>
      </c>
      <c r="C635" s="1" t="n">
        <v>46115</v>
      </c>
      <c r="D635" t="inlineStr">
        <is>
          <t>SÖDERMANLANDS LÄN</t>
        </is>
      </c>
      <c r="E635" t="inlineStr">
        <is>
          <t>KATRINEHOLM</t>
        </is>
      </c>
      <c r="G635" t="n">
        <v>3.6</v>
      </c>
      <c r="H635" t="n">
        <v>0</v>
      </c>
      <c r="I635" t="n">
        <v>0</v>
      </c>
      <c r="J635" t="n">
        <v>0</v>
      </c>
      <c r="K635" t="n">
        <v>0</v>
      </c>
      <c r="L635" t="n">
        <v>0</v>
      </c>
      <c r="M635" t="n">
        <v>0</v>
      </c>
      <c r="N635" t="n">
        <v>0</v>
      </c>
      <c r="O635" t="n">
        <v>0</v>
      </c>
      <c r="P635" t="n">
        <v>0</v>
      </c>
      <c r="Q635" t="n">
        <v>0</v>
      </c>
      <c r="R635" s="2" t="inlineStr"/>
    </row>
    <row r="636" ht="15" customHeight="1">
      <c r="A636" t="inlineStr">
        <is>
          <t>A 40402-2022</t>
        </is>
      </c>
      <c r="B636" s="1" t="n">
        <v>44823.44353009259</v>
      </c>
      <c r="C636" s="1" t="n">
        <v>46115</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17792-2025</t>
        </is>
      </c>
      <c r="B637" s="1" t="n">
        <v>45758</v>
      </c>
      <c r="C637" s="1" t="n">
        <v>46115</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17820-2025</t>
        </is>
      </c>
      <c r="B638" s="1" t="n">
        <v>45758</v>
      </c>
      <c r="C638" s="1" t="n">
        <v>46115</v>
      </c>
      <c r="D638" t="inlineStr">
        <is>
          <t>SÖDERMANLANDS LÄN</t>
        </is>
      </c>
      <c r="E638" t="inlineStr">
        <is>
          <t>KATRINEHOLM</t>
        </is>
      </c>
      <c r="G638" t="n">
        <v>5.9</v>
      </c>
      <c r="H638" t="n">
        <v>0</v>
      </c>
      <c r="I638" t="n">
        <v>0</v>
      </c>
      <c r="J638" t="n">
        <v>0</v>
      </c>
      <c r="K638" t="n">
        <v>0</v>
      </c>
      <c r="L638" t="n">
        <v>0</v>
      </c>
      <c r="M638" t="n">
        <v>0</v>
      </c>
      <c r="N638" t="n">
        <v>0</v>
      </c>
      <c r="O638" t="n">
        <v>0</v>
      </c>
      <c r="P638" t="n">
        <v>0</v>
      </c>
      <c r="Q638" t="n">
        <v>0</v>
      </c>
      <c r="R638" s="2" t="inlineStr"/>
    </row>
    <row r="639" ht="15" customHeight="1">
      <c r="A639" t="inlineStr">
        <is>
          <t>A 30387-2022</t>
        </is>
      </c>
      <c r="B639" s="1" t="n">
        <v>44760</v>
      </c>
      <c r="C639" s="1" t="n">
        <v>46115</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15819-2026</t>
        </is>
      </c>
      <c r="B640" s="1" t="n">
        <v>46107.53678240741</v>
      </c>
      <c r="C640" s="1" t="n">
        <v>46115</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15701-2026</t>
        </is>
      </c>
      <c r="B641" s="1" t="n">
        <v>46106</v>
      </c>
      <c r="C641" s="1" t="n">
        <v>46115</v>
      </c>
      <c r="D641" t="inlineStr">
        <is>
          <t>SÖDERMANLANDS LÄN</t>
        </is>
      </c>
      <c r="E641" t="inlineStr">
        <is>
          <t>KATRINEHOLM</t>
        </is>
      </c>
      <c r="G641" t="n">
        <v>2.2</v>
      </c>
      <c r="H641" t="n">
        <v>0</v>
      </c>
      <c r="I641" t="n">
        <v>0</v>
      </c>
      <c r="J641" t="n">
        <v>0</v>
      </c>
      <c r="K641" t="n">
        <v>0</v>
      </c>
      <c r="L641" t="n">
        <v>0</v>
      </c>
      <c r="M641" t="n">
        <v>0</v>
      </c>
      <c r="N641" t="n">
        <v>0</v>
      </c>
      <c r="O641" t="n">
        <v>0</v>
      </c>
      <c r="P641" t="n">
        <v>0</v>
      </c>
      <c r="Q641" t="n">
        <v>0</v>
      </c>
      <c r="R641" s="2" t="inlineStr"/>
    </row>
    <row r="642" ht="15" customHeight="1">
      <c r="A642" t="inlineStr">
        <is>
          <t>A 39052-2023</t>
        </is>
      </c>
      <c r="B642" s="1" t="n">
        <v>45163</v>
      </c>
      <c r="C642" s="1" t="n">
        <v>46115</v>
      </c>
      <c r="D642" t="inlineStr">
        <is>
          <t>SÖDERMANLANDS LÄN</t>
        </is>
      </c>
      <c r="E642" t="inlineStr">
        <is>
          <t>KATRINEHOLM</t>
        </is>
      </c>
      <c r="G642" t="n">
        <v>3</v>
      </c>
      <c r="H642" t="n">
        <v>0</v>
      </c>
      <c r="I642" t="n">
        <v>0</v>
      </c>
      <c r="J642" t="n">
        <v>0</v>
      </c>
      <c r="K642" t="n">
        <v>0</v>
      </c>
      <c r="L642" t="n">
        <v>0</v>
      </c>
      <c r="M642" t="n">
        <v>0</v>
      </c>
      <c r="N642" t="n">
        <v>0</v>
      </c>
      <c r="O642" t="n">
        <v>0</v>
      </c>
      <c r="P642" t="n">
        <v>0</v>
      </c>
      <c r="Q642" t="n">
        <v>0</v>
      </c>
      <c r="R642" s="2" t="inlineStr"/>
    </row>
    <row r="643" ht="15" customHeight="1">
      <c r="A643" t="inlineStr">
        <is>
          <t>A 8922-2024</t>
        </is>
      </c>
      <c r="B643" s="1" t="n">
        <v>45357.38601851852</v>
      </c>
      <c r="C643" s="1" t="n">
        <v>46115</v>
      </c>
      <c r="D643" t="inlineStr">
        <is>
          <t>SÖDERMANLANDS LÄN</t>
        </is>
      </c>
      <c r="E643" t="inlineStr">
        <is>
          <t>KATRINEHOLM</t>
        </is>
      </c>
      <c r="G643" t="n">
        <v>2.2</v>
      </c>
      <c r="H643" t="n">
        <v>0</v>
      </c>
      <c r="I643" t="n">
        <v>0</v>
      </c>
      <c r="J643" t="n">
        <v>0</v>
      </c>
      <c r="K643" t="n">
        <v>0</v>
      </c>
      <c r="L643" t="n">
        <v>0</v>
      </c>
      <c r="M643" t="n">
        <v>0</v>
      </c>
      <c r="N643" t="n">
        <v>0</v>
      </c>
      <c r="O643" t="n">
        <v>0</v>
      </c>
      <c r="P643" t="n">
        <v>0</v>
      </c>
      <c r="Q643" t="n">
        <v>0</v>
      </c>
      <c r="R643" s="2" t="inlineStr"/>
    </row>
    <row r="644" ht="15" customHeight="1">
      <c r="A644" t="inlineStr">
        <is>
          <t>A 48160-2022</t>
        </is>
      </c>
      <c r="B644" s="1" t="n">
        <v>44853</v>
      </c>
      <c r="C644" s="1" t="n">
        <v>46115</v>
      </c>
      <c r="D644" t="inlineStr">
        <is>
          <t>SÖDERMANLANDS LÄN</t>
        </is>
      </c>
      <c r="E644" t="inlineStr">
        <is>
          <t>KATRINEHOLM</t>
        </is>
      </c>
      <c r="F644" t="inlineStr">
        <is>
          <t>Övriga statliga verk och myndigheter</t>
        </is>
      </c>
      <c r="G644" t="n">
        <v>2.2</v>
      </c>
      <c r="H644" t="n">
        <v>0</v>
      </c>
      <c r="I644" t="n">
        <v>0</v>
      </c>
      <c r="J644" t="n">
        <v>0</v>
      </c>
      <c r="K644" t="n">
        <v>0</v>
      </c>
      <c r="L644" t="n">
        <v>0</v>
      </c>
      <c r="M644" t="n">
        <v>0</v>
      </c>
      <c r="N644" t="n">
        <v>0</v>
      </c>
      <c r="O644" t="n">
        <v>0</v>
      </c>
      <c r="P644" t="n">
        <v>0</v>
      </c>
      <c r="Q644" t="n">
        <v>0</v>
      </c>
      <c r="R644" s="2" t="inlineStr"/>
    </row>
    <row r="645" ht="15" customHeight="1">
      <c r="A645" t="inlineStr">
        <is>
          <t>A 28317-2024</t>
        </is>
      </c>
      <c r="B645" s="1" t="n">
        <v>45477</v>
      </c>
      <c r="C645" s="1" t="n">
        <v>46115</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16432-2026</t>
        </is>
      </c>
      <c r="B646" s="1" t="n">
        <v>46111.81027777777</v>
      </c>
      <c r="C646" s="1" t="n">
        <v>46115</v>
      </c>
      <c r="D646" t="inlineStr">
        <is>
          <t>SÖDERMANLANDS LÄN</t>
        </is>
      </c>
      <c r="E646" t="inlineStr">
        <is>
          <t>KATRINEHOLM</t>
        </is>
      </c>
      <c r="G646" t="n">
        <v>2.2</v>
      </c>
      <c r="H646" t="n">
        <v>0</v>
      </c>
      <c r="I646" t="n">
        <v>0</v>
      </c>
      <c r="J646" t="n">
        <v>0</v>
      </c>
      <c r="K646" t="n">
        <v>0</v>
      </c>
      <c r="L646" t="n">
        <v>0</v>
      </c>
      <c r="M646" t="n">
        <v>0</v>
      </c>
      <c r="N646" t="n">
        <v>0</v>
      </c>
      <c r="O646" t="n">
        <v>0</v>
      </c>
      <c r="P646" t="n">
        <v>0</v>
      </c>
      <c r="Q646" t="n">
        <v>0</v>
      </c>
      <c r="R646" s="2" t="inlineStr"/>
    </row>
    <row r="647" ht="15" customHeight="1">
      <c r="A647" t="inlineStr">
        <is>
          <t>A 66393-2021</t>
        </is>
      </c>
      <c r="B647" s="1" t="n">
        <v>44518</v>
      </c>
      <c r="C647" s="1" t="n">
        <v>46115</v>
      </c>
      <c r="D647" t="inlineStr">
        <is>
          <t>SÖDERMANLANDS LÄN</t>
        </is>
      </c>
      <c r="E647" t="inlineStr">
        <is>
          <t>KATRINEHOLM</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47134-2022</t>
        </is>
      </c>
      <c r="B648" s="1" t="n">
        <v>44851</v>
      </c>
      <c r="C648" s="1" t="n">
        <v>46115</v>
      </c>
      <c r="D648" t="inlineStr">
        <is>
          <t>SÖDERMANLANDS LÄN</t>
        </is>
      </c>
      <c r="E648" t="inlineStr">
        <is>
          <t>KATRINEHOLM</t>
        </is>
      </c>
      <c r="F648" t="inlineStr">
        <is>
          <t>Övriga statliga verk och myndigheter</t>
        </is>
      </c>
      <c r="G648" t="n">
        <v>1.5</v>
      </c>
      <c r="H648" t="n">
        <v>0</v>
      </c>
      <c r="I648" t="n">
        <v>0</v>
      </c>
      <c r="J648" t="n">
        <v>0</v>
      </c>
      <c r="K648" t="n">
        <v>0</v>
      </c>
      <c r="L648" t="n">
        <v>0</v>
      </c>
      <c r="M648" t="n">
        <v>0</v>
      </c>
      <c r="N648" t="n">
        <v>0</v>
      </c>
      <c r="O648" t="n">
        <v>0</v>
      </c>
      <c r="P648" t="n">
        <v>0</v>
      </c>
      <c r="Q648" t="n">
        <v>0</v>
      </c>
      <c r="R648" s="2" t="inlineStr"/>
    </row>
    <row r="649" ht="15" customHeight="1">
      <c r="A649" t="inlineStr">
        <is>
          <t>A 1143-2024</t>
        </is>
      </c>
      <c r="B649" s="1" t="n">
        <v>45302</v>
      </c>
      <c r="C649" s="1" t="n">
        <v>46115</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3982-2024</t>
        </is>
      </c>
      <c r="B650" s="1" t="n">
        <v>45322</v>
      </c>
      <c r="C650" s="1" t="n">
        <v>46115</v>
      </c>
      <c r="D650" t="inlineStr">
        <is>
          <t>SÖDERMANLANDS LÄN</t>
        </is>
      </c>
      <c r="E650" t="inlineStr">
        <is>
          <t>KATRINEHOLM</t>
        </is>
      </c>
      <c r="G650" t="n">
        <v>3.7</v>
      </c>
      <c r="H650" t="n">
        <v>0</v>
      </c>
      <c r="I650" t="n">
        <v>0</v>
      </c>
      <c r="J650" t="n">
        <v>0</v>
      </c>
      <c r="K650" t="n">
        <v>0</v>
      </c>
      <c r="L650" t="n">
        <v>0</v>
      </c>
      <c r="M650" t="n">
        <v>0</v>
      </c>
      <c r="N650" t="n">
        <v>0</v>
      </c>
      <c r="O650" t="n">
        <v>0</v>
      </c>
      <c r="P650" t="n">
        <v>0</v>
      </c>
      <c r="Q650" t="n">
        <v>0</v>
      </c>
      <c r="R650" s="2" t="inlineStr"/>
    </row>
    <row r="651" ht="15" customHeight="1">
      <c r="A651" t="inlineStr">
        <is>
          <t>A 57263-2022</t>
        </is>
      </c>
      <c r="B651" s="1" t="n">
        <v>44895</v>
      </c>
      <c r="C651" s="1" t="n">
        <v>46115</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28431-2024</t>
        </is>
      </c>
      <c r="B652" s="1" t="n">
        <v>45477.65216435185</v>
      </c>
      <c r="C652" s="1" t="n">
        <v>46115</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62418-2023</t>
        </is>
      </c>
      <c r="B653" s="1" t="n">
        <v>45268</v>
      </c>
      <c r="C653" s="1" t="n">
        <v>46115</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45142-2021</t>
        </is>
      </c>
      <c r="B654" s="1" t="n">
        <v>44439</v>
      </c>
      <c r="C654" s="1" t="n">
        <v>46115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7191-2023</t>
        </is>
      </c>
      <c r="B655" s="1" t="n">
        <v>44965</v>
      </c>
      <c r="C655" s="1" t="n">
        <v>46115</v>
      </c>
      <c r="D655" t="inlineStr">
        <is>
          <t>SÖDERMANLANDS LÄN</t>
        </is>
      </c>
      <c r="E655" t="inlineStr">
        <is>
          <t>KATRINEHOLM</t>
        </is>
      </c>
      <c r="G655" t="n">
        <v>14.1</v>
      </c>
      <c r="H655" t="n">
        <v>0</v>
      </c>
      <c r="I655" t="n">
        <v>0</v>
      </c>
      <c r="J655" t="n">
        <v>0</v>
      </c>
      <c r="K655" t="n">
        <v>0</v>
      </c>
      <c r="L655" t="n">
        <v>0</v>
      </c>
      <c r="M655" t="n">
        <v>0</v>
      </c>
      <c r="N655" t="n">
        <v>0</v>
      </c>
      <c r="O655" t="n">
        <v>0</v>
      </c>
      <c r="P655" t="n">
        <v>0</v>
      </c>
      <c r="Q655" t="n">
        <v>0</v>
      </c>
      <c r="R655" s="2" t="inlineStr"/>
    </row>
    <row r="656" ht="15" customHeight="1">
      <c r="A656" t="inlineStr">
        <is>
          <t>A 66540-2021</t>
        </is>
      </c>
      <c r="B656" s="1" t="n">
        <v>44519</v>
      </c>
      <c r="C656" s="1" t="n">
        <v>46115</v>
      </c>
      <c r="D656" t="inlineStr">
        <is>
          <t>SÖDERMANLANDS LÄN</t>
        </is>
      </c>
      <c r="E656" t="inlineStr">
        <is>
          <t>KATRINEHOLM</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8394-2024</t>
        </is>
      </c>
      <c r="B657" s="1" t="n">
        <v>45352</v>
      </c>
      <c r="C657" s="1" t="n">
        <v>46115</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16113-2026</t>
        </is>
      </c>
      <c r="B658" s="1" t="n">
        <v>46108</v>
      </c>
      <c r="C658" s="1" t="n">
        <v>46115</v>
      </c>
      <c r="D658" t="inlineStr">
        <is>
          <t>SÖDERMANLANDS LÄN</t>
        </is>
      </c>
      <c r="E658" t="inlineStr">
        <is>
          <t>KATRINEHOLM</t>
        </is>
      </c>
      <c r="G658" t="n">
        <v>4</v>
      </c>
      <c r="H658" t="n">
        <v>0</v>
      </c>
      <c r="I658" t="n">
        <v>0</v>
      </c>
      <c r="J658" t="n">
        <v>0</v>
      </c>
      <c r="K658" t="n">
        <v>0</v>
      </c>
      <c r="L658" t="n">
        <v>0</v>
      </c>
      <c r="M658" t="n">
        <v>0</v>
      </c>
      <c r="N658" t="n">
        <v>0</v>
      </c>
      <c r="O658" t="n">
        <v>0</v>
      </c>
      <c r="P658" t="n">
        <v>0</v>
      </c>
      <c r="Q658" t="n">
        <v>0</v>
      </c>
      <c r="R658" s="2" t="inlineStr"/>
    </row>
    <row r="659" ht="15" customHeight="1">
      <c r="A659" t="inlineStr">
        <is>
          <t>A 13658-2023</t>
        </is>
      </c>
      <c r="B659" s="1" t="n">
        <v>45006</v>
      </c>
      <c r="C659" s="1" t="n">
        <v>46115</v>
      </c>
      <c r="D659" t="inlineStr">
        <is>
          <t>SÖDERMANLANDS LÄN</t>
        </is>
      </c>
      <c r="E659" t="inlineStr">
        <is>
          <t>KATRINEHOLM</t>
        </is>
      </c>
      <c r="F659" t="inlineStr">
        <is>
          <t>Kyrkan</t>
        </is>
      </c>
      <c r="G659" t="n">
        <v>24.3</v>
      </c>
      <c r="H659" t="n">
        <v>0</v>
      </c>
      <c r="I659" t="n">
        <v>0</v>
      </c>
      <c r="J659" t="n">
        <v>0</v>
      </c>
      <c r="K659" t="n">
        <v>0</v>
      </c>
      <c r="L659" t="n">
        <v>0</v>
      </c>
      <c r="M659" t="n">
        <v>0</v>
      </c>
      <c r="N659" t="n">
        <v>0</v>
      </c>
      <c r="O659" t="n">
        <v>0</v>
      </c>
      <c r="P659" t="n">
        <v>0</v>
      </c>
      <c r="Q659" t="n">
        <v>0</v>
      </c>
      <c r="R659" s="2" t="inlineStr"/>
    </row>
    <row r="660" ht="15" customHeight="1">
      <c r="A660" t="inlineStr">
        <is>
          <t>A 61385-2023</t>
        </is>
      </c>
      <c r="B660" s="1" t="n">
        <v>45264.64241898148</v>
      </c>
      <c r="C660" s="1" t="n">
        <v>46115</v>
      </c>
      <c r="D660" t="inlineStr">
        <is>
          <t>SÖDERMANLANDS LÄN</t>
        </is>
      </c>
      <c r="E660" t="inlineStr">
        <is>
          <t>KATRINEHOLM</t>
        </is>
      </c>
      <c r="G660" t="n">
        <v>0.4</v>
      </c>
      <c r="H660" t="n">
        <v>0</v>
      </c>
      <c r="I660" t="n">
        <v>0</v>
      </c>
      <c r="J660" t="n">
        <v>0</v>
      </c>
      <c r="K660" t="n">
        <v>0</v>
      </c>
      <c r="L660" t="n">
        <v>0</v>
      </c>
      <c r="M660" t="n">
        <v>0</v>
      </c>
      <c r="N660" t="n">
        <v>0</v>
      </c>
      <c r="O660" t="n">
        <v>0</v>
      </c>
      <c r="P660" t="n">
        <v>0</v>
      </c>
      <c r="Q660" t="n">
        <v>0</v>
      </c>
      <c r="R660" s="2" t="inlineStr"/>
    </row>
    <row r="661" ht="15" customHeight="1">
      <c r="A661" t="inlineStr">
        <is>
          <t>A 55825-2022</t>
        </is>
      </c>
      <c r="B661" s="1" t="n">
        <v>44886</v>
      </c>
      <c r="C661" s="1" t="n">
        <v>46115</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55856-2022</t>
        </is>
      </c>
      <c r="B662" s="1" t="n">
        <v>44888</v>
      </c>
      <c r="C662" s="1" t="n">
        <v>46115</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43513-2023</t>
        </is>
      </c>
      <c r="B663" s="1" t="n">
        <v>45184</v>
      </c>
      <c r="C663" s="1" t="n">
        <v>46115</v>
      </c>
      <c r="D663" t="inlineStr">
        <is>
          <t>SÖDERMANLANDS LÄN</t>
        </is>
      </c>
      <c r="E663" t="inlineStr">
        <is>
          <t>KATRINEHOLM</t>
        </is>
      </c>
      <c r="G663" t="n">
        <v>3.8</v>
      </c>
      <c r="H663" t="n">
        <v>0</v>
      </c>
      <c r="I663" t="n">
        <v>0</v>
      </c>
      <c r="J663" t="n">
        <v>0</v>
      </c>
      <c r="K663" t="n">
        <v>0</v>
      </c>
      <c r="L663" t="n">
        <v>0</v>
      </c>
      <c r="M663" t="n">
        <v>0</v>
      </c>
      <c r="N663" t="n">
        <v>0</v>
      </c>
      <c r="O663" t="n">
        <v>0</v>
      </c>
      <c r="P663" t="n">
        <v>0</v>
      </c>
      <c r="Q663" t="n">
        <v>0</v>
      </c>
      <c r="R663" s="2" t="inlineStr"/>
    </row>
    <row r="664" ht="15" customHeight="1">
      <c r="A664" t="inlineStr">
        <is>
          <t>A 8951-2024</t>
        </is>
      </c>
      <c r="B664" s="1" t="n">
        <v>45357.44695601852</v>
      </c>
      <c r="C664" s="1" t="n">
        <v>46115</v>
      </c>
      <c r="D664" t="inlineStr">
        <is>
          <t>SÖDERMANLANDS LÄN</t>
        </is>
      </c>
      <c r="E664" t="inlineStr">
        <is>
          <t>KATRINEHOLM</t>
        </is>
      </c>
      <c r="G664" t="n">
        <v>3.3</v>
      </c>
      <c r="H664" t="n">
        <v>0</v>
      </c>
      <c r="I664" t="n">
        <v>0</v>
      </c>
      <c r="J664" t="n">
        <v>0</v>
      </c>
      <c r="K664" t="n">
        <v>0</v>
      </c>
      <c r="L664" t="n">
        <v>0</v>
      </c>
      <c r="M664" t="n">
        <v>0</v>
      </c>
      <c r="N664" t="n">
        <v>0</v>
      </c>
      <c r="O664" t="n">
        <v>0</v>
      </c>
      <c r="P664" t="n">
        <v>0</v>
      </c>
      <c r="Q664" t="n">
        <v>0</v>
      </c>
      <c r="R664" s="2" t="inlineStr"/>
    </row>
    <row r="665" ht="15" customHeight="1">
      <c r="A665" t="inlineStr">
        <is>
          <t>A 8955-2024</t>
        </is>
      </c>
      <c r="B665" s="1" t="n">
        <v>45357.44873842593</v>
      </c>
      <c r="C665" s="1" t="n">
        <v>46115</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15945-2024</t>
        </is>
      </c>
      <c r="B666" s="1" t="n">
        <v>45405.48912037037</v>
      </c>
      <c r="C666" s="1" t="n">
        <v>46115</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4655-2024</t>
        </is>
      </c>
      <c r="B667" s="1" t="n">
        <v>45328</v>
      </c>
      <c r="C667" s="1" t="n">
        <v>46115</v>
      </c>
      <c r="D667" t="inlineStr">
        <is>
          <t>SÖDERMANLANDS LÄN</t>
        </is>
      </c>
      <c r="E667" t="inlineStr">
        <is>
          <t>KATRINEHOLM</t>
        </is>
      </c>
      <c r="G667" t="n">
        <v>17.7</v>
      </c>
      <c r="H667" t="n">
        <v>0</v>
      </c>
      <c r="I667" t="n">
        <v>0</v>
      </c>
      <c r="J667" t="n">
        <v>0</v>
      </c>
      <c r="K667" t="n">
        <v>0</v>
      </c>
      <c r="L667" t="n">
        <v>0</v>
      </c>
      <c r="M667" t="n">
        <v>0</v>
      </c>
      <c r="N667" t="n">
        <v>0</v>
      </c>
      <c r="O667" t="n">
        <v>0</v>
      </c>
      <c r="P667" t="n">
        <v>0</v>
      </c>
      <c r="Q667" t="n">
        <v>0</v>
      </c>
      <c r="R667" s="2" t="inlineStr"/>
    </row>
    <row r="668" ht="15" customHeight="1">
      <c r="A668" t="inlineStr">
        <is>
          <t>A 53387-2023</t>
        </is>
      </c>
      <c r="B668" s="1" t="n">
        <v>45229</v>
      </c>
      <c r="C668" s="1" t="n">
        <v>46115</v>
      </c>
      <c r="D668" t="inlineStr">
        <is>
          <t>SÖDERMANLANDS LÄN</t>
        </is>
      </c>
      <c r="E668" t="inlineStr">
        <is>
          <t>KATRINEHOLM</t>
        </is>
      </c>
      <c r="F668" t="inlineStr">
        <is>
          <t>Kyrkan</t>
        </is>
      </c>
      <c r="G668" t="n">
        <v>7.4</v>
      </c>
      <c r="H668" t="n">
        <v>0</v>
      </c>
      <c r="I668" t="n">
        <v>0</v>
      </c>
      <c r="J668" t="n">
        <v>0</v>
      </c>
      <c r="K668" t="n">
        <v>0</v>
      </c>
      <c r="L668" t="n">
        <v>0</v>
      </c>
      <c r="M668" t="n">
        <v>0</v>
      </c>
      <c r="N668" t="n">
        <v>0</v>
      </c>
      <c r="O668" t="n">
        <v>0</v>
      </c>
      <c r="P668" t="n">
        <v>0</v>
      </c>
      <c r="Q668" t="n">
        <v>0</v>
      </c>
      <c r="R668" s="2" t="inlineStr"/>
    </row>
    <row r="669" ht="15" customHeight="1">
      <c r="A669" t="inlineStr">
        <is>
          <t>A 42590-2022</t>
        </is>
      </c>
      <c r="B669" s="1" t="n">
        <v>44831</v>
      </c>
      <c r="C669" s="1" t="n">
        <v>46115</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38883-2024</t>
        </is>
      </c>
      <c r="B670" s="1" t="n">
        <v>45547</v>
      </c>
      <c r="C670" s="1" t="n">
        <v>46115</v>
      </c>
      <c r="D670" t="inlineStr">
        <is>
          <t>SÖDERMANLANDS LÄN</t>
        </is>
      </c>
      <c r="E670" t="inlineStr">
        <is>
          <t>KATRINEHOLM</t>
        </is>
      </c>
      <c r="G670" t="n">
        <v>3.1</v>
      </c>
      <c r="H670" t="n">
        <v>0</v>
      </c>
      <c r="I670" t="n">
        <v>0</v>
      </c>
      <c r="J670" t="n">
        <v>0</v>
      </c>
      <c r="K670" t="n">
        <v>0</v>
      </c>
      <c r="L670" t="n">
        <v>0</v>
      </c>
      <c r="M670" t="n">
        <v>0</v>
      </c>
      <c r="N670" t="n">
        <v>0</v>
      </c>
      <c r="O670" t="n">
        <v>0</v>
      </c>
      <c r="P670" t="n">
        <v>0</v>
      </c>
      <c r="Q670" t="n">
        <v>0</v>
      </c>
      <c r="R670" s="2" t="inlineStr"/>
    </row>
    <row r="671" ht="15" customHeight="1">
      <c r="A671" t="inlineStr">
        <is>
          <t>A 4667-2024</t>
        </is>
      </c>
      <c r="B671" s="1" t="n">
        <v>45328.47</v>
      </c>
      <c r="C671" s="1" t="n">
        <v>46115</v>
      </c>
      <c r="D671" t="inlineStr">
        <is>
          <t>SÖDERMANLANDS LÄN</t>
        </is>
      </c>
      <c r="E671" t="inlineStr">
        <is>
          <t>KATRINEHOLM</t>
        </is>
      </c>
      <c r="F671" t="inlineStr">
        <is>
          <t>Övriga Aktiebolag</t>
        </is>
      </c>
      <c r="G671" t="n">
        <v>10.2</v>
      </c>
      <c r="H671" t="n">
        <v>0</v>
      </c>
      <c r="I671" t="n">
        <v>0</v>
      </c>
      <c r="J671" t="n">
        <v>0</v>
      </c>
      <c r="K671" t="n">
        <v>0</v>
      </c>
      <c r="L671" t="n">
        <v>0</v>
      </c>
      <c r="M671" t="n">
        <v>0</v>
      </c>
      <c r="N671" t="n">
        <v>0</v>
      </c>
      <c r="O671" t="n">
        <v>0</v>
      </c>
      <c r="P671" t="n">
        <v>0</v>
      </c>
      <c r="Q671" t="n">
        <v>0</v>
      </c>
      <c r="R671" s="2" t="inlineStr"/>
    </row>
    <row r="672" ht="15" customHeight="1">
      <c r="A672" t="inlineStr">
        <is>
          <t>A 39704-2023</t>
        </is>
      </c>
      <c r="B672" s="1" t="n">
        <v>45167</v>
      </c>
      <c r="C672" s="1" t="n">
        <v>46115</v>
      </c>
      <c r="D672" t="inlineStr">
        <is>
          <t>SÖDERMANLANDS LÄN</t>
        </is>
      </c>
      <c r="E672" t="inlineStr">
        <is>
          <t>KATRINEHOLM</t>
        </is>
      </c>
      <c r="F672" t="inlineStr">
        <is>
          <t>Övriga Aktiebolag</t>
        </is>
      </c>
      <c r="G672" t="n">
        <v>3.4</v>
      </c>
      <c r="H672" t="n">
        <v>0</v>
      </c>
      <c r="I672" t="n">
        <v>0</v>
      </c>
      <c r="J672" t="n">
        <v>0</v>
      </c>
      <c r="K672" t="n">
        <v>0</v>
      </c>
      <c r="L672" t="n">
        <v>0</v>
      </c>
      <c r="M672" t="n">
        <v>0</v>
      </c>
      <c r="N672" t="n">
        <v>0</v>
      </c>
      <c r="O672" t="n">
        <v>0</v>
      </c>
      <c r="P672" t="n">
        <v>0</v>
      </c>
      <c r="Q672" t="n">
        <v>0</v>
      </c>
      <c r="R672" s="2" t="inlineStr"/>
    </row>
    <row r="673" ht="15" customHeight="1">
      <c r="A673" t="inlineStr">
        <is>
          <t>A 16087-2023</t>
        </is>
      </c>
      <c r="B673" s="1" t="n">
        <v>45026</v>
      </c>
      <c r="C673" s="1" t="n">
        <v>46115</v>
      </c>
      <c r="D673" t="inlineStr">
        <is>
          <t>SÖDERMANLANDS LÄN</t>
        </is>
      </c>
      <c r="E673" t="inlineStr">
        <is>
          <t>KATRINEHOLM</t>
        </is>
      </c>
      <c r="G673" t="n">
        <v>2</v>
      </c>
      <c r="H673" t="n">
        <v>0</v>
      </c>
      <c r="I673" t="n">
        <v>0</v>
      </c>
      <c r="J673" t="n">
        <v>0</v>
      </c>
      <c r="K673" t="n">
        <v>0</v>
      </c>
      <c r="L673" t="n">
        <v>0</v>
      </c>
      <c r="M673" t="n">
        <v>0</v>
      </c>
      <c r="N673" t="n">
        <v>0</v>
      </c>
      <c r="O673" t="n">
        <v>0</v>
      </c>
      <c r="P673" t="n">
        <v>0</v>
      </c>
      <c r="Q673" t="n">
        <v>0</v>
      </c>
      <c r="R673" s="2" t="inlineStr"/>
    </row>
    <row r="674" ht="15" customHeight="1">
      <c r="A674" t="inlineStr">
        <is>
          <t>A 28652-2024</t>
        </is>
      </c>
      <c r="B674" s="1" t="n">
        <v>45478</v>
      </c>
      <c r="C674" s="1" t="n">
        <v>46115</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42791-2023</t>
        </is>
      </c>
      <c r="B675" s="1" t="n">
        <v>45181.92876157408</v>
      </c>
      <c r="C675" s="1" t="n">
        <v>46115</v>
      </c>
      <c r="D675" t="inlineStr">
        <is>
          <t>SÖDERMANLANDS LÄN</t>
        </is>
      </c>
      <c r="E675" t="inlineStr">
        <is>
          <t>KATRINEHOLM</t>
        </is>
      </c>
      <c r="G675" t="n">
        <v>4.1</v>
      </c>
      <c r="H675" t="n">
        <v>0</v>
      </c>
      <c r="I675" t="n">
        <v>0</v>
      </c>
      <c r="J675" t="n">
        <v>0</v>
      </c>
      <c r="K675" t="n">
        <v>0</v>
      </c>
      <c r="L675" t="n">
        <v>0</v>
      </c>
      <c r="M675" t="n">
        <v>0</v>
      </c>
      <c r="N675" t="n">
        <v>0</v>
      </c>
      <c r="O675" t="n">
        <v>0</v>
      </c>
      <c r="P675" t="n">
        <v>0</v>
      </c>
      <c r="Q675" t="n">
        <v>0</v>
      </c>
      <c r="R675" s="2" t="inlineStr"/>
    </row>
    <row r="676" ht="15" customHeight="1">
      <c r="A676" t="inlineStr">
        <is>
          <t>A 42792-2023</t>
        </is>
      </c>
      <c r="B676" s="1" t="n">
        <v>45181.95491898148</v>
      </c>
      <c r="C676" s="1" t="n">
        <v>46115</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31740-2022</t>
        </is>
      </c>
      <c r="B677" s="1" t="n">
        <v>44776</v>
      </c>
      <c r="C677" s="1" t="n">
        <v>46115</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4679-2023</t>
        </is>
      </c>
      <c r="B678" s="1" t="n">
        <v>44957.44885416667</v>
      </c>
      <c r="C678" s="1" t="n">
        <v>46115</v>
      </c>
      <c r="D678" t="inlineStr">
        <is>
          <t>SÖDERMANLANDS LÄN</t>
        </is>
      </c>
      <c r="E678" t="inlineStr">
        <is>
          <t>KATRINEHOLM</t>
        </is>
      </c>
      <c r="G678" t="n">
        <v>5.3</v>
      </c>
      <c r="H678" t="n">
        <v>0</v>
      </c>
      <c r="I678" t="n">
        <v>0</v>
      </c>
      <c r="J678" t="n">
        <v>0</v>
      </c>
      <c r="K678" t="n">
        <v>0</v>
      </c>
      <c r="L678" t="n">
        <v>0</v>
      </c>
      <c r="M678" t="n">
        <v>0</v>
      </c>
      <c r="N678" t="n">
        <v>0</v>
      </c>
      <c r="O678" t="n">
        <v>0</v>
      </c>
      <c r="P678" t="n">
        <v>0</v>
      </c>
      <c r="Q678" t="n">
        <v>0</v>
      </c>
      <c r="R678" s="2" t="inlineStr"/>
    </row>
    <row r="679" ht="15" customHeight="1">
      <c r="A679" t="inlineStr">
        <is>
          <t>A 48528-2021</t>
        </is>
      </c>
      <c r="B679" s="1" t="n">
        <v>44449</v>
      </c>
      <c r="C679" s="1" t="n">
        <v>46115</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48398-2022</t>
        </is>
      </c>
      <c r="B680" s="1" t="n">
        <v>44858.60809027778</v>
      </c>
      <c r="C680" s="1" t="n">
        <v>46115</v>
      </c>
      <c r="D680" t="inlineStr">
        <is>
          <t>SÖDERMANLANDS LÄN</t>
        </is>
      </c>
      <c r="E680" t="inlineStr">
        <is>
          <t>KATRINEHOLM</t>
        </is>
      </c>
      <c r="G680" t="n">
        <v>1.9</v>
      </c>
      <c r="H680" t="n">
        <v>0</v>
      </c>
      <c r="I680" t="n">
        <v>0</v>
      </c>
      <c r="J680" t="n">
        <v>0</v>
      </c>
      <c r="K680" t="n">
        <v>0</v>
      </c>
      <c r="L680" t="n">
        <v>0</v>
      </c>
      <c r="M680" t="n">
        <v>0</v>
      </c>
      <c r="N680" t="n">
        <v>0</v>
      </c>
      <c r="O680" t="n">
        <v>0</v>
      </c>
      <c r="P680" t="n">
        <v>0</v>
      </c>
      <c r="Q680" t="n">
        <v>0</v>
      </c>
      <c r="R680" s="2" t="inlineStr"/>
    </row>
    <row r="681" ht="15" customHeight="1">
      <c r="A681" t="inlineStr">
        <is>
          <t>A 6753-2022</t>
        </is>
      </c>
      <c r="B681" s="1" t="n">
        <v>44602</v>
      </c>
      <c r="C681" s="1" t="n">
        <v>46115</v>
      </c>
      <c r="D681" t="inlineStr">
        <is>
          <t>SÖDERMANLANDS LÄN</t>
        </is>
      </c>
      <c r="E681" t="inlineStr">
        <is>
          <t>KATRINEHOLM</t>
        </is>
      </c>
      <c r="G681" t="n">
        <v>4.3</v>
      </c>
      <c r="H681" t="n">
        <v>0</v>
      </c>
      <c r="I681" t="n">
        <v>0</v>
      </c>
      <c r="J681" t="n">
        <v>0</v>
      </c>
      <c r="K681" t="n">
        <v>0</v>
      </c>
      <c r="L681" t="n">
        <v>0</v>
      </c>
      <c r="M681" t="n">
        <v>0</v>
      </c>
      <c r="N681" t="n">
        <v>0</v>
      </c>
      <c r="O681" t="n">
        <v>0</v>
      </c>
      <c r="P681" t="n">
        <v>0</v>
      </c>
      <c r="Q681" t="n">
        <v>0</v>
      </c>
      <c r="R681" s="2" t="inlineStr"/>
    </row>
    <row r="682" ht="15" customHeight="1">
      <c r="A682" t="inlineStr">
        <is>
          <t>A 15184-2023</t>
        </is>
      </c>
      <c r="B682" s="1" t="n">
        <v>45016</v>
      </c>
      <c r="C682" s="1" t="n">
        <v>46115</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38826-2021</t>
        </is>
      </c>
      <c r="B683" s="1" t="n">
        <v>44411</v>
      </c>
      <c r="C683" s="1" t="n">
        <v>46115</v>
      </c>
      <c r="D683" t="inlineStr">
        <is>
          <t>SÖDERMANLANDS LÄN</t>
        </is>
      </c>
      <c r="E683" t="inlineStr">
        <is>
          <t>KATRINEHOLM</t>
        </is>
      </c>
      <c r="G683" t="n">
        <v>3.1</v>
      </c>
      <c r="H683" t="n">
        <v>0</v>
      </c>
      <c r="I683" t="n">
        <v>0</v>
      </c>
      <c r="J683" t="n">
        <v>0</v>
      </c>
      <c r="K683" t="n">
        <v>0</v>
      </c>
      <c r="L683" t="n">
        <v>0</v>
      </c>
      <c r="M683" t="n">
        <v>0</v>
      </c>
      <c r="N683" t="n">
        <v>0</v>
      </c>
      <c r="O683" t="n">
        <v>0</v>
      </c>
      <c r="P683" t="n">
        <v>0</v>
      </c>
      <c r="Q683" t="n">
        <v>0</v>
      </c>
      <c r="R683" s="2" t="inlineStr"/>
    </row>
    <row r="684" ht="15" customHeight="1">
      <c r="A684" t="inlineStr">
        <is>
          <t>A 29830-2023</t>
        </is>
      </c>
      <c r="B684" s="1" t="n">
        <v>45107</v>
      </c>
      <c r="C684" s="1" t="n">
        <v>46115</v>
      </c>
      <c r="D684" t="inlineStr">
        <is>
          <t>SÖDERMANLANDS LÄN</t>
        </is>
      </c>
      <c r="E684" t="inlineStr">
        <is>
          <t>KATRINEHOLM</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19098-2022</t>
        </is>
      </c>
      <c r="B685" s="1" t="n">
        <v>44691.52616898148</v>
      </c>
      <c r="C685" s="1" t="n">
        <v>46115</v>
      </c>
      <c r="D685" t="inlineStr">
        <is>
          <t>SÖDERMANLANDS LÄN</t>
        </is>
      </c>
      <c r="E685" t="inlineStr">
        <is>
          <t>KATRINEHOLM</t>
        </is>
      </c>
      <c r="G685" t="n">
        <v>5.5</v>
      </c>
      <c r="H685" t="n">
        <v>0</v>
      </c>
      <c r="I685" t="n">
        <v>0</v>
      </c>
      <c r="J685" t="n">
        <v>0</v>
      </c>
      <c r="K685" t="n">
        <v>0</v>
      </c>
      <c r="L685" t="n">
        <v>0</v>
      </c>
      <c r="M685" t="n">
        <v>0</v>
      </c>
      <c r="N685" t="n">
        <v>0</v>
      </c>
      <c r="O685" t="n">
        <v>0</v>
      </c>
      <c r="P685" t="n">
        <v>0</v>
      </c>
      <c r="Q685" t="n">
        <v>0</v>
      </c>
      <c r="R685" s="2" t="inlineStr"/>
    </row>
    <row r="686" ht="15" customHeight="1">
      <c r="A686" t="inlineStr">
        <is>
          <t>A 6628-2022</t>
        </is>
      </c>
      <c r="B686" s="1" t="n">
        <v>44601.78850694445</v>
      </c>
      <c r="C686" s="1" t="n">
        <v>46115</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72984-2021</t>
        </is>
      </c>
      <c r="B687" s="1" t="n">
        <v>44549.74741898148</v>
      </c>
      <c r="C687" s="1" t="n">
        <v>46115</v>
      </c>
      <c r="D687" t="inlineStr">
        <is>
          <t>SÖDERMANLANDS LÄN</t>
        </is>
      </c>
      <c r="E687" t="inlineStr">
        <is>
          <t>KATRINEHOLM</t>
        </is>
      </c>
      <c r="G687" t="n">
        <v>4.9</v>
      </c>
      <c r="H687" t="n">
        <v>0</v>
      </c>
      <c r="I687" t="n">
        <v>0</v>
      </c>
      <c r="J687" t="n">
        <v>0</v>
      </c>
      <c r="K687" t="n">
        <v>0</v>
      </c>
      <c r="L687" t="n">
        <v>0</v>
      </c>
      <c r="M687" t="n">
        <v>0</v>
      </c>
      <c r="N687" t="n">
        <v>0</v>
      </c>
      <c r="O687" t="n">
        <v>0</v>
      </c>
      <c r="P687" t="n">
        <v>0</v>
      </c>
      <c r="Q687" t="n">
        <v>0</v>
      </c>
      <c r="R687" s="2" t="inlineStr"/>
    </row>
    <row r="688" ht="15" customHeight="1">
      <c r="A688" t="inlineStr">
        <is>
          <t>A 2325-2023</t>
        </is>
      </c>
      <c r="B688" s="1" t="n">
        <v>44942</v>
      </c>
      <c r="C688" s="1" t="n">
        <v>46115</v>
      </c>
      <c r="D688" t="inlineStr">
        <is>
          <t>SÖDERMANLANDS LÄN</t>
        </is>
      </c>
      <c r="E688" t="inlineStr">
        <is>
          <t>KATRINEHOLM</t>
        </is>
      </c>
      <c r="G688" t="n">
        <v>5.6</v>
      </c>
      <c r="H688" t="n">
        <v>0</v>
      </c>
      <c r="I688" t="n">
        <v>0</v>
      </c>
      <c r="J688" t="n">
        <v>0</v>
      </c>
      <c r="K688" t="n">
        <v>0</v>
      </c>
      <c r="L688" t="n">
        <v>0</v>
      </c>
      <c r="M688" t="n">
        <v>0</v>
      </c>
      <c r="N688" t="n">
        <v>0</v>
      </c>
      <c r="O688" t="n">
        <v>0</v>
      </c>
      <c r="P688" t="n">
        <v>0</v>
      </c>
      <c r="Q688" t="n">
        <v>0</v>
      </c>
      <c r="R688" s="2" t="inlineStr"/>
    </row>
    <row r="689" ht="15" customHeight="1">
      <c r="A689" t="inlineStr">
        <is>
          <t>A 46011-2021</t>
        </is>
      </c>
      <c r="B689" s="1" t="n">
        <v>44441.88092592593</v>
      </c>
      <c r="C689" s="1" t="n">
        <v>46115</v>
      </c>
      <c r="D689" t="inlineStr">
        <is>
          <t>SÖDERMANLANDS LÄN</t>
        </is>
      </c>
      <c r="E689" t="inlineStr">
        <is>
          <t>KATRINEHOLM</t>
        </is>
      </c>
      <c r="G689" t="n">
        <v>4.7</v>
      </c>
      <c r="H689" t="n">
        <v>0</v>
      </c>
      <c r="I689" t="n">
        <v>0</v>
      </c>
      <c r="J689" t="n">
        <v>0</v>
      </c>
      <c r="K689" t="n">
        <v>0</v>
      </c>
      <c r="L689" t="n">
        <v>0</v>
      </c>
      <c r="M689" t="n">
        <v>0</v>
      </c>
      <c r="N689" t="n">
        <v>0</v>
      </c>
      <c r="O689" t="n">
        <v>0</v>
      </c>
      <c r="P689" t="n">
        <v>0</v>
      </c>
      <c r="Q689" t="n">
        <v>0</v>
      </c>
      <c r="R689" s="2" t="inlineStr"/>
    </row>
    <row r="690" ht="15" customHeight="1">
      <c r="A690" t="inlineStr">
        <is>
          <t>A 62140-2022</t>
        </is>
      </c>
      <c r="B690" s="1" t="n">
        <v>44922</v>
      </c>
      <c r="C690" s="1" t="n">
        <v>46115</v>
      </c>
      <c r="D690" t="inlineStr">
        <is>
          <t>SÖDERMANLANDS LÄN</t>
        </is>
      </c>
      <c r="E690" t="inlineStr">
        <is>
          <t>KATRINEHOLM</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33934-2022</t>
        </is>
      </c>
      <c r="B691" s="1" t="n">
        <v>44790</v>
      </c>
      <c r="C691" s="1" t="n">
        <v>46115</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13171-2024</t>
        </is>
      </c>
      <c r="B692" s="1" t="n">
        <v>45386</v>
      </c>
      <c r="C692" s="1" t="n">
        <v>46115</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59384-2022</t>
        </is>
      </c>
      <c r="B693" s="1" t="n">
        <v>44905</v>
      </c>
      <c r="C693" s="1" t="n">
        <v>46115</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13086-2023</t>
        </is>
      </c>
      <c r="B694" s="1" t="n">
        <v>45002.42188657408</v>
      </c>
      <c r="C694" s="1" t="n">
        <v>46115</v>
      </c>
      <c r="D694" t="inlineStr">
        <is>
          <t>SÖDERMANLANDS LÄN</t>
        </is>
      </c>
      <c r="E694" t="inlineStr">
        <is>
          <t>KATRINEHOLM</t>
        </is>
      </c>
      <c r="G694" t="n">
        <v>2.2</v>
      </c>
      <c r="H694" t="n">
        <v>0</v>
      </c>
      <c r="I694" t="n">
        <v>0</v>
      </c>
      <c r="J694" t="n">
        <v>0</v>
      </c>
      <c r="K694" t="n">
        <v>0</v>
      </c>
      <c r="L694" t="n">
        <v>0</v>
      </c>
      <c r="M694" t="n">
        <v>0</v>
      </c>
      <c r="N694" t="n">
        <v>0</v>
      </c>
      <c r="O694" t="n">
        <v>0</v>
      </c>
      <c r="P694" t="n">
        <v>0</v>
      </c>
      <c r="Q694" t="n">
        <v>0</v>
      </c>
      <c r="R694" s="2" t="inlineStr"/>
    </row>
    <row r="695" ht="15" customHeight="1">
      <c r="A695" t="inlineStr">
        <is>
          <t>A 19670-2022</t>
        </is>
      </c>
      <c r="B695" s="1" t="n">
        <v>44694</v>
      </c>
      <c r="C695" s="1" t="n">
        <v>46115</v>
      </c>
      <c r="D695" t="inlineStr">
        <is>
          <t>SÖDERMANLANDS LÄN</t>
        </is>
      </c>
      <c r="E695" t="inlineStr">
        <is>
          <t>KATRINEHOLM</t>
        </is>
      </c>
      <c r="G695" t="n">
        <v>13.6</v>
      </c>
      <c r="H695" t="n">
        <v>0</v>
      </c>
      <c r="I695" t="n">
        <v>0</v>
      </c>
      <c r="J695" t="n">
        <v>0</v>
      </c>
      <c r="K695" t="n">
        <v>0</v>
      </c>
      <c r="L695" t="n">
        <v>0</v>
      </c>
      <c r="M695" t="n">
        <v>0</v>
      </c>
      <c r="N695" t="n">
        <v>0</v>
      </c>
      <c r="O695" t="n">
        <v>0</v>
      </c>
      <c r="P695" t="n">
        <v>0</v>
      </c>
      <c r="Q695" t="n">
        <v>0</v>
      </c>
      <c r="R695" s="2" t="inlineStr"/>
    </row>
    <row r="696" ht="15" customHeight="1">
      <c r="A696" t="inlineStr">
        <is>
          <t>A 19107-2022</t>
        </is>
      </c>
      <c r="B696" s="1" t="n">
        <v>44691.54077546296</v>
      </c>
      <c r="C696" s="1" t="n">
        <v>46115</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30333-2023</t>
        </is>
      </c>
      <c r="B697" s="1" t="n">
        <v>45111</v>
      </c>
      <c r="C697" s="1" t="n">
        <v>46115</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6175-2023</t>
        </is>
      </c>
      <c r="B698" s="1" t="n">
        <v>44964</v>
      </c>
      <c r="C698" s="1" t="n">
        <v>46115</v>
      </c>
      <c r="D698" t="inlineStr">
        <is>
          <t>SÖDERMANLANDS LÄN</t>
        </is>
      </c>
      <c r="E698" t="inlineStr">
        <is>
          <t>KATRINEHOLM</t>
        </is>
      </c>
      <c r="G698" t="n">
        <v>11.2</v>
      </c>
      <c r="H698" t="n">
        <v>0</v>
      </c>
      <c r="I698" t="n">
        <v>0</v>
      </c>
      <c r="J698" t="n">
        <v>0</v>
      </c>
      <c r="K698" t="n">
        <v>0</v>
      </c>
      <c r="L698" t="n">
        <v>0</v>
      </c>
      <c r="M698" t="n">
        <v>0</v>
      </c>
      <c r="N698" t="n">
        <v>0</v>
      </c>
      <c r="O698" t="n">
        <v>0</v>
      </c>
      <c r="P698" t="n">
        <v>0</v>
      </c>
      <c r="Q698" t="n">
        <v>0</v>
      </c>
      <c r="R698" s="2" t="inlineStr"/>
    </row>
    <row r="699" ht="15" customHeight="1">
      <c r="A699" t="inlineStr">
        <is>
          <t>A 11875-2023</t>
        </is>
      </c>
      <c r="B699" s="1" t="n">
        <v>44995</v>
      </c>
      <c r="C699" s="1" t="n">
        <v>46115</v>
      </c>
      <c r="D699" t="inlineStr">
        <is>
          <t>SÖDERMANLANDS LÄN</t>
        </is>
      </c>
      <c r="E699" t="inlineStr">
        <is>
          <t>KATRINEHOLM</t>
        </is>
      </c>
      <c r="F699" t="inlineStr">
        <is>
          <t>Kommuner</t>
        </is>
      </c>
      <c r="G699" t="n">
        <v>1.1</v>
      </c>
      <c r="H699" t="n">
        <v>0</v>
      </c>
      <c r="I699" t="n">
        <v>0</v>
      </c>
      <c r="J699" t="n">
        <v>0</v>
      </c>
      <c r="K699" t="n">
        <v>0</v>
      </c>
      <c r="L699" t="n">
        <v>0</v>
      </c>
      <c r="M699" t="n">
        <v>0</v>
      </c>
      <c r="N699" t="n">
        <v>0</v>
      </c>
      <c r="O699" t="n">
        <v>0</v>
      </c>
      <c r="P699" t="n">
        <v>0</v>
      </c>
      <c r="Q699" t="n">
        <v>0</v>
      </c>
      <c r="R699" s="2" t="inlineStr"/>
    </row>
    <row r="700" ht="15" customHeight="1">
      <c r="A700" t="inlineStr">
        <is>
          <t>A 6796-2022</t>
        </is>
      </c>
      <c r="B700" s="1" t="n">
        <v>44602</v>
      </c>
      <c r="C700" s="1" t="n">
        <v>46115</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13612-2023</t>
        </is>
      </c>
      <c r="B701" s="1" t="n">
        <v>45006</v>
      </c>
      <c r="C701" s="1" t="n">
        <v>46115</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39068-2022</t>
        </is>
      </c>
      <c r="B702" s="1" t="n">
        <v>44816</v>
      </c>
      <c r="C702" s="1" t="n">
        <v>46115</v>
      </c>
      <c r="D702" t="inlineStr">
        <is>
          <t>SÖDERMANLANDS LÄN</t>
        </is>
      </c>
      <c r="E702" t="inlineStr">
        <is>
          <t>KATRINEHOLM</t>
        </is>
      </c>
      <c r="G702" t="n">
        <v>3.6</v>
      </c>
      <c r="H702" t="n">
        <v>0</v>
      </c>
      <c r="I702" t="n">
        <v>0</v>
      </c>
      <c r="J702" t="n">
        <v>0</v>
      </c>
      <c r="K702" t="n">
        <v>0</v>
      </c>
      <c r="L702" t="n">
        <v>0</v>
      </c>
      <c r="M702" t="n">
        <v>0</v>
      </c>
      <c r="N702" t="n">
        <v>0</v>
      </c>
      <c r="O702" t="n">
        <v>0</v>
      </c>
      <c r="P702" t="n">
        <v>0</v>
      </c>
      <c r="Q702" t="n">
        <v>0</v>
      </c>
      <c r="R702" s="2" t="inlineStr"/>
    </row>
    <row r="703" ht="15" customHeight="1">
      <c r="A703" t="inlineStr">
        <is>
          <t>A 8765-2023</t>
        </is>
      </c>
      <c r="B703" s="1" t="n">
        <v>44978.52131944444</v>
      </c>
      <c r="C703" s="1" t="n">
        <v>46115</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57154-2023</t>
        </is>
      </c>
      <c r="B704" s="1" t="n">
        <v>45245</v>
      </c>
      <c r="C704" s="1" t="n">
        <v>46115</v>
      </c>
      <c r="D704" t="inlineStr">
        <is>
          <t>SÖDERMANLANDS LÄN</t>
        </is>
      </c>
      <c r="E704" t="inlineStr">
        <is>
          <t>KATRINEHOLM</t>
        </is>
      </c>
      <c r="F704" t="inlineStr">
        <is>
          <t>Allmännings- och besparingsskogar</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21959-2022</t>
        </is>
      </c>
      <c r="B705" s="1" t="n">
        <v>44708</v>
      </c>
      <c r="C705" s="1" t="n">
        <v>46115</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51530-2023</t>
        </is>
      </c>
      <c r="B706" s="1" t="n">
        <v>45222</v>
      </c>
      <c r="C706" s="1" t="n">
        <v>46115</v>
      </c>
      <c r="D706" t="inlineStr">
        <is>
          <t>SÖDERMANLANDS LÄN</t>
        </is>
      </c>
      <c r="E706" t="inlineStr">
        <is>
          <t>KATRINEHOLM</t>
        </is>
      </c>
      <c r="G706" t="n">
        <v>0.9</v>
      </c>
      <c r="H706" t="n">
        <v>0</v>
      </c>
      <c r="I706" t="n">
        <v>0</v>
      </c>
      <c r="J706" t="n">
        <v>0</v>
      </c>
      <c r="K706" t="n">
        <v>0</v>
      </c>
      <c r="L706" t="n">
        <v>0</v>
      </c>
      <c r="M706" t="n">
        <v>0</v>
      </c>
      <c r="N706" t="n">
        <v>0</v>
      </c>
      <c r="O706" t="n">
        <v>0</v>
      </c>
      <c r="P706" t="n">
        <v>0</v>
      </c>
      <c r="Q706" t="n">
        <v>0</v>
      </c>
      <c r="R706" s="2" t="inlineStr"/>
    </row>
    <row r="707" ht="15" customHeight="1">
      <c r="A707" t="inlineStr">
        <is>
          <t>A 23916-2023</t>
        </is>
      </c>
      <c r="B707" s="1" t="n">
        <v>45075</v>
      </c>
      <c r="C707" s="1" t="n">
        <v>46115</v>
      </c>
      <c r="D707" t="inlineStr">
        <is>
          <t>SÖDERMANLANDS LÄN</t>
        </is>
      </c>
      <c r="E707" t="inlineStr">
        <is>
          <t>KATRINEHOLM</t>
        </is>
      </c>
      <c r="G707" t="n">
        <v>8</v>
      </c>
      <c r="H707" t="n">
        <v>0</v>
      </c>
      <c r="I707" t="n">
        <v>0</v>
      </c>
      <c r="J707" t="n">
        <v>0</v>
      </c>
      <c r="K707" t="n">
        <v>0</v>
      </c>
      <c r="L707" t="n">
        <v>0</v>
      </c>
      <c r="M707" t="n">
        <v>0</v>
      </c>
      <c r="N707" t="n">
        <v>0</v>
      </c>
      <c r="O707" t="n">
        <v>0</v>
      </c>
      <c r="P707" t="n">
        <v>0</v>
      </c>
      <c r="Q707" t="n">
        <v>0</v>
      </c>
      <c r="R707" s="2" t="inlineStr"/>
    </row>
    <row r="708" ht="15" customHeight="1">
      <c r="A708" t="inlineStr">
        <is>
          <t>A 38879-2024</t>
        </is>
      </c>
      <c r="B708" s="1" t="n">
        <v>45547</v>
      </c>
      <c r="C708" s="1" t="n">
        <v>46115</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9437-2022</t>
        </is>
      </c>
      <c r="B709" s="1" t="n">
        <v>44616.69246527777</v>
      </c>
      <c r="C709" s="1" t="n">
        <v>46115</v>
      </c>
      <c r="D709" t="inlineStr">
        <is>
          <t>SÖDERMANLANDS LÄN</t>
        </is>
      </c>
      <c r="E709" t="inlineStr">
        <is>
          <t>KATRINEHOLM</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25362-2023</t>
        </is>
      </c>
      <c r="B710" s="1" t="n">
        <v>45088.83430555555</v>
      </c>
      <c r="C710" s="1" t="n">
        <v>46115</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4662-2023</t>
        </is>
      </c>
      <c r="B711" s="1" t="n">
        <v>44957</v>
      </c>
      <c r="C711" s="1" t="n">
        <v>46115</v>
      </c>
      <c r="D711" t="inlineStr">
        <is>
          <t>SÖDERMANLANDS LÄN</t>
        </is>
      </c>
      <c r="E711" t="inlineStr">
        <is>
          <t>KATRINEHOLM</t>
        </is>
      </c>
      <c r="F711" t="inlineStr">
        <is>
          <t>Holmen skog AB</t>
        </is>
      </c>
      <c r="G711" t="n">
        <v>0.4</v>
      </c>
      <c r="H711" t="n">
        <v>0</v>
      </c>
      <c r="I711" t="n">
        <v>0</v>
      </c>
      <c r="J711" t="n">
        <v>0</v>
      </c>
      <c r="K711" t="n">
        <v>0</v>
      </c>
      <c r="L711" t="n">
        <v>0</v>
      </c>
      <c r="M711" t="n">
        <v>0</v>
      </c>
      <c r="N711" t="n">
        <v>0</v>
      </c>
      <c r="O711" t="n">
        <v>0</v>
      </c>
      <c r="P711" t="n">
        <v>0</v>
      </c>
      <c r="Q711" t="n">
        <v>0</v>
      </c>
      <c r="R711" s="2" t="inlineStr"/>
    </row>
    <row r="712" ht="15" customHeight="1">
      <c r="A712" t="inlineStr">
        <is>
          <t>A 19685-2022</t>
        </is>
      </c>
      <c r="B712" s="1" t="n">
        <v>44694</v>
      </c>
      <c r="C712" s="1" t="n">
        <v>46115</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62419-2023</t>
        </is>
      </c>
      <c r="B713" s="1" t="n">
        <v>45268</v>
      </c>
      <c r="C713" s="1" t="n">
        <v>46115</v>
      </c>
      <c r="D713" t="inlineStr">
        <is>
          <t>SÖDERMANLANDS LÄN</t>
        </is>
      </c>
      <c r="E713" t="inlineStr">
        <is>
          <t>KATRINEHOLM</t>
        </is>
      </c>
      <c r="G713" t="n">
        <v>9</v>
      </c>
      <c r="H713" t="n">
        <v>0</v>
      </c>
      <c r="I713" t="n">
        <v>0</v>
      </c>
      <c r="J713" t="n">
        <v>0</v>
      </c>
      <c r="K713" t="n">
        <v>0</v>
      </c>
      <c r="L713" t="n">
        <v>0</v>
      </c>
      <c r="M713" t="n">
        <v>0</v>
      </c>
      <c r="N713" t="n">
        <v>0</v>
      </c>
      <c r="O713" t="n">
        <v>0</v>
      </c>
      <c r="P713" t="n">
        <v>0</v>
      </c>
      <c r="Q713" t="n">
        <v>0</v>
      </c>
      <c r="R713" s="2" t="inlineStr"/>
    </row>
    <row r="714" ht="15" customHeight="1">
      <c r="A714" t="inlineStr">
        <is>
          <t>A 39897-2023</t>
        </is>
      </c>
      <c r="B714" s="1" t="n">
        <v>45168</v>
      </c>
      <c r="C714" s="1" t="n">
        <v>46115</v>
      </c>
      <c r="D714" t="inlineStr">
        <is>
          <t>SÖDERMANLANDS LÄN</t>
        </is>
      </c>
      <c r="E714" t="inlineStr">
        <is>
          <t>KATRINEHOLM</t>
        </is>
      </c>
      <c r="G714" t="n">
        <v>15.6</v>
      </c>
      <c r="H714" t="n">
        <v>0</v>
      </c>
      <c r="I714" t="n">
        <v>0</v>
      </c>
      <c r="J714" t="n">
        <v>0</v>
      </c>
      <c r="K714" t="n">
        <v>0</v>
      </c>
      <c r="L714" t="n">
        <v>0</v>
      </c>
      <c r="M714" t="n">
        <v>0</v>
      </c>
      <c r="N714" t="n">
        <v>0</v>
      </c>
      <c r="O714" t="n">
        <v>0</v>
      </c>
      <c r="P714" t="n">
        <v>0</v>
      </c>
      <c r="Q714" t="n">
        <v>0</v>
      </c>
      <c r="R714" s="2" t="inlineStr"/>
    </row>
    <row r="715" ht="15" customHeight="1">
      <c r="A715" t="inlineStr">
        <is>
          <t>A 23207-2023</t>
        </is>
      </c>
      <c r="B715" s="1" t="n">
        <v>45071</v>
      </c>
      <c r="C715" s="1" t="n">
        <v>46115</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42025-2022</t>
        </is>
      </c>
      <c r="B716" s="1" t="n">
        <v>44830.47399305556</v>
      </c>
      <c r="C716" s="1" t="n">
        <v>46115</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8791-2023</t>
        </is>
      </c>
      <c r="B717" s="1" t="n">
        <v>44978</v>
      </c>
      <c r="C717" s="1" t="n">
        <v>46115</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48253-2022</t>
        </is>
      </c>
      <c r="B718" s="1" t="n">
        <v>44858</v>
      </c>
      <c r="C718" s="1" t="n">
        <v>46115</v>
      </c>
      <c r="D718" t="inlineStr">
        <is>
          <t>SÖDERMANLANDS LÄN</t>
        </is>
      </c>
      <c r="E718" t="inlineStr">
        <is>
          <t>KATRINEHOLM</t>
        </is>
      </c>
      <c r="G718" t="n">
        <v>4.7</v>
      </c>
      <c r="H718" t="n">
        <v>0</v>
      </c>
      <c r="I718" t="n">
        <v>0</v>
      </c>
      <c r="J718" t="n">
        <v>0</v>
      </c>
      <c r="K718" t="n">
        <v>0</v>
      </c>
      <c r="L718" t="n">
        <v>0</v>
      </c>
      <c r="M718" t="n">
        <v>0</v>
      </c>
      <c r="N718" t="n">
        <v>0</v>
      </c>
      <c r="O718" t="n">
        <v>0</v>
      </c>
      <c r="P718" t="n">
        <v>0</v>
      </c>
      <c r="Q718" t="n">
        <v>0</v>
      </c>
      <c r="R718" s="2" t="inlineStr"/>
    </row>
    <row r="719" ht="15" customHeight="1">
      <c r="A719" t="inlineStr">
        <is>
          <t>A 53809-2021</t>
        </is>
      </c>
      <c r="B719" s="1" t="n">
        <v>44467</v>
      </c>
      <c r="C719" s="1" t="n">
        <v>46115</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31719-2024</t>
        </is>
      </c>
      <c r="B720" s="1" t="n">
        <v>45509</v>
      </c>
      <c r="C720" s="1" t="n">
        <v>46115</v>
      </c>
      <c r="D720" t="inlineStr">
        <is>
          <t>SÖDERMANLANDS LÄN</t>
        </is>
      </c>
      <c r="E720" t="inlineStr">
        <is>
          <t>KATRINEHOLM</t>
        </is>
      </c>
      <c r="F720" t="inlineStr">
        <is>
          <t>Kyrkan</t>
        </is>
      </c>
      <c r="G720" t="n">
        <v>11.9</v>
      </c>
      <c r="H720" t="n">
        <v>0</v>
      </c>
      <c r="I720" t="n">
        <v>0</v>
      </c>
      <c r="J720" t="n">
        <v>0</v>
      </c>
      <c r="K720" t="n">
        <v>0</v>
      </c>
      <c r="L720" t="n">
        <v>0</v>
      </c>
      <c r="M720" t="n">
        <v>0</v>
      </c>
      <c r="N720" t="n">
        <v>0</v>
      </c>
      <c r="O720" t="n">
        <v>0</v>
      </c>
      <c r="P720" t="n">
        <v>0</v>
      </c>
      <c r="Q720" t="n">
        <v>0</v>
      </c>
      <c r="R720" s="2" t="inlineStr"/>
    </row>
    <row r="721" ht="15" customHeight="1">
      <c r="A721" t="inlineStr">
        <is>
          <t>A 13175-2024</t>
        </is>
      </c>
      <c r="B721" s="1" t="n">
        <v>45386</v>
      </c>
      <c r="C721" s="1" t="n">
        <v>46115</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40744-2022</t>
        </is>
      </c>
      <c r="B722" s="1" t="n">
        <v>44824.55655092592</v>
      </c>
      <c r="C722" s="1" t="n">
        <v>46115</v>
      </c>
      <c r="D722" t="inlineStr">
        <is>
          <t>SÖDERMANLANDS LÄN</t>
        </is>
      </c>
      <c r="E722" t="inlineStr">
        <is>
          <t>KATRINEHOLM</t>
        </is>
      </c>
      <c r="G722" t="n">
        <v>3.7</v>
      </c>
      <c r="H722" t="n">
        <v>0</v>
      </c>
      <c r="I722" t="n">
        <v>0</v>
      </c>
      <c r="J722" t="n">
        <v>0</v>
      </c>
      <c r="K722" t="n">
        <v>0</v>
      </c>
      <c r="L722" t="n">
        <v>0</v>
      </c>
      <c r="M722" t="n">
        <v>0</v>
      </c>
      <c r="N722" t="n">
        <v>0</v>
      </c>
      <c r="O722" t="n">
        <v>0</v>
      </c>
      <c r="P722" t="n">
        <v>0</v>
      </c>
      <c r="Q722" t="n">
        <v>0</v>
      </c>
      <c r="R722" s="2" t="inlineStr"/>
    </row>
    <row r="723" ht="15" customHeight="1">
      <c r="A723" t="inlineStr">
        <is>
          <t>A 8761-2023</t>
        </is>
      </c>
      <c r="B723" s="1" t="n">
        <v>44978.49685185185</v>
      </c>
      <c r="C723" s="1" t="n">
        <v>46115</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8778-2023</t>
        </is>
      </c>
      <c r="B724" s="1" t="n">
        <v>44978.5737037037</v>
      </c>
      <c r="C724" s="1" t="n">
        <v>46115</v>
      </c>
      <c r="D724" t="inlineStr">
        <is>
          <t>SÖDERMANLANDS LÄN</t>
        </is>
      </c>
      <c r="E724" t="inlineStr">
        <is>
          <t>KATRINEHOLM</t>
        </is>
      </c>
      <c r="G724" t="n">
        <v>4.5</v>
      </c>
      <c r="H724" t="n">
        <v>0</v>
      </c>
      <c r="I724" t="n">
        <v>0</v>
      </c>
      <c r="J724" t="n">
        <v>0</v>
      </c>
      <c r="K724" t="n">
        <v>0</v>
      </c>
      <c r="L724" t="n">
        <v>0</v>
      </c>
      <c r="M724" t="n">
        <v>0</v>
      </c>
      <c r="N724" t="n">
        <v>0</v>
      </c>
      <c r="O724" t="n">
        <v>0</v>
      </c>
      <c r="P724" t="n">
        <v>0</v>
      </c>
      <c r="Q724" t="n">
        <v>0</v>
      </c>
      <c r="R724" s="2" t="inlineStr"/>
    </row>
    <row r="725" ht="15" customHeight="1">
      <c r="A725" t="inlineStr">
        <is>
          <t>A 8457-2023</t>
        </is>
      </c>
      <c r="B725" s="1" t="n">
        <v>44977</v>
      </c>
      <c r="C725" s="1" t="n">
        <v>46115</v>
      </c>
      <c r="D725" t="inlineStr">
        <is>
          <t>SÖDERMANLANDS LÄN</t>
        </is>
      </c>
      <c r="E725" t="inlineStr">
        <is>
          <t>KATRINEHOLM</t>
        </is>
      </c>
      <c r="F725" t="inlineStr">
        <is>
          <t>Allmännings- och besparingsskogar</t>
        </is>
      </c>
      <c r="G725" t="n">
        <v>16.1</v>
      </c>
      <c r="H725" t="n">
        <v>0</v>
      </c>
      <c r="I725" t="n">
        <v>0</v>
      </c>
      <c r="J725" t="n">
        <v>0</v>
      </c>
      <c r="K725" t="n">
        <v>0</v>
      </c>
      <c r="L725" t="n">
        <v>0</v>
      </c>
      <c r="M725" t="n">
        <v>0</v>
      </c>
      <c r="N725" t="n">
        <v>0</v>
      </c>
      <c r="O725" t="n">
        <v>0</v>
      </c>
      <c r="P725" t="n">
        <v>0</v>
      </c>
      <c r="Q725" t="n">
        <v>0</v>
      </c>
      <c r="R725" s="2" t="inlineStr"/>
    </row>
    <row r="726" ht="15" customHeight="1">
      <c r="A726" t="inlineStr">
        <is>
          <t>A 7056-2022</t>
        </is>
      </c>
      <c r="B726" s="1" t="n">
        <v>44603</v>
      </c>
      <c r="C726" s="1" t="n">
        <v>46115</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32786-2022</t>
        </is>
      </c>
      <c r="B727" s="1" t="n">
        <v>44784</v>
      </c>
      <c r="C727" s="1" t="n">
        <v>46115</v>
      </c>
      <c r="D727" t="inlineStr">
        <is>
          <t>SÖDERMANLANDS LÄN</t>
        </is>
      </c>
      <c r="E727" t="inlineStr">
        <is>
          <t>KATRINEHOLM</t>
        </is>
      </c>
      <c r="G727" t="n">
        <v>7</v>
      </c>
      <c r="H727" t="n">
        <v>0</v>
      </c>
      <c r="I727" t="n">
        <v>0</v>
      </c>
      <c r="J727" t="n">
        <v>0</v>
      </c>
      <c r="K727" t="n">
        <v>0</v>
      </c>
      <c r="L727" t="n">
        <v>0</v>
      </c>
      <c r="M727" t="n">
        <v>0</v>
      </c>
      <c r="N727" t="n">
        <v>0</v>
      </c>
      <c r="O727" t="n">
        <v>0</v>
      </c>
      <c r="P727" t="n">
        <v>0</v>
      </c>
      <c r="Q727" t="n">
        <v>0</v>
      </c>
      <c r="R727" s="2" t="inlineStr"/>
    </row>
    <row r="728" ht="15" customHeight="1">
      <c r="A728" t="inlineStr">
        <is>
          <t>A 7223-2022</t>
        </is>
      </c>
      <c r="B728" s="1" t="n">
        <v>44603</v>
      </c>
      <c r="C728" s="1" t="n">
        <v>46115</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7459-2022</t>
        </is>
      </c>
      <c r="B729" s="1" t="n">
        <v>44607.35009259259</v>
      </c>
      <c r="C729" s="1" t="n">
        <v>46115</v>
      </c>
      <c r="D729" t="inlineStr">
        <is>
          <t>SÖDERMANLANDS LÄN</t>
        </is>
      </c>
      <c r="E729" t="inlineStr">
        <is>
          <t>KATRINEHOLM</t>
        </is>
      </c>
      <c r="G729" t="n">
        <v>2</v>
      </c>
      <c r="H729" t="n">
        <v>0</v>
      </c>
      <c r="I729" t="n">
        <v>0</v>
      </c>
      <c r="J729" t="n">
        <v>0</v>
      </c>
      <c r="K729" t="n">
        <v>0</v>
      </c>
      <c r="L729" t="n">
        <v>0</v>
      </c>
      <c r="M729" t="n">
        <v>0</v>
      </c>
      <c r="N729" t="n">
        <v>0</v>
      </c>
      <c r="O729" t="n">
        <v>0</v>
      </c>
      <c r="P729" t="n">
        <v>0</v>
      </c>
      <c r="Q729" t="n">
        <v>0</v>
      </c>
      <c r="R729" s="2" t="inlineStr"/>
    </row>
    <row r="730" ht="15" customHeight="1">
      <c r="A730" t="inlineStr">
        <is>
          <t>A 27375-2024</t>
        </is>
      </c>
      <c r="B730" s="1" t="n">
        <v>45473.87645833333</v>
      </c>
      <c r="C730" s="1" t="n">
        <v>46115</v>
      </c>
      <c r="D730" t="inlineStr">
        <is>
          <t>SÖDERMANLANDS LÄN</t>
        </is>
      </c>
      <c r="E730" t="inlineStr">
        <is>
          <t>KATRINEHOLM</t>
        </is>
      </c>
      <c r="F730" t="inlineStr">
        <is>
          <t>Kommuner</t>
        </is>
      </c>
      <c r="G730" t="n">
        <v>1.9</v>
      </c>
      <c r="H730" t="n">
        <v>0</v>
      </c>
      <c r="I730" t="n">
        <v>0</v>
      </c>
      <c r="J730" t="n">
        <v>0</v>
      </c>
      <c r="K730" t="n">
        <v>0</v>
      </c>
      <c r="L730" t="n">
        <v>0</v>
      </c>
      <c r="M730" t="n">
        <v>0</v>
      </c>
      <c r="N730" t="n">
        <v>0</v>
      </c>
      <c r="O730" t="n">
        <v>0</v>
      </c>
      <c r="P730" t="n">
        <v>0</v>
      </c>
      <c r="Q730" t="n">
        <v>0</v>
      </c>
      <c r="R730" s="2" t="inlineStr"/>
    </row>
    <row r="731" ht="15" customHeight="1">
      <c r="A731" t="inlineStr">
        <is>
          <t>A 20768-2022</t>
        </is>
      </c>
      <c r="B731" s="1" t="n">
        <v>44701.36431712963</v>
      </c>
      <c r="C731" s="1" t="n">
        <v>46115</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15284-2023</t>
        </is>
      </c>
      <c r="B732" s="1" t="n">
        <v>45019</v>
      </c>
      <c r="C732" s="1" t="n">
        <v>46115</v>
      </c>
      <c r="D732" t="inlineStr">
        <is>
          <t>SÖDERMANLANDS LÄN</t>
        </is>
      </c>
      <c r="E732" t="inlineStr">
        <is>
          <t>KATRINEHOLM</t>
        </is>
      </c>
      <c r="F732" t="inlineStr">
        <is>
          <t>Allmännings- och besparingsskogar</t>
        </is>
      </c>
      <c r="G732" t="n">
        <v>17.4</v>
      </c>
      <c r="H732" t="n">
        <v>0</v>
      </c>
      <c r="I732" t="n">
        <v>0</v>
      </c>
      <c r="J732" t="n">
        <v>0</v>
      </c>
      <c r="K732" t="n">
        <v>0</v>
      </c>
      <c r="L732" t="n">
        <v>0</v>
      </c>
      <c r="M732" t="n">
        <v>0</v>
      </c>
      <c r="N732" t="n">
        <v>0</v>
      </c>
      <c r="O732" t="n">
        <v>0</v>
      </c>
      <c r="P732" t="n">
        <v>0</v>
      </c>
      <c r="Q732" t="n">
        <v>0</v>
      </c>
      <c r="R732" s="2" t="inlineStr"/>
    </row>
    <row r="733" ht="15" customHeight="1">
      <c r="A733" t="inlineStr">
        <is>
          <t>A 51613-2022</t>
        </is>
      </c>
      <c r="B733" s="1" t="n">
        <v>44871</v>
      </c>
      <c r="C733" s="1" t="n">
        <v>46115</v>
      </c>
      <c r="D733" t="inlineStr">
        <is>
          <t>SÖDERMANLANDS LÄN</t>
        </is>
      </c>
      <c r="E733" t="inlineStr">
        <is>
          <t>KATRINEHOLM</t>
        </is>
      </c>
      <c r="G733" t="n">
        <v>3</v>
      </c>
      <c r="H733" t="n">
        <v>0</v>
      </c>
      <c r="I733" t="n">
        <v>0</v>
      </c>
      <c r="J733" t="n">
        <v>0</v>
      </c>
      <c r="K733" t="n">
        <v>0</v>
      </c>
      <c r="L733" t="n">
        <v>0</v>
      </c>
      <c r="M733" t="n">
        <v>0</v>
      </c>
      <c r="N733" t="n">
        <v>0</v>
      </c>
      <c r="O733" t="n">
        <v>0</v>
      </c>
      <c r="P733" t="n">
        <v>0</v>
      </c>
      <c r="Q733" t="n">
        <v>0</v>
      </c>
      <c r="R733" s="2" t="inlineStr"/>
    </row>
    <row r="734" ht="15" customHeight="1">
      <c r="A734" t="inlineStr">
        <is>
          <t>A 37834-2023</t>
        </is>
      </c>
      <c r="B734" s="1" t="n">
        <v>45160</v>
      </c>
      <c r="C734" s="1" t="n">
        <v>46115</v>
      </c>
      <c r="D734" t="inlineStr">
        <is>
          <t>SÖDERMANLANDS LÄN</t>
        </is>
      </c>
      <c r="E734" t="inlineStr">
        <is>
          <t>KATRINEHOLM</t>
        </is>
      </c>
      <c r="F734" t="inlineStr">
        <is>
          <t>Kyrkan</t>
        </is>
      </c>
      <c r="G734" t="n">
        <v>2.8</v>
      </c>
      <c r="H734" t="n">
        <v>0</v>
      </c>
      <c r="I734" t="n">
        <v>0</v>
      </c>
      <c r="J734" t="n">
        <v>0</v>
      </c>
      <c r="K734" t="n">
        <v>0</v>
      </c>
      <c r="L734" t="n">
        <v>0</v>
      </c>
      <c r="M734" t="n">
        <v>0</v>
      </c>
      <c r="N734" t="n">
        <v>0</v>
      </c>
      <c r="O734" t="n">
        <v>0</v>
      </c>
      <c r="P734" t="n">
        <v>0</v>
      </c>
      <c r="Q734" t="n">
        <v>0</v>
      </c>
      <c r="R734" s="2" t="inlineStr"/>
    </row>
    <row r="735" ht="15" customHeight="1">
      <c r="A735" t="inlineStr">
        <is>
          <t>A 8475-2023</t>
        </is>
      </c>
      <c r="B735" s="1" t="n">
        <v>44977</v>
      </c>
      <c r="C735" s="1" t="n">
        <v>46115</v>
      </c>
      <c r="D735" t="inlineStr">
        <is>
          <t>SÖDERMANLANDS LÄN</t>
        </is>
      </c>
      <c r="E735" t="inlineStr">
        <is>
          <t>KATRINEHOLM</t>
        </is>
      </c>
      <c r="F735" t="inlineStr">
        <is>
          <t>Allmännings- och besparingsskogar</t>
        </is>
      </c>
      <c r="G735" t="n">
        <v>8.1</v>
      </c>
      <c r="H735" t="n">
        <v>0</v>
      </c>
      <c r="I735" t="n">
        <v>0</v>
      </c>
      <c r="J735" t="n">
        <v>0</v>
      </c>
      <c r="K735" t="n">
        <v>0</v>
      </c>
      <c r="L735" t="n">
        <v>0</v>
      </c>
      <c r="M735" t="n">
        <v>0</v>
      </c>
      <c r="N735" t="n">
        <v>0</v>
      </c>
      <c r="O735" t="n">
        <v>0</v>
      </c>
      <c r="P735" t="n">
        <v>0</v>
      </c>
      <c r="Q735" t="n">
        <v>0</v>
      </c>
      <c r="R735" s="2" t="inlineStr"/>
    </row>
    <row r="736" ht="15" customHeight="1">
      <c r="A736" t="inlineStr">
        <is>
          <t>A 32890-2024</t>
        </is>
      </c>
      <c r="B736" s="1" t="n">
        <v>45516</v>
      </c>
      <c r="C736" s="1" t="n">
        <v>46115</v>
      </c>
      <c r="D736" t="inlineStr">
        <is>
          <t>SÖDERMANLANDS LÄN</t>
        </is>
      </c>
      <c r="E736" t="inlineStr">
        <is>
          <t>KATRINEHOLM</t>
        </is>
      </c>
      <c r="G736" t="n">
        <v>2.6</v>
      </c>
      <c r="H736" t="n">
        <v>0</v>
      </c>
      <c r="I736" t="n">
        <v>0</v>
      </c>
      <c r="J736" t="n">
        <v>0</v>
      </c>
      <c r="K736" t="n">
        <v>0</v>
      </c>
      <c r="L736" t="n">
        <v>0</v>
      </c>
      <c r="M736" t="n">
        <v>0</v>
      </c>
      <c r="N736" t="n">
        <v>0</v>
      </c>
      <c r="O736" t="n">
        <v>0</v>
      </c>
      <c r="P736" t="n">
        <v>0</v>
      </c>
      <c r="Q736" t="n">
        <v>0</v>
      </c>
      <c r="R736" s="2" t="inlineStr"/>
    </row>
    <row r="737" ht="15" customHeight="1">
      <c r="A737" t="inlineStr">
        <is>
          <t>A 2320-2023</t>
        </is>
      </c>
      <c r="B737" s="1" t="n">
        <v>44942.58850694444</v>
      </c>
      <c r="C737" s="1" t="n">
        <v>46115</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59898-2022</t>
        </is>
      </c>
      <c r="B738" s="1" t="n">
        <v>44908</v>
      </c>
      <c r="C738" s="1" t="n">
        <v>46115</v>
      </c>
      <c r="D738" t="inlineStr">
        <is>
          <t>SÖDERMANLANDS LÄN</t>
        </is>
      </c>
      <c r="E738" t="inlineStr">
        <is>
          <t>KATRINEHOLM</t>
        </is>
      </c>
      <c r="G738" t="n">
        <v>4.8</v>
      </c>
      <c r="H738" t="n">
        <v>0</v>
      </c>
      <c r="I738" t="n">
        <v>0</v>
      </c>
      <c r="J738" t="n">
        <v>0</v>
      </c>
      <c r="K738" t="n">
        <v>0</v>
      </c>
      <c r="L738" t="n">
        <v>0</v>
      </c>
      <c r="M738" t="n">
        <v>0</v>
      </c>
      <c r="N738" t="n">
        <v>0</v>
      </c>
      <c r="O738" t="n">
        <v>0</v>
      </c>
      <c r="P738" t="n">
        <v>0</v>
      </c>
      <c r="Q738" t="n">
        <v>0</v>
      </c>
      <c r="R738" s="2" t="inlineStr"/>
    </row>
    <row r="739" ht="15" customHeight="1">
      <c r="A739" t="inlineStr">
        <is>
          <t>A 20326-2023</t>
        </is>
      </c>
      <c r="B739" s="1" t="n">
        <v>45056.46821759259</v>
      </c>
      <c r="C739" s="1" t="n">
        <v>46115</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15392-2023</t>
        </is>
      </c>
      <c r="B740" s="1" t="n">
        <v>45016</v>
      </c>
      <c r="C740" s="1" t="n">
        <v>46115</v>
      </c>
      <c r="D740" t="inlineStr">
        <is>
          <t>SÖDERMANLANDS LÄN</t>
        </is>
      </c>
      <c r="E740" t="inlineStr">
        <is>
          <t>KATRINEHOLM</t>
        </is>
      </c>
      <c r="F740" t="inlineStr">
        <is>
          <t>Övriga Aktiebolag</t>
        </is>
      </c>
      <c r="G740" t="n">
        <v>2.7</v>
      </c>
      <c r="H740" t="n">
        <v>0</v>
      </c>
      <c r="I740" t="n">
        <v>0</v>
      </c>
      <c r="J740" t="n">
        <v>0</v>
      </c>
      <c r="K740" t="n">
        <v>0</v>
      </c>
      <c r="L740" t="n">
        <v>0</v>
      </c>
      <c r="M740" t="n">
        <v>0</v>
      </c>
      <c r="N740" t="n">
        <v>0</v>
      </c>
      <c r="O740" t="n">
        <v>0</v>
      </c>
      <c r="P740" t="n">
        <v>0</v>
      </c>
      <c r="Q740" t="n">
        <v>0</v>
      </c>
      <c r="R740" s="2" t="inlineStr"/>
    </row>
    <row r="741" ht="15" customHeight="1">
      <c r="A741" t="inlineStr">
        <is>
          <t>A 45246-2023</t>
        </is>
      </c>
      <c r="B741" s="1" t="n">
        <v>45191</v>
      </c>
      <c r="C741" s="1" t="n">
        <v>46115</v>
      </c>
      <c r="D741" t="inlineStr">
        <is>
          <t>SÖDERMANLANDS LÄN</t>
        </is>
      </c>
      <c r="E741" t="inlineStr">
        <is>
          <t>KATRINEHOLM</t>
        </is>
      </c>
      <c r="G741" t="n">
        <v>1.2</v>
      </c>
      <c r="H741" t="n">
        <v>0</v>
      </c>
      <c r="I741" t="n">
        <v>0</v>
      </c>
      <c r="J741" t="n">
        <v>0</v>
      </c>
      <c r="K741" t="n">
        <v>0</v>
      </c>
      <c r="L741" t="n">
        <v>0</v>
      </c>
      <c r="M741" t="n">
        <v>0</v>
      </c>
      <c r="N741" t="n">
        <v>0</v>
      </c>
      <c r="O741" t="n">
        <v>0</v>
      </c>
      <c r="P741" t="n">
        <v>0</v>
      </c>
      <c r="Q741" t="n">
        <v>0</v>
      </c>
      <c r="R741" s="2" t="inlineStr"/>
    </row>
    <row r="742" ht="15" customHeight="1">
      <c r="A742" t="inlineStr">
        <is>
          <t>A 2735-2025</t>
        </is>
      </c>
      <c r="B742" s="1" t="n">
        <v>45677</v>
      </c>
      <c r="C742" s="1" t="n">
        <v>46115</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49914-2023</t>
        </is>
      </c>
      <c r="B743" s="1" t="n">
        <v>45214</v>
      </c>
      <c r="C743" s="1" t="n">
        <v>46115</v>
      </c>
      <c r="D743" t="inlineStr">
        <is>
          <t>SÖDERMANLANDS LÄN</t>
        </is>
      </c>
      <c r="E743" t="inlineStr">
        <is>
          <t>KATRINEHOLM</t>
        </is>
      </c>
      <c r="G743" t="n">
        <v>1.4</v>
      </c>
      <c r="H743" t="n">
        <v>0</v>
      </c>
      <c r="I743" t="n">
        <v>0</v>
      </c>
      <c r="J743" t="n">
        <v>0</v>
      </c>
      <c r="K743" t="n">
        <v>0</v>
      </c>
      <c r="L743" t="n">
        <v>0</v>
      </c>
      <c r="M743" t="n">
        <v>0</v>
      </c>
      <c r="N743" t="n">
        <v>0</v>
      </c>
      <c r="O743" t="n">
        <v>0</v>
      </c>
      <c r="P743" t="n">
        <v>0</v>
      </c>
      <c r="Q743" t="n">
        <v>0</v>
      </c>
      <c r="R743" s="2" t="inlineStr"/>
    </row>
    <row r="744" ht="15" customHeight="1">
      <c r="A744" t="inlineStr">
        <is>
          <t>A 17335-2023</t>
        </is>
      </c>
      <c r="B744" s="1" t="n">
        <v>45033</v>
      </c>
      <c r="C744" s="1" t="n">
        <v>46115</v>
      </c>
      <c r="D744" t="inlineStr">
        <is>
          <t>SÖDERMANLANDS LÄN</t>
        </is>
      </c>
      <c r="E744" t="inlineStr">
        <is>
          <t>KATRINEHOLM</t>
        </is>
      </c>
      <c r="G744" t="n">
        <v>3.3</v>
      </c>
      <c r="H744" t="n">
        <v>0</v>
      </c>
      <c r="I744" t="n">
        <v>0</v>
      </c>
      <c r="J744" t="n">
        <v>0</v>
      </c>
      <c r="K744" t="n">
        <v>0</v>
      </c>
      <c r="L744" t="n">
        <v>0</v>
      </c>
      <c r="M744" t="n">
        <v>0</v>
      </c>
      <c r="N744" t="n">
        <v>0</v>
      </c>
      <c r="O744" t="n">
        <v>0</v>
      </c>
      <c r="P744" t="n">
        <v>0</v>
      </c>
      <c r="Q744" t="n">
        <v>0</v>
      </c>
      <c r="R744" s="2" t="inlineStr"/>
    </row>
    <row r="745" ht="15" customHeight="1">
      <c r="A745" t="inlineStr">
        <is>
          <t>A 16605-2025</t>
        </is>
      </c>
      <c r="B745" s="1" t="n">
        <v>45753.61614583333</v>
      </c>
      <c r="C745" s="1" t="n">
        <v>46115</v>
      </c>
      <c r="D745" t="inlineStr">
        <is>
          <t>SÖDERMANLANDS LÄN</t>
        </is>
      </c>
      <c r="E745" t="inlineStr">
        <is>
          <t>KATRINEHOLM</t>
        </is>
      </c>
      <c r="G745" t="n">
        <v>5.2</v>
      </c>
      <c r="H745" t="n">
        <v>0</v>
      </c>
      <c r="I745" t="n">
        <v>0</v>
      </c>
      <c r="J745" t="n">
        <v>0</v>
      </c>
      <c r="K745" t="n">
        <v>0</v>
      </c>
      <c r="L745" t="n">
        <v>0</v>
      </c>
      <c r="M745" t="n">
        <v>0</v>
      </c>
      <c r="N745" t="n">
        <v>0</v>
      </c>
      <c r="O745" t="n">
        <v>0</v>
      </c>
      <c r="P745" t="n">
        <v>0</v>
      </c>
      <c r="Q745" t="n">
        <v>0</v>
      </c>
      <c r="R745" s="2" t="inlineStr"/>
    </row>
    <row r="746" ht="15" customHeight="1">
      <c r="A746" t="inlineStr">
        <is>
          <t>A 33141-2023</t>
        </is>
      </c>
      <c r="B746" s="1" t="n">
        <v>45126.65491898148</v>
      </c>
      <c r="C746" s="1" t="n">
        <v>46115</v>
      </c>
      <c r="D746" t="inlineStr">
        <is>
          <t>SÖDERMANLANDS LÄN</t>
        </is>
      </c>
      <c r="E746" t="inlineStr">
        <is>
          <t>KATRINEHOLM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58528-2024</t>
        </is>
      </c>
      <c r="B747" s="1" t="n">
        <v>45635.44527777778</v>
      </c>
      <c r="C747" s="1" t="n">
        <v>46115</v>
      </c>
      <c r="D747" t="inlineStr">
        <is>
          <t>SÖDERMANLANDS LÄN</t>
        </is>
      </c>
      <c r="E747" t="inlineStr">
        <is>
          <t>KATRINEHOLM</t>
        </is>
      </c>
      <c r="G747" t="n">
        <v>2.4</v>
      </c>
      <c r="H747" t="n">
        <v>0</v>
      </c>
      <c r="I747" t="n">
        <v>0</v>
      </c>
      <c r="J747" t="n">
        <v>0</v>
      </c>
      <c r="K747" t="n">
        <v>0</v>
      </c>
      <c r="L747" t="n">
        <v>0</v>
      </c>
      <c r="M747" t="n">
        <v>0</v>
      </c>
      <c r="N747" t="n">
        <v>0</v>
      </c>
      <c r="O747" t="n">
        <v>0</v>
      </c>
      <c r="P747" t="n">
        <v>0</v>
      </c>
      <c r="Q747" t="n">
        <v>0</v>
      </c>
      <c r="R747" s="2" t="inlineStr"/>
    </row>
    <row r="748" ht="15" customHeight="1">
      <c r="A748" t="inlineStr">
        <is>
          <t>A 9899-2023</t>
        </is>
      </c>
      <c r="B748" s="1" t="n">
        <v>44985</v>
      </c>
      <c r="C748" s="1" t="n">
        <v>46115</v>
      </c>
      <c r="D748" t="inlineStr">
        <is>
          <t>SÖDERMANLANDS LÄN</t>
        </is>
      </c>
      <c r="E748" t="inlineStr">
        <is>
          <t>KATRINEHOLM</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8288-2023</t>
        </is>
      </c>
      <c r="B749" s="1" t="n">
        <v>44974</v>
      </c>
      <c r="C749" s="1" t="n">
        <v>46115</v>
      </c>
      <c r="D749" t="inlineStr">
        <is>
          <t>SÖDERMANLANDS LÄN</t>
        </is>
      </c>
      <c r="E749" t="inlineStr">
        <is>
          <t>KATRINEHOLM</t>
        </is>
      </c>
      <c r="F749" t="inlineStr">
        <is>
          <t>Allmännings- och besparingsskogar</t>
        </is>
      </c>
      <c r="G749" t="n">
        <v>5.6</v>
      </c>
      <c r="H749" t="n">
        <v>0</v>
      </c>
      <c r="I749" t="n">
        <v>0</v>
      </c>
      <c r="J749" t="n">
        <v>0</v>
      </c>
      <c r="K749" t="n">
        <v>0</v>
      </c>
      <c r="L749" t="n">
        <v>0</v>
      </c>
      <c r="M749" t="n">
        <v>0</v>
      </c>
      <c r="N749" t="n">
        <v>0</v>
      </c>
      <c r="O749" t="n">
        <v>0</v>
      </c>
      <c r="P749" t="n">
        <v>0</v>
      </c>
      <c r="Q749" t="n">
        <v>0</v>
      </c>
      <c r="R749" s="2" t="inlineStr"/>
    </row>
    <row r="750" ht="15" customHeight="1">
      <c r="A750" t="inlineStr">
        <is>
          <t>A 3317-2023</t>
        </is>
      </c>
      <c r="B750" s="1" t="n">
        <v>44945</v>
      </c>
      <c r="C750" s="1" t="n">
        <v>46115</v>
      </c>
      <c r="D750" t="inlineStr">
        <is>
          <t>SÖDERMANLANDS LÄN</t>
        </is>
      </c>
      <c r="E750" t="inlineStr">
        <is>
          <t>KATRINEHOLM</t>
        </is>
      </c>
      <c r="G750" t="n">
        <v>3.2</v>
      </c>
      <c r="H750" t="n">
        <v>0</v>
      </c>
      <c r="I750" t="n">
        <v>0</v>
      </c>
      <c r="J750" t="n">
        <v>0</v>
      </c>
      <c r="K750" t="n">
        <v>0</v>
      </c>
      <c r="L750" t="n">
        <v>0</v>
      </c>
      <c r="M750" t="n">
        <v>0</v>
      </c>
      <c r="N750" t="n">
        <v>0</v>
      </c>
      <c r="O750" t="n">
        <v>0</v>
      </c>
      <c r="P750" t="n">
        <v>0</v>
      </c>
      <c r="Q750" t="n">
        <v>0</v>
      </c>
      <c r="R750" s="2" t="inlineStr"/>
    </row>
    <row r="751" ht="15" customHeight="1">
      <c r="A751" t="inlineStr">
        <is>
          <t>A 37185-2023</t>
        </is>
      </c>
      <c r="B751" s="1" t="n">
        <v>45154</v>
      </c>
      <c r="C751" s="1" t="n">
        <v>46115</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44872.57752314815</v>
      </c>
      <c r="C752" s="1" t="n">
        <v>46115</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49218-2023</t>
        </is>
      </c>
      <c r="B753" s="1" t="n">
        <v>45205</v>
      </c>
      <c r="C753" s="1" t="n">
        <v>46115</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55169-2022</t>
        </is>
      </c>
      <c r="B754" s="1" t="n">
        <v>44886</v>
      </c>
      <c r="C754" s="1" t="n">
        <v>46115</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1329-2025</t>
        </is>
      </c>
      <c r="B755" s="1" t="n">
        <v>45667</v>
      </c>
      <c r="C755" s="1" t="n">
        <v>46115</v>
      </c>
      <c r="D755" t="inlineStr">
        <is>
          <t>SÖDERMANLANDS LÄN</t>
        </is>
      </c>
      <c r="E755" t="inlineStr">
        <is>
          <t>KATRINEHOLM</t>
        </is>
      </c>
      <c r="G755" t="n">
        <v>2.7</v>
      </c>
      <c r="H755" t="n">
        <v>0</v>
      </c>
      <c r="I755" t="n">
        <v>0</v>
      </c>
      <c r="J755" t="n">
        <v>0</v>
      </c>
      <c r="K755" t="n">
        <v>0</v>
      </c>
      <c r="L755" t="n">
        <v>0</v>
      </c>
      <c r="M755" t="n">
        <v>0</v>
      </c>
      <c r="N755" t="n">
        <v>0</v>
      </c>
      <c r="O755" t="n">
        <v>0</v>
      </c>
      <c r="P755" t="n">
        <v>0</v>
      </c>
      <c r="Q755" t="n">
        <v>0</v>
      </c>
      <c r="R755" s="2" t="inlineStr"/>
    </row>
    <row r="756" ht="15" customHeight="1">
      <c r="A756" t="inlineStr">
        <is>
          <t>A 61398-2024</t>
        </is>
      </c>
      <c r="B756" s="1" t="n">
        <v>45646.42608796297</v>
      </c>
      <c r="C756" s="1" t="n">
        <v>46115</v>
      </c>
      <c r="D756" t="inlineStr">
        <is>
          <t>SÖDERMANLANDS LÄN</t>
        </is>
      </c>
      <c r="E756" t="inlineStr">
        <is>
          <t>KATRINEHOLM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24287-2024</t>
        </is>
      </c>
      <c r="B757" s="1" t="n">
        <v>45457</v>
      </c>
      <c r="C757" s="1" t="n">
        <v>46115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8518-2023</t>
        </is>
      </c>
      <c r="B758" s="1" t="n">
        <v>44977</v>
      </c>
      <c r="C758" s="1" t="n">
        <v>46115</v>
      </c>
      <c r="D758" t="inlineStr">
        <is>
          <t>SÖDERMANLANDS LÄN</t>
        </is>
      </c>
      <c r="E758" t="inlineStr">
        <is>
          <t>KATRINEHOLM</t>
        </is>
      </c>
      <c r="F758" t="inlineStr">
        <is>
          <t>Allmännings- och besparingsskogar</t>
        </is>
      </c>
      <c r="G758" t="n">
        <v>35.3</v>
      </c>
      <c r="H758" t="n">
        <v>0</v>
      </c>
      <c r="I758" t="n">
        <v>0</v>
      </c>
      <c r="J758" t="n">
        <v>0</v>
      </c>
      <c r="K758" t="n">
        <v>0</v>
      </c>
      <c r="L758" t="n">
        <v>0</v>
      </c>
      <c r="M758" t="n">
        <v>0</v>
      </c>
      <c r="N758" t="n">
        <v>0</v>
      </c>
      <c r="O758" t="n">
        <v>0</v>
      </c>
      <c r="P758" t="n">
        <v>0</v>
      </c>
      <c r="Q758" t="n">
        <v>0</v>
      </c>
      <c r="R758" s="2" t="inlineStr"/>
    </row>
    <row r="759" ht="15" customHeight="1">
      <c r="A759" t="inlineStr">
        <is>
          <t>A 48030-2022</t>
        </is>
      </c>
      <c r="B759" s="1" t="n">
        <v>44855</v>
      </c>
      <c r="C759" s="1" t="n">
        <v>46115</v>
      </c>
      <c r="D759" t="inlineStr">
        <is>
          <t>SÖDERMANLANDS LÄN</t>
        </is>
      </c>
      <c r="E759" t="inlineStr">
        <is>
          <t>KATRINEHOLM</t>
        </is>
      </c>
      <c r="F759" t="inlineStr">
        <is>
          <t>Allmännings- och besparingsskogar</t>
        </is>
      </c>
      <c r="G759" t="n">
        <v>1.5</v>
      </c>
      <c r="H759" t="n">
        <v>0</v>
      </c>
      <c r="I759" t="n">
        <v>0</v>
      </c>
      <c r="J759" t="n">
        <v>0</v>
      </c>
      <c r="K759" t="n">
        <v>0</v>
      </c>
      <c r="L759" t="n">
        <v>0</v>
      </c>
      <c r="M759" t="n">
        <v>0</v>
      </c>
      <c r="N759" t="n">
        <v>0</v>
      </c>
      <c r="O759" t="n">
        <v>0</v>
      </c>
      <c r="P759" t="n">
        <v>0</v>
      </c>
      <c r="Q759" t="n">
        <v>0</v>
      </c>
      <c r="R759" s="2" t="inlineStr"/>
    </row>
    <row r="760" ht="15" customHeight="1">
      <c r="A760" t="inlineStr">
        <is>
          <t>A 948-2023</t>
        </is>
      </c>
      <c r="B760" s="1" t="n">
        <v>44934</v>
      </c>
      <c r="C760" s="1" t="n">
        <v>46115</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37542-2022</t>
        </is>
      </c>
      <c r="B761" s="1" t="n">
        <v>44809</v>
      </c>
      <c r="C761" s="1" t="n">
        <v>46115</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41229-2022</t>
        </is>
      </c>
      <c r="B762" s="1" t="n">
        <v>44825</v>
      </c>
      <c r="C762" s="1" t="n">
        <v>46115</v>
      </c>
      <c r="D762" t="inlineStr">
        <is>
          <t>SÖDERMANLANDS LÄN</t>
        </is>
      </c>
      <c r="E762" t="inlineStr">
        <is>
          <t>KATRINEHOLM</t>
        </is>
      </c>
      <c r="G762" t="n">
        <v>3.8</v>
      </c>
      <c r="H762" t="n">
        <v>0</v>
      </c>
      <c r="I762" t="n">
        <v>0</v>
      </c>
      <c r="J762" t="n">
        <v>0</v>
      </c>
      <c r="K762" t="n">
        <v>0</v>
      </c>
      <c r="L762" t="n">
        <v>0</v>
      </c>
      <c r="M762" t="n">
        <v>0</v>
      </c>
      <c r="N762" t="n">
        <v>0</v>
      </c>
      <c r="O762" t="n">
        <v>0</v>
      </c>
      <c r="P762" t="n">
        <v>0</v>
      </c>
      <c r="Q762" t="n">
        <v>0</v>
      </c>
      <c r="R762" s="2" t="inlineStr"/>
    </row>
    <row r="763" ht="15" customHeight="1">
      <c r="A763" t="inlineStr">
        <is>
          <t>A 64652-2023</t>
        </is>
      </c>
      <c r="B763" s="1" t="n">
        <v>45281</v>
      </c>
      <c r="C763" s="1" t="n">
        <v>46115</v>
      </c>
      <c r="D763" t="inlineStr">
        <is>
          <t>SÖDERMANLANDS LÄN</t>
        </is>
      </c>
      <c r="E763" t="inlineStr">
        <is>
          <t>KATRINEHOLM</t>
        </is>
      </c>
      <c r="F763" t="inlineStr">
        <is>
          <t>Övriga Aktiebolag</t>
        </is>
      </c>
      <c r="G763" t="n">
        <v>2.2</v>
      </c>
      <c r="H763" t="n">
        <v>0</v>
      </c>
      <c r="I763" t="n">
        <v>0</v>
      </c>
      <c r="J763" t="n">
        <v>0</v>
      </c>
      <c r="K763" t="n">
        <v>0</v>
      </c>
      <c r="L763" t="n">
        <v>0</v>
      </c>
      <c r="M763" t="n">
        <v>0</v>
      </c>
      <c r="N763" t="n">
        <v>0</v>
      </c>
      <c r="O763" t="n">
        <v>0</v>
      </c>
      <c r="P763" t="n">
        <v>0</v>
      </c>
      <c r="Q763" t="n">
        <v>0</v>
      </c>
      <c r="R763" s="2" t="inlineStr"/>
    </row>
    <row r="764" ht="15" customHeight="1">
      <c r="A764" t="inlineStr">
        <is>
          <t>A 51404-2023</t>
        </is>
      </c>
      <c r="B764" s="1" t="n">
        <v>45214</v>
      </c>
      <c r="C764" s="1" t="n">
        <v>46115</v>
      </c>
      <c r="D764" t="inlineStr">
        <is>
          <t>SÖDERMANLANDS LÄN</t>
        </is>
      </c>
      <c r="E764" t="inlineStr">
        <is>
          <t>KATRINEHOLM</t>
        </is>
      </c>
      <c r="G764" t="n">
        <v>9</v>
      </c>
      <c r="H764" t="n">
        <v>0</v>
      </c>
      <c r="I764" t="n">
        <v>0</v>
      </c>
      <c r="J764" t="n">
        <v>0</v>
      </c>
      <c r="K764" t="n">
        <v>0</v>
      </c>
      <c r="L764" t="n">
        <v>0</v>
      </c>
      <c r="M764" t="n">
        <v>0</v>
      </c>
      <c r="N764" t="n">
        <v>0</v>
      </c>
      <c r="O764" t="n">
        <v>0</v>
      </c>
      <c r="P764" t="n">
        <v>0</v>
      </c>
      <c r="Q764" t="n">
        <v>0</v>
      </c>
      <c r="R764" s="2" t="inlineStr"/>
    </row>
    <row r="765" ht="15" customHeight="1">
      <c r="A765" t="inlineStr">
        <is>
          <t>A 41946-2022</t>
        </is>
      </c>
      <c r="B765" s="1" t="n">
        <v>44830.38502314815</v>
      </c>
      <c r="C765" s="1" t="n">
        <v>46115</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3115-2024</t>
        </is>
      </c>
      <c r="B766" s="1" t="n">
        <v>45316.49630787037</v>
      </c>
      <c r="C766" s="1" t="n">
        <v>46115</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61431-2024</t>
        </is>
      </c>
      <c r="B767" s="1" t="n">
        <v>45646.45950231481</v>
      </c>
      <c r="C767" s="1" t="n">
        <v>46115</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44659-2023</t>
        </is>
      </c>
      <c r="B768" s="1" t="n">
        <v>45189</v>
      </c>
      <c r="C768" s="1" t="n">
        <v>46115</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51446-2023</t>
        </is>
      </c>
      <c r="B769" s="1" t="n">
        <v>45220.48068287037</v>
      </c>
      <c r="C769" s="1" t="n">
        <v>46115</v>
      </c>
      <c r="D769" t="inlineStr">
        <is>
          <t>SÖDERMANLANDS LÄN</t>
        </is>
      </c>
      <c r="E769" t="inlineStr">
        <is>
          <t>KATRINEHOLM</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27955-2023</t>
        </is>
      </c>
      <c r="B770" s="1" t="n">
        <v>45098</v>
      </c>
      <c r="C770" s="1" t="n">
        <v>46115</v>
      </c>
      <c r="D770" t="inlineStr">
        <is>
          <t>SÖDERMANLANDS LÄN</t>
        </is>
      </c>
      <c r="E770" t="inlineStr">
        <is>
          <t>KATRINEHOLM</t>
        </is>
      </c>
      <c r="G770" t="n">
        <v>5.9</v>
      </c>
      <c r="H770" t="n">
        <v>0</v>
      </c>
      <c r="I770" t="n">
        <v>0</v>
      </c>
      <c r="J770" t="n">
        <v>0</v>
      </c>
      <c r="K770" t="n">
        <v>0</v>
      </c>
      <c r="L770" t="n">
        <v>0</v>
      </c>
      <c r="M770" t="n">
        <v>0</v>
      </c>
      <c r="N770" t="n">
        <v>0</v>
      </c>
      <c r="O770" t="n">
        <v>0</v>
      </c>
      <c r="P770" t="n">
        <v>0</v>
      </c>
      <c r="Q770" t="n">
        <v>0</v>
      </c>
      <c r="R770" s="2" t="inlineStr"/>
    </row>
    <row r="771" ht="15" customHeight="1">
      <c r="A771" t="inlineStr">
        <is>
          <t>A 4669-2023</t>
        </is>
      </c>
      <c r="B771" s="1" t="n">
        <v>44957</v>
      </c>
      <c r="C771" s="1" t="n">
        <v>46115</v>
      </c>
      <c r="D771" t="inlineStr">
        <is>
          <t>SÖDERMANLANDS LÄN</t>
        </is>
      </c>
      <c r="E771" t="inlineStr">
        <is>
          <t>KATRINEHOLM</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4724-2023</t>
        </is>
      </c>
      <c r="B772" s="1" t="n">
        <v>44957</v>
      </c>
      <c r="C772" s="1" t="n">
        <v>46115</v>
      </c>
      <c r="D772" t="inlineStr">
        <is>
          <t>SÖDERMANLANDS LÄN</t>
        </is>
      </c>
      <c r="E772" t="inlineStr">
        <is>
          <t>KATRINEHOLM</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7197-2023</t>
        </is>
      </c>
      <c r="B773" s="1" t="n">
        <v>44965</v>
      </c>
      <c r="C773" s="1" t="n">
        <v>46115</v>
      </c>
      <c r="D773" t="inlineStr">
        <is>
          <t>SÖDERMANLANDS LÄN</t>
        </is>
      </c>
      <c r="E773" t="inlineStr">
        <is>
          <t>KATRINEHOLM</t>
        </is>
      </c>
      <c r="G773" t="n">
        <v>5.3</v>
      </c>
      <c r="H773" t="n">
        <v>0</v>
      </c>
      <c r="I773" t="n">
        <v>0</v>
      </c>
      <c r="J773" t="n">
        <v>0</v>
      </c>
      <c r="K773" t="n">
        <v>0</v>
      </c>
      <c r="L773" t="n">
        <v>0</v>
      </c>
      <c r="M773" t="n">
        <v>0</v>
      </c>
      <c r="N773" t="n">
        <v>0</v>
      </c>
      <c r="O773" t="n">
        <v>0</v>
      </c>
      <c r="P773" t="n">
        <v>0</v>
      </c>
      <c r="Q773" t="n">
        <v>0</v>
      </c>
      <c r="R773" s="2" t="inlineStr"/>
    </row>
    <row r="774" ht="15" customHeight="1">
      <c r="A774" t="inlineStr">
        <is>
          <t>A 6092-2025</t>
        </is>
      </c>
      <c r="B774" s="1" t="n">
        <v>45697</v>
      </c>
      <c r="C774" s="1" t="n">
        <v>46115</v>
      </c>
      <c r="D774" t="inlineStr">
        <is>
          <t>SÖDERMANLANDS LÄN</t>
        </is>
      </c>
      <c r="E774" t="inlineStr">
        <is>
          <t>KATRINEHOLM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5327-2025</t>
        </is>
      </c>
      <c r="B775" s="1" t="n">
        <v>45692</v>
      </c>
      <c r="C775" s="1" t="n">
        <v>46115</v>
      </c>
      <c r="D775" t="inlineStr">
        <is>
          <t>SÖDERMANLANDS LÄN</t>
        </is>
      </c>
      <c r="E775" t="inlineStr">
        <is>
          <t>KATRINEHOLM</t>
        </is>
      </c>
      <c r="F775" t="inlineStr">
        <is>
          <t>Kommuner</t>
        </is>
      </c>
      <c r="G775" t="n">
        <v>0.5</v>
      </c>
      <c r="H775" t="n">
        <v>0</v>
      </c>
      <c r="I775" t="n">
        <v>0</v>
      </c>
      <c r="J775" t="n">
        <v>0</v>
      </c>
      <c r="K775" t="n">
        <v>0</v>
      </c>
      <c r="L775" t="n">
        <v>0</v>
      </c>
      <c r="M775" t="n">
        <v>0</v>
      </c>
      <c r="N775" t="n">
        <v>0</v>
      </c>
      <c r="O775" t="n">
        <v>0</v>
      </c>
      <c r="P775" t="n">
        <v>0</v>
      </c>
      <c r="Q775" t="n">
        <v>0</v>
      </c>
      <c r="R775" s="2" t="inlineStr"/>
    </row>
    <row r="776" ht="15" customHeight="1">
      <c r="A776" t="inlineStr">
        <is>
          <t>A 12929-2023</t>
        </is>
      </c>
      <c r="B776" s="1" t="n">
        <v>45001</v>
      </c>
      <c r="C776" s="1" t="n">
        <v>46115</v>
      </c>
      <c r="D776" t="inlineStr">
        <is>
          <t>SÖDERMANLANDS LÄN</t>
        </is>
      </c>
      <c r="E776" t="inlineStr">
        <is>
          <t>KATRINEHOLM</t>
        </is>
      </c>
      <c r="G776" t="n">
        <v>3.1</v>
      </c>
      <c r="H776" t="n">
        <v>0</v>
      </c>
      <c r="I776" t="n">
        <v>0</v>
      </c>
      <c r="J776" t="n">
        <v>0</v>
      </c>
      <c r="K776" t="n">
        <v>0</v>
      </c>
      <c r="L776" t="n">
        <v>0</v>
      </c>
      <c r="M776" t="n">
        <v>0</v>
      </c>
      <c r="N776" t="n">
        <v>0</v>
      </c>
      <c r="O776" t="n">
        <v>0</v>
      </c>
      <c r="P776" t="n">
        <v>0</v>
      </c>
      <c r="Q776" t="n">
        <v>0</v>
      </c>
      <c r="R776" s="2" t="inlineStr"/>
    </row>
    <row r="777" ht="15" customHeight="1">
      <c r="A777" t="inlineStr">
        <is>
          <t>A 12932-2023</t>
        </is>
      </c>
      <c r="B777" s="1" t="n">
        <v>45001</v>
      </c>
      <c r="C777" s="1" t="n">
        <v>46115</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50626-2024</t>
        </is>
      </c>
      <c r="B778" s="1" t="n">
        <v>45601</v>
      </c>
      <c r="C778" s="1" t="n">
        <v>46115</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7398-2024</t>
        </is>
      </c>
      <c r="B779" s="1" t="n">
        <v>45345</v>
      </c>
      <c r="C779" s="1" t="n">
        <v>46115</v>
      </c>
      <c r="D779" t="inlineStr">
        <is>
          <t>SÖDERMANLANDS LÄN</t>
        </is>
      </c>
      <c r="E779" t="inlineStr">
        <is>
          <t>KATRINEHOLM</t>
        </is>
      </c>
      <c r="G779" t="n">
        <v>4.4</v>
      </c>
      <c r="H779" t="n">
        <v>0</v>
      </c>
      <c r="I779" t="n">
        <v>0</v>
      </c>
      <c r="J779" t="n">
        <v>0</v>
      </c>
      <c r="K779" t="n">
        <v>0</v>
      </c>
      <c r="L779" t="n">
        <v>0</v>
      </c>
      <c r="M779" t="n">
        <v>0</v>
      </c>
      <c r="N779" t="n">
        <v>0</v>
      </c>
      <c r="O779" t="n">
        <v>0</v>
      </c>
      <c r="P779" t="n">
        <v>0</v>
      </c>
      <c r="Q779" t="n">
        <v>0</v>
      </c>
      <c r="R779" s="2" t="inlineStr"/>
    </row>
    <row r="780" ht="15" customHeight="1">
      <c r="A780" t="inlineStr">
        <is>
          <t>A 14629-2023</t>
        </is>
      </c>
      <c r="B780" s="1" t="n">
        <v>45013</v>
      </c>
      <c r="C780" s="1" t="n">
        <v>46115</v>
      </c>
      <c r="D780" t="inlineStr">
        <is>
          <t>SÖDERMANLANDS LÄN</t>
        </is>
      </c>
      <c r="E780" t="inlineStr">
        <is>
          <t>KATRINEHOLM</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49116-2024</t>
        </is>
      </c>
      <c r="B781" s="1" t="n">
        <v>45594.6605787037</v>
      </c>
      <c r="C781" s="1" t="n">
        <v>46115</v>
      </c>
      <c r="D781" t="inlineStr">
        <is>
          <t>SÖDERMANLANDS LÄN</t>
        </is>
      </c>
      <c r="E781" t="inlineStr">
        <is>
          <t>KATRINEHOLM</t>
        </is>
      </c>
      <c r="G781" t="n">
        <v>0.9</v>
      </c>
      <c r="H781" t="n">
        <v>0</v>
      </c>
      <c r="I781" t="n">
        <v>0</v>
      </c>
      <c r="J781" t="n">
        <v>0</v>
      </c>
      <c r="K781" t="n">
        <v>0</v>
      </c>
      <c r="L781" t="n">
        <v>0</v>
      </c>
      <c r="M781" t="n">
        <v>0</v>
      </c>
      <c r="N781" t="n">
        <v>0</v>
      </c>
      <c r="O781" t="n">
        <v>0</v>
      </c>
      <c r="P781" t="n">
        <v>0</v>
      </c>
      <c r="Q781" t="n">
        <v>0</v>
      </c>
      <c r="R781" s="2" t="inlineStr"/>
    </row>
    <row r="782" ht="15" customHeight="1">
      <c r="A782" t="inlineStr">
        <is>
          <t>A 2683-2025</t>
        </is>
      </c>
      <c r="B782" s="1" t="n">
        <v>45677</v>
      </c>
      <c r="C782" s="1" t="n">
        <v>46115</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61410-2024</t>
        </is>
      </c>
      <c r="B783" s="1" t="n">
        <v>45646.43950231482</v>
      </c>
      <c r="C783" s="1" t="n">
        <v>46115</v>
      </c>
      <c r="D783" t="inlineStr">
        <is>
          <t>SÖDERMANLANDS LÄN</t>
        </is>
      </c>
      <c r="E783" t="inlineStr">
        <is>
          <t>KATRINEHOLM</t>
        </is>
      </c>
      <c r="G783" t="n">
        <v>1.4</v>
      </c>
      <c r="H783" t="n">
        <v>0</v>
      </c>
      <c r="I783" t="n">
        <v>0</v>
      </c>
      <c r="J783" t="n">
        <v>0</v>
      </c>
      <c r="K783" t="n">
        <v>0</v>
      </c>
      <c r="L783" t="n">
        <v>0</v>
      </c>
      <c r="M783" t="n">
        <v>0</v>
      </c>
      <c r="N783" t="n">
        <v>0</v>
      </c>
      <c r="O783" t="n">
        <v>0</v>
      </c>
      <c r="P783" t="n">
        <v>0</v>
      </c>
      <c r="Q783" t="n">
        <v>0</v>
      </c>
      <c r="R783" s="2" t="inlineStr"/>
    </row>
    <row r="784" ht="15" customHeight="1">
      <c r="A784" t="inlineStr">
        <is>
          <t>A 3315-2023</t>
        </is>
      </c>
      <c r="B784" s="1" t="n">
        <v>44945</v>
      </c>
      <c r="C784" s="1" t="n">
        <v>46115</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7867-2024</t>
        </is>
      </c>
      <c r="B785" s="1" t="n">
        <v>45350.32991898148</v>
      </c>
      <c r="C785" s="1" t="n">
        <v>46115</v>
      </c>
      <c r="D785" t="inlineStr">
        <is>
          <t>SÖDERMANLANDS LÄN</t>
        </is>
      </c>
      <c r="E785" t="inlineStr">
        <is>
          <t>KATRINEHOLM</t>
        </is>
      </c>
      <c r="F785" t="inlineStr">
        <is>
          <t>Kyrkan</t>
        </is>
      </c>
      <c r="G785" t="n">
        <v>3.3</v>
      </c>
      <c r="H785" t="n">
        <v>0</v>
      </c>
      <c r="I785" t="n">
        <v>0</v>
      </c>
      <c r="J785" t="n">
        <v>0</v>
      </c>
      <c r="K785" t="n">
        <v>0</v>
      </c>
      <c r="L785" t="n">
        <v>0</v>
      </c>
      <c r="M785" t="n">
        <v>0</v>
      </c>
      <c r="N785" t="n">
        <v>0</v>
      </c>
      <c r="O785" t="n">
        <v>0</v>
      </c>
      <c r="P785" t="n">
        <v>0</v>
      </c>
      <c r="Q785" t="n">
        <v>0</v>
      </c>
      <c r="R785" s="2" t="inlineStr"/>
    </row>
    <row r="786" ht="15" customHeight="1">
      <c r="A786" t="inlineStr">
        <is>
          <t>A 38869-2024</t>
        </is>
      </c>
      <c r="B786" s="1" t="n">
        <v>45547</v>
      </c>
      <c r="C786" s="1" t="n">
        <v>46115</v>
      </c>
      <c r="D786" t="inlineStr">
        <is>
          <t>SÖDERMANLANDS LÄN</t>
        </is>
      </c>
      <c r="E786" t="inlineStr">
        <is>
          <t>KATRINEHOLM</t>
        </is>
      </c>
      <c r="G786" t="n">
        <v>2.2</v>
      </c>
      <c r="H786" t="n">
        <v>0</v>
      </c>
      <c r="I786" t="n">
        <v>0</v>
      </c>
      <c r="J786" t="n">
        <v>0</v>
      </c>
      <c r="K786" t="n">
        <v>0</v>
      </c>
      <c r="L786" t="n">
        <v>0</v>
      </c>
      <c r="M786" t="n">
        <v>0</v>
      </c>
      <c r="N786" t="n">
        <v>0</v>
      </c>
      <c r="O786" t="n">
        <v>0</v>
      </c>
      <c r="P786" t="n">
        <v>0</v>
      </c>
      <c r="Q786" t="n">
        <v>0</v>
      </c>
      <c r="R786" s="2" t="inlineStr"/>
    </row>
    <row r="787" ht="15" customHeight="1">
      <c r="A787" t="inlineStr">
        <is>
          <t>A 39010-2021</t>
        </is>
      </c>
      <c r="B787" s="1" t="n">
        <v>44412</v>
      </c>
      <c r="C787" s="1" t="n">
        <v>46115</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c r="A788" t="inlineStr">
        <is>
          <t>A 1091-2025</t>
        </is>
      </c>
      <c r="B788" s="1" t="n">
        <v>45666</v>
      </c>
      <c r="C788" s="1" t="n">
        <v>46115</v>
      </c>
      <c r="D788" t="inlineStr">
        <is>
          <t>SÖDERMANLANDS LÄN</t>
        </is>
      </c>
      <c r="E788" t="inlineStr">
        <is>
          <t>KATRINEHOLM</t>
        </is>
      </c>
      <c r="F788" t="inlineStr">
        <is>
          <t>Övriga Aktiebolag</t>
        </is>
      </c>
      <c r="G788" t="n">
        <v>0.8</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2026-04-03T10:43:45Z</dcterms:created>
  <dcterms:modified xmlns:dcterms="http://purl.org/dc/terms/" xmlns:xsi="http://www.w3.org/2001/XMLSchema-instance" xsi:type="dcterms:W3CDTF">2026-04-03T10:43:46Z</dcterms:modified>
</cp:coreProperties>
</file>