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46183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47886-2023</t>
        </is>
      </c>
      <c r="B15" s="1" t="n">
        <v>45204</v>
      </c>
      <c r="C15" s="1" t="n">
        <v>46183</v>
      </c>
      <c r="D15" t="inlineStr">
        <is>
          <t>SÖDERMANLANDS LÄN</t>
        </is>
      </c>
      <c r="E15" t="inlineStr">
        <is>
          <t>KATRINEHOLM</t>
        </is>
      </c>
      <c r="G15" t="n">
        <v>22</v>
      </c>
      <c r="H15" t="n">
        <v>0</v>
      </c>
      <c r="I15" t="n">
        <v>3</v>
      </c>
      <c r="J15" t="n">
        <v>1</v>
      </c>
      <c r="K15" t="n">
        <v>0</v>
      </c>
      <c r="L15" t="n">
        <v>0</v>
      </c>
      <c r="M15" t="n">
        <v>0</v>
      </c>
      <c r="N15" t="n">
        <v>0</v>
      </c>
      <c r="O15" t="n">
        <v>1</v>
      </c>
      <c r="P15" t="n">
        <v>0</v>
      </c>
      <c r="Q15" t="n">
        <v>4</v>
      </c>
      <c r="R15" s="2" t="inlineStr">
        <is>
          <t>Tallticka
Björksplintborre
Jättesvampmal
Mindre märgborre</t>
        </is>
      </c>
      <c r="S15">
        <f>HYPERLINK("https://klasma.github.io/Logging_0483/artfynd/A 47886-2023 artfynd.xlsx", "A 47886-2023")</f>
        <v/>
      </c>
      <c r="T15">
        <f>HYPERLINK("https://klasma.github.io/Logging_0483/kartor/A 47886-2023 karta.png", "A 47886-2023")</f>
        <v/>
      </c>
      <c r="V15">
        <f>HYPERLINK("https://klasma.github.io/Logging_0483/klagomål/A 47886-2023 FSC-klagomål.docx", "A 47886-2023")</f>
        <v/>
      </c>
      <c r="W15">
        <f>HYPERLINK("https://klasma.github.io/Logging_0483/klagomålsmail/A 47886-2023 FSC-klagomål mail.docx", "A 47886-2023")</f>
        <v/>
      </c>
      <c r="X15">
        <f>HYPERLINK("https://klasma.github.io/Logging_0483/tillsyn/A 47886-2023 tillsynsbegäran.docx", "A 47886-2023")</f>
        <v/>
      </c>
      <c r="Y15">
        <f>HYPERLINK("https://klasma.github.io/Logging_0483/tillsynsmail/A 47886-2023 tillsynsbegäran mail.docx", "A 47886-2023")</f>
        <v/>
      </c>
    </row>
    <row r="16" ht="15" customHeight="1">
      <c r="A16" t="inlineStr">
        <is>
          <t>A 7585-2023</t>
        </is>
      </c>
      <c r="B16" s="1" t="n">
        <v>44972</v>
      </c>
      <c r="C16" s="1" t="n">
        <v>46183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46183</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46183</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46183</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1150-2025</t>
        </is>
      </c>
      <c r="B21" s="1" t="n">
        <v>45666</v>
      </c>
      <c r="C21" s="1" t="n">
        <v>46183</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46183</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14858-2023</t>
        </is>
      </c>
      <c r="B23" s="1" t="n">
        <v>45014</v>
      </c>
      <c r="C23" s="1" t="n">
        <v>46183</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46183</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46183</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13873-2026</t>
        </is>
      </c>
      <c r="B26" s="1" t="n">
        <v>46098.42672453704</v>
      </c>
      <c r="C26" s="1" t="n">
        <v>46183</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46183</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46183</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65184-2021</t>
        </is>
      </c>
      <c r="B29" s="1" t="n">
        <v>44512</v>
      </c>
      <c r="C29" s="1" t="n">
        <v>46183</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46183</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46183</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46183</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46183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45530-2023</t>
        </is>
      </c>
      <c r="B34" s="1" t="n">
        <v>45188</v>
      </c>
      <c r="C34" s="1" t="n">
        <v>46183</v>
      </c>
      <c r="D34" t="inlineStr">
        <is>
          <t>SÖDERMANLANDS LÄN</t>
        </is>
      </c>
      <c r="E34" t="inlineStr">
        <is>
          <t>KATRINEHOLM</t>
        </is>
      </c>
      <c r="F34" t="inlineStr">
        <is>
          <t>Allmännings- och besparingsskogar</t>
        </is>
      </c>
      <c r="G34" t="n">
        <v>37</v>
      </c>
      <c r="H34" t="n">
        <v>1</v>
      </c>
      <c r="I34" t="n">
        <v>0</v>
      </c>
      <c r="J34" t="n">
        <v>0</v>
      </c>
      <c r="K34" t="n">
        <v>0</v>
      </c>
      <c r="L34" t="n">
        <v>0</v>
      </c>
      <c r="M34" t="n">
        <v>0</v>
      </c>
      <c r="N34" t="n">
        <v>0</v>
      </c>
      <c r="O34" t="n">
        <v>0</v>
      </c>
      <c r="P34" t="n">
        <v>0</v>
      </c>
      <c r="Q34" t="n">
        <v>1</v>
      </c>
      <c r="R34" s="2" t="inlineStr">
        <is>
          <t>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56074-2022</t>
        </is>
      </c>
      <c r="B35" s="1" t="n">
        <v>44889</v>
      </c>
      <c r="C35" s="1" t="n">
        <v>46183</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53990-2023</t>
        </is>
      </c>
      <c r="B36" s="1" t="n">
        <v>45231</v>
      </c>
      <c r="C36" s="1" t="n">
        <v>46183</v>
      </c>
      <c r="D36" t="inlineStr">
        <is>
          <t>SÖDERMANLANDS LÄN</t>
        </is>
      </c>
      <c r="E36" t="inlineStr">
        <is>
          <t>KATRINEHOLM</t>
        </is>
      </c>
      <c r="G36" t="n">
        <v>6.1</v>
      </c>
      <c r="H36" t="n">
        <v>0</v>
      </c>
      <c r="I36" t="n">
        <v>0</v>
      </c>
      <c r="J36" t="n">
        <v>1</v>
      </c>
      <c r="K36" t="n">
        <v>0</v>
      </c>
      <c r="L36" t="n">
        <v>0</v>
      </c>
      <c r="M36" t="n">
        <v>0</v>
      </c>
      <c r="N36" t="n">
        <v>0</v>
      </c>
      <c r="O36" t="n">
        <v>1</v>
      </c>
      <c r="P36" t="n">
        <v>0</v>
      </c>
      <c r="Q36" t="n">
        <v>1</v>
      </c>
      <c r="R36" s="2" t="inlineStr">
        <is>
          <t>Motaggsvamp</t>
        </is>
      </c>
      <c r="S36">
        <f>HYPERLINK("https://klasma.github.io/Logging_0483/artfynd/A 53990-2023 artfynd.xlsx", "A 53990-2023")</f>
        <v/>
      </c>
      <c r="T36">
        <f>HYPERLINK("https://klasma.github.io/Logging_0483/kartor/A 53990-2023 karta.png", "A 53990-2023")</f>
        <v/>
      </c>
      <c r="V36">
        <f>HYPERLINK("https://klasma.github.io/Logging_0483/klagomål/A 53990-2023 FSC-klagomål.docx", "A 53990-2023")</f>
        <v/>
      </c>
      <c r="W36">
        <f>HYPERLINK("https://klasma.github.io/Logging_0483/klagomålsmail/A 53990-2023 FSC-klagomål mail.docx", "A 53990-2023")</f>
        <v/>
      </c>
      <c r="X36">
        <f>HYPERLINK("https://klasma.github.io/Logging_0483/tillsyn/A 53990-2023 tillsynsbegäran.docx", "A 53990-2023")</f>
        <v/>
      </c>
      <c r="Y36">
        <f>HYPERLINK("https://klasma.github.io/Logging_0483/tillsynsmail/A 53990-2023 tillsynsbegäran mail.docx", "A 53990-2023")</f>
        <v/>
      </c>
    </row>
    <row r="37" ht="15" customHeight="1">
      <c r="A37" t="inlineStr">
        <is>
          <t>A 8917-2024</t>
        </is>
      </c>
      <c r="B37" s="1" t="n">
        <v>45357.37618055556</v>
      </c>
      <c r="C37" s="1" t="n">
        <v>46183</v>
      </c>
      <c r="D37" t="inlineStr">
        <is>
          <t>SÖDERMANLANDS LÄN</t>
        </is>
      </c>
      <c r="E37" t="inlineStr">
        <is>
          <t>KATRINEHOLM</t>
        </is>
      </c>
      <c r="G37" t="n">
        <v>3</v>
      </c>
      <c r="H37" t="n">
        <v>1</v>
      </c>
      <c r="I37" t="n">
        <v>0</v>
      </c>
      <c r="J37" t="n">
        <v>0</v>
      </c>
      <c r="K37" t="n">
        <v>0</v>
      </c>
      <c r="L37" t="n">
        <v>0</v>
      </c>
      <c r="M37" t="n">
        <v>0</v>
      </c>
      <c r="N37" t="n">
        <v>0</v>
      </c>
      <c r="O37" t="n">
        <v>0</v>
      </c>
      <c r="P37" t="n">
        <v>0</v>
      </c>
      <c r="Q37" t="n">
        <v>1</v>
      </c>
      <c r="R37" s="2" t="inlineStr">
        <is>
          <t>Gröngöling</t>
        </is>
      </c>
      <c r="S37">
        <f>HYPERLINK("https://klasma.github.io/Logging_0483/artfynd/A 8917-2024 artfynd.xlsx", "A 8917-2024")</f>
        <v/>
      </c>
      <c r="T37">
        <f>HYPERLINK("https://klasma.github.io/Logging_0483/kartor/A 8917-2024 karta.png", "A 8917-2024")</f>
        <v/>
      </c>
      <c r="V37">
        <f>HYPERLINK("https://klasma.github.io/Logging_0483/klagomål/A 8917-2024 FSC-klagomål.docx", "A 8917-2024")</f>
        <v/>
      </c>
      <c r="W37">
        <f>HYPERLINK("https://klasma.github.io/Logging_0483/klagomålsmail/A 8917-2024 FSC-klagomål mail.docx", "A 8917-2024")</f>
        <v/>
      </c>
      <c r="X37">
        <f>HYPERLINK("https://klasma.github.io/Logging_0483/tillsyn/A 8917-2024 tillsynsbegäran.docx", "A 8917-2024")</f>
        <v/>
      </c>
      <c r="Y37">
        <f>HYPERLINK("https://klasma.github.io/Logging_0483/tillsynsmail/A 8917-2024 tillsynsbegäran mail.docx", "A 8917-2024")</f>
        <v/>
      </c>
      <c r="Z37">
        <f>HYPERLINK("https://klasma.github.io/Logging_0483/fåglar/A 8917-2024 prioriterade fågelarter.docx", "A 8917-2024")</f>
        <v/>
      </c>
    </row>
    <row r="38" ht="15" customHeight="1">
      <c r="A38" t="inlineStr">
        <is>
          <t>A 16458-2022</t>
        </is>
      </c>
      <c r="B38" s="1" t="n">
        <v>44671</v>
      </c>
      <c r="C38" s="1" t="n">
        <v>46183</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46183</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35163-2025</t>
        </is>
      </c>
      <c r="B40" s="1" t="n">
        <v>45852.71136574074</v>
      </c>
      <c r="C40" s="1" t="n">
        <v>46183</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53154-2023</t>
        </is>
      </c>
      <c r="B41" s="1" t="n">
        <v>45229</v>
      </c>
      <c r="C41" s="1" t="n">
        <v>46183</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57519-2021</t>
        </is>
      </c>
      <c r="B42" s="1" t="n">
        <v>44483</v>
      </c>
      <c r="C42" s="1" t="n">
        <v>46183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42055-2025</t>
        </is>
      </c>
      <c r="B43" s="1" t="n">
        <v>45903</v>
      </c>
      <c r="C43" s="1" t="n">
        <v>46183</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44486-2023</t>
        </is>
      </c>
      <c r="B44" s="1" t="n">
        <v>45183</v>
      </c>
      <c r="C44" s="1" t="n">
        <v>46183</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44632-2023</t>
        </is>
      </c>
      <c r="B45" s="1" t="n">
        <v>45184</v>
      </c>
      <c r="C45" s="1" t="n">
        <v>46183</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33801-2023</t>
        </is>
      </c>
      <c r="B46" s="1" t="n">
        <v>45133</v>
      </c>
      <c r="C46" s="1" t="n">
        <v>46183</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36220-2022</t>
        </is>
      </c>
      <c r="B47" s="1" t="n">
        <v>44803</v>
      </c>
      <c r="C47" s="1" t="n">
        <v>46183</v>
      </c>
      <c r="D47" t="inlineStr">
        <is>
          <t>SÖDERMANLANDS LÄN</t>
        </is>
      </c>
      <c r="E47" t="inlineStr">
        <is>
          <t>KATRINEHOLM</t>
        </is>
      </c>
      <c r="G47" t="n">
        <v>3.1</v>
      </c>
      <c r="H47" t="n">
        <v>0</v>
      </c>
      <c r="I47" t="n">
        <v>1</v>
      </c>
      <c r="J47" t="n">
        <v>0</v>
      </c>
      <c r="K47" t="n">
        <v>0</v>
      </c>
      <c r="L47" t="n">
        <v>0</v>
      </c>
      <c r="M47" t="n">
        <v>0</v>
      </c>
      <c r="N47" t="n">
        <v>0</v>
      </c>
      <c r="O47" t="n">
        <v>0</v>
      </c>
      <c r="P47" t="n">
        <v>0</v>
      </c>
      <c r="Q47" t="n">
        <v>1</v>
      </c>
      <c r="R47" s="2" t="inlineStr">
        <is>
          <t>Granbräken</t>
        </is>
      </c>
      <c r="S47">
        <f>HYPERLINK("https://klasma.github.io/Logging_0483/artfynd/A 36220-2022 artfynd.xlsx", "A 36220-2022")</f>
        <v/>
      </c>
      <c r="T47">
        <f>HYPERLINK("https://klasma.github.io/Logging_0483/kartor/A 36220-2022 karta.png", "A 36220-2022")</f>
        <v/>
      </c>
      <c r="V47">
        <f>HYPERLINK("https://klasma.github.io/Logging_0483/klagomål/A 36220-2022 FSC-klagomål.docx", "A 36220-2022")</f>
        <v/>
      </c>
      <c r="W47">
        <f>HYPERLINK("https://klasma.github.io/Logging_0483/klagomålsmail/A 36220-2022 FSC-klagomål mail.docx", "A 36220-2022")</f>
        <v/>
      </c>
      <c r="X47">
        <f>HYPERLINK("https://klasma.github.io/Logging_0483/tillsyn/A 36220-2022 tillsynsbegäran.docx", "A 36220-2022")</f>
        <v/>
      </c>
      <c r="Y47">
        <f>HYPERLINK("https://klasma.github.io/Logging_0483/tillsynsmail/A 36220-2022 tillsynsbegäran mail.docx", "A 36220-2022")</f>
        <v/>
      </c>
    </row>
    <row r="48" ht="15" customHeight="1">
      <c r="A48" t="inlineStr">
        <is>
          <t>A 55700-2025</t>
        </is>
      </c>
      <c r="B48" s="1" t="n">
        <v>45972.45605324074</v>
      </c>
      <c r="C48" s="1" t="n">
        <v>46183</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6076-2022</t>
        </is>
      </c>
      <c r="B49" s="1" t="n">
        <v>44599</v>
      </c>
      <c r="C49" s="1" t="n">
        <v>46183</v>
      </c>
      <c r="D49" t="inlineStr">
        <is>
          <t>SÖDERMANLANDS LÄN</t>
        </is>
      </c>
      <c r="E49" t="inlineStr">
        <is>
          <t>KATRINEHOLM</t>
        </is>
      </c>
      <c r="G49" t="n">
        <v>3.3</v>
      </c>
      <c r="H49" t="n">
        <v>0</v>
      </c>
      <c r="I49" t="n">
        <v>1</v>
      </c>
      <c r="J49" t="n">
        <v>0</v>
      </c>
      <c r="K49" t="n">
        <v>0</v>
      </c>
      <c r="L49" t="n">
        <v>0</v>
      </c>
      <c r="M49" t="n">
        <v>0</v>
      </c>
      <c r="N49" t="n">
        <v>0</v>
      </c>
      <c r="O49" t="n">
        <v>0</v>
      </c>
      <c r="P49" t="n">
        <v>0</v>
      </c>
      <c r="Q49" t="n">
        <v>1</v>
      </c>
      <c r="R49" s="2" t="inlineStr">
        <is>
          <t>Svart trolldruva</t>
        </is>
      </c>
      <c r="S49">
        <f>HYPERLINK("https://klasma.github.io/Logging_0483/artfynd/A 6076-2022 artfynd.xlsx", "A 6076-2022")</f>
        <v/>
      </c>
      <c r="T49">
        <f>HYPERLINK("https://klasma.github.io/Logging_0483/kartor/A 6076-2022 karta.png", "A 6076-2022")</f>
        <v/>
      </c>
      <c r="V49">
        <f>HYPERLINK("https://klasma.github.io/Logging_0483/klagomål/A 6076-2022 FSC-klagomål.docx", "A 6076-2022")</f>
        <v/>
      </c>
      <c r="W49">
        <f>HYPERLINK("https://klasma.github.io/Logging_0483/klagomålsmail/A 6076-2022 FSC-klagomål mail.docx", "A 6076-2022")</f>
        <v/>
      </c>
      <c r="X49">
        <f>HYPERLINK("https://klasma.github.io/Logging_0483/tillsyn/A 6076-2022 tillsynsbegäran.docx", "A 6076-2022")</f>
        <v/>
      </c>
      <c r="Y49">
        <f>HYPERLINK("https://klasma.github.io/Logging_0483/tillsynsmail/A 6076-2022 tillsynsbegäran mail.docx", "A 6076-2022")</f>
        <v/>
      </c>
    </row>
    <row r="50" ht="15" customHeight="1">
      <c r="A50" t="inlineStr">
        <is>
          <t>A 42745-2022</t>
        </is>
      </c>
      <c r="B50" s="1" t="n">
        <v>44831</v>
      </c>
      <c r="C50" s="1" t="n">
        <v>46183</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27375-2024</t>
        </is>
      </c>
      <c r="B51" s="1" t="n">
        <v>45473.87645833333</v>
      </c>
      <c r="C51" s="1" t="n">
        <v>46183</v>
      </c>
      <c r="D51" t="inlineStr">
        <is>
          <t>SÖDERMANLANDS LÄN</t>
        </is>
      </c>
      <c r="E51" t="inlineStr">
        <is>
          <t>KATRINEHOLM</t>
        </is>
      </c>
      <c r="F51" t="inlineStr">
        <is>
          <t>Kommuner</t>
        </is>
      </c>
      <c r="G51" t="n">
        <v>1.9</v>
      </c>
      <c r="H51" t="n">
        <v>1</v>
      </c>
      <c r="I51" t="n">
        <v>0</v>
      </c>
      <c r="J51" t="n">
        <v>0</v>
      </c>
      <c r="K51" t="n">
        <v>1</v>
      </c>
      <c r="L51" t="n">
        <v>0</v>
      </c>
      <c r="M51" t="n">
        <v>0</v>
      </c>
      <c r="N51" t="n">
        <v>0</v>
      </c>
      <c r="O51" t="n">
        <v>1</v>
      </c>
      <c r="P51" t="n">
        <v>1</v>
      </c>
      <c r="Q51" t="n">
        <v>1</v>
      </c>
      <c r="R51" s="2" t="inlineStr">
        <is>
          <t>Kricka</t>
        </is>
      </c>
      <c r="S51">
        <f>HYPERLINK("https://klasma.github.io/Logging_0483/artfynd/A 27375-2024 artfynd.xlsx", "A 27375-2024")</f>
        <v/>
      </c>
      <c r="T51">
        <f>HYPERLINK("https://klasma.github.io/Logging_0483/kartor/A 27375-2024 karta.png", "A 27375-2024")</f>
        <v/>
      </c>
      <c r="V51">
        <f>HYPERLINK("https://klasma.github.io/Logging_0483/klagomål/A 27375-2024 FSC-klagomål.docx", "A 27375-2024")</f>
        <v/>
      </c>
      <c r="W51">
        <f>HYPERLINK("https://klasma.github.io/Logging_0483/klagomålsmail/A 27375-2024 FSC-klagomål mail.docx", "A 27375-2024")</f>
        <v/>
      </c>
      <c r="X51">
        <f>HYPERLINK("https://klasma.github.io/Logging_0483/tillsyn/A 27375-2024 tillsynsbegäran.docx", "A 27375-2024")</f>
        <v/>
      </c>
      <c r="Y51">
        <f>HYPERLINK("https://klasma.github.io/Logging_0483/tillsynsmail/A 27375-2024 tillsynsbegäran mail.docx", "A 27375-2024")</f>
        <v/>
      </c>
      <c r="Z51">
        <f>HYPERLINK("https://klasma.github.io/Logging_0483/fåglar/A 27375-2024 prioriterade fågelarter.docx", "A 27375-2024")</f>
        <v/>
      </c>
    </row>
    <row r="52" ht="15" customHeight="1">
      <c r="A52" t="inlineStr">
        <is>
          <t>A 12238-2023</t>
        </is>
      </c>
      <c r="B52" s="1" t="n">
        <v>44995</v>
      </c>
      <c r="C52" s="1" t="n">
        <v>46183</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46183</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46183</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63946-2025</t>
        </is>
      </c>
      <c r="B55" s="1" t="n">
        <v>46010</v>
      </c>
      <c r="C55" s="1" t="n">
        <v>46183</v>
      </c>
      <c r="D55" t="inlineStr">
        <is>
          <t>SÖDERMANLANDS LÄN</t>
        </is>
      </c>
      <c r="E55" t="inlineStr">
        <is>
          <t>KATRINEHOLM</t>
        </is>
      </c>
      <c r="F55" t="inlineStr">
        <is>
          <t>Allmännings- och besparingsskogar</t>
        </is>
      </c>
      <c r="G55" t="n">
        <v>2.4</v>
      </c>
      <c r="H55" t="n">
        <v>0</v>
      </c>
      <c r="I55" t="n">
        <v>0</v>
      </c>
      <c r="J55" t="n">
        <v>1</v>
      </c>
      <c r="K55" t="n">
        <v>0</v>
      </c>
      <c r="L55" t="n">
        <v>0</v>
      </c>
      <c r="M55" t="n">
        <v>0</v>
      </c>
      <c r="N55" t="n">
        <v>0</v>
      </c>
      <c r="O55" t="n">
        <v>1</v>
      </c>
      <c r="P55" t="n">
        <v>0</v>
      </c>
      <c r="Q55" t="n">
        <v>1</v>
      </c>
      <c r="R55" s="2" t="inlineStr">
        <is>
          <t>Tallticka</t>
        </is>
      </c>
      <c r="S55">
        <f>HYPERLINK("https://klasma.github.io/Logging_0483/artfynd/A 63946-2025 artfynd.xlsx", "A 63946-2025")</f>
        <v/>
      </c>
      <c r="T55">
        <f>HYPERLINK("https://klasma.github.io/Logging_0483/kartor/A 63946-2025 karta.png", "A 63946-2025")</f>
        <v/>
      </c>
      <c r="V55">
        <f>HYPERLINK("https://klasma.github.io/Logging_0483/klagomål/A 63946-2025 FSC-klagomål.docx", "A 63946-2025")</f>
        <v/>
      </c>
      <c r="W55">
        <f>HYPERLINK("https://klasma.github.io/Logging_0483/klagomålsmail/A 63946-2025 FSC-klagomål mail.docx", "A 63946-2025")</f>
        <v/>
      </c>
      <c r="X55">
        <f>HYPERLINK("https://klasma.github.io/Logging_0483/tillsyn/A 63946-2025 tillsynsbegäran.docx", "A 63946-2025")</f>
        <v/>
      </c>
      <c r="Y55">
        <f>HYPERLINK("https://klasma.github.io/Logging_0483/tillsynsmail/A 63946-2025 tillsynsbegäran mail.docx", "A 63946-2025")</f>
        <v/>
      </c>
    </row>
    <row r="56" ht="15" customHeight="1">
      <c r="A56" t="inlineStr">
        <is>
          <t>A 62957-2025</t>
        </is>
      </c>
      <c r="B56" s="1" t="n">
        <v>46009</v>
      </c>
      <c r="C56" s="1" t="n">
        <v>46183</v>
      </c>
      <c r="D56" t="inlineStr">
        <is>
          <t>SÖDERMANLANDS LÄN</t>
        </is>
      </c>
      <c r="E56" t="inlineStr">
        <is>
          <t>KATRINEHOLM</t>
        </is>
      </c>
      <c r="F56" t="inlineStr">
        <is>
          <t>Allmännings- och besparingsskogar</t>
        </is>
      </c>
      <c r="G56" t="n">
        <v>1.7</v>
      </c>
      <c r="H56" t="n">
        <v>1</v>
      </c>
      <c r="I56" t="n">
        <v>0</v>
      </c>
      <c r="J56" t="n">
        <v>1</v>
      </c>
      <c r="K56" t="n">
        <v>0</v>
      </c>
      <c r="L56" t="n">
        <v>0</v>
      </c>
      <c r="M56" t="n">
        <v>0</v>
      </c>
      <c r="N56" t="n">
        <v>0</v>
      </c>
      <c r="O56" t="n">
        <v>1</v>
      </c>
      <c r="P56" t="n">
        <v>0</v>
      </c>
      <c r="Q56" t="n">
        <v>1</v>
      </c>
      <c r="R56" s="2" t="inlineStr">
        <is>
          <t>Utter</t>
        </is>
      </c>
      <c r="S56">
        <f>HYPERLINK("https://klasma.github.io/Logging_0483/artfynd/A 62957-2025 artfynd.xlsx", "A 62957-2025")</f>
        <v/>
      </c>
      <c r="T56">
        <f>HYPERLINK("https://klasma.github.io/Logging_0483/kartor/A 62957-2025 karta.png", "A 62957-2025")</f>
        <v/>
      </c>
      <c r="V56">
        <f>HYPERLINK("https://klasma.github.io/Logging_0483/klagomål/A 62957-2025 FSC-klagomål.docx", "A 62957-2025")</f>
        <v/>
      </c>
      <c r="W56">
        <f>HYPERLINK("https://klasma.github.io/Logging_0483/klagomålsmail/A 62957-2025 FSC-klagomål mail.docx", "A 62957-2025")</f>
        <v/>
      </c>
      <c r="X56">
        <f>HYPERLINK("https://klasma.github.io/Logging_0483/tillsyn/A 62957-2025 tillsynsbegäran.docx", "A 62957-2025")</f>
        <v/>
      </c>
      <c r="Y56">
        <f>HYPERLINK("https://klasma.github.io/Logging_0483/tillsynsmail/A 62957-2025 tillsynsbegäran mail.docx", "A 62957-2025")</f>
        <v/>
      </c>
    </row>
    <row r="57" ht="15" customHeight="1">
      <c r="A57" t="inlineStr">
        <is>
          <t>A 11890-2023</t>
        </is>
      </c>
      <c r="B57" s="1" t="n">
        <v>44995</v>
      </c>
      <c r="C57" s="1" t="n">
        <v>46183</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11890-2023</t>
        </is>
      </c>
      <c r="B58" s="1" t="n">
        <v>44995</v>
      </c>
      <c r="C58" s="1" t="n">
        <v>46183</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36856-2021</t>
        </is>
      </c>
      <c r="B59" s="1" t="n">
        <v>44393</v>
      </c>
      <c r="C59" s="1" t="n">
        <v>46183</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46183</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46183</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46183</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46183</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46183</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46183</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46183</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46183</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38471-2021</t>
        </is>
      </c>
      <c r="B68" s="1" t="n">
        <v>44407</v>
      </c>
      <c r="C68" s="1" t="n">
        <v>46183</v>
      </c>
      <c r="D68" t="inlineStr">
        <is>
          <t>SÖDERMANLANDS LÄN</t>
        </is>
      </c>
      <c r="E68" t="inlineStr">
        <is>
          <t>KATRINEHOLM</t>
        </is>
      </c>
      <c r="G68" t="n">
        <v>1</v>
      </c>
      <c r="H68" t="n">
        <v>0</v>
      </c>
      <c r="I68" t="n">
        <v>0</v>
      </c>
      <c r="J68" t="n">
        <v>0</v>
      </c>
      <c r="K68" t="n">
        <v>0</v>
      </c>
      <c r="L68" t="n">
        <v>0</v>
      </c>
      <c r="M68" t="n">
        <v>0</v>
      </c>
      <c r="N68" t="n">
        <v>0</v>
      </c>
      <c r="O68" t="n">
        <v>0</v>
      </c>
      <c r="P68" t="n">
        <v>0</v>
      </c>
      <c r="Q68" t="n">
        <v>0</v>
      </c>
      <c r="R68" s="2" t="inlineStr"/>
    </row>
    <row r="69" ht="15" customHeight="1">
      <c r="A69" t="inlineStr">
        <is>
          <t>A 65188-2021</t>
        </is>
      </c>
      <c r="B69" s="1" t="n">
        <v>44512</v>
      </c>
      <c r="C69" s="1" t="n">
        <v>46183</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50625-2022</t>
        </is>
      </c>
      <c r="B70" s="1" t="n">
        <v>44866.87912037037</v>
      </c>
      <c r="C70" s="1" t="n">
        <v>46183</v>
      </c>
      <c r="D70" t="inlineStr">
        <is>
          <t>SÖDERMANLANDS LÄN</t>
        </is>
      </c>
      <c r="E70" t="inlineStr">
        <is>
          <t>KATRINEHOLM</t>
        </is>
      </c>
      <c r="F70" t="inlineStr">
        <is>
          <t>Kyrkan</t>
        </is>
      </c>
      <c r="G70" t="n">
        <v>25</v>
      </c>
      <c r="H70" t="n">
        <v>0</v>
      </c>
      <c r="I70" t="n">
        <v>0</v>
      </c>
      <c r="J70" t="n">
        <v>0</v>
      </c>
      <c r="K70" t="n">
        <v>0</v>
      </c>
      <c r="L70" t="n">
        <v>0</v>
      </c>
      <c r="M70" t="n">
        <v>0</v>
      </c>
      <c r="N70" t="n">
        <v>0</v>
      </c>
      <c r="O70" t="n">
        <v>0</v>
      </c>
      <c r="P70" t="n">
        <v>0</v>
      </c>
      <c r="Q70" t="n">
        <v>0</v>
      </c>
      <c r="R70" s="2" t="inlineStr"/>
    </row>
    <row r="71" ht="15" customHeight="1">
      <c r="A71" t="inlineStr">
        <is>
          <t>A 70442-2021</t>
        </is>
      </c>
      <c r="B71" s="1" t="n">
        <v>44536</v>
      </c>
      <c r="C71" s="1" t="n">
        <v>46183</v>
      </c>
      <c r="D71" t="inlineStr">
        <is>
          <t>SÖDERMANLANDS LÄN</t>
        </is>
      </c>
      <c r="E71" t="inlineStr">
        <is>
          <t>KATRINEHOLM</t>
        </is>
      </c>
      <c r="G71" t="n">
        <v>0.9</v>
      </c>
      <c r="H71" t="n">
        <v>0</v>
      </c>
      <c r="I71" t="n">
        <v>0</v>
      </c>
      <c r="J71" t="n">
        <v>0</v>
      </c>
      <c r="K71" t="n">
        <v>0</v>
      </c>
      <c r="L71" t="n">
        <v>0</v>
      </c>
      <c r="M71" t="n">
        <v>0</v>
      </c>
      <c r="N71" t="n">
        <v>0</v>
      </c>
      <c r="O71" t="n">
        <v>0</v>
      </c>
      <c r="P71" t="n">
        <v>0</v>
      </c>
      <c r="Q71" t="n">
        <v>0</v>
      </c>
      <c r="R71" s="2" t="inlineStr"/>
    </row>
    <row r="72" ht="15" customHeight="1">
      <c r="A72" t="inlineStr">
        <is>
          <t>A 53473-2021</t>
        </is>
      </c>
      <c r="B72" s="1" t="n">
        <v>44468</v>
      </c>
      <c r="C72" s="1" t="n">
        <v>46183</v>
      </c>
      <c r="D72" t="inlineStr">
        <is>
          <t>SÖDERMANLANDS LÄN</t>
        </is>
      </c>
      <c r="E72" t="inlineStr">
        <is>
          <t>KATRINEHOLM</t>
        </is>
      </c>
      <c r="G72" t="n">
        <v>10.8</v>
      </c>
      <c r="H72" t="n">
        <v>0</v>
      </c>
      <c r="I72" t="n">
        <v>0</v>
      </c>
      <c r="J72" t="n">
        <v>0</v>
      </c>
      <c r="K72" t="n">
        <v>0</v>
      </c>
      <c r="L72" t="n">
        <v>0</v>
      </c>
      <c r="M72" t="n">
        <v>0</v>
      </c>
      <c r="N72" t="n">
        <v>0</v>
      </c>
      <c r="O72" t="n">
        <v>0</v>
      </c>
      <c r="P72" t="n">
        <v>0</v>
      </c>
      <c r="Q72" t="n">
        <v>0</v>
      </c>
      <c r="R72" s="2" t="inlineStr"/>
    </row>
    <row r="73" ht="15" customHeight="1">
      <c r="A73" t="inlineStr">
        <is>
          <t>A 55898-2021</t>
        </is>
      </c>
      <c r="B73" s="1" t="n">
        <v>44476</v>
      </c>
      <c r="C73" s="1" t="n">
        <v>46183</v>
      </c>
      <c r="D73" t="inlineStr">
        <is>
          <t>SÖDERMANLANDS LÄN</t>
        </is>
      </c>
      <c r="E73" t="inlineStr">
        <is>
          <t>KATRINEHOLM</t>
        </is>
      </c>
      <c r="G73" t="n">
        <v>2.8</v>
      </c>
      <c r="H73" t="n">
        <v>0</v>
      </c>
      <c r="I73" t="n">
        <v>0</v>
      </c>
      <c r="J73" t="n">
        <v>0</v>
      </c>
      <c r="K73" t="n">
        <v>0</v>
      </c>
      <c r="L73" t="n">
        <v>0</v>
      </c>
      <c r="M73" t="n">
        <v>0</v>
      </c>
      <c r="N73" t="n">
        <v>0</v>
      </c>
      <c r="O73" t="n">
        <v>0</v>
      </c>
      <c r="P73" t="n">
        <v>0</v>
      </c>
      <c r="Q73" t="n">
        <v>0</v>
      </c>
      <c r="R73" s="2" t="inlineStr"/>
    </row>
    <row r="74" ht="15" customHeight="1">
      <c r="A74" t="inlineStr">
        <is>
          <t>A 6145-2022</t>
        </is>
      </c>
      <c r="B74" s="1" t="n">
        <v>44599</v>
      </c>
      <c r="C74" s="1" t="n">
        <v>46183</v>
      </c>
      <c r="D74" t="inlineStr">
        <is>
          <t>SÖDERMANLANDS LÄN</t>
        </is>
      </c>
      <c r="E74" t="inlineStr">
        <is>
          <t>KATRINEHOLM</t>
        </is>
      </c>
      <c r="G74" t="n">
        <v>2.3</v>
      </c>
      <c r="H74" t="n">
        <v>0</v>
      </c>
      <c r="I74" t="n">
        <v>0</v>
      </c>
      <c r="J74" t="n">
        <v>0</v>
      </c>
      <c r="K74" t="n">
        <v>0</v>
      </c>
      <c r="L74" t="n">
        <v>0</v>
      </c>
      <c r="M74" t="n">
        <v>0</v>
      </c>
      <c r="N74" t="n">
        <v>0</v>
      </c>
      <c r="O74" t="n">
        <v>0</v>
      </c>
      <c r="P74" t="n">
        <v>0</v>
      </c>
      <c r="Q74" t="n">
        <v>0</v>
      </c>
      <c r="R74" s="2" t="inlineStr"/>
    </row>
    <row r="75" ht="15" customHeight="1">
      <c r="A75" t="inlineStr">
        <is>
          <t>A 11024-2022</t>
        </is>
      </c>
      <c r="B75" s="1" t="n">
        <v>44628</v>
      </c>
      <c r="C75" s="1" t="n">
        <v>46183</v>
      </c>
      <c r="D75" t="inlineStr">
        <is>
          <t>SÖDERMANLANDS LÄN</t>
        </is>
      </c>
      <c r="E75" t="inlineStr">
        <is>
          <t>KATRINEHOLM</t>
        </is>
      </c>
      <c r="G75" t="n">
        <v>0.4</v>
      </c>
      <c r="H75" t="n">
        <v>0</v>
      </c>
      <c r="I75" t="n">
        <v>0</v>
      </c>
      <c r="J75" t="n">
        <v>0</v>
      </c>
      <c r="K75" t="n">
        <v>0</v>
      </c>
      <c r="L75" t="n">
        <v>0</v>
      </c>
      <c r="M75" t="n">
        <v>0</v>
      </c>
      <c r="N75" t="n">
        <v>0</v>
      </c>
      <c r="O75" t="n">
        <v>0</v>
      </c>
      <c r="P75" t="n">
        <v>0</v>
      </c>
      <c r="Q75" t="n">
        <v>0</v>
      </c>
      <c r="R75" s="2" t="inlineStr"/>
    </row>
    <row r="76" ht="15" customHeight="1">
      <c r="A76" t="inlineStr">
        <is>
          <t>A 40818-2022</t>
        </is>
      </c>
      <c r="B76" s="1" t="n">
        <v>44824</v>
      </c>
      <c r="C76" s="1" t="n">
        <v>46183</v>
      </c>
      <c r="D76" t="inlineStr">
        <is>
          <t>SÖDERMANLANDS LÄN</t>
        </is>
      </c>
      <c r="E76" t="inlineStr">
        <is>
          <t>KATRINEHOLM</t>
        </is>
      </c>
      <c r="G76" t="n">
        <v>0.2</v>
      </c>
      <c r="H76" t="n">
        <v>0</v>
      </c>
      <c r="I76" t="n">
        <v>0</v>
      </c>
      <c r="J76" t="n">
        <v>0</v>
      </c>
      <c r="K76" t="n">
        <v>0</v>
      </c>
      <c r="L76" t="n">
        <v>0</v>
      </c>
      <c r="M76" t="n">
        <v>0</v>
      </c>
      <c r="N76" t="n">
        <v>0</v>
      </c>
      <c r="O76" t="n">
        <v>0</v>
      </c>
      <c r="P76" t="n">
        <v>0</v>
      </c>
      <c r="Q76" t="n">
        <v>0</v>
      </c>
      <c r="R76" s="2" t="inlineStr"/>
    </row>
    <row r="77" ht="15" customHeight="1">
      <c r="A77" t="inlineStr">
        <is>
          <t>A 53846-2021</t>
        </is>
      </c>
      <c r="B77" s="1" t="n">
        <v>44467</v>
      </c>
      <c r="C77" s="1" t="n">
        <v>46183</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6695-2022</t>
        </is>
      </c>
      <c r="B78" s="1" t="n">
        <v>44602</v>
      </c>
      <c r="C78" s="1" t="n">
        <v>46183</v>
      </c>
      <c r="D78" t="inlineStr">
        <is>
          <t>SÖDERMANLANDS LÄN</t>
        </is>
      </c>
      <c r="E78" t="inlineStr">
        <is>
          <t>KATRINEHOLM</t>
        </is>
      </c>
      <c r="G78" t="n">
        <v>3.4</v>
      </c>
      <c r="H78" t="n">
        <v>0</v>
      </c>
      <c r="I78" t="n">
        <v>0</v>
      </c>
      <c r="J78" t="n">
        <v>0</v>
      </c>
      <c r="K78" t="n">
        <v>0</v>
      </c>
      <c r="L78" t="n">
        <v>0</v>
      </c>
      <c r="M78" t="n">
        <v>0</v>
      </c>
      <c r="N78" t="n">
        <v>0</v>
      </c>
      <c r="O78" t="n">
        <v>0</v>
      </c>
      <c r="P78" t="n">
        <v>0</v>
      </c>
      <c r="Q78" t="n">
        <v>0</v>
      </c>
      <c r="R78" s="2" t="inlineStr"/>
    </row>
    <row r="79" ht="15" customHeight="1">
      <c r="A79" t="inlineStr">
        <is>
          <t>A 23028-2022</t>
        </is>
      </c>
      <c r="B79" s="1" t="n">
        <v>44719</v>
      </c>
      <c r="C79" s="1" t="n">
        <v>46183</v>
      </c>
      <c r="D79" t="inlineStr">
        <is>
          <t>SÖDERMANLANDS LÄN</t>
        </is>
      </c>
      <c r="E79" t="inlineStr">
        <is>
          <t>KATRINEHOLM</t>
        </is>
      </c>
      <c r="G79" t="n">
        <v>1.2</v>
      </c>
      <c r="H79" t="n">
        <v>0</v>
      </c>
      <c r="I79" t="n">
        <v>0</v>
      </c>
      <c r="J79" t="n">
        <v>0</v>
      </c>
      <c r="K79" t="n">
        <v>0</v>
      </c>
      <c r="L79" t="n">
        <v>0</v>
      </c>
      <c r="M79" t="n">
        <v>0</v>
      </c>
      <c r="N79" t="n">
        <v>0</v>
      </c>
      <c r="O79" t="n">
        <v>0</v>
      </c>
      <c r="P79" t="n">
        <v>0</v>
      </c>
      <c r="Q79" t="n">
        <v>0</v>
      </c>
      <c r="R79" s="2" t="inlineStr"/>
    </row>
    <row r="80" ht="15" customHeight="1">
      <c r="A80" t="inlineStr">
        <is>
          <t>A 70422-2021</t>
        </is>
      </c>
      <c r="B80" s="1" t="n">
        <v>44536</v>
      </c>
      <c r="C80" s="1" t="n">
        <v>46183</v>
      </c>
      <c r="D80" t="inlineStr">
        <is>
          <t>SÖDERMANLANDS LÄN</t>
        </is>
      </c>
      <c r="E80" t="inlineStr">
        <is>
          <t>KATRINEHOLM</t>
        </is>
      </c>
      <c r="G80" t="n">
        <v>3.5</v>
      </c>
      <c r="H80" t="n">
        <v>0</v>
      </c>
      <c r="I80" t="n">
        <v>0</v>
      </c>
      <c r="J80" t="n">
        <v>0</v>
      </c>
      <c r="K80" t="n">
        <v>0</v>
      </c>
      <c r="L80" t="n">
        <v>0</v>
      </c>
      <c r="M80" t="n">
        <v>0</v>
      </c>
      <c r="N80" t="n">
        <v>0</v>
      </c>
      <c r="O80" t="n">
        <v>0</v>
      </c>
      <c r="P80" t="n">
        <v>0</v>
      </c>
      <c r="Q80" t="n">
        <v>0</v>
      </c>
      <c r="R80" s="2" t="inlineStr"/>
    </row>
    <row r="81" ht="15" customHeight="1">
      <c r="A81" t="inlineStr">
        <is>
          <t>A 36605-2021</t>
        </is>
      </c>
      <c r="B81" s="1" t="n">
        <v>44391</v>
      </c>
      <c r="C81" s="1" t="n">
        <v>46183</v>
      </c>
      <c r="D81" t="inlineStr">
        <is>
          <t>SÖDERMANLANDS LÄN</t>
        </is>
      </c>
      <c r="E81" t="inlineStr">
        <is>
          <t>KATRINEHOLM</t>
        </is>
      </c>
      <c r="G81" t="n">
        <v>1.1</v>
      </c>
      <c r="H81" t="n">
        <v>0</v>
      </c>
      <c r="I81" t="n">
        <v>0</v>
      </c>
      <c r="J81" t="n">
        <v>0</v>
      </c>
      <c r="K81" t="n">
        <v>0</v>
      </c>
      <c r="L81" t="n">
        <v>0</v>
      </c>
      <c r="M81" t="n">
        <v>0</v>
      </c>
      <c r="N81" t="n">
        <v>0</v>
      </c>
      <c r="O81" t="n">
        <v>0</v>
      </c>
      <c r="P81" t="n">
        <v>0</v>
      </c>
      <c r="Q81" t="n">
        <v>0</v>
      </c>
      <c r="R81" s="2" t="inlineStr"/>
    </row>
    <row r="82" ht="15" customHeight="1">
      <c r="A82" t="inlineStr">
        <is>
          <t>A 39862-2021</t>
        </is>
      </c>
      <c r="B82" s="1" t="n">
        <v>44417</v>
      </c>
      <c r="C82" s="1" t="n">
        <v>46183</v>
      </c>
      <c r="D82" t="inlineStr">
        <is>
          <t>SÖDERMANLANDS LÄN</t>
        </is>
      </c>
      <c r="E82" t="inlineStr">
        <is>
          <t>KATRINEHOLM</t>
        </is>
      </c>
      <c r="G82" t="n">
        <v>8.699999999999999</v>
      </c>
      <c r="H82" t="n">
        <v>0</v>
      </c>
      <c r="I82" t="n">
        <v>0</v>
      </c>
      <c r="J82" t="n">
        <v>0</v>
      </c>
      <c r="K82" t="n">
        <v>0</v>
      </c>
      <c r="L82" t="n">
        <v>0</v>
      </c>
      <c r="M82" t="n">
        <v>0</v>
      </c>
      <c r="N82" t="n">
        <v>0</v>
      </c>
      <c r="O82" t="n">
        <v>0</v>
      </c>
      <c r="P82" t="n">
        <v>0</v>
      </c>
      <c r="Q82" t="n">
        <v>0</v>
      </c>
      <c r="R82" s="2" t="inlineStr"/>
    </row>
    <row r="83" ht="15" customHeight="1">
      <c r="A83" t="inlineStr">
        <is>
          <t>A 61174-2021</t>
        </is>
      </c>
      <c r="B83" s="1" t="n">
        <v>44466</v>
      </c>
      <c r="C83" s="1" t="n">
        <v>46183</v>
      </c>
      <c r="D83" t="inlineStr">
        <is>
          <t>SÖDERMANLANDS LÄN</t>
        </is>
      </c>
      <c r="E83" t="inlineStr">
        <is>
          <t>KATRINEHOLM</t>
        </is>
      </c>
      <c r="G83" t="n">
        <v>4</v>
      </c>
      <c r="H83" t="n">
        <v>0</v>
      </c>
      <c r="I83" t="n">
        <v>0</v>
      </c>
      <c r="J83" t="n">
        <v>0</v>
      </c>
      <c r="K83" t="n">
        <v>0</v>
      </c>
      <c r="L83" t="n">
        <v>0</v>
      </c>
      <c r="M83" t="n">
        <v>0</v>
      </c>
      <c r="N83" t="n">
        <v>0</v>
      </c>
      <c r="O83" t="n">
        <v>0</v>
      </c>
      <c r="P83" t="n">
        <v>0</v>
      </c>
      <c r="Q83" t="n">
        <v>0</v>
      </c>
      <c r="R83" s="2" t="inlineStr"/>
    </row>
    <row r="84" ht="15" customHeight="1">
      <c r="A84" t="inlineStr">
        <is>
          <t>A 56337-2021</t>
        </is>
      </c>
      <c r="B84" s="1" t="n">
        <v>44480</v>
      </c>
      <c r="C84" s="1" t="n">
        <v>46183</v>
      </c>
      <c r="D84" t="inlineStr">
        <is>
          <t>SÖDERMANLANDS LÄN</t>
        </is>
      </c>
      <c r="E84" t="inlineStr">
        <is>
          <t>KATRINEHOLM</t>
        </is>
      </c>
      <c r="F84" t="inlineStr">
        <is>
          <t>Holmen skog AB</t>
        </is>
      </c>
      <c r="G84" t="n">
        <v>0.6</v>
      </c>
      <c r="H84" t="n">
        <v>0</v>
      </c>
      <c r="I84" t="n">
        <v>0</v>
      </c>
      <c r="J84" t="n">
        <v>0</v>
      </c>
      <c r="K84" t="n">
        <v>0</v>
      </c>
      <c r="L84" t="n">
        <v>0</v>
      </c>
      <c r="M84" t="n">
        <v>0</v>
      </c>
      <c r="N84" t="n">
        <v>0</v>
      </c>
      <c r="O84" t="n">
        <v>0</v>
      </c>
      <c r="P84" t="n">
        <v>0</v>
      </c>
      <c r="Q84" t="n">
        <v>0</v>
      </c>
      <c r="R84" s="2" t="inlineStr"/>
    </row>
    <row r="85" ht="15" customHeight="1">
      <c r="A85" t="inlineStr">
        <is>
          <t>A 60515-2021</t>
        </is>
      </c>
      <c r="B85" s="1" t="n">
        <v>44496</v>
      </c>
      <c r="C85" s="1" t="n">
        <v>46183</v>
      </c>
      <c r="D85" t="inlineStr">
        <is>
          <t>SÖDERMANLANDS LÄN</t>
        </is>
      </c>
      <c r="E85" t="inlineStr">
        <is>
          <t>KATRINEHOLM</t>
        </is>
      </c>
      <c r="G85" t="n">
        <v>1.8</v>
      </c>
      <c r="H85" t="n">
        <v>0</v>
      </c>
      <c r="I85" t="n">
        <v>0</v>
      </c>
      <c r="J85" t="n">
        <v>0</v>
      </c>
      <c r="K85" t="n">
        <v>0</v>
      </c>
      <c r="L85" t="n">
        <v>0</v>
      </c>
      <c r="M85" t="n">
        <v>0</v>
      </c>
      <c r="N85" t="n">
        <v>0</v>
      </c>
      <c r="O85" t="n">
        <v>0</v>
      </c>
      <c r="P85" t="n">
        <v>0</v>
      </c>
      <c r="Q85" t="n">
        <v>0</v>
      </c>
      <c r="R85" s="2" t="inlineStr"/>
    </row>
    <row r="86" ht="15" customHeight="1">
      <c r="A86" t="inlineStr">
        <is>
          <t>A 31846-2021</t>
        </is>
      </c>
      <c r="B86" s="1" t="n">
        <v>44370</v>
      </c>
      <c r="C86" s="1" t="n">
        <v>46183</v>
      </c>
      <c r="D86" t="inlineStr">
        <is>
          <t>SÖDERMANLANDS LÄN</t>
        </is>
      </c>
      <c r="E86" t="inlineStr">
        <is>
          <t>KATRINEHOLM</t>
        </is>
      </c>
      <c r="G86" t="n">
        <v>4.9</v>
      </c>
      <c r="H86" t="n">
        <v>0</v>
      </c>
      <c r="I86" t="n">
        <v>0</v>
      </c>
      <c r="J86" t="n">
        <v>0</v>
      </c>
      <c r="K86" t="n">
        <v>0</v>
      </c>
      <c r="L86" t="n">
        <v>0</v>
      </c>
      <c r="M86" t="n">
        <v>0</v>
      </c>
      <c r="N86" t="n">
        <v>0</v>
      </c>
      <c r="O86" t="n">
        <v>0</v>
      </c>
      <c r="P86" t="n">
        <v>0</v>
      </c>
      <c r="Q86" t="n">
        <v>0</v>
      </c>
      <c r="R86" s="2" t="inlineStr"/>
    </row>
    <row r="87" ht="15" customHeight="1">
      <c r="A87" t="inlineStr">
        <is>
          <t>A 3572-2022</t>
        </is>
      </c>
      <c r="B87" s="1" t="n">
        <v>44585</v>
      </c>
      <c r="C87" s="1" t="n">
        <v>46183</v>
      </c>
      <c r="D87" t="inlineStr">
        <is>
          <t>SÖDERMANLANDS LÄN</t>
        </is>
      </c>
      <c r="E87" t="inlineStr">
        <is>
          <t>KATRINEHOLM</t>
        </is>
      </c>
      <c r="G87" t="n">
        <v>1.7</v>
      </c>
      <c r="H87" t="n">
        <v>0</v>
      </c>
      <c r="I87" t="n">
        <v>0</v>
      </c>
      <c r="J87" t="n">
        <v>0</v>
      </c>
      <c r="K87" t="n">
        <v>0</v>
      </c>
      <c r="L87" t="n">
        <v>0</v>
      </c>
      <c r="M87" t="n">
        <v>0</v>
      </c>
      <c r="N87" t="n">
        <v>0</v>
      </c>
      <c r="O87" t="n">
        <v>0</v>
      </c>
      <c r="P87" t="n">
        <v>0</v>
      </c>
      <c r="Q87" t="n">
        <v>0</v>
      </c>
      <c r="R87" s="2" t="inlineStr"/>
    </row>
    <row r="88" ht="15" customHeight="1">
      <c r="A88" t="inlineStr">
        <is>
          <t>A 29264-2021</t>
        </is>
      </c>
      <c r="B88" s="1" t="n">
        <v>44361.34458333333</v>
      </c>
      <c r="C88" s="1" t="n">
        <v>46183</v>
      </c>
      <c r="D88" t="inlineStr">
        <is>
          <t>SÖDERMANLANDS LÄN</t>
        </is>
      </c>
      <c r="E88" t="inlineStr">
        <is>
          <t>KATRINEHOLM</t>
        </is>
      </c>
      <c r="G88" t="n">
        <v>5.3</v>
      </c>
      <c r="H88" t="n">
        <v>0</v>
      </c>
      <c r="I88" t="n">
        <v>0</v>
      </c>
      <c r="J88" t="n">
        <v>0</v>
      </c>
      <c r="K88" t="n">
        <v>0</v>
      </c>
      <c r="L88" t="n">
        <v>0</v>
      </c>
      <c r="M88" t="n">
        <v>0</v>
      </c>
      <c r="N88" t="n">
        <v>0</v>
      </c>
      <c r="O88" t="n">
        <v>0</v>
      </c>
      <c r="P88" t="n">
        <v>0</v>
      </c>
      <c r="Q88" t="n">
        <v>0</v>
      </c>
      <c r="R88" s="2" t="inlineStr"/>
    </row>
    <row r="89" ht="15" customHeight="1">
      <c r="A89" t="inlineStr">
        <is>
          <t>A 23239-2022</t>
        </is>
      </c>
      <c r="B89" s="1" t="n">
        <v>44719</v>
      </c>
      <c r="C89" s="1" t="n">
        <v>46183</v>
      </c>
      <c r="D89" t="inlineStr">
        <is>
          <t>SÖDERMANLANDS LÄN</t>
        </is>
      </c>
      <c r="E89" t="inlineStr">
        <is>
          <t>KATRINEHOLM</t>
        </is>
      </c>
      <c r="G89" t="n">
        <v>7.4</v>
      </c>
      <c r="H89" t="n">
        <v>0</v>
      </c>
      <c r="I89" t="n">
        <v>0</v>
      </c>
      <c r="J89" t="n">
        <v>0</v>
      </c>
      <c r="K89" t="n">
        <v>0</v>
      </c>
      <c r="L89" t="n">
        <v>0</v>
      </c>
      <c r="M89" t="n">
        <v>0</v>
      </c>
      <c r="N89" t="n">
        <v>0</v>
      </c>
      <c r="O89" t="n">
        <v>0</v>
      </c>
      <c r="P89" t="n">
        <v>0</v>
      </c>
      <c r="Q89" t="n">
        <v>0</v>
      </c>
      <c r="R89" s="2" t="inlineStr"/>
    </row>
    <row r="90" ht="15" customHeight="1">
      <c r="A90" t="inlineStr">
        <is>
          <t>A 24207-2022</t>
        </is>
      </c>
      <c r="B90" s="1" t="n">
        <v>44725</v>
      </c>
      <c r="C90" s="1" t="n">
        <v>46183</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34070-2022</t>
        </is>
      </c>
      <c r="B91" s="1" t="n">
        <v>44791.42287037037</v>
      </c>
      <c r="C91" s="1" t="n">
        <v>46183</v>
      </c>
      <c r="D91" t="inlineStr">
        <is>
          <t>SÖDERMANLANDS LÄN</t>
        </is>
      </c>
      <c r="E91" t="inlineStr">
        <is>
          <t>KATRINEHOLM</t>
        </is>
      </c>
      <c r="G91" t="n">
        <v>1.8</v>
      </c>
      <c r="H91" t="n">
        <v>0</v>
      </c>
      <c r="I91" t="n">
        <v>0</v>
      </c>
      <c r="J91" t="n">
        <v>0</v>
      </c>
      <c r="K91" t="n">
        <v>0</v>
      </c>
      <c r="L91" t="n">
        <v>0</v>
      </c>
      <c r="M91" t="n">
        <v>0</v>
      </c>
      <c r="N91" t="n">
        <v>0</v>
      </c>
      <c r="O91" t="n">
        <v>0</v>
      </c>
      <c r="P91" t="n">
        <v>0</v>
      </c>
      <c r="Q91" t="n">
        <v>0</v>
      </c>
      <c r="R91" s="2" t="inlineStr"/>
    </row>
    <row r="92" ht="15" customHeight="1">
      <c r="A92" t="inlineStr">
        <is>
          <t>A 9786-2022</t>
        </is>
      </c>
      <c r="B92" s="1" t="n">
        <v>44619</v>
      </c>
      <c r="C92" s="1" t="n">
        <v>46183</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53349-2021</t>
        </is>
      </c>
      <c r="B93" s="1" t="n">
        <v>44468</v>
      </c>
      <c r="C93" s="1" t="n">
        <v>46183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2884-2022</t>
        </is>
      </c>
      <c r="B94" s="1" t="n">
        <v>44581</v>
      </c>
      <c r="C94" s="1" t="n">
        <v>46183</v>
      </c>
      <c r="D94" t="inlineStr">
        <is>
          <t>SÖDERMANLANDS LÄN</t>
        </is>
      </c>
      <c r="E94" t="inlineStr">
        <is>
          <t>KATRINEHOLM</t>
        </is>
      </c>
      <c r="G94" t="n">
        <v>0.8</v>
      </c>
      <c r="H94" t="n">
        <v>0</v>
      </c>
      <c r="I94" t="n">
        <v>0</v>
      </c>
      <c r="J94" t="n">
        <v>0</v>
      </c>
      <c r="K94" t="n">
        <v>0</v>
      </c>
      <c r="L94" t="n">
        <v>0</v>
      </c>
      <c r="M94" t="n">
        <v>0</v>
      </c>
      <c r="N94" t="n">
        <v>0</v>
      </c>
      <c r="O94" t="n">
        <v>0</v>
      </c>
      <c r="P94" t="n">
        <v>0</v>
      </c>
      <c r="Q94" t="n">
        <v>0</v>
      </c>
      <c r="R94" s="2" t="inlineStr"/>
    </row>
    <row r="95" ht="15" customHeight="1">
      <c r="A95" t="inlineStr">
        <is>
          <t>A 41876-2021</t>
        </is>
      </c>
      <c r="B95" s="1" t="n">
        <v>44426</v>
      </c>
      <c r="C95" s="1" t="n">
        <v>46183</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65589-2021</t>
        </is>
      </c>
      <c r="B96" s="1" t="n">
        <v>44515</v>
      </c>
      <c r="C96" s="1" t="n">
        <v>46183</v>
      </c>
      <c r="D96" t="inlineStr">
        <is>
          <t>SÖDERMANLANDS LÄN</t>
        </is>
      </c>
      <c r="E96" t="inlineStr">
        <is>
          <t>KATRINEHOLM</t>
        </is>
      </c>
      <c r="G96" t="n">
        <v>2.6</v>
      </c>
      <c r="H96" t="n">
        <v>0</v>
      </c>
      <c r="I96" t="n">
        <v>0</v>
      </c>
      <c r="J96" t="n">
        <v>0</v>
      </c>
      <c r="K96" t="n">
        <v>0</v>
      </c>
      <c r="L96" t="n">
        <v>0</v>
      </c>
      <c r="M96" t="n">
        <v>0</v>
      </c>
      <c r="N96" t="n">
        <v>0</v>
      </c>
      <c r="O96" t="n">
        <v>0</v>
      </c>
      <c r="P96" t="n">
        <v>0</v>
      </c>
      <c r="Q96" t="n">
        <v>0</v>
      </c>
      <c r="R96" s="2" t="inlineStr"/>
    </row>
    <row r="97" ht="15" customHeight="1">
      <c r="A97" t="inlineStr">
        <is>
          <t>A 2636-2022</t>
        </is>
      </c>
      <c r="B97" s="1" t="n">
        <v>44580.49780092593</v>
      </c>
      <c r="C97" s="1" t="n">
        <v>46183</v>
      </c>
      <c r="D97" t="inlineStr">
        <is>
          <t>SÖDERMANLANDS LÄN</t>
        </is>
      </c>
      <c r="E97" t="inlineStr">
        <is>
          <t>KATRINEHOLM</t>
        </is>
      </c>
      <c r="F97" t="inlineStr">
        <is>
          <t>Övriga Aktiebolag</t>
        </is>
      </c>
      <c r="G97" t="n">
        <v>2.5</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46183</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46183</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46183</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46183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46183</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46183</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46183</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64261-2021</t>
        </is>
      </c>
      <c r="B105" s="1" t="n">
        <v>44510</v>
      </c>
      <c r="C105" s="1" t="n">
        <v>46183</v>
      </c>
      <c r="D105" t="inlineStr">
        <is>
          <t>SÖDERMANLANDS LÄN</t>
        </is>
      </c>
      <c r="E105" t="inlineStr">
        <is>
          <t>KATRINEHOLM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32600-2022</t>
        </is>
      </c>
      <c r="B106" s="1" t="n">
        <v>44783</v>
      </c>
      <c r="C106" s="1" t="n">
        <v>46183</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46183</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46183</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46183</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46183</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17800-2022</t>
        </is>
      </c>
      <c r="B111" s="1" t="n">
        <v>44683</v>
      </c>
      <c r="C111" s="1" t="n">
        <v>46183</v>
      </c>
      <c r="D111" t="inlineStr">
        <is>
          <t>SÖDERMANLANDS LÄN</t>
        </is>
      </c>
      <c r="E111" t="inlineStr">
        <is>
          <t>KATRINEHOLM</t>
        </is>
      </c>
      <c r="G111" t="n">
        <v>8.1</v>
      </c>
      <c r="H111" t="n">
        <v>0</v>
      </c>
      <c r="I111" t="n">
        <v>0</v>
      </c>
      <c r="J111" t="n">
        <v>0</v>
      </c>
      <c r="K111" t="n">
        <v>0</v>
      </c>
      <c r="L111" t="n">
        <v>0</v>
      </c>
      <c r="M111" t="n">
        <v>0</v>
      </c>
      <c r="N111" t="n">
        <v>0</v>
      </c>
      <c r="O111" t="n">
        <v>0</v>
      </c>
      <c r="P111" t="n">
        <v>0</v>
      </c>
      <c r="Q111" t="n">
        <v>0</v>
      </c>
      <c r="R111" s="2" t="inlineStr"/>
    </row>
    <row r="112" ht="15" customHeight="1">
      <c r="A112" t="inlineStr">
        <is>
          <t>A 73142-2021</t>
        </is>
      </c>
      <c r="B112" s="1" t="n">
        <v>44550</v>
      </c>
      <c r="C112" s="1" t="n">
        <v>46183</v>
      </c>
      <c r="D112" t="inlineStr">
        <is>
          <t>SÖDERMANLANDS LÄN</t>
        </is>
      </c>
      <c r="E112" t="inlineStr">
        <is>
          <t>KATRINEHOLM</t>
        </is>
      </c>
      <c r="F112" t="inlineStr">
        <is>
          <t>Kyrkan</t>
        </is>
      </c>
      <c r="G112" t="n">
        <v>0.9</v>
      </c>
      <c r="H112" t="n">
        <v>0</v>
      </c>
      <c r="I112" t="n">
        <v>0</v>
      </c>
      <c r="J112" t="n">
        <v>0</v>
      </c>
      <c r="K112" t="n">
        <v>0</v>
      </c>
      <c r="L112" t="n">
        <v>0</v>
      </c>
      <c r="M112" t="n">
        <v>0</v>
      </c>
      <c r="N112" t="n">
        <v>0</v>
      </c>
      <c r="O112" t="n">
        <v>0</v>
      </c>
      <c r="P112" t="n">
        <v>0</v>
      </c>
      <c r="Q112" t="n">
        <v>0</v>
      </c>
      <c r="R112" s="2" t="inlineStr"/>
    </row>
    <row r="113" ht="15" customHeight="1">
      <c r="A113" t="inlineStr">
        <is>
          <t>A 55349-2021</t>
        </is>
      </c>
      <c r="B113" s="1" t="n">
        <v>44475</v>
      </c>
      <c r="C113" s="1" t="n">
        <v>46183</v>
      </c>
      <c r="D113" t="inlineStr">
        <is>
          <t>SÖDERMANLANDS LÄN</t>
        </is>
      </c>
      <c r="E113" t="inlineStr">
        <is>
          <t>KATRINEHOLM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39001-2021</t>
        </is>
      </c>
      <c r="B114" s="1" t="n">
        <v>44412</v>
      </c>
      <c r="C114" s="1" t="n">
        <v>46183</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20847-2022</t>
        </is>
      </c>
      <c r="B115" s="1" t="n">
        <v>44701</v>
      </c>
      <c r="C115" s="1" t="n">
        <v>46183</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46183</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46183</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39527-2021</t>
        </is>
      </c>
      <c r="B118" s="1" t="n">
        <v>44415</v>
      </c>
      <c r="C118" s="1" t="n">
        <v>46183</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912-2022</t>
        </is>
      </c>
      <c r="B119" s="1" t="n">
        <v>44571</v>
      </c>
      <c r="C119" s="1" t="n">
        <v>46183</v>
      </c>
      <c r="D119" t="inlineStr">
        <is>
          <t>SÖDERMANLANDS LÄN</t>
        </is>
      </c>
      <c r="E119" t="inlineStr">
        <is>
          <t>KATRINEHOLM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49784-2021</t>
        </is>
      </c>
      <c r="B120" s="1" t="n">
        <v>44455</v>
      </c>
      <c r="C120" s="1" t="n">
        <v>46183</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46183</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49677-2021</t>
        </is>
      </c>
      <c r="B122" s="1" t="n">
        <v>44455</v>
      </c>
      <c r="C122" s="1" t="n">
        <v>46183</v>
      </c>
      <c r="D122" t="inlineStr">
        <is>
          <t>SÖDERMANLANDS LÄN</t>
        </is>
      </c>
      <c r="E122" t="inlineStr">
        <is>
          <t>KATRINEHOLM</t>
        </is>
      </c>
      <c r="G122" t="n">
        <v>2.1</v>
      </c>
      <c r="H122" t="n">
        <v>0</v>
      </c>
      <c r="I122" t="n">
        <v>0</v>
      </c>
      <c r="J122" t="n">
        <v>0</v>
      </c>
      <c r="K122" t="n">
        <v>0</v>
      </c>
      <c r="L122" t="n">
        <v>0</v>
      </c>
      <c r="M122" t="n">
        <v>0</v>
      </c>
      <c r="N122" t="n">
        <v>0</v>
      </c>
      <c r="O122" t="n">
        <v>0</v>
      </c>
      <c r="P122" t="n">
        <v>0</v>
      </c>
      <c r="Q122" t="n">
        <v>0</v>
      </c>
      <c r="R122" s="2" t="inlineStr"/>
    </row>
    <row r="123" ht="15" customHeight="1">
      <c r="A123" t="inlineStr">
        <is>
          <t>A 49735-2021</t>
        </is>
      </c>
      <c r="B123" s="1" t="n">
        <v>44455</v>
      </c>
      <c r="C123" s="1" t="n">
        <v>46183</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6533-2022</t>
        </is>
      </c>
      <c r="B124" s="1" t="n">
        <v>44601</v>
      </c>
      <c r="C124" s="1" t="n">
        <v>46183</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46183</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46183</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46183</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38607-2021</t>
        </is>
      </c>
      <c r="B128" s="1" t="n">
        <v>44409.41428240741</v>
      </c>
      <c r="C128" s="1" t="n">
        <v>46183</v>
      </c>
      <c r="D128" t="inlineStr">
        <is>
          <t>SÖDERMANLANDS LÄN</t>
        </is>
      </c>
      <c r="E128" t="inlineStr">
        <is>
          <t>KATRINEHOLM</t>
        </is>
      </c>
      <c r="G128" t="n">
        <v>2.9</v>
      </c>
      <c r="H128" t="n">
        <v>0</v>
      </c>
      <c r="I128" t="n">
        <v>0</v>
      </c>
      <c r="J128" t="n">
        <v>0</v>
      </c>
      <c r="K128" t="n">
        <v>0</v>
      </c>
      <c r="L128" t="n">
        <v>0</v>
      </c>
      <c r="M128" t="n">
        <v>0</v>
      </c>
      <c r="N128" t="n">
        <v>0</v>
      </c>
      <c r="O128" t="n">
        <v>0</v>
      </c>
      <c r="P128" t="n">
        <v>0</v>
      </c>
      <c r="Q128" t="n">
        <v>0</v>
      </c>
      <c r="R128" s="2" t="inlineStr"/>
    </row>
    <row r="129" ht="15" customHeight="1">
      <c r="A129" t="inlineStr">
        <is>
          <t>A 38606-2021</t>
        </is>
      </c>
      <c r="B129" s="1" t="n">
        <v>44409.40363425926</v>
      </c>
      <c r="C129" s="1" t="n">
        <v>46183</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25893-2022</t>
        </is>
      </c>
      <c r="B130" s="1" t="n">
        <v>44733.77543981482</v>
      </c>
      <c r="C130" s="1" t="n">
        <v>46183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35088-2022</t>
        </is>
      </c>
      <c r="B131" s="1" t="n">
        <v>44797</v>
      </c>
      <c r="C131" s="1" t="n">
        <v>46183</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24099-2022</t>
        </is>
      </c>
      <c r="B132" s="1" t="n">
        <v>44725</v>
      </c>
      <c r="C132" s="1" t="n">
        <v>46183</v>
      </c>
      <c r="D132" t="inlineStr">
        <is>
          <t>SÖDERMANLANDS LÄN</t>
        </is>
      </c>
      <c r="E132" t="inlineStr">
        <is>
          <t>KATRINEHOLM</t>
        </is>
      </c>
      <c r="G132" t="n">
        <v>1.5</v>
      </c>
      <c r="H132" t="n">
        <v>0</v>
      </c>
      <c r="I132" t="n">
        <v>0</v>
      </c>
      <c r="J132" t="n">
        <v>0</v>
      </c>
      <c r="K132" t="n">
        <v>0</v>
      </c>
      <c r="L132" t="n">
        <v>0</v>
      </c>
      <c r="M132" t="n">
        <v>0</v>
      </c>
      <c r="N132" t="n">
        <v>0</v>
      </c>
      <c r="O132" t="n">
        <v>0</v>
      </c>
      <c r="P132" t="n">
        <v>0</v>
      </c>
      <c r="Q132" t="n">
        <v>0</v>
      </c>
      <c r="R132" s="2" t="inlineStr"/>
    </row>
    <row r="133" ht="15" customHeight="1">
      <c r="A133" t="inlineStr">
        <is>
          <t>A 24199-2022</t>
        </is>
      </c>
      <c r="B133" s="1" t="n">
        <v>44725</v>
      </c>
      <c r="C133" s="1" t="n">
        <v>46183</v>
      </c>
      <c r="D133" t="inlineStr">
        <is>
          <t>SÖDERMANLANDS LÄN</t>
        </is>
      </c>
      <c r="E133" t="inlineStr">
        <is>
          <t>KATRINEHOLM</t>
        </is>
      </c>
      <c r="G133" t="n">
        <v>1.8</v>
      </c>
      <c r="H133" t="n">
        <v>0</v>
      </c>
      <c r="I133" t="n">
        <v>0</v>
      </c>
      <c r="J133" t="n">
        <v>0</v>
      </c>
      <c r="K133" t="n">
        <v>0</v>
      </c>
      <c r="L133" t="n">
        <v>0</v>
      </c>
      <c r="M133" t="n">
        <v>0</v>
      </c>
      <c r="N133" t="n">
        <v>0</v>
      </c>
      <c r="O133" t="n">
        <v>0</v>
      </c>
      <c r="P133" t="n">
        <v>0</v>
      </c>
      <c r="Q133" t="n">
        <v>0</v>
      </c>
      <c r="R133" s="2" t="inlineStr"/>
    </row>
    <row r="134" ht="15" customHeight="1">
      <c r="A134" t="inlineStr">
        <is>
          <t>A 68206-2021</t>
        </is>
      </c>
      <c r="B134" s="1" t="n">
        <v>44526</v>
      </c>
      <c r="C134" s="1" t="n">
        <v>46183</v>
      </c>
      <c r="D134" t="inlineStr">
        <is>
          <t>SÖDERMANLANDS LÄN</t>
        </is>
      </c>
      <c r="E134" t="inlineStr">
        <is>
          <t>KATRINEHOLM</t>
        </is>
      </c>
      <c r="G134" t="n">
        <v>2.9</v>
      </c>
      <c r="H134" t="n">
        <v>0</v>
      </c>
      <c r="I134" t="n">
        <v>0</v>
      </c>
      <c r="J134" t="n">
        <v>0</v>
      </c>
      <c r="K134" t="n">
        <v>0</v>
      </c>
      <c r="L134" t="n">
        <v>0</v>
      </c>
      <c r="M134" t="n">
        <v>0</v>
      </c>
      <c r="N134" t="n">
        <v>0</v>
      </c>
      <c r="O134" t="n">
        <v>0</v>
      </c>
      <c r="P134" t="n">
        <v>0</v>
      </c>
      <c r="Q134" t="n">
        <v>0</v>
      </c>
      <c r="R134" s="2" t="inlineStr"/>
    </row>
    <row r="135" ht="15" customHeight="1">
      <c r="A135" t="inlineStr">
        <is>
          <t>A 31684-2021</t>
        </is>
      </c>
      <c r="B135" s="1" t="n">
        <v>44369</v>
      </c>
      <c r="C135" s="1" t="n">
        <v>46183</v>
      </c>
      <c r="D135" t="inlineStr">
        <is>
          <t>SÖDERMANLANDS LÄN</t>
        </is>
      </c>
      <c r="E135" t="inlineStr">
        <is>
          <t>KATRINEHOLM</t>
        </is>
      </c>
      <c r="G135" t="n">
        <v>3.4</v>
      </c>
      <c r="H135" t="n">
        <v>0</v>
      </c>
      <c r="I135" t="n">
        <v>0</v>
      </c>
      <c r="J135" t="n">
        <v>0</v>
      </c>
      <c r="K135" t="n">
        <v>0</v>
      </c>
      <c r="L135" t="n">
        <v>0</v>
      </c>
      <c r="M135" t="n">
        <v>0</v>
      </c>
      <c r="N135" t="n">
        <v>0</v>
      </c>
      <c r="O135" t="n">
        <v>0</v>
      </c>
      <c r="P135" t="n">
        <v>0</v>
      </c>
      <c r="Q135" t="n">
        <v>0</v>
      </c>
      <c r="R135" s="2" t="inlineStr"/>
    </row>
    <row r="136" ht="15" customHeight="1">
      <c r="A136" t="inlineStr">
        <is>
          <t>A 9419-2022</t>
        </is>
      </c>
      <c r="B136" s="1" t="n">
        <v>44616</v>
      </c>
      <c r="C136" s="1" t="n">
        <v>46183</v>
      </c>
      <c r="D136" t="inlineStr">
        <is>
          <t>SÖDERMANLANDS LÄN</t>
        </is>
      </c>
      <c r="E136" t="inlineStr">
        <is>
          <t>KATRINEHOLM</t>
        </is>
      </c>
      <c r="F136" t="inlineStr">
        <is>
          <t>Övriga Aktiebolag</t>
        </is>
      </c>
      <c r="G136" t="n">
        <v>1.7</v>
      </c>
      <c r="H136" t="n">
        <v>0</v>
      </c>
      <c r="I136" t="n">
        <v>0</v>
      </c>
      <c r="J136" t="n">
        <v>0</v>
      </c>
      <c r="K136" t="n">
        <v>0</v>
      </c>
      <c r="L136" t="n">
        <v>0</v>
      </c>
      <c r="M136" t="n">
        <v>0</v>
      </c>
      <c r="N136" t="n">
        <v>0</v>
      </c>
      <c r="O136" t="n">
        <v>0</v>
      </c>
      <c r="P136" t="n">
        <v>0</v>
      </c>
      <c r="Q136" t="n">
        <v>0</v>
      </c>
      <c r="R136" s="2" t="inlineStr"/>
    </row>
    <row r="137" ht="15" customHeight="1">
      <c r="A137" t="inlineStr">
        <is>
          <t>A 69429-2021</t>
        </is>
      </c>
      <c r="B137" s="1" t="n">
        <v>44531</v>
      </c>
      <c r="C137" s="1" t="n">
        <v>46183</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51885-2022</t>
        </is>
      </c>
      <c r="B138" s="1" t="n">
        <v>44872.60384259259</v>
      </c>
      <c r="C138" s="1" t="n">
        <v>46183</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42735-2022</t>
        </is>
      </c>
      <c r="B139" s="1" t="n">
        <v>44832</v>
      </c>
      <c r="C139" s="1" t="n">
        <v>46183</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66801-2021</t>
        </is>
      </c>
      <c r="B140" s="1" t="n">
        <v>44522</v>
      </c>
      <c r="C140" s="1" t="n">
        <v>46183</v>
      </c>
      <c r="D140" t="inlineStr">
        <is>
          <t>SÖDERMANLANDS LÄN</t>
        </is>
      </c>
      <c r="E140" t="inlineStr">
        <is>
          <t>KATRINEHOLM</t>
        </is>
      </c>
      <c r="F140" t="inlineStr">
        <is>
          <t>Holmen skog AB</t>
        </is>
      </c>
      <c r="G140" t="n">
        <v>0.2</v>
      </c>
      <c r="H140" t="n">
        <v>0</v>
      </c>
      <c r="I140" t="n">
        <v>0</v>
      </c>
      <c r="J140" t="n">
        <v>0</v>
      </c>
      <c r="K140" t="n">
        <v>0</v>
      </c>
      <c r="L140" t="n">
        <v>0</v>
      </c>
      <c r="M140" t="n">
        <v>0</v>
      </c>
      <c r="N140" t="n">
        <v>0</v>
      </c>
      <c r="O140" t="n">
        <v>0</v>
      </c>
      <c r="P140" t="n">
        <v>0</v>
      </c>
      <c r="Q140" t="n">
        <v>0</v>
      </c>
      <c r="R140" s="2" t="inlineStr"/>
    </row>
    <row r="141" ht="15" customHeight="1">
      <c r="A141" t="inlineStr">
        <is>
          <t>A 45038-2022</t>
        </is>
      </c>
      <c r="B141" s="1" t="n">
        <v>44840</v>
      </c>
      <c r="C141" s="1" t="n">
        <v>46183</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2877-2022</t>
        </is>
      </c>
      <c r="B142" s="1" t="n">
        <v>44581</v>
      </c>
      <c r="C142" s="1" t="n">
        <v>46183</v>
      </c>
      <c r="D142" t="inlineStr">
        <is>
          <t>SÖDERMANLANDS LÄN</t>
        </is>
      </c>
      <c r="E142" t="inlineStr">
        <is>
          <t>KATRINEHOLM</t>
        </is>
      </c>
      <c r="G142" t="n">
        <v>10.3</v>
      </c>
      <c r="H142" t="n">
        <v>0</v>
      </c>
      <c r="I142" t="n">
        <v>0</v>
      </c>
      <c r="J142" t="n">
        <v>0</v>
      </c>
      <c r="K142" t="n">
        <v>0</v>
      </c>
      <c r="L142" t="n">
        <v>0</v>
      </c>
      <c r="M142" t="n">
        <v>0</v>
      </c>
      <c r="N142" t="n">
        <v>0</v>
      </c>
      <c r="O142" t="n">
        <v>0</v>
      </c>
      <c r="P142" t="n">
        <v>0</v>
      </c>
      <c r="Q142" t="n">
        <v>0</v>
      </c>
      <c r="R142" s="2" t="inlineStr"/>
    </row>
    <row r="143" ht="15" customHeight="1">
      <c r="A143" t="inlineStr">
        <is>
          <t>A 33753-2022</t>
        </is>
      </c>
      <c r="B143" s="1" t="n">
        <v>44789</v>
      </c>
      <c r="C143" s="1" t="n">
        <v>46183</v>
      </c>
      <c r="D143" t="inlineStr">
        <is>
          <t>SÖDERMANLANDS LÄN</t>
        </is>
      </c>
      <c r="E143" t="inlineStr">
        <is>
          <t>KATRINEHOLM</t>
        </is>
      </c>
      <c r="G143" t="n">
        <v>4.9</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46183</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60596-2021</t>
        </is>
      </c>
      <c r="B145" s="1" t="n">
        <v>44496.58033564815</v>
      </c>
      <c r="C145" s="1" t="n">
        <v>46183</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67351-2021</t>
        </is>
      </c>
      <c r="B146" s="1" t="n">
        <v>44523</v>
      </c>
      <c r="C146" s="1" t="n">
        <v>46183</v>
      </c>
      <c r="D146" t="inlineStr">
        <is>
          <t>SÖDERMANLANDS LÄN</t>
        </is>
      </c>
      <c r="E146" t="inlineStr">
        <is>
          <t>KATRINEHOLM</t>
        </is>
      </c>
      <c r="G146" t="n">
        <v>5.4</v>
      </c>
      <c r="H146" t="n">
        <v>0</v>
      </c>
      <c r="I146" t="n">
        <v>0</v>
      </c>
      <c r="J146" t="n">
        <v>0</v>
      </c>
      <c r="K146" t="n">
        <v>0</v>
      </c>
      <c r="L146" t="n">
        <v>0</v>
      </c>
      <c r="M146" t="n">
        <v>0</v>
      </c>
      <c r="N146" t="n">
        <v>0</v>
      </c>
      <c r="O146" t="n">
        <v>0</v>
      </c>
      <c r="P146" t="n">
        <v>0</v>
      </c>
      <c r="Q146" t="n">
        <v>0</v>
      </c>
      <c r="R146" s="2" t="inlineStr"/>
    </row>
    <row r="147" ht="15" customHeight="1">
      <c r="A147" t="inlineStr">
        <is>
          <t>A 53791-2021</t>
        </is>
      </c>
      <c r="B147" s="1" t="n">
        <v>44467</v>
      </c>
      <c r="C147" s="1" t="n">
        <v>46183</v>
      </c>
      <c r="D147" t="inlineStr">
        <is>
          <t>SÖDERMANLANDS LÄN</t>
        </is>
      </c>
      <c r="E147" t="inlineStr">
        <is>
          <t>KATRINEHOLM</t>
        </is>
      </c>
      <c r="G147" t="n">
        <v>2.7</v>
      </c>
      <c r="H147" t="n">
        <v>0</v>
      </c>
      <c r="I147" t="n">
        <v>0</v>
      </c>
      <c r="J147" t="n">
        <v>0</v>
      </c>
      <c r="K147" t="n">
        <v>0</v>
      </c>
      <c r="L147" t="n">
        <v>0</v>
      </c>
      <c r="M147" t="n">
        <v>0</v>
      </c>
      <c r="N147" t="n">
        <v>0</v>
      </c>
      <c r="O147" t="n">
        <v>0</v>
      </c>
      <c r="P147" t="n">
        <v>0</v>
      </c>
      <c r="Q147" t="n">
        <v>0</v>
      </c>
      <c r="R147" s="2" t="inlineStr"/>
    </row>
    <row r="148" ht="15" customHeight="1">
      <c r="A148" t="inlineStr">
        <is>
          <t>A 32733-2021</t>
        </is>
      </c>
      <c r="B148" s="1" t="n">
        <v>44375</v>
      </c>
      <c r="C148" s="1" t="n">
        <v>46183</v>
      </c>
      <c r="D148" t="inlineStr">
        <is>
          <t>SÖDERMANLANDS LÄN</t>
        </is>
      </c>
      <c r="E148" t="inlineStr">
        <is>
          <t>KATRINEHOLM</t>
        </is>
      </c>
      <c r="G148" t="n">
        <v>9</v>
      </c>
      <c r="H148" t="n">
        <v>0</v>
      </c>
      <c r="I148" t="n">
        <v>0</v>
      </c>
      <c r="J148" t="n">
        <v>0</v>
      </c>
      <c r="K148" t="n">
        <v>0</v>
      </c>
      <c r="L148" t="n">
        <v>0</v>
      </c>
      <c r="M148" t="n">
        <v>0</v>
      </c>
      <c r="N148" t="n">
        <v>0</v>
      </c>
      <c r="O148" t="n">
        <v>0</v>
      </c>
      <c r="P148" t="n">
        <v>0</v>
      </c>
      <c r="Q148" t="n">
        <v>0</v>
      </c>
      <c r="R148" s="2" t="inlineStr"/>
      <c r="U148">
        <f>HYPERLINK("https://klasma.github.io/Logging_0483/knärot/A 32733-2021 karta knärot.png", "A 32733-2021")</f>
        <v/>
      </c>
      <c r="V148">
        <f>HYPERLINK("https://klasma.github.io/Logging_0483/klagomål/A 32733-2021 FSC-klagomål.docx", "A 32733-2021")</f>
        <v/>
      </c>
      <c r="W148">
        <f>HYPERLINK("https://klasma.github.io/Logging_0483/klagomålsmail/A 32733-2021 FSC-klagomål mail.docx", "A 32733-2021")</f>
        <v/>
      </c>
      <c r="X148">
        <f>HYPERLINK("https://klasma.github.io/Logging_0483/tillsyn/A 32733-2021 tillsynsbegäran.docx", "A 32733-2021")</f>
        <v/>
      </c>
      <c r="Y148">
        <f>HYPERLINK("https://klasma.github.io/Logging_0483/tillsynsmail/A 32733-2021 tillsynsbegäran mail.docx", "A 32733-2021")</f>
        <v/>
      </c>
    </row>
    <row r="149" ht="15" customHeight="1">
      <c r="A149" t="inlineStr">
        <is>
          <t>A 41642-2022</t>
        </is>
      </c>
      <c r="B149" s="1" t="n">
        <v>44827</v>
      </c>
      <c r="C149" s="1" t="n">
        <v>46183</v>
      </c>
      <c r="D149" t="inlineStr">
        <is>
          <t>SÖDERMANLANDS LÄN</t>
        </is>
      </c>
      <c r="E149" t="inlineStr">
        <is>
          <t>KATRINEHOLM</t>
        </is>
      </c>
      <c r="G149" t="n">
        <v>2.4</v>
      </c>
      <c r="H149" t="n">
        <v>0</v>
      </c>
      <c r="I149" t="n">
        <v>0</v>
      </c>
      <c r="J149" t="n">
        <v>0</v>
      </c>
      <c r="K149" t="n">
        <v>0</v>
      </c>
      <c r="L149" t="n">
        <v>0</v>
      </c>
      <c r="M149" t="n">
        <v>0</v>
      </c>
      <c r="N149" t="n">
        <v>0</v>
      </c>
      <c r="O149" t="n">
        <v>0</v>
      </c>
      <c r="P149" t="n">
        <v>0</v>
      </c>
      <c r="Q149" t="n">
        <v>0</v>
      </c>
      <c r="R149" s="2" t="inlineStr"/>
    </row>
    <row r="150" ht="15" customHeight="1">
      <c r="A150" t="inlineStr">
        <is>
          <t>A 24098-2022</t>
        </is>
      </c>
      <c r="B150" s="1" t="n">
        <v>44725</v>
      </c>
      <c r="C150" s="1" t="n">
        <v>46183</v>
      </c>
      <c r="D150" t="inlineStr">
        <is>
          <t>SÖDERMANLANDS LÄN</t>
        </is>
      </c>
      <c r="E150" t="inlineStr">
        <is>
          <t>KATRINEHOLM</t>
        </is>
      </c>
      <c r="G150" t="n">
        <v>1.9</v>
      </c>
      <c r="H150" t="n">
        <v>0</v>
      </c>
      <c r="I150" t="n">
        <v>0</v>
      </c>
      <c r="J150" t="n">
        <v>0</v>
      </c>
      <c r="K150" t="n">
        <v>0</v>
      </c>
      <c r="L150" t="n">
        <v>0</v>
      </c>
      <c r="M150" t="n">
        <v>0</v>
      </c>
      <c r="N150" t="n">
        <v>0</v>
      </c>
      <c r="O150" t="n">
        <v>0</v>
      </c>
      <c r="P150" t="n">
        <v>0</v>
      </c>
      <c r="Q150" t="n">
        <v>0</v>
      </c>
      <c r="R150" s="2" t="inlineStr"/>
    </row>
    <row r="151" ht="15" customHeight="1">
      <c r="A151" t="inlineStr">
        <is>
          <t>A 7189-2022</t>
        </is>
      </c>
      <c r="B151" s="1" t="n">
        <v>44605</v>
      </c>
      <c r="C151" s="1" t="n">
        <v>46183</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54698-2021</t>
        </is>
      </c>
      <c r="B152" s="1" t="n">
        <v>44473</v>
      </c>
      <c r="C152" s="1" t="n">
        <v>46183</v>
      </c>
      <c r="D152" t="inlineStr">
        <is>
          <t>SÖDERMANLANDS LÄN</t>
        </is>
      </c>
      <c r="E152" t="inlineStr">
        <is>
          <t>KATRINEHOLM</t>
        </is>
      </c>
      <c r="F152" t="inlineStr">
        <is>
          <t>Holmen skog AB</t>
        </is>
      </c>
      <c r="G152" t="n">
        <v>1.7</v>
      </c>
      <c r="H152" t="n">
        <v>0</v>
      </c>
      <c r="I152" t="n">
        <v>0</v>
      </c>
      <c r="J152" t="n">
        <v>0</v>
      </c>
      <c r="K152" t="n">
        <v>0</v>
      </c>
      <c r="L152" t="n">
        <v>0</v>
      </c>
      <c r="M152" t="n">
        <v>0</v>
      </c>
      <c r="N152" t="n">
        <v>0</v>
      </c>
      <c r="O152" t="n">
        <v>0</v>
      </c>
      <c r="P152" t="n">
        <v>0</v>
      </c>
      <c r="Q152" t="n">
        <v>0</v>
      </c>
      <c r="R152" s="2" t="inlineStr"/>
    </row>
    <row r="153" ht="15" customHeight="1">
      <c r="A153" t="inlineStr">
        <is>
          <t>A 65162-2021</t>
        </is>
      </c>
      <c r="B153" s="1" t="n">
        <v>44512</v>
      </c>
      <c r="C153" s="1" t="n">
        <v>46183</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30567-2022</t>
        </is>
      </c>
      <c r="B154" s="1" t="n">
        <v>44762</v>
      </c>
      <c r="C154" s="1" t="n">
        <v>46183</v>
      </c>
      <c r="D154" t="inlineStr">
        <is>
          <t>SÖDERMANLANDS LÄN</t>
        </is>
      </c>
      <c r="E154" t="inlineStr">
        <is>
          <t>KATRINEHOLM</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34040-2022</t>
        </is>
      </c>
      <c r="B155" s="1" t="n">
        <v>44790</v>
      </c>
      <c r="C155" s="1" t="n">
        <v>46183</v>
      </c>
      <c r="D155" t="inlineStr">
        <is>
          <t>SÖDERMANLANDS LÄN</t>
        </is>
      </c>
      <c r="E155" t="inlineStr">
        <is>
          <t>KATRINEHOLM</t>
        </is>
      </c>
      <c r="F155" t="inlineStr">
        <is>
          <t>Allmännings- och besparingsskogar</t>
        </is>
      </c>
      <c r="G155" t="n">
        <v>2.5</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46183</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71129-2021</t>
        </is>
      </c>
      <c r="B157" s="1" t="n">
        <v>44539</v>
      </c>
      <c r="C157" s="1" t="n">
        <v>46183</v>
      </c>
      <c r="D157" t="inlineStr">
        <is>
          <t>SÖDERMANLANDS LÄN</t>
        </is>
      </c>
      <c r="E157" t="inlineStr">
        <is>
          <t>KATRINEHOLM</t>
        </is>
      </c>
      <c r="F157" t="inlineStr">
        <is>
          <t>Holmen skog AB</t>
        </is>
      </c>
      <c r="G157" t="n">
        <v>1.3</v>
      </c>
      <c r="H157" t="n">
        <v>0</v>
      </c>
      <c r="I157" t="n">
        <v>0</v>
      </c>
      <c r="J157" t="n">
        <v>0</v>
      </c>
      <c r="K157" t="n">
        <v>0</v>
      </c>
      <c r="L157" t="n">
        <v>0</v>
      </c>
      <c r="M157" t="n">
        <v>0</v>
      </c>
      <c r="N157" t="n">
        <v>0</v>
      </c>
      <c r="O157" t="n">
        <v>0</v>
      </c>
      <c r="P157" t="n">
        <v>0</v>
      </c>
      <c r="Q157" t="n">
        <v>0</v>
      </c>
      <c r="R157" s="2" t="inlineStr"/>
    </row>
    <row r="158" ht="15" customHeight="1">
      <c r="A158" t="inlineStr">
        <is>
          <t>A 45147-2021</t>
        </is>
      </c>
      <c r="B158" s="1" t="n">
        <v>44439</v>
      </c>
      <c r="C158" s="1" t="n">
        <v>46183</v>
      </c>
      <c r="D158" t="inlineStr">
        <is>
          <t>SÖDERMANLANDS LÄN</t>
        </is>
      </c>
      <c r="E158" t="inlineStr">
        <is>
          <t>KATRINEHOLM</t>
        </is>
      </c>
      <c r="G158" t="n">
        <v>3.2</v>
      </c>
      <c r="H158" t="n">
        <v>0</v>
      </c>
      <c r="I158" t="n">
        <v>0</v>
      </c>
      <c r="J158" t="n">
        <v>0</v>
      </c>
      <c r="K158" t="n">
        <v>0</v>
      </c>
      <c r="L158" t="n">
        <v>0</v>
      </c>
      <c r="M158" t="n">
        <v>0</v>
      </c>
      <c r="N158" t="n">
        <v>0</v>
      </c>
      <c r="O158" t="n">
        <v>0</v>
      </c>
      <c r="P158" t="n">
        <v>0</v>
      </c>
      <c r="Q158" t="n">
        <v>0</v>
      </c>
      <c r="R158" s="2" t="inlineStr"/>
    </row>
    <row r="159" ht="15" customHeight="1">
      <c r="A159" t="inlineStr">
        <is>
          <t>A 12658-2022</t>
        </is>
      </c>
      <c r="B159" s="1" t="n">
        <v>44641</v>
      </c>
      <c r="C159" s="1" t="n">
        <v>46183</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46412-2022</t>
        </is>
      </c>
      <c r="B160" s="1" t="n">
        <v>44848.42216435185</v>
      </c>
      <c r="C160" s="1" t="n">
        <v>46183</v>
      </c>
      <c r="D160" t="inlineStr">
        <is>
          <t>SÖDERMANLANDS LÄN</t>
        </is>
      </c>
      <c r="E160" t="inlineStr">
        <is>
          <t>KATRINEHOLM</t>
        </is>
      </c>
      <c r="G160" t="n">
        <v>0.8</v>
      </c>
      <c r="H160" t="n">
        <v>0</v>
      </c>
      <c r="I160" t="n">
        <v>0</v>
      </c>
      <c r="J160" t="n">
        <v>0</v>
      </c>
      <c r="K160" t="n">
        <v>0</v>
      </c>
      <c r="L160" t="n">
        <v>0</v>
      </c>
      <c r="M160" t="n">
        <v>0</v>
      </c>
      <c r="N160" t="n">
        <v>0</v>
      </c>
      <c r="O160" t="n">
        <v>0</v>
      </c>
      <c r="P160" t="n">
        <v>0</v>
      </c>
      <c r="Q160" t="n">
        <v>0</v>
      </c>
      <c r="R160" s="2" t="inlineStr"/>
    </row>
    <row r="161" ht="15" customHeight="1">
      <c r="A161" t="inlineStr">
        <is>
          <t>A 40749-2022</t>
        </is>
      </c>
      <c r="B161" s="1" t="n">
        <v>44824</v>
      </c>
      <c r="C161" s="1" t="n">
        <v>46183</v>
      </c>
      <c r="D161" t="inlineStr">
        <is>
          <t>SÖDERMANLANDS LÄN</t>
        </is>
      </c>
      <c r="E161" t="inlineStr">
        <is>
          <t>KATRINEHOLM</t>
        </is>
      </c>
      <c r="G161" t="n">
        <v>0.2</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46183</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46183</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46183</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22345-2023</t>
        </is>
      </c>
      <c r="B165" s="1" t="n">
        <v>45070</v>
      </c>
      <c r="C165" s="1" t="n">
        <v>46183</v>
      </c>
      <c r="D165" t="inlineStr">
        <is>
          <t>SÖDERMANLANDS LÄN</t>
        </is>
      </c>
      <c r="E165" t="inlineStr">
        <is>
          <t>KATRINEHOLM</t>
        </is>
      </c>
      <c r="F165" t="inlineStr">
        <is>
          <t>Holmen skog AB</t>
        </is>
      </c>
      <c r="G165" t="n">
        <v>2</v>
      </c>
      <c r="H165" t="n">
        <v>0</v>
      </c>
      <c r="I165" t="n">
        <v>0</v>
      </c>
      <c r="J165" t="n">
        <v>0</v>
      </c>
      <c r="K165" t="n">
        <v>0</v>
      </c>
      <c r="L165" t="n">
        <v>0</v>
      </c>
      <c r="M165" t="n">
        <v>0</v>
      </c>
      <c r="N165" t="n">
        <v>0</v>
      </c>
      <c r="O165" t="n">
        <v>0</v>
      </c>
      <c r="P165" t="n">
        <v>0</v>
      </c>
      <c r="Q165" t="n">
        <v>0</v>
      </c>
      <c r="R165" s="2" t="inlineStr"/>
    </row>
    <row r="166" ht="15" customHeight="1">
      <c r="A166" t="inlineStr">
        <is>
          <t>A 53822-2023</t>
        </is>
      </c>
      <c r="B166" s="1" t="n">
        <v>45231.40846064815</v>
      </c>
      <c r="C166" s="1" t="n">
        <v>46183</v>
      </c>
      <c r="D166" t="inlineStr">
        <is>
          <t>SÖDERMANLANDS LÄN</t>
        </is>
      </c>
      <c r="E166" t="inlineStr">
        <is>
          <t>KATRINEHOLM</t>
        </is>
      </c>
      <c r="G166" t="n">
        <v>0.6</v>
      </c>
      <c r="H166" t="n">
        <v>0</v>
      </c>
      <c r="I166" t="n">
        <v>0</v>
      </c>
      <c r="J166" t="n">
        <v>0</v>
      </c>
      <c r="K166" t="n">
        <v>0</v>
      </c>
      <c r="L166" t="n">
        <v>0</v>
      </c>
      <c r="M166" t="n">
        <v>0</v>
      </c>
      <c r="N166" t="n">
        <v>0</v>
      </c>
      <c r="O166" t="n">
        <v>0</v>
      </c>
      <c r="P166" t="n">
        <v>0</v>
      </c>
      <c r="Q166" t="n">
        <v>0</v>
      </c>
      <c r="R166" s="2" t="inlineStr"/>
    </row>
    <row r="167" ht="15" customHeight="1">
      <c r="A167" t="inlineStr">
        <is>
          <t>A 46569-2022</t>
        </is>
      </c>
      <c r="B167" s="1" t="n">
        <v>44847</v>
      </c>
      <c r="C167" s="1" t="n">
        <v>46183</v>
      </c>
      <c r="D167" t="inlineStr">
        <is>
          <t>SÖDERMANLANDS LÄN</t>
        </is>
      </c>
      <c r="E167" t="inlineStr">
        <is>
          <t>KATRINEHOLM</t>
        </is>
      </c>
      <c r="G167" t="n">
        <v>1.7</v>
      </c>
      <c r="H167" t="n">
        <v>0</v>
      </c>
      <c r="I167" t="n">
        <v>0</v>
      </c>
      <c r="J167" t="n">
        <v>0</v>
      </c>
      <c r="K167" t="n">
        <v>0</v>
      </c>
      <c r="L167" t="n">
        <v>0</v>
      </c>
      <c r="M167" t="n">
        <v>0</v>
      </c>
      <c r="N167" t="n">
        <v>0</v>
      </c>
      <c r="O167" t="n">
        <v>0</v>
      </c>
      <c r="P167" t="n">
        <v>0</v>
      </c>
      <c r="Q167" t="n">
        <v>0</v>
      </c>
      <c r="R167" s="2" t="inlineStr"/>
    </row>
    <row r="168" ht="15" customHeight="1">
      <c r="A168" t="inlineStr">
        <is>
          <t>A 48877-2022</t>
        </is>
      </c>
      <c r="B168" s="1" t="n">
        <v>44859</v>
      </c>
      <c r="C168" s="1" t="n">
        <v>46183</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19868-2022</t>
        </is>
      </c>
      <c r="B169" s="1" t="n">
        <v>44696</v>
      </c>
      <c r="C169" s="1" t="n">
        <v>46183</v>
      </c>
      <c r="D169" t="inlineStr">
        <is>
          <t>SÖDERMANLANDS LÄN</t>
        </is>
      </c>
      <c r="E169" t="inlineStr">
        <is>
          <t>KATRINEHOLM</t>
        </is>
      </c>
      <c r="G169" t="n">
        <v>13</v>
      </c>
      <c r="H169" t="n">
        <v>0</v>
      </c>
      <c r="I169" t="n">
        <v>0</v>
      </c>
      <c r="J169" t="n">
        <v>0</v>
      </c>
      <c r="K169" t="n">
        <v>0</v>
      </c>
      <c r="L169" t="n">
        <v>0</v>
      </c>
      <c r="M169" t="n">
        <v>0</v>
      </c>
      <c r="N169" t="n">
        <v>0</v>
      </c>
      <c r="O169" t="n">
        <v>0</v>
      </c>
      <c r="P169" t="n">
        <v>0</v>
      </c>
      <c r="Q169" t="n">
        <v>0</v>
      </c>
      <c r="R169" s="2" t="inlineStr"/>
    </row>
    <row r="170" ht="15" customHeight="1">
      <c r="A170" t="inlineStr">
        <is>
          <t>A 63188-2021</t>
        </is>
      </c>
      <c r="B170" s="1" t="n">
        <v>44507.56865740741</v>
      </c>
      <c r="C170" s="1" t="n">
        <v>46183</v>
      </c>
      <c r="D170" t="inlineStr">
        <is>
          <t>SÖDERMANLANDS LÄN</t>
        </is>
      </c>
      <c r="E170" t="inlineStr">
        <is>
          <t>KATRINEHOLM</t>
        </is>
      </c>
      <c r="G170" t="n">
        <v>1.6</v>
      </c>
      <c r="H170" t="n">
        <v>0</v>
      </c>
      <c r="I170" t="n">
        <v>0</v>
      </c>
      <c r="J170" t="n">
        <v>0</v>
      </c>
      <c r="K170" t="n">
        <v>0</v>
      </c>
      <c r="L170" t="n">
        <v>0</v>
      </c>
      <c r="M170" t="n">
        <v>0</v>
      </c>
      <c r="N170" t="n">
        <v>0</v>
      </c>
      <c r="O170" t="n">
        <v>0</v>
      </c>
      <c r="P170" t="n">
        <v>0</v>
      </c>
      <c r="Q170" t="n">
        <v>0</v>
      </c>
      <c r="R170" s="2" t="inlineStr"/>
    </row>
    <row r="171" ht="15" customHeight="1">
      <c r="A171" t="inlineStr">
        <is>
          <t>A 6789-2022</t>
        </is>
      </c>
      <c r="B171" s="1" t="n">
        <v>44602</v>
      </c>
      <c r="C171" s="1" t="n">
        <v>46183</v>
      </c>
      <c r="D171" t="inlineStr">
        <is>
          <t>SÖDERMANLANDS LÄN</t>
        </is>
      </c>
      <c r="E171" t="inlineStr">
        <is>
          <t>KATRINEHOLM</t>
        </is>
      </c>
      <c r="G171" t="n">
        <v>4.6</v>
      </c>
      <c r="H171" t="n">
        <v>0</v>
      </c>
      <c r="I171" t="n">
        <v>0</v>
      </c>
      <c r="J171" t="n">
        <v>0</v>
      </c>
      <c r="K171" t="n">
        <v>0</v>
      </c>
      <c r="L171" t="n">
        <v>0</v>
      </c>
      <c r="M171" t="n">
        <v>0</v>
      </c>
      <c r="N171" t="n">
        <v>0</v>
      </c>
      <c r="O171" t="n">
        <v>0</v>
      </c>
      <c r="P171" t="n">
        <v>0</v>
      </c>
      <c r="Q171" t="n">
        <v>0</v>
      </c>
      <c r="R171" s="2" t="inlineStr"/>
    </row>
    <row r="172" ht="15" customHeight="1">
      <c r="A172" t="inlineStr">
        <is>
          <t>A 21576-2022</t>
        </is>
      </c>
      <c r="B172" s="1" t="n">
        <v>44706</v>
      </c>
      <c r="C172" s="1" t="n">
        <v>46183</v>
      </c>
      <c r="D172" t="inlineStr">
        <is>
          <t>SÖDERMANLANDS LÄN</t>
        </is>
      </c>
      <c r="E172" t="inlineStr">
        <is>
          <t>KATRINEHOLM</t>
        </is>
      </c>
      <c r="G172" t="n">
        <v>4.2</v>
      </c>
      <c r="H172" t="n">
        <v>0</v>
      </c>
      <c r="I172" t="n">
        <v>0</v>
      </c>
      <c r="J172" t="n">
        <v>0</v>
      </c>
      <c r="K172" t="n">
        <v>0</v>
      </c>
      <c r="L172" t="n">
        <v>0</v>
      </c>
      <c r="M172" t="n">
        <v>0</v>
      </c>
      <c r="N172" t="n">
        <v>0</v>
      </c>
      <c r="O172" t="n">
        <v>0</v>
      </c>
      <c r="P172" t="n">
        <v>0</v>
      </c>
      <c r="Q172" t="n">
        <v>0</v>
      </c>
      <c r="R172" s="2" t="inlineStr"/>
    </row>
    <row r="173" ht="15" customHeight="1">
      <c r="A173" t="inlineStr">
        <is>
          <t>A 43967-2022</t>
        </is>
      </c>
      <c r="B173" s="1" t="n">
        <v>44837</v>
      </c>
      <c r="C173" s="1" t="n">
        <v>46183</v>
      </c>
      <c r="D173" t="inlineStr">
        <is>
          <t>SÖDERMANLANDS LÄN</t>
        </is>
      </c>
      <c r="E173" t="inlineStr">
        <is>
          <t>KATRINEHOLM</t>
        </is>
      </c>
      <c r="G173" t="n">
        <v>6.2</v>
      </c>
      <c r="H173" t="n">
        <v>0</v>
      </c>
      <c r="I173" t="n">
        <v>0</v>
      </c>
      <c r="J173" t="n">
        <v>0</v>
      </c>
      <c r="K173" t="n">
        <v>0</v>
      </c>
      <c r="L173" t="n">
        <v>0</v>
      </c>
      <c r="M173" t="n">
        <v>0</v>
      </c>
      <c r="N173" t="n">
        <v>0</v>
      </c>
      <c r="O173" t="n">
        <v>0</v>
      </c>
      <c r="P173" t="n">
        <v>0</v>
      </c>
      <c r="Q173" t="n">
        <v>0</v>
      </c>
      <c r="R173" s="2" t="inlineStr"/>
    </row>
    <row r="174" ht="15" customHeight="1">
      <c r="A174" t="inlineStr">
        <is>
          <t>A 44012-2022</t>
        </is>
      </c>
      <c r="B174" s="1" t="n">
        <v>44838</v>
      </c>
      <c r="C174" s="1" t="n">
        <v>46183</v>
      </c>
      <c r="D174" t="inlineStr">
        <is>
          <t>SÖDERMANLANDS LÄN</t>
        </is>
      </c>
      <c r="E174" t="inlineStr">
        <is>
          <t>KATRINEHOLM</t>
        </is>
      </c>
      <c r="G174" t="n">
        <v>0.4</v>
      </c>
      <c r="H174" t="n">
        <v>0</v>
      </c>
      <c r="I174" t="n">
        <v>0</v>
      </c>
      <c r="J174" t="n">
        <v>0</v>
      </c>
      <c r="K174" t="n">
        <v>0</v>
      </c>
      <c r="L174" t="n">
        <v>0</v>
      </c>
      <c r="M174" t="n">
        <v>0</v>
      </c>
      <c r="N174" t="n">
        <v>0</v>
      </c>
      <c r="O174" t="n">
        <v>0</v>
      </c>
      <c r="P174" t="n">
        <v>0</v>
      </c>
      <c r="Q174" t="n">
        <v>0</v>
      </c>
      <c r="R174" s="2" t="inlineStr"/>
    </row>
    <row r="175" ht="15" customHeight="1">
      <c r="A175" t="inlineStr">
        <is>
          <t>A 51835-2022</t>
        </is>
      </c>
      <c r="B175" s="1" t="n">
        <v>44872.57288194444</v>
      </c>
      <c r="C175" s="1" t="n">
        <v>46183</v>
      </c>
      <c r="D175" t="inlineStr">
        <is>
          <t>SÖDERMANLANDS LÄN</t>
        </is>
      </c>
      <c r="E175" t="inlineStr">
        <is>
          <t>KATRINEHOLM</t>
        </is>
      </c>
      <c r="G175" t="n">
        <v>0.9</v>
      </c>
      <c r="H175" t="n">
        <v>0</v>
      </c>
      <c r="I175" t="n">
        <v>0</v>
      </c>
      <c r="J175" t="n">
        <v>0</v>
      </c>
      <c r="K175" t="n">
        <v>0</v>
      </c>
      <c r="L175" t="n">
        <v>0</v>
      </c>
      <c r="M175" t="n">
        <v>0</v>
      </c>
      <c r="N175" t="n">
        <v>0</v>
      </c>
      <c r="O175" t="n">
        <v>0</v>
      </c>
      <c r="P175" t="n">
        <v>0</v>
      </c>
      <c r="Q175" t="n">
        <v>0</v>
      </c>
      <c r="R175" s="2" t="inlineStr"/>
    </row>
    <row r="176" ht="15" customHeight="1">
      <c r="A176" t="inlineStr">
        <is>
          <t>A 29843-2023</t>
        </is>
      </c>
      <c r="B176" s="1" t="n">
        <v>45107</v>
      </c>
      <c r="C176" s="1" t="n">
        <v>46183</v>
      </c>
      <c r="D176" t="inlineStr">
        <is>
          <t>SÖDERMANLANDS LÄN</t>
        </is>
      </c>
      <c r="E176" t="inlineStr">
        <is>
          <t>KATRINEHOLM</t>
        </is>
      </c>
      <c r="F176" t="inlineStr">
        <is>
          <t>Holmen skog AB</t>
        </is>
      </c>
      <c r="G176" t="n">
        <v>1.8</v>
      </c>
      <c r="H176" t="n">
        <v>0</v>
      </c>
      <c r="I176" t="n">
        <v>0</v>
      </c>
      <c r="J176" t="n">
        <v>0</v>
      </c>
      <c r="K176" t="n">
        <v>0</v>
      </c>
      <c r="L176" t="n">
        <v>0</v>
      </c>
      <c r="M176" t="n">
        <v>0</v>
      </c>
      <c r="N176" t="n">
        <v>0</v>
      </c>
      <c r="O176" t="n">
        <v>0</v>
      </c>
      <c r="P176" t="n">
        <v>0</v>
      </c>
      <c r="Q176" t="n">
        <v>0</v>
      </c>
      <c r="R176" s="2" t="inlineStr"/>
    </row>
    <row r="177" ht="15" customHeight="1">
      <c r="A177" t="inlineStr">
        <is>
          <t>A 5834-2025</t>
        </is>
      </c>
      <c r="B177" s="1" t="n">
        <v>45694</v>
      </c>
      <c r="C177" s="1" t="n">
        <v>46183</v>
      </c>
      <c r="D177" t="inlineStr">
        <is>
          <t>SÖDERMANLANDS LÄN</t>
        </is>
      </c>
      <c r="E177" t="inlineStr">
        <is>
          <t>KATRINEHOLM</t>
        </is>
      </c>
      <c r="G177" t="n">
        <v>3.3</v>
      </c>
      <c r="H177" t="n">
        <v>0</v>
      </c>
      <c r="I177" t="n">
        <v>0</v>
      </c>
      <c r="J177" t="n">
        <v>0</v>
      </c>
      <c r="K177" t="n">
        <v>0</v>
      </c>
      <c r="L177" t="n">
        <v>0</v>
      </c>
      <c r="M177" t="n">
        <v>0</v>
      </c>
      <c r="N177" t="n">
        <v>0</v>
      </c>
      <c r="O177" t="n">
        <v>0</v>
      </c>
      <c r="P177" t="n">
        <v>0</v>
      </c>
      <c r="Q177" t="n">
        <v>0</v>
      </c>
      <c r="R177" s="2" t="inlineStr"/>
    </row>
    <row r="178" ht="15" customHeight="1">
      <c r="A178" t="inlineStr">
        <is>
          <t>A 2683-2025</t>
        </is>
      </c>
      <c r="B178" s="1" t="n">
        <v>45677</v>
      </c>
      <c r="C178" s="1" t="n">
        <v>46183</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34981-2023</t>
        </is>
      </c>
      <c r="B179" s="1" t="n">
        <v>45142</v>
      </c>
      <c r="C179" s="1" t="n">
        <v>46183</v>
      </c>
      <c r="D179" t="inlineStr">
        <is>
          <t>SÖDERMANLANDS LÄN</t>
        </is>
      </c>
      <c r="E179" t="inlineStr">
        <is>
          <t>KATRINEHOLM</t>
        </is>
      </c>
      <c r="G179" t="n">
        <v>10</v>
      </c>
      <c r="H179" t="n">
        <v>0</v>
      </c>
      <c r="I179" t="n">
        <v>0</v>
      </c>
      <c r="J179" t="n">
        <v>0</v>
      </c>
      <c r="K179" t="n">
        <v>0</v>
      </c>
      <c r="L179" t="n">
        <v>0</v>
      </c>
      <c r="M179" t="n">
        <v>0</v>
      </c>
      <c r="N179" t="n">
        <v>0</v>
      </c>
      <c r="O179" t="n">
        <v>0</v>
      </c>
      <c r="P179" t="n">
        <v>0</v>
      </c>
      <c r="Q179" t="n">
        <v>0</v>
      </c>
      <c r="R179" s="2" t="inlineStr"/>
    </row>
    <row r="180" ht="15" customHeight="1">
      <c r="A180" t="inlineStr">
        <is>
          <t>A 73412-2021</t>
        </is>
      </c>
      <c r="B180" s="1" t="n">
        <v>44551</v>
      </c>
      <c r="C180" s="1" t="n">
        <v>46183</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53750-2022</t>
        </is>
      </c>
      <c r="B181" s="1" t="n">
        <v>44875</v>
      </c>
      <c r="C181" s="1" t="n">
        <v>46183</v>
      </c>
      <c r="D181" t="inlineStr">
        <is>
          <t>SÖDERMANLANDS LÄN</t>
        </is>
      </c>
      <c r="E181" t="inlineStr">
        <is>
          <t>KATRINEHOLM</t>
        </is>
      </c>
      <c r="F181" t="inlineStr">
        <is>
          <t>Övriga Aktiebolag</t>
        </is>
      </c>
      <c r="G181" t="n">
        <v>12.6</v>
      </c>
      <c r="H181" t="n">
        <v>0</v>
      </c>
      <c r="I181" t="n">
        <v>0</v>
      </c>
      <c r="J181" t="n">
        <v>0</v>
      </c>
      <c r="K181" t="n">
        <v>0</v>
      </c>
      <c r="L181" t="n">
        <v>0</v>
      </c>
      <c r="M181" t="n">
        <v>0</v>
      </c>
      <c r="N181" t="n">
        <v>0</v>
      </c>
      <c r="O181" t="n">
        <v>0</v>
      </c>
      <c r="P181" t="n">
        <v>0</v>
      </c>
      <c r="Q181" t="n">
        <v>0</v>
      </c>
      <c r="R181" s="2" t="inlineStr"/>
    </row>
    <row r="182" ht="15" customHeight="1">
      <c r="A182" t="inlineStr">
        <is>
          <t>A 14245-2024</t>
        </is>
      </c>
      <c r="B182" s="1" t="n">
        <v>45393</v>
      </c>
      <c r="C182" s="1" t="n">
        <v>46183</v>
      </c>
      <c r="D182" t="inlineStr">
        <is>
          <t>SÖDERMANLANDS LÄN</t>
        </is>
      </c>
      <c r="E182" t="inlineStr">
        <is>
          <t>KATRINEHOLM</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11104-2023</t>
        </is>
      </c>
      <c r="B183" s="1" t="n">
        <v>44992</v>
      </c>
      <c r="C183" s="1" t="n">
        <v>46183</v>
      </c>
      <c r="D183" t="inlineStr">
        <is>
          <t>SÖDERMANLANDS LÄN</t>
        </is>
      </c>
      <c r="E183" t="inlineStr">
        <is>
          <t>KATRINEHOLM</t>
        </is>
      </c>
      <c r="F183" t="inlineStr">
        <is>
          <t>Allmännings- och besparingsskogar</t>
        </is>
      </c>
      <c r="G183" t="n">
        <v>7.8</v>
      </c>
      <c r="H183" t="n">
        <v>0</v>
      </c>
      <c r="I183" t="n">
        <v>0</v>
      </c>
      <c r="J183" t="n">
        <v>0</v>
      </c>
      <c r="K183" t="n">
        <v>0</v>
      </c>
      <c r="L183" t="n">
        <v>0</v>
      </c>
      <c r="M183" t="n">
        <v>0</v>
      </c>
      <c r="N183" t="n">
        <v>0</v>
      </c>
      <c r="O183" t="n">
        <v>0</v>
      </c>
      <c r="P183" t="n">
        <v>0</v>
      </c>
      <c r="Q183" t="n">
        <v>0</v>
      </c>
      <c r="R183" s="2" t="inlineStr"/>
    </row>
    <row r="184" ht="15" customHeight="1">
      <c r="A184" t="inlineStr">
        <is>
          <t>A 61410-2024</t>
        </is>
      </c>
      <c r="B184" s="1" t="n">
        <v>45646.43950231482</v>
      </c>
      <c r="C184" s="1" t="n">
        <v>46183</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35188-2022</t>
        </is>
      </c>
      <c r="B185" s="1" t="n">
        <v>44797</v>
      </c>
      <c r="C185" s="1" t="n">
        <v>46183</v>
      </c>
      <c r="D185" t="inlineStr">
        <is>
          <t>SÖDERMANLANDS LÄN</t>
        </is>
      </c>
      <c r="E185" t="inlineStr">
        <is>
          <t>KATRINEHOLM</t>
        </is>
      </c>
      <c r="G185" t="n">
        <v>3</v>
      </c>
      <c r="H185" t="n">
        <v>0</v>
      </c>
      <c r="I185" t="n">
        <v>0</v>
      </c>
      <c r="J185" t="n">
        <v>0</v>
      </c>
      <c r="K185" t="n">
        <v>0</v>
      </c>
      <c r="L185" t="n">
        <v>0</v>
      </c>
      <c r="M185" t="n">
        <v>0</v>
      </c>
      <c r="N185" t="n">
        <v>0</v>
      </c>
      <c r="O185" t="n">
        <v>0</v>
      </c>
      <c r="P185" t="n">
        <v>0</v>
      </c>
      <c r="Q185" t="n">
        <v>0</v>
      </c>
      <c r="R185" s="2" t="inlineStr"/>
    </row>
    <row r="186" ht="15" customHeight="1">
      <c r="A186" t="inlineStr">
        <is>
          <t>A 4387-2024</t>
        </is>
      </c>
      <c r="B186" s="1" t="n">
        <v>45327.35068287037</v>
      </c>
      <c r="C186" s="1" t="n">
        <v>46183</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4872-2024</t>
        </is>
      </c>
      <c r="B187" s="1" t="n">
        <v>45329</v>
      </c>
      <c r="C187" s="1" t="n">
        <v>46183</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20460-2025</t>
        </is>
      </c>
      <c r="B188" s="1" t="n">
        <v>45775.52854166667</v>
      </c>
      <c r="C188" s="1" t="n">
        <v>46183</v>
      </c>
      <c r="D188" t="inlineStr">
        <is>
          <t>SÖDERMANLANDS LÄN</t>
        </is>
      </c>
      <c r="E188" t="inlineStr">
        <is>
          <t>KATRINEHOLM</t>
        </is>
      </c>
      <c r="G188" t="n">
        <v>0.6</v>
      </c>
      <c r="H188" t="n">
        <v>0</v>
      </c>
      <c r="I188" t="n">
        <v>0</v>
      </c>
      <c r="J188" t="n">
        <v>0</v>
      </c>
      <c r="K188" t="n">
        <v>0</v>
      </c>
      <c r="L188" t="n">
        <v>0</v>
      </c>
      <c r="M188" t="n">
        <v>0</v>
      </c>
      <c r="N188" t="n">
        <v>0</v>
      </c>
      <c r="O188" t="n">
        <v>0</v>
      </c>
      <c r="P188" t="n">
        <v>0</v>
      </c>
      <c r="Q188" t="n">
        <v>0</v>
      </c>
      <c r="R188" s="2" t="inlineStr"/>
    </row>
    <row r="189" ht="15" customHeight="1">
      <c r="A189" t="inlineStr">
        <is>
          <t>A 29702-2021</t>
        </is>
      </c>
      <c r="B189" s="1" t="n">
        <v>44362</v>
      </c>
      <c r="C189" s="1" t="n">
        <v>46183</v>
      </c>
      <c r="D189" t="inlineStr">
        <is>
          <t>SÖDERMANLANDS LÄN</t>
        </is>
      </c>
      <c r="E189" t="inlineStr">
        <is>
          <t>KATRINEHOLM</t>
        </is>
      </c>
      <c r="F189" t="inlineStr">
        <is>
          <t>Holmen skog AB</t>
        </is>
      </c>
      <c r="G189" t="n">
        <v>0.3</v>
      </c>
      <c r="H189" t="n">
        <v>0</v>
      </c>
      <c r="I189" t="n">
        <v>0</v>
      </c>
      <c r="J189" t="n">
        <v>0</v>
      </c>
      <c r="K189" t="n">
        <v>0</v>
      </c>
      <c r="L189" t="n">
        <v>0</v>
      </c>
      <c r="M189" t="n">
        <v>0</v>
      </c>
      <c r="N189" t="n">
        <v>0</v>
      </c>
      <c r="O189" t="n">
        <v>0</v>
      </c>
      <c r="P189" t="n">
        <v>0</v>
      </c>
      <c r="Q189" t="n">
        <v>0</v>
      </c>
      <c r="R189" s="2" t="inlineStr"/>
    </row>
    <row r="190" ht="15" customHeight="1">
      <c r="A190" t="inlineStr">
        <is>
          <t>A 41966-2023</t>
        </is>
      </c>
      <c r="B190" s="1" t="n">
        <v>45177</v>
      </c>
      <c r="C190" s="1" t="n">
        <v>46183</v>
      </c>
      <c r="D190" t="inlineStr">
        <is>
          <t>SÖDERMANLANDS LÄN</t>
        </is>
      </c>
      <c r="E190" t="inlineStr">
        <is>
          <t>KATRINEHOLM</t>
        </is>
      </c>
      <c r="G190" t="n">
        <v>36.9</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46183</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3315-2023</t>
        </is>
      </c>
      <c r="B192" s="1" t="n">
        <v>44945</v>
      </c>
      <c r="C192" s="1" t="n">
        <v>46183</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9693-2024</t>
        </is>
      </c>
      <c r="B193" s="1" t="n">
        <v>45362</v>
      </c>
      <c r="C193" s="1" t="n">
        <v>46183</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7867-2024</t>
        </is>
      </c>
      <c r="B194" s="1" t="n">
        <v>45350.32991898148</v>
      </c>
      <c r="C194" s="1" t="n">
        <v>46183</v>
      </c>
      <c r="D194" t="inlineStr">
        <is>
          <t>SÖDERMANLANDS LÄN</t>
        </is>
      </c>
      <c r="E194" t="inlineStr">
        <is>
          <t>KATRINEHOLM</t>
        </is>
      </c>
      <c r="F194" t="inlineStr">
        <is>
          <t>Kyrkan</t>
        </is>
      </c>
      <c r="G194" t="n">
        <v>3.3</v>
      </c>
      <c r="H194" t="n">
        <v>0</v>
      </c>
      <c r="I194" t="n">
        <v>0</v>
      </c>
      <c r="J194" t="n">
        <v>0</v>
      </c>
      <c r="K194" t="n">
        <v>0</v>
      </c>
      <c r="L194" t="n">
        <v>0</v>
      </c>
      <c r="M194" t="n">
        <v>0</v>
      </c>
      <c r="N194" t="n">
        <v>0</v>
      </c>
      <c r="O194" t="n">
        <v>0</v>
      </c>
      <c r="P194" t="n">
        <v>0</v>
      </c>
      <c r="Q194" t="n">
        <v>0</v>
      </c>
      <c r="R194" s="2" t="inlineStr"/>
    </row>
    <row r="195" ht="15" customHeight="1">
      <c r="A195" t="inlineStr">
        <is>
          <t>A 43964-2022</t>
        </is>
      </c>
      <c r="B195" s="1" t="n">
        <v>44837</v>
      </c>
      <c r="C195" s="1" t="n">
        <v>46183</v>
      </c>
      <c r="D195" t="inlineStr">
        <is>
          <t>SÖDERMANLANDS LÄN</t>
        </is>
      </c>
      <c r="E195" t="inlineStr">
        <is>
          <t>KATRINEHOLM</t>
        </is>
      </c>
      <c r="G195" t="n">
        <v>3.6</v>
      </c>
      <c r="H195" t="n">
        <v>0</v>
      </c>
      <c r="I195" t="n">
        <v>0</v>
      </c>
      <c r="J195" t="n">
        <v>0</v>
      </c>
      <c r="K195" t="n">
        <v>0</v>
      </c>
      <c r="L195" t="n">
        <v>0</v>
      </c>
      <c r="M195" t="n">
        <v>0</v>
      </c>
      <c r="N195" t="n">
        <v>0</v>
      </c>
      <c r="O195" t="n">
        <v>0</v>
      </c>
      <c r="P195" t="n">
        <v>0</v>
      </c>
      <c r="Q195" t="n">
        <v>0</v>
      </c>
      <c r="R195" s="2" t="inlineStr"/>
    </row>
    <row r="196" ht="15" customHeight="1">
      <c r="A196" t="inlineStr">
        <is>
          <t>A 42015-2022</t>
        </is>
      </c>
      <c r="B196" s="1" t="n">
        <v>44830.4649074074</v>
      </c>
      <c r="C196" s="1" t="n">
        <v>46183</v>
      </c>
      <c r="D196" t="inlineStr">
        <is>
          <t>SÖDERMANLANDS LÄN</t>
        </is>
      </c>
      <c r="E196" t="inlineStr">
        <is>
          <t>KATRINEHOLM</t>
        </is>
      </c>
      <c r="G196" t="n">
        <v>3.8</v>
      </c>
      <c r="H196" t="n">
        <v>0</v>
      </c>
      <c r="I196" t="n">
        <v>0</v>
      </c>
      <c r="J196" t="n">
        <v>0</v>
      </c>
      <c r="K196" t="n">
        <v>0</v>
      </c>
      <c r="L196" t="n">
        <v>0</v>
      </c>
      <c r="M196" t="n">
        <v>0</v>
      </c>
      <c r="N196" t="n">
        <v>0</v>
      </c>
      <c r="O196" t="n">
        <v>0</v>
      </c>
      <c r="P196" t="n">
        <v>0</v>
      </c>
      <c r="Q196" t="n">
        <v>0</v>
      </c>
      <c r="R196" s="2" t="inlineStr"/>
    </row>
    <row r="197" ht="15" customHeight="1">
      <c r="A197" t="inlineStr">
        <is>
          <t>A 42020-2022</t>
        </is>
      </c>
      <c r="B197" s="1" t="n">
        <v>44830.46849537037</v>
      </c>
      <c r="C197" s="1" t="n">
        <v>46183</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3986-2024</t>
        </is>
      </c>
      <c r="B198" s="1" t="n">
        <v>45322</v>
      </c>
      <c r="C198" s="1" t="n">
        <v>46183</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55846-2022</t>
        </is>
      </c>
      <c r="B199" s="1" t="n">
        <v>44888</v>
      </c>
      <c r="C199" s="1" t="n">
        <v>46183</v>
      </c>
      <c r="D199" t="inlineStr">
        <is>
          <t>SÖDERMANLANDS LÄN</t>
        </is>
      </c>
      <c r="E199" t="inlineStr">
        <is>
          <t>KATRINEHOLM</t>
        </is>
      </c>
      <c r="G199" t="n">
        <v>6.5</v>
      </c>
      <c r="H199" t="n">
        <v>0</v>
      </c>
      <c r="I199" t="n">
        <v>0</v>
      </c>
      <c r="J199" t="n">
        <v>0</v>
      </c>
      <c r="K199" t="n">
        <v>0</v>
      </c>
      <c r="L199" t="n">
        <v>0</v>
      </c>
      <c r="M199" t="n">
        <v>0</v>
      </c>
      <c r="N199" t="n">
        <v>0</v>
      </c>
      <c r="O199" t="n">
        <v>0</v>
      </c>
      <c r="P199" t="n">
        <v>0</v>
      </c>
      <c r="Q199" t="n">
        <v>0</v>
      </c>
      <c r="R199" s="2" t="inlineStr"/>
    </row>
    <row r="200" ht="15" customHeight="1">
      <c r="A200" t="inlineStr">
        <is>
          <t>A 38869-2024</t>
        </is>
      </c>
      <c r="B200" s="1" t="n">
        <v>45547</v>
      </c>
      <c r="C200" s="1" t="n">
        <v>46183</v>
      </c>
      <c r="D200" t="inlineStr">
        <is>
          <t>SÖDERMANLANDS LÄN</t>
        </is>
      </c>
      <c r="E200" t="inlineStr">
        <is>
          <t>KATRINEHOLM</t>
        </is>
      </c>
      <c r="G200" t="n">
        <v>2.2</v>
      </c>
      <c r="H200" t="n">
        <v>0</v>
      </c>
      <c r="I200" t="n">
        <v>0</v>
      </c>
      <c r="J200" t="n">
        <v>0</v>
      </c>
      <c r="K200" t="n">
        <v>0</v>
      </c>
      <c r="L200" t="n">
        <v>0</v>
      </c>
      <c r="M200" t="n">
        <v>0</v>
      </c>
      <c r="N200" t="n">
        <v>0</v>
      </c>
      <c r="O200" t="n">
        <v>0</v>
      </c>
      <c r="P200" t="n">
        <v>0</v>
      </c>
      <c r="Q200" t="n">
        <v>0</v>
      </c>
      <c r="R200" s="2" t="inlineStr"/>
    </row>
    <row r="201" ht="15" customHeight="1">
      <c r="A201" t="inlineStr">
        <is>
          <t>A 39010-2021</t>
        </is>
      </c>
      <c r="B201" s="1" t="n">
        <v>44412</v>
      </c>
      <c r="C201" s="1" t="n">
        <v>46183</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1091-2025</t>
        </is>
      </c>
      <c r="B202" s="1" t="n">
        <v>45666</v>
      </c>
      <c r="C202" s="1" t="n">
        <v>46183</v>
      </c>
      <c r="D202" t="inlineStr">
        <is>
          <t>SÖDERMANLANDS LÄN</t>
        </is>
      </c>
      <c r="E202" t="inlineStr">
        <is>
          <t>KATRINEHOLM</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10996-2022</t>
        </is>
      </c>
      <c r="B203" s="1" t="n">
        <v>44628</v>
      </c>
      <c r="C203" s="1" t="n">
        <v>46183</v>
      </c>
      <c r="D203" t="inlineStr">
        <is>
          <t>SÖDERMANLANDS LÄN</t>
        </is>
      </c>
      <c r="E203" t="inlineStr">
        <is>
          <t>KATRINEHOLM</t>
        </is>
      </c>
      <c r="G203" t="n">
        <v>0.3</v>
      </c>
      <c r="H203" t="n">
        <v>0</v>
      </c>
      <c r="I203" t="n">
        <v>0</v>
      </c>
      <c r="J203" t="n">
        <v>0</v>
      </c>
      <c r="K203" t="n">
        <v>0</v>
      </c>
      <c r="L203" t="n">
        <v>0</v>
      </c>
      <c r="M203" t="n">
        <v>0</v>
      </c>
      <c r="N203" t="n">
        <v>0</v>
      </c>
      <c r="O203" t="n">
        <v>0</v>
      </c>
      <c r="P203" t="n">
        <v>0</v>
      </c>
      <c r="Q203" t="n">
        <v>0</v>
      </c>
      <c r="R203" s="2" t="inlineStr"/>
    </row>
    <row r="204" ht="15" customHeight="1">
      <c r="A204" t="inlineStr">
        <is>
          <t>A 42451-2023</t>
        </is>
      </c>
      <c r="B204" s="1" t="n">
        <v>45180</v>
      </c>
      <c r="C204" s="1" t="n">
        <v>46183</v>
      </c>
      <c r="D204" t="inlineStr">
        <is>
          <t>SÖDERMANLANDS LÄN</t>
        </is>
      </c>
      <c r="E204" t="inlineStr">
        <is>
          <t>KATRINEHOLM</t>
        </is>
      </c>
      <c r="G204" t="n">
        <v>3.8</v>
      </c>
      <c r="H204" t="n">
        <v>0</v>
      </c>
      <c r="I204" t="n">
        <v>0</v>
      </c>
      <c r="J204" t="n">
        <v>0</v>
      </c>
      <c r="K204" t="n">
        <v>0</v>
      </c>
      <c r="L204" t="n">
        <v>0</v>
      </c>
      <c r="M204" t="n">
        <v>0</v>
      </c>
      <c r="N204" t="n">
        <v>0</v>
      </c>
      <c r="O204" t="n">
        <v>0</v>
      </c>
      <c r="P204" t="n">
        <v>0</v>
      </c>
      <c r="Q204" t="n">
        <v>0</v>
      </c>
      <c r="R204" s="2" t="inlineStr"/>
    </row>
    <row r="205" ht="15" customHeight="1">
      <c r="A205" t="inlineStr">
        <is>
          <t>A 53722-2023</t>
        </is>
      </c>
      <c r="B205" s="1" t="n">
        <v>45230</v>
      </c>
      <c r="C205" s="1" t="n">
        <v>46183</v>
      </c>
      <c r="D205" t="inlineStr">
        <is>
          <t>SÖDERMANLANDS LÄN</t>
        </is>
      </c>
      <c r="E205" t="inlineStr">
        <is>
          <t>KATRINEHOLM</t>
        </is>
      </c>
      <c r="F205" t="inlineStr">
        <is>
          <t>Allmännings- och besparingsskogar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55863-2022</t>
        </is>
      </c>
      <c r="B206" s="1" t="n">
        <v>44888</v>
      </c>
      <c r="C206" s="1" t="n">
        <v>46183</v>
      </c>
      <c r="D206" t="inlineStr">
        <is>
          <t>SÖDERMANLANDS LÄN</t>
        </is>
      </c>
      <c r="E206" t="inlineStr">
        <is>
          <t>KATRINEHOLM</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55865-2022</t>
        </is>
      </c>
      <c r="B207" s="1" t="n">
        <v>44888</v>
      </c>
      <c r="C207" s="1" t="n">
        <v>46183</v>
      </c>
      <c r="D207" t="inlineStr">
        <is>
          <t>SÖDERMANLANDS LÄN</t>
        </is>
      </c>
      <c r="E207" t="inlineStr">
        <is>
          <t>KATRINEHOLM</t>
        </is>
      </c>
      <c r="G207" t="n">
        <v>9.1</v>
      </c>
      <c r="H207" t="n">
        <v>0</v>
      </c>
      <c r="I207" t="n">
        <v>0</v>
      </c>
      <c r="J207" t="n">
        <v>0</v>
      </c>
      <c r="K207" t="n">
        <v>0</v>
      </c>
      <c r="L207" t="n">
        <v>0</v>
      </c>
      <c r="M207" t="n">
        <v>0</v>
      </c>
      <c r="N207" t="n">
        <v>0</v>
      </c>
      <c r="O207" t="n">
        <v>0</v>
      </c>
      <c r="P207" t="n">
        <v>0</v>
      </c>
      <c r="Q207" t="n">
        <v>0</v>
      </c>
      <c r="R207" s="2" t="inlineStr"/>
    </row>
    <row r="208" ht="15" customHeight="1">
      <c r="A208" t="inlineStr">
        <is>
          <t>A 6311-2025</t>
        </is>
      </c>
      <c r="B208" s="1" t="n">
        <v>45698</v>
      </c>
      <c r="C208" s="1" t="n">
        <v>46183</v>
      </c>
      <c r="D208" t="inlineStr">
        <is>
          <t>SÖDERMANLANDS LÄN</t>
        </is>
      </c>
      <c r="E208" t="inlineStr">
        <is>
          <t>KATRINEHOLM</t>
        </is>
      </c>
      <c r="G208" t="n">
        <v>0.3</v>
      </c>
      <c r="H208" t="n">
        <v>0</v>
      </c>
      <c r="I208" t="n">
        <v>0</v>
      </c>
      <c r="J208" t="n">
        <v>0</v>
      </c>
      <c r="K208" t="n">
        <v>0</v>
      </c>
      <c r="L208" t="n">
        <v>0</v>
      </c>
      <c r="M208" t="n">
        <v>0</v>
      </c>
      <c r="N208" t="n">
        <v>0</v>
      </c>
      <c r="O208" t="n">
        <v>0</v>
      </c>
      <c r="P208" t="n">
        <v>0</v>
      </c>
      <c r="Q208" t="n">
        <v>0</v>
      </c>
      <c r="R208" s="2" t="inlineStr"/>
    </row>
    <row r="209" ht="15" customHeight="1">
      <c r="A209" t="inlineStr">
        <is>
          <t>A 13113-2023</t>
        </is>
      </c>
      <c r="B209" s="1" t="n">
        <v>45002</v>
      </c>
      <c r="C209" s="1" t="n">
        <v>46183</v>
      </c>
      <c r="D209" t="inlineStr">
        <is>
          <t>SÖDERMANLANDS LÄN</t>
        </is>
      </c>
      <c r="E209" t="inlineStr">
        <is>
          <t>KATRINEHOLM</t>
        </is>
      </c>
      <c r="F209" t="inlineStr">
        <is>
          <t>Allmännings- och besparingsskogar</t>
        </is>
      </c>
      <c r="G209" t="n">
        <v>3.6</v>
      </c>
      <c r="H209" t="n">
        <v>0</v>
      </c>
      <c r="I209" t="n">
        <v>0</v>
      </c>
      <c r="J209" t="n">
        <v>0</v>
      </c>
      <c r="K209" t="n">
        <v>0</v>
      </c>
      <c r="L209" t="n">
        <v>0</v>
      </c>
      <c r="M209" t="n">
        <v>0</v>
      </c>
      <c r="N209" t="n">
        <v>0</v>
      </c>
      <c r="O209" t="n">
        <v>0</v>
      </c>
      <c r="P209" t="n">
        <v>0</v>
      </c>
      <c r="Q209" t="n">
        <v>0</v>
      </c>
      <c r="R209" s="2" t="inlineStr"/>
    </row>
    <row r="210" ht="15" customHeight="1">
      <c r="A210" t="inlineStr">
        <is>
          <t>A 48520-2023</t>
        </is>
      </c>
      <c r="B210" s="1" t="n">
        <v>45208</v>
      </c>
      <c r="C210" s="1" t="n">
        <v>46183</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6606-2022</t>
        </is>
      </c>
      <c r="B211" s="1" t="n">
        <v>44601</v>
      </c>
      <c r="C211" s="1" t="n">
        <v>46183</v>
      </c>
      <c r="D211" t="inlineStr">
        <is>
          <t>SÖDERMANLANDS LÄN</t>
        </is>
      </c>
      <c r="E211" t="inlineStr">
        <is>
          <t>KATRINEHOLM</t>
        </is>
      </c>
      <c r="G211" t="n">
        <v>1.6</v>
      </c>
      <c r="H211" t="n">
        <v>0</v>
      </c>
      <c r="I211" t="n">
        <v>0</v>
      </c>
      <c r="J211" t="n">
        <v>0</v>
      </c>
      <c r="K211" t="n">
        <v>0</v>
      </c>
      <c r="L211" t="n">
        <v>0</v>
      </c>
      <c r="M211" t="n">
        <v>0</v>
      </c>
      <c r="N211" t="n">
        <v>0</v>
      </c>
      <c r="O211" t="n">
        <v>0</v>
      </c>
      <c r="P211" t="n">
        <v>0</v>
      </c>
      <c r="Q211" t="n">
        <v>0</v>
      </c>
      <c r="R211" s="2" t="inlineStr"/>
    </row>
    <row r="212" ht="15" customHeight="1">
      <c r="A212" t="inlineStr">
        <is>
          <t>A 56661-2021</t>
        </is>
      </c>
      <c r="B212" s="1" t="n">
        <v>44481.24327546296</v>
      </c>
      <c r="C212" s="1" t="n">
        <v>46183</v>
      </c>
      <c r="D212" t="inlineStr">
        <is>
          <t>SÖDERMANLANDS LÄN</t>
        </is>
      </c>
      <c r="E212" t="inlineStr">
        <is>
          <t>KATRINEHOLM</t>
        </is>
      </c>
      <c r="G212" t="n">
        <v>5.8</v>
      </c>
      <c r="H212" t="n">
        <v>0</v>
      </c>
      <c r="I212" t="n">
        <v>0</v>
      </c>
      <c r="J212" t="n">
        <v>0</v>
      </c>
      <c r="K212" t="n">
        <v>0</v>
      </c>
      <c r="L212" t="n">
        <v>0</v>
      </c>
      <c r="M212" t="n">
        <v>0</v>
      </c>
      <c r="N212" t="n">
        <v>0</v>
      </c>
      <c r="O212" t="n">
        <v>0</v>
      </c>
      <c r="P212" t="n">
        <v>0</v>
      </c>
      <c r="Q212" t="n">
        <v>0</v>
      </c>
      <c r="R212" s="2" t="inlineStr"/>
    </row>
    <row r="213" ht="15" customHeight="1">
      <c r="A213" t="inlineStr">
        <is>
          <t>A 27646-2023</t>
        </is>
      </c>
      <c r="B213" s="1" t="n">
        <v>45097</v>
      </c>
      <c r="C213" s="1" t="n">
        <v>46183</v>
      </c>
      <c r="D213" t="inlineStr">
        <is>
          <t>SÖDERMANLANDS LÄN</t>
        </is>
      </c>
      <c r="E213" t="inlineStr">
        <is>
          <t>KATRINEHOLM</t>
        </is>
      </c>
      <c r="G213" t="n">
        <v>2.4</v>
      </c>
      <c r="H213" t="n">
        <v>0</v>
      </c>
      <c r="I213" t="n">
        <v>0</v>
      </c>
      <c r="J213" t="n">
        <v>0</v>
      </c>
      <c r="K213" t="n">
        <v>0</v>
      </c>
      <c r="L213" t="n">
        <v>0</v>
      </c>
      <c r="M213" t="n">
        <v>0</v>
      </c>
      <c r="N213" t="n">
        <v>0</v>
      </c>
      <c r="O213" t="n">
        <v>0</v>
      </c>
      <c r="P213" t="n">
        <v>0</v>
      </c>
      <c r="Q213" t="n">
        <v>0</v>
      </c>
      <c r="R213" s="2" t="inlineStr"/>
    </row>
    <row r="214" ht="15" customHeight="1">
      <c r="A214" t="inlineStr">
        <is>
          <t>A 15235-2023</t>
        </is>
      </c>
      <c r="B214" s="1" t="n">
        <v>45019</v>
      </c>
      <c r="C214" s="1" t="n">
        <v>46183</v>
      </c>
      <c r="D214" t="inlineStr">
        <is>
          <t>SÖDERMANLANDS LÄN</t>
        </is>
      </c>
      <c r="E214" t="inlineStr">
        <is>
          <t>KATRINEHOLM</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28394-2023</t>
        </is>
      </c>
      <c r="B215" s="1" t="n">
        <v>45100</v>
      </c>
      <c r="C215" s="1" t="n">
        <v>46183</v>
      </c>
      <c r="D215" t="inlineStr">
        <is>
          <t>SÖDERMANLANDS LÄN</t>
        </is>
      </c>
      <c r="E215" t="inlineStr">
        <is>
          <t>KATRINEHOLM</t>
        </is>
      </c>
      <c r="G215" t="n">
        <v>4.2</v>
      </c>
      <c r="H215" t="n">
        <v>0</v>
      </c>
      <c r="I215" t="n">
        <v>0</v>
      </c>
      <c r="J215" t="n">
        <v>0</v>
      </c>
      <c r="K215" t="n">
        <v>0</v>
      </c>
      <c r="L215" t="n">
        <v>0</v>
      </c>
      <c r="M215" t="n">
        <v>0</v>
      </c>
      <c r="N215" t="n">
        <v>0</v>
      </c>
      <c r="O215" t="n">
        <v>0</v>
      </c>
      <c r="P215" t="n">
        <v>0</v>
      </c>
      <c r="Q215" t="n">
        <v>0</v>
      </c>
      <c r="R215" s="2" t="inlineStr"/>
    </row>
    <row r="216" ht="15" customHeight="1">
      <c r="A216" t="inlineStr">
        <is>
          <t>A 4122-2023</t>
        </is>
      </c>
      <c r="B216" s="1" t="n">
        <v>44952</v>
      </c>
      <c r="C216" s="1" t="n">
        <v>46183</v>
      </c>
      <c r="D216" t="inlineStr">
        <is>
          <t>SÖDERMANLANDS LÄN</t>
        </is>
      </c>
      <c r="E216" t="inlineStr">
        <is>
          <t>KATRINEHOLM</t>
        </is>
      </c>
      <c r="G216" t="n">
        <v>9</v>
      </c>
      <c r="H216" t="n">
        <v>0</v>
      </c>
      <c r="I216" t="n">
        <v>0</v>
      </c>
      <c r="J216" t="n">
        <v>0</v>
      </c>
      <c r="K216" t="n">
        <v>0</v>
      </c>
      <c r="L216" t="n">
        <v>0</v>
      </c>
      <c r="M216" t="n">
        <v>0</v>
      </c>
      <c r="N216" t="n">
        <v>0</v>
      </c>
      <c r="O216" t="n">
        <v>0</v>
      </c>
      <c r="P216" t="n">
        <v>0</v>
      </c>
      <c r="Q216" t="n">
        <v>0</v>
      </c>
      <c r="R216" s="2" t="inlineStr"/>
    </row>
    <row r="217" ht="15" customHeight="1">
      <c r="A217" t="inlineStr">
        <is>
          <t>A 25433-2024</t>
        </is>
      </c>
      <c r="B217" s="1" t="n">
        <v>45463</v>
      </c>
      <c r="C217" s="1" t="n">
        <v>46183</v>
      </c>
      <c r="D217" t="inlineStr">
        <is>
          <t>SÖDERMANLANDS LÄN</t>
        </is>
      </c>
      <c r="E217" t="inlineStr">
        <is>
          <t>KATRINEHOLM</t>
        </is>
      </c>
      <c r="G217" t="n">
        <v>1.1</v>
      </c>
      <c r="H217" t="n">
        <v>0</v>
      </c>
      <c r="I217" t="n">
        <v>0</v>
      </c>
      <c r="J217" t="n">
        <v>0</v>
      </c>
      <c r="K217" t="n">
        <v>0</v>
      </c>
      <c r="L217" t="n">
        <v>0</v>
      </c>
      <c r="M217" t="n">
        <v>0</v>
      </c>
      <c r="N217" t="n">
        <v>0</v>
      </c>
      <c r="O217" t="n">
        <v>0</v>
      </c>
      <c r="P217" t="n">
        <v>0</v>
      </c>
      <c r="Q217" t="n">
        <v>0</v>
      </c>
      <c r="R217" s="2" t="inlineStr"/>
    </row>
    <row r="218" ht="15" customHeight="1">
      <c r="A218" t="inlineStr">
        <is>
          <t>A 22304-2024</t>
        </is>
      </c>
      <c r="B218" s="1" t="n">
        <v>45446.56626157407</v>
      </c>
      <c r="C218" s="1" t="n">
        <v>46183</v>
      </c>
      <c r="D218" t="inlineStr">
        <is>
          <t>SÖDERMANLANDS LÄN</t>
        </is>
      </c>
      <c r="E218" t="inlineStr">
        <is>
          <t>KATRINEHOLM</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55795-2023</t>
        </is>
      </c>
      <c r="B219" s="1" t="n">
        <v>45239.54861111111</v>
      </c>
      <c r="C219" s="1" t="n">
        <v>46183</v>
      </c>
      <c r="D219" t="inlineStr">
        <is>
          <t>SÖDERMANLANDS LÄN</t>
        </is>
      </c>
      <c r="E219" t="inlineStr">
        <is>
          <t>KATRINEHOLM</t>
        </is>
      </c>
      <c r="G219" t="n">
        <v>7</v>
      </c>
      <c r="H219" t="n">
        <v>0</v>
      </c>
      <c r="I219" t="n">
        <v>0</v>
      </c>
      <c r="J219" t="n">
        <v>0</v>
      </c>
      <c r="K219" t="n">
        <v>0</v>
      </c>
      <c r="L219" t="n">
        <v>0</v>
      </c>
      <c r="M219" t="n">
        <v>0</v>
      </c>
      <c r="N219" t="n">
        <v>0</v>
      </c>
      <c r="O219" t="n">
        <v>0</v>
      </c>
      <c r="P219" t="n">
        <v>0</v>
      </c>
      <c r="Q219" t="n">
        <v>0</v>
      </c>
      <c r="R219" s="2" t="inlineStr"/>
    </row>
    <row r="220" ht="15" customHeight="1">
      <c r="A220" t="inlineStr">
        <is>
          <t>A 14224-2024</t>
        </is>
      </c>
      <c r="B220" s="1" t="n">
        <v>45393</v>
      </c>
      <c r="C220" s="1" t="n">
        <v>46183</v>
      </c>
      <c r="D220" t="inlineStr">
        <is>
          <t>SÖDERMANLANDS LÄN</t>
        </is>
      </c>
      <c r="E220" t="inlineStr">
        <is>
          <t>KATRINEHOLM</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23341-2023</t>
        </is>
      </c>
      <c r="B221" s="1" t="n">
        <v>45076</v>
      </c>
      <c r="C221" s="1" t="n">
        <v>46183</v>
      </c>
      <c r="D221" t="inlineStr">
        <is>
          <t>SÖDERMANLANDS LÄN</t>
        </is>
      </c>
      <c r="E221" t="inlineStr">
        <is>
          <t>KATRINEHOLM</t>
        </is>
      </c>
      <c r="G221" t="n">
        <v>3.5</v>
      </c>
      <c r="H221" t="n">
        <v>0</v>
      </c>
      <c r="I221" t="n">
        <v>0</v>
      </c>
      <c r="J221" t="n">
        <v>0</v>
      </c>
      <c r="K221" t="n">
        <v>0</v>
      </c>
      <c r="L221" t="n">
        <v>0</v>
      </c>
      <c r="M221" t="n">
        <v>0</v>
      </c>
      <c r="N221" t="n">
        <v>0</v>
      </c>
      <c r="O221" t="n">
        <v>0</v>
      </c>
      <c r="P221" t="n">
        <v>0</v>
      </c>
      <c r="Q221" t="n">
        <v>0</v>
      </c>
      <c r="R221" s="2" t="inlineStr"/>
    </row>
    <row r="222" ht="15" customHeight="1">
      <c r="A222" t="inlineStr">
        <is>
          <t>A 24284-2024</t>
        </is>
      </c>
      <c r="B222" s="1" t="n">
        <v>45457</v>
      </c>
      <c r="C222" s="1" t="n">
        <v>46183</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29502-2023</t>
        </is>
      </c>
      <c r="B223" s="1" t="n">
        <v>45106</v>
      </c>
      <c r="C223" s="1" t="n">
        <v>46183</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42111-2022</t>
        </is>
      </c>
      <c r="B224" s="1" t="n">
        <v>44830</v>
      </c>
      <c r="C224" s="1" t="n">
        <v>46183</v>
      </c>
      <c r="D224" t="inlineStr">
        <is>
          <t>SÖDERMANLANDS LÄN</t>
        </is>
      </c>
      <c r="E224" t="inlineStr">
        <is>
          <t>KATRINEHOLM</t>
        </is>
      </c>
      <c r="G224" t="n">
        <v>2.5</v>
      </c>
      <c r="H224" t="n">
        <v>0</v>
      </c>
      <c r="I224" t="n">
        <v>0</v>
      </c>
      <c r="J224" t="n">
        <v>0</v>
      </c>
      <c r="K224" t="n">
        <v>0</v>
      </c>
      <c r="L224" t="n">
        <v>0</v>
      </c>
      <c r="M224" t="n">
        <v>0</v>
      </c>
      <c r="N224" t="n">
        <v>0</v>
      </c>
      <c r="O224" t="n">
        <v>0</v>
      </c>
      <c r="P224" t="n">
        <v>0</v>
      </c>
      <c r="Q224" t="n">
        <v>0</v>
      </c>
      <c r="R224" s="2" t="inlineStr"/>
    </row>
    <row r="225" ht="15" customHeight="1">
      <c r="A225" t="inlineStr">
        <is>
          <t>A 36767-2022</t>
        </is>
      </c>
      <c r="B225" s="1" t="n">
        <v>44805</v>
      </c>
      <c r="C225" s="1" t="n">
        <v>46183</v>
      </c>
      <c r="D225" t="inlineStr">
        <is>
          <t>SÖDERMANLANDS LÄN</t>
        </is>
      </c>
      <c r="E225" t="inlineStr">
        <is>
          <t>KATRINEHOLM</t>
        </is>
      </c>
      <c r="G225" t="n">
        <v>1.1</v>
      </c>
      <c r="H225" t="n">
        <v>0</v>
      </c>
      <c r="I225" t="n">
        <v>0</v>
      </c>
      <c r="J225" t="n">
        <v>0</v>
      </c>
      <c r="K225" t="n">
        <v>0</v>
      </c>
      <c r="L225" t="n">
        <v>0</v>
      </c>
      <c r="M225" t="n">
        <v>0</v>
      </c>
      <c r="N225" t="n">
        <v>0</v>
      </c>
      <c r="O225" t="n">
        <v>0</v>
      </c>
      <c r="P225" t="n">
        <v>0</v>
      </c>
      <c r="Q225" t="n">
        <v>0</v>
      </c>
      <c r="R225" s="2" t="inlineStr"/>
    </row>
    <row r="226" ht="15" customHeight="1">
      <c r="A226" t="inlineStr">
        <is>
          <t>A 36366-2023</t>
        </is>
      </c>
      <c r="B226" s="1" t="n">
        <v>45152</v>
      </c>
      <c r="C226" s="1" t="n">
        <v>46183</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36021-2023</t>
        </is>
      </c>
      <c r="B227" s="1" t="n">
        <v>45148</v>
      </c>
      <c r="C227" s="1" t="n">
        <v>46183</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33712-2022</t>
        </is>
      </c>
      <c r="B228" s="1" t="n">
        <v>44789</v>
      </c>
      <c r="C228" s="1" t="n">
        <v>46183</v>
      </c>
      <c r="D228" t="inlineStr">
        <is>
          <t>SÖDERMANLANDS LÄN</t>
        </is>
      </c>
      <c r="E228" t="inlineStr">
        <is>
          <t>KATRINEHOLM</t>
        </is>
      </c>
      <c r="G228" t="n">
        <v>4.3</v>
      </c>
      <c r="H228" t="n">
        <v>0</v>
      </c>
      <c r="I228" t="n">
        <v>0</v>
      </c>
      <c r="J228" t="n">
        <v>0</v>
      </c>
      <c r="K228" t="n">
        <v>0</v>
      </c>
      <c r="L228" t="n">
        <v>0</v>
      </c>
      <c r="M228" t="n">
        <v>0</v>
      </c>
      <c r="N228" t="n">
        <v>0</v>
      </c>
      <c r="O228" t="n">
        <v>0</v>
      </c>
      <c r="P228" t="n">
        <v>0</v>
      </c>
      <c r="Q228" t="n">
        <v>0</v>
      </c>
      <c r="R228" s="2" t="inlineStr"/>
    </row>
    <row r="229" ht="15" customHeight="1">
      <c r="A229" t="inlineStr">
        <is>
          <t>A 55034-2021</t>
        </is>
      </c>
      <c r="B229" s="1" t="n">
        <v>44474</v>
      </c>
      <c r="C229" s="1" t="n">
        <v>46183</v>
      </c>
      <c r="D229" t="inlineStr">
        <is>
          <t>SÖDERMANLANDS LÄN</t>
        </is>
      </c>
      <c r="E229" t="inlineStr">
        <is>
          <t>KATRINEHOLM</t>
        </is>
      </c>
      <c r="G229" t="n">
        <v>5</v>
      </c>
      <c r="H229" t="n">
        <v>0</v>
      </c>
      <c r="I229" t="n">
        <v>0</v>
      </c>
      <c r="J229" t="n">
        <v>0</v>
      </c>
      <c r="K229" t="n">
        <v>0</v>
      </c>
      <c r="L229" t="n">
        <v>0</v>
      </c>
      <c r="M229" t="n">
        <v>0</v>
      </c>
      <c r="N229" t="n">
        <v>0</v>
      </c>
      <c r="O229" t="n">
        <v>0</v>
      </c>
      <c r="P229" t="n">
        <v>0</v>
      </c>
      <c r="Q229" t="n">
        <v>0</v>
      </c>
      <c r="R229" s="2" t="inlineStr"/>
    </row>
    <row r="230" ht="15" customHeight="1">
      <c r="A230" t="inlineStr">
        <is>
          <t>A 33717-2022</t>
        </is>
      </c>
      <c r="B230" s="1" t="n">
        <v>44789</v>
      </c>
      <c r="C230" s="1" t="n">
        <v>46183</v>
      </c>
      <c r="D230" t="inlineStr">
        <is>
          <t>SÖDERMANLANDS LÄN</t>
        </is>
      </c>
      <c r="E230" t="inlineStr">
        <is>
          <t>KATRINEHOLM</t>
        </is>
      </c>
      <c r="G230" t="n">
        <v>4.4</v>
      </c>
      <c r="H230" t="n">
        <v>0</v>
      </c>
      <c r="I230" t="n">
        <v>0</v>
      </c>
      <c r="J230" t="n">
        <v>0</v>
      </c>
      <c r="K230" t="n">
        <v>0</v>
      </c>
      <c r="L230" t="n">
        <v>0</v>
      </c>
      <c r="M230" t="n">
        <v>0</v>
      </c>
      <c r="N230" t="n">
        <v>0</v>
      </c>
      <c r="O230" t="n">
        <v>0</v>
      </c>
      <c r="P230" t="n">
        <v>0</v>
      </c>
      <c r="Q230" t="n">
        <v>0</v>
      </c>
      <c r="R230" s="2" t="inlineStr"/>
    </row>
    <row r="231" ht="15" customHeight="1">
      <c r="A231" t="inlineStr">
        <is>
          <t>A 33752-2023</t>
        </is>
      </c>
      <c r="B231" s="1" t="n">
        <v>45120</v>
      </c>
      <c r="C231" s="1" t="n">
        <v>46183</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46183</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28597-2024</t>
        </is>
      </c>
      <c r="B233" s="1" t="n">
        <v>45478</v>
      </c>
      <c r="C233" s="1" t="n">
        <v>46183</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45376-2022</t>
        </is>
      </c>
      <c r="B234" s="1" t="n">
        <v>44844</v>
      </c>
      <c r="C234" s="1" t="n">
        <v>46183</v>
      </c>
      <c r="D234" t="inlineStr">
        <is>
          <t>SÖDERMANLANDS LÄN</t>
        </is>
      </c>
      <c r="E234" t="inlineStr">
        <is>
          <t>KATRINEHOLM</t>
        </is>
      </c>
      <c r="G234" t="n">
        <v>4.7</v>
      </c>
      <c r="H234" t="n">
        <v>0</v>
      </c>
      <c r="I234" t="n">
        <v>0</v>
      </c>
      <c r="J234" t="n">
        <v>0</v>
      </c>
      <c r="K234" t="n">
        <v>0</v>
      </c>
      <c r="L234" t="n">
        <v>0</v>
      </c>
      <c r="M234" t="n">
        <v>0</v>
      </c>
      <c r="N234" t="n">
        <v>0</v>
      </c>
      <c r="O234" t="n">
        <v>0</v>
      </c>
      <c r="P234" t="n">
        <v>0</v>
      </c>
      <c r="Q234" t="n">
        <v>0</v>
      </c>
      <c r="R234" s="2" t="inlineStr"/>
    </row>
    <row r="235" ht="15" customHeight="1">
      <c r="A235" t="inlineStr">
        <is>
          <t>A 55122-2022</t>
        </is>
      </c>
      <c r="B235" s="1" t="n">
        <v>44886.65092592593</v>
      </c>
      <c r="C235" s="1" t="n">
        <v>46183</v>
      </c>
      <c r="D235" t="inlineStr">
        <is>
          <t>SÖDERMANLANDS LÄN</t>
        </is>
      </c>
      <c r="E235" t="inlineStr">
        <is>
          <t>KATRINEHOLM</t>
        </is>
      </c>
      <c r="G235" t="n">
        <v>6.5</v>
      </c>
      <c r="H235" t="n">
        <v>0</v>
      </c>
      <c r="I235" t="n">
        <v>0</v>
      </c>
      <c r="J235" t="n">
        <v>0</v>
      </c>
      <c r="K235" t="n">
        <v>0</v>
      </c>
      <c r="L235" t="n">
        <v>0</v>
      </c>
      <c r="M235" t="n">
        <v>0</v>
      </c>
      <c r="N235" t="n">
        <v>0</v>
      </c>
      <c r="O235" t="n">
        <v>0</v>
      </c>
      <c r="P235" t="n">
        <v>0</v>
      </c>
      <c r="Q235" t="n">
        <v>0</v>
      </c>
      <c r="R235" s="2" t="inlineStr"/>
    </row>
    <row r="236" ht="15" customHeight="1">
      <c r="A236" t="inlineStr">
        <is>
          <t>A 17746-2024</t>
        </is>
      </c>
      <c r="B236" s="1" t="n">
        <v>45415</v>
      </c>
      <c r="C236" s="1" t="n">
        <v>46183</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32943-2024</t>
        </is>
      </c>
      <c r="B237" s="1" t="n">
        <v>45517</v>
      </c>
      <c r="C237" s="1" t="n">
        <v>46183</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24179-2024</t>
        </is>
      </c>
      <c r="B238" s="1" t="n">
        <v>45456.83059027778</v>
      </c>
      <c r="C238" s="1" t="n">
        <v>46183</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51264-2021</t>
        </is>
      </c>
      <c r="B239" s="1" t="n">
        <v>44461</v>
      </c>
      <c r="C239" s="1" t="n">
        <v>46183</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51128-2021</t>
        </is>
      </c>
      <c r="B240" s="1" t="n">
        <v>44460</v>
      </c>
      <c r="C240" s="1" t="n">
        <v>46183</v>
      </c>
      <c r="D240" t="inlineStr">
        <is>
          <t>SÖDERMANLANDS LÄN</t>
        </is>
      </c>
      <c r="E240" t="inlineStr">
        <is>
          <t>KATRINEHOLM</t>
        </is>
      </c>
      <c r="G240" t="n">
        <v>7.8</v>
      </c>
      <c r="H240" t="n">
        <v>0</v>
      </c>
      <c r="I240" t="n">
        <v>0</v>
      </c>
      <c r="J240" t="n">
        <v>0</v>
      </c>
      <c r="K240" t="n">
        <v>0</v>
      </c>
      <c r="L240" t="n">
        <v>0</v>
      </c>
      <c r="M240" t="n">
        <v>0</v>
      </c>
      <c r="N240" t="n">
        <v>0</v>
      </c>
      <c r="O240" t="n">
        <v>0</v>
      </c>
      <c r="P240" t="n">
        <v>0</v>
      </c>
      <c r="Q240" t="n">
        <v>0</v>
      </c>
      <c r="R240" s="2" t="inlineStr"/>
    </row>
    <row r="241" ht="15" customHeight="1">
      <c r="A241" t="inlineStr">
        <is>
          <t>A 22119-2025</t>
        </is>
      </c>
      <c r="B241" s="1" t="n">
        <v>45785</v>
      </c>
      <c r="C241" s="1" t="n">
        <v>46183</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3980-2024</t>
        </is>
      </c>
      <c r="B242" s="1" t="n">
        <v>45322</v>
      </c>
      <c r="C242" s="1" t="n">
        <v>46183</v>
      </c>
      <c r="D242" t="inlineStr">
        <is>
          <t>SÖDERMANLANDS LÄN</t>
        </is>
      </c>
      <c r="E242" t="inlineStr">
        <is>
          <t>KATRINEHOLM</t>
        </is>
      </c>
      <c r="G242" t="n">
        <v>0.4</v>
      </c>
      <c r="H242" t="n">
        <v>0</v>
      </c>
      <c r="I242" t="n">
        <v>0</v>
      </c>
      <c r="J242" t="n">
        <v>0</v>
      </c>
      <c r="K242" t="n">
        <v>0</v>
      </c>
      <c r="L242" t="n">
        <v>0</v>
      </c>
      <c r="M242" t="n">
        <v>0</v>
      </c>
      <c r="N242" t="n">
        <v>0</v>
      </c>
      <c r="O242" t="n">
        <v>0</v>
      </c>
      <c r="P242" t="n">
        <v>0</v>
      </c>
      <c r="Q242" t="n">
        <v>0</v>
      </c>
      <c r="R242" s="2" t="inlineStr"/>
    </row>
    <row r="243" ht="15" customHeight="1">
      <c r="A243" t="inlineStr">
        <is>
          <t>A 64713-2023</t>
        </is>
      </c>
      <c r="B243" s="1" t="n">
        <v>45281</v>
      </c>
      <c r="C243" s="1" t="n">
        <v>46183</v>
      </c>
      <c r="D243" t="inlineStr">
        <is>
          <t>SÖDERMANLANDS LÄN</t>
        </is>
      </c>
      <c r="E243" t="inlineStr">
        <is>
          <t>KATRINEHOLM</t>
        </is>
      </c>
      <c r="G243" t="n">
        <v>4.9</v>
      </c>
      <c r="H243" t="n">
        <v>0</v>
      </c>
      <c r="I243" t="n">
        <v>0</v>
      </c>
      <c r="J243" t="n">
        <v>0</v>
      </c>
      <c r="K243" t="n">
        <v>0</v>
      </c>
      <c r="L243" t="n">
        <v>0</v>
      </c>
      <c r="M243" t="n">
        <v>0</v>
      </c>
      <c r="N243" t="n">
        <v>0</v>
      </c>
      <c r="O243" t="n">
        <v>0</v>
      </c>
      <c r="P243" t="n">
        <v>0</v>
      </c>
      <c r="Q243" t="n">
        <v>0</v>
      </c>
      <c r="R243" s="2" t="inlineStr"/>
    </row>
    <row r="244" ht="15" customHeight="1">
      <c r="A244" t="inlineStr">
        <is>
          <t>A 60677-2021</t>
        </is>
      </c>
      <c r="B244" s="1" t="n">
        <v>44495</v>
      </c>
      <c r="C244" s="1" t="n">
        <v>46183</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29198-2023</t>
        </is>
      </c>
      <c r="B245" s="1" t="n">
        <v>45105</v>
      </c>
      <c r="C245" s="1" t="n">
        <v>46183</v>
      </c>
      <c r="D245" t="inlineStr">
        <is>
          <t>SÖDERMANLANDS LÄN</t>
        </is>
      </c>
      <c r="E245" t="inlineStr">
        <is>
          <t>KATRINEHOLM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43088-2022</t>
        </is>
      </c>
      <c r="B246" s="1" t="n">
        <v>44833</v>
      </c>
      <c r="C246" s="1" t="n">
        <v>46183</v>
      </c>
      <c r="D246" t="inlineStr">
        <is>
          <t>SÖDERMANLANDS LÄN</t>
        </is>
      </c>
      <c r="E246" t="inlineStr">
        <is>
          <t>KATRINEHOLM</t>
        </is>
      </c>
      <c r="G246" t="n">
        <v>6.6</v>
      </c>
      <c r="H246" t="n">
        <v>0</v>
      </c>
      <c r="I246" t="n">
        <v>0</v>
      </c>
      <c r="J246" t="n">
        <v>0</v>
      </c>
      <c r="K246" t="n">
        <v>0</v>
      </c>
      <c r="L246" t="n">
        <v>0</v>
      </c>
      <c r="M246" t="n">
        <v>0</v>
      </c>
      <c r="N246" t="n">
        <v>0</v>
      </c>
      <c r="O246" t="n">
        <v>0</v>
      </c>
      <c r="P246" t="n">
        <v>0</v>
      </c>
      <c r="Q246" t="n">
        <v>0</v>
      </c>
      <c r="R246" s="2" t="inlineStr"/>
    </row>
    <row r="247" ht="15" customHeight="1">
      <c r="A247" t="inlineStr">
        <is>
          <t>A 9992-2022</t>
        </is>
      </c>
      <c r="B247" s="1" t="n">
        <v>44621</v>
      </c>
      <c r="C247" s="1" t="n">
        <v>46183</v>
      </c>
      <c r="D247" t="inlineStr">
        <is>
          <t>SÖDERMANLANDS LÄN</t>
        </is>
      </c>
      <c r="E247" t="inlineStr">
        <is>
          <t>KATRINEHOLM</t>
        </is>
      </c>
      <c r="G247" t="n">
        <v>1.6</v>
      </c>
      <c r="H247" t="n">
        <v>0</v>
      </c>
      <c r="I247" t="n">
        <v>0</v>
      </c>
      <c r="J247" t="n">
        <v>0</v>
      </c>
      <c r="K247" t="n">
        <v>0</v>
      </c>
      <c r="L247" t="n">
        <v>0</v>
      </c>
      <c r="M247" t="n">
        <v>0</v>
      </c>
      <c r="N247" t="n">
        <v>0</v>
      </c>
      <c r="O247" t="n">
        <v>0</v>
      </c>
      <c r="P247" t="n">
        <v>0</v>
      </c>
      <c r="Q247" t="n">
        <v>0</v>
      </c>
      <c r="R247" s="2" t="inlineStr"/>
    </row>
    <row r="248" ht="15" customHeight="1">
      <c r="A248" t="inlineStr">
        <is>
          <t>A 41267-2023</t>
        </is>
      </c>
      <c r="B248" s="1" t="n">
        <v>45174</v>
      </c>
      <c r="C248" s="1" t="n">
        <v>46183</v>
      </c>
      <c r="D248" t="inlineStr">
        <is>
          <t>SÖDERMANLANDS LÄN</t>
        </is>
      </c>
      <c r="E248" t="inlineStr">
        <is>
          <t>KATRINEHOLM</t>
        </is>
      </c>
      <c r="F248" t="inlineStr">
        <is>
          <t>Holmen skog AB</t>
        </is>
      </c>
      <c r="G248" t="n">
        <v>4.5</v>
      </c>
      <c r="H248" t="n">
        <v>0</v>
      </c>
      <c r="I248" t="n">
        <v>0</v>
      </c>
      <c r="J248" t="n">
        <v>0</v>
      </c>
      <c r="K248" t="n">
        <v>0</v>
      </c>
      <c r="L248" t="n">
        <v>0</v>
      </c>
      <c r="M248" t="n">
        <v>0</v>
      </c>
      <c r="N248" t="n">
        <v>0</v>
      </c>
      <c r="O248" t="n">
        <v>0</v>
      </c>
      <c r="P248" t="n">
        <v>0</v>
      </c>
      <c r="Q248" t="n">
        <v>0</v>
      </c>
      <c r="R248" s="2" t="inlineStr"/>
    </row>
    <row r="249" ht="15" customHeight="1">
      <c r="A249" t="inlineStr">
        <is>
          <t>A 64605-2023</t>
        </is>
      </c>
      <c r="B249" s="1" t="n">
        <v>45281</v>
      </c>
      <c r="C249" s="1" t="n">
        <v>46183</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24983-2024</t>
        </is>
      </c>
      <c r="B250" s="1" t="n">
        <v>45461</v>
      </c>
      <c r="C250" s="1" t="n">
        <v>46183</v>
      </c>
      <c r="D250" t="inlineStr">
        <is>
          <t>SÖDERMANLANDS LÄN</t>
        </is>
      </c>
      <c r="E250" t="inlineStr">
        <is>
          <t>KATRINEHOLM</t>
        </is>
      </c>
      <c r="G250" t="n">
        <v>2.6</v>
      </c>
      <c r="H250" t="n">
        <v>0</v>
      </c>
      <c r="I250" t="n">
        <v>0</v>
      </c>
      <c r="J250" t="n">
        <v>0</v>
      </c>
      <c r="K250" t="n">
        <v>0</v>
      </c>
      <c r="L250" t="n">
        <v>0</v>
      </c>
      <c r="M250" t="n">
        <v>0</v>
      </c>
      <c r="N250" t="n">
        <v>0</v>
      </c>
      <c r="O250" t="n">
        <v>0</v>
      </c>
      <c r="P250" t="n">
        <v>0</v>
      </c>
      <c r="Q250" t="n">
        <v>0</v>
      </c>
      <c r="R250" s="2" t="inlineStr"/>
    </row>
    <row r="251" ht="15" customHeight="1">
      <c r="A251" t="inlineStr">
        <is>
          <t>A 4650-2024</t>
        </is>
      </c>
      <c r="B251" s="1" t="n">
        <v>45328</v>
      </c>
      <c r="C251" s="1" t="n">
        <v>46183</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4652-2024</t>
        </is>
      </c>
      <c r="B252" s="1" t="n">
        <v>45328</v>
      </c>
      <c r="C252" s="1" t="n">
        <v>46183</v>
      </c>
      <c r="D252" t="inlineStr">
        <is>
          <t>SÖDERMANLANDS LÄN</t>
        </is>
      </c>
      <c r="E252" t="inlineStr">
        <is>
          <t>KATRINEHOLM</t>
        </is>
      </c>
      <c r="F252" t="inlineStr">
        <is>
          <t>Övriga Aktiebolag</t>
        </is>
      </c>
      <c r="G252" t="n">
        <v>6.1</v>
      </c>
      <c r="H252" t="n">
        <v>0</v>
      </c>
      <c r="I252" t="n">
        <v>0</v>
      </c>
      <c r="J252" t="n">
        <v>0</v>
      </c>
      <c r="K252" t="n">
        <v>0</v>
      </c>
      <c r="L252" t="n">
        <v>0</v>
      </c>
      <c r="M252" t="n">
        <v>0</v>
      </c>
      <c r="N252" t="n">
        <v>0</v>
      </c>
      <c r="O252" t="n">
        <v>0</v>
      </c>
      <c r="P252" t="n">
        <v>0</v>
      </c>
      <c r="Q252" t="n">
        <v>0</v>
      </c>
      <c r="R252" s="2" t="inlineStr"/>
    </row>
    <row r="253" ht="15" customHeight="1">
      <c r="A253" t="inlineStr">
        <is>
          <t>A 29008-2024</t>
        </is>
      </c>
      <c r="B253" s="1" t="n">
        <v>45481</v>
      </c>
      <c r="C253" s="1" t="n">
        <v>46183</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9936-2023</t>
        </is>
      </c>
      <c r="B254" s="1" t="n">
        <v>44985.47086805556</v>
      </c>
      <c r="C254" s="1" t="n">
        <v>46183</v>
      </c>
      <c r="D254" t="inlineStr">
        <is>
          <t>SÖDERMANLANDS LÄN</t>
        </is>
      </c>
      <c r="E254" t="inlineStr">
        <is>
          <t>KATRINEHOLM</t>
        </is>
      </c>
      <c r="G254" t="n">
        <v>0.4</v>
      </c>
      <c r="H254" t="n">
        <v>0</v>
      </c>
      <c r="I254" t="n">
        <v>0</v>
      </c>
      <c r="J254" t="n">
        <v>0</v>
      </c>
      <c r="K254" t="n">
        <v>0</v>
      </c>
      <c r="L254" t="n">
        <v>0</v>
      </c>
      <c r="M254" t="n">
        <v>0</v>
      </c>
      <c r="N254" t="n">
        <v>0</v>
      </c>
      <c r="O254" t="n">
        <v>0</v>
      </c>
      <c r="P254" t="n">
        <v>0</v>
      </c>
      <c r="Q254" t="n">
        <v>0</v>
      </c>
      <c r="R254" s="2" t="inlineStr"/>
    </row>
    <row r="255" ht="15" customHeight="1">
      <c r="A255" t="inlineStr">
        <is>
          <t>A 28582-2024</t>
        </is>
      </c>
      <c r="B255" s="1" t="n">
        <v>45478.40751157407</v>
      </c>
      <c r="C255" s="1" t="n">
        <v>46183</v>
      </c>
      <c r="D255" t="inlineStr">
        <is>
          <t>SÖDERMANLANDS LÄN</t>
        </is>
      </c>
      <c r="E255" t="inlineStr">
        <is>
          <t>KATRINEHOLM</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26081-2024</t>
        </is>
      </c>
      <c r="B256" s="1" t="n">
        <v>45462</v>
      </c>
      <c r="C256" s="1" t="n">
        <v>46183</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30242-2023</t>
        </is>
      </c>
      <c r="B257" s="1" t="n">
        <v>45099</v>
      </c>
      <c r="C257" s="1" t="n">
        <v>46183</v>
      </c>
      <c r="D257" t="inlineStr">
        <is>
          <t>SÖDERMANLANDS LÄN</t>
        </is>
      </c>
      <c r="E257" t="inlineStr">
        <is>
          <t>KATRINEHOLM</t>
        </is>
      </c>
      <c r="G257" t="n">
        <v>3</v>
      </c>
      <c r="H257" t="n">
        <v>0</v>
      </c>
      <c r="I257" t="n">
        <v>0</v>
      </c>
      <c r="J257" t="n">
        <v>0</v>
      </c>
      <c r="K257" t="n">
        <v>0</v>
      </c>
      <c r="L257" t="n">
        <v>0</v>
      </c>
      <c r="M257" t="n">
        <v>0</v>
      </c>
      <c r="N257" t="n">
        <v>0</v>
      </c>
      <c r="O257" t="n">
        <v>0</v>
      </c>
      <c r="P257" t="n">
        <v>0</v>
      </c>
      <c r="Q257" t="n">
        <v>0</v>
      </c>
      <c r="R257" s="2" t="inlineStr"/>
    </row>
    <row r="258" ht="15" customHeight="1">
      <c r="A258" t="inlineStr">
        <is>
          <t>A 4645-2024</t>
        </is>
      </c>
      <c r="B258" s="1" t="n">
        <v>45328</v>
      </c>
      <c r="C258" s="1" t="n">
        <v>46183</v>
      </c>
      <c r="D258" t="inlineStr">
        <is>
          <t>SÖDERMANLANDS LÄN</t>
        </is>
      </c>
      <c r="E258" t="inlineStr">
        <is>
          <t>KATRINEHOLM</t>
        </is>
      </c>
      <c r="G258" t="n">
        <v>2.3</v>
      </c>
      <c r="H258" t="n">
        <v>0</v>
      </c>
      <c r="I258" t="n">
        <v>0</v>
      </c>
      <c r="J258" t="n">
        <v>0</v>
      </c>
      <c r="K258" t="n">
        <v>0</v>
      </c>
      <c r="L258" t="n">
        <v>0</v>
      </c>
      <c r="M258" t="n">
        <v>0</v>
      </c>
      <c r="N258" t="n">
        <v>0</v>
      </c>
      <c r="O258" t="n">
        <v>0</v>
      </c>
      <c r="P258" t="n">
        <v>0</v>
      </c>
      <c r="Q258" t="n">
        <v>0</v>
      </c>
      <c r="R258" s="2" t="inlineStr"/>
    </row>
    <row r="259" ht="15" customHeight="1">
      <c r="A259" t="inlineStr">
        <is>
          <t>A 69117-2021</t>
        </is>
      </c>
      <c r="B259" s="1" t="n">
        <v>44530.82445601852</v>
      </c>
      <c r="C259" s="1" t="n">
        <v>46183</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38308-2021</t>
        </is>
      </c>
      <c r="B260" s="1" t="n">
        <v>44406</v>
      </c>
      <c r="C260" s="1" t="n">
        <v>46183</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55172-2022</t>
        </is>
      </c>
      <c r="B261" s="1" t="n">
        <v>44886</v>
      </c>
      <c r="C261" s="1" t="n">
        <v>46183</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36001-2024</t>
        </is>
      </c>
      <c r="B262" s="1" t="n">
        <v>45533.54609953704</v>
      </c>
      <c r="C262" s="1" t="n">
        <v>46183</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67337-2021</t>
        </is>
      </c>
      <c r="B263" s="1" t="n">
        <v>44523</v>
      </c>
      <c r="C263" s="1" t="n">
        <v>46183</v>
      </c>
      <c r="D263" t="inlineStr">
        <is>
          <t>SÖDERMANLANDS LÄN</t>
        </is>
      </c>
      <c r="E263" t="inlineStr">
        <is>
          <t>KATRINEHOLM</t>
        </is>
      </c>
      <c r="G263" t="n">
        <v>5.2</v>
      </c>
      <c r="H263" t="n">
        <v>0</v>
      </c>
      <c r="I263" t="n">
        <v>0</v>
      </c>
      <c r="J263" t="n">
        <v>0</v>
      </c>
      <c r="K263" t="n">
        <v>0</v>
      </c>
      <c r="L263" t="n">
        <v>0</v>
      </c>
      <c r="M263" t="n">
        <v>0</v>
      </c>
      <c r="N263" t="n">
        <v>0</v>
      </c>
      <c r="O263" t="n">
        <v>0</v>
      </c>
      <c r="P263" t="n">
        <v>0</v>
      </c>
      <c r="Q263" t="n">
        <v>0</v>
      </c>
      <c r="R263" s="2" t="inlineStr"/>
    </row>
    <row r="264" ht="15" customHeight="1">
      <c r="A264" t="inlineStr">
        <is>
          <t>A 29394-2024</t>
        </is>
      </c>
      <c r="B264" s="1" t="n">
        <v>45483</v>
      </c>
      <c r="C264" s="1" t="n">
        <v>46183</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50032-2022</t>
        </is>
      </c>
      <c r="B265" s="1" t="n">
        <v>44860</v>
      </c>
      <c r="C265" s="1" t="n">
        <v>46183</v>
      </c>
      <c r="D265" t="inlineStr">
        <is>
          <t>SÖDERMANLANDS LÄN</t>
        </is>
      </c>
      <c r="E265" t="inlineStr">
        <is>
          <t>KATRINEHOLM</t>
        </is>
      </c>
      <c r="G265" t="n">
        <v>7.5</v>
      </c>
      <c r="H265" t="n">
        <v>0</v>
      </c>
      <c r="I265" t="n">
        <v>0</v>
      </c>
      <c r="J265" t="n">
        <v>0</v>
      </c>
      <c r="K265" t="n">
        <v>0</v>
      </c>
      <c r="L265" t="n">
        <v>0</v>
      </c>
      <c r="M265" t="n">
        <v>0</v>
      </c>
      <c r="N265" t="n">
        <v>0</v>
      </c>
      <c r="O265" t="n">
        <v>0</v>
      </c>
      <c r="P265" t="n">
        <v>0</v>
      </c>
      <c r="Q265" t="n">
        <v>0</v>
      </c>
      <c r="R265" s="2" t="inlineStr"/>
    </row>
    <row r="266" ht="15" customHeight="1">
      <c r="A266" t="inlineStr">
        <is>
          <t>A 26713-2024</t>
        </is>
      </c>
      <c r="B266" s="1" t="n">
        <v>45470</v>
      </c>
      <c r="C266" s="1" t="n">
        <v>46183</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43837-2022</t>
        </is>
      </c>
      <c r="B267" s="1" t="n">
        <v>44838</v>
      </c>
      <c r="C267" s="1" t="n">
        <v>46183</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36832-2023</t>
        </is>
      </c>
      <c r="B268" s="1" t="n">
        <v>45153</v>
      </c>
      <c r="C268" s="1" t="n">
        <v>46183</v>
      </c>
      <c r="D268" t="inlineStr">
        <is>
          <t>SÖDERMANLANDS LÄN</t>
        </is>
      </c>
      <c r="E268" t="inlineStr">
        <is>
          <t>KATRINEHOLM</t>
        </is>
      </c>
      <c r="F268" t="inlineStr">
        <is>
          <t>Övriga Aktiebolag</t>
        </is>
      </c>
      <c r="G268" t="n">
        <v>9</v>
      </c>
      <c r="H268" t="n">
        <v>0</v>
      </c>
      <c r="I268" t="n">
        <v>0</v>
      </c>
      <c r="J268" t="n">
        <v>0</v>
      </c>
      <c r="K268" t="n">
        <v>0</v>
      </c>
      <c r="L268" t="n">
        <v>0</v>
      </c>
      <c r="M268" t="n">
        <v>0</v>
      </c>
      <c r="N268" t="n">
        <v>0</v>
      </c>
      <c r="O268" t="n">
        <v>0</v>
      </c>
      <c r="P268" t="n">
        <v>0</v>
      </c>
      <c r="Q268" t="n">
        <v>0</v>
      </c>
      <c r="R268" s="2" t="inlineStr"/>
    </row>
    <row r="269" ht="15" customHeight="1">
      <c r="A269" t="inlineStr">
        <is>
          <t>A 57510-2021</t>
        </is>
      </c>
      <c r="B269" s="1" t="n">
        <v>44483</v>
      </c>
      <c r="C269" s="1" t="n">
        <v>46183</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55732-2023</t>
        </is>
      </c>
      <c r="B270" s="1" t="n">
        <v>45239</v>
      </c>
      <c r="C270" s="1" t="n">
        <v>46183</v>
      </c>
      <c r="D270" t="inlineStr">
        <is>
          <t>SÖDERMANLANDS LÄN</t>
        </is>
      </c>
      <c r="E270" t="inlineStr">
        <is>
          <t>KATRINEHOLM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40159-2023</t>
        </is>
      </c>
      <c r="B271" s="1" t="n">
        <v>45169</v>
      </c>
      <c r="C271" s="1" t="n">
        <v>46183</v>
      </c>
      <c r="D271" t="inlineStr">
        <is>
          <t>SÖDERMANLANDS LÄN</t>
        </is>
      </c>
      <c r="E271" t="inlineStr">
        <is>
          <t>KATRINEHOLM</t>
        </is>
      </c>
      <c r="F271" t="inlineStr">
        <is>
          <t>Övriga Aktiebolag</t>
        </is>
      </c>
      <c r="G271" t="n">
        <v>1.1</v>
      </c>
      <c r="H271" t="n">
        <v>0</v>
      </c>
      <c r="I271" t="n">
        <v>0</v>
      </c>
      <c r="J271" t="n">
        <v>0</v>
      </c>
      <c r="K271" t="n">
        <v>0</v>
      </c>
      <c r="L271" t="n">
        <v>0</v>
      </c>
      <c r="M271" t="n">
        <v>0</v>
      </c>
      <c r="N271" t="n">
        <v>0</v>
      </c>
      <c r="O271" t="n">
        <v>0</v>
      </c>
      <c r="P271" t="n">
        <v>0</v>
      </c>
      <c r="Q271" t="n">
        <v>0</v>
      </c>
      <c r="R271" s="2" t="inlineStr"/>
    </row>
    <row r="272" ht="15" customHeight="1">
      <c r="A272" t="inlineStr">
        <is>
          <t>A 28675-2024</t>
        </is>
      </c>
      <c r="B272" s="1" t="n">
        <v>45478</v>
      </c>
      <c r="C272" s="1" t="n">
        <v>46183</v>
      </c>
      <c r="D272" t="inlineStr">
        <is>
          <t>SÖDERMANLANDS LÄN</t>
        </is>
      </c>
      <c r="E272" t="inlineStr">
        <is>
          <t>KATRINEHOLM</t>
        </is>
      </c>
      <c r="F272" t="inlineStr">
        <is>
          <t>Övriga Aktiebolag</t>
        </is>
      </c>
      <c r="G272" t="n">
        <v>3.5</v>
      </c>
      <c r="H272" t="n">
        <v>0</v>
      </c>
      <c r="I272" t="n">
        <v>0</v>
      </c>
      <c r="J272" t="n">
        <v>0</v>
      </c>
      <c r="K272" t="n">
        <v>0</v>
      </c>
      <c r="L272" t="n">
        <v>0</v>
      </c>
      <c r="M272" t="n">
        <v>0</v>
      </c>
      <c r="N272" t="n">
        <v>0</v>
      </c>
      <c r="O272" t="n">
        <v>0</v>
      </c>
      <c r="P272" t="n">
        <v>0</v>
      </c>
      <c r="Q272" t="n">
        <v>0</v>
      </c>
      <c r="R272" s="2" t="inlineStr"/>
    </row>
    <row r="273" ht="15" customHeight="1">
      <c r="A273" t="inlineStr">
        <is>
          <t>A 27875-2024</t>
        </is>
      </c>
      <c r="B273" s="1" t="n">
        <v>45475</v>
      </c>
      <c r="C273" s="1" t="n">
        <v>46183</v>
      </c>
      <c r="D273" t="inlineStr">
        <is>
          <t>SÖDERMANLANDS LÄN</t>
        </is>
      </c>
      <c r="E273" t="inlineStr">
        <is>
          <t>KATRINEHOLM</t>
        </is>
      </c>
      <c r="G273" t="n">
        <v>1.8</v>
      </c>
      <c r="H273" t="n">
        <v>0</v>
      </c>
      <c r="I273" t="n">
        <v>0</v>
      </c>
      <c r="J273" t="n">
        <v>0</v>
      </c>
      <c r="K273" t="n">
        <v>0</v>
      </c>
      <c r="L273" t="n">
        <v>0</v>
      </c>
      <c r="M273" t="n">
        <v>0</v>
      </c>
      <c r="N273" t="n">
        <v>0</v>
      </c>
      <c r="O273" t="n">
        <v>0</v>
      </c>
      <c r="P273" t="n">
        <v>0</v>
      </c>
      <c r="Q273" t="n">
        <v>0</v>
      </c>
      <c r="R273" s="2" t="inlineStr"/>
    </row>
    <row r="274" ht="15" customHeight="1">
      <c r="A274" t="inlineStr">
        <is>
          <t>A 6810-2023</t>
        </is>
      </c>
      <c r="B274" s="1" t="n">
        <v>44964</v>
      </c>
      <c r="C274" s="1" t="n">
        <v>46183</v>
      </c>
      <c r="D274" t="inlineStr">
        <is>
          <t>SÖDERMANLANDS LÄN</t>
        </is>
      </c>
      <c r="E274" t="inlineStr">
        <is>
          <t>KATRINEHOLM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27376-2024</t>
        </is>
      </c>
      <c r="B275" s="1" t="n">
        <v>45473.88313657408</v>
      </c>
      <c r="C275" s="1" t="n">
        <v>46183</v>
      </c>
      <c r="D275" t="inlineStr">
        <is>
          <t>SÖDERMANLANDS LÄN</t>
        </is>
      </c>
      <c r="E275" t="inlineStr">
        <is>
          <t>KATRINEHOLM</t>
        </is>
      </c>
      <c r="F275" t="inlineStr">
        <is>
          <t>Kommuner</t>
        </is>
      </c>
      <c r="G275" t="n">
        <v>2.8</v>
      </c>
      <c r="H275" t="n">
        <v>0</v>
      </c>
      <c r="I275" t="n">
        <v>0</v>
      </c>
      <c r="J275" t="n">
        <v>0</v>
      </c>
      <c r="K275" t="n">
        <v>0</v>
      </c>
      <c r="L275" t="n">
        <v>0</v>
      </c>
      <c r="M275" t="n">
        <v>0</v>
      </c>
      <c r="N275" t="n">
        <v>0</v>
      </c>
      <c r="O275" t="n">
        <v>0</v>
      </c>
      <c r="P275" t="n">
        <v>0</v>
      </c>
      <c r="Q275" t="n">
        <v>0</v>
      </c>
      <c r="R275" s="2" t="inlineStr"/>
    </row>
    <row r="276" ht="15" customHeight="1">
      <c r="A276" t="inlineStr">
        <is>
          <t>A 32944-2023</t>
        </is>
      </c>
      <c r="B276" s="1" t="n">
        <v>45125</v>
      </c>
      <c r="C276" s="1" t="n">
        <v>46183</v>
      </c>
      <c r="D276" t="inlineStr">
        <is>
          <t>SÖDERMANLANDS LÄN</t>
        </is>
      </c>
      <c r="E276" t="inlineStr">
        <is>
          <t>KATRINEHOLM</t>
        </is>
      </c>
      <c r="G276" t="n">
        <v>1.7</v>
      </c>
      <c r="H276" t="n">
        <v>0</v>
      </c>
      <c r="I276" t="n">
        <v>0</v>
      </c>
      <c r="J276" t="n">
        <v>0</v>
      </c>
      <c r="K276" t="n">
        <v>0</v>
      </c>
      <c r="L276" t="n">
        <v>0</v>
      </c>
      <c r="M276" t="n">
        <v>0</v>
      </c>
      <c r="N276" t="n">
        <v>0</v>
      </c>
      <c r="O276" t="n">
        <v>0</v>
      </c>
      <c r="P276" t="n">
        <v>0</v>
      </c>
      <c r="Q276" t="n">
        <v>0</v>
      </c>
      <c r="R276" s="2" t="inlineStr"/>
    </row>
    <row r="277" ht="15" customHeight="1">
      <c r="A277" t="inlineStr">
        <is>
          <t>A 36210-2022</t>
        </is>
      </c>
      <c r="B277" s="1" t="n">
        <v>44803.47950231482</v>
      </c>
      <c r="C277" s="1" t="n">
        <v>46183</v>
      </c>
      <c r="D277" t="inlineStr">
        <is>
          <t>SÖDERMANLANDS LÄN</t>
        </is>
      </c>
      <c r="E277" t="inlineStr">
        <is>
          <t>KATRINEHOLM</t>
        </is>
      </c>
      <c r="G277" t="n">
        <v>1.6</v>
      </c>
      <c r="H277" t="n">
        <v>0</v>
      </c>
      <c r="I277" t="n">
        <v>0</v>
      </c>
      <c r="J277" t="n">
        <v>0</v>
      </c>
      <c r="K277" t="n">
        <v>0</v>
      </c>
      <c r="L277" t="n">
        <v>0</v>
      </c>
      <c r="M277" t="n">
        <v>0</v>
      </c>
      <c r="N277" t="n">
        <v>0</v>
      </c>
      <c r="O277" t="n">
        <v>0</v>
      </c>
      <c r="P277" t="n">
        <v>0</v>
      </c>
      <c r="Q277" t="n">
        <v>0</v>
      </c>
      <c r="R277" s="2" t="inlineStr"/>
    </row>
    <row r="278" ht="15" customHeight="1">
      <c r="A278" t="inlineStr">
        <is>
          <t>A 29977-2023</t>
        </is>
      </c>
      <c r="B278" s="1" t="n">
        <v>45108</v>
      </c>
      <c r="C278" s="1" t="n">
        <v>46183</v>
      </c>
      <c r="D278" t="inlineStr">
        <is>
          <t>SÖDERMANLANDS LÄN</t>
        </is>
      </c>
      <c r="E278" t="inlineStr">
        <is>
          <t>KATRINEHOLM</t>
        </is>
      </c>
      <c r="G278" t="n">
        <v>2.4</v>
      </c>
      <c r="H278" t="n">
        <v>0</v>
      </c>
      <c r="I278" t="n">
        <v>0</v>
      </c>
      <c r="J278" t="n">
        <v>0</v>
      </c>
      <c r="K278" t="n">
        <v>0</v>
      </c>
      <c r="L278" t="n">
        <v>0</v>
      </c>
      <c r="M278" t="n">
        <v>0</v>
      </c>
      <c r="N278" t="n">
        <v>0</v>
      </c>
      <c r="O278" t="n">
        <v>0</v>
      </c>
      <c r="P278" t="n">
        <v>0</v>
      </c>
      <c r="Q278" t="n">
        <v>0</v>
      </c>
      <c r="R278" s="2" t="inlineStr"/>
    </row>
    <row r="279" ht="15" customHeight="1">
      <c r="A279" t="inlineStr">
        <is>
          <t>A 2603-2025</t>
        </is>
      </c>
      <c r="B279" s="1" t="n">
        <v>45674</v>
      </c>
      <c r="C279" s="1" t="n">
        <v>46183</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28995-2024</t>
        </is>
      </c>
      <c r="B280" s="1" t="n">
        <v>45481.49899305555</v>
      </c>
      <c r="C280" s="1" t="n">
        <v>46183</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5788-2022</t>
        </is>
      </c>
      <c r="B281" s="1" t="n">
        <v>44596.54990740741</v>
      </c>
      <c r="C281" s="1" t="n">
        <v>46183</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5795-2022</t>
        </is>
      </c>
      <c r="B282" s="1" t="n">
        <v>44596</v>
      </c>
      <c r="C282" s="1" t="n">
        <v>46183</v>
      </c>
      <c r="D282" t="inlineStr">
        <is>
          <t>SÖDERMANLANDS LÄN</t>
        </is>
      </c>
      <c r="E282" t="inlineStr">
        <is>
          <t>KATRINEHOLM</t>
        </is>
      </c>
      <c r="G282" t="n">
        <v>8.1</v>
      </c>
      <c r="H282" t="n">
        <v>0</v>
      </c>
      <c r="I282" t="n">
        <v>0</v>
      </c>
      <c r="J282" t="n">
        <v>0</v>
      </c>
      <c r="K282" t="n">
        <v>0</v>
      </c>
      <c r="L282" t="n">
        <v>0</v>
      </c>
      <c r="M282" t="n">
        <v>0</v>
      </c>
      <c r="N282" t="n">
        <v>0</v>
      </c>
      <c r="O282" t="n">
        <v>0</v>
      </c>
      <c r="P282" t="n">
        <v>0</v>
      </c>
      <c r="Q282" t="n">
        <v>0</v>
      </c>
      <c r="R282" s="2" t="inlineStr"/>
    </row>
    <row r="283" ht="15" customHeight="1">
      <c r="A283" t="inlineStr">
        <is>
          <t>A 44989-2022</t>
        </is>
      </c>
      <c r="B283" s="1" t="n">
        <v>44840</v>
      </c>
      <c r="C283" s="1" t="n">
        <v>46183</v>
      </c>
      <c r="D283" t="inlineStr">
        <is>
          <t>SÖDERMANLANDS LÄN</t>
        </is>
      </c>
      <c r="E283" t="inlineStr">
        <is>
          <t>KATRINEHOLM</t>
        </is>
      </c>
      <c r="G283" t="n">
        <v>6</v>
      </c>
      <c r="H283" t="n">
        <v>0</v>
      </c>
      <c r="I283" t="n">
        <v>0</v>
      </c>
      <c r="J283" t="n">
        <v>0</v>
      </c>
      <c r="K283" t="n">
        <v>0</v>
      </c>
      <c r="L283" t="n">
        <v>0</v>
      </c>
      <c r="M283" t="n">
        <v>0</v>
      </c>
      <c r="N283" t="n">
        <v>0</v>
      </c>
      <c r="O283" t="n">
        <v>0</v>
      </c>
      <c r="P283" t="n">
        <v>0</v>
      </c>
      <c r="Q283" t="n">
        <v>0</v>
      </c>
      <c r="R283" s="2" t="inlineStr"/>
    </row>
    <row r="284" ht="15" customHeight="1">
      <c r="A284" t="inlineStr">
        <is>
          <t>A 48259-2022</t>
        </is>
      </c>
      <c r="B284" s="1" t="n">
        <v>44858</v>
      </c>
      <c r="C284" s="1" t="n">
        <v>46183</v>
      </c>
      <c r="D284" t="inlineStr">
        <is>
          <t>SÖDERMANLANDS LÄN</t>
        </is>
      </c>
      <c r="E284" t="inlineStr">
        <is>
          <t>KATRINEHOLM</t>
        </is>
      </c>
      <c r="G284" t="n">
        <v>3.5</v>
      </c>
      <c r="H284" t="n">
        <v>0</v>
      </c>
      <c r="I284" t="n">
        <v>0</v>
      </c>
      <c r="J284" t="n">
        <v>0</v>
      </c>
      <c r="K284" t="n">
        <v>0</v>
      </c>
      <c r="L284" t="n">
        <v>0</v>
      </c>
      <c r="M284" t="n">
        <v>0</v>
      </c>
      <c r="N284" t="n">
        <v>0</v>
      </c>
      <c r="O284" t="n">
        <v>0</v>
      </c>
      <c r="P284" t="n">
        <v>0</v>
      </c>
      <c r="Q284" t="n">
        <v>0</v>
      </c>
      <c r="R284" s="2" t="inlineStr"/>
    </row>
    <row r="285" ht="15" customHeight="1">
      <c r="A285" t="inlineStr">
        <is>
          <t>A 24566-2025</t>
        </is>
      </c>
      <c r="B285" s="1" t="n">
        <v>45798.46452546296</v>
      </c>
      <c r="C285" s="1" t="n">
        <v>46183</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48682-2022</t>
        </is>
      </c>
      <c r="B286" s="1" t="n">
        <v>44859</v>
      </c>
      <c r="C286" s="1" t="n">
        <v>46183</v>
      </c>
      <c r="D286" t="inlineStr">
        <is>
          <t>SÖDERMANLANDS LÄN</t>
        </is>
      </c>
      <c r="E286" t="inlineStr">
        <is>
          <t>KATRINEHOLM</t>
        </is>
      </c>
      <c r="G286" t="n">
        <v>2</v>
      </c>
      <c r="H286" t="n">
        <v>0</v>
      </c>
      <c r="I286" t="n">
        <v>0</v>
      </c>
      <c r="J286" t="n">
        <v>0</v>
      </c>
      <c r="K286" t="n">
        <v>0</v>
      </c>
      <c r="L286" t="n">
        <v>0</v>
      </c>
      <c r="M286" t="n">
        <v>0</v>
      </c>
      <c r="N286" t="n">
        <v>0</v>
      </c>
      <c r="O286" t="n">
        <v>0</v>
      </c>
      <c r="P286" t="n">
        <v>0</v>
      </c>
      <c r="Q286" t="n">
        <v>0</v>
      </c>
      <c r="R286" s="2" t="inlineStr"/>
    </row>
    <row r="287" ht="15" customHeight="1">
      <c r="A287" t="inlineStr">
        <is>
          <t>A 28992-2024</t>
        </is>
      </c>
      <c r="B287" s="1" t="n">
        <v>45481.49289351852</v>
      </c>
      <c r="C287" s="1" t="n">
        <v>46183</v>
      </c>
      <c r="D287" t="inlineStr">
        <is>
          <t>SÖDERMANLANDS LÄN</t>
        </is>
      </c>
      <c r="E287" t="inlineStr">
        <is>
          <t>KATRINEHOLM</t>
        </is>
      </c>
      <c r="G287" t="n">
        <v>2.3</v>
      </c>
      <c r="H287" t="n">
        <v>0</v>
      </c>
      <c r="I287" t="n">
        <v>0</v>
      </c>
      <c r="J287" t="n">
        <v>0</v>
      </c>
      <c r="K287" t="n">
        <v>0</v>
      </c>
      <c r="L287" t="n">
        <v>0</v>
      </c>
      <c r="M287" t="n">
        <v>0</v>
      </c>
      <c r="N287" t="n">
        <v>0</v>
      </c>
      <c r="O287" t="n">
        <v>0</v>
      </c>
      <c r="P287" t="n">
        <v>0</v>
      </c>
      <c r="Q287" t="n">
        <v>0</v>
      </c>
      <c r="R287" s="2" t="inlineStr"/>
    </row>
    <row r="288" ht="15" customHeight="1">
      <c r="A288" t="inlineStr">
        <is>
          <t>A 3075-2022</t>
        </is>
      </c>
      <c r="B288" s="1" t="n">
        <v>44582</v>
      </c>
      <c r="C288" s="1" t="n">
        <v>46183</v>
      </c>
      <c r="D288" t="inlineStr">
        <is>
          <t>SÖDERMANLANDS LÄN</t>
        </is>
      </c>
      <c r="E288" t="inlineStr">
        <is>
          <t>KATRINEHOLM</t>
        </is>
      </c>
      <c r="G288" t="n">
        <v>3.5</v>
      </c>
      <c r="H288" t="n">
        <v>0</v>
      </c>
      <c r="I288" t="n">
        <v>0</v>
      </c>
      <c r="J288" t="n">
        <v>0</v>
      </c>
      <c r="K288" t="n">
        <v>0</v>
      </c>
      <c r="L288" t="n">
        <v>0</v>
      </c>
      <c r="M288" t="n">
        <v>0</v>
      </c>
      <c r="N288" t="n">
        <v>0</v>
      </c>
      <c r="O288" t="n">
        <v>0</v>
      </c>
      <c r="P288" t="n">
        <v>0</v>
      </c>
      <c r="Q288" t="n">
        <v>0</v>
      </c>
      <c r="R288" s="2" t="inlineStr"/>
    </row>
    <row r="289" ht="15" customHeight="1">
      <c r="A289" t="inlineStr">
        <is>
          <t>A 24605-2025</t>
        </is>
      </c>
      <c r="B289" s="1" t="n">
        <v>45798.57403935185</v>
      </c>
      <c r="C289" s="1" t="n">
        <v>46183</v>
      </c>
      <c r="D289" t="inlineStr">
        <is>
          <t>SÖDERMANLANDS LÄN</t>
        </is>
      </c>
      <c r="E289" t="inlineStr">
        <is>
          <t>KATRINEHOLM</t>
        </is>
      </c>
      <c r="G289" t="n">
        <v>7</v>
      </c>
      <c r="H289" t="n">
        <v>0</v>
      </c>
      <c r="I289" t="n">
        <v>0</v>
      </c>
      <c r="J289" t="n">
        <v>0</v>
      </c>
      <c r="K289" t="n">
        <v>0</v>
      </c>
      <c r="L289" t="n">
        <v>0</v>
      </c>
      <c r="M289" t="n">
        <v>0</v>
      </c>
      <c r="N289" t="n">
        <v>0</v>
      </c>
      <c r="O289" t="n">
        <v>0</v>
      </c>
      <c r="P289" t="n">
        <v>0</v>
      </c>
      <c r="Q289" t="n">
        <v>0</v>
      </c>
      <c r="R289" s="2" t="inlineStr"/>
    </row>
    <row r="290" ht="15" customHeight="1">
      <c r="A290" t="inlineStr">
        <is>
          <t>A 56086-2023</t>
        </is>
      </c>
      <c r="B290" s="1" t="n">
        <v>45240</v>
      </c>
      <c r="C290" s="1" t="n">
        <v>46183</v>
      </c>
      <c r="D290" t="inlineStr">
        <is>
          <t>SÖDERMANLANDS LÄN</t>
        </is>
      </c>
      <c r="E290" t="inlineStr">
        <is>
          <t>KATRINEHOLM</t>
        </is>
      </c>
      <c r="F290" t="inlineStr">
        <is>
          <t>Kyrkan</t>
        </is>
      </c>
      <c r="G290" t="n">
        <v>17</v>
      </c>
      <c r="H290" t="n">
        <v>0</v>
      </c>
      <c r="I290" t="n">
        <v>0</v>
      </c>
      <c r="J290" t="n">
        <v>0</v>
      </c>
      <c r="K290" t="n">
        <v>0</v>
      </c>
      <c r="L290" t="n">
        <v>0</v>
      </c>
      <c r="M290" t="n">
        <v>0</v>
      </c>
      <c r="N290" t="n">
        <v>0</v>
      </c>
      <c r="O290" t="n">
        <v>0</v>
      </c>
      <c r="P290" t="n">
        <v>0</v>
      </c>
      <c r="Q290" t="n">
        <v>0</v>
      </c>
      <c r="R290" s="2" t="inlineStr"/>
    </row>
    <row r="291" ht="15" customHeight="1">
      <c r="A291" t="inlineStr">
        <is>
          <t>A 7322-2023</t>
        </is>
      </c>
      <c r="B291" s="1" t="n">
        <v>44970</v>
      </c>
      <c r="C291" s="1" t="n">
        <v>46183</v>
      </c>
      <c r="D291" t="inlineStr">
        <is>
          <t>SÖDERMANLANDS LÄN</t>
        </is>
      </c>
      <c r="E291" t="inlineStr">
        <is>
          <t>KATRINEHOLM</t>
        </is>
      </c>
      <c r="G291" t="n">
        <v>2.1</v>
      </c>
      <c r="H291" t="n">
        <v>0</v>
      </c>
      <c r="I291" t="n">
        <v>0</v>
      </c>
      <c r="J291" t="n">
        <v>0</v>
      </c>
      <c r="K291" t="n">
        <v>0</v>
      </c>
      <c r="L291" t="n">
        <v>0</v>
      </c>
      <c r="M291" t="n">
        <v>0</v>
      </c>
      <c r="N291" t="n">
        <v>0</v>
      </c>
      <c r="O291" t="n">
        <v>0</v>
      </c>
      <c r="P291" t="n">
        <v>0</v>
      </c>
      <c r="Q291" t="n">
        <v>0</v>
      </c>
      <c r="R291" s="2" t="inlineStr"/>
    </row>
    <row r="292" ht="15" customHeight="1">
      <c r="A292" t="inlineStr">
        <is>
          <t>A 2093-2025</t>
        </is>
      </c>
      <c r="B292" s="1" t="n">
        <v>45672</v>
      </c>
      <c r="C292" s="1" t="n">
        <v>46183</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61423-2024</t>
        </is>
      </c>
      <c r="B293" s="1" t="n">
        <v>45646.45209490741</v>
      </c>
      <c r="C293" s="1" t="n">
        <v>46183</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73409-2021</t>
        </is>
      </c>
      <c r="B294" s="1" t="n">
        <v>44551</v>
      </c>
      <c r="C294" s="1" t="n">
        <v>46183</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73415-2021</t>
        </is>
      </c>
      <c r="B295" s="1" t="n">
        <v>44551</v>
      </c>
      <c r="C295" s="1" t="n">
        <v>46183</v>
      </c>
      <c r="D295" t="inlineStr">
        <is>
          <t>SÖDERMANLANDS LÄN</t>
        </is>
      </c>
      <c r="E295" t="inlineStr">
        <is>
          <t>KATRINEHOLM</t>
        </is>
      </c>
      <c r="G295" t="n">
        <v>3.2</v>
      </c>
      <c r="H295" t="n">
        <v>0</v>
      </c>
      <c r="I295" t="n">
        <v>0</v>
      </c>
      <c r="J295" t="n">
        <v>0</v>
      </c>
      <c r="K295" t="n">
        <v>0</v>
      </c>
      <c r="L295" t="n">
        <v>0</v>
      </c>
      <c r="M295" t="n">
        <v>0</v>
      </c>
      <c r="N295" t="n">
        <v>0</v>
      </c>
      <c r="O295" t="n">
        <v>0</v>
      </c>
      <c r="P295" t="n">
        <v>0</v>
      </c>
      <c r="Q295" t="n">
        <v>0</v>
      </c>
      <c r="R295" s="2" t="inlineStr"/>
    </row>
    <row r="296" ht="15" customHeight="1">
      <c r="A296" t="inlineStr">
        <is>
          <t>A 41727-2024</t>
        </is>
      </c>
      <c r="B296" s="1" t="n">
        <v>45560</v>
      </c>
      <c r="C296" s="1" t="n">
        <v>46183</v>
      </c>
      <c r="D296" t="inlineStr">
        <is>
          <t>SÖDERMANLANDS LÄN</t>
        </is>
      </c>
      <c r="E296" t="inlineStr">
        <is>
          <t>KATRINEHOLM</t>
        </is>
      </c>
      <c r="G296" t="n">
        <v>3.9</v>
      </c>
      <c r="H296" t="n">
        <v>0</v>
      </c>
      <c r="I296" t="n">
        <v>0</v>
      </c>
      <c r="J296" t="n">
        <v>0</v>
      </c>
      <c r="K296" t="n">
        <v>0</v>
      </c>
      <c r="L296" t="n">
        <v>0</v>
      </c>
      <c r="M296" t="n">
        <v>0</v>
      </c>
      <c r="N296" t="n">
        <v>0</v>
      </c>
      <c r="O296" t="n">
        <v>0</v>
      </c>
      <c r="P296" t="n">
        <v>0</v>
      </c>
      <c r="Q296" t="n">
        <v>0</v>
      </c>
      <c r="R296" s="2" t="inlineStr"/>
    </row>
    <row r="297" ht="15" customHeight="1">
      <c r="A297" t="inlineStr">
        <is>
          <t>A 25363-2023</t>
        </is>
      </c>
      <c r="B297" s="1" t="n">
        <v>45088.83840277778</v>
      </c>
      <c r="C297" s="1" t="n">
        <v>46183</v>
      </c>
      <c r="D297" t="inlineStr">
        <is>
          <t>SÖDERMANLANDS LÄN</t>
        </is>
      </c>
      <c r="E297" t="inlineStr">
        <is>
          <t>KATRINEHOLM</t>
        </is>
      </c>
      <c r="G297" t="n">
        <v>1.6</v>
      </c>
      <c r="H297" t="n">
        <v>0</v>
      </c>
      <c r="I297" t="n">
        <v>0</v>
      </c>
      <c r="J297" t="n">
        <v>0</v>
      </c>
      <c r="K297" t="n">
        <v>0</v>
      </c>
      <c r="L297" t="n">
        <v>0</v>
      </c>
      <c r="M297" t="n">
        <v>0</v>
      </c>
      <c r="N297" t="n">
        <v>0</v>
      </c>
      <c r="O297" t="n">
        <v>0</v>
      </c>
      <c r="P297" t="n">
        <v>0</v>
      </c>
      <c r="Q297" t="n">
        <v>0</v>
      </c>
      <c r="R297" s="2" t="inlineStr"/>
    </row>
    <row r="298" ht="15" customHeight="1">
      <c r="A298" t="inlineStr">
        <is>
          <t>A 6722-2022</t>
        </is>
      </c>
      <c r="B298" s="1" t="n">
        <v>44602</v>
      </c>
      <c r="C298" s="1" t="n">
        <v>46183</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6763-2022</t>
        </is>
      </c>
      <c r="B299" s="1" t="n">
        <v>44602</v>
      </c>
      <c r="C299" s="1" t="n">
        <v>46183</v>
      </c>
      <c r="D299" t="inlineStr">
        <is>
          <t>SÖDERMANLANDS LÄN</t>
        </is>
      </c>
      <c r="E299" t="inlineStr">
        <is>
          <t>KATRINEHOLM</t>
        </is>
      </c>
      <c r="G299" t="n">
        <v>6.7</v>
      </c>
      <c r="H299" t="n">
        <v>0</v>
      </c>
      <c r="I299" t="n">
        <v>0</v>
      </c>
      <c r="J299" t="n">
        <v>0</v>
      </c>
      <c r="K299" t="n">
        <v>0</v>
      </c>
      <c r="L299" t="n">
        <v>0</v>
      </c>
      <c r="M299" t="n">
        <v>0</v>
      </c>
      <c r="N299" t="n">
        <v>0</v>
      </c>
      <c r="O299" t="n">
        <v>0</v>
      </c>
      <c r="P299" t="n">
        <v>0</v>
      </c>
      <c r="Q299" t="n">
        <v>0</v>
      </c>
      <c r="R299" s="2" t="inlineStr"/>
    </row>
    <row r="300" ht="15" customHeight="1">
      <c r="A300" t="inlineStr">
        <is>
          <t>A 5790-2022</t>
        </is>
      </c>
      <c r="B300" s="1" t="n">
        <v>44596.55368055555</v>
      </c>
      <c r="C300" s="1" t="n">
        <v>46183</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8087-2022</t>
        </is>
      </c>
      <c r="B301" s="1" t="n">
        <v>44609.53502314815</v>
      </c>
      <c r="C301" s="1" t="n">
        <v>46183</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14313-2024</t>
        </is>
      </c>
      <c r="B302" s="1" t="n">
        <v>45393</v>
      </c>
      <c r="C302" s="1" t="n">
        <v>46183</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29397-2024</t>
        </is>
      </c>
      <c r="B303" s="1" t="n">
        <v>45483</v>
      </c>
      <c r="C303" s="1" t="n">
        <v>46183</v>
      </c>
      <c r="D303" t="inlineStr">
        <is>
          <t>SÖDERMANLANDS LÄN</t>
        </is>
      </c>
      <c r="E303" t="inlineStr">
        <is>
          <t>KATRINEHOLM</t>
        </is>
      </c>
      <c r="G303" t="n">
        <v>3.4</v>
      </c>
      <c r="H303" t="n">
        <v>0</v>
      </c>
      <c r="I303" t="n">
        <v>0</v>
      </c>
      <c r="J303" t="n">
        <v>0</v>
      </c>
      <c r="K303" t="n">
        <v>0</v>
      </c>
      <c r="L303" t="n">
        <v>0</v>
      </c>
      <c r="M303" t="n">
        <v>0</v>
      </c>
      <c r="N303" t="n">
        <v>0</v>
      </c>
      <c r="O303" t="n">
        <v>0</v>
      </c>
      <c r="P303" t="n">
        <v>0</v>
      </c>
      <c r="Q303" t="n">
        <v>0</v>
      </c>
      <c r="R303" s="2" t="inlineStr"/>
    </row>
    <row r="304" ht="15" customHeight="1">
      <c r="A304" t="inlineStr">
        <is>
          <t>A 50935-2023</t>
        </is>
      </c>
      <c r="B304" s="1" t="n">
        <v>45211</v>
      </c>
      <c r="C304" s="1" t="n">
        <v>46183</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24717-2025</t>
        </is>
      </c>
      <c r="B305" s="1" t="n">
        <v>45799.27168981481</v>
      </c>
      <c r="C305" s="1" t="n">
        <v>46183</v>
      </c>
      <c r="D305" t="inlineStr">
        <is>
          <t>SÖDERMANLANDS LÄN</t>
        </is>
      </c>
      <c r="E305" t="inlineStr">
        <is>
          <t>KATRINEHOLM</t>
        </is>
      </c>
      <c r="G305" t="n">
        <v>24.5</v>
      </c>
      <c r="H305" t="n">
        <v>0</v>
      </c>
      <c r="I305" t="n">
        <v>0</v>
      </c>
      <c r="J305" t="n">
        <v>0</v>
      </c>
      <c r="K305" t="n">
        <v>0</v>
      </c>
      <c r="L305" t="n">
        <v>0</v>
      </c>
      <c r="M305" t="n">
        <v>0</v>
      </c>
      <c r="N305" t="n">
        <v>0</v>
      </c>
      <c r="O305" t="n">
        <v>0</v>
      </c>
      <c r="P305" t="n">
        <v>0</v>
      </c>
      <c r="Q305" t="n">
        <v>0</v>
      </c>
      <c r="R305" s="2" t="inlineStr"/>
    </row>
    <row r="306" ht="15" customHeight="1">
      <c r="A306" t="inlineStr">
        <is>
          <t>A 53999-2023</t>
        </is>
      </c>
      <c r="B306" s="1" t="n">
        <v>45231</v>
      </c>
      <c r="C306" s="1" t="n">
        <v>46183</v>
      </c>
      <c r="D306" t="inlineStr">
        <is>
          <t>SÖDERMANLANDS LÄN</t>
        </is>
      </c>
      <c r="E306" t="inlineStr">
        <is>
          <t>KATRINEHOLM</t>
        </is>
      </c>
      <c r="G306" t="n">
        <v>5.4</v>
      </c>
      <c r="H306" t="n">
        <v>0</v>
      </c>
      <c r="I306" t="n">
        <v>0</v>
      </c>
      <c r="J306" t="n">
        <v>0</v>
      </c>
      <c r="K306" t="n">
        <v>0</v>
      </c>
      <c r="L306" t="n">
        <v>0</v>
      </c>
      <c r="M306" t="n">
        <v>0</v>
      </c>
      <c r="N306" t="n">
        <v>0</v>
      </c>
      <c r="O306" t="n">
        <v>0</v>
      </c>
      <c r="P306" t="n">
        <v>0</v>
      </c>
      <c r="Q306" t="n">
        <v>0</v>
      </c>
      <c r="R306" s="2" t="inlineStr"/>
    </row>
    <row r="307" ht="15" customHeight="1">
      <c r="A307" t="inlineStr">
        <is>
          <t>A 24719-2025</t>
        </is>
      </c>
      <c r="B307" s="1" t="n">
        <v>45799</v>
      </c>
      <c r="C307" s="1" t="n">
        <v>46183</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6298-2024</t>
        </is>
      </c>
      <c r="B308" s="1" t="n">
        <v>45338.34245370371</v>
      </c>
      <c r="C308" s="1" t="n">
        <v>46183</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33001-2024</t>
        </is>
      </c>
      <c r="B309" s="1" t="n">
        <v>45517</v>
      </c>
      <c r="C309" s="1" t="n">
        <v>46183</v>
      </c>
      <c r="D309" t="inlineStr">
        <is>
          <t>SÖDERMANLANDS LÄN</t>
        </is>
      </c>
      <c r="E309" t="inlineStr">
        <is>
          <t>KATRINEHOLM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33278-2024</t>
        </is>
      </c>
      <c r="B310" s="1" t="n">
        <v>45518</v>
      </c>
      <c r="C310" s="1" t="n">
        <v>46183</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9714-2024</t>
        </is>
      </c>
      <c r="B311" s="1" t="n">
        <v>45362</v>
      </c>
      <c r="C311" s="1" t="n">
        <v>46183</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24619-2024</t>
        </is>
      </c>
      <c r="B312" s="1" t="n">
        <v>45460</v>
      </c>
      <c r="C312" s="1" t="n">
        <v>46183</v>
      </c>
      <c r="D312" t="inlineStr">
        <is>
          <t>SÖDERMANLANDS LÄN</t>
        </is>
      </c>
      <c r="E312" t="inlineStr">
        <is>
          <t>KATRINEHOLM</t>
        </is>
      </c>
      <c r="G312" t="n">
        <v>4.7</v>
      </c>
      <c r="H312" t="n">
        <v>0</v>
      </c>
      <c r="I312" t="n">
        <v>0</v>
      </c>
      <c r="J312" t="n">
        <v>0</v>
      </c>
      <c r="K312" t="n">
        <v>0</v>
      </c>
      <c r="L312" t="n">
        <v>0</v>
      </c>
      <c r="M312" t="n">
        <v>0</v>
      </c>
      <c r="N312" t="n">
        <v>0</v>
      </c>
      <c r="O312" t="n">
        <v>0</v>
      </c>
      <c r="P312" t="n">
        <v>0</v>
      </c>
      <c r="Q312" t="n">
        <v>0</v>
      </c>
      <c r="R312" s="2" t="inlineStr"/>
    </row>
    <row r="313" ht="15" customHeight="1">
      <c r="A313" t="inlineStr">
        <is>
          <t>A 9699-2024</t>
        </is>
      </c>
      <c r="B313" s="1" t="n">
        <v>45362</v>
      </c>
      <c r="C313" s="1" t="n">
        <v>46183</v>
      </c>
      <c r="D313" t="inlineStr">
        <is>
          <t>SÖDERMANLANDS LÄN</t>
        </is>
      </c>
      <c r="E313" t="inlineStr">
        <is>
          <t>KATRINEHOLM</t>
        </is>
      </c>
      <c r="G313" t="n">
        <v>7.7</v>
      </c>
      <c r="H313" t="n">
        <v>0</v>
      </c>
      <c r="I313" t="n">
        <v>0</v>
      </c>
      <c r="J313" t="n">
        <v>0</v>
      </c>
      <c r="K313" t="n">
        <v>0</v>
      </c>
      <c r="L313" t="n">
        <v>0</v>
      </c>
      <c r="M313" t="n">
        <v>0</v>
      </c>
      <c r="N313" t="n">
        <v>0</v>
      </c>
      <c r="O313" t="n">
        <v>0</v>
      </c>
      <c r="P313" t="n">
        <v>0</v>
      </c>
      <c r="Q313" t="n">
        <v>0</v>
      </c>
      <c r="R313" s="2" t="inlineStr"/>
    </row>
    <row r="314" ht="15" customHeight="1">
      <c r="A314" t="inlineStr">
        <is>
          <t>A 58175-2024</t>
        </is>
      </c>
      <c r="B314" s="1" t="n">
        <v>45632.46648148148</v>
      </c>
      <c r="C314" s="1" t="n">
        <v>46183</v>
      </c>
      <c r="D314" t="inlineStr">
        <is>
          <t>SÖDERMANLANDS LÄN</t>
        </is>
      </c>
      <c r="E314" t="inlineStr">
        <is>
          <t>KATRINEHOLM</t>
        </is>
      </c>
      <c r="G314" t="n">
        <v>1.3</v>
      </c>
      <c r="H314" t="n">
        <v>0</v>
      </c>
      <c r="I314" t="n">
        <v>0</v>
      </c>
      <c r="J314" t="n">
        <v>0</v>
      </c>
      <c r="K314" t="n">
        <v>0</v>
      </c>
      <c r="L314" t="n">
        <v>0</v>
      </c>
      <c r="M314" t="n">
        <v>0</v>
      </c>
      <c r="N314" t="n">
        <v>0</v>
      </c>
      <c r="O314" t="n">
        <v>0</v>
      </c>
      <c r="P314" t="n">
        <v>0</v>
      </c>
      <c r="Q314" t="n">
        <v>0</v>
      </c>
      <c r="R314" s="2" t="inlineStr"/>
    </row>
    <row r="315" ht="15" customHeight="1">
      <c r="A315" t="inlineStr">
        <is>
          <t>A 53715-2023</t>
        </is>
      </c>
      <c r="B315" s="1" t="n">
        <v>45230</v>
      </c>
      <c r="C315" s="1" t="n">
        <v>46183</v>
      </c>
      <c r="D315" t="inlineStr">
        <is>
          <t>SÖDERMANLANDS LÄN</t>
        </is>
      </c>
      <c r="E315" t="inlineStr">
        <is>
          <t>KATRINEHOLM</t>
        </is>
      </c>
      <c r="F315" t="inlineStr">
        <is>
          <t>Allmännings- och besparingsskogar</t>
        </is>
      </c>
      <c r="G315" t="n">
        <v>5.6</v>
      </c>
      <c r="H315" t="n">
        <v>0</v>
      </c>
      <c r="I315" t="n">
        <v>0</v>
      </c>
      <c r="J315" t="n">
        <v>0</v>
      </c>
      <c r="K315" t="n">
        <v>0</v>
      </c>
      <c r="L315" t="n">
        <v>0</v>
      </c>
      <c r="M315" t="n">
        <v>0</v>
      </c>
      <c r="N315" t="n">
        <v>0</v>
      </c>
      <c r="O315" t="n">
        <v>0</v>
      </c>
      <c r="P315" t="n">
        <v>0</v>
      </c>
      <c r="Q315" t="n">
        <v>0</v>
      </c>
      <c r="R315" s="2" t="inlineStr"/>
    </row>
    <row r="316" ht="15" customHeight="1">
      <c r="A316" t="inlineStr">
        <is>
          <t>A 59474-2021</t>
        </is>
      </c>
      <c r="B316" s="1" t="n">
        <v>44491</v>
      </c>
      <c r="C316" s="1" t="n">
        <v>46183</v>
      </c>
      <c r="D316" t="inlineStr">
        <is>
          <t>SÖDERMANLANDS LÄN</t>
        </is>
      </c>
      <c r="E316" t="inlineStr">
        <is>
          <t>KATRINEHOLM</t>
        </is>
      </c>
      <c r="G316" t="n">
        <v>2.7</v>
      </c>
      <c r="H316" t="n">
        <v>0</v>
      </c>
      <c r="I316" t="n">
        <v>0</v>
      </c>
      <c r="J316" t="n">
        <v>0</v>
      </c>
      <c r="K316" t="n">
        <v>0</v>
      </c>
      <c r="L316" t="n">
        <v>0</v>
      </c>
      <c r="M316" t="n">
        <v>0</v>
      </c>
      <c r="N316" t="n">
        <v>0</v>
      </c>
      <c r="O316" t="n">
        <v>0</v>
      </c>
      <c r="P316" t="n">
        <v>0</v>
      </c>
      <c r="Q316" t="n">
        <v>0</v>
      </c>
      <c r="R316" s="2" t="inlineStr"/>
    </row>
    <row r="317" ht="15" customHeight="1">
      <c r="A317" t="inlineStr">
        <is>
          <t>A 23705-2023</t>
        </is>
      </c>
      <c r="B317" s="1" t="n">
        <v>45077</v>
      </c>
      <c r="C317" s="1" t="n">
        <v>46183</v>
      </c>
      <c r="D317" t="inlineStr">
        <is>
          <t>SÖDERMANLANDS LÄN</t>
        </is>
      </c>
      <c r="E317" t="inlineStr">
        <is>
          <t>KATRINEHOLM</t>
        </is>
      </c>
      <c r="F317" t="inlineStr">
        <is>
          <t>Kyrkan</t>
        </is>
      </c>
      <c r="G317" t="n">
        <v>11.9</v>
      </c>
      <c r="H317" t="n">
        <v>0</v>
      </c>
      <c r="I317" t="n">
        <v>0</v>
      </c>
      <c r="J317" t="n">
        <v>0</v>
      </c>
      <c r="K317" t="n">
        <v>0</v>
      </c>
      <c r="L317" t="n">
        <v>0</v>
      </c>
      <c r="M317" t="n">
        <v>0</v>
      </c>
      <c r="N317" t="n">
        <v>0</v>
      </c>
      <c r="O317" t="n">
        <v>0</v>
      </c>
      <c r="P317" t="n">
        <v>0</v>
      </c>
      <c r="Q317" t="n">
        <v>0</v>
      </c>
      <c r="R317" s="2" t="inlineStr"/>
    </row>
    <row r="318" ht="15" customHeight="1">
      <c r="A318" t="inlineStr">
        <is>
          <t>A 14239-2024</t>
        </is>
      </c>
      <c r="B318" s="1" t="n">
        <v>45393</v>
      </c>
      <c r="C318" s="1" t="n">
        <v>46183</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14248-2024</t>
        </is>
      </c>
      <c r="B319" s="1" t="n">
        <v>45393</v>
      </c>
      <c r="C319" s="1" t="n">
        <v>46183</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11635-2023</t>
        </is>
      </c>
      <c r="B320" s="1" t="n">
        <v>44994</v>
      </c>
      <c r="C320" s="1" t="n">
        <v>46183</v>
      </c>
      <c r="D320" t="inlineStr">
        <is>
          <t>SÖDERMANLANDS LÄN</t>
        </is>
      </c>
      <c r="E320" t="inlineStr">
        <is>
          <t>KATRINEHOLM</t>
        </is>
      </c>
      <c r="G320" t="n">
        <v>4.3</v>
      </c>
      <c r="H320" t="n">
        <v>0</v>
      </c>
      <c r="I320" t="n">
        <v>0</v>
      </c>
      <c r="J320" t="n">
        <v>0</v>
      </c>
      <c r="K320" t="n">
        <v>0</v>
      </c>
      <c r="L320" t="n">
        <v>0</v>
      </c>
      <c r="M320" t="n">
        <v>0</v>
      </c>
      <c r="N320" t="n">
        <v>0</v>
      </c>
      <c r="O320" t="n">
        <v>0</v>
      </c>
      <c r="P320" t="n">
        <v>0</v>
      </c>
      <c r="Q320" t="n">
        <v>0</v>
      </c>
      <c r="R320" s="2" t="inlineStr"/>
    </row>
    <row r="321" ht="15" customHeight="1">
      <c r="A321" t="inlineStr">
        <is>
          <t>A 10932-2023</t>
        </is>
      </c>
      <c r="B321" s="1" t="n">
        <v>44985</v>
      </c>
      <c r="C321" s="1" t="n">
        <v>46183</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6087-2022</t>
        </is>
      </c>
      <c r="B322" s="1" t="n">
        <v>44599.61034722222</v>
      </c>
      <c r="C322" s="1" t="n">
        <v>46183</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8957-2024</t>
        </is>
      </c>
      <c r="B323" s="1" t="n">
        <v>45357.45089120371</v>
      </c>
      <c r="C323" s="1" t="n">
        <v>46183</v>
      </c>
      <c r="D323" t="inlineStr">
        <is>
          <t>SÖDERMANLANDS LÄN</t>
        </is>
      </c>
      <c r="E323" t="inlineStr">
        <is>
          <t>KATRINEHOLM</t>
        </is>
      </c>
      <c r="G323" t="n">
        <v>3.6</v>
      </c>
      <c r="H323" t="n">
        <v>0</v>
      </c>
      <c r="I323" t="n">
        <v>0</v>
      </c>
      <c r="J323" t="n">
        <v>0</v>
      </c>
      <c r="K323" t="n">
        <v>0</v>
      </c>
      <c r="L323" t="n">
        <v>0</v>
      </c>
      <c r="M323" t="n">
        <v>0</v>
      </c>
      <c r="N323" t="n">
        <v>0</v>
      </c>
      <c r="O323" t="n">
        <v>0</v>
      </c>
      <c r="P323" t="n">
        <v>0</v>
      </c>
      <c r="Q323" t="n">
        <v>0</v>
      </c>
      <c r="R323" s="2" t="inlineStr"/>
    </row>
    <row r="324" ht="15" customHeight="1">
      <c r="A324" t="inlineStr">
        <is>
          <t>A 39120-2023</t>
        </is>
      </c>
      <c r="B324" s="1" t="n">
        <v>45165</v>
      </c>
      <c r="C324" s="1" t="n">
        <v>46183</v>
      </c>
      <c r="D324" t="inlineStr">
        <is>
          <t>SÖDERMANLANDS LÄN</t>
        </is>
      </c>
      <c r="E324" t="inlineStr">
        <is>
          <t>KATRINEHOLM</t>
        </is>
      </c>
      <c r="G324" t="n">
        <v>4.4</v>
      </c>
      <c r="H324" t="n">
        <v>0</v>
      </c>
      <c r="I324" t="n">
        <v>0</v>
      </c>
      <c r="J324" t="n">
        <v>0</v>
      </c>
      <c r="K324" t="n">
        <v>0</v>
      </c>
      <c r="L324" t="n">
        <v>0</v>
      </c>
      <c r="M324" t="n">
        <v>0</v>
      </c>
      <c r="N324" t="n">
        <v>0</v>
      </c>
      <c r="O324" t="n">
        <v>0</v>
      </c>
      <c r="P324" t="n">
        <v>0</v>
      </c>
      <c r="Q324" t="n">
        <v>0</v>
      </c>
      <c r="R324" s="2" t="inlineStr"/>
    </row>
    <row r="325" ht="15" customHeight="1">
      <c r="A325" t="inlineStr">
        <is>
          <t>A 42896-2024</t>
        </is>
      </c>
      <c r="B325" s="1" t="n">
        <v>45566.82973379629</v>
      </c>
      <c r="C325" s="1" t="n">
        <v>46183</v>
      </c>
      <c r="D325" t="inlineStr">
        <is>
          <t>SÖDERMANLANDS LÄN</t>
        </is>
      </c>
      <c r="E325" t="inlineStr">
        <is>
          <t>KATRINEHOLM</t>
        </is>
      </c>
      <c r="G325" t="n">
        <v>4.3</v>
      </c>
      <c r="H325" t="n">
        <v>0</v>
      </c>
      <c r="I325" t="n">
        <v>0</v>
      </c>
      <c r="J325" t="n">
        <v>0</v>
      </c>
      <c r="K325" t="n">
        <v>0</v>
      </c>
      <c r="L325" t="n">
        <v>0</v>
      </c>
      <c r="M325" t="n">
        <v>0</v>
      </c>
      <c r="N325" t="n">
        <v>0</v>
      </c>
      <c r="O325" t="n">
        <v>0</v>
      </c>
      <c r="P325" t="n">
        <v>0</v>
      </c>
      <c r="Q325" t="n">
        <v>0</v>
      </c>
      <c r="R325" s="2" t="inlineStr"/>
    </row>
    <row r="326" ht="15" customHeight="1">
      <c r="A326" t="inlineStr">
        <is>
          <t>A 7747-2024</t>
        </is>
      </c>
      <c r="B326" s="1" t="n">
        <v>45348</v>
      </c>
      <c r="C326" s="1" t="n">
        <v>46183</v>
      </c>
      <c r="D326" t="inlineStr">
        <is>
          <t>SÖDERMANLANDS LÄN</t>
        </is>
      </c>
      <c r="E326" t="inlineStr">
        <is>
          <t>KATRINEHOLM</t>
        </is>
      </c>
      <c r="G326" t="n">
        <v>1.1</v>
      </c>
      <c r="H326" t="n">
        <v>0</v>
      </c>
      <c r="I326" t="n">
        <v>0</v>
      </c>
      <c r="J326" t="n">
        <v>0</v>
      </c>
      <c r="K326" t="n">
        <v>0</v>
      </c>
      <c r="L326" t="n">
        <v>0</v>
      </c>
      <c r="M326" t="n">
        <v>0</v>
      </c>
      <c r="N326" t="n">
        <v>0</v>
      </c>
      <c r="O326" t="n">
        <v>0</v>
      </c>
      <c r="P326" t="n">
        <v>0</v>
      </c>
      <c r="Q326" t="n">
        <v>0</v>
      </c>
      <c r="R326" s="2" t="inlineStr"/>
    </row>
    <row r="327" ht="15" customHeight="1">
      <c r="A327" t="inlineStr">
        <is>
          <t>A 7753-2024</t>
        </is>
      </c>
      <c r="B327" s="1" t="n">
        <v>45348</v>
      </c>
      <c r="C327" s="1" t="n">
        <v>46183</v>
      </c>
      <c r="D327" t="inlineStr">
        <is>
          <t>SÖDERMANLANDS LÄN</t>
        </is>
      </c>
      <c r="E327" t="inlineStr">
        <is>
          <t>KATRINEHOLM</t>
        </is>
      </c>
      <c r="G327" t="n">
        <v>13.4</v>
      </c>
      <c r="H327" t="n">
        <v>0</v>
      </c>
      <c r="I327" t="n">
        <v>0</v>
      </c>
      <c r="J327" t="n">
        <v>0</v>
      </c>
      <c r="K327" t="n">
        <v>0</v>
      </c>
      <c r="L327" t="n">
        <v>0</v>
      </c>
      <c r="M327" t="n">
        <v>0</v>
      </c>
      <c r="N327" t="n">
        <v>0</v>
      </c>
      <c r="O327" t="n">
        <v>0</v>
      </c>
      <c r="P327" t="n">
        <v>0</v>
      </c>
      <c r="Q327" t="n">
        <v>0</v>
      </c>
      <c r="R327" s="2" t="inlineStr"/>
    </row>
    <row r="328" ht="15" customHeight="1">
      <c r="A328" t="inlineStr">
        <is>
          <t>A 5935-2023</t>
        </is>
      </c>
      <c r="B328" s="1" t="n">
        <v>44963</v>
      </c>
      <c r="C328" s="1" t="n">
        <v>46183</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10732-2022</t>
        </is>
      </c>
      <c r="B329" s="1" t="n">
        <v>44627.34033564815</v>
      </c>
      <c r="C329" s="1" t="n">
        <v>46183</v>
      </c>
      <c r="D329" t="inlineStr">
        <is>
          <t>SÖDERMANLANDS LÄN</t>
        </is>
      </c>
      <c r="E329" t="inlineStr">
        <is>
          <t>KATRINEHOLM</t>
        </is>
      </c>
      <c r="G329" t="n">
        <v>2.4</v>
      </c>
      <c r="H329" t="n">
        <v>0</v>
      </c>
      <c r="I329" t="n">
        <v>0</v>
      </c>
      <c r="J329" t="n">
        <v>0</v>
      </c>
      <c r="K329" t="n">
        <v>0</v>
      </c>
      <c r="L329" t="n">
        <v>0</v>
      </c>
      <c r="M329" t="n">
        <v>0</v>
      </c>
      <c r="N329" t="n">
        <v>0</v>
      </c>
      <c r="O329" t="n">
        <v>0</v>
      </c>
      <c r="P329" t="n">
        <v>0</v>
      </c>
      <c r="Q329" t="n">
        <v>0</v>
      </c>
      <c r="R329" s="2" t="inlineStr"/>
    </row>
    <row r="330" ht="15" customHeight="1">
      <c r="A330" t="inlineStr">
        <is>
          <t>A 51397-2023</t>
        </is>
      </c>
      <c r="B330" s="1" t="n">
        <v>45214</v>
      </c>
      <c r="C330" s="1" t="n">
        <v>46183</v>
      </c>
      <c r="D330" t="inlineStr">
        <is>
          <t>SÖDERMANLANDS LÄN</t>
        </is>
      </c>
      <c r="E330" t="inlineStr">
        <is>
          <t>KATRINEHOLM</t>
        </is>
      </c>
      <c r="G330" t="n">
        <v>4.9</v>
      </c>
      <c r="H330" t="n">
        <v>0</v>
      </c>
      <c r="I330" t="n">
        <v>0</v>
      </c>
      <c r="J330" t="n">
        <v>0</v>
      </c>
      <c r="K330" t="n">
        <v>0</v>
      </c>
      <c r="L330" t="n">
        <v>0</v>
      </c>
      <c r="M330" t="n">
        <v>0</v>
      </c>
      <c r="N330" t="n">
        <v>0</v>
      </c>
      <c r="O330" t="n">
        <v>0</v>
      </c>
      <c r="P330" t="n">
        <v>0</v>
      </c>
      <c r="Q330" t="n">
        <v>0</v>
      </c>
      <c r="R330" s="2" t="inlineStr"/>
    </row>
    <row r="331" ht="15" customHeight="1">
      <c r="A331" t="inlineStr">
        <is>
          <t>A 19452-2023</t>
        </is>
      </c>
      <c r="B331" s="1" t="n">
        <v>45050</v>
      </c>
      <c r="C331" s="1" t="n">
        <v>46183</v>
      </c>
      <c r="D331" t="inlineStr">
        <is>
          <t>SÖDERMANLANDS LÄN</t>
        </is>
      </c>
      <c r="E331" t="inlineStr">
        <is>
          <t>KATRINEHOLM</t>
        </is>
      </c>
      <c r="F331" t="inlineStr">
        <is>
          <t>Holmen skog AB</t>
        </is>
      </c>
      <c r="G331" t="n">
        <v>4.7</v>
      </c>
      <c r="H331" t="n">
        <v>0</v>
      </c>
      <c r="I331" t="n">
        <v>0</v>
      </c>
      <c r="J331" t="n">
        <v>0</v>
      </c>
      <c r="K331" t="n">
        <v>0</v>
      </c>
      <c r="L331" t="n">
        <v>0</v>
      </c>
      <c r="M331" t="n">
        <v>0</v>
      </c>
      <c r="N331" t="n">
        <v>0</v>
      </c>
      <c r="O331" t="n">
        <v>0</v>
      </c>
      <c r="P331" t="n">
        <v>0</v>
      </c>
      <c r="Q331" t="n">
        <v>0</v>
      </c>
      <c r="R331" s="2" t="inlineStr"/>
    </row>
    <row r="332" ht="15" customHeight="1">
      <c r="A332" t="inlineStr">
        <is>
          <t>A 52658-2023</t>
        </is>
      </c>
      <c r="B332" s="1" t="n">
        <v>45225</v>
      </c>
      <c r="C332" s="1" t="n">
        <v>46183</v>
      </c>
      <c r="D332" t="inlineStr">
        <is>
          <t>SÖDERMANLANDS LÄN</t>
        </is>
      </c>
      <c r="E332" t="inlineStr">
        <is>
          <t>KATRINEHOLM</t>
        </is>
      </c>
      <c r="G332" t="n">
        <v>1.2</v>
      </c>
      <c r="H332" t="n">
        <v>0</v>
      </c>
      <c r="I332" t="n">
        <v>0</v>
      </c>
      <c r="J332" t="n">
        <v>0</v>
      </c>
      <c r="K332" t="n">
        <v>0</v>
      </c>
      <c r="L332" t="n">
        <v>0</v>
      </c>
      <c r="M332" t="n">
        <v>0</v>
      </c>
      <c r="N332" t="n">
        <v>0</v>
      </c>
      <c r="O332" t="n">
        <v>0</v>
      </c>
      <c r="P332" t="n">
        <v>0</v>
      </c>
      <c r="Q332" t="n">
        <v>0</v>
      </c>
      <c r="R332" s="2" t="inlineStr"/>
    </row>
    <row r="333" ht="15" customHeight="1">
      <c r="A333" t="inlineStr">
        <is>
          <t>A 3939-2022</t>
        </is>
      </c>
      <c r="B333" s="1" t="n">
        <v>44587</v>
      </c>
      <c r="C333" s="1" t="n">
        <v>46183</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56074-2022</t>
        </is>
      </c>
      <c r="B334" s="1" t="n">
        <v>44889</v>
      </c>
      <c r="C334" s="1" t="n">
        <v>46183</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c r="T334">
        <f>HYPERLINK("https://klasma.github.io/Logging_0483/kartor/A 56074-2022 karta.png", "A 56074-2022")</f>
        <v/>
      </c>
      <c r="V334">
        <f>HYPERLINK("https://klasma.github.io/Logging_0483/klagomål/A 56074-2022 FSC-klagomål.docx", "A 56074-2022")</f>
        <v/>
      </c>
      <c r="W334">
        <f>HYPERLINK("https://klasma.github.io/Logging_0483/klagomålsmail/A 56074-2022 FSC-klagomål mail.docx", "A 56074-2022")</f>
        <v/>
      </c>
      <c r="X334">
        <f>HYPERLINK("https://klasma.github.io/Logging_0483/tillsyn/A 56074-2022 tillsynsbegäran.docx", "A 56074-2022")</f>
        <v/>
      </c>
      <c r="Y334">
        <f>HYPERLINK("https://klasma.github.io/Logging_0483/tillsynsmail/A 56074-2022 tillsynsbegäran mail.docx", "A 56074-2022")</f>
        <v/>
      </c>
    </row>
    <row r="335" ht="15" customHeight="1">
      <c r="A335" t="inlineStr">
        <is>
          <t>A 35228-2025</t>
        </is>
      </c>
      <c r="B335" s="1" t="n">
        <v>45853</v>
      </c>
      <c r="C335" s="1" t="n">
        <v>46183</v>
      </c>
      <c r="D335" t="inlineStr">
        <is>
          <t>SÖDERMANLANDS LÄN</t>
        </is>
      </c>
      <c r="E335" t="inlineStr">
        <is>
          <t>KATRINEHOLM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61915-2021</t>
        </is>
      </c>
      <c r="B336" s="1" t="n">
        <v>44502.36780092592</v>
      </c>
      <c r="C336" s="1" t="n">
        <v>46183</v>
      </c>
      <c r="D336" t="inlineStr">
        <is>
          <t>SÖDERMANLANDS LÄN</t>
        </is>
      </c>
      <c r="E336" t="inlineStr">
        <is>
          <t>KATRINEHOLM</t>
        </is>
      </c>
      <c r="G336" t="n">
        <v>2.6</v>
      </c>
      <c r="H336" t="n">
        <v>0</v>
      </c>
      <c r="I336" t="n">
        <v>0</v>
      </c>
      <c r="J336" t="n">
        <v>0</v>
      </c>
      <c r="K336" t="n">
        <v>0</v>
      </c>
      <c r="L336" t="n">
        <v>0</v>
      </c>
      <c r="M336" t="n">
        <v>0</v>
      </c>
      <c r="N336" t="n">
        <v>0</v>
      </c>
      <c r="O336" t="n">
        <v>0</v>
      </c>
      <c r="P336" t="n">
        <v>0</v>
      </c>
      <c r="Q336" t="n">
        <v>0</v>
      </c>
      <c r="R336" s="2" t="inlineStr"/>
    </row>
    <row r="337" ht="15" customHeight="1">
      <c r="A337" t="inlineStr">
        <is>
          <t>A 5320-2025</t>
        </is>
      </c>
      <c r="B337" s="1" t="n">
        <v>45692</v>
      </c>
      <c r="C337" s="1" t="n">
        <v>46183</v>
      </c>
      <c r="D337" t="inlineStr">
        <is>
          <t>SÖDERMANLANDS LÄN</t>
        </is>
      </c>
      <c r="E337" t="inlineStr">
        <is>
          <t>KATRINEHOLM</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27534-2025</t>
        </is>
      </c>
      <c r="B338" s="1" t="n">
        <v>45813</v>
      </c>
      <c r="C338" s="1" t="n">
        <v>46183</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2606-2025</t>
        </is>
      </c>
      <c r="B339" s="1" t="n">
        <v>45674</v>
      </c>
      <c r="C339" s="1" t="n">
        <v>46183</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27636-2025</t>
        </is>
      </c>
      <c r="B340" s="1" t="n">
        <v>45813.57603009259</v>
      </c>
      <c r="C340" s="1" t="n">
        <v>46183</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24600-2025</t>
        </is>
      </c>
      <c r="B341" s="1" t="n">
        <v>45798.56348379629</v>
      </c>
      <c r="C341" s="1" t="n">
        <v>46183</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39748-2022</t>
        </is>
      </c>
      <c r="B342" s="1" t="n">
        <v>44817</v>
      </c>
      <c r="C342" s="1" t="n">
        <v>46183</v>
      </c>
      <c r="D342" t="inlineStr">
        <is>
          <t>SÖDERMANLANDS LÄN</t>
        </is>
      </c>
      <c r="E342" t="inlineStr">
        <is>
          <t>KATRINEHOLM</t>
        </is>
      </c>
      <c r="G342" t="n">
        <v>10.2</v>
      </c>
      <c r="H342" t="n">
        <v>0</v>
      </c>
      <c r="I342" t="n">
        <v>0</v>
      </c>
      <c r="J342" t="n">
        <v>0</v>
      </c>
      <c r="K342" t="n">
        <v>0</v>
      </c>
      <c r="L342" t="n">
        <v>0</v>
      </c>
      <c r="M342" t="n">
        <v>0</v>
      </c>
      <c r="N342" t="n">
        <v>0</v>
      </c>
      <c r="O342" t="n">
        <v>0</v>
      </c>
      <c r="P342" t="n">
        <v>0</v>
      </c>
      <c r="Q342" t="n">
        <v>0</v>
      </c>
      <c r="R342" s="2" t="inlineStr"/>
    </row>
    <row r="343" ht="15" customHeight="1">
      <c r="A343" t="inlineStr">
        <is>
          <t>A 34731-2023</t>
        </is>
      </c>
      <c r="B343" s="1" t="n">
        <v>45141</v>
      </c>
      <c r="C343" s="1" t="n">
        <v>46183</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34739-2023</t>
        </is>
      </c>
      <c r="B344" s="1" t="n">
        <v>45141</v>
      </c>
      <c r="C344" s="1" t="n">
        <v>46183</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4656-2023</t>
        </is>
      </c>
      <c r="B345" s="1" t="n">
        <v>44957</v>
      </c>
      <c r="C345" s="1" t="n">
        <v>46183</v>
      </c>
      <c r="D345" t="inlineStr">
        <is>
          <t>SÖDERMANLANDS LÄN</t>
        </is>
      </c>
      <c r="E345" t="inlineStr">
        <is>
          <t>KATRINEHOLM</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35608-2024</t>
        </is>
      </c>
      <c r="B346" s="1" t="n">
        <v>45531</v>
      </c>
      <c r="C346" s="1" t="n">
        <v>46183</v>
      </c>
      <c r="D346" t="inlineStr">
        <is>
          <t>SÖDERMANLANDS LÄN</t>
        </is>
      </c>
      <c r="E346" t="inlineStr">
        <is>
          <t>KATRINEHOLM</t>
        </is>
      </c>
      <c r="G346" t="n">
        <v>2</v>
      </c>
      <c r="H346" t="n">
        <v>0</v>
      </c>
      <c r="I346" t="n">
        <v>0</v>
      </c>
      <c r="J346" t="n">
        <v>0</v>
      </c>
      <c r="K346" t="n">
        <v>0</v>
      </c>
      <c r="L346" t="n">
        <v>0</v>
      </c>
      <c r="M346" t="n">
        <v>0</v>
      </c>
      <c r="N346" t="n">
        <v>0</v>
      </c>
      <c r="O346" t="n">
        <v>0</v>
      </c>
      <c r="P346" t="n">
        <v>0</v>
      </c>
      <c r="Q346" t="n">
        <v>0</v>
      </c>
      <c r="R346" s="2" t="inlineStr"/>
    </row>
    <row r="347" ht="15" customHeight="1">
      <c r="A347" t="inlineStr">
        <is>
          <t>A 20480-2022</t>
        </is>
      </c>
      <c r="B347" s="1" t="n">
        <v>44699</v>
      </c>
      <c r="C347" s="1" t="n">
        <v>46183</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50017-2023</t>
        </is>
      </c>
      <c r="B348" s="1" t="n">
        <v>45215</v>
      </c>
      <c r="C348" s="1" t="n">
        <v>46183</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50018-2023</t>
        </is>
      </c>
      <c r="B349" s="1" t="n">
        <v>45215</v>
      </c>
      <c r="C349" s="1" t="n">
        <v>46183</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28508-2023</t>
        </is>
      </c>
      <c r="B350" s="1" t="n">
        <v>45103.46788194445</v>
      </c>
      <c r="C350" s="1" t="n">
        <v>46183</v>
      </c>
      <c r="D350" t="inlineStr">
        <is>
          <t>SÖDERMANLANDS LÄN</t>
        </is>
      </c>
      <c r="E350" t="inlineStr">
        <is>
          <t>KATRINEHOLM</t>
        </is>
      </c>
      <c r="F350" t="inlineStr">
        <is>
          <t>Kyrkan</t>
        </is>
      </c>
      <c r="G350" t="n">
        <v>20.5</v>
      </c>
      <c r="H350" t="n">
        <v>0</v>
      </c>
      <c r="I350" t="n">
        <v>0</v>
      </c>
      <c r="J350" t="n">
        <v>0</v>
      </c>
      <c r="K350" t="n">
        <v>0</v>
      </c>
      <c r="L350" t="n">
        <v>0</v>
      </c>
      <c r="M350" t="n">
        <v>0</v>
      </c>
      <c r="N350" t="n">
        <v>0</v>
      </c>
      <c r="O350" t="n">
        <v>0</v>
      </c>
      <c r="P350" t="n">
        <v>0</v>
      </c>
      <c r="Q350" t="n">
        <v>0</v>
      </c>
      <c r="R350" s="2" t="inlineStr"/>
    </row>
    <row r="351" ht="15" customHeight="1">
      <c r="A351" t="inlineStr">
        <is>
          <t>A 59093-2024</t>
        </is>
      </c>
      <c r="B351" s="1" t="n">
        <v>45636</v>
      </c>
      <c r="C351" s="1" t="n">
        <v>46183</v>
      </c>
      <c r="D351" t="inlineStr">
        <is>
          <t>SÖDERMANLANDS LÄN</t>
        </is>
      </c>
      <c r="E351" t="inlineStr">
        <is>
          <t>KATRINEHOLM</t>
        </is>
      </c>
      <c r="G351" t="n">
        <v>2.8</v>
      </c>
      <c r="H351" t="n">
        <v>0</v>
      </c>
      <c r="I351" t="n">
        <v>0</v>
      </c>
      <c r="J351" t="n">
        <v>0</v>
      </c>
      <c r="K351" t="n">
        <v>0</v>
      </c>
      <c r="L351" t="n">
        <v>0</v>
      </c>
      <c r="M351" t="n">
        <v>0</v>
      </c>
      <c r="N351" t="n">
        <v>0</v>
      </c>
      <c r="O351" t="n">
        <v>0</v>
      </c>
      <c r="P351" t="n">
        <v>0</v>
      </c>
      <c r="Q351" t="n">
        <v>0</v>
      </c>
      <c r="R351" s="2" t="inlineStr"/>
    </row>
    <row r="352" ht="15" customHeight="1">
      <c r="A352" t="inlineStr">
        <is>
          <t>A 46075-2023</t>
        </is>
      </c>
      <c r="B352" s="1" t="n">
        <v>45196</v>
      </c>
      <c r="C352" s="1" t="n">
        <v>46183</v>
      </c>
      <c r="D352" t="inlineStr">
        <is>
          <t>SÖDERMANLANDS LÄN</t>
        </is>
      </c>
      <c r="E352" t="inlineStr">
        <is>
          <t>KATRINEHOLM</t>
        </is>
      </c>
      <c r="F352" t="inlineStr">
        <is>
          <t>Övriga Aktiebolag</t>
        </is>
      </c>
      <c r="G352" t="n">
        <v>9.5</v>
      </c>
      <c r="H352" t="n">
        <v>0</v>
      </c>
      <c r="I352" t="n">
        <v>0</v>
      </c>
      <c r="J352" t="n">
        <v>0</v>
      </c>
      <c r="K352" t="n">
        <v>0</v>
      </c>
      <c r="L352" t="n">
        <v>0</v>
      </c>
      <c r="M352" t="n">
        <v>0</v>
      </c>
      <c r="N352" t="n">
        <v>0</v>
      </c>
      <c r="O352" t="n">
        <v>0</v>
      </c>
      <c r="P352" t="n">
        <v>0</v>
      </c>
      <c r="Q352" t="n">
        <v>0</v>
      </c>
      <c r="R352" s="2" t="inlineStr"/>
    </row>
    <row r="353" ht="15" customHeight="1">
      <c r="A353" t="inlineStr">
        <is>
          <t>A 25823-2023</t>
        </is>
      </c>
      <c r="B353" s="1" t="n">
        <v>45090.55078703703</v>
      </c>
      <c r="C353" s="1" t="n">
        <v>46183</v>
      </c>
      <c r="D353" t="inlineStr">
        <is>
          <t>SÖDERMANLANDS LÄN</t>
        </is>
      </c>
      <c r="E353" t="inlineStr">
        <is>
          <t>KATRINEHOLM</t>
        </is>
      </c>
      <c r="F353" t="inlineStr">
        <is>
          <t>Kyrkan</t>
        </is>
      </c>
      <c r="G353" t="n">
        <v>10.2</v>
      </c>
      <c r="H353" t="n">
        <v>0</v>
      </c>
      <c r="I353" t="n">
        <v>0</v>
      </c>
      <c r="J353" t="n">
        <v>0</v>
      </c>
      <c r="K353" t="n">
        <v>0</v>
      </c>
      <c r="L353" t="n">
        <v>0</v>
      </c>
      <c r="M353" t="n">
        <v>0</v>
      </c>
      <c r="N353" t="n">
        <v>0</v>
      </c>
      <c r="O353" t="n">
        <v>0</v>
      </c>
      <c r="P353" t="n">
        <v>0</v>
      </c>
      <c r="Q353" t="n">
        <v>0</v>
      </c>
      <c r="R353" s="2" t="inlineStr"/>
    </row>
    <row r="354" ht="15" customHeight="1">
      <c r="A354" t="inlineStr">
        <is>
          <t>A 17360-2022</t>
        </is>
      </c>
      <c r="B354" s="1" t="n">
        <v>44678</v>
      </c>
      <c r="C354" s="1" t="n">
        <v>46183</v>
      </c>
      <c r="D354" t="inlineStr">
        <is>
          <t>SÖDERMANLANDS LÄN</t>
        </is>
      </c>
      <c r="E354" t="inlineStr">
        <is>
          <t>KATRINEHOLM</t>
        </is>
      </c>
      <c r="G354" t="n">
        <v>4.5</v>
      </c>
      <c r="H354" t="n">
        <v>0</v>
      </c>
      <c r="I354" t="n">
        <v>0</v>
      </c>
      <c r="J354" t="n">
        <v>0</v>
      </c>
      <c r="K354" t="n">
        <v>0</v>
      </c>
      <c r="L354" t="n">
        <v>0</v>
      </c>
      <c r="M354" t="n">
        <v>0</v>
      </c>
      <c r="N354" t="n">
        <v>0</v>
      </c>
      <c r="O354" t="n">
        <v>0</v>
      </c>
      <c r="P354" t="n">
        <v>0</v>
      </c>
      <c r="Q354" t="n">
        <v>0</v>
      </c>
      <c r="R354" s="2" t="inlineStr"/>
    </row>
    <row r="355" ht="15" customHeight="1">
      <c r="A355" t="inlineStr">
        <is>
          <t>A 29189-2025</t>
        </is>
      </c>
      <c r="B355" s="1" t="n">
        <v>45822</v>
      </c>
      <c r="C355" s="1" t="n">
        <v>46183</v>
      </c>
      <c r="D355" t="inlineStr">
        <is>
          <t>SÖDERMANLANDS LÄN</t>
        </is>
      </c>
      <c r="E355" t="inlineStr">
        <is>
          <t>KATRINEHOLM</t>
        </is>
      </c>
      <c r="G355" t="n">
        <v>3.5</v>
      </c>
      <c r="H355" t="n">
        <v>0</v>
      </c>
      <c r="I355" t="n">
        <v>0</v>
      </c>
      <c r="J355" t="n">
        <v>0</v>
      </c>
      <c r="K355" t="n">
        <v>0</v>
      </c>
      <c r="L355" t="n">
        <v>0</v>
      </c>
      <c r="M355" t="n">
        <v>0</v>
      </c>
      <c r="N355" t="n">
        <v>0</v>
      </c>
      <c r="O355" t="n">
        <v>0</v>
      </c>
      <c r="P355" t="n">
        <v>0</v>
      </c>
      <c r="Q355" t="n">
        <v>0</v>
      </c>
      <c r="R355" s="2" t="inlineStr"/>
    </row>
    <row r="356" ht="15" customHeight="1">
      <c r="A356" t="inlineStr">
        <is>
          <t>A 9932-2023</t>
        </is>
      </c>
      <c r="B356" s="1" t="n">
        <v>44985.46709490741</v>
      </c>
      <c r="C356" s="1" t="n">
        <v>46183</v>
      </c>
      <c r="D356" t="inlineStr">
        <is>
          <t>SÖDERMANLANDS LÄN</t>
        </is>
      </c>
      <c r="E356" t="inlineStr">
        <is>
          <t>KATRINEHOLM</t>
        </is>
      </c>
      <c r="G356" t="n">
        <v>0.3</v>
      </c>
      <c r="H356" t="n">
        <v>0</v>
      </c>
      <c r="I356" t="n">
        <v>0</v>
      </c>
      <c r="J356" t="n">
        <v>0</v>
      </c>
      <c r="K356" t="n">
        <v>0</v>
      </c>
      <c r="L356" t="n">
        <v>0</v>
      </c>
      <c r="M356" t="n">
        <v>0</v>
      </c>
      <c r="N356" t="n">
        <v>0</v>
      </c>
      <c r="O356" t="n">
        <v>0</v>
      </c>
      <c r="P356" t="n">
        <v>0</v>
      </c>
      <c r="Q356" t="n">
        <v>0</v>
      </c>
      <c r="R356" s="2" t="inlineStr"/>
    </row>
    <row r="357" ht="15" customHeight="1">
      <c r="A357" t="inlineStr">
        <is>
          <t>A 9192-2023</t>
        </is>
      </c>
      <c r="B357" s="1" t="n">
        <v>44980</v>
      </c>
      <c r="C357" s="1" t="n">
        <v>46183</v>
      </c>
      <c r="D357" t="inlineStr">
        <is>
          <t>SÖDERMANLANDS LÄN</t>
        </is>
      </c>
      <c r="E357" t="inlineStr">
        <is>
          <t>KATRINEHOLM</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15399-2022</t>
        </is>
      </c>
      <c r="B358" s="1" t="n">
        <v>44659</v>
      </c>
      <c r="C358" s="1" t="n">
        <v>46183</v>
      </c>
      <c r="D358" t="inlineStr">
        <is>
          <t>SÖDERMANLANDS LÄN</t>
        </is>
      </c>
      <c r="E358" t="inlineStr">
        <is>
          <t>KATRINEHOLM</t>
        </is>
      </c>
      <c r="G358" t="n">
        <v>5.6</v>
      </c>
      <c r="H358" t="n">
        <v>0</v>
      </c>
      <c r="I358" t="n">
        <v>0</v>
      </c>
      <c r="J358" t="n">
        <v>0</v>
      </c>
      <c r="K358" t="n">
        <v>0</v>
      </c>
      <c r="L358" t="n">
        <v>0</v>
      </c>
      <c r="M358" t="n">
        <v>0</v>
      </c>
      <c r="N358" t="n">
        <v>0</v>
      </c>
      <c r="O358" t="n">
        <v>0</v>
      </c>
      <c r="P358" t="n">
        <v>0</v>
      </c>
      <c r="Q358" t="n">
        <v>0</v>
      </c>
      <c r="R358" s="2" t="inlineStr"/>
    </row>
    <row r="359" ht="15" customHeight="1">
      <c r="A359" t="inlineStr">
        <is>
          <t>A 11872-2023</t>
        </is>
      </c>
      <c r="B359" s="1" t="n">
        <v>44995</v>
      </c>
      <c r="C359" s="1" t="n">
        <v>46183</v>
      </c>
      <c r="D359" t="inlineStr">
        <is>
          <t>SÖDERMANLANDS LÄN</t>
        </is>
      </c>
      <c r="E359" t="inlineStr">
        <is>
          <t>KATRINEHOLM</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49092-2024</t>
        </is>
      </c>
      <c r="B360" s="1" t="n">
        <v>45594.63619212963</v>
      </c>
      <c r="C360" s="1" t="n">
        <v>46183</v>
      </c>
      <c r="D360" t="inlineStr">
        <is>
          <t>SÖDERMANLANDS LÄN</t>
        </is>
      </c>
      <c r="E360" t="inlineStr">
        <is>
          <t>KATRINEHOLM</t>
        </is>
      </c>
      <c r="F360" t="inlineStr">
        <is>
          <t>Övriga Aktiebolag</t>
        </is>
      </c>
      <c r="G360" t="n">
        <v>0.4</v>
      </c>
      <c r="H360" t="n">
        <v>0</v>
      </c>
      <c r="I360" t="n">
        <v>0</v>
      </c>
      <c r="J360" t="n">
        <v>0</v>
      </c>
      <c r="K360" t="n">
        <v>0</v>
      </c>
      <c r="L360" t="n">
        <v>0</v>
      </c>
      <c r="M360" t="n">
        <v>0</v>
      </c>
      <c r="N360" t="n">
        <v>0</v>
      </c>
      <c r="O360" t="n">
        <v>0</v>
      </c>
      <c r="P360" t="n">
        <v>0</v>
      </c>
      <c r="Q360" t="n">
        <v>0</v>
      </c>
      <c r="R360" s="2" t="inlineStr"/>
    </row>
    <row r="361" ht="15" customHeight="1">
      <c r="A361" t="inlineStr">
        <is>
          <t>A 49095-2024</t>
        </is>
      </c>
      <c r="B361" s="1" t="n">
        <v>45594.63828703704</v>
      </c>
      <c r="C361" s="1" t="n">
        <v>46183</v>
      </c>
      <c r="D361" t="inlineStr">
        <is>
          <t>SÖDERMANLANDS LÄN</t>
        </is>
      </c>
      <c r="E361" t="inlineStr">
        <is>
          <t>KATRINEHOLM</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22295-2024</t>
        </is>
      </c>
      <c r="B362" s="1" t="n">
        <v>45446.56141203704</v>
      </c>
      <c r="C362" s="1" t="n">
        <v>46183</v>
      </c>
      <c r="D362" t="inlineStr">
        <is>
          <t>SÖDERMANLANDS LÄN</t>
        </is>
      </c>
      <c r="E362" t="inlineStr">
        <is>
          <t>KATRINEHOLM</t>
        </is>
      </c>
      <c r="F362" t="inlineStr">
        <is>
          <t>Kommuner</t>
        </is>
      </c>
      <c r="G362" t="n">
        <v>1.2</v>
      </c>
      <c r="H362" t="n">
        <v>0</v>
      </c>
      <c r="I362" t="n">
        <v>0</v>
      </c>
      <c r="J362" t="n">
        <v>0</v>
      </c>
      <c r="K362" t="n">
        <v>0</v>
      </c>
      <c r="L362" t="n">
        <v>0</v>
      </c>
      <c r="M362" t="n">
        <v>0</v>
      </c>
      <c r="N362" t="n">
        <v>0</v>
      </c>
      <c r="O362" t="n">
        <v>0</v>
      </c>
      <c r="P362" t="n">
        <v>0</v>
      </c>
      <c r="Q362" t="n">
        <v>0</v>
      </c>
      <c r="R362" s="2" t="inlineStr"/>
    </row>
    <row r="363" ht="15" customHeight="1">
      <c r="A363" t="inlineStr">
        <is>
          <t>A 39645-2025</t>
        </is>
      </c>
      <c r="B363" s="1" t="n">
        <v>45890</v>
      </c>
      <c r="C363" s="1" t="n">
        <v>46183</v>
      </c>
      <c r="D363" t="inlineStr">
        <is>
          <t>SÖDERMANLANDS LÄN</t>
        </is>
      </c>
      <c r="E363" t="inlineStr">
        <is>
          <t>KATRINEHOLM</t>
        </is>
      </c>
      <c r="G363" t="n">
        <v>0.2</v>
      </c>
      <c r="H363" t="n">
        <v>0</v>
      </c>
      <c r="I363" t="n">
        <v>0</v>
      </c>
      <c r="J363" t="n">
        <v>0</v>
      </c>
      <c r="K363" t="n">
        <v>0</v>
      </c>
      <c r="L363" t="n">
        <v>0</v>
      </c>
      <c r="M363" t="n">
        <v>0</v>
      </c>
      <c r="N363" t="n">
        <v>0</v>
      </c>
      <c r="O363" t="n">
        <v>0</v>
      </c>
      <c r="P363" t="n">
        <v>0</v>
      </c>
      <c r="Q363" t="n">
        <v>0</v>
      </c>
      <c r="R363" s="2" t="inlineStr"/>
    </row>
    <row r="364" ht="15" customHeight="1">
      <c r="A364" t="inlineStr">
        <is>
          <t>A 39663-2025</t>
        </is>
      </c>
      <c r="B364" s="1" t="n">
        <v>45890</v>
      </c>
      <c r="C364" s="1" t="n">
        <v>46183</v>
      </c>
      <c r="D364" t="inlineStr">
        <is>
          <t>SÖDERMANLANDS LÄN</t>
        </is>
      </c>
      <c r="E364" t="inlineStr">
        <is>
          <t>KATRINEHOLM</t>
        </is>
      </c>
      <c r="G364" t="n">
        <v>0.5</v>
      </c>
      <c r="H364" t="n">
        <v>0</v>
      </c>
      <c r="I364" t="n">
        <v>0</v>
      </c>
      <c r="J364" t="n">
        <v>0</v>
      </c>
      <c r="K364" t="n">
        <v>0</v>
      </c>
      <c r="L364" t="n">
        <v>0</v>
      </c>
      <c r="M364" t="n">
        <v>0</v>
      </c>
      <c r="N364" t="n">
        <v>0</v>
      </c>
      <c r="O364" t="n">
        <v>0</v>
      </c>
      <c r="P364" t="n">
        <v>0</v>
      </c>
      <c r="Q364" t="n">
        <v>0</v>
      </c>
      <c r="R364" s="2" t="inlineStr"/>
    </row>
    <row r="365" ht="15" customHeight="1">
      <c r="A365" t="inlineStr">
        <is>
          <t>A 55590-2023</t>
        </is>
      </c>
      <c r="B365" s="1" t="n">
        <v>45238</v>
      </c>
      <c r="C365" s="1" t="n">
        <v>46183</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36-2023</t>
        </is>
      </c>
      <c r="B366" s="1" t="n">
        <v>44928.36578703704</v>
      </c>
      <c r="C366" s="1" t="n">
        <v>46183</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10341-2022</t>
        </is>
      </c>
      <c r="B367" s="1" t="n">
        <v>44623</v>
      </c>
      <c r="C367" s="1" t="n">
        <v>46183</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15898-2022</t>
        </is>
      </c>
      <c r="B368" s="1" t="n">
        <v>44664.55688657407</v>
      </c>
      <c r="C368" s="1" t="n">
        <v>46183</v>
      </c>
      <c r="D368" t="inlineStr">
        <is>
          <t>SÖDERMANLANDS LÄN</t>
        </is>
      </c>
      <c r="E368" t="inlineStr">
        <is>
          <t>KATRINEHOLM</t>
        </is>
      </c>
      <c r="G368" t="n">
        <v>6.5</v>
      </c>
      <c r="H368" t="n">
        <v>0</v>
      </c>
      <c r="I368" t="n">
        <v>0</v>
      </c>
      <c r="J368" t="n">
        <v>0</v>
      </c>
      <c r="K368" t="n">
        <v>0</v>
      </c>
      <c r="L368" t="n">
        <v>0</v>
      </c>
      <c r="M368" t="n">
        <v>0</v>
      </c>
      <c r="N368" t="n">
        <v>0</v>
      </c>
      <c r="O368" t="n">
        <v>0</v>
      </c>
      <c r="P368" t="n">
        <v>0</v>
      </c>
      <c r="Q368" t="n">
        <v>0</v>
      </c>
      <c r="R368" s="2" t="inlineStr"/>
    </row>
    <row r="369" ht="15" customHeight="1">
      <c r="A369" t="inlineStr">
        <is>
          <t>A 15910-2022</t>
        </is>
      </c>
      <c r="B369" s="1" t="n">
        <v>44664</v>
      </c>
      <c r="C369" s="1" t="n">
        <v>46183</v>
      </c>
      <c r="D369" t="inlineStr">
        <is>
          <t>SÖDERMANLANDS LÄN</t>
        </is>
      </c>
      <c r="E369" t="inlineStr">
        <is>
          <t>KATRINEHOLM</t>
        </is>
      </c>
      <c r="G369" t="n">
        <v>5.6</v>
      </c>
      <c r="H369" t="n">
        <v>0</v>
      </c>
      <c r="I369" t="n">
        <v>0</v>
      </c>
      <c r="J369" t="n">
        <v>0</v>
      </c>
      <c r="K369" t="n">
        <v>0</v>
      </c>
      <c r="L369" t="n">
        <v>0</v>
      </c>
      <c r="M369" t="n">
        <v>0</v>
      </c>
      <c r="N369" t="n">
        <v>0</v>
      </c>
      <c r="O369" t="n">
        <v>0</v>
      </c>
      <c r="P369" t="n">
        <v>0</v>
      </c>
      <c r="Q369" t="n">
        <v>0</v>
      </c>
      <c r="R369" s="2" t="inlineStr"/>
    </row>
    <row r="370" ht="15" customHeight="1">
      <c r="A370" t="inlineStr">
        <is>
          <t>A 12835-2024</t>
        </is>
      </c>
      <c r="B370" s="1" t="n">
        <v>45384</v>
      </c>
      <c r="C370" s="1" t="n">
        <v>46183</v>
      </c>
      <c r="D370" t="inlineStr">
        <is>
          <t>SÖDERMANLANDS LÄN</t>
        </is>
      </c>
      <c r="E370" t="inlineStr">
        <is>
          <t>KATRINEHOLM</t>
        </is>
      </c>
      <c r="F370" t="inlineStr">
        <is>
          <t>Allmännings- och besparingsskogar</t>
        </is>
      </c>
      <c r="G370" t="n">
        <v>0.5</v>
      </c>
      <c r="H370" t="n">
        <v>0</v>
      </c>
      <c r="I370" t="n">
        <v>0</v>
      </c>
      <c r="J370" t="n">
        <v>0</v>
      </c>
      <c r="K370" t="n">
        <v>0</v>
      </c>
      <c r="L370" t="n">
        <v>0</v>
      </c>
      <c r="M370" t="n">
        <v>0</v>
      </c>
      <c r="N370" t="n">
        <v>0</v>
      </c>
      <c r="O370" t="n">
        <v>0</v>
      </c>
      <c r="P370" t="n">
        <v>0</v>
      </c>
      <c r="Q370" t="n">
        <v>0</v>
      </c>
      <c r="R370" s="2" t="inlineStr"/>
    </row>
    <row r="371" ht="15" customHeight="1">
      <c r="A371" t="inlineStr">
        <is>
          <t>A 25716-2022</t>
        </is>
      </c>
      <c r="B371" s="1" t="n">
        <v>44733.39600694444</v>
      </c>
      <c r="C371" s="1" t="n">
        <v>46183</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6807-2023</t>
        </is>
      </c>
      <c r="B372" s="1" t="n">
        <v>44964</v>
      </c>
      <c r="C372" s="1" t="n">
        <v>46183</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32818-2023</t>
        </is>
      </c>
      <c r="B373" s="1" t="n">
        <v>45124.55633101852</v>
      </c>
      <c r="C373" s="1" t="n">
        <v>46183</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9668-2023</t>
        </is>
      </c>
      <c r="B374" s="1" t="n">
        <v>44984.41238425926</v>
      </c>
      <c r="C374" s="1" t="n">
        <v>46183</v>
      </c>
      <c r="D374" t="inlineStr">
        <is>
          <t>SÖDERMANLANDS LÄN</t>
        </is>
      </c>
      <c r="E374" t="inlineStr">
        <is>
          <t>KATRINEHOLM</t>
        </is>
      </c>
      <c r="G374" t="n">
        <v>4.8</v>
      </c>
      <c r="H374" t="n">
        <v>0</v>
      </c>
      <c r="I374" t="n">
        <v>0</v>
      </c>
      <c r="J374" t="n">
        <v>0</v>
      </c>
      <c r="K374" t="n">
        <v>0</v>
      </c>
      <c r="L374" t="n">
        <v>0</v>
      </c>
      <c r="M374" t="n">
        <v>0</v>
      </c>
      <c r="N374" t="n">
        <v>0</v>
      </c>
      <c r="O374" t="n">
        <v>0</v>
      </c>
      <c r="P374" t="n">
        <v>0</v>
      </c>
      <c r="Q374" t="n">
        <v>0</v>
      </c>
      <c r="R374" s="2" t="inlineStr"/>
    </row>
    <row r="375" ht="15" customHeight="1">
      <c r="A375" t="inlineStr">
        <is>
          <t>A 9044-2022</t>
        </is>
      </c>
      <c r="B375" s="1" t="n">
        <v>44602</v>
      </c>
      <c r="C375" s="1" t="n">
        <v>46183</v>
      </c>
      <c r="D375" t="inlineStr">
        <is>
          <t>SÖDERMANLANDS LÄN</t>
        </is>
      </c>
      <c r="E375" t="inlineStr">
        <is>
          <t>KATRINEHOLM</t>
        </is>
      </c>
      <c r="G375" t="n">
        <v>5.8</v>
      </c>
      <c r="H375" t="n">
        <v>0</v>
      </c>
      <c r="I375" t="n">
        <v>0</v>
      </c>
      <c r="J375" t="n">
        <v>0</v>
      </c>
      <c r="K375" t="n">
        <v>0</v>
      </c>
      <c r="L375" t="n">
        <v>0</v>
      </c>
      <c r="M375" t="n">
        <v>0</v>
      </c>
      <c r="N375" t="n">
        <v>0</v>
      </c>
      <c r="O375" t="n">
        <v>0</v>
      </c>
      <c r="P375" t="n">
        <v>0</v>
      </c>
      <c r="Q375" t="n">
        <v>0</v>
      </c>
      <c r="R375" s="2" t="inlineStr"/>
    </row>
    <row r="376" ht="15" customHeight="1">
      <c r="A376" t="inlineStr">
        <is>
          <t>A 20214-2025</t>
        </is>
      </c>
      <c r="B376" s="1" t="n">
        <v>45772.63540509259</v>
      </c>
      <c r="C376" s="1" t="n">
        <v>46183</v>
      </c>
      <c r="D376" t="inlineStr">
        <is>
          <t>SÖDERMANLANDS LÄN</t>
        </is>
      </c>
      <c r="E376" t="inlineStr">
        <is>
          <t>KATRINEHOLM</t>
        </is>
      </c>
      <c r="G376" t="n">
        <v>1.8</v>
      </c>
      <c r="H376" t="n">
        <v>0</v>
      </c>
      <c r="I376" t="n">
        <v>0</v>
      </c>
      <c r="J376" t="n">
        <v>0</v>
      </c>
      <c r="K376" t="n">
        <v>0</v>
      </c>
      <c r="L376" t="n">
        <v>0</v>
      </c>
      <c r="M376" t="n">
        <v>0</v>
      </c>
      <c r="N376" t="n">
        <v>0</v>
      </c>
      <c r="O376" t="n">
        <v>0</v>
      </c>
      <c r="P376" t="n">
        <v>0</v>
      </c>
      <c r="Q376" t="n">
        <v>0</v>
      </c>
      <c r="R376" s="2" t="inlineStr"/>
    </row>
    <row r="377" ht="15" customHeight="1">
      <c r="A377" t="inlineStr">
        <is>
          <t>A 31990-2025</t>
        </is>
      </c>
      <c r="B377" s="1" t="n">
        <v>45835.36697916667</v>
      </c>
      <c r="C377" s="1" t="n">
        <v>46183</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22272-2022</t>
        </is>
      </c>
      <c r="B378" s="1" t="n">
        <v>44712</v>
      </c>
      <c r="C378" s="1" t="n">
        <v>46183</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27334-2023</t>
        </is>
      </c>
      <c r="B379" s="1" t="n">
        <v>45096</v>
      </c>
      <c r="C379" s="1" t="n">
        <v>46183</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48091-2024</t>
        </is>
      </c>
      <c r="B380" s="1" t="n">
        <v>45590</v>
      </c>
      <c r="C380" s="1" t="n">
        <v>46183</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24097-2022</t>
        </is>
      </c>
      <c r="B381" s="1" t="n">
        <v>44725.39371527778</v>
      </c>
      <c r="C381" s="1" t="n">
        <v>46183</v>
      </c>
      <c r="D381" t="inlineStr">
        <is>
          <t>SÖDERMANLANDS LÄN</t>
        </is>
      </c>
      <c r="E381" t="inlineStr">
        <is>
          <t>KATRINEHOLM</t>
        </is>
      </c>
      <c r="G381" t="n">
        <v>6.5</v>
      </c>
      <c r="H381" t="n">
        <v>0</v>
      </c>
      <c r="I381" t="n">
        <v>0</v>
      </c>
      <c r="J381" t="n">
        <v>0</v>
      </c>
      <c r="K381" t="n">
        <v>0</v>
      </c>
      <c r="L381" t="n">
        <v>0</v>
      </c>
      <c r="M381" t="n">
        <v>0</v>
      </c>
      <c r="N381" t="n">
        <v>0</v>
      </c>
      <c r="O381" t="n">
        <v>0</v>
      </c>
      <c r="P381" t="n">
        <v>0</v>
      </c>
      <c r="Q381" t="n">
        <v>0</v>
      </c>
      <c r="R381" s="2" t="inlineStr"/>
    </row>
    <row r="382" ht="15" customHeight="1">
      <c r="A382" t="inlineStr">
        <is>
          <t>A 33577-2025</t>
        </is>
      </c>
      <c r="B382" s="1" t="n">
        <v>45841.59056712963</v>
      </c>
      <c r="C382" s="1" t="n">
        <v>46183</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46670-2021</t>
        </is>
      </c>
      <c r="B383" s="1" t="n">
        <v>44445</v>
      </c>
      <c r="C383" s="1" t="n">
        <v>46183</v>
      </c>
      <c r="D383" t="inlineStr">
        <is>
          <t>SÖDERMANLANDS LÄN</t>
        </is>
      </c>
      <c r="E383" t="inlineStr">
        <is>
          <t>KATRINEHOLM</t>
        </is>
      </c>
      <c r="G383" t="n">
        <v>4.4</v>
      </c>
      <c r="H383" t="n">
        <v>0</v>
      </c>
      <c r="I383" t="n">
        <v>0</v>
      </c>
      <c r="J383" t="n">
        <v>0</v>
      </c>
      <c r="K383" t="n">
        <v>0</v>
      </c>
      <c r="L383" t="n">
        <v>0</v>
      </c>
      <c r="M383" t="n">
        <v>0</v>
      </c>
      <c r="N383" t="n">
        <v>0</v>
      </c>
      <c r="O383" t="n">
        <v>0</v>
      </c>
      <c r="P383" t="n">
        <v>0</v>
      </c>
      <c r="Q383" t="n">
        <v>0</v>
      </c>
      <c r="R383" s="2" t="inlineStr"/>
    </row>
    <row r="384" ht="15" customHeight="1">
      <c r="A384" t="inlineStr">
        <is>
          <t>A 62954-2023</t>
        </is>
      </c>
      <c r="B384" s="1" t="n">
        <v>45272.55362268518</v>
      </c>
      <c r="C384" s="1" t="n">
        <v>46183</v>
      </c>
      <c r="D384" t="inlineStr">
        <is>
          <t>SÖDERMANLANDS LÄN</t>
        </is>
      </c>
      <c r="E384" t="inlineStr">
        <is>
          <t>KATRINEHOLM</t>
        </is>
      </c>
      <c r="G384" t="n">
        <v>2.3</v>
      </c>
      <c r="H384" t="n">
        <v>0</v>
      </c>
      <c r="I384" t="n">
        <v>0</v>
      </c>
      <c r="J384" t="n">
        <v>0</v>
      </c>
      <c r="K384" t="n">
        <v>0</v>
      </c>
      <c r="L384" t="n">
        <v>0</v>
      </c>
      <c r="M384" t="n">
        <v>0</v>
      </c>
      <c r="N384" t="n">
        <v>0</v>
      </c>
      <c r="O384" t="n">
        <v>0</v>
      </c>
      <c r="P384" t="n">
        <v>0</v>
      </c>
      <c r="Q384" t="n">
        <v>0</v>
      </c>
      <c r="R384" s="2" t="inlineStr"/>
    </row>
    <row r="385" ht="15" customHeight="1">
      <c r="A385" t="inlineStr">
        <is>
          <t>A 58651-2023</t>
        </is>
      </c>
      <c r="B385" s="1" t="n">
        <v>45247</v>
      </c>
      <c r="C385" s="1" t="n">
        <v>46183</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6762-2025</t>
        </is>
      </c>
      <c r="B386" s="1" t="n">
        <v>45700</v>
      </c>
      <c r="C386" s="1" t="n">
        <v>46183</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20213-2025</t>
        </is>
      </c>
      <c r="B387" s="1" t="n">
        <v>45772.63453703704</v>
      </c>
      <c r="C387" s="1" t="n">
        <v>46183</v>
      </c>
      <c r="D387" t="inlineStr">
        <is>
          <t>SÖDERMANLANDS LÄN</t>
        </is>
      </c>
      <c r="E387" t="inlineStr">
        <is>
          <t>KATRINEHOLM</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6446-2022</t>
        </is>
      </c>
      <c r="B388" s="1" t="n">
        <v>44600</v>
      </c>
      <c r="C388" s="1" t="n">
        <v>46183</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40186-2023</t>
        </is>
      </c>
      <c r="B389" s="1" t="n">
        <v>45169</v>
      </c>
      <c r="C389" s="1" t="n">
        <v>46183</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51923-2023</t>
        </is>
      </c>
      <c r="B390" s="1" t="n">
        <v>45223</v>
      </c>
      <c r="C390" s="1" t="n">
        <v>46183</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36562-2023</t>
        </is>
      </c>
      <c r="B391" s="1" t="n">
        <v>45153</v>
      </c>
      <c r="C391" s="1" t="n">
        <v>46183</v>
      </c>
      <c r="D391" t="inlineStr">
        <is>
          <t>SÖDERMANLANDS LÄN</t>
        </is>
      </c>
      <c r="E391" t="inlineStr">
        <is>
          <t>KATRINEHOLM</t>
        </is>
      </c>
      <c r="G391" t="n">
        <v>5.8</v>
      </c>
      <c r="H391" t="n">
        <v>0</v>
      </c>
      <c r="I391" t="n">
        <v>0</v>
      </c>
      <c r="J391" t="n">
        <v>0</v>
      </c>
      <c r="K391" t="n">
        <v>0</v>
      </c>
      <c r="L391" t="n">
        <v>0</v>
      </c>
      <c r="M391" t="n">
        <v>0</v>
      </c>
      <c r="N391" t="n">
        <v>0</v>
      </c>
      <c r="O391" t="n">
        <v>0</v>
      </c>
      <c r="P391" t="n">
        <v>0</v>
      </c>
      <c r="Q391" t="n">
        <v>0</v>
      </c>
      <c r="R391" s="2" t="inlineStr"/>
    </row>
    <row r="392" ht="15" customHeight="1">
      <c r="A392" t="inlineStr">
        <is>
          <t>A 34539-2022</t>
        </is>
      </c>
      <c r="B392" s="1" t="n">
        <v>44793.50563657407</v>
      </c>
      <c r="C392" s="1" t="n">
        <v>46183</v>
      </c>
      <c r="D392" t="inlineStr">
        <is>
          <t>SÖDERMANLANDS LÄN</t>
        </is>
      </c>
      <c r="E392" t="inlineStr">
        <is>
          <t>KATRINEHOLM</t>
        </is>
      </c>
      <c r="G392" t="n">
        <v>1</v>
      </c>
      <c r="H392" t="n">
        <v>0</v>
      </c>
      <c r="I392" t="n">
        <v>0</v>
      </c>
      <c r="J392" t="n">
        <v>0</v>
      </c>
      <c r="K392" t="n">
        <v>0</v>
      </c>
      <c r="L392" t="n">
        <v>0</v>
      </c>
      <c r="M392" t="n">
        <v>0</v>
      </c>
      <c r="N392" t="n">
        <v>0</v>
      </c>
      <c r="O392" t="n">
        <v>0</v>
      </c>
      <c r="P392" t="n">
        <v>0</v>
      </c>
      <c r="Q392" t="n">
        <v>0</v>
      </c>
      <c r="R392" s="2" t="inlineStr"/>
    </row>
    <row r="393" ht="15" customHeight="1">
      <c r="A393" t="inlineStr">
        <is>
          <t>A 35152-2025</t>
        </is>
      </c>
      <c r="B393" s="1" t="n">
        <v>45852</v>
      </c>
      <c r="C393" s="1" t="n">
        <v>46183</v>
      </c>
      <c r="D393" t="inlineStr">
        <is>
          <t>SÖDERMANLANDS LÄN</t>
        </is>
      </c>
      <c r="E393" t="inlineStr">
        <is>
          <t>KATRINEHOLM</t>
        </is>
      </c>
      <c r="G393" t="n">
        <v>4.6</v>
      </c>
      <c r="H393" t="n">
        <v>0</v>
      </c>
      <c r="I393" t="n">
        <v>0</v>
      </c>
      <c r="J393" t="n">
        <v>0</v>
      </c>
      <c r="K393" t="n">
        <v>0</v>
      </c>
      <c r="L393" t="n">
        <v>0</v>
      </c>
      <c r="M393" t="n">
        <v>0</v>
      </c>
      <c r="N393" t="n">
        <v>0</v>
      </c>
      <c r="O393" t="n">
        <v>0</v>
      </c>
      <c r="P393" t="n">
        <v>0</v>
      </c>
      <c r="Q393" t="n">
        <v>0</v>
      </c>
      <c r="R393" s="2" t="inlineStr"/>
    </row>
    <row r="394" ht="15" customHeight="1">
      <c r="A394" t="inlineStr">
        <is>
          <t>A 35165-2025</t>
        </is>
      </c>
      <c r="B394" s="1" t="n">
        <v>45852.72320601852</v>
      </c>
      <c r="C394" s="1" t="n">
        <v>46183</v>
      </c>
      <c r="D394" t="inlineStr">
        <is>
          <t>SÖDERMANLANDS LÄN</t>
        </is>
      </c>
      <c r="E394" t="inlineStr">
        <is>
          <t>KATRINEHOLM</t>
        </is>
      </c>
      <c r="F394" t="inlineStr">
        <is>
          <t>Övriga Aktiebolag</t>
        </is>
      </c>
      <c r="G394" t="n">
        <v>20.7</v>
      </c>
      <c r="H394" t="n">
        <v>0</v>
      </c>
      <c r="I394" t="n">
        <v>0</v>
      </c>
      <c r="J394" t="n">
        <v>0</v>
      </c>
      <c r="K394" t="n">
        <v>0</v>
      </c>
      <c r="L394" t="n">
        <v>0</v>
      </c>
      <c r="M394" t="n">
        <v>0</v>
      </c>
      <c r="N394" t="n">
        <v>0</v>
      </c>
      <c r="O394" t="n">
        <v>0</v>
      </c>
      <c r="P394" t="n">
        <v>0</v>
      </c>
      <c r="Q394" t="n">
        <v>0</v>
      </c>
      <c r="R394" s="2" t="inlineStr"/>
    </row>
    <row r="395" ht="15" customHeight="1">
      <c r="A395" t="inlineStr">
        <is>
          <t>A 24748-2024</t>
        </is>
      </c>
      <c r="B395" s="1" t="n">
        <v>45460.66567129629</v>
      </c>
      <c r="C395" s="1" t="n">
        <v>46183</v>
      </c>
      <c r="D395" t="inlineStr">
        <is>
          <t>SÖDERMANLANDS LÄN</t>
        </is>
      </c>
      <c r="E395" t="inlineStr">
        <is>
          <t>KATRINEHOLM</t>
        </is>
      </c>
      <c r="G395" t="n">
        <v>3.3</v>
      </c>
      <c r="H395" t="n">
        <v>0</v>
      </c>
      <c r="I395" t="n">
        <v>0</v>
      </c>
      <c r="J395" t="n">
        <v>0</v>
      </c>
      <c r="K395" t="n">
        <v>0</v>
      </c>
      <c r="L395" t="n">
        <v>0</v>
      </c>
      <c r="M395" t="n">
        <v>0</v>
      </c>
      <c r="N395" t="n">
        <v>0</v>
      </c>
      <c r="O395" t="n">
        <v>0</v>
      </c>
      <c r="P395" t="n">
        <v>0</v>
      </c>
      <c r="Q395" t="n">
        <v>0</v>
      </c>
      <c r="R395" s="2" t="inlineStr"/>
    </row>
    <row r="396" ht="15" customHeight="1">
      <c r="A396" t="inlineStr">
        <is>
          <t>A 18386-2025</t>
        </is>
      </c>
      <c r="B396" s="1" t="n">
        <v>45762</v>
      </c>
      <c r="C396" s="1" t="n">
        <v>46183</v>
      </c>
      <c r="D396" t="inlineStr">
        <is>
          <t>SÖDERMANLANDS LÄN</t>
        </is>
      </c>
      <c r="E396" t="inlineStr">
        <is>
          <t>KATRINEHOLM</t>
        </is>
      </c>
      <c r="G396" t="n">
        <v>0.5</v>
      </c>
      <c r="H396" t="n">
        <v>0</v>
      </c>
      <c r="I396" t="n">
        <v>0</v>
      </c>
      <c r="J396" t="n">
        <v>0</v>
      </c>
      <c r="K396" t="n">
        <v>0</v>
      </c>
      <c r="L396" t="n">
        <v>0</v>
      </c>
      <c r="M396" t="n">
        <v>0</v>
      </c>
      <c r="N396" t="n">
        <v>0</v>
      </c>
      <c r="O396" t="n">
        <v>0</v>
      </c>
      <c r="P396" t="n">
        <v>0</v>
      </c>
      <c r="Q396" t="n">
        <v>0</v>
      </c>
      <c r="R396" s="2" t="inlineStr"/>
    </row>
    <row r="397" ht="15" customHeight="1">
      <c r="A397" t="inlineStr">
        <is>
          <t>A 35084-2025</t>
        </is>
      </c>
      <c r="B397" s="1" t="n">
        <v>45852</v>
      </c>
      <c r="C397" s="1" t="n">
        <v>46183</v>
      </c>
      <c r="D397" t="inlineStr">
        <is>
          <t>SÖDERMANLANDS LÄN</t>
        </is>
      </c>
      <c r="E397" t="inlineStr">
        <is>
          <t>KATRINEHOLM</t>
        </is>
      </c>
      <c r="G397" t="n">
        <v>3.2</v>
      </c>
      <c r="H397" t="n">
        <v>0</v>
      </c>
      <c r="I397" t="n">
        <v>0</v>
      </c>
      <c r="J397" t="n">
        <v>0</v>
      </c>
      <c r="K397" t="n">
        <v>0</v>
      </c>
      <c r="L397" t="n">
        <v>0</v>
      </c>
      <c r="M397" t="n">
        <v>0</v>
      </c>
      <c r="N397" t="n">
        <v>0</v>
      </c>
      <c r="O397" t="n">
        <v>0</v>
      </c>
      <c r="P397" t="n">
        <v>0</v>
      </c>
      <c r="Q397" t="n">
        <v>0</v>
      </c>
      <c r="R397" s="2" t="inlineStr"/>
    </row>
    <row r="398" ht="15" customHeight="1">
      <c r="A398" t="inlineStr">
        <is>
          <t>A 34439-2025</t>
        </is>
      </c>
      <c r="B398" s="1" t="n">
        <v>45845</v>
      </c>
      <c r="C398" s="1" t="n">
        <v>46183</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3125-2024</t>
        </is>
      </c>
      <c r="B399" s="1" t="n">
        <v>45316</v>
      </c>
      <c r="C399" s="1" t="n">
        <v>46183</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35157-2025</t>
        </is>
      </c>
      <c r="B400" s="1" t="n">
        <v>45852</v>
      </c>
      <c r="C400" s="1" t="n">
        <v>46183</v>
      </c>
      <c r="D400" t="inlineStr">
        <is>
          <t>SÖDERMANLANDS LÄN</t>
        </is>
      </c>
      <c r="E400" t="inlineStr">
        <is>
          <t>KATRINEHOLM</t>
        </is>
      </c>
      <c r="G400" t="n">
        <v>3.7</v>
      </c>
      <c r="H400" t="n">
        <v>0</v>
      </c>
      <c r="I400" t="n">
        <v>0</v>
      </c>
      <c r="J400" t="n">
        <v>0</v>
      </c>
      <c r="K400" t="n">
        <v>0</v>
      </c>
      <c r="L400" t="n">
        <v>0</v>
      </c>
      <c r="M400" t="n">
        <v>0</v>
      </c>
      <c r="N400" t="n">
        <v>0</v>
      </c>
      <c r="O400" t="n">
        <v>0</v>
      </c>
      <c r="P400" t="n">
        <v>0</v>
      </c>
      <c r="Q400" t="n">
        <v>0</v>
      </c>
      <c r="R400" s="2" t="inlineStr"/>
    </row>
    <row r="401" ht="15" customHeight="1">
      <c r="A401" t="inlineStr">
        <is>
          <t>A 35158-2025</t>
        </is>
      </c>
      <c r="B401" s="1" t="n">
        <v>45852</v>
      </c>
      <c r="C401" s="1" t="n">
        <v>46183</v>
      </c>
      <c r="D401" t="inlineStr">
        <is>
          <t>SÖDERMANLANDS LÄN</t>
        </is>
      </c>
      <c r="E401" t="inlineStr">
        <is>
          <t>KATRINEHOLM</t>
        </is>
      </c>
      <c r="G401" t="n">
        <v>1.2</v>
      </c>
      <c r="H401" t="n">
        <v>0</v>
      </c>
      <c r="I401" t="n">
        <v>0</v>
      </c>
      <c r="J401" t="n">
        <v>0</v>
      </c>
      <c r="K401" t="n">
        <v>0</v>
      </c>
      <c r="L401" t="n">
        <v>0</v>
      </c>
      <c r="M401" t="n">
        <v>0</v>
      </c>
      <c r="N401" t="n">
        <v>0</v>
      </c>
      <c r="O401" t="n">
        <v>0</v>
      </c>
      <c r="P401" t="n">
        <v>0</v>
      </c>
      <c r="Q401" t="n">
        <v>0</v>
      </c>
      <c r="R401" s="2" t="inlineStr"/>
    </row>
    <row r="402" ht="15" customHeight="1">
      <c r="A402" t="inlineStr">
        <is>
          <t>A 35183-2022</t>
        </is>
      </c>
      <c r="B402" s="1" t="n">
        <v>44797</v>
      </c>
      <c r="C402" s="1" t="n">
        <v>46183</v>
      </c>
      <c r="D402" t="inlineStr">
        <is>
          <t>SÖDERMANLANDS LÄN</t>
        </is>
      </c>
      <c r="E402" t="inlineStr">
        <is>
          <t>KATRINEHOLM</t>
        </is>
      </c>
      <c r="G402" t="n">
        <v>4.6</v>
      </c>
      <c r="H402" t="n">
        <v>0</v>
      </c>
      <c r="I402" t="n">
        <v>0</v>
      </c>
      <c r="J402" t="n">
        <v>0</v>
      </c>
      <c r="K402" t="n">
        <v>0</v>
      </c>
      <c r="L402" t="n">
        <v>0</v>
      </c>
      <c r="M402" t="n">
        <v>0</v>
      </c>
      <c r="N402" t="n">
        <v>0</v>
      </c>
      <c r="O402" t="n">
        <v>0</v>
      </c>
      <c r="P402" t="n">
        <v>0</v>
      </c>
      <c r="Q402" t="n">
        <v>0</v>
      </c>
      <c r="R402" s="2" t="inlineStr"/>
    </row>
    <row r="403" ht="15" customHeight="1">
      <c r="A403" t="inlineStr">
        <is>
          <t>A 34176-2025</t>
        </is>
      </c>
      <c r="B403" s="1" t="n">
        <v>45845</v>
      </c>
      <c r="C403" s="1" t="n">
        <v>46183</v>
      </c>
      <c r="D403" t="inlineStr">
        <is>
          <t>SÖDERMANLANDS LÄN</t>
        </is>
      </c>
      <c r="E403" t="inlineStr">
        <is>
          <t>KATRINEHOLM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44024-2021</t>
        </is>
      </c>
      <c r="B404" s="1" t="n">
        <v>44434</v>
      </c>
      <c r="C404" s="1" t="n">
        <v>46183</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42519-2024</t>
        </is>
      </c>
      <c r="B405" s="1" t="n">
        <v>45565</v>
      </c>
      <c r="C405" s="1" t="n">
        <v>46183</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20826-2022</t>
        </is>
      </c>
      <c r="B406" s="1" t="n">
        <v>44701.44754629629</v>
      </c>
      <c r="C406" s="1" t="n">
        <v>46183</v>
      </c>
      <c r="D406" t="inlineStr">
        <is>
          <t>SÖDERMANLANDS LÄN</t>
        </is>
      </c>
      <c r="E406" t="inlineStr">
        <is>
          <t>KATRINEHOLM</t>
        </is>
      </c>
      <c r="G406" t="n">
        <v>6.8</v>
      </c>
      <c r="H406" t="n">
        <v>0</v>
      </c>
      <c r="I406" t="n">
        <v>0</v>
      </c>
      <c r="J406" t="n">
        <v>0</v>
      </c>
      <c r="K406" t="n">
        <v>0</v>
      </c>
      <c r="L406" t="n">
        <v>0</v>
      </c>
      <c r="M406" t="n">
        <v>0</v>
      </c>
      <c r="N406" t="n">
        <v>0</v>
      </c>
      <c r="O406" t="n">
        <v>0</v>
      </c>
      <c r="P406" t="n">
        <v>0</v>
      </c>
      <c r="Q406" t="n">
        <v>0</v>
      </c>
      <c r="R406" s="2" t="inlineStr"/>
    </row>
    <row r="407" ht="15" customHeight="1">
      <c r="A407" t="inlineStr">
        <is>
          <t>A 20846-2022</t>
        </is>
      </c>
      <c r="B407" s="1" t="n">
        <v>44701.4744212963</v>
      </c>
      <c r="C407" s="1" t="n">
        <v>46183</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40402-2022</t>
        </is>
      </c>
      <c r="B408" s="1" t="n">
        <v>44823.44353009259</v>
      </c>
      <c r="C408" s="1" t="n">
        <v>46183</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26684-2025</t>
        </is>
      </c>
      <c r="B409" s="1" t="n">
        <v>45810</v>
      </c>
      <c r="C409" s="1" t="n">
        <v>46183</v>
      </c>
      <c r="D409" t="inlineStr">
        <is>
          <t>SÖDERMANLANDS LÄN</t>
        </is>
      </c>
      <c r="E409" t="inlineStr">
        <is>
          <t>KATRINEHOLM</t>
        </is>
      </c>
      <c r="G409" t="n">
        <v>1</v>
      </c>
      <c r="H409" t="n">
        <v>0</v>
      </c>
      <c r="I409" t="n">
        <v>0</v>
      </c>
      <c r="J409" t="n">
        <v>0</v>
      </c>
      <c r="K409" t="n">
        <v>0</v>
      </c>
      <c r="L409" t="n">
        <v>0</v>
      </c>
      <c r="M409" t="n">
        <v>0</v>
      </c>
      <c r="N409" t="n">
        <v>0</v>
      </c>
      <c r="O409" t="n">
        <v>0</v>
      </c>
      <c r="P409" t="n">
        <v>0</v>
      </c>
      <c r="Q409" t="n">
        <v>0</v>
      </c>
      <c r="R409" s="2" t="inlineStr"/>
    </row>
    <row r="410" ht="15" customHeight="1">
      <c r="A410" t="inlineStr">
        <is>
          <t>A 17820-2025</t>
        </is>
      </c>
      <c r="B410" s="1" t="n">
        <v>45758</v>
      </c>
      <c r="C410" s="1" t="n">
        <v>46183</v>
      </c>
      <c r="D410" t="inlineStr">
        <is>
          <t>SÖDERMANLANDS LÄN</t>
        </is>
      </c>
      <c r="E410" t="inlineStr">
        <is>
          <t>KATRINEHOLM</t>
        </is>
      </c>
      <c r="G410" t="n">
        <v>5.9</v>
      </c>
      <c r="H410" t="n">
        <v>0</v>
      </c>
      <c r="I410" t="n">
        <v>0</v>
      </c>
      <c r="J410" t="n">
        <v>0</v>
      </c>
      <c r="K410" t="n">
        <v>0</v>
      </c>
      <c r="L410" t="n">
        <v>0</v>
      </c>
      <c r="M410" t="n">
        <v>0</v>
      </c>
      <c r="N410" t="n">
        <v>0</v>
      </c>
      <c r="O410" t="n">
        <v>0</v>
      </c>
      <c r="P410" t="n">
        <v>0</v>
      </c>
      <c r="Q410" t="n">
        <v>0</v>
      </c>
      <c r="R410" s="2" t="inlineStr"/>
    </row>
    <row r="411" ht="15" customHeight="1">
      <c r="A411" t="inlineStr">
        <is>
          <t>A 30387-2022</t>
        </is>
      </c>
      <c r="B411" s="1" t="n">
        <v>44760</v>
      </c>
      <c r="C411" s="1" t="n">
        <v>46183</v>
      </c>
      <c r="D411" t="inlineStr">
        <is>
          <t>SÖDERMANLANDS LÄN</t>
        </is>
      </c>
      <c r="E411" t="inlineStr">
        <is>
          <t>KATRINEHOLM</t>
        </is>
      </c>
      <c r="G411" t="n">
        <v>1.9</v>
      </c>
      <c r="H411" t="n">
        <v>0</v>
      </c>
      <c r="I411" t="n">
        <v>0</v>
      </c>
      <c r="J411" t="n">
        <v>0</v>
      </c>
      <c r="K411" t="n">
        <v>0</v>
      </c>
      <c r="L411" t="n">
        <v>0</v>
      </c>
      <c r="M411" t="n">
        <v>0</v>
      </c>
      <c r="N411" t="n">
        <v>0</v>
      </c>
      <c r="O411" t="n">
        <v>0</v>
      </c>
      <c r="P411" t="n">
        <v>0</v>
      </c>
      <c r="Q411" t="n">
        <v>0</v>
      </c>
      <c r="R411" s="2" t="inlineStr"/>
    </row>
    <row r="412" ht="15" customHeight="1">
      <c r="A412" t="inlineStr">
        <is>
          <t>A 41074-2025</t>
        </is>
      </c>
      <c r="B412" s="1" t="n">
        <v>45898</v>
      </c>
      <c r="C412" s="1" t="n">
        <v>46183</v>
      </c>
      <c r="D412" t="inlineStr">
        <is>
          <t>SÖDERMANLANDS LÄN</t>
        </is>
      </c>
      <c r="E412" t="inlineStr">
        <is>
          <t>KATRINEHOLM</t>
        </is>
      </c>
      <c r="F412" t="inlineStr">
        <is>
          <t>Allmännings- och besparingsskogar</t>
        </is>
      </c>
      <c r="G412" t="n">
        <v>4.8</v>
      </c>
      <c r="H412" t="n">
        <v>0</v>
      </c>
      <c r="I412" t="n">
        <v>0</v>
      </c>
      <c r="J412" t="n">
        <v>0</v>
      </c>
      <c r="K412" t="n">
        <v>0</v>
      </c>
      <c r="L412" t="n">
        <v>0</v>
      </c>
      <c r="M412" t="n">
        <v>0</v>
      </c>
      <c r="N412" t="n">
        <v>0</v>
      </c>
      <c r="O412" t="n">
        <v>0</v>
      </c>
      <c r="P412" t="n">
        <v>0</v>
      </c>
      <c r="Q412" t="n">
        <v>0</v>
      </c>
      <c r="R412" s="2" t="inlineStr"/>
    </row>
    <row r="413" ht="15" customHeight="1">
      <c r="A413" t="inlineStr">
        <is>
          <t>A 49078-2024</t>
        </is>
      </c>
      <c r="B413" s="1" t="n">
        <v>45594.62556712963</v>
      </c>
      <c r="C413" s="1" t="n">
        <v>46183</v>
      </c>
      <c r="D413" t="inlineStr">
        <is>
          <t>SÖDERMANLANDS LÄN</t>
        </is>
      </c>
      <c r="E413" t="inlineStr">
        <is>
          <t>KATRINEHOLM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12227-2025</t>
        </is>
      </c>
      <c r="B414" s="1" t="n">
        <v>45729.56836805555</v>
      </c>
      <c r="C414" s="1" t="n">
        <v>46183</v>
      </c>
      <c r="D414" t="inlineStr">
        <is>
          <t>SÖDERMANLANDS LÄN</t>
        </is>
      </c>
      <c r="E414" t="inlineStr">
        <is>
          <t>KATRINEHOLM</t>
        </is>
      </c>
      <c r="G414" t="n">
        <v>7</v>
      </c>
      <c r="H414" t="n">
        <v>0</v>
      </c>
      <c r="I414" t="n">
        <v>0</v>
      </c>
      <c r="J414" t="n">
        <v>0</v>
      </c>
      <c r="K414" t="n">
        <v>0</v>
      </c>
      <c r="L414" t="n">
        <v>0</v>
      </c>
      <c r="M414" t="n">
        <v>0</v>
      </c>
      <c r="N414" t="n">
        <v>0</v>
      </c>
      <c r="O414" t="n">
        <v>0</v>
      </c>
      <c r="P414" t="n">
        <v>0</v>
      </c>
      <c r="Q414" t="n">
        <v>0</v>
      </c>
      <c r="R414" s="2" t="inlineStr"/>
    </row>
    <row r="415" ht="15" customHeight="1">
      <c r="A415" t="inlineStr">
        <is>
          <t>A 47879-2023</t>
        </is>
      </c>
      <c r="B415" s="1" t="n">
        <v>45204</v>
      </c>
      <c r="C415" s="1" t="n">
        <v>46183</v>
      </c>
      <c r="D415" t="inlineStr">
        <is>
          <t>SÖDERMANLANDS LÄN</t>
        </is>
      </c>
      <c r="E415" t="inlineStr">
        <is>
          <t>KATRINEHOLM</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49341-2024</t>
        </is>
      </c>
      <c r="B416" s="1" t="n">
        <v>45595</v>
      </c>
      <c r="C416" s="1" t="n">
        <v>46183</v>
      </c>
      <c r="D416" t="inlineStr">
        <is>
          <t>SÖDERMANLANDS LÄN</t>
        </is>
      </c>
      <c r="E416" t="inlineStr">
        <is>
          <t>KATRINEHOLM</t>
        </is>
      </c>
      <c r="G416" t="n">
        <v>10</v>
      </c>
      <c r="H416" t="n">
        <v>0</v>
      </c>
      <c r="I416" t="n">
        <v>0</v>
      </c>
      <c r="J416" t="n">
        <v>0</v>
      </c>
      <c r="K416" t="n">
        <v>0</v>
      </c>
      <c r="L416" t="n">
        <v>0</v>
      </c>
      <c r="M416" t="n">
        <v>0</v>
      </c>
      <c r="N416" t="n">
        <v>0</v>
      </c>
      <c r="O416" t="n">
        <v>0</v>
      </c>
      <c r="P416" t="n">
        <v>0</v>
      </c>
      <c r="Q416" t="n">
        <v>0</v>
      </c>
      <c r="R416" s="2" t="inlineStr"/>
    </row>
    <row r="417" ht="15" customHeight="1">
      <c r="A417" t="inlineStr">
        <is>
          <t>A 12975-2022</t>
        </is>
      </c>
      <c r="B417" s="1" t="n">
        <v>44643</v>
      </c>
      <c r="C417" s="1" t="n">
        <v>46183</v>
      </c>
      <c r="D417" t="inlineStr">
        <is>
          <t>SÖDERMANLANDS LÄN</t>
        </is>
      </c>
      <c r="E417" t="inlineStr">
        <is>
          <t>KATRINEHOLM</t>
        </is>
      </c>
      <c r="G417" t="n">
        <v>2.4</v>
      </c>
      <c r="H417" t="n">
        <v>0</v>
      </c>
      <c r="I417" t="n">
        <v>0</v>
      </c>
      <c r="J417" t="n">
        <v>0</v>
      </c>
      <c r="K417" t="n">
        <v>0</v>
      </c>
      <c r="L417" t="n">
        <v>0</v>
      </c>
      <c r="M417" t="n">
        <v>0</v>
      </c>
      <c r="N417" t="n">
        <v>0</v>
      </c>
      <c r="O417" t="n">
        <v>0</v>
      </c>
      <c r="P417" t="n">
        <v>0</v>
      </c>
      <c r="Q417" t="n">
        <v>0</v>
      </c>
      <c r="R417" s="2" t="inlineStr"/>
    </row>
    <row r="418" ht="15" customHeight="1">
      <c r="A418" t="inlineStr">
        <is>
          <t>A 51260-2021</t>
        </is>
      </c>
      <c r="B418" s="1" t="n">
        <v>44461</v>
      </c>
      <c r="C418" s="1" t="n">
        <v>46183</v>
      </c>
      <c r="D418" t="inlineStr">
        <is>
          <t>SÖDERMANLANDS LÄN</t>
        </is>
      </c>
      <c r="E418" t="inlineStr">
        <is>
          <t>KATRINEHOLM</t>
        </is>
      </c>
      <c r="G418" t="n">
        <v>0.7</v>
      </c>
      <c r="H418" t="n">
        <v>0</v>
      </c>
      <c r="I418" t="n">
        <v>0</v>
      </c>
      <c r="J418" t="n">
        <v>0</v>
      </c>
      <c r="K418" t="n">
        <v>0</v>
      </c>
      <c r="L418" t="n">
        <v>0</v>
      </c>
      <c r="M418" t="n">
        <v>0</v>
      </c>
      <c r="N418" t="n">
        <v>0</v>
      </c>
      <c r="O418" t="n">
        <v>0</v>
      </c>
      <c r="P418" t="n">
        <v>0</v>
      </c>
      <c r="Q418" t="n">
        <v>0</v>
      </c>
      <c r="R418" s="2" t="inlineStr"/>
    </row>
    <row r="419" ht="15" customHeight="1">
      <c r="A419" t="inlineStr">
        <is>
          <t>A 53843-2023</t>
        </is>
      </c>
      <c r="B419" s="1" t="n">
        <v>45230</v>
      </c>
      <c r="C419" s="1" t="n">
        <v>46183</v>
      </c>
      <c r="D419" t="inlineStr">
        <is>
          <t>SÖDERMANLANDS LÄN</t>
        </is>
      </c>
      <c r="E419" t="inlineStr">
        <is>
          <t>KATRINEHOLM</t>
        </is>
      </c>
      <c r="G419" t="n">
        <v>14.2</v>
      </c>
      <c r="H419" t="n">
        <v>0</v>
      </c>
      <c r="I419" t="n">
        <v>0</v>
      </c>
      <c r="J419" t="n">
        <v>0</v>
      </c>
      <c r="K419" t="n">
        <v>0</v>
      </c>
      <c r="L419" t="n">
        <v>0</v>
      </c>
      <c r="M419" t="n">
        <v>0</v>
      </c>
      <c r="N419" t="n">
        <v>0</v>
      </c>
      <c r="O419" t="n">
        <v>0</v>
      </c>
      <c r="P419" t="n">
        <v>0</v>
      </c>
      <c r="Q419" t="n">
        <v>0</v>
      </c>
      <c r="R419" s="2" t="inlineStr"/>
    </row>
    <row r="420" ht="15" customHeight="1">
      <c r="A420" t="inlineStr">
        <is>
          <t>A 37043-2025</t>
        </is>
      </c>
      <c r="B420" s="1" t="n">
        <v>45875.3396412037</v>
      </c>
      <c r="C420" s="1" t="n">
        <v>46183</v>
      </c>
      <c r="D420" t="inlineStr">
        <is>
          <t>SÖDERMANLANDS LÄN</t>
        </is>
      </c>
      <c r="E420" t="inlineStr">
        <is>
          <t>KATRINEHOLM</t>
        </is>
      </c>
      <c r="G420" t="n">
        <v>2.2</v>
      </c>
      <c r="H420" t="n">
        <v>0</v>
      </c>
      <c r="I420" t="n">
        <v>0</v>
      </c>
      <c r="J420" t="n">
        <v>0</v>
      </c>
      <c r="K420" t="n">
        <v>0</v>
      </c>
      <c r="L420" t="n">
        <v>0</v>
      </c>
      <c r="M420" t="n">
        <v>0</v>
      </c>
      <c r="N420" t="n">
        <v>0</v>
      </c>
      <c r="O420" t="n">
        <v>0</v>
      </c>
      <c r="P420" t="n">
        <v>0</v>
      </c>
      <c r="Q420" t="n">
        <v>0</v>
      </c>
      <c r="R420" s="2" t="inlineStr"/>
    </row>
    <row r="421" ht="15" customHeight="1">
      <c r="A421" t="inlineStr">
        <is>
          <t>A 39052-2023</t>
        </is>
      </c>
      <c r="B421" s="1" t="n">
        <v>45163</v>
      </c>
      <c r="C421" s="1" t="n">
        <v>46183</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8922-2024</t>
        </is>
      </c>
      <c r="B422" s="1" t="n">
        <v>45357.38601851852</v>
      </c>
      <c r="C422" s="1" t="n">
        <v>46183</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48763-2024</t>
        </is>
      </c>
      <c r="B423" s="1" t="n">
        <v>45593.60288194445</v>
      </c>
      <c r="C423" s="1" t="n">
        <v>46183</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14478-2023</t>
        </is>
      </c>
      <c r="B424" s="1" t="n">
        <v>45012.66421296296</v>
      </c>
      <c r="C424" s="1" t="n">
        <v>46183</v>
      </c>
      <c r="D424" t="inlineStr">
        <is>
          <t>SÖDERMANLANDS LÄN</t>
        </is>
      </c>
      <c r="E424" t="inlineStr">
        <is>
          <t>KATRINEHOLM</t>
        </is>
      </c>
      <c r="G424" t="n">
        <v>3.9</v>
      </c>
      <c r="H424" t="n">
        <v>0</v>
      </c>
      <c r="I424" t="n">
        <v>0</v>
      </c>
      <c r="J424" t="n">
        <v>0</v>
      </c>
      <c r="K424" t="n">
        <v>0</v>
      </c>
      <c r="L424" t="n">
        <v>0</v>
      </c>
      <c r="M424" t="n">
        <v>0</v>
      </c>
      <c r="N424" t="n">
        <v>0</v>
      </c>
      <c r="O424" t="n">
        <v>0</v>
      </c>
      <c r="P424" t="n">
        <v>0</v>
      </c>
      <c r="Q424" t="n">
        <v>0</v>
      </c>
      <c r="R424" s="2" t="inlineStr"/>
    </row>
    <row r="425" ht="15" customHeight="1">
      <c r="A425" t="inlineStr">
        <is>
          <t>A 20921-2023</t>
        </is>
      </c>
      <c r="B425" s="1" t="n">
        <v>45061</v>
      </c>
      <c r="C425" s="1" t="n">
        <v>46183</v>
      </c>
      <c r="D425" t="inlineStr">
        <is>
          <t>SÖDERMANLANDS LÄN</t>
        </is>
      </c>
      <c r="E425" t="inlineStr">
        <is>
          <t>KATRINEHOLM</t>
        </is>
      </c>
      <c r="G425" t="n">
        <v>8.9</v>
      </c>
      <c r="H425" t="n">
        <v>0</v>
      </c>
      <c r="I425" t="n">
        <v>0</v>
      </c>
      <c r="J425" t="n">
        <v>0</v>
      </c>
      <c r="K425" t="n">
        <v>0</v>
      </c>
      <c r="L425" t="n">
        <v>0</v>
      </c>
      <c r="M425" t="n">
        <v>0</v>
      </c>
      <c r="N425" t="n">
        <v>0</v>
      </c>
      <c r="O425" t="n">
        <v>0</v>
      </c>
      <c r="P425" t="n">
        <v>0</v>
      </c>
      <c r="Q425" t="n">
        <v>0</v>
      </c>
      <c r="R425" s="2" t="inlineStr"/>
    </row>
    <row r="426" ht="15" customHeight="1">
      <c r="A426" t="inlineStr">
        <is>
          <t>A 12930-2023</t>
        </is>
      </c>
      <c r="B426" s="1" t="n">
        <v>45001</v>
      </c>
      <c r="C426" s="1" t="n">
        <v>46183</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12938-2023</t>
        </is>
      </c>
      <c r="B427" s="1" t="n">
        <v>45001</v>
      </c>
      <c r="C427" s="1" t="n">
        <v>46183</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48160-2022</t>
        </is>
      </c>
      <c r="B428" s="1" t="n">
        <v>44853</v>
      </c>
      <c r="C428" s="1" t="n">
        <v>46183</v>
      </c>
      <c r="D428" t="inlineStr">
        <is>
          <t>SÖDERMANLANDS LÄN</t>
        </is>
      </c>
      <c r="E428" t="inlineStr">
        <is>
          <t>KATRINEHOLM</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12559-2023</t>
        </is>
      </c>
      <c r="B429" s="1" t="n">
        <v>45000.36373842593</v>
      </c>
      <c r="C429" s="1" t="n">
        <v>46183</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7704-2023</t>
        </is>
      </c>
      <c r="B430" s="1" t="n">
        <v>44968</v>
      </c>
      <c r="C430" s="1" t="n">
        <v>46183</v>
      </c>
      <c r="D430" t="inlineStr">
        <is>
          <t>SÖDERMANLANDS LÄN</t>
        </is>
      </c>
      <c r="E430" t="inlineStr">
        <is>
          <t>KATRINEHOLM</t>
        </is>
      </c>
      <c r="G430" t="n">
        <v>7.3</v>
      </c>
      <c r="H430" t="n">
        <v>0</v>
      </c>
      <c r="I430" t="n">
        <v>0</v>
      </c>
      <c r="J430" t="n">
        <v>0</v>
      </c>
      <c r="K430" t="n">
        <v>0</v>
      </c>
      <c r="L430" t="n">
        <v>0</v>
      </c>
      <c r="M430" t="n">
        <v>0</v>
      </c>
      <c r="N430" t="n">
        <v>0</v>
      </c>
      <c r="O430" t="n">
        <v>0</v>
      </c>
      <c r="P430" t="n">
        <v>0</v>
      </c>
      <c r="Q430" t="n">
        <v>0</v>
      </c>
      <c r="R430" s="2" t="inlineStr"/>
    </row>
    <row r="431" ht="15" customHeight="1">
      <c r="A431" t="inlineStr">
        <is>
          <t>A 49122-2024</t>
        </is>
      </c>
      <c r="B431" s="1" t="n">
        <v>45594</v>
      </c>
      <c r="C431" s="1" t="n">
        <v>46183</v>
      </c>
      <c r="D431" t="inlineStr">
        <is>
          <t>SÖDERMANLANDS LÄN</t>
        </is>
      </c>
      <c r="E431" t="inlineStr">
        <is>
          <t>KATRINEHOLM</t>
        </is>
      </c>
      <c r="G431" t="n">
        <v>19.4</v>
      </c>
      <c r="H431" t="n">
        <v>0</v>
      </c>
      <c r="I431" t="n">
        <v>0</v>
      </c>
      <c r="J431" t="n">
        <v>0</v>
      </c>
      <c r="K431" t="n">
        <v>0</v>
      </c>
      <c r="L431" t="n">
        <v>0</v>
      </c>
      <c r="M431" t="n">
        <v>0</v>
      </c>
      <c r="N431" t="n">
        <v>0</v>
      </c>
      <c r="O431" t="n">
        <v>0</v>
      </c>
      <c r="P431" t="n">
        <v>0</v>
      </c>
      <c r="Q431" t="n">
        <v>0</v>
      </c>
      <c r="R431" s="2" t="inlineStr"/>
    </row>
    <row r="432" ht="15" customHeight="1">
      <c r="A432" t="inlineStr">
        <is>
          <t>A 12937-2023</t>
        </is>
      </c>
      <c r="B432" s="1" t="n">
        <v>45001</v>
      </c>
      <c r="C432" s="1" t="n">
        <v>46183</v>
      </c>
      <c r="D432" t="inlineStr">
        <is>
          <t>SÖDERMANLANDS LÄN</t>
        </is>
      </c>
      <c r="E432" t="inlineStr">
        <is>
          <t>KATRINEHOLM</t>
        </is>
      </c>
      <c r="G432" t="n">
        <v>0.9</v>
      </c>
      <c r="H432" t="n">
        <v>0</v>
      </c>
      <c r="I432" t="n">
        <v>0</v>
      </c>
      <c r="J432" t="n">
        <v>0</v>
      </c>
      <c r="K432" t="n">
        <v>0</v>
      </c>
      <c r="L432" t="n">
        <v>0</v>
      </c>
      <c r="M432" t="n">
        <v>0</v>
      </c>
      <c r="N432" t="n">
        <v>0</v>
      </c>
      <c r="O432" t="n">
        <v>0</v>
      </c>
      <c r="P432" t="n">
        <v>0</v>
      </c>
      <c r="Q432" t="n">
        <v>0</v>
      </c>
      <c r="R432" s="2" t="inlineStr"/>
    </row>
    <row r="433" ht="15" customHeight="1">
      <c r="A433" t="inlineStr">
        <is>
          <t>A 11127-2023</t>
        </is>
      </c>
      <c r="B433" s="1" t="n">
        <v>44987</v>
      </c>
      <c r="C433" s="1" t="n">
        <v>46183</v>
      </c>
      <c r="D433" t="inlineStr">
        <is>
          <t>SÖDERMANLANDS LÄN</t>
        </is>
      </c>
      <c r="E433" t="inlineStr">
        <is>
          <t>KATRINEHOLM</t>
        </is>
      </c>
      <c r="G433" t="n">
        <v>4.3</v>
      </c>
      <c r="H433" t="n">
        <v>0</v>
      </c>
      <c r="I433" t="n">
        <v>0</v>
      </c>
      <c r="J433" t="n">
        <v>0</v>
      </c>
      <c r="K433" t="n">
        <v>0</v>
      </c>
      <c r="L433" t="n">
        <v>0</v>
      </c>
      <c r="M433" t="n">
        <v>0</v>
      </c>
      <c r="N433" t="n">
        <v>0</v>
      </c>
      <c r="O433" t="n">
        <v>0</v>
      </c>
      <c r="P433" t="n">
        <v>0</v>
      </c>
      <c r="Q433" t="n">
        <v>0</v>
      </c>
      <c r="R433" s="2" t="inlineStr"/>
    </row>
    <row r="434" ht="15" customHeight="1">
      <c r="A434" t="inlineStr">
        <is>
          <t>A 42799-2025</t>
        </is>
      </c>
      <c r="B434" s="1" t="n">
        <v>45907</v>
      </c>
      <c r="C434" s="1" t="n">
        <v>46183</v>
      </c>
      <c r="D434" t="inlineStr">
        <is>
          <t>SÖDERMANLANDS LÄN</t>
        </is>
      </c>
      <c r="E434" t="inlineStr">
        <is>
          <t>KATRINEHOLM</t>
        </is>
      </c>
      <c r="G434" t="n">
        <v>3.9</v>
      </c>
      <c r="H434" t="n">
        <v>0</v>
      </c>
      <c r="I434" t="n">
        <v>0</v>
      </c>
      <c r="J434" t="n">
        <v>0</v>
      </c>
      <c r="K434" t="n">
        <v>0</v>
      </c>
      <c r="L434" t="n">
        <v>0</v>
      </c>
      <c r="M434" t="n">
        <v>0</v>
      </c>
      <c r="N434" t="n">
        <v>0</v>
      </c>
      <c r="O434" t="n">
        <v>0</v>
      </c>
      <c r="P434" t="n">
        <v>0</v>
      </c>
      <c r="Q434" t="n">
        <v>0</v>
      </c>
      <c r="R434" s="2" t="inlineStr"/>
    </row>
    <row r="435" ht="15" customHeight="1">
      <c r="A435" t="inlineStr">
        <is>
          <t>A 11543-2025</t>
        </is>
      </c>
      <c r="B435" s="1" t="n">
        <v>45727.34248842593</v>
      </c>
      <c r="C435" s="1" t="n">
        <v>46183</v>
      </c>
      <c r="D435" t="inlineStr">
        <is>
          <t>SÖDERMANLANDS LÄN</t>
        </is>
      </c>
      <c r="E435" t="inlineStr">
        <is>
          <t>KATRINEHOLM</t>
        </is>
      </c>
      <c r="G435" t="n">
        <v>3.6</v>
      </c>
      <c r="H435" t="n">
        <v>0</v>
      </c>
      <c r="I435" t="n">
        <v>0</v>
      </c>
      <c r="J435" t="n">
        <v>0</v>
      </c>
      <c r="K435" t="n">
        <v>0</v>
      </c>
      <c r="L435" t="n">
        <v>0</v>
      </c>
      <c r="M435" t="n">
        <v>0</v>
      </c>
      <c r="N435" t="n">
        <v>0</v>
      </c>
      <c r="O435" t="n">
        <v>0</v>
      </c>
      <c r="P435" t="n">
        <v>0</v>
      </c>
      <c r="Q435" t="n">
        <v>0</v>
      </c>
      <c r="R435" s="2" t="inlineStr"/>
    </row>
    <row r="436" ht="15" customHeight="1">
      <c r="A436" t="inlineStr">
        <is>
          <t>A 37827-2025</t>
        </is>
      </c>
      <c r="B436" s="1" t="n">
        <v>45881.40907407407</v>
      </c>
      <c r="C436" s="1" t="n">
        <v>46183</v>
      </c>
      <c r="D436" t="inlineStr">
        <is>
          <t>SÖDERMANLANDS LÄN</t>
        </is>
      </c>
      <c r="E436" t="inlineStr">
        <is>
          <t>KATRINEHOLM</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27345-2023</t>
        </is>
      </c>
      <c r="B437" s="1" t="n">
        <v>45096</v>
      </c>
      <c r="C437" s="1" t="n">
        <v>46183</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1151-2025</t>
        </is>
      </c>
      <c r="B438" s="1" t="n">
        <v>45666</v>
      </c>
      <c r="C438" s="1" t="n">
        <v>46183</v>
      </c>
      <c r="D438" t="inlineStr">
        <is>
          <t>SÖDERMANLANDS LÄN</t>
        </is>
      </c>
      <c r="E438" t="inlineStr">
        <is>
          <t>KATRINEHOLM</t>
        </is>
      </c>
      <c r="G438" t="n">
        <v>1.9</v>
      </c>
      <c r="H438" t="n">
        <v>0</v>
      </c>
      <c r="I438" t="n">
        <v>0</v>
      </c>
      <c r="J438" t="n">
        <v>0</v>
      </c>
      <c r="K438" t="n">
        <v>0</v>
      </c>
      <c r="L438" t="n">
        <v>0</v>
      </c>
      <c r="M438" t="n">
        <v>0</v>
      </c>
      <c r="N438" t="n">
        <v>0</v>
      </c>
      <c r="O438" t="n">
        <v>0</v>
      </c>
      <c r="P438" t="n">
        <v>0</v>
      </c>
      <c r="Q438" t="n">
        <v>0</v>
      </c>
      <c r="R438" s="2" t="inlineStr"/>
    </row>
    <row r="439" ht="15" customHeight="1">
      <c r="A439" t="inlineStr">
        <is>
          <t>A 66393-2021</t>
        </is>
      </c>
      <c r="B439" s="1" t="n">
        <v>44518</v>
      </c>
      <c r="C439" s="1" t="n">
        <v>46183</v>
      </c>
      <c r="D439" t="inlineStr">
        <is>
          <t>SÖDERMANLANDS LÄN</t>
        </is>
      </c>
      <c r="E439" t="inlineStr">
        <is>
          <t>KATRINEHOLM</t>
        </is>
      </c>
      <c r="F439" t="inlineStr">
        <is>
          <t>Holmen skog AB</t>
        </is>
      </c>
      <c r="G439" t="n">
        <v>0.4</v>
      </c>
      <c r="H439" t="n">
        <v>0</v>
      </c>
      <c r="I439" t="n">
        <v>0</v>
      </c>
      <c r="J439" t="n">
        <v>0</v>
      </c>
      <c r="K439" t="n">
        <v>0</v>
      </c>
      <c r="L439" t="n">
        <v>0</v>
      </c>
      <c r="M439" t="n">
        <v>0</v>
      </c>
      <c r="N439" t="n">
        <v>0</v>
      </c>
      <c r="O439" t="n">
        <v>0</v>
      </c>
      <c r="P439" t="n">
        <v>0</v>
      </c>
      <c r="Q439" t="n">
        <v>0</v>
      </c>
      <c r="R439" s="2" t="inlineStr"/>
    </row>
    <row r="440" ht="15" customHeight="1">
      <c r="A440" t="inlineStr">
        <is>
          <t>A 6808-2023</t>
        </is>
      </c>
      <c r="B440" s="1" t="n">
        <v>44964</v>
      </c>
      <c r="C440" s="1" t="n">
        <v>46183</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55829-2025</t>
        </is>
      </c>
      <c r="B441" s="1" t="n">
        <v>45972.79274305556</v>
      </c>
      <c r="C441" s="1" t="n">
        <v>46183</v>
      </c>
      <c r="D441" t="inlineStr">
        <is>
          <t>SÖDERMANLANDS LÄN</t>
        </is>
      </c>
      <c r="E441" t="inlineStr">
        <is>
          <t>KATRINEHOLM</t>
        </is>
      </c>
      <c r="G441" t="n">
        <v>3.2</v>
      </c>
      <c r="H441" t="n">
        <v>0</v>
      </c>
      <c r="I441" t="n">
        <v>0</v>
      </c>
      <c r="J441" t="n">
        <v>0</v>
      </c>
      <c r="K441" t="n">
        <v>0</v>
      </c>
      <c r="L441" t="n">
        <v>0</v>
      </c>
      <c r="M441" t="n">
        <v>0</v>
      </c>
      <c r="N441" t="n">
        <v>0</v>
      </c>
      <c r="O441" t="n">
        <v>0</v>
      </c>
      <c r="P441" t="n">
        <v>0</v>
      </c>
      <c r="Q441" t="n">
        <v>0</v>
      </c>
      <c r="R441" s="2" t="inlineStr"/>
    </row>
    <row r="442" ht="15" customHeight="1">
      <c r="A442" t="inlineStr">
        <is>
          <t>A 47134-2022</t>
        </is>
      </c>
      <c r="B442" s="1" t="n">
        <v>44851</v>
      </c>
      <c r="C442" s="1" t="n">
        <v>46183</v>
      </c>
      <c r="D442" t="inlineStr">
        <is>
          <t>SÖDERMANLANDS LÄN</t>
        </is>
      </c>
      <c r="E442" t="inlineStr">
        <is>
          <t>KATRINEHOLM</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61394-2024</t>
        </is>
      </c>
      <c r="B443" s="1" t="n">
        <v>45646.42061342593</v>
      </c>
      <c r="C443" s="1" t="n">
        <v>46183</v>
      </c>
      <c r="D443" t="inlineStr">
        <is>
          <t>SÖDERMANLANDS LÄN</t>
        </is>
      </c>
      <c r="E443" t="inlineStr">
        <is>
          <t>KATRINEHOLM</t>
        </is>
      </c>
      <c r="G443" t="n">
        <v>1.6</v>
      </c>
      <c r="H443" t="n">
        <v>0</v>
      </c>
      <c r="I443" t="n">
        <v>0</v>
      </c>
      <c r="J443" t="n">
        <v>0</v>
      </c>
      <c r="K443" t="n">
        <v>0</v>
      </c>
      <c r="L443" t="n">
        <v>0</v>
      </c>
      <c r="M443" t="n">
        <v>0</v>
      </c>
      <c r="N443" t="n">
        <v>0</v>
      </c>
      <c r="O443" t="n">
        <v>0</v>
      </c>
      <c r="P443" t="n">
        <v>0</v>
      </c>
      <c r="Q443" t="n">
        <v>0</v>
      </c>
      <c r="R443" s="2" t="inlineStr"/>
    </row>
    <row r="444" ht="15" customHeight="1">
      <c r="A444" t="inlineStr">
        <is>
          <t>A 1143-2024</t>
        </is>
      </c>
      <c r="B444" s="1" t="n">
        <v>45302</v>
      </c>
      <c r="C444" s="1" t="n">
        <v>46183</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3982-2024</t>
        </is>
      </c>
      <c r="B445" s="1" t="n">
        <v>45322</v>
      </c>
      <c r="C445" s="1" t="n">
        <v>46183</v>
      </c>
      <c r="D445" t="inlineStr">
        <is>
          <t>SÖDERMANLANDS LÄN</t>
        </is>
      </c>
      <c r="E445" t="inlineStr">
        <is>
          <t>KATRINEHOLM</t>
        </is>
      </c>
      <c r="G445" t="n">
        <v>3.7</v>
      </c>
      <c r="H445" t="n">
        <v>0</v>
      </c>
      <c r="I445" t="n">
        <v>0</v>
      </c>
      <c r="J445" t="n">
        <v>0</v>
      </c>
      <c r="K445" t="n">
        <v>0</v>
      </c>
      <c r="L445" t="n">
        <v>0</v>
      </c>
      <c r="M445" t="n">
        <v>0</v>
      </c>
      <c r="N445" t="n">
        <v>0</v>
      </c>
      <c r="O445" t="n">
        <v>0</v>
      </c>
      <c r="P445" t="n">
        <v>0</v>
      </c>
      <c r="Q445" t="n">
        <v>0</v>
      </c>
      <c r="R445" s="2" t="inlineStr"/>
    </row>
    <row r="446" ht="15" customHeight="1">
      <c r="A446" t="inlineStr">
        <is>
          <t>A 57263-2022</t>
        </is>
      </c>
      <c r="B446" s="1" t="n">
        <v>44895</v>
      </c>
      <c r="C446" s="1" t="n">
        <v>46183</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22113-2025</t>
        </is>
      </c>
      <c r="B447" s="1" t="n">
        <v>45785</v>
      </c>
      <c r="C447" s="1" t="n">
        <v>46183</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62418-2023</t>
        </is>
      </c>
      <c r="B448" s="1" t="n">
        <v>45268</v>
      </c>
      <c r="C448" s="1" t="n">
        <v>46183</v>
      </c>
      <c r="D448" t="inlineStr">
        <is>
          <t>SÖDERMANLANDS LÄN</t>
        </is>
      </c>
      <c r="E448" t="inlineStr">
        <is>
          <t>KATRINEHOLM</t>
        </is>
      </c>
      <c r="G448" t="n">
        <v>3</v>
      </c>
      <c r="H448" t="n">
        <v>0</v>
      </c>
      <c r="I448" t="n">
        <v>0</v>
      </c>
      <c r="J448" t="n">
        <v>0</v>
      </c>
      <c r="K448" t="n">
        <v>0</v>
      </c>
      <c r="L448" t="n">
        <v>0</v>
      </c>
      <c r="M448" t="n">
        <v>0</v>
      </c>
      <c r="N448" t="n">
        <v>0</v>
      </c>
      <c r="O448" t="n">
        <v>0</v>
      </c>
      <c r="P448" t="n">
        <v>0</v>
      </c>
      <c r="Q448" t="n">
        <v>0</v>
      </c>
      <c r="R448" s="2" t="inlineStr"/>
    </row>
    <row r="449" ht="15" customHeight="1">
      <c r="A449" t="inlineStr">
        <is>
          <t>A 20221-2026</t>
        </is>
      </c>
      <c r="B449" s="1" t="n">
        <v>46139.43833333333</v>
      </c>
      <c r="C449" s="1" t="n">
        <v>46183</v>
      </c>
      <c r="D449" t="inlineStr">
        <is>
          <t>SÖDERMANLANDS LÄN</t>
        </is>
      </c>
      <c r="E449" t="inlineStr">
        <is>
          <t>KATRINEHOLM</t>
        </is>
      </c>
      <c r="G449" t="n">
        <v>4.2</v>
      </c>
      <c r="H449" t="n">
        <v>0</v>
      </c>
      <c r="I449" t="n">
        <v>0</v>
      </c>
      <c r="J449" t="n">
        <v>0</v>
      </c>
      <c r="K449" t="n">
        <v>0</v>
      </c>
      <c r="L449" t="n">
        <v>0</v>
      </c>
      <c r="M449" t="n">
        <v>0</v>
      </c>
      <c r="N449" t="n">
        <v>0</v>
      </c>
      <c r="O449" t="n">
        <v>0</v>
      </c>
      <c r="P449" t="n">
        <v>0</v>
      </c>
      <c r="Q449" t="n">
        <v>0</v>
      </c>
      <c r="R449" s="2" t="inlineStr"/>
    </row>
    <row r="450" ht="15" customHeight="1">
      <c r="A450" t="inlineStr">
        <is>
          <t>A 28431-2024</t>
        </is>
      </c>
      <c r="B450" s="1" t="n">
        <v>45477.65216435185</v>
      </c>
      <c r="C450" s="1" t="n">
        <v>46183</v>
      </c>
      <c r="D450" t="inlineStr">
        <is>
          <t>SÖDERMANLANDS LÄN</t>
        </is>
      </c>
      <c r="E450" t="inlineStr">
        <is>
          <t>KATRINEHOLM</t>
        </is>
      </c>
      <c r="G450" t="n">
        <v>3.5</v>
      </c>
      <c r="H450" t="n">
        <v>0</v>
      </c>
      <c r="I450" t="n">
        <v>0</v>
      </c>
      <c r="J450" t="n">
        <v>0</v>
      </c>
      <c r="K450" t="n">
        <v>0</v>
      </c>
      <c r="L450" t="n">
        <v>0</v>
      </c>
      <c r="M450" t="n">
        <v>0</v>
      </c>
      <c r="N450" t="n">
        <v>0</v>
      </c>
      <c r="O450" t="n">
        <v>0</v>
      </c>
      <c r="P450" t="n">
        <v>0</v>
      </c>
      <c r="Q450" t="n">
        <v>0</v>
      </c>
      <c r="R450" s="2" t="inlineStr"/>
    </row>
    <row r="451" ht="15" customHeight="1">
      <c r="A451" t="inlineStr">
        <is>
          <t>A 18339-2023</t>
        </is>
      </c>
      <c r="B451" s="1" t="n">
        <v>45041</v>
      </c>
      <c r="C451" s="1" t="n">
        <v>46183</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45142-2021</t>
        </is>
      </c>
      <c r="B452" s="1" t="n">
        <v>44439</v>
      </c>
      <c r="C452" s="1" t="n">
        <v>46183</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47889-2023</t>
        </is>
      </c>
      <c r="B453" s="1" t="n">
        <v>45204</v>
      </c>
      <c r="C453" s="1" t="n">
        <v>46183</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43975-2025</t>
        </is>
      </c>
      <c r="B454" s="1" t="n">
        <v>45915.41148148148</v>
      </c>
      <c r="C454" s="1" t="n">
        <v>46183</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34732-2022</t>
        </is>
      </c>
      <c r="B455" s="1" t="n">
        <v>44795</v>
      </c>
      <c r="C455" s="1" t="n">
        <v>46183</v>
      </c>
      <c r="D455" t="inlineStr">
        <is>
          <t>SÖDERMANLANDS LÄN</t>
        </is>
      </c>
      <c r="E455" t="inlineStr">
        <is>
          <t>KATRINEHOLM</t>
        </is>
      </c>
      <c r="G455" t="n">
        <v>3</v>
      </c>
      <c r="H455" t="n">
        <v>0</v>
      </c>
      <c r="I455" t="n">
        <v>0</v>
      </c>
      <c r="J455" t="n">
        <v>0</v>
      </c>
      <c r="K455" t="n">
        <v>0</v>
      </c>
      <c r="L455" t="n">
        <v>0</v>
      </c>
      <c r="M455" t="n">
        <v>0</v>
      </c>
      <c r="N455" t="n">
        <v>0</v>
      </c>
      <c r="O455" t="n">
        <v>0</v>
      </c>
      <c r="P455" t="n">
        <v>0</v>
      </c>
      <c r="Q455" t="n">
        <v>0</v>
      </c>
      <c r="R455" s="2" t="inlineStr"/>
    </row>
    <row r="456" ht="15" customHeight="1">
      <c r="A456" t="inlineStr">
        <is>
          <t>A 10891-2026</t>
        </is>
      </c>
      <c r="B456" s="1" t="n">
        <v>46078.78545138889</v>
      </c>
      <c r="C456" s="1" t="n">
        <v>46183</v>
      </c>
      <c r="D456" t="inlineStr">
        <is>
          <t>SÖDERMANLANDS LÄN</t>
        </is>
      </c>
      <c r="E456" t="inlineStr">
        <is>
          <t>KATRINEHOLM</t>
        </is>
      </c>
      <c r="F456" t="inlineStr">
        <is>
          <t>Allmännings- och besparingsskogar</t>
        </is>
      </c>
      <c r="G456" t="n">
        <v>1.6</v>
      </c>
      <c r="H456" t="n">
        <v>0</v>
      </c>
      <c r="I456" t="n">
        <v>0</v>
      </c>
      <c r="J456" t="n">
        <v>0</v>
      </c>
      <c r="K456" t="n">
        <v>0</v>
      </c>
      <c r="L456" t="n">
        <v>0</v>
      </c>
      <c r="M456" t="n">
        <v>0</v>
      </c>
      <c r="N456" t="n">
        <v>0</v>
      </c>
      <c r="O456" t="n">
        <v>0</v>
      </c>
      <c r="P456" t="n">
        <v>0</v>
      </c>
      <c r="Q456" t="n">
        <v>0</v>
      </c>
      <c r="R456" s="2" t="inlineStr"/>
    </row>
    <row r="457" ht="15" customHeight="1">
      <c r="A457" t="inlineStr">
        <is>
          <t>A 32166-2022</t>
        </is>
      </c>
      <c r="B457" s="1" t="n">
        <v>44781</v>
      </c>
      <c r="C457" s="1" t="n">
        <v>46183</v>
      </c>
      <c r="D457" t="inlineStr">
        <is>
          <t>SÖDERMANLANDS LÄN</t>
        </is>
      </c>
      <c r="E457" t="inlineStr">
        <is>
          <t>KATRINEHOLM</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32169-2022</t>
        </is>
      </c>
      <c r="B458" s="1" t="n">
        <v>44781</v>
      </c>
      <c r="C458" s="1" t="n">
        <v>46183</v>
      </c>
      <c r="D458" t="inlineStr">
        <is>
          <t>SÖDERMANLANDS LÄN</t>
        </is>
      </c>
      <c r="E458" t="inlineStr">
        <is>
          <t>KATRINEHOLM</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35864-2023</t>
        </is>
      </c>
      <c r="B459" s="1" t="n">
        <v>45147</v>
      </c>
      <c r="C459" s="1" t="n">
        <v>46183</v>
      </c>
      <c r="D459" t="inlineStr">
        <is>
          <t>SÖDERMANLANDS LÄN</t>
        </is>
      </c>
      <c r="E459" t="inlineStr">
        <is>
          <t>KATRINEHOLM</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7191-2023</t>
        </is>
      </c>
      <c r="B460" s="1" t="n">
        <v>44965</v>
      </c>
      <c r="C460" s="1" t="n">
        <v>46183</v>
      </c>
      <c r="D460" t="inlineStr">
        <is>
          <t>SÖDERMANLANDS LÄN</t>
        </is>
      </c>
      <c r="E460" t="inlineStr">
        <is>
          <t>KATRINEHOLM</t>
        </is>
      </c>
      <c r="G460" t="n">
        <v>14.1</v>
      </c>
      <c r="H460" t="n">
        <v>0</v>
      </c>
      <c r="I460" t="n">
        <v>0</v>
      </c>
      <c r="J460" t="n">
        <v>0</v>
      </c>
      <c r="K460" t="n">
        <v>0</v>
      </c>
      <c r="L460" t="n">
        <v>0</v>
      </c>
      <c r="M460" t="n">
        <v>0</v>
      </c>
      <c r="N460" t="n">
        <v>0</v>
      </c>
      <c r="O460" t="n">
        <v>0</v>
      </c>
      <c r="P460" t="n">
        <v>0</v>
      </c>
      <c r="Q460" t="n">
        <v>0</v>
      </c>
      <c r="R460" s="2" t="inlineStr"/>
    </row>
    <row r="461" ht="15" customHeight="1">
      <c r="A461" t="inlineStr">
        <is>
          <t>A 66540-2021</t>
        </is>
      </c>
      <c r="B461" s="1" t="n">
        <v>44519</v>
      </c>
      <c r="C461" s="1" t="n">
        <v>46183</v>
      </c>
      <c r="D461" t="inlineStr">
        <is>
          <t>SÖDERMANLANDS LÄN</t>
        </is>
      </c>
      <c r="E461" t="inlineStr">
        <is>
          <t>KATRINEHOLM</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36590-2025</t>
        </is>
      </c>
      <c r="B462" s="1" t="n">
        <v>45870</v>
      </c>
      <c r="C462" s="1" t="n">
        <v>46183</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44637-2023</t>
        </is>
      </c>
      <c r="B463" s="1" t="n">
        <v>45189</v>
      </c>
      <c r="C463" s="1" t="n">
        <v>46183</v>
      </c>
      <c r="D463" t="inlineStr">
        <is>
          <t>SÖDERMANLANDS LÄN</t>
        </is>
      </c>
      <c r="E463" t="inlineStr">
        <is>
          <t>KATRINEHOLM</t>
        </is>
      </c>
      <c r="G463" t="n">
        <v>5.1</v>
      </c>
      <c r="H463" t="n">
        <v>0</v>
      </c>
      <c r="I463" t="n">
        <v>0</v>
      </c>
      <c r="J463" t="n">
        <v>0</v>
      </c>
      <c r="K463" t="n">
        <v>0</v>
      </c>
      <c r="L463" t="n">
        <v>0</v>
      </c>
      <c r="M463" t="n">
        <v>0</v>
      </c>
      <c r="N463" t="n">
        <v>0</v>
      </c>
      <c r="O463" t="n">
        <v>0</v>
      </c>
      <c r="P463" t="n">
        <v>0</v>
      </c>
      <c r="Q463" t="n">
        <v>0</v>
      </c>
      <c r="R463" s="2" t="inlineStr"/>
    </row>
    <row r="464" ht="15" customHeight="1">
      <c r="A464" t="inlineStr">
        <is>
          <t>A 8394-2024</t>
        </is>
      </c>
      <c r="B464" s="1" t="n">
        <v>45352</v>
      </c>
      <c r="C464" s="1" t="n">
        <v>46183</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13658-2023</t>
        </is>
      </c>
      <c r="B465" s="1" t="n">
        <v>45006</v>
      </c>
      <c r="C465" s="1" t="n">
        <v>46183</v>
      </c>
      <c r="D465" t="inlineStr">
        <is>
          <t>SÖDERMANLANDS LÄN</t>
        </is>
      </c>
      <c r="E465" t="inlineStr">
        <is>
          <t>KATRINEHOLM</t>
        </is>
      </c>
      <c r="F465" t="inlineStr">
        <is>
          <t>Kyrkan</t>
        </is>
      </c>
      <c r="G465" t="n">
        <v>24.3</v>
      </c>
      <c r="H465" t="n">
        <v>0</v>
      </c>
      <c r="I465" t="n">
        <v>0</v>
      </c>
      <c r="J465" t="n">
        <v>0</v>
      </c>
      <c r="K465" t="n">
        <v>0</v>
      </c>
      <c r="L465" t="n">
        <v>0</v>
      </c>
      <c r="M465" t="n">
        <v>0</v>
      </c>
      <c r="N465" t="n">
        <v>0</v>
      </c>
      <c r="O465" t="n">
        <v>0</v>
      </c>
      <c r="P465" t="n">
        <v>0</v>
      </c>
      <c r="Q465" t="n">
        <v>0</v>
      </c>
      <c r="R465" s="2" t="inlineStr"/>
    </row>
    <row r="466" ht="15" customHeight="1">
      <c r="A466" t="inlineStr">
        <is>
          <t>A 61385-2023</t>
        </is>
      </c>
      <c r="B466" s="1" t="n">
        <v>45264.64241898148</v>
      </c>
      <c r="C466" s="1" t="n">
        <v>46183</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55825-2022</t>
        </is>
      </c>
      <c r="B467" s="1" t="n">
        <v>44886</v>
      </c>
      <c r="C467" s="1" t="n">
        <v>46183</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55856-2022</t>
        </is>
      </c>
      <c r="B468" s="1" t="n">
        <v>44888</v>
      </c>
      <c r="C468" s="1" t="n">
        <v>46183</v>
      </c>
      <c r="D468" t="inlineStr">
        <is>
          <t>SÖDERMANLANDS LÄN</t>
        </is>
      </c>
      <c r="E468" t="inlineStr">
        <is>
          <t>KATRINEHOLM</t>
        </is>
      </c>
      <c r="G468" t="n">
        <v>5.6</v>
      </c>
      <c r="H468" t="n">
        <v>0</v>
      </c>
      <c r="I468" t="n">
        <v>0</v>
      </c>
      <c r="J468" t="n">
        <v>0</v>
      </c>
      <c r="K468" t="n">
        <v>0</v>
      </c>
      <c r="L468" t="n">
        <v>0</v>
      </c>
      <c r="M468" t="n">
        <v>0</v>
      </c>
      <c r="N468" t="n">
        <v>0</v>
      </c>
      <c r="O468" t="n">
        <v>0</v>
      </c>
      <c r="P468" t="n">
        <v>0</v>
      </c>
      <c r="Q468" t="n">
        <v>0</v>
      </c>
      <c r="R468" s="2" t="inlineStr"/>
    </row>
    <row r="469" ht="15" customHeight="1">
      <c r="A469" t="inlineStr">
        <is>
          <t>A 20185-2026</t>
        </is>
      </c>
      <c r="B469" s="1" t="n">
        <v>46136</v>
      </c>
      <c r="C469" s="1" t="n">
        <v>46183</v>
      </c>
      <c r="D469" t="inlineStr">
        <is>
          <t>SÖDERMANLANDS LÄN</t>
        </is>
      </c>
      <c r="E469" t="inlineStr">
        <is>
          <t>KATRINEHOLM</t>
        </is>
      </c>
      <c r="G469" t="n">
        <v>2.7</v>
      </c>
      <c r="H469" t="n">
        <v>0</v>
      </c>
      <c r="I469" t="n">
        <v>0</v>
      </c>
      <c r="J469" t="n">
        <v>0</v>
      </c>
      <c r="K469" t="n">
        <v>0</v>
      </c>
      <c r="L469" t="n">
        <v>0</v>
      </c>
      <c r="M469" t="n">
        <v>0</v>
      </c>
      <c r="N469" t="n">
        <v>0</v>
      </c>
      <c r="O469" t="n">
        <v>0</v>
      </c>
      <c r="P469" t="n">
        <v>0</v>
      </c>
      <c r="Q469" t="n">
        <v>0</v>
      </c>
      <c r="R469" s="2" t="inlineStr"/>
    </row>
    <row r="470" ht="15" customHeight="1">
      <c r="A470" t="inlineStr">
        <is>
          <t>A 43513-2023</t>
        </is>
      </c>
      <c r="B470" s="1" t="n">
        <v>45184</v>
      </c>
      <c r="C470" s="1" t="n">
        <v>46183</v>
      </c>
      <c r="D470" t="inlineStr">
        <is>
          <t>SÖDERMANLANDS LÄN</t>
        </is>
      </c>
      <c r="E470" t="inlineStr">
        <is>
          <t>KATRINEHOLM</t>
        </is>
      </c>
      <c r="G470" t="n">
        <v>3.8</v>
      </c>
      <c r="H470" t="n">
        <v>0</v>
      </c>
      <c r="I470" t="n">
        <v>0</v>
      </c>
      <c r="J470" t="n">
        <v>0</v>
      </c>
      <c r="K470" t="n">
        <v>0</v>
      </c>
      <c r="L470" t="n">
        <v>0</v>
      </c>
      <c r="M470" t="n">
        <v>0</v>
      </c>
      <c r="N470" t="n">
        <v>0</v>
      </c>
      <c r="O470" t="n">
        <v>0</v>
      </c>
      <c r="P470" t="n">
        <v>0</v>
      </c>
      <c r="Q470" t="n">
        <v>0</v>
      </c>
      <c r="R470" s="2" t="inlineStr"/>
    </row>
    <row r="471" ht="15" customHeight="1">
      <c r="A471" t="inlineStr">
        <is>
          <t>A 46288-2025</t>
        </is>
      </c>
      <c r="B471" s="1" t="n">
        <v>45925.38545138889</v>
      </c>
      <c r="C471" s="1" t="n">
        <v>46183</v>
      </c>
      <c r="D471" t="inlineStr">
        <is>
          <t>SÖDERMANLANDS LÄN</t>
        </is>
      </c>
      <c r="E471" t="inlineStr">
        <is>
          <t>KATRINEHOLM</t>
        </is>
      </c>
      <c r="G471" t="n">
        <v>0.4</v>
      </c>
      <c r="H471" t="n">
        <v>0</v>
      </c>
      <c r="I471" t="n">
        <v>0</v>
      </c>
      <c r="J471" t="n">
        <v>0</v>
      </c>
      <c r="K471" t="n">
        <v>0</v>
      </c>
      <c r="L471" t="n">
        <v>0</v>
      </c>
      <c r="M471" t="n">
        <v>0</v>
      </c>
      <c r="N471" t="n">
        <v>0</v>
      </c>
      <c r="O471" t="n">
        <v>0</v>
      </c>
      <c r="P471" t="n">
        <v>0</v>
      </c>
      <c r="Q471" t="n">
        <v>0</v>
      </c>
      <c r="R471" s="2" t="inlineStr"/>
    </row>
    <row r="472" ht="15" customHeight="1">
      <c r="A472" t="inlineStr">
        <is>
          <t>A 39055-2022</t>
        </is>
      </c>
      <c r="B472" s="1" t="n">
        <v>44817</v>
      </c>
      <c r="C472" s="1" t="n">
        <v>46183</v>
      </c>
      <c r="D472" t="inlineStr">
        <is>
          <t>SÖDERMANLANDS LÄN</t>
        </is>
      </c>
      <c r="E472" t="inlineStr">
        <is>
          <t>KATRINEHOLM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8951-2024</t>
        </is>
      </c>
      <c r="B473" s="1" t="n">
        <v>45357.44695601852</v>
      </c>
      <c r="C473" s="1" t="n">
        <v>46183</v>
      </c>
      <c r="D473" t="inlineStr">
        <is>
          <t>SÖDERMANLANDS LÄN</t>
        </is>
      </c>
      <c r="E473" t="inlineStr">
        <is>
          <t>KATRINEHOLM</t>
        </is>
      </c>
      <c r="G473" t="n">
        <v>3.3</v>
      </c>
      <c r="H473" t="n">
        <v>0</v>
      </c>
      <c r="I473" t="n">
        <v>0</v>
      </c>
      <c r="J473" t="n">
        <v>0</v>
      </c>
      <c r="K473" t="n">
        <v>0</v>
      </c>
      <c r="L473" t="n">
        <v>0</v>
      </c>
      <c r="M473" t="n">
        <v>0</v>
      </c>
      <c r="N473" t="n">
        <v>0</v>
      </c>
      <c r="O473" t="n">
        <v>0</v>
      </c>
      <c r="P473" t="n">
        <v>0</v>
      </c>
      <c r="Q473" t="n">
        <v>0</v>
      </c>
      <c r="R473" s="2" t="inlineStr"/>
    </row>
    <row r="474" ht="15" customHeight="1">
      <c r="A474" t="inlineStr">
        <is>
          <t>A 8955-2024</t>
        </is>
      </c>
      <c r="B474" s="1" t="n">
        <v>45357.44873842593</v>
      </c>
      <c r="C474" s="1" t="n">
        <v>46183</v>
      </c>
      <c r="D474" t="inlineStr">
        <is>
          <t>SÖDERMANLANDS LÄN</t>
        </is>
      </c>
      <c r="E474" t="inlineStr">
        <is>
          <t>KATRINEHOLM</t>
        </is>
      </c>
      <c r="G474" t="n">
        <v>1.2</v>
      </c>
      <c r="H474" t="n">
        <v>0</v>
      </c>
      <c r="I474" t="n">
        <v>0</v>
      </c>
      <c r="J474" t="n">
        <v>0</v>
      </c>
      <c r="K474" t="n">
        <v>0</v>
      </c>
      <c r="L474" t="n">
        <v>0</v>
      </c>
      <c r="M474" t="n">
        <v>0</v>
      </c>
      <c r="N474" t="n">
        <v>0</v>
      </c>
      <c r="O474" t="n">
        <v>0</v>
      </c>
      <c r="P474" t="n">
        <v>0</v>
      </c>
      <c r="Q474" t="n">
        <v>0</v>
      </c>
      <c r="R474" s="2" t="inlineStr"/>
    </row>
    <row r="475" ht="15" customHeight="1">
      <c r="A475" t="inlineStr">
        <is>
          <t>A 15945-2024</t>
        </is>
      </c>
      <c r="B475" s="1" t="n">
        <v>45405.48912037037</v>
      </c>
      <c r="C475" s="1" t="n">
        <v>46183</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46257-2021</t>
        </is>
      </c>
      <c r="B476" s="1" t="n">
        <v>44442</v>
      </c>
      <c r="C476" s="1" t="n">
        <v>46183</v>
      </c>
      <c r="D476" t="inlineStr">
        <is>
          <t>SÖDERMANLANDS LÄN</t>
        </is>
      </c>
      <c r="E476" t="inlineStr">
        <is>
          <t>KATRINEHOLM</t>
        </is>
      </c>
      <c r="G476" t="n">
        <v>2.3</v>
      </c>
      <c r="H476" t="n">
        <v>0</v>
      </c>
      <c r="I476" t="n">
        <v>0</v>
      </c>
      <c r="J476" t="n">
        <v>0</v>
      </c>
      <c r="K476" t="n">
        <v>0</v>
      </c>
      <c r="L476" t="n">
        <v>0</v>
      </c>
      <c r="M476" t="n">
        <v>0</v>
      </c>
      <c r="N476" t="n">
        <v>0</v>
      </c>
      <c r="O476" t="n">
        <v>0</v>
      </c>
      <c r="P476" t="n">
        <v>0</v>
      </c>
      <c r="Q476" t="n">
        <v>0</v>
      </c>
      <c r="R476" s="2" t="inlineStr"/>
    </row>
    <row r="477" ht="15" customHeight="1">
      <c r="A477" t="inlineStr">
        <is>
          <t>A 4655-2024</t>
        </is>
      </c>
      <c r="B477" s="1" t="n">
        <v>45328</v>
      </c>
      <c r="C477" s="1" t="n">
        <v>46183</v>
      </c>
      <c r="D477" t="inlineStr">
        <is>
          <t>SÖDERMANLANDS LÄN</t>
        </is>
      </c>
      <c r="E477" t="inlineStr">
        <is>
          <t>KATRINEHOLM</t>
        </is>
      </c>
      <c r="G477" t="n">
        <v>17.7</v>
      </c>
      <c r="H477" t="n">
        <v>0</v>
      </c>
      <c r="I477" t="n">
        <v>0</v>
      </c>
      <c r="J477" t="n">
        <v>0</v>
      </c>
      <c r="K477" t="n">
        <v>0</v>
      </c>
      <c r="L477" t="n">
        <v>0</v>
      </c>
      <c r="M477" t="n">
        <v>0</v>
      </c>
      <c r="N477" t="n">
        <v>0</v>
      </c>
      <c r="O477" t="n">
        <v>0</v>
      </c>
      <c r="P477" t="n">
        <v>0</v>
      </c>
      <c r="Q477" t="n">
        <v>0</v>
      </c>
      <c r="R477" s="2" t="inlineStr"/>
    </row>
    <row r="478" ht="15" customHeight="1">
      <c r="A478" t="inlineStr">
        <is>
          <t>A 53387-2023</t>
        </is>
      </c>
      <c r="B478" s="1" t="n">
        <v>45229</v>
      </c>
      <c r="C478" s="1" t="n">
        <v>46183</v>
      </c>
      <c r="D478" t="inlineStr">
        <is>
          <t>SÖDERMANLANDS LÄN</t>
        </is>
      </c>
      <c r="E478" t="inlineStr">
        <is>
          <t>KATRINEHOLM</t>
        </is>
      </c>
      <c r="F478" t="inlineStr">
        <is>
          <t>Kyrkan</t>
        </is>
      </c>
      <c r="G478" t="n">
        <v>7.4</v>
      </c>
      <c r="H478" t="n">
        <v>0</v>
      </c>
      <c r="I478" t="n">
        <v>0</v>
      </c>
      <c r="J478" t="n">
        <v>0</v>
      </c>
      <c r="K478" t="n">
        <v>0</v>
      </c>
      <c r="L478" t="n">
        <v>0</v>
      </c>
      <c r="M478" t="n">
        <v>0</v>
      </c>
      <c r="N478" t="n">
        <v>0</v>
      </c>
      <c r="O478" t="n">
        <v>0</v>
      </c>
      <c r="P478" t="n">
        <v>0</v>
      </c>
      <c r="Q478" t="n">
        <v>0</v>
      </c>
      <c r="R478" s="2" t="inlineStr"/>
    </row>
    <row r="479" ht="15" customHeight="1">
      <c r="A479" t="inlineStr">
        <is>
          <t>A 52769-2023</t>
        </is>
      </c>
      <c r="B479" s="1" t="n">
        <v>45226</v>
      </c>
      <c r="C479" s="1" t="n">
        <v>46183</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54395-2025</t>
        </is>
      </c>
      <c r="B480" s="1" t="n">
        <v>45964</v>
      </c>
      <c r="C480" s="1" t="n">
        <v>46183</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4758-2025</t>
        </is>
      </c>
      <c r="B481" s="1" t="n">
        <v>45688</v>
      </c>
      <c r="C481" s="1" t="n">
        <v>46183</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27852-2023</t>
        </is>
      </c>
      <c r="B482" s="1" t="n">
        <v>45098</v>
      </c>
      <c r="C482" s="1" t="n">
        <v>46183</v>
      </c>
      <c r="D482" t="inlineStr">
        <is>
          <t>SÖDERMANLANDS LÄN</t>
        </is>
      </c>
      <c r="E482" t="inlineStr">
        <is>
          <t>KATRINEHOLM</t>
        </is>
      </c>
      <c r="G482" t="n">
        <v>7.4</v>
      </c>
      <c r="H482" t="n">
        <v>0</v>
      </c>
      <c r="I482" t="n">
        <v>0</v>
      </c>
      <c r="J482" t="n">
        <v>0</v>
      </c>
      <c r="K482" t="n">
        <v>0</v>
      </c>
      <c r="L482" t="n">
        <v>0</v>
      </c>
      <c r="M482" t="n">
        <v>0</v>
      </c>
      <c r="N482" t="n">
        <v>0</v>
      </c>
      <c r="O482" t="n">
        <v>0</v>
      </c>
      <c r="P482" t="n">
        <v>0</v>
      </c>
      <c r="Q482" t="n">
        <v>0</v>
      </c>
      <c r="R482" s="2" t="inlineStr"/>
    </row>
    <row r="483" ht="15" customHeight="1">
      <c r="A483" t="inlineStr">
        <is>
          <t>A 20202-2026</t>
        </is>
      </c>
      <c r="B483" s="1" t="n">
        <v>46136</v>
      </c>
      <c r="C483" s="1" t="n">
        <v>46183</v>
      </c>
      <c r="D483" t="inlineStr">
        <is>
          <t>SÖDERMANLANDS LÄN</t>
        </is>
      </c>
      <c r="E483" t="inlineStr">
        <is>
          <t>KATRINEHOLM</t>
        </is>
      </c>
      <c r="G483" t="n">
        <v>1.2</v>
      </c>
      <c r="H483" t="n">
        <v>0</v>
      </c>
      <c r="I483" t="n">
        <v>0</v>
      </c>
      <c r="J483" t="n">
        <v>0</v>
      </c>
      <c r="K483" t="n">
        <v>0</v>
      </c>
      <c r="L483" t="n">
        <v>0</v>
      </c>
      <c r="M483" t="n">
        <v>0</v>
      </c>
      <c r="N483" t="n">
        <v>0</v>
      </c>
      <c r="O483" t="n">
        <v>0</v>
      </c>
      <c r="P483" t="n">
        <v>0</v>
      </c>
      <c r="Q483" t="n">
        <v>0</v>
      </c>
      <c r="R483" s="2" t="inlineStr"/>
    </row>
    <row r="484" ht="15" customHeight="1">
      <c r="A484" t="inlineStr">
        <is>
          <t>A 42945-2023</t>
        </is>
      </c>
      <c r="B484" s="1" t="n">
        <v>45182.5793287037</v>
      </c>
      <c r="C484" s="1" t="n">
        <v>46183</v>
      </c>
      <c r="D484" t="inlineStr">
        <is>
          <t>SÖDERMANLANDS LÄN</t>
        </is>
      </c>
      <c r="E484" t="inlineStr">
        <is>
          <t>KATRINEHOLM</t>
        </is>
      </c>
      <c r="F484" t="inlineStr">
        <is>
          <t>Övriga Aktiebolag</t>
        </is>
      </c>
      <c r="G484" t="n">
        <v>2.2</v>
      </c>
      <c r="H484" t="n">
        <v>0</v>
      </c>
      <c r="I484" t="n">
        <v>0</v>
      </c>
      <c r="J484" t="n">
        <v>0</v>
      </c>
      <c r="K484" t="n">
        <v>0</v>
      </c>
      <c r="L484" t="n">
        <v>0</v>
      </c>
      <c r="M484" t="n">
        <v>0</v>
      </c>
      <c r="N484" t="n">
        <v>0</v>
      </c>
      <c r="O484" t="n">
        <v>0</v>
      </c>
      <c r="P484" t="n">
        <v>0</v>
      </c>
      <c r="Q484" t="n">
        <v>0</v>
      </c>
      <c r="R484" s="2" t="inlineStr"/>
    </row>
    <row r="485" ht="15" customHeight="1">
      <c r="A485" t="inlineStr">
        <is>
          <t>A 42962-2023</t>
        </is>
      </c>
      <c r="B485" s="1" t="n">
        <v>45182</v>
      </c>
      <c r="C485" s="1" t="n">
        <v>46183</v>
      </c>
      <c r="D485" t="inlineStr">
        <is>
          <t>SÖDERMANLANDS LÄN</t>
        </is>
      </c>
      <c r="E485" t="inlineStr">
        <is>
          <t>KATRINEHOLM</t>
        </is>
      </c>
      <c r="F485" t="inlineStr">
        <is>
          <t>Övriga Aktiebolag</t>
        </is>
      </c>
      <c r="G485" t="n">
        <v>10.6</v>
      </c>
      <c r="H485" t="n">
        <v>0</v>
      </c>
      <c r="I485" t="n">
        <v>0</v>
      </c>
      <c r="J485" t="n">
        <v>0</v>
      </c>
      <c r="K485" t="n">
        <v>0</v>
      </c>
      <c r="L485" t="n">
        <v>0</v>
      </c>
      <c r="M485" t="n">
        <v>0</v>
      </c>
      <c r="N485" t="n">
        <v>0</v>
      </c>
      <c r="O485" t="n">
        <v>0</v>
      </c>
      <c r="P485" t="n">
        <v>0</v>
      </c>
      <c r="Q485" t="n">
        <v>0</v>
      </c>
      <c r="R485" s="2" t="inlineStr"/>
    </row>
    <row r="486" ht="15" customHeight="1">
      <c r="A486" t="inlineStr">
        <is>
          <t>A 42590-2022</t>
        </is>
      </c>
      <c r="B486" s="1" t="n">
        <v>44831</v>
      </c>
      <c r="C486" s="1" t="n">
        <v>46183</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44915-2022</t>
        </is>
      </c>
      <c r="B487" s="1" t="n">
        <v>44840</v>
      </c>
      <c r="C487" s="1" t="n">
        <v>46183</v>
      </c>
      <c r="D487" t="inlineStr">
        <is>
          <t>SÖDERMANLANDS LÄN</t>
        </is>
      </c>
      <c r="E487" t="inlineStr">
        <is>
          <t>KATRINEHOLM</t>
        </is>
      </c>
      <c r="G487" t="n">
        <v>6.3</v>
      </c>
      <c r="H487" t="n">
        <v>0</v>
      </c>
      <c r="I487" t="n">
        <v>0</v>
      </c>
      <c r="J487" t="n">
        <v>0</v>
      </c>
      <c r="K487" t="n">
        <v>0</v>
      </c>
      <c r="L487" t="n">
        <v>0</v>
      </c>
      <c r="M487" t="n">
        <v>0</v>
      </c>
      <c r="N487" t="n">
        <v>0</v>
      </c>
      <c r="O487" t="n">
        <v>0</v>
      </c>
      <c r="P487" t="n">
        <v>0</v>
      </c>
      <c r="Q487" t="n">
        <v>0</v>
      </c>
      <c r="R487" s="2" t="inlineStr"/>
    </row>
    <row r="488" ht="15" customHeight="1">
      <c r="A488" t="inlineStr">
        <is>
          <t>A 38883-2024</t>
        </is>
      </c>
      <c r="B488" s="1" t="n">
        <v>45547</v>
      </c>
      <c r="C488" s="1" t="n">
        <v>46183</v>
      </c>
      <c r="D488" t="inlineStr">
        <is>
          <t>SÖDERMANLANDS LÄN</t>
        </is>
      </c>
      <c r="E488" t="inlineStr">
        <is>
          <t>KATRINEHOLM</t>
        </is>
      </c>
      <c r="G488" t="n">
        <v>3.1</v>
      </c>
      <c r="H488" t="n">
        <v>0</v>
      </c>
      <c r="I488" t="n">
        <v>0</v>
      </c>
      <c r="J488" t="n">
        <v>0</v>
      </c>
      <c r="K488" t="n">
        <v>0</v>
      </c>
      <c r="L488" t="n">
        <v>0</v>
      </c>
      <c r="M488" t="n">
        <v>0</v>
      </c>
      <c r="N488" t="n">
        <v>0</v>
      </c>
      <c r="O488" t="n">
        <v>0</v>
      </c>
      <c r="P488" t="n">
        <v>0</v>
      </c>
      <c r="Q488" t="n">
        <v>0</v>
      </c>
      <c r="R488" s="2" t="inlineStr"/>
    </row>
    <row r="489" ht="15" customHeight="1">
      <c r="A489" t="inlineStr">
        <is>
          <t>A 4667-2024</t>
        </is>
      </c>
      <c r="B489" s="1" t="n">
        <v>45328.47</v>
      </c>
      <c r="C489" s="1" t="n">
        <v>46183</v>
      </c>
      <c r="D489" t="inlineStr">
        <is>
          <t>SÖDERMANLANDS LÄN</t>
        </is>
      </c>
      <c r="E489" t="inlineStr">
        <is>
          <t>KATRINEHOLM</t>
        </is>
      </c>
      <c r="F489" t="inlineStr">
        <is>
          <t>Övriga Aktiebolag</t>
        </is>
      </c>
      <c r="G489" t="n">
        <v>10.2</v>
      </c>
      <c r="H489" t="n">
        <v>0</v>
      </c>
      <c r="I489" t="n">
        <v>0</v>
      </c>
      <c r="J489" t="n">
        <v>0</v>
      </c>
      <c r="K489" t="n">
        <v>0</v>
      </c>
      <c r="L489" t="n">
        <v>0</v>
      </c>
      <c r="M489" t="n">
        <v>0</v>
      </c>
      <c r="N489" t="n">
        <v>0</v>
      </c>
      <c r="O489" t="n">
        <v>0</v>
      </c>
      <c r="P489" t="n">
        <v>0</v>
      </c>
      <c r="Q489" t="n">
        <v>0</v>
      </c>
      <c r="R489" s="2" t="inlineStr"/>
    </row>
    <row r="490" ht="15" customHeight="1">
      <c r="A490" t="inlineStr">
        <is>
          <t>A 39704-2023</t>
        </is>
      </c>
      <c r="B490" s="1" t="n">
        <v>45167</v>
      </c>
      <c r="C490" s="1" t="n">
        <v>46183</v>
      </c>
      <c r="D490" t="inlineStr">
        <is>
          <t>SÖDERMANLANDS LÄN</t>
        </is>
      </c>
      <c r="E490" t="inlineStr">
        <is>
          <t>KATRINEHOLM</t>
        </is>
      </c>
      <c r="F490" t="inlineStr">
        <is>
          <t>Övriga Aktiebolag</t>
        </is>
      </c>
      <c r="G490" t="n">
        <v>3.4</v>
      </c>
      <c r="H490" t="n">
        <v>0</v>
      </c>
      <c r="I490" t="n">
        <v>0</v>
      </c>
      <c r="J490" t="n">
        <v>0</v>
      </c>
      <c r="K490" t="n">
        <v>0</v>
      </c>
      <c r="L490" t="n">
        <v>0</v>
      </c>
      <c r="M490" t="n">
        <v>0</v>
      </c>
      <c r="N490" t="n">
        <v>0</v>
      </c>
      <c r="O490" t="n">
        <v>0</v>
      </c>
      <c r="P490" t="n">
        <v>0</v>
      </c>
      <c r="Q490" t="n">
        <v>0</v>
      </c>
      <c r="R490" s="2" t="inlineStr"/>
    </row>
    <row r="491" ht="15" customHeight="1">
      <c r="A491" t="inlineStr">
        <is>
          <t>A 16087-2023</t>
        </is>
      </c>
      <c r="B491" s="1" t="n">
        <v>45026</v>
      </c>
      <c r="C491" s="1" t="n">
        <v>46183</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48097-2023</t>
        </is>
      </c>
      <c r="B492" s="1" t="n">
        <v>45205.31987268518</v>
      </c>
      <c r="C492" s="1" t="n">
        <v>46183</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45793-2022</t>
        </is>
      </c>
      <c r="B493" s="1" t="n">
        <v>44844</v>
      </c>
      <c r="C493" s="1" t="n">
        <v>46183</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40393-2022</t>
        </is>
      </c>
      <c r="B494" s="1" t="n">
        <v>44823</v>
      </c>
      <c r="C494" s="1" t="n">
        <v>46183</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48685-2022</t>
        </is>
      </c>
      <c r="B495" s="1" t="n">
        <v>44859</v>
      </c>
      <c r="C495" s="1" t="n">
        <v>46183</v>
      </c>
      <c r="D495" t="inlineStr">
        <is>
          <t>SÖDERMANLANDS LÄN</t>
        </is>
      </c>
      <c r="E495" t="inlineStr">
        <is>
          <t>KATRINEHOLM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36133-2021</t>
        </is>
      </c>
      <c r="B496" s="1" t="n">
        <v>44386</v>
      </c>
      <c r="C496" s="1" t="n">
        <v>46183</v>
      </c>
      <c r="D496" t="inlineStr">
        <is>
          <t>SÖDERMANLANDS LÄN</t>
        </is>
      </c>
      <c r="E496" t="inlineStr">
        <is>
          <t>KATRINEHOLM</t>
        </is>
      </c>
      <c r="F496" t="inlineStr">
        <is>
          <t>Övriga Aktiebolag</t>
        </is>
      </c>
      <c r="G496" t="n">
        <v>8.9</v>
      </c>
      <c r="H496" t="n">
        <v>0</v>
      </c>
      <c r="I496" t="n">
        <v>0</v>
      </c>
      <c r="J496" t="n">
        <v>0</v>
      </c>
      <c r="K496" t="n">
        <v>0</v>
      </c>
      <c r="L496" t="n">
        <v>0</v>
      </c>
      <c r="M496" t="n">
        <v>0</v>
      </c>
      <c r="N496" t="n">
        <v>0</v>
      </c>
      <c r="O496" t="n">
        <v>0</v>
      </c>
      <c r="P496" t="n">
        <v>0</v>
      </c>
      <c r="Q496" t="n">
        <v>0</v>
      </c>
      <c r="R496" s="2" t="inlineStr"/>
    </row>
    <row r="497" ht="15" customHeight="1">
      <c r="A497" t="inlineStr">
        <is>
          <t>A 28652-2024</t>
        </is>
      </c>
      <c r="B497" s="1" t="n">
        <v>45478</v>
      </c>
      <c r="C497" s="1" t="n">
        <v>46183</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49700-2022</t>
        </is>
      </c>
      <c r="B498" s="1" t="n">
        <v>44862</v>
      </c>
      <c r="C498" s="1" t="n">
        <v>46183</v>
      </c>
      <c r="D498" t="inlineStr">
        <is>
          <t>SÖDERMANLANDS LÄN</t>
        </is>
      </c>
      <c r="E498" t="inlineStr">
        <is>
          <t>KATRINEHOLM</t>
        </is>
      </c>
      <c r="G498" t="n">
        <v>19.5</v>
      </c>
      <c r="H498" t="n">
        <v>0</v>
      </c>
      <c r="I498" t="n">
        <v>0</v>
      </c>
      <c r="J498" t="n">
        <v>0</v>
      </c>
      <c r="K498" t="n">
        <v>0</v>
      </c>
      <c r="L498" t="n">
        <v>0</v>
      </c>
      <c r="M498" t="n">
        <v>0</v>
      </c>
      <c r="N498" t="n">
        <v>0</v>
      </c>
      <c r="O498" t="n">
        <v>0</v>
      </c>
      <c r="P498" t="n">
        <v>0</v>
      </c>
      <c r="Q498" t="n">
        <v>0</v>
      </c>
      <c r="R498" s="2" t="inlineStr"/>
    </row>
    <row r="499" ht="15" customHeight="1">
      <c r="A499" t="inlineStr">
        <is>
          <t>A 30276-2023</t>
        </is>
      </c>
      <c r="B499" s="1" t="n">
        <v>45110</v>
      </c>
      <c r="C499" s="1" t="n">
        <v>46183</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42791-2023</t>
        </is>
      </c>
      <c r="B500" s="1" t="n">
        <v>45181.92876157408</v>
      </c>
      <c r="C500" s="1" t="n">
        <v>46183</v>
      </c>
      <c r="D500" t="inlineStr">
        <is>
          <t>SÖDERMANLANDS LÄN</t>
        </is>
      </c>
      <c r="E500" t="inlineStr">
        <is>
          <t>KATRINEHOLM</t>
        </is>
      </c>
      <c r="G500" t="n">
        <v>4.1</v>
      </c>
      <c r="H500" t="n">
        <v>0</v>
      </c>
      <c r="I500" t="n">
        <v>0</v>
      </c>
      <c r="J500" t="n">
        <v>0</v>
      </c>
      <c r="K500" t="n">
        <v>0</v>
      </c>
      <c r="L500" t="n">
        <v>0</v>
      </c>
      <c r="M500" t="n">
        <v>0</v>
      </c>
      <c r="N500" t="n">
        <v>0</v>
      </c>
      <c r="O500" t="n">
        <v>0</v>
      </c>
      <c r="P500" t="n">
        <v>0</v>
      </c>
      <c r="Q500" t="n">
        <v>0</v>
      </c>
      <c r="R500" s="2" t="inlineStr"/>
    </row>
    <row r="501" ht="15" customHeight="1">
      <c r="A501" t="inlineStr">
        <is>
          <t>A 42792-2023</t>
        </is>
      </c>
      <c r="B501" s="1" t="n">
        <v>45181.95491898148</v>
      </c>
      <c r="C501" s="1" t="n">
        <v>46183</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57265-2022</t>
        </is>
      </c>
      <c r="B502" s="1" t="n">
        <v>44895</v>
      </c>
      <c r="C502" s="1" t="n">
        <v>46183</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31740-2022</t>
        </is>
      </c>
      <c r="B503" s="1" t="n">
        <v>44776</v>
      </c>
      <c r="C503" s="1" t="n">
        <v>46183</v>
      </c>
      <c r="D503" t="inlineStr">
        <is>
          <t>SÖDERMANLANDS LÄN</t>
        </is>
      </c>
      <c r="E503" t="inlineStr">
        <is>
          <t>KATRINEHOLM</t>
        </is>
      </c>
      <c r="G503" t="n">
        <v>1.1</v>
      </c>
      <c r="H503" t="n">
        <v>0</v>
      </c>
      <c r="I503" t="n">
        <v>0</v>
      </c>
      <c r="J503" t="n">
        <v>0</v>
      </c>
      <c r="K503" t="n">
        <v>0</v>
      </c>
      <c r="L503" t="n">
        <v>0</v>
      </c>
      <c r="M503" t="n">
        <v>0</v>
      </c>
      <c r="N503" t="n">
        <v>0</v>
      </c>
      <c r="O503" t="n">
        <v>0</v>
      </c>
      <c r="P503" t="n">
        <v>0</v>
      </c>
      <c r="Q503" t="n">
        <v>0</v>
      </c>
      <c r="R503" s="2" t="inlineStr"/>
    </row>
    <row r="504" ht="15" customHeight="1">
      <c r="A504" t="inlineStr">
        <is>
          <t>A 50934-2025</t>
        </is>
      </c>
      <c r="B504" s="1" t="n">
        <v>45946.69195601852</v>
      </c>
      <c r="C504" s="1" t="n">
        <v>46183</v>
      </c>
      <c r="D504" t="inlineStr">
        <is>
          <t>SÖDERMANLANDS LÄN</t>
        </is>
      </c>
      <c r="E504" t="inlineStr">
        <is>
          <t>KATRINEHOLM</t>
        </is>
      </c>
      <c r="G504" t="n">
        <v>2</v>
      </c>
      <c r="H504" t="n">
        <v>0</v>
      </c>
      <c r="I504" t="n">
        <v>0</v>
      </c>
      <c r="J504" t="n">
        <v>0</v>
      </c>
      <c r="K504" t="n">
        <v>0</v>
      </c>
      <c r="L504" t="n">
        <v>0</v>
      </c>
      <c r="M504" t="n">
        <v>0</v>
      </c>
      <c r="N504" t="n">
        <v>0</v>
      </c>
      <c r="O504" t="n">
        <v>0</v>
      </c>
      <c r="P504" t="n">
        <v>0</v>
      </c>
      <c r="Q504" t="n">
        <v>0</v>
      </c>
      <c r="R504" s="2" t="inlineStr"/>
    </row>
    <row r="505" ht="15" customHeight="1">
      <c r="A505" t="inlineStr">
        <is>
          <t>A 50316-2023</t>
        </is>
      </c>
      <c r="B505" s="1" t="n">
        <v>45209</v>
      </c>
      <c r="C505" s="1" t="n">
        <v>46183</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52857-2021</t>
        </is>
      </c>
      <c r="B506" s="1" t="n">
        <v>44466</v>
      </c>
      <c r="C506" s="1" t="n">
        <v>46183</v>
      </c>
      <c r="D506" t="inlineStr">
        <is>
          <t>SÖDERMANLANDS LÄN</t>
        </is>
      </c>
      <c r="E506" t="inlineStr">
        <is>
          <t>KATRINEHOLM</t>
        </is>
      </c>
      <c r="G506" t="n">
        <v>0.8</v>
      </c>
      <c r="H506" t="n">
        <v>0</v>
      </c>
      <c r="I506" t="n">
        <v>0</v>
      </c>
      <c r="J506" t="n">
        <v>0</v>
      </c>
      <c r="K506" t="n">
        <v>0</v>
      </c>
      <c r="L506" t="n">
        <v>0</v>
      </c>
      <c r="M506" t="n">
        <v>0</v>
      </c>
      <c r="N506" t="n">
        <v>0</v>
      </c>
      <c r="O506" t="n">
        <v>0</v>
      </c>
      <c r="P506" t="n">
        <v>0</v>
      </c>
      <c r="Q506" t="n">
        <v>0</v>
      </c>
      <c r="R506" s="2" t="inlineStr"/>
    </row>
    <row r="507" ht="15" customHeight="1">
      <c r="A507" t="inlineStr">
        <is>
          <t>A 60160-2022</t>
        </is>
      </c>
      <c r="B507" s="1" t="n">
        <v>44909</v>
      </c>
      <c r="C507" s="1" t="n">
        <v>46183</v>
      </c>
      <c r="D507" t="inlineStr">
        <is>
          <t>SÖDERMANLANDS LÄN</t>
        </is>
      </c>
      <c r="E507" t="inlineStr">
        <is>
          <t>KATRINEHOLM</t>
        </is>
      </c>
      <c r="F507" t="inlineStr">
        <is>
          <t>Allmännings- och besparingsskogar</t>
        </is>
      </c>
      <c r="G507" t="n">
        <v>2</v>
      </c>
      <c r="H507" t="n">
        <v>0</v>
      </c>
      <c r="I507" t="n">
        <v>0</v>
      </c>
      <c r="J507" t="n">
        <v>0</v>
      </c>
      <c r="K507" t="n">
        <v>0</v>
      </c>
      <c r="L507" t="n">
        <v>0</v>
      </c>
      <c r="M507" t="n">
        <v>0</v>
      </c>
      <c r="N507" t="n">
        <v>0</v>
      </c>
      <c r="O507" t="n">
        <v>0</v>
      </c>
      <c r="P507" t="n">
        <v>0</v>
      </c>
      <c r="Q507" t="n">
        <v>0</v>
      </c>
      <c r="R507" s="2" t="inlineStr"/>
    </row>
    <row r="508" ht="15" customHeight="1">
      <c r="A508" t="inlineStr">
        <is>
          <t>A 4679-2023</t>
        </is>
      </c>
      <c r="B508" s="1" t="n">
        <v>44957.44885416667</v>
      </c>
      <c r="C508" s="1" t="n">
        <v>46183</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19442-2023</t>
        </is>
      </c>
      <c r="B509" s="1" t="n">
        <v>45050</v>
      </c>
      <c r="C509" s="1" t="n">
        <v>46183</v>
      </c>
      <c r="D509" t="inlineStr">
        <is>
          <t>SÖDERMANLANDS LÄN</t>
        </is>
      </c>
      <c r="E509" t="inlineStr">
        <is>
          <t>KATRINEHOLM</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51367-2025</t>
        </is>
      </c>
      <c r="B510" s="1" t="n">
        <v>45950.44700231482</v>
      </c>
      <c r="C510" s="1" t="n">
        <v>46183</v>
      </c>
      <c r="D510" t="inlineStr">
        <is>
          <t>SÖDERMANLANDS LÄN</t>
        </is>
      </c>
      <c r="E510" t="inlineStr">
        <is>
          <t>KATRINEHOLM</t>
        </is>
      </c>
      <c r="G510" t="n">
        <v>2.7</v>
      </c>
      <c r="H510" t="n">
        <v>0</v>
      </c>
      <c r="I510" t="n">
        <v>0</v>
      </c>
      <c r="J510" t="n">
        <v>0</v>
      </c>
      <c r="K510" t="n">
        <v>0</v>
      </c>
      <c r="L510" t="n">
        <v>0</v>
      </c>
      <c r="M510" t="n">
        <v>0</v>
      </c>
      <c r="N510" t="n">
        <v>0</v>
      </c>
      <c r="O510" t="n">
        <v>0</v>
      </c>
      <c r="P510" t="n">
        <v>0</v>
      </c>
      <c r="Q510" t="n">
        <v>0</v>
      </c>
      <c r="R510" s="2" t="inlineStr"/>
    </row>
    <row r="511" ht="15" customHeight="1">
      <c r="A511" t="inlineStr">
        <is>
          <t>A 48528-2021</t>
        </is>
      </c>
      <c r="B511" s="1" t="n">
        <v>44449</v>
      </c>
      <c r="C511" s="1" t="n">
        <v>46183</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50840-2022</t>
        </is>
      </c>
      <c r="B512" s="1" t="n">
        <v>44862</v>
      </c>
      <c r="C512" s="1" t="n">
        <v>46183</v>
      </c>
      <c r="D512" t="inlineStr">
        <is>
          <t>SÖDERMANLANDS LÄN</t>
        </is>
      </c>
      <c r="E512" t="inlineStr">
        <is>
          <t>KATRINEHOLM</t>
        </is>
      </c>
      <c r="G512" t="n">
        <v>4.2</v>
      </c>
      <c r="H512" t="n">
        <v>0</v>
      </c>
      <c r="I512" t="n">
        <v>0</v>
      </c>
      <c r="J512" t="n">
        <v>0</v>
      </c>
      <c r="K512" t="n">
        <v>0</v>
      </c>
      <c r="L512" t="n">
        <v>0</v>
      </c>
      <c r="M512" t="n">
        <v>0</v>
      </c>
      <c r="N512" t="n">
        <v>0</v>
      </c>
      <c r="O512" t="n">
        <v>0</v>
      </c>
      <c r="P512" t="n">
        <v>0</v>
      </c>
      <c r="Q512" t="n">
        <v>0</v>
      </c>
      <c r="R512" s="2" t="inlineStr"/>
    </row>
    <row r="513" ht="15" customHeight="1">
      <c r="A513" t="inlineStr">
        <is>
          <t>A 48398-2022</t>
        </is>
      </c>
      <c r="B513" s="1" t="n">
        <v>44858.60809027778</v>
      </c>
      <c r="C513" s="1" t="n">
        <v>46183</v>
      </c>
      <c r="D513" t="inlineStr">
        <is>
          <t>SÖDERMANLANDS LÄN</t>
        </is>
      </c>
      <c r="E513" t="inlineStr">
        <is>
          <t>KATRINEHOLM</t>
        </is>
      </c>
      <c r="G513" t="n">
        <v>1.9</v>
      </c>
      <c r="H513" t="n">
        <v>0</v>
      </c>
      <c r="I513" t="n">
        <v>0</v>
      </c>
      <c r="J513" t="n">
        <v>0</v>
      </c>
      <c r="K513" t="n">
        <v>0</v>
      </c>
      <c r="L513" t="n">
        <v>0</v>
      </c>
      <c r="M513" t="n">
        <v>0</v>
      </c>
      <c r="N513" t="n">
        <v>0</v>
      </c>
      <c r="O513" t="n">
        <v>0</v>
      </c>
      <c r="P513" t="n">
        <v>0</v>
      </c>
      <c r="Q513" t="n">
        <v>0</v>
      </c>
      <c r="R513" s="2" t="inlineStr"/>
    </row>
    <row r="514" ht="15" customHeight="1">
      <c r="A514" t="inlineStr">
        <is>
          <t>A 3060-2022</t>
        </is>
      </c>
      <c r="B514" s="1" t="n">
        <v>44582.40109953703</v>
      </c>
      <c r="C514" s="1" t="n">
        <v>46183</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6753-2022</t>
        </is>
      </c>
      <c r="B515" s="1" t="n">
        <v>44602</v>
      </c>
      <c r="C515" s="1" t="n">
        <v>46183</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15184-2023</t>
        </is>
      </c>
      <c r="B516" s="1" t="n">
        <v>45016</v>
      </c>
      <c r="C516" s="1" t="n">
        <v>46183</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51780-2025</t>
        </is>
      </c>
      <c r="B517" s="1" t="n">
        <v>45951.65725694445</v>
      </c>
      <c r="C517" s="1" t="n">
        <v>46183</v>
      </c>
      <c r="D517" t="inlineStr">
        <is>
          <t>SÖDERMANLANDS LÄN</t>
        </is>
      </c>
      <c r="E517" t="inlineStr">
        <is>
          <t>KATRINEHOLM</t>
        </is>
      </c>
      <c r="F517" t="inlineStr">
        <is>
          <t>Allmännings- och besparingsskogar</t>
        </is>
      </c>
      <c r="G517" t="n">
        <v>1.3</v>
      </c>
      <c r="H517" t="n">
        <v>0</v>
      </c>
      <c r="I517" t="n">
        <v>0</v>
      </c>
      <c r="J517" t="n">
        <v>0</v>
      </c>
      <c r="K517" t="n">
        <v>0</v>
      </c>
      <c r="L517" t="n">
        <v>0</v>
      </c>
      <c r="M517" t="n">
        <v>0</v>
      </c>
      <c r="N517" t="n">
        <v>0</v>
      </c>
      <c r="O517" t="n">
        <v>0</v>
      </c>
      <c r="P517" t="n">
        <v>0</v>
      </c>
      <c r="Q517" t="n">
        <v>0</v>
      </c>
      <c r="R517" s="2" t="inlineStr"/>
    </row>
    <row r="518" ht="15" customHeight="1">
      <c r="A518" t="inlineStr">
        <is>
          <t>A 38826-2021</t>
        </is>
      </c>
      <c r="B518" s="1" t="n">
        <v>44411</v>
      </c>
      <c r="C518" s="1" t="n">
        <v>46183</v>
      </c>
      <c r="D518" t="inlineStr">
        <is>
          <t>SÖDERMANLANDS LÄN</t>
        </is>
      </c>
      <c r="E518" t="inlineStr">
        <is>
          <t>KATRINEHOLM</t>
        </is>
      </c>
      <c r="G518" t="n">
        <v>3.1</v>
      </c>
      <c r="H518" t="n">
        <v>0</v>
      </c>
      <c r="I518" t="n">
        <v>0</v>
      </c>
      <c r="J518" t="n">
        <v>0</v>
      </c>
      <c r="K518" t="n">
        <v>0</v>
      </c>
      <c r="L518" t="n">
        <v>0</v>
      </c>
      <c r="M518" t="n">
        <v>0</v>
      </c>
      <c r="N518" t="n">
        <v>0</v>
      </c>
      <c r="O518" t="n">
        <v>0</v>
      </c>
      <c r="P518" t="n">
        <v>0</v>
      </c>
      <c r="Q518" t="n">
        <v>0</v>
      </c>
      <c r="R518" s="2" t="inlineStr"/>
    </row>
    <row r="519" ht="15" customHeight="1">
      <c r="A519" t="inlineStr">
        <is>
          <t>A 6611-2023</t>
        </is>
      </c>
      <c r="B519" s="1" t="n">
        <v>44963</v>
      </c>
      <c r="C519" s="1" t="n">
        <v>46183</v>
      </c>
      <c r="D519" t="inlineStr">
        <is>
          <t>SÖDERMANLANDS LÄN</t>
        </is>
      </c>
      <c r="E519" t="inlineStr">
        <is>
          <t>KATRINEHOLM</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51774-2025</t>
        </is>
      </c>
      <c r="B520" s="1" t="n">
        <v>45951.65359953704</v>
      </c>
      <c r="C520" s="1" t="n">
        <v>46183</v>
      </c>
      <c r="D520" t="inlineStr">
        <is>
          <t>SÖDERMANLANDS LÄN</t>
        </is>
      </c>
      <c r="E520" t="inlineStr">
        <is>
          <t>KATRINEHOLM</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51783-2025</t>
        </is>
      </c>
      <c r="B521" s="1" t="n">
        <v>45951.67546296296</v>
      </c>
      <c r="C521" s="1" t="n">
        <v>46183</v>
      </c>
      <c r="D521" t="inlineStr">
        <is>
          <t>SÖDERMANLANDS LÄN</t>
        </is>
      </c>
      <c r="E521" t="inlineStr">
        <is>
          <t>KATRINEHOLM</t>
        </is>
      </c>
      <c r="F521" t="inlineStr">
        <is>
          <t>Allmännings- och besparingsskogar</t>
        </is>
      </c>
      <c r="G521" t="n">
        <v>5.8</v>
      </c>
      <c r="H521" t="n">
        <v>0</v>
      </c>
      <c r="I521" t="n">
        <v>0</v>
      </c>
      <c r="J521" t="n">
        <v>0</v>
      </c>
      <c r="K521" t="n">
        <v>0</v>
      </c>
      <c r="L521" t="n">
        <v>0</v>
      </c>
      <c r="M521" t="n">
        <v>0</v>
      </c>
      <c r="N521" t="n">
        <v>0</v>
      </c>
      <c r="O521" t="n">
        <v>0</v>
      </c>
      <c r="P521" t="n">
        <v>0</v>
      </c>
      <c r="Q521" t="n">
        <v>0</v>
      </c>
      <c r="R521" s="2" t="inlineStr"/>
    </row>
    <row r="522" ht="15" customHeight="1">
      <c r="A522" t="inlineStr">
        <is>
          <t>A 50804-2023</t>
        </is>
      </c>
      <c r="B522" s="1" t="n">
        <v>45211</v>
      </c>
      <c r="C522" s="1" t="n">
        <v>46183</v>
      </c>
      <c r="D522" t="inlineStr">
        <is>
          <t>SÖDERMANLANDS LÄN</t>
        </is>
      </c>
      <c r="E522" t="inlineStr">
        <is>
          <t>KATRINEHOLM</t>
        </is>
      </c>
      <c r="G522" t="n">
        <v>4</v>
      </c>
      <c r="H522" t="n">
        <v>0</v>
      </c>
      <c r="I522" t="n">
        <v>0</v>
      </c>
      <c r="J522" t="n">
        <v>0</v>
      </c>
      <c r="K522" t="n">
        <v>0</v>
      </c>
      <c r="L522" t="n">
        <v>0</v>
      </c>
      <c r="M522" t="n">
        <v>0</v>
      </c>
      <c r="N522" t="n">
        <v>0</v>
      </c>
      <c r="O522" t="n">
        <v>0</v>
      </c>
      <c r="P522" t="n">
        <v>0</v>
      </c>
      <c r="Q522" t="n">
        <v>0</v>
      </c>
      <c r="R522" s="2" t="inlineStr"/>
    </row>
    <row r="523" ht="15" customHeight="1">
      <c r="A523" t="inlineStr">
        <is>
          <t>A 29830-2023</t>
        </is>
      </c>
      <c r="B523" s="1" t="n">
        <v>45107</v>
      </c>
      <c r="C523" s="1" t="n">
        <v>46183</v>
      </c>
      <c r="D523" t="inlineStr">
        <is>
          <t>SÖDERMANLANDS LÄN</t>
        </is>
      </c>
      <c r="E523" t="inlineStr">
        <is>
          <t>KATRINEHOLM</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19098-2022</t>
        </is>
      </c>
      <c r="B524" s="1" t="n">
        <v>44691.52616898148</v>
      </c>
      <c r="C524" s="1" t="n">
        <v>46183</v>
      </c>
      <c r="D524" t="inlineStr">
        <is>
          <t>SÖDERMANLANDS LÄN</t>
        </is>
      </c>
      <c r="E524" t="inlineStr">
        <is>
          <t>KATRINEHOLM</t>
        </is>
      </c>
      <c r="G524" t="n">
        <v>5.5</v>
      </c>
      <c r="H524" t="n">
        <v>0</v>
      </c>
      <c r="I524" t="n">
        <v>0</v>
      </c>
      <c r="J524" t="n">
        <v>0</v>
      </c>
      <c r="K524" t="n">
        <v>0</v>
      </c>
      <c r="L524" t="n">
        <v>0</v>
      </c>
      <c r="M524" t="n">
        <v>0</v>
      </c>
      <c r="N524" t="n">
        <v>0</v>
      </c>
      <c r="O524" t="n">
        <v>0</v>
      </c>
      <c r="P524" t="n">
        <v>0</v>
      </c>
      <c r="Q524" t="n">
        <v>0</v>
      </c>
      <c r="R524" s="2" t="inlineStr"/>
    </row>
    <row r="525" ht="15" customHeight="1">
      <c r="A525" t="inlineStr">
        <is>
          <t>A 6628-2022</t>
        </is>
      </c>
      <c r="B525" s="1" t="n">
        <v>44601.78850694445</v>
      </c>
      <c r="C525" s="1" t="n">
        <v>46183</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72984-2021</t>
        </is>
      </c>
      <c r="B526" s="1" t="n">
        <v>44549.74741898148</v>
      </c>
      <c r="C526" s="1" t="n">
        <v>46183</v>
      </c>
      <c r="D526" t="inlineStr">
        <is>
          <t>SÖDERMANLANDS LÄN</t>
        </is>
      </c>
      <c r="E526" t="inlineStr">
        <is>
          <t>KATRINEHOLM</t>
        </is>
      </c>
      <c r="G526" t="n">
        <v>4.9</v>
      </c>
      <c r="H526" t="n">
        <v>0</v>
      </c>
      <c r="I526" t="n">
        <v>0</v>
      </c>
      <c r="J526" t="n">
        <v>0</v>
      </c>
      <c r="K526" t="n">
        <v>0</v>
      </c>
      <c r="L526" t="n">
        <v>0</v>
      </c>
      <c r="M526" t="n">
        <v>0</v>
      </c>
      <c r="N526" t="n">
        <v>0</v>
      </c>
      <c r="O526" t="n">
        <v>0</v>
      </c>
      <c r="P526" t="n">
        <v>0</v>
      </c>
      <c r="Q526" t="n">
        <v>0</v>
      </c>
      <c r="R526" s="2" t="inlineStr"/>
    </row>
    <row r="527" ht="15" customHeight="1">
      <c r="A527" t="inlineStr">
        <is>
          <t>A 52239-2025</t>
        </is>
      </c>
      <c r="B527" s="1" t="n">
        <v>45953.46193287037</v>
      </c>
      <c r="C527" s="1" t="n">
        <v>46183</v>
      </c>
      <c r="D527" t="inlineStr">
        <is>
          <t>SÖDERMANLANDS LÄN</t>
        </is>
      </c>
      <c r="E527" t="inlineStr">
        <is>
          <t>KATRINEHOLM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20533-2023</t>
        </is>
      </c>
      <c r="B528" s="1" t="n">
        <v>45057</v>
      </c>
      <c r="C528" s="1" t="n">
        <v>46183</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c r="T528">
        <f>HYPERLINK("https://klasma.github.io/Logging_0483/kartor/A 20533-2023 karta.png", "A 20533-2023")</f>
        <v/>
      </c>
      <c r="V528">
        <f>HYPERLINK("https://klasma.github.io/Logging_0483/klagomål/A 20533-2023 FSC-klagomål.docx", "A 20533-2023")</f>
        <v/>
      </c>
      <c r="W528">
        <f>HYPERLINK("https://klasma.github.io/Logging_0483/klagomålsmail/A 20533-2023 FSC-klagomål mail.docx", "A 20533-2023")</f>
        <v/>
      </c>
      <c r="X528">
        <f>HYPERLINK("https://klasma.github.io/Logging_0483/tillsyn/A 20533-2023 tillsynsbegäran.docx", "A 20533-2023")</f>
        <v/>
      </c>
      <c r="Y528">
        <f>HYPERLINK("https://klasma.github.io/Logging_0483/tillsynsmail/A 20533-2023 tillsynsbegäran mail.docx", "A 20533-2023")</f>
        <v/>
      </c>
      <c r="Z528">
        <f>HYPERLINK("https://klasma.github.io/Logging_0483/fåglar/A 20533-2023 prioriterade fågelarter.docx", "A 20533-2023")</f>
        <v/>
      </c>
    </row>
    <row r="529" ht="15" customHeight="1">
      <c r="A529" t="inlineStr">
        <is>
          <t>A 2325-2023</t>
        </is>
      </c>
      <c r="B529" s="1" t="n">
        <v>44942</v>
      </c>
      <c r="C529" s="1" t="n">
        <v>46183</v>
      </c>
      <c r="D529" t="inlineStr">
        <is>
          <t>SÖDERMANLANDS LÄN</t>
        </is>
      </c>
      <c r="E529" t="inlineStr">
        <is>
          <t>KATRINEHOLM</t>
        </is>
      </c>
      <c r="G529" t="n">
        <v>5.6</v>
      </c>
      <c r="H529" t="n">
        <v>0</v>
      </c>
      <c r="I529" t="n">
        <v>0</v>
      </c>
      <c r="J529" t="n">
        <v>0</v>
      </c>
      <c r="K529" t="n">
        <v>0</v>
      </c>
      <c r="L529" t="n">
        <v>0</v>
      </c>
      <c r="M529" t="n">
        <v>0</v>
      </c>
      <c r="N529" t="n">
        <v>0</v>
      </c>
      <c r="O529" t="n">
        <v>0</v>
      </c>
      <c r="P529" t="n">
        <v>0</v>
      </c>
      <c r="Q529" t="n">
        <v>0</v>
      </c>
      <c r="R529" s="2" t="inlineStr"/>
    </row>
    <row r="530" ht="15" customHeight="1">
      <c r="A530" t="inlineStr">
        <is>
          <t>A 43499-2021</t>
        </is>
      </c>
      <c r="B530" s="1" t="n">
        <v>44433</v>
      </c>
      <c r="C530" s="1" t="n">
        <v>46183</v>
      </c>
      <c r="D530" t="inlineStr">
        <is>
          <t>SÖDERMANLANDS LÄN</t>
        </is>
      </c>
      <c r="E530" t="inlineStr">
        <is>
          <t>KATRINEHOLM</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53996-2023</t>
        </is>
      </c>
      <c r="B531" s="1" t="n">
        <v>45231</v>
      </c>
      <c r="C531" s="1" t="n">
        <v>46183</v>
      </c>
      <c r="D531" t="inlineStr">
        <is>
          <t>SÖDERMANLANDS LÄN</t>
        </is>
      </c>
      <c r="E531" t="inlineStr">
        <is>
          <t>KATRINEHOLM</t>
        </is>
      </c>
      <c r="G531" t="n">
        <v>4.9</v>
      </c>
      <c r="H531" t="n">
        <v>0</v>
      </c>
      <c r="I531" t="n">
        <v>0</v>
      </c>
      <c r="J531" t="n">
        <v>0</v>
      </c>
      <c r="K531" t="n">
        <v>0</v>
      </c>
      <c r="L531" t="n">
        <v>0</v>
      </c>
      <c r="M531" t="n">
        <v>0</v>
      </c>
      <c r="N531" t="n">
        <v>0</v>
      </c>
      <c r="O531" t="n">
        <v>0</v>
      </c>
      <c r="P531" t="n">
        <v>0</v>
      </c>
      <c r="Q531" t="n">
        <v>0</v>
      </c>
      <c r="R531" s="2" t="inlineStr"/>
    </row>
    <row r="532" ht="15" customHeight="1">
      <c r="A532" t="inlineStr">
        <is>
          <t>A 46011-2021</t>
        </is>
      </c>
      <c r="B532" s="1" t="n">
        <v>44441.88092592593</v>
      </c>
      <c r="C532" s="1" t="n">
        <v>46183</v>
      </c>
      <c r="D532" t="inlineStr">
        <is>
          <t>SÖDERMANLANDS LÄN</t>
        </is>
      </c>
      <c r="E532" t="inlineStr">
        <is>
          <t>KATRINEHOLM</t>
        </is>
      </c>
      <c r="G532" t="n">
        <v>4.7</v>
      </c>
      <c r="H532" t="n">
        <v>0</v>
      </c>
      <c r="I532" t="n">
        <v>0</v>
      </c>
      <c r="J532" t="n">
        <v>0</v>
      </c>
      <c r="K532" t="n">
        <v>0</v>
      </c>
      <c r="L532" t="n">
        <v>0</v>
      </c>
      <c r="M532" t="n">
        <v>0</v>
      </c>
      <c r="N532" t="n">
        <v>0</v>
      </c>
      <c r="O532" t="n">
        <v>0</v>
      </c>
      <c r="P532" t="n">
        <v>0</v>
      </c>
      <c r="Q532" t="n">
        <v>0</v>
      </c>
      <c r="R532" s="2" t="inlineStr"/>
    </row>
    <row r="533" ht="15" customHeight="1">
      <c r="A533" t="inlineStr">
        <is>
          <t>A 52744-2025</t>
        </is>
      </c>
      <c r="B533" s="1" t="n">
        <v>45957.38387731482</v>
      </c>
      <c r="C533" s="1" t="n">
        <v>46183</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33790-2024</t>
        </is>
      </c>
      <c r="B534" s="1" t="n">
        <v>45520.59179398148</v>
      </c>
      <c r="C534" s="1" t="n">
        <v>46183</v>
      </c>
      <c r="D534" t="inlineStr">
        <is>
          <t>SÖDERMANLANDS LÄN</t>
        </is>
      </c>
      <c r="E534" t="inlineStr">
        <is>
          <t>KATRINEHOLM</t>
        </is>
      </c>
      <c r="G534" t="n">
        <v>14</v>
      </c>
      <c r="H534" t="n">
        <v>0</v>
      </c>
      <c r="I534" t="n">
        <v>0</v>
      </c>
      <c r="J534" t="n">
        <v>0</v>
      </c>
      <c r="K534" t="n">
        <v>0</v>
      </c>
      <c r="L534" t="n">
        <v>0</v>
      </c>
      <c r="M534" t="n">
        <v>0</v>
      </c>
      <c r="N534" t="n">
        <v>0</v>
      </c>
      <c r="O534" t="n">
        <v>0</v>
      </c>
      <c r="P534" t="n">
        <v>0</v>
      </c>
      <c r="Q534" t="n">
        <v>0</v>
      </c>
      <c r="R534" s="2" t="inlineStr"/>
    </row>
    <row r="535" ht="15" customHeight="1">
      <c r="A535" t="inlineStr">
        <is>
          <t>A 62140-2022</t>
        </is>
      </c>
      <c r="B535" s="1" t="n">
        <v>44922</v>
      </c>
      <c r="C535" s="1" t="n">
        <v>46183</v>
      </c>
      <c r="D535" t="inlineStr">
        <is>
          <t>SÖDERMANLANDS LÄN</t>
        </is>
      </c>
      <c r="E535" t="inlineStr">
        <is>
          <t>KATRINEHOLM</t>
        </is>
      </c>
      <c r="F535" t="inlineStr">
        <is>
          <t>Övriga Aktiebolag</t>
        </is>
      </c>
      <c r="G535" t="n">
        <v>2.4</v>
      </c>
      <c r="H535" t="n">
        <v>0</v>
      </c>
      <c r="I535" t="n">
        <v>0</v>
      </c>
      <c r="J535" t="n">
        <v>0</v>
      </c>
      <c r="K535" t="n">
        <v>0</v>
      </c>
      <c r="L535" t="n">
        <v>0</v>
      </c>
      <c r="M535" t="n">
        <v>0</v>
      </c>
      <c r="N535" t="n">
        <v>0</v>
      </c>
      <c r="O535" t="n">
        <v>0</v>
      </c>
      <c r="P535" t="n">
        <v>0</v>
      </c>
      <c r="Q535" t="n">
        <v>0</v>
      </c>
      <c r="R535" s="2" t="inlineStr"/>
    </row>
    <row r="536" ht="15" customHeight="1">
      <c r="A536" t="inlineStr">
        <is>
          <t>A 47456-2022</t>
        </is>
      </c>
      <c r="B536" s="1" t="n">
        <v>44852</v>
      </c>
      <c r="C536" s="1" t="n">
        <v>46183</v>
      </c>
      <c r="D536" t="inlineStr">
        <is>
          <t>SÖDERMANLANDS LÄN</t>
        </is>
      </c>
      <c r="E536" t="inlineStr">
        <is>
          <t>KATRINEHOLM</t>
        </is>
      </c>
      <c r="G536" t="n">
        <v>3.7</v>
      </c>
      <c r="H536" t="n">
        <v>0</v>
      </c>
      <c r="I536" t="n">
        <v>0</v>
      </c>
      <c r="J536" t="n">
        <v>0</v>
      </c>
      <c r="K536" t="n">
        <v>0</v>
      </c>
      <c r="L536" t="n">
        <v>0</v>
      </c>
      <c r="M536" t="n">
        <v>0</v>
      </c>
      <c r="N536" t="n">
        <v>0</v>
      </c>
      <c r="O536" t="n">
        <v>0</v>
      </c>
      <c r="P536" t="n">
        <v>0</v>
      </c>
      <c r="Q536" t="n">
        <v>0</v>
      </c>
      <c r="R536" s="2" t="inlineStr"/>
    </row>
    <row r="537" ht="15" customHeight="1">
      <c r="A537" t="inlineStr">
        <is>
          <t>A 23347-2023</t>
        </is>
      </c>
      <c r="B537" s="1" t="n">
        <v>45076</v>
      </c>
      <c r="C537" s="1" t="n">
        <v>46183</v>
      </c>
      <c r="D537" t="inlineStr">
        <is>
          <t>SÖDERMANLANDS LÄN</t>
        </is>
      </c>
      <c r="E537" t="inlineStr">
        <is>
          <t>KATRINEHOLM</t>
        </is>
      </c>
      <c r="G537" t="n">
        <v>4.3</v>
      </c>
      <c r="H537" t="n">
        <v>0</v>
      </c>
      <c r="I537" t="n">
        <v>0</v>
      </c>
      <c r="J537" t="n">
        <v>0</v>
      </c>
      <c r="K537" t="n">
        <v>0</v>
      </c>
      <c r="L537" t="n">
        <v>0</v>
      </c>
      <c r="M537" t="n">
        <v>0</v>
      </c>
      <c r="N537" t="n">
        <v>0</v>
      </c>
      <c r="O537" t="n">
        <v>0</v>
      </c>
      <c r="P537" t="n">
        <v>0</v>
      </c>
      <c r="Q537" t="n">
        <v>0</v>
      </c>
      <c r="R537" s="2" t="inlineStr"/>
    </row>
    <row r="538" ht="15" customHeight="1">
      <c r="A538" t="inlineStr">
        <is>
          <t>A 74354-2021</t>
        </is>
      </c>
      <c r="B538" s="1" t="n">
        <v>44559.57041666667</v>
      </c>
      <c r="C538" s="1" t="n">
        <v>46183</v>
      </c>
      <c r="D538" t="inlineStr">
        <is>
          <t>SÖDERMANLANDS LÄN</t>
        </is>
      </c>
      <c r="E538" t="inlineStr">
        <is>
          <t>KATRINEHOLM</t>
        </is>
      </c>
      <c r="G538" t="n">
        <v>0.7</v>
      </c>
      <c r="H538" t="n">
        <v>0</v>
      </c>
      <c r="I538" t="n">
        <v>0</v>
      </c>
      <c r="J538" t="n">
        <v>0</v>
      </c>
      <c r="K538" t="n">
        <v>0</v>
      </c>
      <c r="L538" t="n">
        <v>0</v>
      </c>
      <c r="M538" t="n">
        <v>0</v>
      </c>
      <c r="N538" t="n">
        <v>0</v>
      </c>
      <c r="O538" t="n">
        <v>0</v>
      </c>
      <c r="P538" t="n">
        <v>0</v>
      </c>
      <c r="Q538" t="n">
        <v>0</v>
      </c>
      <c r="R538" s="2" t="inlineStr"/>
    </row>
    <row r="539" ht="15" customHeight="1">
      <c r="A539" t="inlineStr">
        <is>
          <t>A 33934-2022</t>
        </is>
      </c>
      <c r="B539" s="1" t="n">
        <v>44790</v>
      </c>
      <c r="C539" s="1" t="n">
        <v>46183</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13171-2024</t>
        </is>
      </c>
      <c r="B540" s="1" t="n">
        <v>45386</v>
      </c>
      <c r="C540" s="1" t="n">
        <v>46183</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59384-2022</t>
        </is>
      </c>
      <c r="B541" s="1" t="n">
        <v>44905</v>
      </c>
      <c r="C541" s="1" t="n">
        <v>46183</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52348-2021</t>
        </is>
      </c>
      <c r="B542" s="1" t="n">
        <v>44464.49756944444</v>
      </c>
      <c r="C542" s="1" t="n">
        <v>46183</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13086-2023</t>
        </is>
      </c>
      <c r="B543" s="1" t="n">
        <v>45002.42188657408</v>
      </c>
      <c r="C543" s="1" t="n">
        <v>46183</v>
      </c>
      <c r="D543" t="inlineStr">
        <is>
          <t>SÖDERMANLANDS LÄN</t>
        </is>
      </c>
      <c r="E543" t="inlineStr">
        <is>
          <t>KATRINEHOLM</t>
        </is>
      </c>
      <c r="G543" t="n">
        <v>2.2</v>
      </c>
      <c r="H543" t="n">
        <v>0</v>
      </c>
      <c r="I543" t="n">
        <v>0</v>
      </c>
      <c r="J543" t="n">
        <v>0</v>
      </c>
      <c r="K543" t="n">
        <v>0</v>
      </c>
      <c r="L543" t="n">
        <v>0</v>
      </c>
      <c r="M543" t="n">
        <v>0</v>
      </c>
      <c r="N543" t="n">
        <v>0</v>
      </c>
      <c r="O543" t="n">
        <v>0</v>
      </c>
      <c r="P543" t="n">
        <v>0</v>
      </c>
      <c r="Q543" t="n">
        <v>0</v>
      </c>
      <c r="R543" s="2" t="inlineStr"/>
    </row>
    <row r="544" ht="15" customHeight="1">
      <c r="A544" t="inlineStr">
        <is>
          <t>A 19670-2022</t>
        </is>
      </c>
      <c r="B544" s="1" t="n">
        <v>44694</v>
      </c>
      <c r="C544" s="1" t="n">
        <v>46183</v>
      </c>
      <c r="D544" t="inlineStr">
        <is>
          <t>SÖDERMANLANDS LÄN</t>
        </is>
      </c>
      <c r="E544" t="inlineStr">
        <is>
          <t>KATRINEHOLM</t>
        </is>
      </c>
      <c r="G544" t="n">
        <v>13.6</v>
      </c>
      <c r="H544" t="n">
        <v>0</v>
      </c>
      <c r="I544" t="n">
        <v>0</v>
      </c>
      <c r="J544" t="n">
        <v>0</v>
      </c>
      <c r="K544" t="n">
        <v>0</v>
      </c>
      <c r="L544" t="n">
        <v>0</v>
      </c>
      <c r="M544" t="n">
        <v>0</v>
      </c>
      <c r="N544" t="n">
        <v>0</v>
      </c>
      <c r="O544" t="n">
        <v>0</v>
      </c>
      <c r="P544" t="n">
        <v>0</v>
      </c>
      <c r="Q544" t="n">
        <v>0</v>
      </c>
      <c r="R544" s="2" t="inlineStr"/>
    </row>
    <row r="545" ht="15" customHeight="1">
      <c r="A545" t="inlineStr">
        <is>
          <t>A 19107-2022</t>
        </is>
      </c>
      <c r="B545" s="1" t="n">
        <v>44691.54077546296</v>
      </c>
      <c r="C545" s="1" t="n">
        <v>46183</v>
      </c>
      <c r="D545" t="inlineStr">
        <is>
          <t>SÖDERMANLANDS LÄN</t>
        </is>
      </c>
      <c r="E545" t="inlineStr">
        <is>
          <t>KATRINEHOLM</t>
        </is>
      </c>
      <c r="G545" t="n">
        <v>1</v>
      </c>
      <c r="H545" t="n">
        <v>0</v>
      </c>
      <c r="I545" t="n">
        <v>0</v>
      </c>
      <c r="J545" t="n">
        <v>0</v>
      </c>
      <c r="K545" t="n">
        <v>0</v>
      </c>
      <c r="L545" t="n">
        <v>0</v>
      </c>
      <c r="M545" t="n">
        <v>0</v>
      </c>
      <c r="N545" t="n">
        <v>0</v>
      </c>
      <c r="O545" t="n">
        <v>0</v>
      </c>
      <c r="P545" t="n">
        <v>0</v>
      </c>
      <c r="Q545" t="n">
        <v>0</v>
      </c>
      <c r="R545" s="2" t="inlineStr"/>
    </row>
    <row r="546" ht="15" customHeight="1">
      <c r="A546" t="inlineStr">
        <is>
          <t>A 41548-2025</t>
        </is>
      </c>
      <c r="B546" s="1" t="n">
        <v>45901</v>
      </c>
      <c r="C546" s="1" t="n">
        <v>46183</v>
      </c>
      <c r="D546" t="inlineStr">
        <is>
          <t>SÖDERMANLANDS LÄN</t>
        </is>
      </c>
      <c r="E546" t="inlineStr">
        <is>
          <t>KATRINEHOLM</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56628-2021</t>
        </is>
      </c>
      <c r="B547" s="1" t="n">
        <v>44480</v>
      </c>
      <c r="C547" s="1" t="n">
        <v>46183</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45438-2021</t>
        </is>
      </c>
      <c r="B548" s="1" t="n">
        <v>44440</v>
      </c>
      <c r="C548" s="1" t="n">
        <v>46183</v>
      </c>
      <c r="D548" t="inlineStr">
        <is>
          <t>SÖDERMANLANDS LÄN</t>
        </is>
      </c>
      <c r="E548" t="inlineStr">
        <is>
          <t>KATRINEHOLM</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11875-2023</t>
        </is>
      </c>
      <c r="B549" s="1" t="n">
        <v>44995</v>
      </c>
      <c r="C549" s="1" t="n">
        <v>46183</v>
      </c>
      <c r="D549" t="inlineStr">
        <is>
          <t>SÖDERMANLANDS LÄN</t>
        </is>
      </c>
      <c r="E549" t="inlineStr">
        <is>
          <t>KATRINEHOLM</t>
        </is>
      </c>
      <c r="F549" t="inlineStr">
        <is>
          <t>Kommuner</t>
        </is>
      </c>
      <c r="G549" t="n">
        <v>1.1</v>
      </c>
      <c r="H549" t="n">
        <v>0</v>
      </c>
      <c r="I549" t="n">
        <v>0</v>
      </c>
      <c r="J549" t="n">
        <v>0</v>
      </c>
      <c r="K549" t="n">
        <v>0</v>
      </c>
      <c r="L549" t="n">
        <v>0</v>
      </c>
      <c r="M549" t="n">
        <v>0</v>
      </c>
      <c r="N549" t="n">
        <v>0</v>
      </c>
      <c r="O549" t="n">
        <v>0</v>
      </c>
      <c r="P549" t="n">
        <v>0</v>
      </c>
      <c r="Q549" t="n">
        <v>0</v>
      </c>
      <c r="R549" s="2" t="inlineStr"/>
    </row>
    <row r="550" ht="15" customHeight="1">
      <c r="A550" t="inlineStr">
        <is>
          <t>A 6796-2022</t>
        </is>
      </c>
      <c r="B550" s="1" t="n">
        <v>44602</v>
      </c>
      <c r="C550" s="1" t="n">
        <v>46183</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50061-2022</t>
        </is>
      </c>
      <c r="B551" s="1" t="n">
        <v>44865</v>
      </c>
      <c r="C551" s="1" t="n">
        <v>46183</v>
      </c>
      <c r="D551" t="inlineStr">
        <is>
          <t>SÖDERMANLANDS LÄN</t>
        </is>
      </c>
      <c r="E551" t="inlineStr">
        <is>
          <t>KATRINEHOLM</t>
        </is>
      </c>
      <c r="G551" t="n">
        <v>4.9</v>
      </c>
      <c r="H551" t="n">
        <v>0</v>
      </c>
      <c r="I551" t="n">
        <v>0</v>
      </c>
      <c r="J551" t="n">
        <v>0</v>
      </c>
      <c r="K551" t="n">
        <v>0</v>
      </c>
      <c r="L551" t="n">
        <v>0</v>
      </c>
      <c r="M551" t="n">
        <v>0</v>
      </c>
      <c r="N551" t="n">
        <v>0</v>
      </c>
      <c r="O551" t="n">
        <v>0</v>
      </c>
      <c r="P551" t="n">
        <v>0</v>
      </c>
      <c r="Q551" t="n">
        <v>0</v>
      </c>
      <c r="R551" s="2" t="inlineStr"/>
    </row>
    <row r="552" ht="15" customHeight="1">
      <c r="A552" t="inlineStr">
        <is>
          <t>A 10446-2024</t>
        </is>
      </c>
      <c r="B552" s="1" t="n">
        <v>45366</v>
      </c>
      <c r="C552" s="1" t="n">
        <v>46183</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13612-2023</t>
        </is>
      </c>
      <c r="B553" s="1" t="n">
        <v>45006</v>
      </c>
      <c r="C553" s="1" t="n">
        <v>46183</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53860-2021</t>
        </is>
      </c>
      <c r="B554" s="1" t="n">
        <v>44467</v>
      </c>
      <c r="C554" s="1" t="n">
        <v>46183</v>
      </c>
      <c r="D554" t="inlineStr">
        <is>
          <t>SÖDERMANLANDS LÄN</t>
        </is>
      </c>
      <c r="E554" t="inlineStr">
        <is>
          <t>KATRINEHOLM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23842-2023</t>
        </is>
      </c>
      <c r="B555" s="1" t="n">
        <v>45075</v>
      </c>
      <c r="C555" s="1" t="n">
        <v>46183</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34263-2023</t>
        </is>
      </c>
      <c r="B556" s="1" t="n">
        <v>45138.60248842592</v>
      </c>
      <c r="C556" s="1" t="n">
        <v>46183</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39068-2022</t>
        </is>
      </c>
      <c r="B557" s="1" t="n">
        <v>44816</v>
      </c>
      <c r="C557" s="1" t="n">
        <v>46183</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8765-2023</t>
        </is>
      </c>
      <c r="B558" s="1" t="n">
        <v>44978.52131944444</v>
      </c>
      <c r="C558" s="1" t="n">
        <v>46183</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46899-2022</t>
        </is>
      </c>
      <c r="B559" s="1" t="n">
        <v>44848</v>
      </c>
      <c r="C559" s="1" t="n">
        <v>46183</v>
      </c>
      <c r="D559" t="inlineStr">
        <is>
          <t>SÖDERMANLANDS LÄN</t>
        </is>
      </c>
      <c r="E559" t="inlineStr">
        <is>
          <t>KATRINEHOLM</t>
        </is>
      </c>
      <c r="G559" t="n">
        <v>2</v>
      </c>
      <c r="H559" t="n">
        <v>0</v>
      </c>
      <c r="I559" t="n">
        <v>0</v>
      </c>
      <c r="J559" t="n">
        <v>0</v>
      </c>
      <c r="K559" t="n">
        <v>0</v>
      </c>
      <c r="L559" t="n">
        <v>0</v>
      </c>
      <c r="M559" t="n">
        <v>0</v>
      </c>
      <c r="N559" t="n">
        <v>0</v>
      </c>
      <c r="O559" t="n">
        <v>0</v>
      </c>
      <c r="P559" t="n">
        <v>0</v>
      </c>
      <c r="Q559" t="n">
        <v>0</v>
      </c>
      <c r="R559" s="2" t="inlineStr"/>
    </row>
    <row r="560" ht="15" customHeight="1">
      <c r="A560" t="inlineStr">
        <is>
          <t>A 57154-2023</t>
        </is>
      </c>
      <c r="B560" s="1" t="n">
        <v>45245</v>
      </c>
      <c r="C560" s="1" t="n">
        <v>46183</v>
      </c>
      <c r="D560" t="inlineStr">
        <is>
          <t>SÖDERMANLANDS LÄN</t>
        </is>
      </c>
      <c r="E560" t="inlineStr">
        <is>
          <t>KATRINEHOLM</t>
        </is>
      </c>
      <c r="F560" t="inlineStr">
        <is>
          <t>Allmännings- och besparingsskogar</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55296-2022</t>
        </is>
      </c>
      <c r="B561" s="1" t="n">
        <v>44887</v>
      </c>
      <c r="C561" s="1" t="n">
        <v>46183</v>
      </c>
      <c r="D561" t="inlineStr">
        <is>
          <t>SÖDERMANLANDS LÄN</t>
        </is>
      </c>
      <c r="E561" t="inlineStr">
        <is>
          <t>KATRINEHOLM</t>
        </is>
      </c>
      <c r="G561" t="n">
        <v>1.4</v>
      </c>
      <c r="H561" t="n">
        <v>0</v>
      </c>
      <c r="I561" t="n">
        <v>0</v>
      </c>
      <c r="J561" t="n">
        <v>0</v>
      </c>
      <c r="K561" t="n">
        <v>0</v>
      </c>
      <c r="L561" t="n">
        <v>0</v>
      </c>
      <c r="M561" t="n">
        <v>0</v>
      </c>
      <c r="N561" t="n">
        <v>0</v>
      </c>
      <c r="O561" t="n">
        <v>0</v>
      </c>
      <c r="P561" t="n">
        <v>0</v>
      </c>
      <c r="Q561" t="n">
        <v>0</v>
      </c>
      <c r="R561" s="2" t="inlineStr"/>
    </row>
    <row r="562" ht="15" customHeight="1">
      <c r="A562" t="inlineStr">
        <is>
          <t>A 21959-2022</t>
        </is>
      </c>
      <c r="B562" s="1" t="n">
        <v>44708</v>
      </c>
      <c r="C562" s="1" t="n">
        <v>46183</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51530-2023</t>
        </is>
      </c>
      <c r="B563" s="1" t="n">
        <v>45222</v>
      </c>
      <c r="C563" s="1" t="n">
        <v>46183</v>
      </c>
      <c r="D563" t="inlineStr">
        <is>
          <t>SÖDERMANLANDS LÄN</t>
        </is>
      </c>
      <c r="E563" t="inlineStr">
        <is>
          <t>KATRINEHOLM</t>
        </is>
      </c>
      <c r="G563" t="n">
        <v>0.9</v>
      </c>
      <c r="H563" t="n">
        <v>0</v>
      </c>
      <c r="I563" t="n">
        <v>0</v>
      </c>
      <c r="J563" t="n">
        <v>0</v>
      </c>
      <c r="K563" t="n">
        <v>0</v>
      </c>
      <c r="L563" t="n">
        <v>0</v>
      </c>
      <c r="M563" t="n">
        <v>0</v>
      </c>
      <c r="N563" t="n">
        <v>0</v>
      </c>
      <c r="O563" t="n">
        <v>0</v>
      </c>
      <c r="P563" t="n">
        <v>0</v>
      </c>
      <c r="Q563" t="n">
        <v>0</v>
      </c>
      <c r="R563" s="2" t="inlineStr"/>
    </row>
    <row r="564" ht="15" customHeight="1">
      <c r="A564" t="inlineStr">
        <is>
          <t>A 23916-2023</t>
        </is>
      </c>
      <c r="B564" s="1" t="n">
        <v>45075</v>
      </c>
      <c r="C564" s="1" t="n">
        <v>46183</v>
      </c>
      <c r="D564" t="inlineStr">
        <is>
          <t>SÖDERMANLANDS LÄN</t>
        </is>
      </c>
      <c r="E564" t="inlineStr">
        <is>
          <t>KATRINEHOLM</t>
        </is>
      </c>
      <c r="G564" t="n">
        <v>8</v>
      </c>
      <c r="H564" t="n">
        <v>0</v>
      </c>
      <c r="I564" t="n">
        <v>0</v>
      </c>
      <c r="J564" t="n">
        <v>0</v>
      </c>
      <c r="K564" t="n">
        <v>0</v>
      </c>
      <c r="L564" t="n">
        <v>0</v>
      </c>
      <c r="M564" t="n">
        <v>0</v>
      </c>
      <c r="N564" t="n">
        <v>0</v>
      </c>
      <c r="O564" t="n">
        <v>0</v>
      </c>
      <c r="P564" t="n">
        <v>0</v>
      </c>
      <c r="Q564" t="n">
        <v>0</v>
      </c>
      <c r="R564" s="2" t="inlineStr"/>
    </row>
    <row r="565" ht="15" customHeight="1">
      <c r="A565" t="inlineStr">
        <is>
          <t>A 38879-2024</t>
        </is>
      </c>
      <c r="B565" s="1" t="n">
        <v>45547</v>
      </c>
      <c r="C565" s="1" t="n">
        <v>46183</v>
      </c>
      <c r="D565" t="inlineStr">
        <is>
          <t>SÖDERMANLANDS LÄN</t>
        </is>
      </c>
      <c r="E565" t="inlineStr">
        <is>
          <t>KATRINEHOLM</t>
        </is>
      </c>
      <c r="G565" t="n">
        <v>2.6</v>
      </c>
      <c r="H565" t="n">
        <v>0</v>
      </c>
      <c r="I565" t="n">
        <v>0</v>
      </c>
      <c r="J565" t="n">
        <v>0</v>
      </c>
      <c r="K565" t="n">
        <v>0</v>
      </c>
      <c r="L565" t="n">
        <v>0</v>
      </c>
      <c r="M565" t="n">
        <v>0</v>
      </c>
      <c r="N565" t="n">
        <v>0</v>
      </c>
      <c r="O565" t="n">
        <v>0</v>
      </c>
      <c r="P565" t="n">
        <v>0</v>
      </c>
      <c r="Q565" t="n">
        <v>0</v>
      </c>
      <c r="R565" s="2" t="inlineStr"/>
    </row>
    <row r="566" ht="15" customHeight="1">
      <c r="A566" t="inlineStr">
        <is>
          <t>A 57524-2021</t>
        </is>
      </c>
      <c r="B566" s="1" t="n">
        <v>44483</v>
      </c>
      <c r="C566" s="1" t="n">
        <v>46183</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931-2023</t>
        </is>
      </c>
      <c r="B567" s="1" t="n">
        <v>44932.74261574074</v>
      </c>
      <c r="C567" s="1" t="n">
        <v>46183</v>
      </c>
      <c r="D567" t="inlineStr">
        <is>
          <t>SÖDERMANLANDS LÄN</t>
        </is>
      </c>
      <c r="E567" t="inlineStr">
        <is>
          <t>KATRINEHOLM</t>
        </is>
      </c>
      <c r="G567" t="n">
        <v>4</v>
      </c>
      <c r="H567" t="n">
        <v>0</v>
      </c>
      <c r="I567" t="n">
        <v>0</v>
      </c>
      <c r="J567" t="n">
        <v>0</v>
      </c>
      <c r="K567" t="n">
        <v>0</v>
      </c>
      <c r="L567" t="n">
        <v>0</v>
      </c>
      <c r="M567" t="n">
        <v>0</v>
      </c>
      <c r="N567" t="n">
        <v>0</v>
      </c>
      <c r="O567" t="n">
        <v>0</v>
      </c>
      <c r="P567" t="n">
        <v>0</v>
      </c>
      <c r="Q567" t="n">
        <v>0</v>
      </c>
      <c r="R567" s="2" t="inlineStr"/>
    </row>
    <row r="568" ht="15" customHeight="1">
      <c r="A568" t="inlineStr">
        <is>
          <t>A 55171-2023</t>
        </is>
      </c>
      <c r="B568" s="1" t="n">
        <v>45231</v>
      </c>
      <c r="C568" s="1" t="n">
        <v>46183</v>
      </c>
      <c r="D568" t="inlineStr">
        <is>
          <t>SÖDERMANLANDS LÄN</t>
        </is>
      </c>
      <c r="E568" t="inlineStr">
        <is>
          <t>KATRINEHOLM</t>
        </is>
      </c>
      <c r="G568" t="n">
        <v>4.2</v>
      </c>
      <c r="H568" t="n">
        <v>0</v>
      </c>
      <c r="I568" t="n">
        <v>0</v>
      </c>
      <c r="J568" t="n">
        <v>0</v>
      </c>
      <c r="K568" t="n">
        <v>0</v>
      </c>
      <c r="L568" t="n">
        <v>0</v>
      </c>
      <c r="M568" t="n">
        <v>0</v>
      </c>
      <c r="N568" t="n">
        <v>0</v>
      </c>
      <c r="O568" t="n">
        <v>0</v>
      </c>
      <c r="P568" t="n">
        <v>0</v>
      </c>
      <c r="Q568" t="n">
        <v>0</v>
      </c>
      <c r="R568" s="2" t="inlineStr"/>
    </row>
    <row r="569" ht="15" customHeight="1">
      <c r="A569" t="inlineStr">
        <is>
          <t>A 9437-2022</t>
        </is>
      </c>
      <c r="B569" s="1" t="n">
        <v>44616.69246527777</v>
      </c>
      <c r="C569" s="1" t="n">
        <v>46183</v>
      </c>
      <c r="D569" t="inlineStr">
        <is>
          <t>SÖDERMANLANDS LÄN</t>
        </is>
      </c>
      <c r="E569" t="inlineStr">
        <is>
          <t>KATRINEHOLM</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53393-2023</t>
        </is>
      </c>
      <c r="B570" s="1" t="n">
        <v>45229</v>
      </c>
      <c r="C570" s="1" t="n">
        <v>46183</v>
      </c>
      <c r="D570" t="inlineStr">
        <is>
          <t>SÖDERMANLANDS LÄN</t>
        </is>
      </c>
      <c r="E570" t="inlineStr">
        <is>
          <t>KATRINEHOLM</t>
        </is>
      </c>
      <c r="F570" t="inlineStr">
        <is>
          <t>Kyrkan</t>
        </is>
      </c>
      <c r="G570" t="n">
        <v>5.6</v>
      </c>
      <c r="H570" t="n">
        <v>0</v>
      </c>
      <c r="I570" t="n">
        <v>0</v>
      </c>
      <c r="J570" t="n">
        <v>0</v>
      </c>
      <c r="K570" t="n">
        <v>0</v>
      </c>
      <c r="L570" t="n">
        <v>0</v>
      </c>
      <c r="M570" t="n">
        <v>0</v>
      </c>
      <c r="N570" t="n">
        <v>0</v>
      </c>
      <c r="O570" t="n">
        <v>0</v>
      </c>
      <c r="P570" t="n">
        <v>0</v>
      </c>
      <c r="Q570" t="n">
        <v>0</v>
      </c>
      <c r="R570" s="2" t="inlineStr"/>
    </row>
    <row r="571" ht="15" customHeight="1">
      <c r="A571" t="inlineStr">
        <is>
          <t>A 25362-2023</t>
        </is>
      </c>
      <c r="B571" s="1" t="n">
        <v>45088.83430555555</v>
      </c>
      <c r="C571" s="1" t="n">
        <v>46183</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4662-2023</t>
        </is>
      </c>
      <c r="B572" s="1" t="n">
        <v>44957</v>
      </c>
      <c r="C572" s="1" t="n">
        <v>46183</v>
      </c>
      <c r="D572" t="inlineStr">
        <is>
          <t>SÖDERMANLANDS LÄN</t>
        </is>
      </c>
      <c r="E572" t="inlineStr">
        <is>
          <t>KATRINEHOLM</t>
        </is>
      </c>
      <c r="F572" t="inlineStr">
        <is>
          <t>Holmen skog AB</t>
        </is>
      </c>
      <c r="G572" t="n">
        <v>0.4</v>
      </c>
      <c r="H572" t="n">
        <v>0</v>
      </c>
      <c r="I572" t="n">
        <v>0</v>
      </c>
      <c r="J572" t="n">
        <v>0</v>
      </c>
      <c r="K572" t="n">
        <v>0</v>
      </c>
      <c r="L572" t="n">
        <v>0</v>
      </c>
      <c r="M572" t="n">
        <v>0</v>
      </c>
      <c r="N572" t="n">
        <v>0</v>
      </c>
      <c r="O572" t="n">
        <v>0</v>
      </c>
      <c r="P572" t="n">
        <v>0</v>
      </c>
      <c r="Q572" t="n">
        <v>0</v>
      </c>
      <c r="R572" s="2" t="inlineStr"/>
    </row>
    <row r="573" ht="15" customHeight="1">
      <c r="A573" t="inlineStr">
        <is>
          <t>A 19685-2022</t>
        </is>
      </c>
      <c r="B573" s="1" t="n">
        <v>44694</v>
      </c>
      <c r="C573" s="1" t="n">
        <v>46183</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62419-2023</t>
        </is>
      </c>
      <c r="B574" s="1" t="n">
        <v>45268</v>
      </c>
      <c r="C574" s="1" t="n">
        <v>46183</v>
      </c>
      <c r="D574" t="inlineStr">
        <is>
          <t>SÖDERMANLANDS LÄN</t>
        </is>
      </c>
      <c r="E574" t="inlineStr">
        <is>
          <t>KATRINEHOLM</t>
        </is>
      </c>
      <c r="G574" t="n">
        <v>9</v>
      </c>
      <c r="H574" t="n">
        <v>0</v>
      </c>
      <c r="I574" t="n">
        <v>0</v>
      </c>
      <c r="J574" t="n">
        <v>0</v>
      </c>
      <c r="K574" t="n">
        <v>0</v>
      </c>
      <c r="L574" t="n">
        <v>0</v>
      </c>
      <c r="M574" t="n">
        <v>0</v>
      </c>
      <c r="N574" t="n">
        <v>0</v>
      </c>
      <c r="O574" t="n">
        <v>0</v>
      </c>
      <c r="P574" t="n">
        <v>0</v>
      </c>
      <c r="Q574" t="n">
        <v>0</v>
      </c>
      <c r="R574" s="2" t="inlineStr"/>
    </row>
    <row r="575" ht="15" customHeight="1">
      <c r="A575" t="inlineStr">
        <is>
          <t>A 23031-2024</t>
        </is>
      </c>
      <c r="B575" s="1" t="n">
        <v>45450.38120370371</v>
      </c>
      <c r="C575" s="1" t="n">
        <v>46183</v>
      </c>
      <c r="D575" t="inlineStr">
        <is>
          <t>SÖDERMANLANDS LÄN</t>
        </is>
      </c>
      <c r="E575" t="inlineStr">
        <is>
          <t>KATRINEHOLM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39897-2023</t>
        </is>
      </c>
      <c r="B576" s="1" t="n">
        <v>45168</v>
      </c>
      <c r="C576" s="1" t="n">
        <v>46183</v>
      </c>
      <c r="D576" t="inlineStr">
        <is>
          <t>SÖDERMANLANDS LÄN</t>
        </is>
      </c>
      <c r="E576" t="inlineStr">
        <is>
          <t>KATRINEHOLM</t>
        </is>
      </c>
      <c r="G576" t="n">
        <v>15.6</v>
      </c>
      <c r="H576" t="n">
        <v>0</v>
      </c>
      <c r="I576" t="n">
        <v>0</v>
      </c>
      <c r="J576" t="n">
        <v>0</v>
      </c>
      <c r="K576" t="n">
        <v>0</v>
      </c>
      <c r="L576" t="n">
        <v>0</v>
      </c>
      <c r="M576" t="n">
        <v>0</v>
      </c>
      <c r="N576" t="n">
        <v>0</v>
      </c>
      <c r="O576" t="n">
        <v>0</v>
      </c>
      <c r="P576" t="n">
        <v>0</v>
      </c>
      <c r="Q576" t="n">
        <v>0</v>
      </c>
      <c r="R576" s="2" t="inlineStr"/>
    </row>
    <row r="577" ht="15" customHeight="1">
      <c r="A577" t="inlineStr">
        <is>
          <t>A 23207-2023</t>
        </is>
      </c>
      <c r="B577" s="1" t="n">
        <v>45071</v>
      </c>
      <c r="C577" s="1" t="n">
        <v>46183</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22506-2023</t>
        </is>
      </c>
      <c r="B578" s="1" t="n">
        <v>45071.37393518518</v>
      </c>
      <c r="C578" s="1" t="n">
        <v>46183</v>
      </c>
      <c r="D578" t="inlineStr">
        <is>
          <t>SÖDERMANLANDS LÄN</t>
        </is>
      </c>
      <c r="E578" t="inlineStr">
        <is>
          <t>KATRINEHOLM</t>
        </is>
      </c>
      <c r="F578" t="inlineStr">
        <is>
          <t>Kyrkan</t>
        </is>
      </c>
      <c r="G578" t="n">
        <v>5.9</v>
      </c>
      <c r="H578" t="n">
        <v>0</v>
      </c>
      <c r="I578" t="n">
        <v>0</v>
      </c>
      <c r="J578" t="n">
        <v>0</v>
      </c>
      <c r="K578" t="n">
        <v>0</v>
      </c>
      <c r="L578" t="n">
        <v>0</v>
      </c>
      <c r="M578" t="n">
        <v>0</v>
      </c>
      <c r="N578" t="n">
        <v>0</v>
      </c>
      <c r="O578" t="n">
        <v>0</v>
      </c>
      <c r="P578" t="n">
        <v>0</v>
      </c>
      <c r="Q578" t="n">
        <v>0</v>
      </c>
      <c r="R578" s="2" t="inlineStr"/>
    </row>
    <row r="579" ht="15" customHeight="1">
      <c r="A579" t="inlineStr">
        <is>
          <t>A 12888-2025</t>
        </is>
      </c>
      <c r="B579" s="1" t="n">
        <v>45733</v>
      </c>
      <c r="C579" s="1" t="n">
        <v>46183</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42025-2022</t>
        </is>
      </c>
      <c r="B580" s="1" t="n">
        <v>44830.47399305556</v>
      </c>
      <c r="C580" s="1" t="n">
        <v>46183</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8791-2023</t>
        </is>
      </c>
      <c r="B581" s="1" t="n">
        <v>44978</v>
      </c>
      <c r="C581" s="1" t="n">
        <v>46183</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48253-2022</t>
        </is>
      </c>
      <c r="B582" s="1" t="n">
        <v>44858</v>
      </c>
      <c r="C582" s="1" t="n">
        <v>46183</v>
      </c>
      <c r="D582" t="inlineStr">
        <is>
          <t>SÖDERMANLANDS LÄN</t>
        </is>
      </c>
      <c r="E582" t="inlineStr">
        <is>
          <t>KATRINEHOLM</t>
        </is>
      </c>
      <c r="G582" t="n">
        <v>4.7</v>
      </c>
      <c r="H582" t="n">
        <v>0</v>
      </c>
      <c r="I582" t="n">
        <v>0</v>
      </c>
      <c r="J582" t="n">
        <v>0</v>
      </c>
      <c r="K582" t="n">
        <v>0</v>
      </c>
      <c r="L582" t="n">
        <v>0</v>
      </c>
      <c r="M582" t="n">
        <v>0</v>
      </c>
      <c r="N582" t="n">
        <v>0</v>
      </c>
      <c r="O582" t="n">
        <v>0</v>
      </c>
      <c r="P582" t="n">
        <v>0</v>
      </c>
      <c r="Q582" t="n">
        <v>0</v>
      </c>
      <c r="R582" s="2" t="inlineStr"/>
    </row>
    <row r="583" ht="15" customHeight="1">
      <c r="A583" t="inlineStr">
        <is>
          <t>A 53809-2021</t>
        </is>
      </c>
      <c r="B583" s="1" t="n">
        <v>44467</v>
      </c>
      <c r="C583" s="1" t="n">
        <v>46183</v>
      </c>
      <c r="D583" t="inlineStr">
        <is>
          <t>SÖDERMANLANDS LÄN</t>
        </is>
      </c>
      <c r="E583" t="inlineStr">
        <is>
          <t>KATRINEHOLM</t>
        </is>
      </c>
      <c r="G583" t="n">
        <v>7</v>
      </c>
      <c r="H583" t="n">
        <v>0</v>
      </c>
      <c r="I583" t="n">
        <v>0</v>
      </c>
      <c r="J583" t="n">
        <v>0</v>
      </c>
      <c r="K583" t="n">
        <v>0</v>
      </c>
      <c r="L583" t="n">
        <v>0</v>
      </c>
      <c r="M583" t="n">
        <v>0</v>
      </c>
      <c r="N583" t="n">
        <v>0</v>
      </c>
      <c r="O583" t="n">
        <v>0</v>
      </c>
      <c r="P583" t="n">
        <v>0</v>
      </c>
      <c r="Q583" t="n">
        <v>0</v>
      </c>
      <c r="R583" s="2" t="inlineStr"/>
    </row>
    <row r="584" ht="15" customHeight="1">
      <c r="A584" t="inlineStr">
        <is>
          <t>A 31719-2024</t>
        </is>
      </c>
      <c r="B584" s="1" t="n">
        <v>45509</v>
      </c>
      <c r="C584" s="1" t="n">
        <v>46183</v>
      </c>
      <c r="D584" t="inlineStr">
        <is>
          <t>SÖDERMANLANDS LÄN</t>
        </is>
      </c>
      <c r="E584" t="inlineStr">
        <is>
          <t>KATRINEHOLM</t>
        </is>
      </c>
      <c r="F584" t="inlineStr">
        <is>
          <t>Kyrkan</t>
        </is>
      </c>
      <c r="G584" t="n">
        <v>11.9</v>
      </c>
      <c r="H584" t="n">
        <v>0</v>
      </c>
      <c r="I584" t="n">
        <v>0</v>
      </c>
      <c r="J584" t="n">
        <v>0</v>
      </c>
      <c r="K584" t="n">
        <v>0</v>
      </c>
      <c r="L584" t="n">
        <v>0</v>
      </c>
      <c r="M584" t="n">
        <v>0</v>
      </c>
      <c r="N584" t="n">
        <v>0</v>
      </c>
      <c r="O584" t="n">
        <v>0</v>
      </c>
      <c r="P584" t="n">
        <v>0</v>
      </c>
      <c r="Q584" t="n">
        <v>0</v>
      </c>
      <c r="R584" s="2" t="inlineStr"/>
    </row>
    <row r="585" ht="15" customHeight="1">
      <c r="A585" t="inlineStr">
        <is>
          <t>A 13175-2024</t>
        </is>
      </c>
      <c r="B585" s="1" t="n">
        <v>45386</v>
      </c>
      <c r="C585" s="1" t="n">
        <v>46183</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40744-2022</t>
        </is>
      </c>
      <c r="B586" s="1" t="n">
        <v>44824.55655092592</v>
      </c>
      <c r="C586" s="1" t="n">
        <v>46183</v>
      </c>
      <c r="D586" t="inlineStr">
        <is>
          <t>SÖDERMANLANDS LÄN</t>
        </is>
      </c>
      <c r="E586" t="inlineStr">
        <is>
          <t>KATRINEHOLM</t>
        </is>
      </c>
      <c r="G586" t="n">
        <v>3.7</v>
      </c>
      <c r="H586" t="n">
        <v>0</v>
      </c>
      <c r="I586" t="n">
        <v>0</v>
      </c>
      <c r="J586" t="n">
        <v>0</v>
      </c>
      <c r="K586" t="n">
        <v>0</v>
      </c>
      <c r="L586" t="n">
        <v>0</v>
      </c>
      <c r="M586" t="n">
        <v>0</v>
      </c>
      <c r="N586" t="n">
        <v>0</v>
      </c>
      <c r="O586" t="n">
        <v>0</v>
      </c>
      <c r="P586" t="n">
        <v>0</v>
      </c>
      <c r="Q586" t="n">
        <v>0</v>
      </c>
      <c r="R586" s="2" t="inlineStr"/>
    </row>
    <row r="587" ht="15" customHeight="1">
      <c r="A587" t="inlineStr">
        <is>
          <t>A 8761-2023</t>
        </is>
      </c>
      <c r="B587" s="1" t="n">
        <v>44978.49685185185</v>
      </c>
      <c r="C587" s="1" t="n">
        <v>46183</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8778-2023</t>
        </is>
      </c>
      <c r="B588" s="1" t="n">
        <v>44978.5737037037</v>
      </c>
      <c r="C588" s="1" t="n">
        <v>46183</v>
      </c>
      <c r="D588" t="inlineStr">
        <is>
          <t>SÖDERMANLANDS LÄN</t>
        </is>
      </c>
      <c r="E588" t="inlineStr">
        <is>
          <t>KATRINEHOLM</t>
        </is>
      </c>
      <c r="G588" t="n">
        <v>4.5</v>
      </c>
      <c r="H588" t="n">
        <v>0</v>
      </c>
      <c r="I588" t="n">
        <v>0</v>
      </c>
      <c r="J588" t="n">
        <v>0</v>
      </c>
      <c r="K588" t="n">
        <v>0</v>
      </c>
      <c r="L588" t="n">
        <v>0</v>
      </c>
      <c r="M588" t="n">
        <v>0</v>
      </c>
      <c r="N588" t="n">
        <v>0</v>
      </c>
      <c r="O588" t="n">
        <v>0</v>
      </c>
      <c r="P588" t="n">
        <v>0</v>
      </c>
      <c r="Q588" t="n">
        <v>0</v>
      </c>
      <c r="R588" s="2" t="inlineStr"/>
    </row>
    <row r="589" ht="15" customHeight="1">
      <c r="A589" t="inlineStr">
        <is>
          <t>A 56330-2025</t>
        </is>
      </c>
      <c r="B589" s="1" t="n">
        <v>45974.64094907408</v>
      </c>
      <c r="C589" s="1" t="n">
        <v>46183</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8457-2023</t>
        </is>
      </c>
      <c r="B590" s="1" t="n">
        <v>44977</v>
      </c>
      <c r="C590" s="1" t="n">
        <v>46183</v>
      </c>
      <c r="D590" t="inlineStr">
        <is>
          <t>SÖDERMANLANDS LÄN</t>
        </is>
      </c>
      <c r="E590" t="inlineStr">
        <is>
          <t>KATRINEHOLM</t>
        </is>
      </c>
      <c r="F590" t="inlineStr">
        <is>
          <t>Allmännings- och besparingsskogar</t>
        </is>
      </c>
      <c r="G590" t="n">
        <v>16.1</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46183</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56597-2025</t>
        </is>
      </c>
      <c r="B592" s="1" t="n">
        <v>45975.57271990741</v>
      </c>
      <c r="C592" s="1" t="n">
        <v>46183</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32786-2022</t>
        </is>
      </c>
      <c r="B593" s="1" t="n">
        <v>44784</v>
      </c>
      <c r="C593" s="1" t="n">
        <v>46183</v>
      </c>
      <c r="D593" t="inlineStr">
        <is>
          <t>SÖDERMANLANDS LÄN</t>
        </is>
      </c>
      <c r="E593" t="inlineStr">
        <is>
          <t>KATRINEHOLM</t>
        </is>
      </c>
      <c r="G593" t="n">
        <v>7</v>
      </c>
      <c r="H593" t="n">
        <v>0</v>
      </c>
      <c r="I593" t="n">
        <v>0</v>
      </c>
      <c r="J593" t="n">
        <v>0</v>
      </c>
      <c r="K593" t="n">
        <v>0</v>
      </c>
      <c r="L593" t="n">
        <v>0</v>
      </c>
      <c r="M593" t="n">
        <v>0</v>
      </c>
      <c r="N593" t="n">
        <v>0</v>
      </c>
      <c r="O593" t="n">
        <v>0</v>
      </c>
      <c r="P593" t="n">
        <v>0</v>
      </c>
      <c r="Q593" t="n">
        <v>0</v>
      </c>
      <c r="R593" s="2" t="inlineStr"/>
    </row>
    <row r="594" ht="15" customHeight="1">
      <c r="A594" t="inlineStr">
        <is>
          <t>A 7223-2022</t>
        </is>
      </c>
      <c r="B594" s="1" t="n">
        <v>44603</v>
      </c>
      <c r="C594" s="1" t="n">
        <v>46183</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7459-2022</t>
        </is>
      </c>
      <c r="B595" s="1" t="n">
        <v>44607.35009259259</v>
      </c>
      <c r="C595" s="1" t="n">
        <v>46183</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20768-2022</t>
        </is>
      </c>
      <c r="B596" s="1" t="n">
        <v>44701.36431712963</v>
      </c>
      <c r="C596" s="1" t="n">
        <v>46183</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15284-2023</t>
        </is>
      </c>
      <c r="B597" s="1" t="n">
        <v>45019</v>
      </c>
      <c r="C597" s="1" t="n">
        <v>46183</v>
      </c>
      <c r="D597" t="inlineStr">
        <is>
          <t>SÖDERMANLANDS LÄN</t>
        </is>
      </c>
      <c r="E597" t="inlineStr">
        <is>
          <t>KATRINEHOLM</t>
        </is>
      </c>
      <c r="F597" t="inlineStr">
        <is>
          <t>Allmännings- och besparingsskogar</t>
        </is>
      </c>
      <c r="G597" t="n">
        <v>17.4</v>
      </c>
      <c r="H597" t="n">
        <v>0</v>
      </c>
      <c r="I597" t="n">
        <v>0</v>
      </c>
      <c r="J597" t="n">
        <v>0</v>
      </c>
      <c r="K597" t="n">
        <v>0</v>
      </c>
      <c r="L597" t="n">
        <v>0</v>
      </c>
      <c r="M597" t="n">
        <v>0</v>
      </c>
      <c r="N597" t="n">
        <v>0</v>
      </c>
      <c r="O597" t="n">
        <v>0</v>
      </c>
      <c r="P597" t="n">
        <v>0</v>
      </c>
      <c r="Q597" t="n">
        <v>0</v>
      </c>
      <c r="R597" s="2" t="inlineStr"/>
    </row>
    <row r="598" ht="15" customHeight="1">
      <c r="A598" t="inlineStr">
        <is>
          <t>A 51613-2022</t>
        </is>
      </c>
      <c r="B598" s="1" t="n">
        <v>44871</v>
      </c>
      <c r="C598" s="1" t="n">
        <v>46183</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37834-2023</t>
        </is>
      </c>
      <c r="B599" s="1" t="n">
        <v>45160</v>
      </c>
      <c r="C599" s="1" t="n">
        <v>46183</v>
      </c>
      <c r="D599" t="inlineStr">
        <is>
          <t>SÖDERMANLANDS LÄN</t>
        </is>
      </c>
      <c r="E599" t="inlineStr">
        <is>
          <t>KATRINEHOLM</t>
        </is>
      </c>
      <c r="F599" t="inlineStr">
        <is>
          <t>Kyrkan</t>
        </is>
      </c>
      <c r="G599" t="n">
        <v>2.8</v>
      </c>
      <c r="H599" t="n">
        <v>0</v>
      </c>
      <c r="I599" t="n">
        <v>0</v>
      </c>
      <c r="J599" t="n">
        <v>0</v>
      </c>
      <c r="K599" t="n">
        <v>0</v>
      </c>
      <c r="L599" t="n">
        <v>0</v>
      </c>
      <c r="M599" t="n">
        <v>0</v>
      </c>
      <c r="N599" t="n">
        <v>0</v>
      </c>
      <c r="O599" t="n">
        <v>0</v>
      </c>
      <c r="P599" t="n">
        <v>0</v>
      </c>
      <c r="Q599" t="n">
        <v>0</v>
      </c>
      <c r="R599" s="2" t="inlineStr"/>
    </row>
    <row r="600" ht="15" customHeight="1">
      <c r="A600" t="inlineStr">
        <is>
          <t>A 8475-2023</t>
        </is>
      </c>
      <c r="B600" s="1" t="n">
        <v>44977</v>
      </c>
      <c r="C600" s="1" t="n">
        <v>46183</v>
      </c>
      <c r="D600" t="inlineStr">
        <is>
          <t>SÖDERMANLANDS LÄN</t>
        </is>
      </c>
      <c r="E600" t="inlineStr">
        <is>
          <t>KATRINEHOLM</t>
        </is>
      </c>
      <c r="F600" t="inlineStr">
        <is>
          <t>Allmännings- och besparingsskogar</t>
        </is>
      </c>
      <c r="G600" t="n">
        <v>8.1</v>
      </c>
      <c r="H600" t="n">
        <v>0</v>
      </c>
      <c r="I600" t="n">
        <v>0</v>
      </c>
      <c r="J600" t="n">
        <v>0</v>
      </c>
      <c r="K600" t="n">
        <v>0</v>
      </c>
      <c r="L600" t="n">
        <v>0</v>
      </c>
      <c r="M600" t="n">
        <v>0</v>
      </c>
      <c r="N600" t="n">
        <v>0</v>
      </c>
      <c r="O600" t="n">
        <v>0</v>
      </c>
      <c r="P600" t="n">
        <v>0</v>
      </c>
      <c r="Q600" t="n">
        <v>0</v>
      </c>
      <c r="R600" s="2" t="inlineStr"/>
    </row>
    <row r="601" ht="15" customHeight="1">
      <c r="A601" t="inlineStr">
        <is>
          <t>A 32890-2024</t>
        </is>
      </c>
      <c r="B601" s="1" t="n">
        <v>45516</v>
      </c>
      <c r="C601" s="1" t="n">
        <v>46183</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2320-2023</t>
        </is>
      </c>
      <c r="B602" s="1" t="n">
        <v>44942.58850694444</v>
      </c>
      <c r="C602" s="1" t="n">
        <v>46183</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59898-2022</t>
        </is>
      </c>
      <c r="B603" s="1" t="n">
        <v>44908</v>
      </c>
      <c r="C603" s="1" t="n">
        <v>46183</v>
      </c>
      <c r="D603" t="inlineStr">
        <is>
          <t>SÖDERMANLANDS LÄN</t>
        </is>
      </c>
      <c r="E603" t="inlineStr">
        <is>
          <t>KATRINEHOLM</t>
        </is>
      </c>
      <c r="G603" t="n">
        <v>4.8</v>
      </c>
      <c r="H603" t="n">
        <v>0</v>
      </c>
      <c r="I603" t="n">
        <v>0</v>
      </c>
      <c r="J603" t="n">
        <v>0</v>
      </c>
      <c r="K603" t="n">
        <v>0</v>
      </c>
      <c r="L603" t="n">
        <v>0</v>
      </c>
      <c r="M603" t="n">
        <v>0</v>
      </c>
      <c r="N603" t="n">
        <v>0</v>
      </c>
      <c r="O603" t="n">
        <v>0</v>
      </c>
      <c r="P603" t="n">
        <v>0</v>
      </c>
      <c r="Q603" t="n">
        <v>0</v>
      </c>
      <c r="R603" s="2" t="inlineStr"/>
    </row>
    <row r="604" ht="15" customHeight="1">
      <c r="A604" t="inlineStr">
        <is>
          <t>A 20326-2023</t>
        </is>
      </c>
      <c r="B604" s="1" t="n">
        <v>45056.46821759259</v>
      </c>
      <c r="C604" s="1" t="n">
        <v>46183</v>
      </c>
      <c r="D604" t="inlineStr">
        <is>
          <t>SÖDERMANLANDS LÄN</t>
        </is>
      </c>
      <c r="E604" t="inlineStr">
        <is>
          <t>KATRINEHOLM</t>
        </is>
      </c>
      <c r="G604" t="n">
        <v>0.9</v>
      </c>
      <c r="H604" t="n">
        <v>0</v>
      </c>
      <c r="I604" t="n">
        <v>0</v>
      </c>
      <c r="J604" t="n">
        <v>0</v>
      </c>
      <c r="K604" t="n">
        <v>0</v>
      </c>
      <c r="L604" t="n">
        <v>0</v>
      </c>
      <c r="M604" t="n">
        <v>0</v>
      </c>
      <c r="N604" t="n">
        <v>0</v>
      </c>
      <c r="O604" t="n">
        <v>0</v>
      </c>
      <c r="P604" t="n">
        <v>0</v>
      </c>
      <c r="Q604" t="n">
        <v>0</v>
      </c>
      <c r="R604" s="2" t="inlineStr"/>
    </row>
    <row r="605" ht="15" customHeight="1">
      <c r="A605" t="inlineStr">
        <is>
          <t>A 15392-2023</t>
        </is>
      </c>
      <c r="B605" s="1" t="n">
        <v>45016</v>
      </c>
      <c r="C605" s="1" t="n">
        <v>46183</v>
      </c>
      <c r="D605" t="inlineStr">
        <is>
          <t>SÖDERMANLANDS LÄN</t>
        </is>
      </c>
      <c r="E605" t="inlineStr">
        <is>
          <t>KATRINEHOLM</t>
        </is>
      </c>
      <c r="F605" t="inlineStr">
        <is>
          <t>Övriga Aktiebolag</t>
        </is>
      </c>
      <c r="G605" t="n">
        <v>2.7</v>
      </c>
      <c r="H605" t="n">
        <v>0</v>
      </c>
      <c r="I605" t="n">
        <v>0</v>
      </c>
      <c r="J605" t="n">
        <v>0</v>
      </c>
      <c r="K605" t="n">
        <v>0</v>
      </c>
      <c r="L605" t="n">
        <v>0</v>
      </c>
      <c r="M605" t="n">
        <v>0</v>
      </c>
      <c r="N605" t="n">
        <v>0</v>
      </c>
      <c r="O605" t="n">
        <v>0</v>
      </c>
      <c r="P605" t="n">
        <v>0</v>
      </c>
      <c r="Q605" t="n">
        <v>0</v>
      </c>
      <c r="R605" s="2" t="inlineStr"/>
    </row>
    <row r="606" ht="15" customHeight="1">
      <c r="A606" t="inlineStr">
        <is>
          <t>A 45246-2023</t>
        </is>
      </c>
      <c r="B606" s="1" t="n">
        <v>45191</v>
      </c>
      <c r="C606" s="1" t="n">
        <v>46183</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2735-2025</t>
        </is>
      </c>
      <c r="B607" s="1" t="n">
        <v>45677</v>
      </c>
      <c r="C607" s="1" t="n">
        <v>46183</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49914-2023</t>
        </is>
      </c>
      <c r="B608" s="1" t="n">
        <v>45214</v>
      </c>
      <c r="C608" s="1" t="n">
        <v>46183</v>
      </c>
      <c r="D608" t="inlineStr">
        <is>
          <t>SÖDERMANLANDS LÄN</t>
        </is>
      </c>
      <c r="E608" t="inlineStr">
        <is>
          <t>KATRINEHOLM</t>
        </is>
      </c>
      <c r="G608" t="n">
        <v>1.4</v>
      </c>
      <c r="H608" t="n">
        <v>0</v>
      </c>
      <c r="I608" t="n">
        <v>0</v>
      </c>
      <c r="J608" t="n">
        <v>0</v>
      </c>
      <c r="K608" t="n">
        <v>0</v>
      </c>
      <c r="L608" t="n">
        <v>0</v>
      </c>
      <c r="M608" t="n">
        <v>0</v>
      </c>
      <c r="N608" t="n">
        <v>0</v>
      </c>
      <c r="O608" t="n">
        <v>0</v>
      </c>
      <c r="P608" t="n">
        <v>0</v>
      </c>
      <c r="Q608" t="n">
        <v>0</v>
      </c>
      <c r="R608" s="2" t="inlineStr"/>
    </row>
    <row r="609" ht="15" customHeight="1">
      <c r="A609" t="inlineStr">
        <is>
          <t>A 17335-2023</t>
        </is>
      </c>
      <c r="B609" s="1" t="n">
        <v>45033</v>
      </c>
      <c r="C609" s="1" t="n">
        <v>46183</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16605-2025</t>
        </is>
      </c>
      <c r="B610" s="1" t="n">
        <v>45753.61614583333</v>
      </c>
      <c r="C610" s="1" t="n">
        <v>46183</v>
      </c>
      <c r="D610" t="inlineStr">
        <is>
          <t>SÖDERMANLANDS LÄN</t>
        </is>
      </c>
      <c r="E610" t="inlineStr">
        <is>
          <t>KATRINEHOLM</t>
        </is>
      </c>
      <c r="G610" t="n">
        <v>5.2</v>
      </c>
      <c r="H610" t="n">
        <v>0</v>
      </c>
      <c r="I610" t="n">
        <v>0</v>
      </c>
      <c r="J610" t="n">
        <v>0</v>
      </c>
      <c r="K610" t="n">
        <v>0</v>
      </c>
      <c r="L610" t="n">
        <v>0</v>
      </c>
      <c r="M610" t="n">
        <v>0</v>
      </c>
      <c r="N610" t="n">
        <v>0</v>
      </c>
      <c r="O610" t="n">
        <v>0</v>
      </c>
      <c r="P610" t="n">
        <v>0</v>
      </c>
      <c r="Q610" t="n">
        <v>0</v>
      </c>
      <c r="R610" s="2" t="inlineStr"/>
    </row>
    <row r="611" ht="15" customHeight="1">
      <c r="A611" t="inlineStr">
        <is>
          <t>A 33141-2023</t>
        </is>
      </c>
      <c r="B611" s="1" t="n">
        <v>45126.65491898148</v>
      </c>
      <c r="C611" s="1" t="n">
        <v>46183</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9899-2023</t>
        </is>
      </c>
      <c r="B612" s="1" t="n">
        <v>44985</v>
      </c>
      <c r="C612" s="1" t="n">
        <v>46183</v>
      </c>
      <c r="D612" t="inlineStr">
        <is>
          <t>SÖDERMANLANDS LÄN</t>
        </is>
      </c>
      <c r="E612" t="inlineStr">
        <is>
          <t>KATRINEHOLM</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8288-2023</t>
        </is>
      </c>
      <c r="B613" s="1" t="n">
        <v>44974</v>
      </c>
      <c r="C613" s="1" t="n">
        <v>46183</v>
      </c>
      <c r="D613" t="inlineStr">
        <is>
          <t>SÖDERMANLANDS LÄN</t>
        </is>
      </c>
      <c r="E613" t="inlineStr">
        <is>
          <t>KATRINEHOLM</t>
        </is>
      </c>
      <c r="F613" t="inlineStr">
        <is>
          <t>Allmännings- och besparingsskogar</t>
        </is>
      </c>
      <c r="G613" t="n">
        <v>5.6</v>
      </c>
      <c r="H613" t="n">
        <v>0</v>
      </c>
      <c r="I613" t="n">
        <v>0</v>
      </c>
      <c r="J613" t="n">
        <v>0</v>
      </c>
      <c r="K613" t="n">
        <v>0</v>
      </c>
      <c r="L613" t="n">
        <v>0</v>
      </c>
      <c r="M613" t="n">
        <v>0</v>
      </c>
      <c r="N613" t="n">
        <v>0</v>
      </c>
      <c r="O613" t="n">
        <v>0</v>
      </c>
      <c r="P613" t="n">
        <v>0</v>
      </c>
      <c r="Q613" t="n">
        <v>0</v>
      </c>
      <c r="R613" s="2" t="inlineStr"/>
    </row>
    <row r="614" ht="15" customHeight="1">
      <c r="A614" t="inlineStr">
        <is>
          <t>A 3317-2023</t>
        </is>
      </c>
      <c r="B614" s="1" t="n">
        <v>44945</v>
      </c>
      <c r="C614" s="1" t="n">
        <v>46183</v>
      </c>
      <c r="D614" t="inlineStr">
        <is>
          <t>SÖDERMANLANDS LÄN</t>
        </is>
      </c>
      <c r="E614" t="inlineStr">
        <is>
          <t>KATRINEHOLM</t>
        </is>
      </c>
      <c r="G614" t="n">
        <v>3.2</v>
      </c>
      <c r="H614" t="n">
        <v>0</v>
      </c>
      <c r="I614" t="n">
        <v>0</v>
      </c>
      <c r="J614" t="n">
        <v>0</v>
      </c>
      <c r="K614" t="n">
        <v>0</v>
      </c>
      <c r="L614" t="n">
        <v>0</v>
      </c>
      <c r="M614" t="n">
        <v>0</v>
      </c>
      <c r="N614" t="n">
        <v>0</v>
      </c>
      <c r="O614" t="n">
        <v>0</v>
      </c>
      <c r="P614" t="n">
        <v>0</v>
      </c>
      <c r="Q614" t="n">
        <v>0</v>
      </c>
      <c r="R614" s="2" t="inlineStr"/>
    </row>
    <row r="615" ht="15" customHeight="1">
      <c r="A615" t="inlineStr">
        <is>
          <t>A 37185-2023</t>
        </is>
      </c>
      <c r="B615" s="1" t="n">
        <v>45154</v>
      </c>
      <c r="C615" s="1" t="n">
        <v>46183</v>
      </c>
      <c r="D615" t="inlineStr">
        <is>
          <t>SÖDERMANLANDS LÄN</t>
        </is>
      </c>
      <c r="E615" t="inlineStr">
        <is>
          <t>KATRINEHOLM</t>
        </is>
      </c>
      <c r="G615" t="n">
        <v>3</v>
      </c>
      <c r="H615" t="n">
        <v>0</v>
      </c>
      <c r="I615" t="n">
        <v>0</v>
      </c>
      <c r="J615" t="n">
        <v>0</v>
      </c>
      <c r="K615" t="n">
        <v>0</v>
      </c>
      <c r="L615" t="n">
        <v>0</v>
      </c>
      <c r="M615" t="n">
        <v>0</v>
      </c>
      <c r="N615" t="n">
        <v>0</v>
      </c>
      <c r="O615" t="n">
        <v>0</v>
      </c>
      <c r="P615" t="n">
        <v>0</v>
      </c>
      <c r="Q615" t="n">
        <v>0</v>
      </c>
      <c r="R615" s="2" t="inlineStr"/>
    </row>
    <row r="616" ht="15" customHeight="1">
      <c r="A616" t="inlineStr">
        <is>
          <t>A 51848-2022</t>
        </is>
      </c>
      <c r="B616" s="1" t="n">
        <v>44872.57752314815</v>
      </c>
      <c r="C616" s="1" t="n">
        <v>46183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49218-2023</t>
        </is>
      </c>
      <c r="B617" s="1" t="n">
        <v>45205</v>
      </c>
      <c r="C617" s="1" t="n">
        <v>46183</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55169-2022</t>
        </is>
      </c>
      <c r="B618" s="1" t="n">
        <v>44886</v>
      </c>
      <c r="C618" s="1" t="n">
        <v>46183</v>
      </c>
      <c r="D618" t="inlineStr">
        <is>
          <t>SÖDERMANLANDS LÄN</t>
        </is>
      </c>
      <c r="E618" t="inlineStr">
        <is>
          <t>KATRINEHOLM</t>
        </is>
      </c>
      <c r="G618" t="n">
        <v>1.3</v>
      </c>
      <c r="H618" t="n">
        <v>0</v>
      </c>
      <c r="I618" t="n">
        <v>0</v>
      </c>
      <c r="J618" t="n">
        <v>0</v>
      </c>
      <c r="K618" t="n">
        <v>0</v>
      </c>
      <c r="L618" t="n">
        <v>0</v>
      </c>
      <c r="M618" t="n">
        <v>0</v>
      </c>
      <c r="N618" t="n">
        <v>0</v>
      </c>
      <c r="O618" t="n">
        <v>0</v>
      </c>
      <c r="P618" t="n">
        <v>0</v>
      </c>
      <c r="Q618" t="n">
        <v>0</v>
      </c>
      <c r="R618" s="2" t="inlineStr"/>
    </row>
    <row r="619" ht="15" customHeight="1">
      <c r="A619" t="inlineStr">
        <is>
          <t>A 61398-2024</t>
        </is>
      </c>
      <c r="B619" s="1" t="n">
        <v>45646.42608796297</v>
      </c>
      <c r="C619" s="1" t="n">
        <v>46183</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60678-2025</t>
        </is>
      </c>
      <c r="B620" s="1" t="n">
        <v>45996.56251157408</v>
      </c>
      <c r="C620" s="1" t="n">
        <v>46183</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24287-2024</t>
        </is>
      </c>
      <c r="B621" s="1" t="n">
        <v>45457</v>
      </c>
      <c r="C621" s="1" t="n">
        <v>46183</v>
      </c>
      <c r="D621" t="inlineStr">
        <is>
          <t>SÖDERMANLANDS LÄN</t>
        </is>
      </c>
      <c r="E621" t="inlineStr">
        <is>
          <t>KATRINEHOLM</t>
        </is>
      </c>
      <c r="G621" t="n">
        <v>1.3</v>
      </c>
      <c r="H621" t="n">
        <v>0</v>
      </c>
      <c r="I621" t="n">
        <v>0</v>
      </c>
      <c r="J621" t="n">
        <v>0</v>
      </c>
      <c r="K621" t="n">
        <v>0</v>
      </c>
      <c r="L621" t="n">
        <v>0</v>
      </c>
      <c r="M621" t="n">
        <v>0</v>
      </c>
      <c r="N621" t="n">
        <v>0</v>
      </c>
      <c r="O621" t="n">
        <v>0</v>
      </c>
      <c r="P621" t="n">
        <v>0</v>
      </c>
      <c r="Q621" t="n">
        <v>0</v>
      </c>
      <c r="R621" s="2" t="inlineStr"/>
    </row>
    <row r="622" ht="15" customHeight="1">
      <c r="A622" t="inlineStr">
        <is>
          <t>A 8518-2023</t>
        </is>
      </c>
      <c r="B622" s="1" t="n">
        <v>44977</v>
      </c>
      <c r="C622" s="1" t="n">
        <v>46183</v>
      </c>
      <c r="D622" t="inlineStr">
        <is>
          <t>SÖDERMANLANDS LÄN</t>
        </is>
      </c>
      <c r="E622" t="inlineStr">
        <is>
          <t>KATRINEHOLM</t>
        </is>
      </c>
      <c r="F622" t="inlineStr">
        <is>
          <t>Allmännings- och besparingsskogar</t>
        </is>
      </c>
      <c r="G622" t="n">
        <v>35.3</v>
      </c>
      <c r="H622" t="n">
        <v>0</v>
      </c>
      <c r="I622" t="n">
        <v>0</v>
      </c>
      <c r="J622" t="n">
        <v>0</v>
      </c>
      <c r="K622" t="n">
        <v>0</v>
      </c>
      <c r="L622" t="n">
        <v>0</v>
      </c>
      <c r="M622" t="n">
        <v>0</v>
      </c>
      <c r="N622" t="n">
        <v>0</v>
      </c>
      <c r="O622" t="n">
        <v>0</v>
      </c>
      <c r="P622" t="n">
        <v>0</v>
      </c>
      <c r="Q622" t="n">
        <v>0</v>
      </c>
      <c r="R622" s="2" t="inlineStr"/>
    </row>
    <row r="623" ht="15" customHeight="1">
      <c r="A623" t="inlineStr">
        <is>
          <t>A 48030-2022</t>
        </is>
      </c>
      <c r="B623" s="1" t="n">
        <v>44855</v>
      </c>
      <c r="C623" s="1" t="n">
        <v>46183</v>
      </c>
      <c r="D623" t="inlineStr">
        <is>
          <t>SÖDERMANLANDS LÄN</t>
        </is>
      </c>
      <c r="E623" t="inlineStr">
        <is>
          <t>KATRINEHOLM</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61121-2025</t>
        </is>
      </c>
      <c r="B624" s="1" t="n">
        <v>46000.46746527778</v>
      </c>
      <c r="C624" s="1" t="n">
        <v>46183</v>
      </c>
      <c r="D624" t="inlineStr">
        <is>
          <t>SÖDERMANLANDS LÄN</t>
        </is>
      </c>
      <c r="E624" t="inlineStr">
        <is>
          <t>KATRINEHOLM</t>
        </is>
      </c>
      <c r="G624" t="n">
        <v>0.2</v>
      </c>
      <c r="H624" t="n">
        <v>0</v>
      </c>
      <c r="I624" t="n">
        <v>0</v>
      </c>
      <c r="J624" t="n">
        <v>0</v>
      </c>
      <c r="K624" t="n">
        <v>0</v>
      </c>
      <c r="L624" t="n">
        <v>0</v>
      </c>
      <c r="M624" t="n">
        <v>0</v>
      </c>
      <c r="N624" t="n">
        <v>0</v>
      </c>
      <c r="O624" t="n">
        <v>0</v>
      </c>
      <c r="P624" t="n">
        <v>0</v>
      </c>
      <c r="Q624" t="n">
        <v>0</v>
      </c>
      <c r="R624" s="2" t="inlineStr"/>
    </row>
    <row r="625" ht="15" customHeight="1">
      <c r="A625" t="inlineStr">
        <is>
          <t>A 61066-2025</t>
        </is>
      </c>
      <c r="B625" s="1" t="n">
        <v>46000.37695601852</v>
      </c>
      <c r="C625" s="1" t="n">
        <v>46183</v>
      </c>
      <c r="D625" t="inlineStr">
        <is>
          <t>SÖDERMANLANDS LÄN</t>
        </is>
      </c>
      <c r="E625" t="inlineStr">
        <is>
          <t>KATRINEHOLM</t>
        </is>
      </c>
      <c r="F625" t="inlineStr">
        <is>
          <t>Kyrkan</t>
        </is>
      </c>
      <c r="G625" t="n">
        <v>5</v>
      </c>
      <c r="H625" t="n">
        <v>0</v>
      </c>
      <c r="I625" t="n">
        <v>0</v>
      </c>
      <c r="J625" t="n">
        <v>0</v>
      </c>
      <c r="K625" t="n">
        <v>0</v>
      </c>
      <c r="L625" t="n">
        <v>0</v>
      </c>
      <c r="M625" t="n">
        <v>0</v>
      </c>
      <c r="N625" t="n">
        <v>0</v>
      </c>
      <c r="O625" t="n">
        <v>0</v>
      </c>
      <c r="P625" t="n">
        <v>0</v>
      </c>
      <c r="Q625" t="n">
        <v>0</v>
      </c>
      <c r="R625" s="2" t="inlineStr"/>
    </row>
    <row r="626" ht="15" customHeight="1">
      <c r="A626" t="inlineStr">
        <is>
          <t>A 948-2023</t>
        </is>
      </c>
      <c r="B626" s="1" t="n">
        <v>44934</v>
      </c>
      <c r="C626" s="1" t="n">
        <v>46183</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37542-2022</t>
        </is>
      </c>
      <c r="B627" s="1" t="n">
        <v>44809</v>
      </c>
      <c r="C627" s="1" t="n">
        <v>46183</v>
      </c>
      <c r="D627" t="inlineStr">
        <is>
          <t>SÖDERMANLANDS LÄN</t>
        </is>
      </c>
      <c r="E627" t="inlineStr">
        <is>
          <t>KATRINEHOLM</t>
        </is>
      </c>
      <c r="G627" t="n">
        <v>1.3</v>
      </c>
      <c r="H627" t="n">
        <v>0</v>
      </c>
      <c r="I627" t="n">
        <v>0</v>
      </c>
      <c r="J627" t="n">
        <v>0</v>
      </c>
      <c r="K627" t="n">
        <v>0</v>
      </c>
      <c r="L627" t="n">
        <v>0</v>
      </c>
      <c r="M627" t="n">
        <v>0</v>
      </c>
      <c r="N627" t="n">
        <v>0</v>
      </c>
      <c r="O627" t="n">
        <v>0</v>
      </c>
      <c r="P627" t="n">
        <v>0</v>
      </c>
      <c r="Q627" t="n">
        <v>0</v>
      </c>
      <c r="R627" s="2" t="inlineStr"/>
    </row>
    <row r="628" ht="15" customHeight="1">
      <c r="A628" t="inlineStr">
        <is>
          <t>A 41229-2022</t>
        </is>
      </c>
      <c r="B628" s="1" t="n">
        <v>44825</v>
      </c>
      <c r="C628" s="1" t="n">
        <v>46183</v>
      </c>
      <c r="D628" t="inlineStr">
        <is>
          <t>SÖDERMANLANDS LÄN</t>
        </is>
      </c>
      <c r="E628" t="inlineStr">
        <is>
          <t>KATRINEHOLM</t>
        </is>
      </c>
      <c r="G628" t="n">
        <v>3.8</v>
      </c>
      <c r="H628" t="n">
        <v>0</v>
      </c>
      <c r="I628" t="n">
        <v>0</v>
      </c>
      <c r="J628" t="n">
        <v>0</v>
      </c>
      <c r="K628" t="n">
        <v>0</v>
      </c>
      <c r="L628" t="n">
        <v>0</v>
      </c>
      <c r="M628" t="n">
        <v>0</v>
      </c>
      <c r="N628" t="n">
        <v>0</v>
      </c>
      <c r="O628" t="n">
        <v>0</v>
      </c>
      <c r="P628" t="n">
        <v>0</v>
      </c>
      <c r="Q628" t="n">
        <v>0</v>
      </c>
      <c r="R628" s="2" t="inlineStr"/>
    </row>
    <row r="629" ht="15" customHeight="1">
      <c r="A629" t="inlineStr">
        <is>
          <t>A 64652-2023</t>
        </is>
      </c>
      <c r="B629" s="1" t="n">
        <v>45281</v>
      </c>
      <c r="C629" s="1" t="n">
        <v>46183</v>
      </c>
      <c r="D629" t="inlineStr">
        <is>
          <t>SÖDERMANLANDS LÄN</t>
        </is>
      </c>
      <c r="E629" t="inlineStr">
        <is>
          <t>KATRINEHOLM</t>
        </is>
      </c>
      <c r="F629" t="inlineStr">
        <is>
          <t>Övriga Aktiebolag</t>
        </is>
      </c>
      <c r="G629" t="n">
        <v>2.2</v>
      </c>
      <c r="H629" t="n">
        <v>0</v>
      </c>
      <c r="I629" t="n">
        <v>0</v>
      </c>
      <c r="J629" t="n">
        <v>0</v>
      </c>
      <c r="K629" t="n">
        <v>0</v>
      </c>
      <c r="L629" t="n">
        <v>0</v>
      </c>
      <c r="M629" t="n">
        <v>0</v>
      </c>
      <c r="N629" t="n">
        <v>0</v>
      </c>
      <c r="O629" t="n">
        <v>0</v>
      </c>
      <c r="P629" t="n">
        <v>0</v>
      </c>
      <c r="Q629" t="n">
        <v>0</v>
      </c>
      <c r="R629" s="2" t="inlineStr"/>
    </row>
    <row r="630" ht="15" customHeight="1">
      <c r="A630" t="inlineStr">
        <is>
          <t>A 51404-2023</t>
        </is>
      </c>
      <c r="B630" s="1" t="n">
        <v>45214</v>
      </c>
      <c r="C630" s="1" t="n">
        <v>46183</v>
      </c>
      <c r="D630" t="inlineStr">
        <is>
          <t>SÖDERMANLANDS LÄN</t>
        </is>
      </c>
      <c r="E630" t="inlineStr">
        <is>
          <t>KATRINEHOLM</t>
        </is>
      </c>
      <c r="G630" t="n">
        <v>9</v>
      </c>
      <c r="H630" t="n">
        <v>0</v>
      </c>
      <c r="I630" t="n">
        <v>0</v>
      </c>
      <c r="J630" t="n">
        <v>0</v>
      </c>
      <c r="K630" t="n">
        <v>0</v>
      </c>
      <c r="L630" t="n">
        <v>0</v>
      </c>
      <c r="M630" t="n">
        <v>0</v>
      </c>
      <c r="N630" t="n">
        <v>0</v>
      </c>
      <c r="O630" t="n">
        <v>0</v>
      </c>
      <c r="P630" t="n">
        <v>0</v>
      </c>
      <c r="Q630" t="n">
        <v>0</v>
      </c>
      <c r="R630" s="2" t="inlineStr"/>
    </row>
    <row r="631" ht="15" customHeight="1">
      <c r="A631" t="inlineStr">
        <is>
          <t>A 41946-2022</t>
        </is>
      </c>
      <c r="B631" s="1" t="n">
        <v>44830.38502314815</v>
      </c>
      <c r="C631" s="1" t="n">
        <v>46183</v>
      </c>
      <c r="D631" t="inlineStr">
        <is>
          <t>SÖDERMANLANDS LÄN</t>
        </is>
      </c>
      <c r="E631" t="inlineStr">
        <is>
          <t>KATRINEHOLM</t>
        </is>
      </c>
      <c r="G631" t="n">
        <v>1</v>
      </c>
      <c r="H631" t="n">
        <v>0</v>
      </c>
      <c r="I631" t="n">
        <v>0</v>
      </c>
      <c r="J631" t="n">
        <v>0</v>
      </c>
      <c r="K631" t="n">
        <v>0</v>
      </c>
      <c r="L631" t="n">
        <v>0</v>
      </c>
      <c r="M631" t="n">
        <v>0</v>
      </c>
      <c r="N631" t="n">
        <v>0</v>
      </c>
      <c r="O631" t="n">
        <v>0</v>
      </c>
      <c r="P631" t="n">
        <v>0</v>
      </c>
      <c r="Q631" t="n">
        <v>0</v>
      </c>
      <c r="R631" s="2" t="inlineStr"/>
    </row>
    <row r="632" ht="15" customHeight="1">
      <c r="A632" t="inlineStr">
        <is>
          <t>A 3115-2024</t>
        </is>
      </c>
      <c r="B632" s="1" t="n">
        <v>45316.49630787037</v>
      </c>
      <c r="C632" s="1" t="n">
        <v>46183</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61431-2024</t>
        </is>
      </c>
      <c r="B633" s="1" t="n">
        <v>45646.45950231481</v>
      </c>
      <c r="C633" s="1" t="n">
        <v>46183</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44659-2023</t>
        </is>
      </c>
      <c r="B634" s="1" t="n">
        <v>45189</v>
      </c>
      <c r="C634" s="1" t="n">
        <v>46183</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51446-2023</t>
        </is>
      </c>
      <c r="B635" s="1" t="n">
        <v>45220.48068287037</v>
      </c>
      <c r="C635" s="1" t="n">
        <v>46183</v>
      </c>
      <c r="D635" t="inlineStr">
        <is>
          <t>SÖDERMANLANDS LÄN</t>
        </is>
      </c>
      <c r="E635" t="inlineStr">
        <is>
          <t>KATRINEHOLM</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27955-2023</t>
        </is>
      </c>
      <c r="B636" s="1" t="n">
        <v>45098</v>
      </c>
      <c r="C636" s="1" t="n">
        <v>46183</v>
      </c>
      <c r="D636" t="inlineStr">
        <is>
          <t>SÖDERMANLANDS LÄN</t>
        </is>
      </c>
      <c r="E636" t="inlineStr">
        <is>
          <t>KATRINEHOLM</t>
        </is>
      </c>
      <c r="G636" t="n">
        <v>5.9</v>
      </c>
      <c r="H636" t="n">
        <v>0</v>
      </c>
      <c r="I636" t="n">
        <v>0</v>
      </c>
      <c r="J636" t="n">
        <v>0</v>
      </c>
      <c r="K636" t="n">
        <v>0</v>
      </c>
      <c r="L636" t="n">
        <v>0</v>
      </c>
      <c r="M636" t="n">
        <v>0</v>
      </c>
      <c r="N636" t="n">
        <v>0</v>
      </c>
      <c r="O636" t="n">
        <v>0</v>
      </c>
      <c r="P636" t="n">
        <v>0</v>
      </c>
      <c r="Q636" t="n">
        <v>0</v>
      </c>
      <c r="R636" s="2" t="inlineStr"/>
    </row>
    <row r="637" ht="15" customHeight="1">
      <c r="A637" t="inlineStr">
        <is>
          <t>A 4669-2023</t>
        </is>
      </c>
      <c r="B637" s="1" t="n">
        <v>44957</v>
      </c>
      <c r="C637" s="1" t="n">
        <v>46183</v>
      </c>
      <c r="D637" t="inlineStr">
        <is>
          <t>SÖDERMANLANDS LÄN</t>
        </is>
      </c>
      <c r="E637" t="inlineStr">
        <is>
          <t>KATRINEHOLM</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4724-2023</t>
        </is>
      </c>
      <c r="B638" s="1" t="n">
        <v>44957</v>
      </c>
      <c r="C638" s="1" t="n">
        <v>46183</v>
      </c>
      <c r="D638" t="inlineStr">
        <is>
          <t>SÖDERMANLANDS LÄN</t>
        </is>
      </c>
      <c r="E638" t="inlineStr">
        <is>
          <t>KATRINEHOLM</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7197-2023</t>
        </is>
      </c>
      <c r="B639" s="1" t="n">
        <v>44965</v>
      </c>
      <c r="C639" s="1" t="n">
        <v>46183</v>
      </c>
      <c r="D639" t="inlineStr">
        <is>
          <t>SÖDERMANLANDS LÄN</t>
        </is>
      </c>
      <c r="E639" t="inlineStr">
        <is>
          <t>KATRINEHOLM</t>
        </is>
      </c>
      <c r="G639" t="n">
        <v>5.3</v>
      </c>
      <c r="H639" t="n">
        <v>0</v>
      </c>
      <c r="I639" t="n">
        <v>0</v>
      </c>
      <c r="J639" t="n">
        <v>0</v>
      </c>
      <c r="K639" t="n">
        <v>0</v>
      </c>
      <c r="L639" t="n">
        <v>0</v>
      </c>
      <c r="M639" t="n">
        <v>0</v>
      </c>
      <c r="N639" t="n">
        <v>0</v>
      </c>
      <c r="O639" t="n">
        <v>0</v>
      </c>
      <c r="P639" t="n">
        <v>0</v>
      </c>
      <c r="Q639" t="n">
        <v>0</v>
      </c>
      <c r="R639" s="2" t="inlineStr"/>
    </row>
    <row r="640" ht="15" customHeight="1">
      <c r="A640" t="inlineStr">
        <is>
          <t>A 5327-2025</t>
        </is>
      </c>
      <c r="B640" s="1" t="n">
        <v>45692</v>
      </c>
      <c r="C640" s="1" t="n">
        <v>46183</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12929-2023</t>
        </is>
      </c>
      <c r="B641" s="1" t="n">
        <v>45001</v>
      </c>
      <c r="C641" s="1" t="n">
        <v>46183</v>
      </c>
      <c r="D641" t="inlineStr">
        <is>
          <t>SÖDERMANLANDS LÄN</t>
        </is>
      </c>
      <c r="E641" t="inlineStr">
        <is>
          <t>KATRINEHOLM</t>
        </is>
      </c>
      <c r="G641" t="n">
        <v>3.1</v>
      </c>
      <c r="H641" t="n">
        <v>0</v>
      </c>
      <c r="I641" t="n">
        <v>0</v>
      </c>
      <c r="J641" t="n">
        <v>0</v>
      </c>
      <c r="K641" t="n">
        <v>0</v>
      </c>
      <c r="L641" t="n">
        <v>0</v>
      </c>
      <c r="M641" t="n">
        <v>0</v>
      </c>
      <c r="N641" t="n">
        <v>0</v>
      </c>
      <c r="O641" t="n">
        <v>0</v>
      </c>
      <c r="P641" t="n">
        <v>0</v>
      </c>
      <c r="Q641" t="n">
        <v>0</v>
      </c>
      <c r="R641" s="2" t="inlineStr"/>
    </row>
    <row r="642" ht="15" customHeight="1">
      <c r="A642" t="inlineStr">
        <is>
          <t>A 12932-2023</t>
        </is>
      </c>
      <c r="B642" s="1" t="n">
        <v>45001</v>
      </c>
      <c r="C642" s="1" t="n">
        <v>46183</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50626-2024</t>
        </is>
      </c>
      <c r="B643" s="1" t="n">
        <v>45601</v>
      </c>
      <c r="C643" s="1" t="n">
        <v>46183</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7398-2024</t>
        </is>
      </c>
      <c r="B644" s="1" t="n">
        <v>45345</v>
      </c>
      <c r="C644" s="1" t="n">
        <v>46183</v>
      </c>
      <c r="D644" t="inlineStr">
        <is>
          <t>SÖDERMANLANDS LÄN</t>
        </is>
      </c>
      <c r="E644" t="inlineStr">
        <is>
          <t>KATRINEHOLM</t>
        </is>
      </c>
      <c r="G644" t="n">
        <v>4.4</v>
      </c>
      <c r="H644" t="n">
        <v>0</v>
      </c>
      <c r="I644" t="n">
        <v>0</v>
      </c>
      <c r="J644" t="n">
        <v>0</v>
      </c>
      <c r="K644" t="n">
        <v>0</v>
      </c>
      <c r="L644" t="n">
        <v>0</v>
      </c>
      <c r="M644" t="n">
        <v>0</v>
      </c>
      <c r="N644" t="n">
        <v>0</v>
      </c>
      <c r="O644" t="n">
        <v>0</v>
      </c>
      <c r="P644" t="n">
        <v>0</v>
      </c>
      <c r="Q644" t="n">
        <v>0</v>
      </c>
      <c r="R644" s="2" t="inlineStr"/>
    </row>
    <row r="645" ht="15" customHeight="1">
      <c r="A645" t="inlineStr">
        <is>
          <t>A 61721-2025</t>
        </is>
      </c>
      <c r="B645" s="1" t="n">
        <v>46002.57778935185</v>
      </c>
      <c r="C645" s="1" t="n">
        <v>46183</v>
      </c>
      <c r="D645" t="inlineStr">
        <is>
          <t>SÖDERMANLANDS LÄN</t>
        </is>
      </c>
      <c r="E645" t="inlineStr">
        <is>
          <t>KATRINEHOLM</t>
        </is>
      </c>
      <c r="G645" t="n">
        <v>4.5</v>
      </c>
      <c r="H645" t="n">
        <v>0</v>
      </c>
      <c r="I645" t="n">
        <v>0</v>
      </c>
      <c r="J645" t="n">
        <v>0</v>
      </c>
      <c r="K645" t="n">
        <v>0</v>
      </c>
      <c r="L645" t="n">
        <v>0</v>
      </c>
      <c r="M645" t="n">
        <v>0</v>
      </c>
      <c r="N645" t="n">
        <v>0</v>
      </c>
      <c r="O645" t="n">
        <v>0</v>
      </c>
      <c r="P645" t="n">
        <v>0</v>
      </c>
      <c r="Q645" t="n">
        <v>0</v>
      </c>
      <c r="R645" s="2" t="inlineStr"/>
    </row>
    <row r="646" ht="15" customHeight="1">
      <c r="A646" t="inlineStr">
        <is>
          <t>A 14629-2023</t>
        </is>
      </c>
      <c r="B646" s="1" t="n">
        <v>45013</v>
      </c>
      <c r="C646" s="1" t="n">
        <v>46183</v>
      </c>
      <c r="D646" t="inlineStr">
        <is>
          <t>SÖDERMANLANDS LÄN</t>
        </is>
      </c>
      <c r="E646" t="inlineStr">
        <is>
          <t>KATRINEHOLM</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49116-2024</t>
        </is>
      </c>
      <c r="B647" s="1" t="n">
        <v>45594.6605787037</v>
      </c>
      <c r="C647" s="1" t="n">
        <v>46183</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63945-2025</t>
        </is>
      </c>
      <c r="B648" s="1" t="n">
        <v>46010</v>
      </c>
      <c r="C648" s="1" t="n">
        <v>46183</v>
      </c>
      <c r="D648" t="inlineStr">
        <is>
          <t>SÖDERMANLANDS LÄN</t>
        </is>
      </c>
      <c r="E648" t="inlineStr">
        <is>
          <t>KATRINEHOLM</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63947-2025</t>
        </is>
      </c>
      <c r="B649" s="1" t="n">
        <v>46010</v>
      </c>
      <c r="C649" s="1" t="n">
        <v>46183</v>
      </c>
      <c r="D649" t="inlineStr">
        <is>
          <t>SÖDERMANLANDS LÄN</t>
        </is>
      </c>
      <c r="E649" t="inlineStr">
        <is>
          <t>KATRINEHOLM</t>
        </is>
      </c>
      <c r="F649" t="inlineStr">
        <is>
          <t>Allmännings- och besparingsskogar</t>
        </is>
      </c>
      <c r="G649" t="n">
        <v>4.8</v>
      </c>
      <c r="H649" t="n">
        <v>0</v>
      </c>
      <c r="I649" t="n">
        <v>0</v>
      </c>
      <c r="J649" t="n">
        <v>0</v>
      </c>
      <c r="K649" t="n">
        <v>0</v>
      </c>
      <c r="L649" t="n">
        <v>0</v>
      </c>
      <c r="M649" t="n">
        <v>0</v>
      </c>
      <c r="N649" t="n">
        <v>0</v>
      </c>
      <c r="O649" t="n">
        <v>0</v>
      </c>
      <c r="P649" t="n">
        <v>0</v>
      </c>
      <c r="Q649" t="n">
        <v>0</v>
      </c>
      <c r="R649" s="2" t="inlineStr"/>
    </row>
    <row r="650" ht="15" customHeight="1">
      <c r="A650" t="inlineStr">
        <is>
          <t>A 63949-2025</t>
        </is>
      </c>
      <c r="B650" s="1" t="n">
        <v>46010</v>
      </c>
      <c r="C650" s="1" t="n">
        <v>46183</v>
      </c>
      <c r="D650" t="inlineStr">
        <is>
          <t>SÖDERMANLANDS LÄN</t>
        </is>
      </c>
      <c r="E650" t="inlineStr">
        <is>
          <t>KATRINEHOLM</t>
        </is>
      </c>
      <c r="F650" t="inlineStr">
        <is>
          <t>Allmännings- och besparingsskogar</t>
        </is>
      </c>
      <c r="G650" t="n">
        <v>5.1</v>
      </c>
      <c r="H650" t="n">
        <v>0</v>
      </c>
      <c r="I650" t="n">
        <v>0</v>
      </c>
      <c r="J650" t="n">
        <v>0</v>
      </c>
      <c r="K650" t="n">
        <v>0</v>
      </c>
      <c r="L650" t="n">
        <v>0</v>
      </c>
      <c r="M650" t="n">
        <v>0</v>
      </c>
      <c r="N650" t="n">
        <v>0</v>
      </c>
      <c r="O650" t="n">
        <v>0</v>
      </c>
      <c r="P650" t="n">
        <v>0</v>
      </c>
      <c r="Q650" t="n">
        <v>0</v>
      </c>
      <c r="R650" s="2" t="inlineStr"/>
    </row>
    <row r="651" ht="15" customHeight="1">
      <c r="A651" t="inlineStr">
        <is>
          <t>A 63948-2025</t>
        </is>
      </c>
      <c r="B651" s="1" t="n">
        <v>46010</v>
      </c>
      <c r="C651" s="1" t="n">
        <v>46183</v>
      </c>
      <c r="D651" t="inlineStr">
        <is>
          <t>SÖDERMANLANDS LÄN</t>
        </is>
      </c>
      <c r="E651" t="inlineStr">
        <is>
          <t>KATRINEHOLM</t>
        </is>
      </c>
      <c r="F651" t="inlineStr">
        <is>
          <t>Allmännings- och besparingsskogar</t>
        </is>
      </c>
      <c r="G651" t="n">
        <v>4.9</v>
      </c>
      <c r="H651" t="n">
        <v>0</v>
      </c>
      <c r="I651" t="n">
        <v>0</v>
      </c>
      <c r="J651" t="n">
        <v>0</v>
      </c>
      <c r="K651" t="n">
        <v>0</v>
      </c>
      <c r="L651" t="n">
        <v>0</v>
      </c>
      <c r="M651" t="n">
        <v>0</v>
      </c>
      <c r="N651" t="n">
        <v>0</v>
      </c>
      <c r="O651" t="n">
        <v>0</v>
      </c>
      <c r="P651" t="n">
        <v>0</v>
      </c>
      <c r="Q651" t="n">
        <v>0</v>
      </c>
      <c r="R651" s="2" t="inlineStr"/>
    </row>
    <row r="652" ht="15" customHeight="1">
      <c r="A652" t="inlineStr">
        <is>
          <t>A 63895-2025</t>
        </is>
      </c>
      <c r="B652" s="1" t="n">
        <v>46020</v>
      </c>
      <c r="C652" s="1" t="n">
        <v>46183</v>
      </c>
      <c r="D652" t="inlineStr">
        <is>
          <t>SÖDERMANLANDS LÄN</t>
        </is>
      </c>
      <c r="E652" t="inlineStr">
        <is>
          <t>KATRINEHOLM</t>
        </is>
      </c>
      <c r="G652" t="n">
        <v>1.5</v>
      </c>
      <c r="H652" t="n">
        <v>0</v>
      </c>
      <c r="I652" t="n">
        <v>0</v>
      </c>
      <c r="J652" t="n">
        <v>0</v>
      </c>
      <c r="K652" t="n">
        <v>0</v>
      </c>
      <c r="L652" t="n">
        <v>0</v>
      </c>
      <c r="M652" t="n">
        <v>0</v>
      </c>
      <c r="N652" t="n">
        <v>0</v>
      </c>
      <c r="O652" t="n">
        <v>0</v>
      </c>
      <c r="P652" t="n">
        <v>0</v>
      </c>
      <c r="Q652" t="n">
        <v>0</v>
      </c>
      <c r="R652" s="2" t="inlineStr"/>
    </row>
    <row r="653" ht="15" customHeight="1">
      <c r="A653" t="inlineStr">
        <is>
          <t>A 54873-2025</t>
        </is>
      </c>
      <c r="B653" s="1" t="n">
        <v>45967</v>
      </c>
      <c r="C653" s="1" t="n">
        <v>46183</v>
      </c>
      <c r="D653" t="inlineStr">
        <is>
          <t>SÖDERMANLANDS LÄN</t>
        </is>
      </c>
      <c r="E653" t="inlineStr">
        <is>
          <t>KATRINEHOLM</t>
        </is>
      </c>
      <c r="G653" t="n">
        <v>2.7</v>
      </c>
      <c r="H653" t="n">
        <v>0</v>
      </c>
      <c r="I653" t="n">
        <v>0</v>
      </c>
      <c r="J653" t="n">
        <v>0</v>
      </c>
      <c r="K653" t="n">
        <v>0</v>
      </c>
      <c r="L653" t="n">
        <v>0</v>
      </c>
      <c r="M653" t="n">
        <v>0</v>
      </c>
      <c r="N653" t="n">
        <v>0</v>
      </c>
      <c r="O653" t="n">
        <v>0</v>
      </c>
      <c r="P653" t="n">
        <v>0</v>
      </c>
      <c r="Q653" t="n">
        <v>0</v>
      </c>
      <c r="R653" s="2" t="inlineStr"/>
    </row>
    <row r="654" ht="15" customHeight="1">
      <c r="A654" t="inlineStr">
        <is>
          <t>A 1098-2026</t>
        </is>
      </c>
      <c r="B654" s="1" t="n">
        <v>46030.66519675926</v>
      </c>
      <c r="C654" s="1" t="n">
        <v>46183</v>
      </c>
      <c r="D654" t="inlineStr">
        <is>
          <t>SÖDERMANLANDS LÄN</t>
        </is>
      </c>
      <c r="E654" t="inlineStr">
        <is>
          <t>KATRINEHOLM</t>
        </is>
      </c>
      <c r="G654" t="n">
        <v>3.4</v>
      </c>
      <c r="H654" t="n">
        <v>0</v>
      </c>
      <c r="I654" t="n">
        <v>0</v>
      </c>
      <c r="J654" t="n">
        <v>0</v>
      </c>
      <c r="K654" t="n">
        <v>0</v>
      </c>
      <c r="L654" t="n">
        <v>0</v>
      </c>
      <c r="M654" t="n">
        <v>0</v>
      </c>
      <c r="N654" t="n">
        <v>0</v>
      </c>
      <c r="O654" t="n">
        <v>0</v>
      </c>
      <c r="P654" t="n">
        <v>0</v>
      </c>
      <c r="Q654" t="n">
        <v>0</v>
      </c>
      <c r="R654" s="2" t="inlineStr"/>
    </row>
    <row r="655" ht="15" customHeight="1">
      <c r="A655" t="inlineStr">
        <is>
          <t>A 1106-2026</t>
        </is>
      </c>
      <c r="B655" s="1" t="n">
        <v>46030.67123842592</v>
      </c>
      <c r="C655" s="1" t="n">
        <v>46183</v>
      </c>
      <c r="D655" t="inlineStr">
        <is>
          <t>SÖDERMANLANDS LÄN</t>
        </is>
      </c>
      <c r="E655" t="inlineStr">
        <is>
          <t>KATRINEHOLM</t>
        </is>
      </c>
      <c r="G655" t="n">
        <v>1.5</v>
      </c>
      <c r="H655" t="n">
        <v>0</v>
      </c>
      <c r="I655" t="n">
        <v>0</v>
      </c>
      <c r="J655" t="n">
        <v>0</v>
      </c>
      <c r="K655" t="n">
        <v>0</v>
      </c>
      <c r="L655" t="n">
        <v>0</v>
      </c>
      <c r="M655" t="n">
        <v>0</v>
      </c>
      <c r="N655" t="n">
        <v>0</v>
      </c>
      <c r="O655" t="n">
        <v>0</v>
      </c>
      <c r="P655" t="n">
        <v>0</v>
      </c>
      <c r="Q655" t="n">
        <v>0</v>
      </c>
      <c r="R655" s="2" t="inlineStr"/>
    </row>
    <row r="656" ht="15" customHeight="1">
      <c r="A656" t="inlineStr">
        <is>
          <t>A 1112-2026</t>
        </is>
      </c>
      <c r="B656" s="1" t="n">
        <v>46030.68107638889</v>
      </c>
      <c r="C656" s="1" t="n">
        <v>46183</v>
      </c>
      <c r="D656" t="inlineStr">
        <is>
          <t>SÖDERMANLANDS LÄN</t>
        </is>
      </c>
      <c r="E656" t="inlineStr">
        <is>
          <t>KATRINEHOLM</t>
        </is>
      </c>
      <c r="G656" t="n">
        <v>3.2</v>
      </c>
      <c r="H656" t="n">
        <v>0</v>
      </c>
      <c r="I656" t="n">
        <v>0</v>
      </c>
      <c r="J656" t="n">
        <v>0</v>
      </c>
      <c r="K656" t="n">
        <v>0</v>
      </c>
      <c r="L656" t="n">
        <v>0</v>
      </c>
      <c r="M656" t="n">
        <v>0</v>
      </c>
      <c r="N656" t="n">
        <v>0</v>
      </c>
      <c r="O656" t="n">
        <v>0</v>
      </c>
      <c r="P656" t="n">
        <v>0</v>
      </c>
      <c r="Q656" t="n">
        <v>0</v>
      </c>
      <c r="R656" s="2" t="inlineStr"/>
    </row>
    <row r="657" ht="15" customHeight="1">
      <c r="A657" t="inlineStr">
        <is>
          <t>A 1114-2026</t>
        </is>
      </c>
      <c r="B657" s="1" t="n">
        <v>46030.684375</v>
      </c>
      <c r="C657" s="1" t="n">
        <v>46183</v>
      </c>
      <c r="D657" t="inlineStr">
        <is>
          <t>SÖDERMANLANDS LÄN</t>
        </is>
      </c>
      <c r="E657" t="inlineStr">
        <is>
          <t>KATRINEHOLM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2645-2026</t>
        </is>
      </c>
      <c r="B658" s="1" t="n">
        <v>46037.62321759259</v>
      </c>
      <c r="C658" s="1" t="n">
        <v>46183</v>
      </c>
      <c r="D658" t="inlineStr">
        <is>
          <t>SÖDERMANLANDS LÄN</t>
        </is>
      </c>
      <c r="E658" t="inlineStr">
        <is>
          <t>KATRINEHOLM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2672-2026</t>
        </is>
      </c>
      <c r="B659" s="1" t="n">
        <v>46037</v>
      </c>
      <c r="C659" s="1" t="n">
        <v>46183</v>
      </c>
      <c r="D659" t="inlineStr">
        <is>
          <t>SÖDERMANLANDS LÄN</t>
        </is>
      </c>
      <c r="E659" t="inlineStr">
        <is>
          <t>KATRINEHOLM</t>
        </is>
      </c>
      <c r="G659" t="n">
        <v>2.1</v>
      </c>
      <c r="H659" t="n">
        <v>0</v>
      </c>
      <c r="I659" t="n">
        <v>0</v>
      </c>
      <c r="J659" t="n">
        <v>0</v>
      </c>
      <c r="K659" t="n">
        <v>0</v>
      </c>
      <c r="L659" t="n">
        <v>0</v>
      </c>
      <c r="M659" t="n">
        <v>0</v>
      </c>
      <c r="N659" t="n">
        <v>0</v>
      </c>
      <c r="O659" t="n">
        <v>0</v>
      </c>
      <c r="P659" t="n">
        <v>0</v>
      </c>
      <c r="Q659" t="n">
        <v>0</v>
      </c>
      <c r="R659" s="2" t="inlineStr"/>
    </row>
    <row r="660" ht="15" customHeight="1">
      <c r="A660" t="inlineStr">
        <is>
          <t>A 4889-2026</t>
        </is>
      </c>
      <c r="B660" s="1" t="n">
        <v>46048.66766203703</v>
      </c>
      <c r="C660" s="1" t="n">
        <v>46183</v>
      </c>
      <c r="D660" t="inlineStr">
        <is>
          <t>SÖDERMANLANDS LÄN</t>
        </is>
      </c>
      <c r="E660" t="inlineStr">
        <is>
          <t>KATRINEHOLM</t>
        </is>
      </c>
      <c r="F660" t="inlineStr">
        <is>
          <t>Övriga Aktiebolag</t>
        </is>
      </c>
      <c r="G660" t="n">
        <v>2.4</v>
      </c>
      <c r="H660" t="n">
        <v>0</v>
      </c>
      <c r="I660" t="n">
        <v>0</v>
      </c>
      <c r="J660" t="n">
        <v>0</v>
      </c>
      <c r="K660" t="n">
        <v>0</v>
      </c>
      <c r="L660" t="n">
        <v>0</v>
      </c>
      <c r="M660" t="n">
        <v>0</v>
      </c>
      <c r="N660" t="n">
        <v>0</v>
      </c>
      <c r="O660" t="n">
        <v>0</v>
      </c>
      <c r="P660" t="n">
        <v>0</v>
      </c>
      <c r="Q660" t="n">
        <v>0</v>
      </c>
      <c r="R660" s="2" t="inlineStr"/>
    </row>
    <row r="661" ht="15" customHeight="1">
      <c r="A661" t="inlineStr">
        <is>
          <t>A 5703-2026</t>
        </is>
      </c>
      <c r="B661" s="1" t="n">
        <v>46051.50774305555</v>
      </c>
      <c r="C661" s="1" t="n">
        <v>46183</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7513-2026</t>
        </is>
      </c>
      <c r="B662" s="1" t="n">
        <v>46059.59083333334</v>
      </c>
      <c r="C662" s="1" t="n">
        <v>46183</v>
      </c>
      <c r="D662" t="inlineStr">
        <is>
          <t>SÖDERMANLANDS LÄN</t>
        </is>
      </c>
      <c r="E662" t="inlineStr">
        <is>
          <t>KATRINEHOLM</t>
        </is>
      </c>
      <c r="F662" t="inlineStr">
        <is>
          <t>Övriga Aktiebolag</t>
        </is>
      </c>
      <c r="G662" t="n">
        <v>5</v>
      </c>
      <c r="H662" t="n">
        <v>0</v>
      </c>
      <c r="I662" t="n">
        <v>0</v>
      </c>
      <c r="J662" t="n">
        <v>0</v>
      </c>
      <c r="K662" t="n">
        <v>0</v>
      </c>
      <c r="L662" t="n">
        <v>0</v>
      </c>
      <c r="M662" t="n">
        <v>0</v>
      </c>
      <c r="N662" t="n">
        <v>0</v>
      </c>
      <c r="O662" t="n">
        <v>0</v>
      </c>
      <c r="P662" t="n">
        <v>0</v>
      </c>
      <c r="Q662" t="n">
        <v>0</v>
      </c>
      <c r="R662" s="2" t="inlineStr"/>
    </row>
    <row r="663" ht="15" customHeight="1">
      <c r="A663" t="inlineStr">
        <is>
          <t>A 10086-2026</t>
        </is>
      </c>
      <c r="B663" s="1" t="n">
        <v>46073.68959490741</v>
      </c>
      <c r="C663" s="1" t="n">
        <v>46183</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11130-2026</t>
        </is>
      </c>
      <c r="B664" s="1" t="n">
        <v>46079.70384259259</v>
      </c>
      <c r="C664" s="1" t="n">
        <v>46183</v>
      </c>
      <c r="D664" t="inlineStr">
        <is>
          <t>SÖDERMANLANDS LÄN</t>
        </is>
      </c>
      <c r="E664" t="inlineStr">
        <is>
          <t>KATRINEHOLM</t>
        </is>
      </c>
      <c r="F664" t="inlineStr">
        <is>
          <t>Kommuner</t>
        </is>
      </c>
      <c r="G664" t="n">
        <v>1.5</v>
      </c>
      <c r="H664" t="n">
        <v>0</v>
      </c>
      <c r="I664" t="n">
        <v>0</v>
      </c>
      <c r="J664" t="n">
        <v>0</v>
      </c>
      <c r="K664" t="n">
        <v>0</v>
      </c>
      <c r="L664" t="n">
        <v>0</v>
      </c>
      <c r="M664" t="n">
        <v>0</v>
      </c>
      <c r="N664" t="n">
        <v>0</v>
      </c>
      <c r="O664" t="n">
        <v>0</v>
      </c>
      <c r="P664" t="n">
        <v>0</v>
      </c>
      <c r="Q664" t="n">
        <v>0</v>
      </c>
      <c r="R664" s="2" t="inlineStr"/>
    </row>
    <row r="665" ht="15" customHeight="1">
      <c r="A665" t="inlineStr">
        <is>
          <t>A 13848-2026</t>
        </is>
      </c>
      <c r="B665" s="1" t="n">
        <v>46098.38704861111</v>
      </c>
      <c r="C665" s="1" t="n">
        <v>46183</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14622-2026</t>
        </is>
      </c>
      <c r="B666" s="1" t="n">
        <v>46101.38826388889</v>
      </c>
      <c r="C666" s="1" t="n">
        <v>46183</v>
      </c>
      <c r="D666" t="inlineStr">
        <is>
          <t>SÖDERMANLANDS LÄN</t>
        </is>
      </c>
      <c r="E666" t="inlineStr">
        <is>
          <t>KATRINEHOLM</t>
        </is>
      </c>
      <c r="G666" t="n">
        <v>2.5</v>
      </c>
      <c r="H666" t="n">
        <v>0</v>
      </c>
      <c r="I666" t="n">
        <v>0</v>
      </c>
      <c r="J666" t="n">
        <v>0</v>
      </c>
      <c r="K666" t="n">
        <v>0</v>
      </c>
      <c r="L666" t="n">
        <v>0</v>
      </c>
      <c r="M666" t="n">
        <v>0</v>
      </c>
      <c r="N666" t="n">
        <v>0</v>
      </c>
      <c r="O666" t="n">
        <v>0</v>
      </c>
      <c r="P666" t="n">
        <v>0</v>
      </c>
      <c r="Q666" t="n">
        <v>0</v>
      </c>
      <c r="R666" s="2" t="inlineStr"/>
    </row>
    <row r="667" ht="15" customHeight="1">
      <c r="A667" t="inlineStr">
        <is>
          <t>A 11666-2026</t>
        </is>
      </c>
      <c r="B667" s="1" t="n">
        <v>46084.55381944445</v>
      </c>
      <c r="C667" s="1" t="n">
        <v>46183</v>
      </c>
      <c r="D667" t="inlineStr">
        <is>
          <t>SÖDERMANLANDS LÄN</t>
        </is>
      </c>
      <c r="E667" t="inlineStr">
        <is>
          <t>KATRINEHOLM</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11621-2026</t>
        </is>
      </c>
      <c r="B668" s="1" t="n">
        <v>46084.46734953704</v>
      </c>
      <c r="C668" s="1" t="n">
        <v>46183</v>
      </c>
      <c r="D668" t="inlineStr">
        <is>
          <t>SÖDERMANLANDS LÄN</t>
        </is>
      </c>
      <c r="E668" t="inlineStr">
        <is>
          <t>KATRINEHOLM</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11677-2026</t>
        </is>
      </c>
      <c r="B669" s="1" t="n">
        <v>46084.56711805556</v>
      </c>
      <c r="C669" s="1" t="n">
        <v>46183</v>
      </c>
      <c r="D669" t="inlineStr">
        <is>
          <t>SÖDERMANLANDS LÄN</t>
        </is>
      </c>
      <c r="E669" t="inlineStr">
        <is>
          <t>KATRINEHOLM</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12831-2026</t>
        </is>
      </c>
      <c r="B670" s="1" t="n">
        <v>46092.42416666666</v>
      </c>
      <c r="C670" s="1" t="n">
        <v>46183</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13655-2026</t>
        </is>
      </c>
      <c r="B671" s="1" t="n">
        <v>46097.45415509259</v>
      </c>
      <c r="C671" s="1" t="n">
        <v>46183</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13633-2026</t>
        </is>
      </c>
      <c r="B672" s="1" t="n">
        <v>46097.38148148148</v>
      </c>
      <c r="C672" s="1" t="n">
        <v>46183</v>
      </c>
      <c r="D672" t="inlineStr">
        <is>
          <t>SÖDERMANLANDS LÄN</t>
        </is>
      </c>
      <c r="E672" t="inlineStr">
        <is>
          <t>KATRINEHOLM</t>
        </is>
      </c>
      <c r="G672" t="n">
        <v>1.9</v>
      </c>
      <c r="H672" t="n">
        <v>0</v>
      </c>
      <c r="I672" t="n">
        <v>0</v>
      </c>
      <c r="J672" t="n">
        <v>0</v>
      </c>
      <c r="K672" t="n">
        <v>0</v>
      </c>
      <c r="L672" t="n">
        <v>0</v>
      </c>
      <c r="M672" t="n">
        <v>0</v>
      </c>
      <c r="N672" t="n">
        <v>0</v>
      </c>
      <c r="O672" t="n">
        <v>0</v>
      </c>
      <c r="P672" t="n">
        <v>0</v>
      </c>
      <c r="Q672" t="n">
        <v>0</v>
      </c>
      <c r="R672" s="2" t="inlineStr"/>
    </row>
    <row r="673" ht="15" customHeight="1">
      <c r="A673" t="inlineStr">
        <is>
          <t>A 13630-2026</t>
        </is>
      </c>
      <c r="B673" s="1" t="n">
        <v>46097.37490740741</v>
      </c>
      <c r="C673" s="1" t="n">
        <v>46183</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13632-2026</t>
        </is>
      </c>
      <c r="B674" s="1" t="n">
        <v>46097.37996527777</v>
      </c>
      <c r="C674" s="1" t="n">
        <v>46183</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13841-2026</t>
        </is>
      </c>
      <c r="B675" s="1" t="n">
        <v>46098.37181712963</v>
      </c>
      <c r="C675" s="1" t="n">
        <v>46183</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20987-2026</t>
        </is>
      </c>
      <c r="B676" s="1" t="n">
        <v>46142.59466435185</v>
      </c>
      <c r="C676" s="1" t="n">
        <v>46183</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14770-2026</t>
        </is>
      </c>
      <c r="B677" s="1" t="n">
        <v>46101.63951388889</v>
      </c>
      <c r="C677" s="1" t="n">
        <v>46183</v>
      </c>
      <c r="D677" t="inlineStr">
        <is>
          <t>SÖDERMANLANDS LÄN</t>
        </is>
      </c>
      <c r="E677" t="inlineStr">
        <is>
          <t>KATRINEHOLM</t>
        </is>
      </c>
      <c r="G677" t="n">
        <v>7.5</v>
      </c>
      <c r="H677" t="n">
        <v>0</v>
      </c>
      <c r="I677" t="n">
        <v>0</v>
      </c>
      <c r="J677" t="n">
        <v>0</v>
      </c>
      <c r="K677" t="n">
        <v>0</v>
      </c>
      <c r="L677" t="n">
        <v>0</v>
      </c>
      <c r="M677" t="n">
        <v>0</v>
      </c>
      <c r="N677" t="n">
        <v>0</v>
      </c>
      <c r="O677" t="n">
        <v>0</v>
      </c>
      <c r="P677" t="n">
        <v>0</v>
      </c>
      <c r="Q677" t="n">
        <v>0</v>
      </c>
      <c r="R677" s="2" t="inlineStr"/>
    </row>
    <row r="678" ht="15" customHeight="1">
      <c r="A678" t="inlineStr">
        <is>
          <t>A 20956-2026</t>
        </is>
      </c>
      <c r="B678" s="1" t="n">
        <v>46142.54052083333</v>
      </c>
      <c r="C678" s="1" t="n">
        <v>46183</v>
      </c>
      <c r="D678" t="inlineStr">
        <is>
          <t>SÖDERMANLANDS LÄN</t>
        </is>
      </c>
      <c r="E678" t="inlineStr">
        <is>
          <t>KATRINEHOLM</t>
        </is>
      </c>
      <c r="G678" t="n">
        <v>3.6</v>
      </c>
      <c r="H678" t="n">
        <v>0</v>
      </c>
      <c r="I678" t="n">
        <v>0</v>
      </c>
      <c r="J678" t="n">
        <v>0</v>
      </c>
      <c r="K678" t="n">
        <v>0</v>
      </c>
      <c r="L678" t="n">
        <v>0</v>
      </c>
      <c r="M678" t="n">
        <v>0</v>
      </c>
      <c r="N678" t="n">
        <v>0</v>
      </c>
      <c r="O678" t="n">
        <v>0</v>
      </c>
      <c r="P678" t="n">
        <v>0</v>
      </c>
      <c r="Q678" t="n">
        <v>0</v>
      </c>
      <c r="R678" s="2" t="inlineStr"/>
    </row>
    <row r="679" ht="15" customHeight="1">
      <c r="A679" t="inlineStr">
        <is>
          <t>A 14751-2026</t>
        </is>
      </c>
      <c r="B679" s="1" t="n">
        <v>46101.6220949074</v>
      </c>
      <c r="C679" s="1" t="n">
        <v>46183</v>
      </c>
      <c r="D679" t="inlineStr">
        <is>
          <t>SÖDERMANLANDS LÄN</t>
        </is>
      </c>
      <c r="E679" t="inlineStr">
        <is>
          <t>KATRINEHOLM</t>
        </is>
      </c>
      <c r="G679" t="n">
        <v>2.1</v>
      </c>
      <c r="H679" t="n">
        <v>0</v>
      </c>
      <c r="I679" t="n">
        <v>0</v>
      </c>
      <c r="J679" t="n">
        <v>0</v>
      </c>
      <c r="K679" t="n">
        <v>0</v>
      </c>
      <c r="L679" t="n">
        <v>0</v>
      </c>
      <c r="M679" t="n">
        <v>0</v>
      </c>
      <c r="N679" t="n">
        <v>0</v>
      </c>
      <c r="O679" t="n">
        <v>0</v>
      </c>
      <c r="P679" t="n">
        <v>0</v>
      </c>
      <c r="Q679" t="n">
        <v>0</v>
      </c>
      <c r="R679" s="2" t="inlineStr"/>
    </row>
    <row r="680" ht="15" customHeight="1">
      <c r="A680" t="inlineStr">
        <is>
          <t>A 15191-2026</t>
        </is>
      </c>
      <c r="B680" s="1" t="n">
        <v>46105.46846064815</v>
      </c>
      <c r="C680" s="1" t="n">
        <v>46183</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21087-2026</t>
        </is>
      </c>
      <c r="B681" s="1" t="n">
        <v>46146.44090277778</v>
      </c>
      <c r="C681" s="1" t="n">
        <v>46183</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15819-2026</t>
        </is>
      </c>
      <c r="B682" s="1" t="n">
        <v>46107.53678240741</v>
      </c>
      <c r="C682" s="1" t="n">
        <v>46183</v>
      </c>
      <c r="D682" t="inlineStr">
        <is>
          <t>SÖDERMANLANDS LÄN</t>
        </is>
      </c>
      <c r="E682" t="inlineStr">
        <is>
          <t>KATRINEHOLM</t>
        </is>
      </c>
      <c r="G682" t="n">
        <v>2</v>
      </c>
      <c r="H682" t="n">
        <v>0</v>
      </c>
      <c r="I682" t="n">
        <v>0</v>
      </c>
      <c r="J682" t="n">
        <v>0</v>
      </c>
      <c r="K682" t="n">
        <v>0</v>
      </c>
      <c r="L682" t="n">
        <v>0</v>
      </c>
      <c r="M682" t="n">
        <v>0</v>
      </c>
      <c r="N682" t="n">
        <v>0</v>
      </c>
      <c r="O682" t="n">
        <v>0</v>
      </c>
      <c r="P682" t="n">
        <v>0</v>
      </c>
      <c r="Q682" t="n">
        <v>0</v>
      </c>
      <c r="R682" s="2" t="inlineStr"/>
    </row>
    <row r="683" ht="15" customHeight="1">
      <c r="A683" t="inlineStr">
        <is>
          <t>A 15701-2026</t>
        </is>
      </c>
      <c r="B683" s="1" t="n">
        <v>46106</v>
      </c>
      <c r="C683" s="1" t="n">
        <v>46183</v>
      </c>
      <c r="D683" t="inlineStr">
        <is>
          <t>SÖDERMANLANDS LÄN</t>
        </is>
      </c>
      <c r="E683" t="inlineStr">
        <is>
          <t>KATRINEHOLM</t>
        </is>
      </c>
      <c r="G683" t="n">
        <v>2.2</v>
      </c>
      <c r="H683" t="n">
        <v>0</v>
      </c>
      <c r="I683" t="n">
        <v>0</v>
      </c>
      <c r="J683" t="n">
        <v>0</v>
      </c>
      <c r="K683" t="n">
        <v>0</v>
      </c>
      <c r="L683" t="n">
        <v>0</v>
      </c>
      <c r="M683" t="n">
        <v>0</v>
      </c>
      <c r="N683" t="n">
        <v>0</v>
      </c>
      <c r="O683" t="n">
        <v>0</v>
      </c>
      <c r="P683" t="n">
        <v>0</v>
      </c>
      <c r="Q683" t="n">
        <v>0</v>
      </c>
      <c r="R683" s="2" t="inlineStr"/>
    </row>
    <row r="684" ht="15" customHeight="1">
      <c r="A684" t="inlineStr">
        <is>
          <t>A 16113-2026</t>
        </is>
      </c>
      <c r="B684" s="1" t="n">
        <v>46108</v>
      </c>
      <c r="C684" s="1" t="n">
        <v>46183</v>
      </c>
      <c r="D684" t="inlineStr">
        <is>
          <t>SÖDERMANLANDS LÄN</t>
        </is>
      </c>
      <c r="E684" t="inlineStr">
        <is>
          <t>KATRINEHOLM</t>
        </is>
      </c>
      <c r="G684" t="n">
        <v>4</v>
      </c>
      <c r="H684" t="n">
        <v>0</v>
      </c>
      <c r="I684" t="n">
        <v>0</v>
      </c>
      <c r="J684" t="n">
        <v>0</v>
      </c>
      <c r="K684" t="n">
        <v>0</v>
      </c>
      <c r="L684" t="n">
        <v>0</v>
      </c>
      <c r="M684" t="n">
        <v>0</v>
      </c>
      <c r="N684" t="n">
        <v>0</v>
      </c>
      <c r="O684" t="n">
        <v>0</v>
      </c>
      <c r="P684" t="n">
        <v>0</v>
      </c>
      <c r="Q684" t="n">
        <v>0</v>
      </c>
      <c r="R684" s="2" t="inlineStr"/>
    </row>
    <row r="685" ht="15" customHeight="1">
      <c r="A685" t="inlineStr">
        <is>
          <t>A 21863-2026</t>
        </is>
      </c>
      <c r="B685" s="1" t="n">
        <v>46150.56342592592</v>
      </c>
      <c r="C685" s="1" t="n">
        <v>46183</v>
      </c>
      <c r="D685" t="inlineStr">
        <is>
          <t>SÖDERMANLANDS LÄN</t>
        </is>
      </c>
      <c r="E685" t="inlineStr">
        <is>
          <t>KATRINEHOLM</t>
        </is>
      </c>
      <c r="G685" t="n">
        <v>6.8</v>
      </c>
      <c r="H685" t="n">
        <v>0</v>
      </c>
      <c r="I685" t="n">
        <v>0</v>
      </c>
      <c r="J685" t="n">
        <v>0</v>
      </c>
      <c r="K685" t="n">
        <v>0</v>
      </c>
      <c r="L685" t="n">
        <v>0</v>
      </c>
      <c r="M685" t="n">
        <v>0</v>
      </c>
      <c r="N685" t="n">
        <v>0</v>
      </c>
      <c r="O685" t="n">
        <v>0</v>
      </c>
      <c r="P685" t="n">
        <v>0</v>
      </c>
      <c r="Q685" t="n">
        <v>0</v>
      </c>
      <c r="R685" s="2" t="inlineStr"/>
    </row>
    <row r="686" ht="15" customHeight="1">
      <c r="A686" t="inlineStr">
        <is>
          <t>A 16432-2026</t>
        </is>
      </c>
      <c r="B686" s="1" t="n">
        <v>46111.81027777777</v>
      </c>
      <c r="C686" s="1" t="n">
        <v>46183</v>
      </c>
      <c r="D686" t="inlineStr">
        <is>
          <t>SÖDERMANLANDS LÄN</t>
        </is>
      </c>
      <c r="E686" t="inlineStr">
        <is>
          <t>KATRINEHOLM</t>
        </is>
      </c>
      <c r="G686" t="n">
        <v>2.2</v>
      </c>
      <c r="H686" t="n">
        <v>0</v>
      </c>
      <c r="I686" t="n">
        <v>0</v>
      </c>
      <c r="J686" t="n">
        <v>0</v>
      </c>
      <c r="K686" t="n">
        <v>0</v>
      </c>
      <c r="L686" t="n">
        <v>0</v>
      </c>
      <c r="M686" t="n">
        <v>0</v>
      </c>
      <c r="N686" t="n">
        <v>0</v>
      </c>
      <c r="O686" t="n">
        <v>0</v>
      </c>
      <c r="P686" t="n">
        <v>0</v>
      </c>
      <c r="Q686" t="n">
        <v>0</v>
      </c>
      <c r="R686" s="2" t="inlineStr"/>
    </row>
    <row r="687" ht="15" customHeight="1">
      <c r="A687" t="inlineStr">
        <is>
          <t>A 23077-2026</t>
        </is>
      </c>
      <c r="B687" s="1" t="n">
        <v>46161.52135416667</v>
      </c>
      <c r="C687" s="1" t="n">
        <v>46183</v>
      </c>
      <c r="D687" t="inlineStr">
        <is>
          <t>SÖDERMANLANDS LÄN</t>
        </is>
      </c>
      <c r="E687" t="inlineStr">
        <is>
          <t>KATRINEHOLM</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23753-2026</t>
        </is>
      </c>
      <c r="B688" s="1" t="n">
        <v>46164.54834490741</v>
      </c>
      <c r="C688" s="1" t="n">
        <v>46183</v>
      </c>
      <c r="D688" t="inlineStr">
        <is>
          <t>SÖDERMANLANDS LÄN</t>
        </is>
      </c>
      <c r="E688" t="inlineStr">
        <is>
          <t>KATRINEHOLM</t>
        </is>
      </c>
      <c r="G688" t="n">
        <v>24.4</v>
      </c>
      <c r="H688" t="n">
        <v>0</v>
      </c>
      <c r="I688" t="n">
        <v>0</v>
      </c>
      <c r="J688" t="n">
        <v>0</v>
      </c>
      <c r="K688" t="n">
        <v>0</v>
      </c>
      <c r="L688" t="n">
        <v>0</v>
      </c>
      <c r="M688" t="n">
        <v>0</v>
      </c>
      <c r="N688" t="n">
        <v>0</v>
      </c>
      <c r="O688" t="n">
        <v>0</v>
      </c>
      <c r="P688" t="n">
        <v>0</v>
      </c>
      <c r="Q688" t="n">
        <v>0</v>
      </c>
      <c r="R688" s="2" t="inlineStr"/>
    </row>
    <row r="689" ht="15" customHeight="1">
      <c r="A689" t="inlineStr">
        <is>
          <t>A 22509-2026</t>
        </is>
      </c>
      <c r="B689" s="1" t="n">
        <v>46155</v>
      </c>
      <c r="C689" s="1" t="n">
        <v>46183</v>
      </c>
      <c r="D689" t="inlineStr">
        <is>
          <t>SÖDERMANLANDS LÄN</t>
        </is>
      </c>
      <c r="E689" t="inlineStr">
        <is>
          <t>KATRINEHOLM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49743-2025</t>
        </is>
      </c>
      <c r="B690" s="1" t="n">
        <v>45940</v>
      </c>
      <c r="C690" s="1" t="n">
        <v>46183</v>
      </c>
      <c r="D690" t="inlineStr">
        <is>
          <t>SÖDERMANLANDS LÄN</t>
        </is>
      </c>
      <c r="E690" t="inlineStr">
        <is>
          <t>KATRINEHOLM</t>
        </is>
      </c>
      <c r="G690" t="n">
        <v>1.1</v>
      </c>
      <c r="H690" t="n">
        <v>0</v>
      </c>
      <c r="I690" t="n">
        <v>0</v>
      </c>
      <c r="J690" t="n">
        <v>0</v>
      </c>
      <c r="K690" t="n">
        <v>0</v>
      </c>
      <c r="L690" t="n">
        <v>0</v>
      </c>
      <c r="M690" t="n">
        <v>0</v>
      </c>
      <c r="N690" t="n">
        <v>0</v>
      </c>
      <c r="O690" t="n">
        <v>0</v>
      </c>
      <c r="P690" t="n">
        <v>0</v>
      </c>
      <c r="Q690" t="n">
        <v>0</v>
      </c>
      <c r="R690" s="2" t="inlineStr"/>
    </row>
    <row r="691" ht="15" customHeight="1">
      <c r="A691" t="inlineStr">
        <is>
          <t>A 23806-2026</t>
        </is>
      </c>
      <c r="B691" s="1" t="n">
        <v>46164.63711805556</v>
      </c>
      <c r="C691" s="1" t="n">
        <v>46183</v>
      </c>
      <c r="D691" t="inlineStr">
        <is>
          <t>SÖDERMANLANDS LÄN</t>
        </is>
      </c>
      <c r="E691" t="inlineStr">
        <is>
          <t>KATRINEHOLM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18314-2026</t>
        </is>
      </c>
      <c r="B692" s="1" t="n">
        <v>46126.47289351852</v>
      </c>
      <c r="C692" s="1" t="n">
        <v>46183</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18300-2026</t>
        </is>
      </c>
      <c r="B693" s="1" t="n">
        <v>46126.45106481481</v>
      </c>
      <c r="C693" s="1" t="n">
        <v>46183</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18301-2026</t>
        </is>
      </c>
      <c r="B694" s="1" t="n">
        <v>46126.45259259259</v>
      </c>
      <c r="C694" s="1" t="n">
        <v>46183</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18302-2026</t>
        </is>
      </c>
      <c r="B695" s="1" t="n">
        <v>46126.45408564815</v>
      </c>
      <c r="C695" s="1" t="n">
        <v>46183</v>
      </c>
      <c r="D695" t="inlineStr">
        <is>
          <t>SÖDERMANLANDS LÄN</t>
        </is>
      </c>
      <c r="E695" t="inlineStr">
        <is>
          <t>KATRINEHOLM</t>
        </is>
      </c>
      <c r="G695" t="n">
        <v>3.5</v>
      </c>
      <c r="H695" t="n">
        <v>0</v>
      </c>
      <c r="I695" t="n">
        <v>0</v>
      </c>
      <c r="J695" t="n">
        <v>0</v>
      </c>
      <c r="K695" t="n">
        <v>0</v>
      </c>
      <c r="L695" t="n">
        <v>0</v>
      </c>
      <c r="M695" t="n">
        <v>0</v>
      </c>
      <c r="N695" t="n">
        <v>0</v>
      </c>
      <c r="O695" t="n">
        <v>0</v>
      </c>
      <c r="P695" t="n">
        <v>0</v>
      </c>
      <c r="Q695" t="n">
        <v>0</v>
      </c>
      <c r="R695" s="2" t="inlineStr"/>
    </row>
    <row r="696" ht="15" customHeight="1">
      <c r="A696" t="inlineStr">
        <is>
          <t>A 18383-2026</t>
        </is>
      </c>
      <c r="B696" s="1" t="n">
        <v>46126.64174768519</v>
      </c>
      <c r="C696" s="1" t="n">
        <v>46183</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18306-2026</t>
        </is>
      </c>
      <c r="B697" s="1" t="n">
        <v>46126.46039351852</v>
      </c>
      <c r="C697" s="1" t="n">
        <v>46183</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18308-2026</t>
        </is>
      </c>
      <c r="B698" s="1" t="n">
        <v>46126.46175925926</v>
      </c>
      <c r="C698" s="1" t="n">
        <v>46183</v>
      </c>
      <c r="D698" t="inlineStr">
        <is>
          <t>SÖDERMANLANDS LÄN</t>
        </is>
      </c>
      <c r="E698" t="inlineStr">
        <is>
          <t>KATRINEHOLM</t>
        </is>
      </c>
      <c r="G698" t="n">
        <v>4.2</v>
      </c>
      <c r="H698" t="n">
        <v>0</v>
      </c>
      <c r="I698" t="n">
        <v>0</v>
      </c>
      <c r="J698" t="n">
        <v>0</v>
      </c>
      <c r="K698" t="n">
        <v>0</v>
      </c>
      <c r="L698" t="n">
        <v>0</v>
      </c>
      <c r="M698" t="n">
        <v>0</v>
      </c>
      <c r="N698" t="n">
        <v>0</v>
      </c>
      <c r="O698" t="n">
        <v>0</v>
      </c>
      <c r="P698" t="n">
        <v>0</v>
      </c>
      <c r="Q698" t="n">
        <v>0</v>
      </c>
      <c r="R698" s="2" t="inlineStr"/>
    </row>
    <row r="699" ht="15" customHeight="1">
      <c r="A699" t="inlineStr">
        <is>
          <t>A 18316-2026</t>
        </is>
      </c>
      <c r="B699" s="1" t="n">
        <v>46126.47670138889</v>
      </c>
      <c r="C699" s="1" t="n">
        <v>46183</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18384-2026</t>
        </is>
      </c>
      <c r="B700" s="1" t="n">
        <v>46126.64513888889</v>
      </c>
      <c r="C700" s="1" t="n">
        <v>46183</v>
      </c>
      <c r="D700" t="inlineStr">
        <is>
          <t>SÖDERMANLANDS LÄN</t>
        </is>
      </c>
      <c r="E700" t="inlineStr">
        <is>
          <t>KATRINEHOLM</t>
        </is>
      </c>
      <c r="G700" t="n">
        <v>2.1</v>
      </c>
      <c r="H700" t="n">
        <v>0</v>
      </c>
      <c r="I700" t="n">
        <v>0</v>
      </c>
      <c r="J700" t="n">
        <v>0</v>
      </c>
      <c r="K700" t="n">
        <v>0</v>
      </c>
      <c r="L700" t="n">
        <v>0</v>
      </c>
      <c r="M700" t="n">
        <v>0</v>
      </c>
      <c r="N700" t="n">
        <v>0</v>
      </c>
      <c r="O700" t="n">
        <v>0</v>
      </c>
      <c r="P700" t="n">
        <v>0</v>
      </c>
      <c r="Q700" t="n">
        <v>0</v>
      </c>
      <c r="R700" s="2" t="inlineStr"/>
    </row>
    <row r="701" ht="15" customHeight="1">
      <c r="A701" t="inlineStr">
        <is>
          <t>A 24362-2026</t>
        </is>
      </c>
      <c r="B701" s="1" t="n">
        <v>46169</v>
      </c>
      <c r="C701" s="1" t="n">
        <v>46183</v>
      </c>
      <c r="D701" t="inlineStr">
        <is>
          <t>SÖDERMANLANDS LÄN</t>
        </is>
      </c>
      <c r="E701" t="inlineStr">
        <is>
          <t>KATRINEHOLM</t>
        </is>
      </c>
      <c r="G701" t="n">
        <v>13.5</v>
      </c>
      <c r="H701" t="n">
        <v>0</v>
      </c>
      <c r="I701" t="n">
        <v>0</v>
      </c>
      <c r="J701" t="n">
        <v>0</v>
      </c>
      <c r="K701" t="n">
        <v>0</v>
      </c>
      <c r="L701" t="n">
        <v>0</v>
      </c>
      <c r="M701" t="n">
        <v>0</v>
      </c>
      <c r="N701" t="n">
        <v>0</v>
      </c>
      <c r="O701" t="n">
        <v>0</v>
      </c>
      <c r="P701" t="n">
        <v>0</v>
      </c>
      <c r="Q701" t="n">
        <v>0</v>
      </c>
      <c r="R701" s="2" t="inlineStr"/>
    </row>
    <row r="702" ht="15" customHeight="1">
      <c r="A702" t="inlineStr">
        <is>
          <t>A 19187-2026</t>
        </is>
      </c>
      <c r="B702" s="1" t="n">
        <v>46132.59921296296</v>
      </c>
      <c r="C702" s="1" t="n">
        <v>46183</v>
      </c>
      <c r="D702" t="inlineStr">
        <is>
          <t>SÖDERMANLANDS LÄN</t>
        </is>
      </c>
      <c r="E702" t="inlineStr">
        <is>
          <t>KATRINEHOLM</t>
        </is>
      </c>
      <c r="G702" t="n">
        <v>3.7</v>
      </c>
      <c r="H702" t="n">
        <v>0</v>
      </c>
      <c r="I702" t="n">
        <v>0</v>
      </c>
      <c r="J702" t="n">
        <v>0</v>
      </c>
      <c r="K702" t="n">
        <v>0</v>
      </c>
      <c r="L702" t="n">
        <v>0</v>
      </c>
      <c r="M702" t="n">
        <v>0</v>
      </c>
      <c r="N702" t="n">
        <v>0</v>
      </c>
      <c r="O702" t="n">
        <v>0</v>
      </c>
      <c r="P702" t="n">
        <v>0</v>
      </c>
      <c r="Q702" t="n">
        <v>0</v>
      </c>
      <c r="R702" s="2" t="inlineStr"/>
    </row>
    <row r="703" ht="15" customHeight="1">
      <c r="A703" t="inlineStr">
        <is>
          <t>A 19098-2026</t>
        </is>
      </c>
      <c r="B703" s="1" t="n">
        <v>46132.42950231482</v>
      </c>
      <c r="C703" s="1" t="n">
        <v>46183</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18966-2026</t>
        </is>
      </c>
      <c r="B704" s="1" t="n">
        <v>46129.60259259259</v>
      </c>
      <c r="C704" s="1" t="n">
        <v>46183</v>
      </c>
      <c r="D704" t="inlineStr">
        <is>
          <t>SÖDERMANLANDS LÄN</t>
        </is>
      </c>
      <c r="E704" t="inlineStr">
        <is>
          <t>KATRINEHOLM</t>
        </is>
      </c>
      <c r="G704" t="n">
        <v>1.1</v>
      </c>
      <c r="H704" t="n">
        <v>0</v>
      </c>
      <c r="I704" t="n">
        <v>0</v>
      </c>
      <c r="J704" t="n">
        <v>0</v>
      </c>
      <c r="K704" t="n">
        <v>0</v>
      </c>
      <c r="L704" t="n">
        <v>0</v>
      </c>
      <c r="M704" t="n">
        <v>0</v>
      </c>
      <c r="N704" t="n">
        <v>0</v>
      </c>
      <c r="O704" t="n">
        <v>0</v>
      </c>
      <c r="P704" t="n">
        <v>0</v>
      </c>
      <c r="Q704" t="n">
        <v>0</v>
      </c>
      <c r="R704" s="2" t="inlineStr"/>
    </row>
    <row r="705" ht="15" customHeight="1">
      <c r="A705" t="inlineStr">
        <is>
          <t>A 35145-2025</t>
        </is>
      </c>
      <c r="B705" s="1" t="n">
        <v>45852</v>
      </c>
      <c r="C705" s="1" t="n">
        <v>46183</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31392-2025</t>
        </is>
      </c>
      <c r="B706" s="1" t="n">
        <v>45833</v>
      </c>
      <c r="C706" s="1" t="n">
        <v>46183</v>
      </c>
      <c r="D706" t="inlineStr">
        <is>
          <t>SÖDERMANLANDS LÄN</t>
        </is>
      </c>
      <c r="E706" t="inlineStr">
        <is>
          <t>KATRINEHOLM</t>
        </is>
      </c>
      <c r="G706" t="n">
        <v>5</v>
      </c>
      <c r="H706" t="n">
        <v>0</v>
      </c>
      <c r="I706" t="n">
        <v>0</v>
      </c>
      <c r="J706" t="n">
        <v>0</v>
      </c>
      <c r="K706" t="n">
        <v>0</v>
      </c>
      <c r="L706" t="n">
        <v>0</v>
      </c>
      <c r="M706" t="n">
        <v>0</v>
      </c>
      <c r="N706" t="n">
        <v>0</v>
      </c>
      <c r="O706" t="n">
        <v>0</v>
      </c>
      <c r="P706" t="n">
        <v>0</v>
      </c>
      <c r="Q706" t="n">
        <v>0</v>
      </c>
      <c r="R706" s="2" t="inlineStr"/>
    </row>
    <row r="707" ht="15" customHeight="1">
      <c r="A707" t="inlineStr">
        <is>
          <t>A 41793-2025</t>
        </is>
      </c>
      <c r="B707" s="1" t="n">
        <v>45902</v>
      </c>
      <c r="C707" s="1" t="n">
        <v>46183</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19813-2026</t>
        </is>
      </c>
      <c r="B708" s="1" t="n">
        <v>46135.56923611111</v>
      </c>
      <c r="C708" s="1" t="n">
        <v>46183</v>
      </c>
      <c r="D708" t="inlineStr">
        <is>
          <t>SÖDERMANLANDS LÄN</t>
        </is>
      </c>
      <c r="E708" t="inlineStr">
        <is>
          <t>KATRINEHOLM</t>
        </is>
      </c>
      <c r="G708" t="n">
        <v>4.7</v>
      </c>
      <c r="H708" t="n">
        <v>0</v>
      </c>
      <c r="I708" t="n">
        <v>0</v>
      </c>
      <c r="J708" t="n">
        <v>0</v>
      </c>
      <c r="K708" t="n">
        <v>0</v>
      </c>
      <c r="L708" t="n">
        <v>0</v>
      </c>
      <c r="M708" t="n">
        <v>0</v>
      </c>
      <c r="N708" t="n">
        <v>0</v>
      </c>
      <c r="O708" t="n">
        <v>0</v>
      </c>
      <c r="P708" t="n">
        <v>0</v>
      </c>
      <c r="Q708" t="n">
        <v>0</v>
      </c>
      <c r="R708" s="2" t="inlineStr"/>
    </row>
    <row r="709" ht="15" customHeight="1">
      <c r="A709" t="inlineStr">
        <is>
          <t>A 18309-2026</t>
        </is>
      </c>
      <c r="B709" s="1" t="n">
        <v>46126.46756944444</v>
      </c>
      <c r="C709" s="1" t="n">
        <v>46183</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22336-2025</t>
        </is>
      </c>
      <c r="B710" s="1" t="n">
        <v>45786.44217592593</v>
      </c>
      <c r="C710" s="1" t="n">
        <v>46183</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30386-2025</t>
        </is>
      </c>
      <c r="B711" s="1" t="n">
        <v>45827</v>
      </c>
      <c r="C711" s="1" t="n">
        <v>46183</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30350-2025</t>
        </is>
      </c>
      <c r="B712" s="1" t="n">
        <v>45827.53319444445</v>
      </c>
      <c r="C712" s="1" t="n">
        <v>46183</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46524-2025</t>
        </is>
      </c>
      <c r="B713" s="1" t="n">
        <v>45926</v>
      </c>
      <c r="C713" s="1" t="n">
        <v>46183</v>
      </c>
      <c r="D713" t="inlineStr">
        <is>
          <t>SÖDERMANLANDS LÄN</t>
        </is>
      </c>
      <c r="E713" t="inlineStr">
        <is>
          <t>KATRINEHOLM</t>
        </is>
      </c>
      <c r="G713" t="n">
        <v>5.7</v>
      </c>
      <c r="H713" t="n">
        <v>0</v>
      </c>
      <c r="I713" t="n">
        <v>0</v>
      </c>
      <c r="J713" t="n">
        <v>0</v>
      </c>
      <c r="K713" t="n">
        <v>0</v>
      </c>
      <c r="L713" t="n">
        <v>0</v>
      </c>
      <c r="M713" t="n">
        <v>0</v>
      </c>
      <c r="N713" t="n">
        <v>0</v>
      </c>
      <c r="O713" t="n">
        <v>0</v>
      </c>
      <c r="P713" t="n">
        <v>0</v>
      </c>
      <c r="Q713" t="n">
        <v>0</v>
      </c>
      <c r="R713" s="2" t="inlineStr"/>
    </row>
    <row r="714" ht="15" customHeight="1">
      <c r="A714" t="inlineStr">
        <is>
          <t>A 28931-2024</t>
        </is>
      </c>
      <c r="B714" s="1" t="n">
        <v>45479</v>
      </c>
      <c r="C714" s="1" t="n">
        <v>46183</v>
      </c>
      <c r="D714" t="inlineStr">
        <is>
          <t>SÖDERMANLANDS LÄN</t>
        </is>
      </c>
      <c r="E714" t="inlineStr">
        <is>
          <t>KATRINEHOLM</t>
        </is>
      </c>
      <c r="G714" t="n">
        <v>7.4</v>
      </c>
      <c r="H714" t="n">
        <v>0</v>
      </c>
      <c r="I714" t="n">
        <v>0</v>
      </c>
      <c r="J714" t="n">
        <v>0</v>
      </c>
      <c r="K714" t="n">
        <v>0</v>
      </c>
      <c r="L714" t="n">
        <v>0</v>
      </c>
      <c r="M714" t="n">
        <v>0</v>
      </c>
      <c r="N714" t="n">
        <v>0</v>
      </c>
      <c r="O714" t="n">
        <v>0</v>
      </c>
      <c r="P714" t="n">
        <v>0</v>
      </c>
      <c r="Q714" t="n">
        <v>0</v>
      </c>
      <c r="R714" s="2" t="inlineStr"/>
    </row>
    <row r="715" ht="15" customHeight="1">
      <c r="A715" t="inlineStr">
        <is>
          <t>A 41498-2025</t>
        </is>
      </c>
      <c r="B715" s="1" t="n">
        <v>45901.49755787037</v>
      </c>
      <c r="C715" s="1" t="n">
        <v>46183</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38019-2022</t>
        </is>
      </c>
      <c r="B716" s="1" t="n">
        <v>44811.61142361111</v>
      </c>
      <c r="C716" s="1" t="n">
        <v>46183</v>
      </c>
      <c r="D716" t="inlineStr">
        <is>
          <t>SÖDERMANLANDS LÄN</t>
        </is>
      </c>
      <c r="E716" t="inlineStr">
        <is>
          <t>KATRINEHOLM</t>
        </is>
      </c>
      <c r="G716" t="n">
        <v>5.8</v>
      </c>
      <c r="H716" t="n">
        <v>0</v>
      </c>
      <c r="I716" t="n">
        <v>0</v>
      </c>
      <c r="J716" t="n">
        <v>0</v>
      </c>
      <c r="K716" t="n">
        <v>0</v>
      </c>
      <c r="L716" t="n">
        <v>0</v>
      </c>
      <c r="M716" t="n">
        <v>0</v>
      </c>
      <c r="N716" t="n">
        <v>0</v>
      </c>
      <c r="O716" t="n">
        <v>0</v>
      </c>
      <c r="P716" t="n">
        <v>0</v>
      </c>
      <c r="Q716" t="n">
        <v>0</v>
      </c>
      <c r="R716" s="2" t="inlineStr"/>
    </row>
    <row r="717" ht="15" customHeight="1">
      <c r="A717" t="inlineStr">
        <is>
          <t>A 20200-2026</t>
        </is>
      </c>
      <c r="B717" s="1" t="n">
        <v>46136</v>
      </c>
      <c r="C717" s="1" t="n">
        <v>46183</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20464-2026</t>
        </is>
      </c>
      <c r="B718" s="1" t="n">
        <v>46140.44986111111</v>
      </c>
      <c r="C718" s="1" t="n">
        <v>46183</v>
      </c>
      <c r="D718" t="inlineStr">
        <is>
          <t>SÖDERMANLANDS LÄN</t>
        </is>
      </c>
      <c r="E718" t="inlineStr">
        <is>
          <t>KATRINEHOLM</t>
        </is>
      </c>
      <c r="G718" t="n">
        <v>9.1</v>
      </c>
      <c r="H718" t="n">
        <v>0</v>
      </c>
      <c r="I718" t="n">
        <v>0</v>
      </c>
      <c r="J718" t="n">
        <v>0</v>
      </c>
      <c r="K718" t="n">
        <v>0</v>
      </c>
      <c r="L718" t="n">
        <v>0</v>
      </c>
      <c r="M718" t="n">
        <v>0</v>
      </c>
      <c r="N718" t="n">
        <v>0</v>
      </c>
      <c r="O718" t="n">
        <v>0</v>
      </c>
      <c r="P718" t="n">
        <v>0</v>
      </c>
      <c r="Q718" t="n">
        <v>0</v>
      </c>
      <c r="R718" s="2" t="inlineStr"/>
    </row>
    <row r="719" ht="15" customHeight="1">
      <c r="A719" t="inlineStr">
        <is>
          <t>A 28317-2024</t>
        </is>
      </c>
      <c r="B719" s="1" t="n">
        <v>45477</v>
      </c>
      <c r="C719" s="1" t="n">
        <v>46183</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ht="15" customHeight="1">
      <c r="A720" t="inlineStr">
        <is>
          <t>A 30333-2023</t>
        </is>
      </c>
      <c r="B720" s="1" t="n">
        <v>45111</v>
      </c>
      <c r="C720" s="1" t="n">
        <v>46183</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c r="A721" t="inlineStr">
        <is>
          <t>A 28304-2024</t>
        </is>
      </c>
      <c r="B721" s="1" t="n">
        <v>45477</v>
      </c>
      <c r="C721" s="1" t="n">
        <v>46183</v>
      </c>
      <c r="D721" t="inlineStr">
        <is>
          <t>SÖDERMANLANDS LÄN</t>
        </is>
      </c>
      <c r="E721" t="inlineStr">
        <is>
          <t>KATRINEHOLM</t>
        </is>
      </c>
      <c r="G721" t="n">
        <v>3.8</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2026-06-10T09:26:00Z</dcterms:created>
  <dcterms:modified xmlns:dcterms="http://purl.org/dc/terms/" xmlns:xsi="http://www.w3.org/2001/XMLSchema-instance" xsi:type="dcterms:W3CDTF">2026-06-10T09:26:01Z</dcterms:modified>
</cp:coreProperties>
</file>