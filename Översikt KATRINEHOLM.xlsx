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45913</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45913</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45913</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45913</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45913</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45913</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45913</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45913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45913</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45913</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45913</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45913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45913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45913</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45913</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45913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45913</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45913</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45913</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45913</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45913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45913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45913</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45913</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45913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45913</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45913</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45913</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53990-2023</t>
        </is>
      </c>
      <c r="B37" s="1" t="n">
        <v>45231</v>
      </c>
      <c r="C37" s="1" t="n">
        <v>45913</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27926-2025</t>
        </is>
      </c>
      <c r="B38" s="1" t="n">
        <v>45814</v>
      </c>
      <c r="C38" s="1" t="n">
        <v>45913</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16458-2022</t>
        </is>
      </c>
      <c r="B39" s="1" t="n">
        <v>44671</v>
      </c>
      <c r="C39" s="1" t="n">
        <v>45913</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53154-2023</t>
        </is>
      </c>
      <c r="B40" s="1" t="n">
        <v>45229</v>
      </c>
      <c r="C40" s="1" t="n">
        <v>45913</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23568-2023</t>
        </is>
      </c>
      <c r="B41" s="1" t="n">
        <v>45077</v>
      </c>
      <c r="C41" s="1" t="n">
        <v>45913</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45913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45913</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45913</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33801-2023</t>
        </is>
      </c>
      <c r="B45" s="1" t="n">
        <v>45133</v>
      </c>
      <c r="C45" s="1" t="n">
        <v>45913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45913</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11890-2023</t>
        </is>
      </c>
      <c r="B47" s="1" t="n">
        <v>44995</v>
      </c>
      <c r="C47" s="1" t="n">
        <v>45913</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47989-2020</t>
        </is>
      </c>
      <c r="B48" s="1" t="n">
        <v>44099</v>
      </c>
      <c r="C48" s="1" t="n">
        <v>45913</v>
      </c>
      <c r="D48" t="inlineStr">
        <is>
          <t>SÖDERMANLANDS LÄN</t>
        </is>
      </c>
      <c r="E48" t="inlineStr">
        <is>
          <t>KATRINEHOLM</t>
        </is>
      </c>
      <c r="F48" t="inlineStr">
        <is>
          <t>Övriga statliga verk och myndigheter</t>
        </is>
      </c>
      <c r="G48" t="n">
        <v>4.7</v>
      </c>
      <c r="H48" t="n">
        <v>0</v>
      </c>
      <c r="I48" t="n">
        <v>1</v>
      </c>
      <c r="J48" t="n">
        <v>0</v>
      </c>
      <c r="K48" t="n">
        <v>0</v>
      </c>
      <c r="L48" t="n">
        <v>0</v>
      </c>
      <c r="M48" t="n">
        <v>0</v>
      </c>
      <c r="N48" t="n">
        <v>0</v>
      </c>
      <c r="O48" t="n">
        <v>0</v>
      </c>
      <c r="P48" t="n">
        <v>0</v>
      </c>
      <c r="Q48" t="n">
        <v>1</v>
      </c>
      <c r="R48" s="2" t="inlineStr">
        <is>
          <t>Stubbspretmossa</t>
        </is>
      </c>
      <c r="S48">
        <f>HYPERLINK("https://klasma.github.io/Logging_0483/artfynd/A 47989-2020 artfynd.xlsx", "A 47989-2020")</f>
        <v/>
      </c>
      <c r="T48">
        <f>HYPERLINK("https://klasma.github.io/Logging_0483/kartor/A 47989-2020 karta.png", "A 47989-2020")</f>
        <v/>
      </c>
      <c r="V48">
        <f>HYPERLINK("https://klasma.github.io/Logging_0483/klagomål/A 47989-2020 FSC-klagomål.docx", "A 47989-2020")</f>
        <v/>
      </c>
      <c r="W48">
        <f>HYPERLINK("https://klasma.github.io/Logging_0483/klagomålsmail/A 47989-2020 FSC-klagomål mail.docx", "A 47989-2020")</f>
        <v/>
      </c>
      <c r="X48">
        <f>HYPERLINK("https://klasma.github.io/Logging_0483/tillsyn/A 47989-2020 tillsynsbegäran.docx", "A 47989-2020")</f>
        <v/>
      </c>
      <c r="Y48">
        <f>HYPERLINK("https://klasma.github.io/Logging_0483/tillsynsmail/A 47989-2020 tillsynsbegäran mail.docx", "A 47989-2020")</f>
        <v/>
      </c>
    </row>
    <row r="49" ht="15" customHeight="1">
      <c r="A49" t="inlineStr">
        <is>
          <t>A 35163-2025</t>
        </is>
      </c>
      <c r="B49" s="1" t="n">
        <v>45852.71136574074</v>
      </c>
      <c r="C49" s="1" t="n">
        <v>45913</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42055-2025</t>
        </is>
      </c>
      <c r="B50" s="1" t="n">
        <v>45903.64179398148</v>
      </c>
      <c r="C50" s="1" t="n">
        <v>45913</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6076-2022</t>
        </is>
      </c>
      <c r="B51" s="1" t="n">
        <v>44599</v>
      </c>
      <c r="C51" s="1" t="n">
        <v>45913</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41980-2025</t>
        </is>
      </c>
      <c r="B52" s="1" t="n">
        <v>45903</v>
      </c>
      <c r="C52" s="1" t="n">
        <v>45913</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42745-2022</t>
        </is>
      </c>
      <c r="B53" s="1" t="n">
        <v>44831</v>
      </c>
      <c r="C53" s="1" t="n">
        <v>45913</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45913</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45913</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45913</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36856-2021</t>
        </is>
      </c>
      <c r="B57" s="1" t="n">
        <v>44393</v>
      </c>
      <c r="C57" s="1" t="n">
        <v>45913</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45913</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45913</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45913</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45913</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45913</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45913</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45913</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45913</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45913</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45913</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45913</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45913</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45913</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45913</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45913</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45913</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45913</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45913</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45913</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45913</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45913</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45913</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45913</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45913</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45913</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45913</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45913</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45913</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45913</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45913</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45913</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45913</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45913</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45913</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45913</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45913</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45913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45913</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45913</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45913</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45913</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45913</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45913</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45913</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45913</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45913</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45913</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45913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45913</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45913</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45913</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45913</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45913</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45913</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45913</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45913</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45913</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45913</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45913</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45913</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45913</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45913</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45913</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45913</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45913</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45913</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45913</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45913</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45913</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45913</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45913</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45913</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45913</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45913</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6826-2022</t>
        </is>
      </c>
      <c r="B132" s="1" t="n">
        <v>44602.5965162037</v>
      </c>
      <c r="C132" s="1" t="n">
        <v>45913</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45913</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45913</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45913</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45913</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45913</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45913</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45913</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45913</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45913</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45913</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45913</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45913</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45913</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45913</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45913</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912-2022</t>
        </is>
      </c>
      <c r="B148" s="1" t="n">
        <v>44571</v>
      </c>
      <c r="C148" s="1" t="n">
        <v>45913</v>
      </c>
      <c r="D148" t="inlineStr">
        <is>
          <t>SÖDERMANLANDS LÄN</t>
        </is>
      </c>
      <c r="E148" t="inlineStr">
        <is>
          <t>KATRINEHOLM</t>
        </is>
      </c>
      <c r="G148" t="n">
        <v>0.5</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45913</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45913</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45913</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45913</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45913</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45913</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45913</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59212-2021</t>
        </is>
      </c>
      <c r="B156" s="1" t="n">
        <v>44490.60873842592</v>
      </c>
      <c r="C156" s="1" t="n">
        <v>45913</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7550-2022</t>
        </is>
      </c>
      <c r="B157" s="1" t="n">
        <v>44607</v>
      </c>
      <c r="C157" s="1" t="n">
        <v>45913</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45913</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44872.57288194444</v>
      </c>
      <c r="C159" s="1" t="n">
        <v>45913</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51602-2022</t>
        </is>
      </c>
      <c r="B160" s="1" t="n">
        <v>44871.69347222222</v>
      </c>
      <c r="C160" s="1" t="n">
        <v>45913</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11070-2021</t>
        </is>
      </c>
      <c r="B161" s="1" t="n">
        <v>44260</v>
      </c>
      <c r="C161" s="1" t="n">
        <v>45913</v>
      </c>
      <c r="D161" t="inlineStr">
        <is>
          <t>SÖDERMANLANDS LÄN</t>
        </is>
      </c>
      <c r="E161" t="inlineStr">
        <is>
          <t>KATRINEHOLM</t>
        </is>
      </c>
      <c r="F161" t="inlineStr">
        <is>
          <t>Allmännings- och besparingsskogar</t>
        </is>
      </c>
      <c r="G161" t="n">
        <v>2.9</v>
      </c>
      <c r="H161" t="n">
        <v>0</v>
      </c>
      <c r="I161" t="n">
        <v>0</v>
      </c>
      <c r="J161" t="n">
        <v>0</v>
      </c>
      <c r="K161" t="n">
        <v>0</v>
      </c>
      <c r="L161" t="n">
        <v>0</v>
      </c>
      <c r="M161" t="n">
        <v>0</v>
      </c>
      <c r="N161" t="n">
        <v>0</v>
      </c>
      <c r="O161" t="n">
        <v>0</v>
      </c>
      <c r="P161" t="n">
        <v>0</v>
      </c>
      <c r="Q161" t="n">
        <v>0</v>
      </c>
      <c r="R161" s="2" t="inlineStr"/>
    </row>
    <row r="162" ht="15" customHeight="1">
      <c r="A162" t="inlineStr">
        <is>
          <t>A 25893-2022</t>
        </is>
      </c>
      <c r="B162" s="1" t="n">
        <v>44733.77543981482</v>
      </c>
      <c r="C162" s="1" t="n">
        <v>45913</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45913</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9419-2022</t>
        </is>
      </c>
      <c r="B164" s="1" t="n">
        <v>44616</v>
      </c>
      <c r="C164" s="1" t="n">
        <v>45913</v>
      </c>
      <c r="D164" t="inlineStr">
        <is>
          <t>SÖDERMANLANDS LÄN</t>
        </is>
      </c>
      <c r="E164" t="inlineStr">
        <is>
          <t>KATRINEHOLM</t>
        </is>
      </c>
      <c r="F164" t="inlineStr">
        <is>
          <t>Övriga Aktiebolag</t>
        </is>
      </c>
      <c r="G164" t="n">
        <v>1.7</v>
      </c>
      <c r="H164" t="n">
        <v>0</v>
      </c>
      <c r="I164" t="n">
        <v>0</v>
      </c>
      <c r="J164" t="n">
        <v>0</v>
      </c>
      <c r="K164" t="n">
        <v>0</v>
      </c>
      <c r="L164" t="n">
        <v>0</v>
      </c>
      <c r="M164" t="n">
        <v>0</v>
      </c>
      <c r="N164" t="n">
        <v>0</v>
      </c>
      <c r="O164" t="n">
        <v>0</v>
      </c>
      <c r="P164" t="n">
        <v>0</v>
      </c>
      <c r="Q164" t="n">
        <v>0</v>
      </c>
      <c r="R164" s="2" t="inlineStr"/>
    </row>
    <row r="165" ht="15" customHeight="1">
      <c r="A165" t="inlineStr">
        <is>
          <t>A 51885-2022</t>
        </is>
      </c>
      <c r="B165" s="1" t="n">
        <v>44872.60384259259</v>
      </c>
      <c r="C165" s="1" t="n">
        <v>45913</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42735-2022</t>
        </is>
      </c>
      <c r="B166" s="1" t="n">
        <v>44832</v>
      </c>
      <c r="C166" s="1" t="n">
        <v>45913</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45913</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45913</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45913</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45038-2022</t>
        </is>
      </c>
      <c r="B170" s="1" t="n">
        <v>44840</v>
      </c>
      <c r="C170" s="1" t="n">
        <v>45913</v>
      </c>
      <c r="D170" t="inlineStr">
        <is>
          <t>SÖDERMANLANDS LÄN</t>
        </is>
      </c>
      <c r="E170" t="inlineStr">
        <is>
          <t>KATRINEHOLM</t>
        </is>
      </c>
      <c r="G170" t="n">
        <v>3.6</v>
      </c>
      <c r="H170" t="n">
        <v>0</v>
      </c>
      <c r="I170" t="n">
        <v>0</v>
      </c>
      <c r="J170" t="n">
        <v>0</v>
      </c>
      <c r="K170" t="n">
        <v>0</v>
      </c>
      <c r="L170" t="n">
        <v>0</v>
      </c>
      <c r="M170" t="n">
        <v>0</v>
      </c>
      <c r="N170" t="n">
        <v>0</v>
      </c>
      <c r="O170" t="n">
        <v>0</v>
      </c>
      <c r="P170" t="n">
        <v>0</v>
      </c>
      <c r="Q170" t="n">
        <v>0</v>
      </c>
      <c r="R170" s="2" t="inlineStr"/>
    </row>
    <row r="171" ht="15" customHeight="1">
      <c r="A171" t="inlineStr">
        <is>
          <t>A 24199-2022</t>
        </is>
      </c>
      <c r="B171" s="1" t="n">
        <v>44725</v>
      </c>
      <c r="C171" s="1" t="n">
        <v>45913</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38835-2021</t>
        </is>
      </c>
      <c r="B172" s="1" t="n">
        <v>44411</v>
      </c>
      <c r="C172" s="1" t="n">
        <v>45913</v>
      </c>
      <c r="D172" t="inlineStr">
        <is>
          <t>SÖDERMANLANDS LÄN</t>
        </is>
      </c>
      <c r="E172" t="inlineStr">
        <is>
          <t>KATRINEHOLM</t>
        </is>
      </c>
      <c r="G172" t="n">
        <v>10.2</v>
      </c>
      <c r="H172" t="n">
        <v>0</v>
      </c>
      <c r="I172" t="n">
        <v>0</v>
      </c>
      <c r="J172" t="n">
        <v>0</v>
      </c>
      <c r="K172" t="n">
        <v>0</v>
      </c>
      <c r="L172" t="n">
        <v>0</v>
      </c>
      <c r="M172" t="n">
        <v>0</v>
      </c>
      <c r="N172" t="n">
        <v>0</v>
      </c>
      <c r="O172" t="n">
        <v>0</v>
      </c>
      <c r="P172" t="n">
        <v>0</v>
      </c>
      <c r="Q172" t="n">
        <v>0</v>
      </c>
      <c r="R172" s="2" t="inlineStr"/>
    </row>
    <row r="173" ht="15" customHeight="1">
      <c r="A173" t="inlineStr">
        <is>
          <t>A 68206-2021</t>
        </is>
      </c>
      <c r="B173" s="1" t="n">
        <v>44526</v>
      </c>
      <c r="C173" s="1" t="n">
        <v>45913</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45913</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67351-2021</t>
        </is>
      </c>
      <c r="B175" s="1" t="n">
        <v>44523</v>
      </c>
      <c r="C175" s="1" t="n">
        <v>45913</v>
      </c>
      <c r="D175" t="inlineStr">
        <is>
          <t>SÖDERMANLANDS LÄN</t>
        </is>
      </c>
      <c r="E175" t="inlineStr">
        <is>
          <t>KATRINEHOLM</t>
        </is>
      </c>
      <c r="G175" t="n">
        <v>5.4</v>
      </c>
      <c r="H175" t="n">
        <v>0</v>
      </c>
      <c r="I175" t="n">
        <v>0</v>
      </c>
      <c r="J175" t="n">
        <v>0</v>
      </c>
      <c r="K175" t="n">
        <v>0</v>
      </c>
      <c r="L175" t="n">
        <v>0</v>
      </c>
      <c r="M175" t="n">
        <v>0</v>
      </c>
      <c r="N175" t="n">
        <v>0</v>
      </c>
      <c r="O175" t="n">
        <v>0</v>
      </c>
      <c r="P175" t="n">
        <v>0</v>
      </c>
      <c r="Q175" t="n">
        <v>0</v>
      </c>
      <c r="R175" s="2" t="inlineStr"/>
    </row>
    <row r="176" ht="15" customHeight="1">
      <c r="A176" t="inlineStr">
        <is>
          <t>A 69429-2021</t>
        </is>
      </c>
      <c r="B176" s="1" t="n">
        <v>44531</v>
      </c>
      <c r="C176" s="1" t="n">
        <v>45913</v>
      </c>
      <c r="D176" t="inlineStr">
        <is>
          <t>SÖDERMANLANDS LÄN</t>
        </is>
      </c>
      <c r="E176" t="inlineStr">
        <is>
          <t>KATRINEHOLM</t>
        </is>
      </c>
      <c r="G176" t="n">
        <v>1.2</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45913</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45913</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2877-2022</t>
        </is>
      </c>
      <c r="B179" s="1" t="n">
        <v>44581</v>
      </c>
      <c r="C179" s="1" t="n">
        <v>45913</v>
      </c>
      <c r="D179" t="inlineStr">
        <is>
          <t>SÖDERMANLANDS LÄN</t>
        </is>
      </c>
      <c r="E179" t="inlineStr">
        <is>
          <t>KATRINEHOLM</t>
        </is>
      </c>
      <c r="G179" t="n">
        <v>10.3</v>
      </c>
      <c r="H179" t="n">
        <v>0</v>
      </c>
      <c r="I179" t="n">
        <v>0</v>
      </c>
      <c r="J179" t="n">
        <v>0</v>
      </c>
      <c r="K179" t="n">
        <v>0</v>
      </c>
      <c r="L179" t="n">
        <v>0</v>
      </c>
      <c r="M179" t="n">
        <v>0</v>
      </c>
      <c r="N179" t="n">
        <v>0</v>
      </c>
      <c r="O179" t="n">
        <v>0</v>
      </c>
      <c r="P179" t="n">
        <v>0</v>
      </c>
      <c r="Q179" t="n">
        <v>0</v>
      </c>
      <c r="R179" s="2" t="inlineStr"/>
    </row>
    <row r="180" ht="15" customHeight="1">
      <c r="A180" t="inlineStr">
        <is>
          <t>A 34625-2022</t>
        </is>
      </c>
      <c r="B180" s="1" t="n">
        <v>44795.44392361111</v>
      </c>
      <c r="C180" s="1" t="n">
        <v>45913</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45913</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33753-2022</t>
        </is>
      </c>
      <c r="B182" s="1" t="n">
        <v>44789</v>
      </c>
      <c r="C182" s="1" t="n">
        <v>45913</v>
      </c>
      <c r="D182" t="inlineStr">
        <is>
          <t>SÖDERMANLANDS LÄN</t>
        </is>
      </c>
      <c r="E182" t="inlineStr">
        <is>
          <t>KATRINEHOLM</t>
        </is>
      </c>
      <c r="G182" t="n">
        <v>4.9</v>
      </c>
      <c r="H182" t="n">
        <v>0</v>
      </c>
      <c r="I182" t="n">
        <v>0</v>
      </c>
      <c r="J182" t="n">
        <v>0</v>
      </c>
      <c r="K182" t="n">
        <v>0</v>
      </c>
      <c r="L182" t="n">
        <v>0</v>
      </c>
      <c r="M182" t="n">
        <v>0</v>
      </c>
      <c r="N182" t="n">
        <v>0</v>
      </c>
      <c r="O182" t="n">
        <v>0</v>
      </c>
      <c r="P182" t="n">
        <v>0</v>
      </c>
      <c r="Q182" t="n">
        <v>0</v>
      </c>
      <c r="R182" s="2" t="inlineStr"/>
    </row>
    <row r="183" ht="15" customHeight="1">
      <c r="A183" t="inlineStr">
        <is>
          <t>A 60596-2021</t>
        </is>
      </c>
      <c r="B183" s="1" t="n">
        <v>44496.58033564815</v>
      </c>
      <c r="C183" s="1" t="n">
        <v>45913</v>
      </c>
      <c r="D183" t="inlineStr">
        <is>
          <t>SÖDERMANLANDS LÄN</t>
        </is>
      </c>
      <c r="E183" t="inlineStr">
        <is>
          <t>KATRINEHOLM</t>
        </is>
      </c>
      <c r="G183" t="n">
        <v>1.5</v>
      </c>
      <c r="H183" t="n">
        <v>0</v>
      </c>
      <c r="I183" t="n">
        <v>0</v>
      </c>
      <c r="J183" t="n">
        <v>0</v>
      </c>
      <c r="K183" t="n">
        <v>0</v>
      </c>
      <c r="L183" t="n">
        <v>0</v>
      </c>
      <c r="M183" t="n">
        <v>0</v>
      </c>
      <c r="N183" t="n">
        <v>0</v>
      </c>
      <c r="O183" t="n">
        <v>0</v>
      </c>
      <c r="P183" t="n">
        <v>0</v>
      </c>
      <c r="Q183" t="n">
        <v>0</v>
      </c>
      <c r="R183" s="2" t="inlineStr"/>
    </row>
    <row r="184" ht="15" customHeight="1">
      <c r="A184" t="inlineStr">
        <is>
          <t>A 41642-2022</t>
        </is>
      </c>
      <c r="B184" s="1" t="n">
        <v>44827</v>
      </c>
      <c r="C184" s="1" t="n">
        <v>45913</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53791-2021</t>
        </is>
      </c>
      <c r="B185" s="1" t="n">
        <v>44467</v>
      </c>
      <c r="C185" s="1" t="n">
        <v>45913</v>
      </c>
      <c r="D185" t="inlineStr">
        <is>
          <t>SÖDERMANLANDS LÄN</t>
        </is>
      </c>
      <c r="E185" t="inlineStr">
        <is>
          <t>KATRINEHOLM</t>
        </is>
      </c>
      <c r="G185" t="n">
        <v>2.7</v>
      </c>
      <c r="H185" t="n">
        <v>0</v>
      </c>
      <c r="I185" t="n">
        <v>0</v>
      </c>
      <c r="J185" t="n">
        <v>0</v>
      </c>
      <c r="K185" t="n">
        <v>0</v>
      </c>
      <c r="L185" t="n">
        <v>0</v>
      </c>
      <c r="M185" t="n">
        <v>0</v>
      </c>
      <c r="N185" t="n">
        <v>0</v>
      </c>
      <c r="O185" t="n">
        <v>0</v>
      </c>
      <c r="P185" t="n">
        <v>0</v>
      </c>
      <c r="Q185" t="n">
        <v>0</v>
      </c>
      <c r="R185" s="2" t="inlineStr"/>
    </row>
    <row r="186" ht="15" customHeight="1">
      <c r="A186" t="inlineStr">
        <is>
          <t>A 24098-2022</t>
        </is>
      </c>
      <c r="B186" s="1" t="n">
        <v>44725</v>
      </c>
      <c r="C186" s="1" t="n">
        <v>45913</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64633-2020</t>
        </is>
      </c>
      <c r="B187" s="1" t="n">
        <v>44169</v>
      </c>
      <c r="C187" s="1" t="n">
        <v>45913</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45913</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45913</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45913</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45913</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45913</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45913</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45913</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4767-2021</t>
        </is>
      </c>
      <c r="B195" s="1" t="n">
        <v>44225</v>
      </c>
      <c r="C195" s="1" t="n">
        <v>45913</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52044-2021</t>
        </is>
      </c>
      <c r="B196" s="1" t="n">
        <v>44463</v>
      </c>
      <c r="C196" s="1" t="n">
        <v>45913</v>
      </c>
      <c r="D196" t="inlineStr">
        <is>
          <t>SÖDERMANLANDS LÄN</t>
        </is>
      </c>
      <c r="E196" t="inlineStr">
        <is>
          <t>KATRINEHOLM</t>
        </is>
      </c>
      <c r="G196" t="n">
        <v>1.1</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45913</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58473-2021</t>
        </is>
      </c>
      <c r="B198" s="1" t="n">
        <v>44488</v>
      </c>
      <c r="C198" s="1" t="n">
        <v>45913</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33538-2022</t>
        </is>
      </c>
      <c r="B199" s="1" t="n">
        <v>44789</v>
      </c>
      <c r="C199" s="1" t="n">
        <v>45913</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20949-2021</t>
        </is>
      </c>
      <c r="B200" s="1" t="n">
        <v>44319</v>
      </c>
      <c r="C200" s="1" t="n">
        <v>45913</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7240-2021</t>
        </is>
      </c>
      <c r="B201" s="1" t="n">
        <v>44238</v>
      </c>
      <c r="C201" s="1" t="n">
        <v>45913</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36210-2022</t>
        </is>
      </c>
      <c r="B202" s="1" t="n">
        <v>44803.47950231482</v>
      </c>
      <c r="C202" s="1" t="n">
        <v>45913</v>
      </c>
      <c r="D202" t="inlineStr">
        <is>
          <t>SÖDERMANLANDS LÄN</t>
        </is>
      </c>
      <c r="E202" t="inlineStr">
        <is>
          <t>KATRINEHOLM</t>
        </is>
      </c>
      <c r="G202" t="n">
        <v>1.6</v>
      </c>
      <c r="H202" t="n">
        <v>0</v>
      </c>
      <c r="I202" t="n">
        <v>0</v>
      </c>
      <c r="J202" t="n">
        <v>0</v>
      </c>
      <c r="K202" t="n">
        <v>0</v>
      </c>
      <c r="L202" t="n">
        <v>0</v>
      </c>
      <c r="M202" t="n">
        <v>0</v>
      </c>
      <c r="N202" t="n">
        <v>0</v>
      </c>
      <c r="O202" t="n">
        <v>0</v>
      </c>
      <c r="P202" t="n">
        <v>0</v>
      </c>
      <c r="Q202" t="n">
        <v>0</v>
      </c>
      <c r="R202" s="2" t="inlineStr"/>
    </row>
    <row r="203" ht="15" customHeight="1">
      <c r="A203" t="inlineStr">
        <is>
          <t>A 36964-2021</t>
        </is>
      </c>
      <c r="B203" s="1" t="n">
        <v>44393</v>
      </c>
      <c r="C203" s="1" t="n">
        <v>45913</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30981-2022</t>
        </is>
      </c>
      <c r="B204" s="1" t="n">
        <v>44768</v>
      </c>
      <c r="C204" s="1" t="n">
        <v>45913</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45913</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53822-2023</t>
        </is>
      </c>
      <c r="B206" s="1" t="n">
        <v>45231.40846064815</v>
      </c>
      <c r="C206" s="1" t="n">
        <v>45913</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48682-2022</t>
        </is>
      </c>
      <c r="B207" s="1" t="n">
        <v>44859</v>
      </c>
      <c r="C207" s="1" t="n">
        <v>45913</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45913</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45913</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45913</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20460-2025</t>
        </is>
      </c>
      <c r="B211" s="1" t="n">
        <v>45775.52854166667</v>
      </c>
      <c r="C211" s="1" t="n">
        <v>45913</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35188-2022</t>
        </is>
      </c>
      <c r="B212" s="1" t="n">
        <v>44797</v>
      </c>
      <c r="C212" s="1" t="n">
        <v>45913</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45913</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45913</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45913</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45913</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45913</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45913</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45913</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45913</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55846-2022</t>
        </is>
      </c>
      <c r="B221" s="1" t="n">
        <v>44888</v>
      </c>
      <c r="C221" s="1" t="n">
        <v>45913</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22345-2023</t>
        </is>
      </c>
      <c r="B222" s="1" t="n">
        <v>45070</v>
      </c>
      <c r="C222" s="1" t="n">
        <v>45913</v>
      </c>
      <c r="D222" t="inlineStr">
        <is>
          <t>SÖDERMANLANDS LÄN</t>
        </is>
      </c>
      <c r="E222" t="inlineStr">
        <is>
          <t>KATRINEHOLM</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48877-2022</t>
        </is>
      </c>
      <c r="B223" s="1" t="n">
        <v>44859</v>
      </c>
      <c r="C223" s="1" t="n">
        <v>45913</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19868-2022</t>
        </is>
      </c>
      <c r="B224" s="1" t="n">
        <v>44696</v>
      </c>
      <c r="C224" s="1" t="n">
        <v>45913</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53722-2023</t>
        </is>
      </c>
      <c r="B225" s="1" t="n">
        <v>45230</v>
      </c>
      <c r="C225" s="1" t="n">
        <v>45913</v>
      </c>
      <c r="D225" t="inlineStr">
        <is>
          <t>SÖDERMANLANDS LÄN</t>
        </is>
      </c>
      <c r="E225" t="inlineStr">
        <is>
          <t>KATRINEHOLM</t>
        </is>
      </c>
      <c r="F225" t="inlineStr">
        <is>
          <t>Allmännings- och besparingsskogar</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63188-2021</t>
        </is>
      </c>
      <c r="B226" s="1" t="n">
        <v>44507.56865740741</v>
      </c>
      <c r="C226" s="1" t="n">
        <v>45913</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2683-2025</t>
        </is>
      </c>
      <c r="B227" s="1" t="n">
        <v>45677</v>
      </c>
      <c r="C227" s="1" t="n">
        <v>45913</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55863-2022</t>
        </is>
      </c>
      <c r="B228" s="1" t="n">
        <v>44888</v>
      </c>
      <c r="C228" s="1" t="n">
        <v>45913</v>
      </c>
      <c r="D228" t="inlineStr">
        <is>
          <t>SÖDERMANLANDS LÄN</t>
        </is>
      </c>
      <c r="E228" t="inlineStr">
        <is>
          <t>KATRINEHOLM</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55865-2022</t>
        </is>
      </c>
      <c r="B229" s="1" t="n">
        <v>44888</v>
      </c>
      <c r="C229" s="1" t="n">
        <v>45913</v>
      </c>
      <c r="D229" t="inlineStr">
        <is>
          <t>SÖDERMANLANDS LÄN</t>
        </is>
      </c>
      <c r="E229" t="inlineStr">
        <is>
          <t>KATRINEHOLM</t>
        </is>
      </c>
      <c r="G229" t="n">
        <v>9.1</v>
      </c>
      <c r="H229" t="n">
        <v>0</v>
      </c>
      <c r="I229" t="n">
        <v>0</v>
      </c>
      <c r="J229" t="n">
        <v>0</v>
      </c>
      <c r="K229" t="n">
        <v>0</v>
      </c>
      <c r="L229" t="n">
        <v>0</v>
      </c>
      <c r="M229" t="n">
        <v>0</v>
      </c>
      <c r="N229" t="n">
        <v>0</v>
      </c>
      <c r="O229" t="n">
        <v>0</v>
      </c>
      <c r="P229" t="n">
        <v>0</v>
      </c>
      <c r="Q229" t="n">
        <v>0</v>
      </c>
      <c r="R229" s="2" t="inlineStr"/>
    </row>
    <row r="230" ht="15" customHeight="1">
      <c r="A230" t="inlineStr">
        <is>
          <t>A 63677-2020</t>
        </is>
      </c>
      <c r="B230" s="1" t="n">
        <v>44166</v>
      </c>
      <c r="C230" s="1" t="n">
        <v>45913</v>
      </c>
      <c r="D230" t="inlineStr">
        <is>
          <t>SÖDERMANLANDS LÄN</t>
        </is>
      </c>
      <c r="E230" t="inlineStr">
        <is>
          <t>KATRINEHOLM</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29843-2023</t>
        </is>
      </c>
      <c r="B231" s="1" t="n">
        <v>45107</v>
      </c>
      <c r="C231" s="1" t="n">
        <v>45913</v>
      </c>
      <c r="D231" t="inlineStr">
        <is>
          <t>SÖDERMANLANDS LÄN</t>
        </is>
      </c>
      <c r="E231" t="inlineStr">
        <is>
          <t>KATRINEHOLM</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49341-2024</t>
        </is>
      </c>
      <c r="B232" s="1" t="n">
        <v>45595</v>
      </c>
      <c r="C232" s="1" t="n">
        <v>45913</v>
      </c>
      <c r="D232" t="inlineStr">
        <is>
          <t>SÖDERMANLANDS LÄN</t>
        </is>
      </c>
      <c r="E232" t="inlineStr">
        <is>
          <t>KATRINEHOLM</t>
        </is>
      </c>
      <c r="G232" t="n">
        <v>10</v>
      </c>
      <c r="H232" t="n">
        <v>0</v>
      </c>
      <c r="I232" t="n">
        <v>0</v>
      </c>
      <c r="J232" t="n">
        <v>0</v>
      </c>
      <c r="K232" t="n">
        <v>0</v>
      </c>
      <c r="L232" t="n">
        <v>0</v>
      </c>
      <c r="M232" t="n">
        <v>0</v>
      </c>
      <c r="N232" t="n">
        <v>0</v>
      </c>
      <c r="O232" t="n">
        <v>0</v>
      </c>
      <c r="P232" t="n">
        <v>0</v>
      </c>
      <c r="Q232" t="n">
        <v>0</v>
      </c>
      <c r="R232" s="2" t="inlineStr"/>
    </row>
    <row r="233" ht="15" customHeight="1">
      <c r="A233" t="inlineStr">
        <is>
          <t>A 5834-2025</t>
        </is>
      </c>
      <c r="B233" s="1" t="n">
        <v>45694</v>
      </c>
      <c r="C233" s="1" t="n">
        <v>45913</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45530-2023</t>
        </is>
      </c>
      <c r="B234" s="1" t="n">
        <v>45188</v>
      </c>
      <c r="C234" s="1" t="n">
        <v>45913</v>
      </c>
      <c r="D234" t="inlineStr">
        <is>
          <t>SÖDERMANLANDS LÄN</t>
        </is>
      </c>
      <c r="E234" t="inlineStr">
        <is>
          <t>KATRINEHOLM</t>
        </is>
      </c>
      <c r="F234" t="inlineStr">
        <is>
          <t>Allmännings- och besparingsskogar</t>
        </is>
      </c>
      <c r="G234" t="n">
        <v>37</v>
      </c>
      <c r="H234" t="n">
        <v>0</v>
      </c>
      <c r="I234" t="n">
        <v>0</v>
      </c>
      <c r="J234" t="n">
        <v>0</v>
      </c>
      <c r="K234" t="n">
        <v>0</v>
      </c>
      <c r="L234" t="n">
        <v>0</v>
      </c>
      <c r="M234" t="n">
        <v>0</v>
      </c>
      <c r="N234" t="n">
        <v>0</v>
      </c>
      <c r="O234" t="n">
        <v>0</v>
      </c>
      <c r="P234" t="n">
        <v>0</v>
      </c>
      <c r="Q234" t="n">
        <v>0</v>
      </c>
      <c r="R234" s="2" t="inlineStr"/>
    </row>
    <row r="235" ht="15" customHeight="1">
      <c r="A235" t="inlineStr">
        <is>
          <t>A 34981-2023</t>
        </is>
      </c>
      <c r="B235" s="1" t="n">
        <v>45142</v>
      </c>
      <c r="C235" s="1" t="n">
        <v>45913</v>
      </c>
      <c r="D235" t="inlineStr">
        <is>
          <t>SÖDERMANLANDS LÄN</t>
        </is>
      </c>
      <c r="E235" t="inlineStr">
        <is>
          <t>KATRINEHOLM</t>
        </is>
      </c>
      <c r="G235" t="n">
        <v>10</v>
      </c>
      <c r="H235" t="n">
        <v>0</v>
      </c>
      <c r="I235" t="n">
        <v>0</v>
      </c>
      <c r="J235" t="n">
        <v>0</v>
      </c>
      <c r="K235" t="n">
        <v>0</v>
      </c>
      <c r="L235" t="n">
        <v>0</v>
      </c>
      <c r="M235" t="n">
        <v>0</v>
      </c>
      <c r="N235" t="n">
        <v>0</v>
      </c>
      <c r="O235" t="n">
        <v>0</v>
      </c>
      <c r="P235" t="n">
        <v>0</v>
      </c>
      <c r="Q235" t="n">
        <v>0</v>
      </c>
      <c r="R235" s="2" t="inlineStr"/>
    </row>
    <row r="236" ht="15" customHeight="1">
      <c r="A236" t="inlineStr">
        <is>
          <t>A 73412-2021</t>
        </is>
      </c>
      <c r="B236" s="1" t="n">
        <v>44551</v>
      </c>
      <c r="C236" s="1" t="n">
        <v>45913</v>
      </c>
      <c r="D236" t="inlineStr">
        <is>
          <t>SÖDERMANLANDS LÄN</t>
        </is>
      </c>
      <c r="E236" t="inlineStr">
        <is>
          <t>KATRINEHOLM</t>
        </is>
      </c>
      <c r="G236" t="n">
        <v>2</v>
      </c>
      <c r="H236" t="n">
        <v>0</v>
      </c>
      <c r="I236" t="n">
        <v>0</v>
      </c>
      <c r="J236" t="n">
        <v>0</v>
      </c>
      <c r="K236" t="n">
        <v>0</v>
      </c>
      <c r="L236" t="n">
        <v>0</v>
      </c>
      <c r="M236" t="n">
        <v>0</v>
      </c>
      <c r="N236" t="n">
        <v>0</v>
      </c>
      <c r="O236" t="n">
        <v>0</v>
      </c>
      <c r="P236" t="n">
        <v>0</v>
      </c>
      <c r="Q236" t="n">
        <v>0</v>
      </c>
      <c r="R236" s="2" t="inlineStr"/>
    </row>
    <row r="237" ht="15" customHeight="1">
      <c r="A237" t="inlineStr">
        <is>
          <t>A 61410-2024</t>
        </is>
      </c>
      <c r="B237" s="1" t="n">
        <v>45646.43950231482</v>
      </c>
      <c r="C237" s="1" t="n">
        <v>45913</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48520-2023</t>
        </is>
      </c>
      <c r="B238" s="1" t="n">
        <v>45208</v>
      </c>
      <c r="C238" s="1" t="n">
        <v>45913</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45913</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53750-2022</t>
        </is>
      </c>
      <c r="B240" s="1" t="n">
        <v>44875</v>
      </c>
      <c r="C240" s="1" t="n">
        <v>45913</v>
      </c>
      <c r="D240" t="inlineStr">
        <is>
          <t>SÖDERMANLANDS LÄN</t>
        </is>
      </c>
      <c r="E240" t="inlineStr">
        <is>
          <t>KATRINEHOLM</t>
        </is>
      </c>
      <c r="F240" t="inlineStr">
        <is>
          <t>Övriga Aktiebolag</t>
        </is>
      </c>
      <c r="G240" t="n">
        <v>12.6</v>
      </c>
      <c r="H240" t="n">
        <v>0</v>
      </c>
      <c r="I240" t="n">
        <v>0</v>
      </c>
      <c r="J240" t="n">
        <v>0</v>
      </c>
      <c r="K240" t="n">
        <v>0</v>
      </c>
      <c r="L240" t="n">
        <v>0</v>
      </c>
      <c r="M240" t="n">
        <v>0</v>
      </c>
      <c r="N240" t="n">
        <v>0</v>
      </c>
      <c r="O240" t="n">
        <v>0</v>
      </c>
      <c r="P240" t="n">
        <v>0</v>
      </c>
      <c r="Q240" t="n">
        <v>0</v>
      </c>
      <c r="R240" s="2" t="inlineStr"/>
    </row>
    <row r="241" ht="15" customHeight="1">
      <c r="A241" t="inlineStr">
        <is>
          <t>A 7867-2024</t>
        </is>
      </c>
      <c r="B241" s="1" t="n">
        <v>45350.32991898148</v>
      </c>
      <c r="C241" s="1" t="n">
        <v>45913</v>
      </c>
      <c r="D241" t="inlineStr">
        <is>
          <t>SÖDERMANLANDS LÄN</t>
        </is>
      </c>
      <c r="E241" t="inlineStr">
        <is>
          <t>KATRINEHOLM</t>
        </is>
      </c>
      <c r="F241" t="inlineStr">
        <is>
          <t>Kyrkan</t>
        </is>
      </c>
      <c r="G241" t="n">
        <v>3.3</v>
      </c>
      <c r="H241" t="n">
        <v>0</v>
      </c>
      <c r="I241" t="n">
        <v>0</v>
      </c>
      <c r="J241" t="n">
        <v>0</v>
      </c>
      <c r="K241" t="n">
        <v>0</v>
      </c>
      <c r="L241" t="n">
        <v>0</v>
      </c>
      <c r="M241" t="n">
        <v>0</v>
      </c>
      <c r="N241" t="n">
        <v>0</v>
      </c>
      <c r="O241" t="n">
        <v>0</v>
      </c>
      <c r="P241" t="n">
        <v>0</v>
      </c>
      <c r="Q241" t="n">
        <v>0</v>
      </c>
      <c r="R241" s="2" t="inlineStr"/>
    </row>
    <row r="242" ht="15" customHeight="1">
      <c r="A242" t="inlineStr">
        <is>
          <t>A 56661-2021</t>
        </is>
      </c>
      <c r="B242" s="1" t="n">
        <v>44481.24327546296</v>
      </c>
      <c r="C242" s="1" t="n">
        <v>45913</v>
      </c>
      <c r="D242" t="inlineStr">
        <is>
          <t>SÖDERMANLANDS LÄN</t>
        </is>
      </c>
      <c r="E242" t="inlineStr">
        <is>
          <t>KATRINEHOLM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14245-2024</t>
        </is>
      </c>
      <c r="B243" s="1" t="n">
        <v>45393</v>
      </c>
      <c r="C243" s="1" t="n">
        <v>45913</v>
      </c>
      <c r="D243" t="inlineStr">
        <is>
          <t>SÖDERMANLANDS LÄN</t>
        </is>
      </c>
      <c r="E243" t="inlineStr">
        <is>
          <t>KATRINEHOLM</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28394-2023</t>
        </is>
      </c>
      <c r="B244" s="1" t="n">
        <v>45100</v>
      </c>
      <c r="C244" s="1" t="n">
        <v>45913</v>
      </c>
      <c r="D244" t="inlineStr">
        <is>
          <t>SÖDERMANLANDS LÄN</t>
        </is>
      </c>
      <c r="E244" t="inlineStr">
        <is>
          <t>KATRINEHOLM</t>
        </is>
      </c>
      <c r="G244" t="n">
        <v>4.2</v>
      </c>
      <c r="H244" t="n">
        <v>0</v>
      </c>
      <c r="I244" t="n">
        <v>0</v>
      </c>
      <c r="J244" t="n">
        <v>0</v>
      </c>
      <c r="K244" t="n">
        <v>0</v>
      </c>
      <c r="L244" t="n">
        <v>0</v>
      </c>
      <c r="M244" t="n">
        <v>0</v>
      </c>
      <c r="N244" t="n">
        <v>0</v>
      </c>
      <c r="O244" t="n">
        <v>0</v>
      </c>
      <c r="P244" t="n">
        <v>0</v>
      </c>
      <c r="Q244" t="n">
        <v>0</v>
      </c>
      <c r="R244" s="2" t="inlineStr"/>
    </row>
    <row r="245" ht="15" customHeight="1">
      <c r="A245" t="inlineStr">
        <is>
          <t>A 4122-2023</t>
        </is>
      </c>
      <c r="B245" s="1" t="n">
        <v>44952</v>
      </c>
      <c r="C245" s="1" t="n">
        <v>45913</v>
      </c>
      <c r="D245" t="inlineStr">
        <is>
          <t>SÖDERMANLANDS LÄN</t>
        </is>
      </c>
      <c r="E245" t="inlineStr">
        <is>
          <t>KATRINEHOLM</t>
        </is>
      </c>
      <c r="G245" t="n">
        <v>9</v>
      </c>
      <c r="H245" t="n">
        <v>0</v>
      </c>
      <c r="I245" t="n">
        <v>0</v>
      </c>
      <c r="J245" t="n">
        <v>0</v>
      </c>
      <c r="K245" t="n">
        <v>0</v>
      </c>
      <c r="L245" t="n">
        <v>0</v>
      </c>
      <c r="M245" t="n">
        <v>0</v>
      </c>
      <c r="N245" t="n">
        <v>0</v>
      </c>
      <c r="O245" t="n">
        <v>0</v>
      </c>
      <c r="P245" t="n">
        <v>0</v>
      </c>
      <c r="Q245" t="n">
        <v>0</v>
      </c>
      <c r="R245" s="2" t="inlineStr"/>
    </row>
    <row r="246" ht="15" customHeight="1">
      <c r="A246" t="inlineStr">
        <is>
          <t>A 11104-2023</t>
        </is>
      </c>
      <c r="B246" s="1" t="n">
        <v>44992</v>
      </c>
      <c r="C246" s="1" t="n">
        <v>45913</v>
      </c>
      <c r="D246" t="inlineStr">
        <is>
          <t>SÖDERMANLANDS LÄN</t>
        </is>
      </c>
      <c r="E246" t="inlineStr">
        <is>
          <t>KATRINEHOLM</t>
        </is>
      </c>
      <c r="F246" t="inlineStr">
        <is>
          <t>Allmännings- och besparingsskogar</t>
        </is>
      </c>
      <c r="G246" t="n">
        <v>7.8</v>
      </c>
      <c r="H246" t="n">
        <v>0</v>
      </c>
      <c r="I246" t="n">
        <v>0</v>
      </c>
      <c r="J246" t="n">
        <v>0</v>
      </c>
      <c r="K246" t="n">
        <v>0</v>
      </c>
      <c r="L246" t="n">
        <v>0</v>
      </c>
      <c r="M246" t="n">
        <v>0</v>
      </c>
      <c r="N246" t="n">
        <v>0</v>
      </c>
      <c r="O246" t="n">
        <v>0</v>
      </c>
      <c r="P246" t="n">
        <v>0</v>
      </c>
      <c r="Q246" t="n">
        <v>0</v>
      </c>
      <c r="R246" s="2" t="inlineStr"/>
    </row>
    <row r="247" ht="15" customHeight="1">
      <c r="A247" t="inlineStr">
        <is>
          <t>A 38869-2024</t>
        </is>
      </c>
      <c r="B247" s="1" t="n">
        <v>45547</v>
      </c>
      <c r="C247" s="1" t="n">
        <v>45913</v>
      </c>
      <c r="D247" t="inlineStr">
        <is>
          <t>SÖDERMANLANDS LÄN</t>
        </is>
      </c>
      <c r="E247" t="inlineStr">
        <is>
          <t>KATRINEHOLM</t>
        </is>
      </c>
      <c r="G247" t="n">
        <v>2.2</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45913</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45913</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55795-2023</t>
        </is>
      </c>
      <c r="B250" s="1" t="n">
        <v>45239.54861111111</v>
      </c>
      <c r="C250" s="1" t="n">
        <v>45913</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45913</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4872-2024</t>
        </is>
      </c>
      <c r="B252" s="1" t="n">
        <v>45329</v>
      </c>
      <c r="C252" s="1" t="n">
        <v>45913</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24284-2024</t>
        </is>
      </c>
      <c r="B253" s="1" t="n">
        <v>45457</v>
      </c>
      <c r="C253" s="1" t="n">
        <v>45913</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45913</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3986-2024</t>
        </is>
      </c>
      <c r="B255" s="1" t="n">
        <v>45322</v>
      </c>
      <c r="C255" s="1" t="n">
        <v>45913</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29502-2023</t>
        </is>
      </c>
      <c r="B256" s="1" t="n">
        <v>45106</v>
      </c>
      <c r="C256" s="1" t="n">
        <v>45913</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42111-2022</t>
        </is>
      </c>
      <c r="B257" s="1" t="n">
        <v>44830</v>
      </c>
      <c r="C257" s="1" t="n">
        <v>45913</v>
      </c>
      <c r="D257" t="inlineStr">
        <is>
          <t>SÖDERMANLANDS LÄN</t>
        </is>
      </c>
      <c r="E257" t="inlineStr">
        <is>
          <t>KATRINEHOLM</t>
        </is>
      </c>
      <c r="G257" t="n">
        <v>2.5</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45913</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42451-2023</t>
        </is>
      </c>
      <c r="B259" s="1" t="n">
        <v>45180</v>
      </c>
      <c r="C259" s="1" t="n">
        <v>45913</v>
      </c>
      <c r="D259" t="inlineStr">
        <is>
          <t>SÖDERMANLANDS LÄN</t>
        </is>
      </c>
      <c r="E259" t="inlineStr">
        <is>
          <t>KATRINEHOLM</t>
        </is>
      </c>
      <c r="G259" t="n">
        <v>3.8</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45913</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13113-2023</t>
        </is>
      </c>
      <c r="B261" s="1" t="n">
        <v>45002</v>
      </c>
      <c r="C261" s="1" t="n">
        <v>45913</v>
      </c>
      <c r="D261" t="inlineStr">
        <is>
          <t>SÖDERMANLANDS LÄN</t>
        </is>
      </c>
      <c r="E261" t="inlineStr">
        <is>
          <t>KATRINEHOLM</t>
        </is>
      </c>
      <c r="F261" t="inlineStr">
        <is>
          <t>Allmännings- och besparingsskogar</t>
        </is>
      </c>
      <c r="G261" t="n">
        <v>3.6</v>
      </c>
      <c r="H261" t="n">
        <v>0</v>
      </c>
      <c r="I261" t="n">
        <v>0</v>
      </c>
      <c r="J261" t="n">
        <v>0</v>
      </c>
      <c r="K261" t="n">
        <v>0</v>
      </c>
      <c r="L261" t="n">
        <v>0</v>
      </c>
      <c r="M261" t="n">
        <v>0</v>
      </c>
      <c r="N261" t="n">
        <v>0</v>
      </c>
      <c r="O261" t="n">
        <v>0</v>
      </c>
      <c r="P261" t="n">
        <v>0</v>
      </c>
      <c r="Q261" t="n">
        <v>0</v>
      </c>
      <c r="R261" s="2" t="inlineStr"/>
    </row>
    <row r="262" ht="15" customHeight="1">
      <c r="A262" t="inlineStr">
        <is>
          <t>A 36767-2022</t>
        </is>
      </c>
      <c r="B262" s="1" t="n">
        <v>44805</v>
      </c>
      <c r="C262" s="1" t="n">
        <v>45913</v>
      </c>
      <c r="D262" t="inlineStr">
        <is>
          <t>SÖDERMANLANDS LÄN</t>
        </is>
      </c>
      <c r="E262" t="inlineStr">
        <is>
          <t>KATRINEHOLM</t>
        </is>
      </c>
      <c r="G262" t="n">
        <v>1.1</v>
      </c>
      <c r="H262" t="n">
        <v>0</v>
      </c>
      <c r="I262" t="n">
        <v>0</v>
      </c>
      <c r="J262" t="n">
        <v>0</v>
      </c>
      <c r="K262" t="n">
        <v>0</v>
      </c>
      <c r="L262" t="n">
        <v>0</v>
      </c>
      <c r="M262" t="n">
        <v>0</v>
      </c>
      <c r="N262" t="n">
        <v>0</v>
      </c>
      <c r="O262" t="n">
        <v>0</v>
      </c>
      <c r="P262" t="n">
        <v>0</v>
      </c>
      <c r="Q262" t="n">
        <v>0</v>
      </c>
      <c r="R262" s="2" t="inlineStr"/>
    </row>
    <row r="263" ht="15" customHeight="1">
      <c r="A263" t="inlineStr">
        <is>
          <t>A 6606-2022</t>
        </is>
      </c>
      <c r="B263" s="1" t="n">
        <v>44601</v>
      </c>
      <c r="C263" s="1" t="n">
        <v>45913</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27646-2023</t>
        </is>
      </c>
      <c r="B264" s="1" t="n">
        <v>45097</v>
      </c>
      <c r="C264" s="1" t="n">
        <v>45913</v>
      </c>
      <c r="D264" t="inlineStr">
        <is>
          <t>SÖDERMANLANDS LÄN</t>
        </is>
      </c>
      <c r="E264" t="inlineStr">
        <is>
          <t>KATRINEHOLM</t>
        </is>
      </c>
      <c r="G264" t="n">
        <v>2.4</v>
      </c>
      <c r="H264" t="n">
        <v>0</v>
      </c>
      <c r="I264" t="n">
        <v>0</v>
      </c>
      <c r="J264" t="n">
        <v>0</v>
      </c>
      <c r="K264" t="n">
        <v>0</v>
      </c>
      <c r="L264" t="n">
        <v>0</v>
      </c>
      <c r="M264" t="n">
        <v>0</v>
      </c>
      <c r="N264" t="n">
        <v>0</v>
      </c>
      <c r="O264" t="n">
        <v>0</v>
      </c>
      <c r="P264" t="n">
        <v>0</v>
      </c>
      <c r="Q264" t="n">
        <v>0</v>
      </c>
      <c r="R264" s="2" t="inlineStr"/>
    </row>
    <row r="265" ht="15" customHeight="1">
      <c r="A265" t="inlineStr">
        <is>
          <t>A 15235-2023</t>
        </is>
      </c>
      <c r="B265" s="1" t="n">
        <v>45019</v>
      </c>
      <c r="C265" s="1" t="n">
        <v>45913</v>
      </c>
      <c r="D265" t="inlineStr">
        <is>
          <t>SÖDERMANLANDS LÄN</t>
        </is>
      </c>
      <c r="E265" t="inlineStr">
        <is>
          <t>KATRINEHOLM</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33712-2022</t>
        </is>
      </c>
      <c r="B266" s="1" t="n">
        <v>44789</v>
      </c>
      <c r="C266" s="1" t="n">
        <v>45913</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55034-2021</t>
        </is>
      </c>
      <c r="B267" s="1" t="n">
        <v>44474</v>
      </c>
      <c r="C267" s="1" t="n">
        <v>45913</v>
      </c>
      <c r="D267" t="inlineStr">
        <is>
          <t>SÖDERMANLANDS LÄN</t>
        </is>
      </c>
      <c r="E267" t="inlineStr">
        <is>
          <t>KATRINEHOLM</t>
        </is>
      </c>
      <c r="G267" t="n">
        <v>5</v>
      </c>
      <c r="H267" t="n">
        <v>0</v>
      </c>
      <c r="I267" t="n">
        <v>0</v>
      </c>
      <c r="J267" t="n">
        <v>0</v>
      </c>
      <c r="K267" t="n">
        <v>0</v>
      </c>
      <c r="L267" t="n">
        <v>0</v>
      </c>
      <c r="M267" t="n">
        <v>0</v>
      </c>
      <c r="N267" t="n">
        <v>0</v>
      </c>
      <c r="O267" t="n">
        <v>0</v>
      </c>
      <c r="P267" t="n">
        <v>0</v>
      </c>
      <c r="Q267" t="n">
        <v>0</v>
      </c>
      <c r="R267" s="2" t="inlineStr"/>
    </row>
    <row r="268" ht="15" customHeight="1">
      <c r="A268" t="inlineStr">
        <is>
          <t>A 33717-2022</t>
        </is>
      </c>
      <c r="B268" s="1" t="n">
        <v>44789</v>
      </c>
      <c r="C268" s="1" t="n">
        <v>45913</v>
      </c>
      <c r="D268" t="inlineStr">
        <is>
          <t>SÖDERMANLANDS LÄN</t>
        </is>
      </c>
      <c r="E268" t="inlineStr">
        <is>
          <t>KATRINEHOLM</t>
        </is>
      </c>
      <c r="G268" t="n">
        <v>4.4</v>
      </c>
      <c r="H268" t="n">
        <v>0</v>
      </c>
      <c r="I268" t="n">
        <v>0</v>
      </c>
      <c r="J268" t="n">
        <v>0</v>
      </c>
      <c r="K268" t="n">
        <v>0</v>
      </c>
      <c r="L268" t="n">
        <v>0</v>
      </c>
      <c r="M268" t="n">
        <v>0</v>
      </c>
      <c r="N268" t="n">
        <v>0</v>
      </c>
      <c r="O268" t="n">
        <v>0</v>
      </c>
      <c r="P268" t="n">
        <v>0</v>
      </c>
      <c r="Q268" t="n">
        <v>0</v>
      </c>
      <c r="R268" s="2" t="inlineStr"/>
    </row>
    <row r="269" ht="15" customHeight="1">
      <c r="A269" t="inlineStr">
        <is>
          <t>A 25433-2024</t>
        </is>
      </c>
      <c r="B269" s="1" t="n">
        <v>45463</v>
      </c>
      <c r="C269" s="1" t="n">
        <v>45913</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45913</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45913</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33752-2023</t>
        </is>
      </c>
      <c r="B272" s="1" t="n">
        <v>45120</v>
      </c>
      <c r="C272" s="1" t="n">
        <v>45913</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23341-2023</t>
        </is>
      </c>
      <c r="B273" s="1" t="n">
        <v>45076</v>
      </c>
      <c r="C273" s="1" t="n">
        <v>45913</v>
      </c>
      <c r="D273" t="inlineStr">
        <is>
          <t>SÖDERMANLANDS LÄN</t>
        </is>
      </c>
      <c r="E273" t="inlineStr">
        <is>
          <t>KATRINEHOLM</t>
        </is>
      </c>
      <c r="G273" t="n">
        <v>3.5</v>
      </c>
      <c r="H273" t="n">
        <v>0</v>
      </c>
      <c r="I273" t="n">
        <v>0</v>
      </c>
      <c r="J273" t="n">
        <v>0</v>
      </c>
      <c r="K273" t="n">
        <v>0</v>
      </c>
      <c r="L273" t="n">
        <v>0</v>
      </c>
      <c r="M273" t="n">
        <v>0</v>
      </c>
      <c r="N273" t="n">
        <v>0</v>
      </c>
      <c r="O273" t="n">
        <v>0</v>
      </c>
      <c r="P273" t="n">
        <v>0</v>
      </c>
      <c r="Q273" t="n">
        <v>0</v>
      </c>
      <c r="R273" s="2" t="inlineStr"/>
    </row>
    <row r="274" ht="15" customHeight="1">
      <c r="A274" t="inlineStr">
        <is>
          <t>A 23838-2021</t>
        </is>
      </c>
      <c r="B274" s="1" t="n">
        <v>44335</v>
      </c>
      <c r="C274" s="1" t="n">
        <v>45913</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45376-2022</t>
        </is>
      </c>
      <c r="B275" s="1" t="n">
        <v>44844</v>
      </c>
      <c r="C275" s="1" t="n">
        <v>45913</v>
      </c>
      <c r="D275" t="inlineStr">
        <is>
          <t>SÖDERMANLANDS LÄN</t>
        </is>
      </c>
      <c r="E275" t="inlineStr">
        <is>
          <t>KATRINEHOLM</t>
        </is>
      </c>
      <c r="G275" t="n">
        <v>4.7</v>
      </c>
      <c r="H275" t="n">
        <v>0</v>
      </c>
      <c r="I275" t="n">
        <v>0</v>
      </c>
      <c r="J275" t="n">
        <v>0</v>
      </c>
      <c r="K275" t="n">
        <v>0</v>
      </c>
      <c r="L275" t="n">
        <v>0</v>
      </c>
      <c r="M275" t="n">
        <v>0</v>
      </c>
      <c r="N275" t="n">
        <v>0</v>
      </c>
      <c r="O275" t="n">
        <v>0</v>
      </c>
      <c r="P275" t="n">
        <v>0</v>
      </c>
      <c r="Q275" t="n">
        <v>0</v>
      </c>
      <c r="R275" s="2" t="inlineStr"/>
    </row>
    <row r="276" ht="15" customHeight="1">
      <c r="A276" t="inlineStr">
        <is>
          <t>A 46833-2020</t>
        </is>
      </c>
      <c r="B276" s="1" t="n">
        <v>44089</v>
      </c>
      <c r="C276" s="1" t="n">
        <v>45913</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55122-2022</t>
        </is>
      </c>
      <c r="B277" s="1" t="n">
        <v>44886.65092592593</v>
      </c>
      <c r="C277" s="1" t="n">
        <v>45913</v>
      </c>
      <c r="D277" t="inlineStr">
        <is>
          <t>SÖDERMANLANDS LÄN</t>
        </is>
      </c>
      <c r="E277" t="inlineStr">
        <is>
          <t>KATRINEHOLM</t>
        </is>
      </c>
      <c r="G277" t="n">
        <v>6.5</v>
      </c>
      <c r="H277" t="n">
        <v>0</v>
      </c>
      <c r="I277" t="n">
        <v>0</v>
      </c>
      <c r="J277" t="n">
        <v>0</v>
      </c>
      <c r="K277" t="n">
        <v>0</v>
      </c>
      <c r="L277" t="n">
        <v>0</v>
      </c>
      <c r="M277" t="n">
        <v>0</v>
      </c>
      <c r="N277" t="n">
        <v>0</v>
      </c>
      <c r="O277" t="n">
        <v>0</v>
      </c>
      <c r="P277" t="n">
        <v>0</v>
      </c>
      <c r="Q277" t="n">
        <v>0</v>
      </c>
      <c r="R277" s="2" t="inlineStr"/>
    </row>
    <row r="278" ht="15" customHeight="1">
      <c r="A278" t="inlineStr">
        <is>
          <t>A 17746-2024</t>
        </is>
      </c>
      <c r="B278" s="1" t="n">
        <v>45415</v>
      </c>
      <c r="C278" s="1" t="n">
        <v>45913</v>
      </c>
      <c r="D278" t="inlineStr">
        <is>
          <t>SÖDERMANLANDS LÄN</t>
        </is>
      </c>
      <c r="E278" t="inlineStr">
        <is>
          <t>KATRINEHOLM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32943-2024</t>
        </is>
      </c>
      <c r="B279" s="1" t="n">
        <v>45517</v>
      </c>
      <c r="C279" s="1" t="n">
        <v>45913</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24179-2024</t>
        </is>
      </c>
      <c r="B280" s="1" t="n">
        <v>45456.83059027778</v>
      </c>
      <c r="C280" s="1" t="n">
        <v>45913</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36366-2023</t>
        </is>
      </c>
      <c r="B281" s="1" t="n">
        <v>45152</v>
      </c>
      <c r="C281" s="1" t="n">
        <v>45913</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51264-2021</t>
        </is>
      </c>
      <c r="B282" s="1" t="n">
        <v>44461</v>
      </c>
      <c r="C282" s="1" t="n">
        <v>45913</v>
      </c>
      <c r="D282" t="inlineStr">
        <is>
          <t>SÖDERMANLANDS LÄN</t>
        </is>
      </c>
      <c r="E282" t="inlineStr">
        <is>
          <t>KATRINEHOLM</t>
        </is>
      </c>
      <c r="G282" t="n">
        <v>3.1</v>
      </c>
      <c r="H282" t="n">
        <v>0</v>
      </c>
      <c r="I282" t="n">
        <v>0</v>
      </c>
      <c r="J282" t="n">
        <v>0</v>
      </c>
      <c r="K282" t="n">
        <v>0</v>
      </c>
      <c r="L282" t="n">
        <v>0</v>
      </c>
      <c r="M282" t="n">
        <v>0</v>
      </c>
      <c r="N282" t="n">
        <v>0</v>
      </c>
      <c r="O282" t="n">
        <v>0</v>
      </c>
      <c r="P282" t="n">
        <v>0</v>
      </c>
      <c r="Q282" t="n">
        <v>0</v>
      </c>
      <c r="R282" s="2" t="inlineStr"/>
    </row>
    <row r="283" ht="15" customHeight="1">
      <c r="A283" t="inlineStr">
        <is>
          <t>A 36021-2023</t>
        </is>
      </c>
      <c r="B283" s="1" t="n">
        <v>45148</v>
      </c>
      <c r="C283" s="1" t="n">
        <v>45913</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51128-2021</t>
        </is>
      </c>
      <c r="B284" s="1" t="n">
        <v>44460</v>
      </c>
      <c r="C284" s="1" t="n">
        <v>45913</v>
      </c>
      <c r="D284" t="inlineStr">
        <is>
          <t>SÖDERMANLANDS LÄN</t>
        </is>
      </c>
      <c r="E284" t="inlineStr">
        <is>
          <t>KATRINEHOLM</t>
        </is>
      </c>
      <c r="G284" t="n">
        <v>7.8</v>
      </c>
      <c r="H284" t="n">
        <v>0</v>
      </c>
      <c r="I284" t="n">
        <v>0</v>
      </c>
      <c r="J284" t="n">
        <v>0</v>
      </c>
      <c r="K284" t="n">
        <v>0</v>
      </c>
      <c r="L284" t="n">
        <v>0</v>
      </c>
      <c r="M284" t="n">
        <v>0</v>
      </c>
      <c r="N284" t="n">
        <v>0</v>
      </c>
      <c r="O284" t="n">
        <v>0</v>
      </c>
      <c r="P284" t="n">
        <v>0</v>
      </c>
      <c r="Q284" t="n">
        <v>0</v>
      </c>
      <c r="R284" s="2" t="inlineStr"/>
    </row>
    <row r="285" ht="15" customHeight="1">
      <c r="A285" t="inlineStr">
        <is>
          <t>A 28597-2024</t>
        </is>
      </c>
      <c r="B285" s="1" t="n">
        <v>45478</v>
      </c>
      <c r="C285" s="1" t="n">
        <v>45913</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45913</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3980-2024</t>
        </is>
      </c>
      <c r="B287" s="1" t="n">
        <v>45322</v>
      </c>
      <c r="C287" s="1" t="n">
        <v>45913</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64713-2023</t>
        </is>
      </c>
      <c r="B288" s="1" t="n">
        <v>45281</v>
      </c>
      <c r="C288" s="1" t="n">
        <v>45913</v>
      </c>
      <c r="D288" t="inlineStr">
        <is>
          <t>SÖDERMANLANDS LÄN</t>
        </is>
      </c>
      <c r="E288" t="inlineStr">
        <is>
          <t>KATRINEHOLM</t>
        </is>
      </c>
      <c r="G288" t="n">
        <v>4.9</v>
      </c>
      <c r="H288" t="n">
        <v>0</v>
      </c>
      <c r="I288" t="n">
        <v>0</v>
      </c>
      <c r="J288" t="n">
        <v>0</v>
      </c>
      <c r="K288" t="n">
        <v>0</v>
      </c>
      <c r="L288" t="n">
        <v>0</v>
      </c>
      <c r="M288" t="n">
        <v>0</v>
      </c>
      <c r="N288" t="n">
        <v>0</v>
      </c>
      <c r="O288" t="n">
        <v>0</v>
      </c>
      <c r="P288" t="n">
        <v>0</v>
      </c>
      <c r="Q288" t="n">
        <v>0</v>
      </c>
      <c r="R288" s="2" t="inlineStr"/>
    </row>
    <row r="289" ht="15" customHeight="1">
      <c r="A289" t="inlineStr">
        <is>
          <t>A 60677-2021</t>
        </is>
      </c>
      <c r="B289" s="1" t="n">
        <v>44495</v>
      </c>
      <c r="C289" s="1" t="n">
        <v>45913</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43088-2022</t>
        </is>
      </c>
      <c r="B290" s="1" t="n">
        <v>44833</v>
      </c>
      <c r="C290" s="1" t="n">
        <v>45913</v>
      </c>
      <c r="D290" t="inlineStr">
        <is>
          <t>SÖDERMANLANDS LÄN</t>
        </is>
      </c>
      <c r="E290" t="inlineStr">
        <is>
          <t>KATRINEHOLM</t>
        </is>
      </c>
      <c r="G290" t="n">
        <v>6.6</v>
      </c>
      <c r="H290" t="n">
        <v>0</v>
      </c>
      <c r="I290" t="n">
        <v>0</v>
      </c>
      <c r="J290" t="n">
        <v>0</v>
      </c>
      <c r="K290" t="n">
        <v>0</v>
      </c>
      <c r="L290" t="n">
        <v>0</v>
      </c>
      <c r="M290" t="n">
        <v>0</v>
      </c>
      <c r="N290" t="n">
        <v>0</v>
      </c>
      <c r="O290" t="n">
        <v>0</v>
      </c>
      <c r="P290" t="n">
        <v>0</v>
      </c>
      <c r="Q290" t="n">
        <v>0</v>
      </c>
      <c r="R290" s="2" t="inlineStr"/>
    </row>
    <row r="291" ht="15" customHeight="1">
      <c r="A291" t="inlineStr">
        <is>
          <t>A 22113-2025</t>
        </is>
      </c>
      <c r="B291" s="1" t="n">
        <v>45785</v>
      </c>
      <c r="C291" s="1" t="n">
        <v>45913</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64605-2023</t>
        </is>
      </c>
      <c r="B292" s="1" t="n">
        <v>45281</v>
      </c>
      <c r="C292" s="1" t="n">
        <v>45913</v>
      </c>
      <c r="D292" t="inlineStr">
        <is>
          <t>SÖDERMANLANDS LÄN</t>
        </is>
      </c>
      <c r="E292" t="inlineStr">
        <is>
          <t>KATRINEHOLM</t>
        </is>
      </c>
      <c r="G292" t="n">
        <v>0.5</v>
      </c>
      <c r="H292" t="n">
        <v>0</v>
      </c>
      <c r="I292" t="n">
        <v>0</v>
      </c>
      <c r="J292" t="n">
        <v>0</v>
      </c>
      <c r="K292" t="n">
        <v>0</v>
      </c>
      <c r="L292" t="n">
        <v>0</v>
      </c>
      <c r="M292" t="n">
        <v>0</v>
      </c>
      <c r="N292" t="n">
        <v>0</v>
      </c>
      <c r="O292" t="n">
        <v>0</v>
      </c>
      <c r="P292" t="n">
        <v>0</v>
      </c>
      <c r="Q292" t="n">
        <v>0</v>
      </c>
      <c r="R292" s="2" t="inlineStr"/>
    </row>
    <row r="293" ht="15" customHeight="1">
      <c r="A293" t="inlineStr">
        <is>
          <t>A 29198-2023</t>
        </is>
      </c>
      <c r="B293" s="1" t="n">
        <v>45105</v>
      </c>
      <c r="C293" s="1" t="n">
        <v>45913</v>
      </c>
      <c r="D293" t="inlineStr">
        <is>
          <t>SÖDERMANLANDS LÄN</t>
        </is>
      </c>
      <c r="E293" t="inlineStr">
        <is>
          <t>KATRINEHOLM</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9992-2022</t>
        </is>
      </c>
      <c r="B294" s="1" t="n">
        <v>44621</v>
      </c>
      <c r="C294" s="1" t="n">
        <v>45913</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41267-2023</t>
        </is>
      </c>
      <c r="B295" s="1" t="n">
        <v>45174</v>
      </c>
      <c r="C295" s="1" t="n">
        <v>45913</v>
      </c>
      <c r="D295" t="inlineStr">
        <is>
          <t>SÖDERMANLANDS LÄN</t>
        </is>
      </c>
      <c r="E295" t="inlineStr">
        <is>
          <t>KATRINEHOLM</t>
        </is>
      </c>
      <c r="F295" t="inlineStr">
        <is>
          <t>Holmen skog AB</t>
        </is>
      </c>
      <c r="G295" t="n">
        <v>4.5</v>
      </c>
      <c r="H295" t="n">
        <v>0</v>
      </c>
      <c r="I295" t="n">
        <v>0</v>
      </c>
      <c r="J295" t="n">
        <v>0</v>
      </c>
      <c r="K295" t="n">
        <v>0</v>
      </c>
      <c r="L295" t="n">
        <v>0</v>
      </c>
      <c r="M295" t="n">
        <v>0</v>
      </c>
      <c r="N295" t="n">
        <v>0</v>
      </c>
      <c r="O295" t="n">
        <v>0</v>
      </c>
      <c r="P295" t="n">
        <v>0</v>
      </c>
      <c r="Q295" t="n">
        <v>0</v>
      </c>
      <c r="R295" s="2" t="inlineStr"/>
    </row>
    <row r="296" ht="15" customHeight="1">
      <c r="A296" t="inlineStr">
        <is>
          <t>A 24983-2024</t>
        </is>
      </c>
      <c r="B296" s="1" t="n">
        <v>45461</v>
      </c>
      <c r="C296" s="1" t="n">
        <v>45913</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45913</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22476-2025</t>
        </is>
      </c>
      <c r="B298" s="1" t="n">
        <v>45786</v>
      </c>
      <c r="C298" s="1" t="n">
        <v>45913</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4650-2024</t>
        </is>
      </c>
      <c r="B299" s="1" t="n">
        <v>45328</v>
      </c>
      <c r="C299" s="1" t="n">
        <v>45913</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4652-2024</t>
        </is>
      </c>
      <c r="B300" s="1" t="n">
        <v>45328</v>
      </c>
      <c r="C300" s="1" t="n">
        <v>45913</v>
      </c>
      <c r="D300" t="inlineStr">
        <is>
          <t>SÖDERMANLANDS LÄN</t>
        </is>
      </c>
      <c r="E300" t="inlineStr">
        <is>
          <t>KATRINEHOLM</t>
        </is>
      </c>
      <c r="F300" t="inlineStr">
        <is>
          <t>Övriga Aktiebolag</t>
        </is>
      </c>
      <c r="G300" t="n">
        <v>6.1</v>
      </c>
      <c r="H300" t="n">
        <v>0</v>
      </c>
      <c r="I300" t="n">
        <v>0</v>
      </c>
      <c r="J300" t="n">
        <v>0</v>
      </c>
      <c r="K300" t="n">
        <v>0</v>
      </c>
      <c r="L300" t="n">
        <v>0</v>
      </c>
      <c r="M300" t="n">
        <v>0</v>
      </c>
      <c r="N300" t="n">
        <v>0</v>
      </c>
      <c r="O300" t="n">
        <v>0</v>
      </c>
      <c r="P300" t="n">
        <v>0</v>
      </c>
      <c r="Q300" t="n">
        <v>0</v>
      </c>
      <c r="R300" s="2" t="inlineStr"/>
    </row>
    <row r="301" ht="15" customHeight="1">
      <c r="A301" t="inlineStr">
        <is>
          <t>A 29008-2024</t>
        </is>
      </c>
      <c r="B301" s="1" t="n">
        <v>45481</v>
      </c>
      <c r="C301" s="1" t="n">
        <v>45913</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45913</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9936-2023</t>
        </is>
      </c>
      <c r="B303" s="1" t="n">
        <v>44985.47086805556</v>
      </c>
      <c r="C303" s="1" t="n">
        <v>45913</v>
      </c>
      <c r="D303" t="inlineStr">
        <is>
          <t>SÖDERMANLANDS LÄN</t>
        </is>
      </c>
      <c r="E303" t="inlineStr">
        <is>
          <t>KATRINEHOLM</t>
        </is>
      </c>
      <c r="G303" t="n">
        <v>0.4</v>
      </c>
      <c r="H303" t="n">
        <v>0</v>
      </c>
      <c r="I303" t="n">
        <v>0</v>
      </c>
      <c r="J303" t="n">
        <v>0</v>
      </c>
      <c r="K303" t="n">
        <v>0</v>
      </c>
      <c r="L303" t="n">
        <v>0</v>
      </c>
      <c r="M303" t="n">
        <v>0</v>
      </c>
      <c r="N303" t="n">
        <v>0</v>
      </c>
      <c r="O303" t="n">
        <v>0</v>
      </c>
      <c r="P303" t="n">
        <v>0</v>
      </c>
      <c r="Q303" t="n">
        <v>0</v>
      </c>
      <c r="R303" s="2" t="inlineStr"/>
    </row>
    <row r="304" ht="15" customHeight="1">
      <c r="A304" t="inlineStr">
        <is>
          <t>A 22336-2025</t>
        </is>
      </c>
      <c r="B304" s="1" t="n">
        <v>45786.44217592593</v>
      </c>
      <c r="C304" s="1" t="n">
        <v>45913</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7189-2022</t>
        </is>
      </c>
      <c r="B305" s="1" t="n">
        <v>44605</v>
      </c>
      <c r="C305" s="1" t="n">
        <v>45913</v>
      </c>
      <c r="D305" t="inlineStr">
        <is>
          <t>SÖDERMANLANDS LÄN</t>
        </is>
      </c>
      <c r="E305" t="inlineStr">
        <is>
          <t>KATRINEHOLM</t>
        </is>
      </c>
      <c r="G305" t="n">
        <v>1.8</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45913</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23050-2025</t>
        </is>
      </c>
      <c r="B307" s="1" t="n">
        <v>45790.69971064815</v>
      </c>
      <c r="C307" s="1" t="n">
        <v>45913</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30242-2023</t>
        </is>
      </c>
      <c r="B308" s="1" t="n">
        <v>45099</v>
      </c>
      <c r="C308" s="1" t="n">
        <v>45913</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4645-2024</t>
        </is>
      </c>
      <c r="B309" s="1" t="n">
        <v>45328</v>
      </c>
      <c r="C309" s="1" t="n">
        <v>45913</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36001-2024</t>
        </is>
      </c>
      <c r="B310" s="1" t="n">
        <v>45533.54609953704</v>
      </c>
      <c r="C310" s="1" t="n">
        <v>45913</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69117-2021</t>
        </is>
      </c>
      <c r="B311" s="1" t="n">
        <v>44530.82445601852</v>
      </c>
      <c r="C311" s="1" t="n">
        <v>45913</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38308-2021</t>
        </is>
      </c>
      <c r="B312" s="1" t="n">
        <v>44406</v>
      </c>
      <c r="C312" s="1" t="n">
        <v>45913</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55172-2022</t>
        </is>
      </c>
      <c r="B313" s="1" t="n">
        <v>44886</v>
      </c>
      <c r="C313" s="1" t="n">
        <v>45913</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54698-2021</t>
        </is>
      </c>
      <c r="B314" s="1" t="n">
        <v>44473</v>
      </c>
      <c r="C314" s="1" t="n">
        <v>45913</v>
      </c>
      <c r="D314" t="inlineStr">
        <is>
          <t>SÖDERMANLANDS LÄN</t>
        </is>
      </c>
      <c r="E314" t="inlineStr">
        <is>
          <t>KATRINEHOLM</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36832-2023</t>
        </is>
      </c>
      <c r="B315" s="1" t="n">
        <v>45153</v>
      </c>
      <c r="C315" s="1" t="n">
        <v>45913</v>
      </c>
      <c r="D315" t="inlineStr">
        <is>
          <t>SÖDERMANLANDS LÄN</t>
        </is>
      </c>
      <c r="E315" t="inlineStr">
        <is>
          <t>KATRINEHOLM</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67337-2021</t>
        </is>
      </c>
      <c r="B316" s="1" t="n">
        <v>44523</v>
      </c>
      <c r="C316" s="1" t="n">
        <v>45913</v>
      </c>
      <c r="D316" t="inlineStr">
        <is>
          <t>SÖDERMANLANDS LÄN</t>
        </is>
      </c>
      <c r="E316" t="inlineStr">
        <is>
          <t>KATRINEHOLM</t>
        </is>
      </c>
      <c r="G316" t="n">
        <v>5.2</v>
      </c>
      <c r="H316" t="n">
        <v>0</v>
      </c>
      <c r="I316" t="n">
        <v>0</v>
      </c>
      <c r="J316" t="n">
        <v>0</v>
      </c>
      <c r="K316" t="n">
        <v>0</v>
      </c>
      <c r="L316" t="n">
        <v>0</v>
      </c>
      <c r="M316" t="n">
        <v>0</v>
      </c>
      <c r="N316" t="n">
        <v>0</v>
      </c>
      <c r="O316" t="n">
        <v>0</v>
      </c>
      <c r="P316" t="n">
        <v>0</v>
      </c>
      <c r="Q316" t="n">
        <v>0</v>
      </c>
      <c r="R316" s="2" t="inlineStr"/>
    </row>
    <row r="317" ht="15" customHeight="1">
      <c r="A317" t="inlineStr">
        <is>
          <t>A 28931-2024</t>
        </is>
      </c>
      <c r="B317" s="1" t="n">
        <v>45479</v>
      </c>
      <c r="C317" s="1" t="n">
        <v>45913</v>
      </c>
      <c r="D317" t="inlineStr">
        <is>
          <t>SÖDERMANLANDS LÄN</t>
        </is>
      </c>
      <c r="E317" t="inlineStr">
        <is>
          <t>KATRINEHOLM</t>
        </is>
      </c>
      <c r="G317" t="n">
        <v>7.4</v>
      </c>
      <c r="H317" t="n">
        <v>0</v>
      </c>
      <c r="I317" t="n">
        <v>0</v>
      </c>
      <c r="J317" t="n">
        <v>0</v>
      </c>
      <c r="K317" t="n">
        <v>0</v>
      </c>
      <c r="L317" t="n">
        <v>0</v>
      </c>
      <c r="M317" t="n">
        <v>0</v>
      </c>
      <c r="N317" t="n">
        <v>0</v>
      </c>
      <c r="O317" t="n">
        <v>0</v>
      </c>
      <c r="P317" t="n">
        <v>0</v>
      </c>
      <c r="Q317" t="n">
        <v>0</v>
      </c>
      <c r="R317" s="2" t="inlineStr"/>
    </row>
    <row r="318" ht="15" customHeight="1">
      <c r="A318" t="inlineStr">
        <is>
          <t>A 29394-2024</t>
        </is>
      </c>
      <c r="B318" s="1" t="n">
        <v>45483</v>
      </c>
      <c r="C318" s="1" t="n">
        <v>45913</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50032-2022</t>
        </is>
      </c>
      <c r="B319" s="1" t="n">
        <v>44860</v>
      </c>
      <c r="C319" s="1" t="n">
        <v>45913</v>
      </c>
      <c r="D319" t="inlineStr">
        <is>
          <t>SÖDERMANLANDS LÄN</t>
        </is>
      </c>
      <c r="E319" t="inlineStr">
        <is>
          <t>KATRINEHOLM</t>
        </is>
      </c>
      <c r="G319" t="n">
        <v>7.5</v>
      </c>
      <c r="H319" t="n">
        <v>0</v>
      </c>
      <c r="I319" t="n">
        <v>0</v>
      </c>
      <c r="J319" t="n">
        <v>0</v>
      </c>
      <c r="K319" t="n">
        <v>0</v>
      </c>
      <c r="L319" t="n">
        <v>0</v>
      </c>
      <c r="M319" t="n">
        <v>0</v>
      </c>
      <c r="N319" t="n">
        <v>0</v>
      </c>
      <c r="O319" t="n">
        <v>0</v>
      </c>
      <c r="P319" t="n">
        <v>0</v>
      </c>
      <c r="Q319" t="n">
        <v>0</v>
      </c>
      <c r="R319" s="2" t="inlineStr"/>
    </row>
    <row r="320" ht="15" customHeight="1">
      <c r="A320" t="inlineStr">
        <is>
          <t>A 26713-2024</t>
        </is>
      </c>
      <c r="B320" s="1" t="n">
        <v>45470</v>
      </c>
      <c r="C320" s="1" t="n">
        <v>45913</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43837-2022</t>
        </is>
      </c>
      <c r="B321" s="1" t="n">
        <v>44838</v>
      </c>
      <c r="C321" s="1" t="n">
        <v>45913</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57510-2021</t>
        </is>
      </c>
      <c r="B322" s="1" t="n">
        <v>44483</v>
      </c>
      <c r="C322" s="1" t="n">
        <v>45913</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6810-2023</t>
        </is>
      </c>
      <c r="B323" s="1" t="n">
        <v>44964</v>
      </c>
      <c r="C323" s="1" t="n">
        <v>45913</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32944-2023</t>
        </is>
      </c>
      <c r="B324" s="1" t="n">
        <v>45125</v>
      </c>
      <c r="C324" s="1" t="n">
        <v>45913</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29977-2023</t>
        </is>
      </c>
      <c r="B325" s="1" t="n">
        <v>45108</v>
      </c>
      <c r="C325" s="1" t="n">
        <v>45913</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24902-2024</t>
        </is>
      </c>
      <c r="B326" s="1" t="n">
        <v>45461</v>
      </c>
      <c r="C326" s="1" t="n">
        <v>45913</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45913</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45913</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5788-2022</t>
        </is>
      </c>
      <c r="B329" s="1" t="n">
        <v>44596.54990740741</v>
      </c>
      <c r="C329" s="1" t="n">
        <v>45913</v>
      </c>
      <c r="D329" t="inlineStr">
        <is>
          <t>SÖDERMANLANDS LÄN</t>
        </is>
      </c>
      <c r="E329" t="inlineStr">
        <is>
          <t>KATRINEHOLM</t>
        </is>
      </c>
      <c r="G329" t="n">
        <v>4.1</v>
      </c>
      <c r="H329" t="n">
        <v>0</v>
      </c>
      <c r="I329" t="n">
        <v>0</v>
      </c>
      <c r="J329" t="n">
        <v>0</v>
      </c>
      <c r="K329" t="n">
        <v>0</v>
      </c>
      <c r="L329" t="n">
        <v>0</v>
      </c>
      <c r="M329" t="n">
        <v>0</v>
      </c>
      <c r="N329" t="n">
        <v>0</v>
      </c>
      <c r="O329" t="n">
        <v>0</v>
      </c>
      <c r="P329" t="n">
        <v>0</v>
      </c>
      <c r="Q329" t="n">
        <v>0</v>
      </c>
      <c r="R329" s="2" t="inlineStr"/>
    </row>
    <row r="330" ht="15" customHeight="1">
      <c r="A330" t="inlineStr">
        <is>
          <t>A 20803-2024</t>
        </is>
      </c>
      <c r="B330" s="1" t="n">
        <v>45438</v>
      </c>
      <c r="C330" s="1" t="n">
        <v>45913</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5795-2022</t>
        </is>
      </c>
      <c r="B331" s="1" t="n">
        <v>44596</v>
      </c>
      <c r="C331" s="1" t="n">
        <v>45913</v>
      </c>
      <c r="D331" t="inlineStr">
        <is>
          <t>SÖDERMANLANDS LÄN</t>
        </is>
      </c>
      <c r="E331" t="inlineStr">
        <is>
          <t>KATRINEHOLM</t>
        </is>
      </c>
      <c r="G331" t="n">
        <v>8.1</v>
      </c>
      <c r="H331" t="n">
        <v>0</v>
      </c>
      <c r="I331" t="n">
        <v>0</v>
      </c>
      <c r="J331" t="n">
        <v>0</v>
      </c>
      <c r="K331" t="n">
        <v>0</v>
      </c>
      <c r="L331" t="n">
        <v>0</v>
      </c>
      <c r="M331" t="n">
        <v>0</v>
      </c>
      <c r="N331" t="n">
        <v>0</v>
      </c>
      <c r="O331" t="n">
        <v>0</v>
      </c>
      <c r="P331" t="n">
        <v>0</v>
      </c>
      <c r="Q331" t="n">
        <v>0</v>
      </c>
      <c r="R331" s="2" t="inlineStr"/>
    </row>
    <row r="332" ht="15" customHeight="1">
      <c r="A332" t="inlineStr">
        <is>
          <t>A 59887-2020</t>
        </is>
      </c>
      <c r="B332" s="1" t="n">
        <v>44151</v>
      </c>
      <c r="C332" s="1" t="n">
        <v>45913</v>
      </c>
      <c r="D332" t="inlineStr">
        <is>
          <t>SÖDERMANLANDS LÄN</t>
        </is>
      </c>
      <c r="E332" t="inlineStr">
        <is>
          <t>KATRINEHOLM</t>
        </is>
      </c>
      <c r="G332" t="n">
        <v>3.1</v>
      </c>
      <c r="H332" t="n">
        <v>0</v>
      </c>
      <c r="I332" t="n">
        <v>0</v>
      </c>
      <c r="J332" t="n">
        <v>0</v>
      </c>
      <c r="K332" t="n">
        <v>0</v>
      </c>
      <c r="L332" t="n">
        <v>0</v>
      </c>
      <c r="M332" t="n">
        <v>0</v>
      </c>
      <c r="N332" t="n">
        <v>0</v>
      </c>
      <c r="O332" t="n">
        <v>0</v>
      </c>
      <c r="P332" t="n">
        <v>0</v>
      </c>
      <c r="Q332" t="n">
        <v>0</v>
      </c>
      <c r="R332" s="2" t="inlineStr"/>
    </row>
    <row r="333" ht="15" customHeight="1">
      <c r="A333" t="inlineStr">
        <is>
          <t>A 28675-2024</t>
        </is>
      </c>
      <c r="B333" s="1" t="n">
        <v>45478</v>
      </c>
      <c r="C333" s="1" t="n">
        <v>45913</v>
      </c>
      <c r="D333" t="inlineStr">
        <is>
          <t>SÖDERMANLANDS LÄN</t>
        </is>
      </c>
      <c r="E333" t="inlineStr">
        <is>
          <t>KATRINEHOLM</t>
        </is>
      </c>
      <c r="F333" t="inlineStr">
        <is>
          <t>Övriga Aktiebolag</t>
        </is>
      </c>
      <c r="G333" t="n">
        <v>3.5</v>
      </c>
      <c r="H333" t="n">
        <v>0</v>
      </c>
      <c r="I333" t="n">
        <v>0</v>
      </c>
      <c r="J333" t="n">
        <v>0</v>
      </c>
      <c r="K333" t="n">
        <v>0</v>
      </c>
      <c r="L333" t="n">
        <v>0</v>
      </c>
      <c r="M333" t="n">
        <v>0</v>
      </c>
      <c r="N333" t="n">
        <v>0</v>
      </c>
      <c r="O333" t="n">
        <v>0</v>
      </c>
      <c r="P333" t="n">
        <v>0</v>
      </c>
      <c r="Q333" t="n">
        <v>0</v>
      </c>
      <c r="R333" s="2" t="inlineStr"/>
    </row>
    <row r="334" ht="15" customHeight="1">
      <c r="A334" t="inlineStr">
        <is>
          <t>A 27875-2024</t>
        </is>
      </c>
      <c r="B334" s="1" t="n">
        <v>45475</v>
      </c>
      <c r="C334" s="1" t="n">
        <v>45913</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27376-2024</t>
        </is>
      </c>
      <c r="B335" s="1" t="n">
        <v>45473.88313657408</v>
      </c>
      <c r="C335" s="1" t="n">
        <v>45913</v>
      </c>
      <c r="D335" t="inlineStr">
        <is>
          <t>SÖDERMANLANDS LÄN</t>
        </is>
      </c>
      <c r="E335" t="inlineStr">
        <is>
          <t>KATRINEHOLM</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28995-2024</t>
        </is>
      </c>
      <c r="B336" s="1" t="n">
        <v>45481.49899305555</v>
      </c>
      <c r="C336" s="1" t="n">
        <v>45913</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3075-2022</t>
        </is>
      </c>
      <c r="B337" s="1" t="n">
        <v>44582</v>
      </c>
      <c r="C337" s="1" t="n">
        <v>45913</v>
      </c>
      <c r="D337" t="inlineStr">
        <is>
          <t>SÖDERMANLANDS LÄN</t>
        </is>
      </c>
      <c r="E337" t="inlineStr">
        <is>
          <t>KATRINEHOLM</t>
        </is>
      </c>
      <c r="G337" t="n">
        <v>3.5</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45913</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45913</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28992-2024</t>
        </is>
      </c>
      <c r="B340" s="1" t="n">
        <v>45481.49289351852</v>
      </c>
      <c r="C340" s="1" t="n">
        <v>45913</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73409-2021</t>
        </is>
      </c>
      <c r="B341" s="1" t="n">
        <v>44551</v>
      </c>
      <c r="C341" s="1" t="n">
        <v>45913</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73415-2021</t>
        </is>
      </c>
      <c r="B342" s="1" t="n">
        <v>44551</v>
      </c>
      <c r="C342" s="1" t="n">
        <v>45913</v>
      </c>
      <c r="D342" t="inlineStr">
        <is>
          <t>SÖDERMANLANDS LÄN</t>
        </is>
      </c>
      <c r="E342" t="inlineStr">
        <is>
          <t>KATRINEHOLM</t>
        </is>
      </c>
      <c r="G342" t="n">
        <v>3.2</v>
      </c>
      <c r="H342" t="n">
        <v>0</v>
      </c>
      <c r="I342" t="n">
        <v>0</v>
      </c>
      <c r="J342" t="n">
        <v>0</v>
      </c>
      <c r="K342" t="n">
        <v>0</v>
      </c>
      <c r="L342" t="n">
        <v>0</v>
      </c>
      <c r="M342" t="n">
        <v>0</v>
      </c>
      <c r="N342" t="n">
        <v>0</v>
      </c>
      <c r="O342" t="n">
        <v>0</v>
      </c>
      <c r="P342" t="n">
        <v>0</v>
      </c>
      <c r="Q342" t="n">
        <v>0</v>
      </c>
      <c r="R342" s="2" t="inlineStr"/>
    </row>
    <row r="343" ht="15" customHeight="1">
      <c r="A343" t="inlineStr">
        <is>
          <t>A 57132-2020</t>
        </is>
      </c>
      <c r="B343" s="1" t="n">
        <v>44139</v>
      </c>
      <c r="C343" s="1" t="n">
        <v>45913</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45913</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45913</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2603-2025</t>
        </is>
      </c>
      <c r="B346" s="1" t="n">
        <v>45674</v>
      </c>
      <c r="C346" s="1" t="n">
        <v>45913</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8087-2022</t>
        </is>
      </c>
      <c r="B347" s="1" t="n">
        <v>44609.53502314815</v>
      </c>
      <c r="C347" s="1" t="n">
        <v>45913</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24566-2025</t>
        </is>
      </c>
      <c r="B348" s="1" t="n">
        <v>45798.46452546296</v>
      </c>
      <c r="C348" s="1" t="n">
        <v>45913</v>
      </c>
      <c r="D348" t="inlineStr">
        <is>
          <t>SÖDERMANLANDS LÄN</t>
        </is>
      </c>
      <c r="E348" t="inlineStr">
        <is>
          <t>KATRINEHOLM</t>
        </is>
      </c>
      <c r="G348" t="n">
        <v>6.3</v>
      </c>
      <c r="H348" t="n">
        <v>0</v>
      </c>
      <c r="I348" t="n">
        <v>0</v>
      </c>
      <c r="J348" t="n">
        <v>0</v>
      </c>
      <c r="K348" t="n">
        <v>0</v>
      </c>
      <c r="L348" t="n">
        <v>0</v>
      </c>
      <c r="M348" t="n">
        <v>0</v>
      </c>
      <c r="N348" t="n">
        <v>0</v>
      </c>
      <c r="O348" t="n">
        <v>0</v>
      </c>
      <c r="P348" t="n">
        <v>0</v>
      </c>
      <c r="Q348" t="n">
        <v>0</v>
      </c>
      <c r="R348" s="2" t="inlineStr"/>
    </row>
    <row r="349" ht="15" customHeight="1">
      <c r="A349" t="inlineStr">
        <is>
          <t>A 27886-2024</t>
        </is>
      </c>
      <c r="B349" s="1" t="n">
        <v>45475</v>
      </c>
      <c r="C349" s="1" t="n">
        <v>45913</v>
      </c>
      <c r="D349" t="inlineStr">
        <is>
          <t>SÖDERMANLANDS LÄN</t>
        </is>
      </c>
      <c r="E349" t="inlineStr">
        <is>
          <t>KATRINEHOLM</t>
        </is>
      </c>
      <c r="G349" t="n">
        <v>10.3</v>
      </c>
      <c r="H349" t="n">
        <v>0</v>
      </c>
      <c r="I349" t="n">
        <v>0</v>
      </c>
      <c r="J349" t="n">
        <v>0</v>
      </c>
      <c r="K349" t="n">
        <v>0</v>
      </c>
      <c r="L349" t="n">
        <v>0</v>
      </c>
      <c r="M349" t="n">
        <v>0</v>
      </c>
      <c r="N349" t="n">
        <v>0</v>
      </c>
      <c r="O349" t="n">
        <v>0</v>
      </c>
      <c r="P349" t="n">
        <v>0</v>
      </c>
      <c r="Q349" t="n">
        <v>0</v>
      </c>
      <c r="R349" s="2" t="inlineStr"/>
    </row>
    <row r="350" ht="15" customHeight="1">
      <c r="A350" t="inlineStr">
        <is>
          <t>A 48834-2020</t>
        </is>
      </c>
      <c r="B350" s="1" t="n">
        <v>44099</v>
      </c>
      <c r="C350" s="1" t="n">
        <v>45913</v>
      </c>
      <c r="D350" t="inlineStr">
        <is>
          <t>SÖDERMANLANDS LÄN</t>
        </is>
      </c>
      <c r="E350" t="inlineStr">
        <is>
          <t>KATRINEHOLM</t>
        </is>
      </c>
      <c r="G350" t="n">
        <v>12.9</v>
      </c>
      <c r="H350" t="n">
        <v>0</v>
      </c>
      <c r="I350" t="n">
        <v>0</v>
      </c>
      <c r="J350" t="n">
        <v>0</v>
      </c>
      <c r="K350" t="n">
        <v>0</v>
      </c>
      <c r="L350" t="n">
        <v>0</v>
      </c>
      <c r="M350" t="n">
        <v>0</v>
      </c>
      <c r="N350" t="n">
        <v>0</v>
      </c>
      <c r="O350" t="n">
        <v>0</v>
      </c>
      <c r="P350" t="n">
        <v>0</v>
      </c>
      <c r="Q350" t="n">
        <v>0</v>
      </c>
      <c r="R350" s="2" t="inlineStr"/>
    </row>
    <row r="351" ht="15" customHeight="1">
      <c r="A351" t="inlineStr">
        <is>
          <t>A 50935-2023</t>
        </is>
      </c>
      <c r="B351" s="1" t="n">
        <v>45211</v>
      </c>
      <c r="C351" s="1" t="n">
        <v>45913</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24605-2025</t>
        </is>
      </c>
      <c r="B352" s="1" t="n">
        <v>45798.57403935185</v>
      </c>
      <c r="C352" s="1" t="n">
        <v>45913</v>
      </c>
      <c r="D352" t="inlineStr">
        <is>
          <t>SÖDERMANLANDS LÄN</t>
        </is>
      </c>
      <c r="E352" t="inlineStr">
        <is>
          <t>KATRINEHOLM</t>
        </is>
      </c>
      <c r="G352" t="n">
        <v>7</v>
      </c>
      <c r="H352" t="n">
        <v>0</v>
      </c>
      <c r="I352" t="n">
        <v>0</v>
      </c>
      <c r="J352" t="n">
        <v>0</v>
      </c>
      <c r="K352" t="n">
        <v>0</v>
      </c>
      <c r="L352" t="n">
        <v>0</v>
      </c>
      <c r="M352" t="n">
        <v>0</v>
      </c>
      <c r="N352" t="n">
        <v>0</v>
      </c>
      <c r="O352" t="n">
        <v>0</v>
      </c>
      <c r="P352" t="n">
        <v>0</v>
      </c>
      <c r="Q352" t="n">
        <v>0</v>
      </c>
      <c r="R352" s="2" t="inlineStr"/>
    </row>
    <row r="353" ht="15" customHeight="1">
      <c r="A353" t="inlineStr">
        <is>
          <t>A 6298-2024</t>
        </is>
      </c>
      <c r="B353" s="1" t="n">
        <v>45338.34245370371</v>
      </c>
      <c r="C353" s="1" t="n">
        <v>45913</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33001-2024</t>
        </is>
      </c>
      <c r="B354" s="1" t="n">
        <v>45517</v>
      </c>
      <c r="C354" s="1" t="n">
        <v>45913</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56086-2023</t>
        </is>
      </c>
      <c r="B355" s="1" t="n">
        <v>45240</v>
      </c>
      <c r="C355" s="1" t="n">
        <v>45913</v>
      </c>
      <c r="D355" t="inlineStr">
        <is>
          <t>SÖDERMANLANDS LÄN</t>
        </is>
      </c>
      <c r="E355" t="inlineStr">
        <is>
          <t>KATRINEHOLM</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25363-2023</t>
        </is>
      </c>
      <c r="B356" s="1" t="n">
        <v>45088.83840277778</v>
      </c>
      <c r="C356" s="1" t="n">
        <v>45913</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6722-2022</t>
        </is>
      </c>
      <c r="B357" s="1" t="n">
        <v>44602</v>
      </c>
      <c r="C357" s="1" t="n">
        <v>45913</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6763-2022</t>
        </is>
      </c>
      <c r="B358" s="1" t="n">
        <v>44602</v>
      </c>
      <c r="C358" s="1" t="n">
        <v>45913</v>
      </c>
      <c r="D358" t="inlineStr">
        <is>
          <t>SÖDERMANLANDS LÄN</t>
        </is>
      </c>
      <c r="E358" t="inlineStr">
        <is>
          <t>KATRINEHOLM</t>
        </is>
      </c>
      <c r="G358" t="n">
        <v>6.7</v>
      </c>
      <c r="H358" t="n">
        <v>0</v>
      </c>
      <c r="I358" t="n">
        <v>0</v>
      </c>
      <c r="J358" t="n">
        <v>0</v>
      </c>
      <c r="K358" t="n">
        <v>0</v>
      </c>
      <c r="L358" t="n">
        <v>0</v>
      </c>
      <c r="M358" t="n">
        <v>0</v>
      </c>
      <c r="N358" t="n">
        <v>0</v>
      </c>
      <c r="O358" t="n">
        <v>0</v>
      </c>
      <c r="P358" t="n">
        <v>0</v>
      </c>
      <c r="Q358" t="n">
        <v>0</v>
      </c>
      <c r="R358" s="2" t="inlineStr"/>
    </row>
    <row r="359" ht="15" customHeight="1">
      <c r="A359" t="inlineStr">
        <is>
          <t>A 5790-2022</t>
        </is>
      </c>
      <c r="B359" s="1" t="n">
        <v>44596.55368055555</v>
      </c>
      <c r="C359" s="1" t="n">
        <v>45913</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12658-2022</t>
        </is>
      </c>
      <c r="B360" s="1" t="n">
        <v>44641</v>
      </c>
      <c r="C360" s="1" t="n">
        <v>45913</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14313-2024</t>
        </is>
      </c>
      <c r="B361" s="1" t="n">
        <v>45393</v>
      </c>
      <c r="C361" s="1" t="n">
        <v>45913</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29397-2024</t>
        </is>
      </c>
      <c r="B362" s="1" t="n">
        <v>45483</v>
      </c>
      <c r="C362" s="1" t="n">
        <v>45913</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46412-2022</t>
        </is>
      </c>
      <c r="B363" s="1" t="n">
        <v>44848.42216435185</v>
      </c>
      <c r="C363" s="1" t="n">
        <v>45913</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58175-2024</t>
        </is>
      </c>
      <c r="B364" s="1" t="n">
        <v>45632.46648148148</v>
      </c>
      <c r="C364" s="1" t="n">
        <v>45913</v>
      </c>
      <c r="D364" t="inlineStr">
        <is>
          <t>SÖDERMANLANDS LÄN</t>
        </is>
      </c>
      <c r="E364" t="inlineStr">
        <is>
          <t>KATRINEHOLM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53715-2023</t>
        </is>
      </c>
      <c r="B365" s="1" t="n">
        <v>45230</v>
      </c>
      <c r="C365" s="1" t="n">
        <v>45913</v>
      </c>
      <c r="D365" t="inlineStr">
        <is>
          <t>SÖDERMANLANDS LÄN</t>
        </is>
      </c>
      <c r="E365" t="inlineStr">
        <is>
          <t>KATRINEHOLM</t>
        </is>
      </c>
      <c r="F365" t="inlineStr">
        <is>
          <t>Allmännings- och besparingsskogar</t>
        </is>
      </c>
      <c r="G365" t="n">
        <v>5.6</v>
      </c>
      <c r="H365" t="n">
        <v>0</v>
      </c>
      <c r="I365" t="n">
        <v>0</v>
      </c>
      <c r="J365" t="n">
        <v>0</v>
      </c>
      <c r="K365" t="n">
        <v>0</v>
      </c>
      <c r="L365" t="n">
        <v>0</v>
      </c>
      <c r="M365" t="n">
        <v>0</v>
      </c>
      <c r="N365" t="n">
        <v>0</v>
      </c>
      <c r="O365" t="n">
        <v>0</v>
      </c>
      <c r="P365" t="n">
        <v>0</v>
      </c>
      <c r="Q365" t="n">
        <v>0</v>
      </c>
      <c r="R365" s="2" t="inlineStr"/>
    </row>
    <row r="366" ht="15" customHeight="1">
      <c r="A366" t="inlineStr">
        <is>
          <t>A 61423-2024</t>
        </is>
      </c>
      <c r="B366" s="1" t="n">
        <v>45646.45209490741</v>
      </c>
      <c r="C366" s="1" t="n">
        <v>45913</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51218-2020</t>
        </is>
      </c>
      <c r="B367" s="1" t="n">
        <v>44112</v>
      </c>
      <c r="C367" s="1" t="n">
        <v>45913</v>
      </c>
      <c r="D367" t="inlineStr">
        <is>
          <t>SÖDERMANLANDS LÄN</t>
        </is>
      </c>
      <c r="E367" t="inlineStr">
        <is>
          <t>KATRINEHOLM</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41727-2024</t>
        </is>
      </c>
      <c r="B368" s="1" t="n">
        <v>45560</v>
      </c>
      <c r="C368" s="1" t="n">
        <v>45913</v>
      </c>
      <c r="D368" t="inlineStr">
        <is>
          <t>SÖDERMANLANDS LÄN</t>
        </is>
      </c>
      <c r="E368" t="inlineStr">
        <is>
          <t>KATRINEHOLM</t>
        </is>
      </c>
      <c r="G368" t="n">
        <v>3.9</v>
      </c>
      <c r="H368" t="n">
        <v>0</v>
      </c>
      <c r="I368" t="n">
        <v>0</v>
      </c>
      <c r="J368" t="n">
        <v>0</v>
      </c>
      <c r="K368" t="n">
        <v>0</v>
      </c>
      <c r="L368" t="n">
        <v>0</v>
      </c>
      <c r="M368" t="n">
        <v>0</v>
      </c>
      <c r="N368" t="n">
        <v>0</v>
      </c>
      <c r="O368" t="n">
        <v>0</v>
      </c>
      <c r="P368" t="n">
        <v>0</v>
      </c>
      <c r="Q368" t="n">
        <v>0</v>
      </c>
      <c r="R368" s="2" t="inlineStr"/>
    </row>
    <row r="369" ht="15" customHeight="1">
      <c r="A369" t="inlineStr">
        <is>
          <t>A 46830-2020</t>
        </is>
      </c>
      <c r="B369" s="1" t="n">
        <v>44089</v>
      </c>
      <c r="C369" s="1" t="n">
        <v>45913</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33278-2024</t>
        </is>
      </c>
      <c r="B370" s="1" t="n">
        <v>45518</v>
      </c>
      <c r="C370" s="1" t="n">
        <v>45913</v>
      </c>
      <c r="D370" t="inlineStr">
        <is>
          <t>SÖDERMANLANDS LÄN</t>
        </is>
      </c>
      <c r="E370" t="inlineStr">
        <is>
          <t>KATRINEHOLM</t>
        </is>
      </c>
      <c r="G370" t="n">
        <v>2.1</v>
      </c>
      <c r="H370" t="n">
        <v>0</v>
      </c>
      <c r="I370" t="n">
        <v>0</v>
      </c>
      <c r="J370" t="n">
        <v>0</v>
      </c>
      <c r="K370" t="n">
        <v>0</v>
      </c>
      <c r="L370" t="n">
        <v>0</v>
      </c>
      <c r="M370" t="n">
        <v>0</v>
      </c>
      <c r="N370" t="n">
        <v>0</v>
      </c>
      <c r="O370" t="n">
        <v>0</v>
      </c>
      <c r="P370" t="n">
        <v>0</v>
      </c>
      <c r="Q370" t="n">
        <v>0</v>
      </c>
      <c r="R370" s="2" t="inlineStr"/>
    </row>
    <row r="371" ht="15" customHeight="1">
      <c r="A371" t="inlineStr">
        <is>
          <t>A 57462-2020</t>
        </is>
      </c>
      <c r="B371" s="1" t="n">
        <v>44140</v>
      </c>
      <c r="C371" s="1" t="n">
        <v>45913</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23705-2023</t>
        </is>
      </c>
      <c r="B372" s="1" t="n">
        <v>45077</v>
      </c>
      <c r="C372" s="1" t="n">
        <v>45913</v>
      </c>
      <c r="D372" t="inlineStr">
        <is>
          <t>SÖDERMANLANDS LÄN</t>
        </is>
      </c>
      <c r="E372" t="inlineStr">
        <is>
          <t>KATRINEHOLM</t>
        </is>
      </c>
      <c r="F372" t="inlineStr">
        <is>
          <t>Kyrkan</t>
        </is>
      </c>
      <c r="G372" t="n">
        <v>11.9</v>
      </c>
      <c r="H372" t="n">
        <v>0</v>
      </c>
      <c r="I372" t="n">
        <v>0</v>
      </c>
      <c r="J372" t="n">
        <v>0</v>
      </c>
      <c r="K372" t="n">
        <v>0</v>
      </c>
      <c r="L372" t="n">
        <v>0</v>
      </c>
      <c r="M372" t="n">
        <v>0</v>
      </c>
      <c r="N372" t="n">
        <v>0</v>
      </c>
      <c r="O372" t="n">
        <v>0</v>
      </c>
      <c r="P372" t="n">
        <v>0</v>
      </c>
      <c r="Q372" t="n">
        <v>0</v>
      </c>
      <c r="R372" s="2" t="inlineStr"/>
    </row>
    <row r="373" ht="15" customHeight="1">
      <c r="A373" t="inlineStr">
        <is>
          <t>A 24717-2025</t>
        </is>
      </c>
      <c r="B373" s="1" t="n">
        <v>45799.27168981481</v>
      </c>
      <c r="C373" s="1" t="n">
        <v>45913</v>
      </c>
      <c r="D373" t="inlineStr">
        <is>
          <t>SÖDERMANLANDS LÄN</t>
        </is>
      </c>
      <c r="E373" t="inlineStr">
        <is>
          <t>KATRINEHOLM</t>
        </is>
      </c>
      <c r="G373" t="n">
        <v>24.5</v>
      </c>
      <c r="H373" t="n">
        <v>0</v>
      </c>
      <c r="I373" t="n">
        <v>0</v>
      </c>
      <c r="J373" t="n">
        <v>0</v>
      </c>
      <c r="K373" t="n">
        <v>0</v>
      </c>
      <c r="L373" t="n">
        <v>0</v>
      </c>
      <c r="M373" t="n">
        <v>0</v>
      </c>
      <c r="N373" t="n">
        <v>0</v>
      </c>
      <c r="O373" t="n">
        <v>0</v>
      </c>
      <c r="P373" t="n">
        <v>0</v>
      </c>
      <c r="Q373" t="n">
        <v>0</v>
      </c>
      <c r="R373" s="2" t="inlineStr"/>
    </row>
    <row r="374" ht="15" customHeight="1">
      <c r="A374" t="inlineStr">
        <is>
          <t>A 53999-2023</t>
        </is>
      </c>
      <c r="B374" s="1" t="n">
        <v>45231</v>
      </c>
      <c r="C374" s="1" t="n">
        <v>45913</v>
      </c>
      <c r="D374" t="inlineStr">
        <is>
          <t>SÖDERMANLANDS LÄN</t>
        </is>
      </c>
      <c r="E374" t="inlineStr">
        <is>
          <t>KATRINEHOLM</t>
        </is>
      </c>
      <c r="G374" t="n">
        <v>5.4</v>
      </c>
      <c r="H374" t="n">
        <v>0</v>
      </c>
      <c r="I374" t="n">
        <v>0</v>
      </c>
      <c r="J374" t="n">
        <v>0</v>
      </c>
      <c r="K374" t="n">
        <v>0</v>
      </c>
      <c r="L374" t="n">
        <v>0</v>
      </c>
      <c r="M374" t="n">
        <v>0</v>
      </c>
      <c r="N374" t="n">
        <v>0</v>
      </c>
      <c r="O374" t="n">
        <v>0</v>
      </c>
      <c r="P374" t="n">
        <v>0</v>
      </c>
      <c r="Q374" t="n">
        <v>0</v>
      </c>
      <c r="R374" s="2" t="inlineStr"/>
    </row>
    <row r="375" ht="15" customHeight="1">
      <c r="A375" t="inlineStr">
        <is>
          <t>A 24719-2025</t>
        </is>
      </c>
      <c r="B375" s="1" t="n">
        <v>45799</v>
      </c>
      <c r="C375" s="1" t="n">
        <v>45913</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9714-2024</t>
        </is>
      </c>
      <c r="B376" s="1" t="n">
        <v>45362</v>
      </c>
      <c r="C376" s="1" t="n">
        <v>45913</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59749-2020</t>
        </is>
      </c>
      <c r="B377" s="1" t="n">
        <v>44151</v>
      </c>
      <c r="C377" s="1" t="n">
        <v>45913</v>
      </c>
      <c r="D377" t="inlineStr">
        <is>
          <t>SÖDERMANLANDS LÄN</t>
        </is>
      </c>
      <c r="E377" t="inlineStr">
        <is>
          <t>KATRINEHOLM</t>
        </is>
      </c>
      <c r="G377" t="n">
        <v>2.1</v>
      </c>
      <c r="H377" t="n">
        <v>0</v>
      </c>
      <c r="I377" t="n">
        <v>0</v>
      </c>
      <c r="J377" t="n">
        <v>0</v>
      </c>
      <c r="K377" t="n">
        <v>0</v>
      </c>
      <c r="L377" t="n">
        <v>0</v>
      </c>
      <c r="M377" t="n">
        <v>0</v>
      </c>
      <c r="N377" t="n">
        <v>0</v>
      </c>
      <c r="O377" t="n">
        <v>0</v>
      </c>
      <c r="P377" t="n">
        <v>0</v>
      </c>
      <c r="Q377" t="n">
        <v>0</v>
      </c>
      <c r="R377" s="2" t="inlineStr"/>
    </row>
    <row r="378" ht="15" customHeight="1">
      <c r="A378" t="inlineStr">
        <is>
          <t>A 24619-2024</t>
        </is>
      </c>
      <c r="B378" s="1" t="n">
        <v>45460</v>
      </c>
      <c r="C378" s="1" t="n">
        <v>45913</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9699-2024</t>
        </is>
      </c>
      <c r="B379" s="1" t="n">
        <v>45362</v>
      </c>
      <c r="C379" s="1" t="n">
        <v>45913</v>
      </c>
      <c r="D379" t="inlineStr">
        <is>
          <t>SÖDERMANLANDS LÄN</t>
        </is>
      </c>
      <c r="E379" t="inlineStr">
        <is>
          <t>KATRINEHOLM</t>
        </is>
      </c>
      <c r="G379" t="n">
        <v>7.7</v>
      </c>
      <c r="H379" t="n">
        <v>0</v>
      </c>
      <c r="I379" t="n">
        <v>0</v>
      </c>
      <c r="J379" t="n">
        <v>0</v>
      </c>
      <c r="K379" t="n">
        <v>0</v>
      </c>
      <c r="L379" t="n">
        <v>0</v>
      </c>
      <c r="M379" t="n">
        <v>0</v>
      </c>
      <c r="N379" t="n">
        <v>0</v>
      </c>
      <c r="O379" t="n">
        <v>0</v>
      </c>
      <c r="P379" t="n">
        <v>0</v>
      </c>
      <c r="Q379" t="n">
        <v>0</v>
      </c>
      <c r="R379" s="2" t="inlineStr"/>
    </row>
    <row r="380" ht="15" customHeight="1">
      <c r="A380" t="inlineStr">
        <is>
          <t>A 39120-2023</t>
        </is>
      </c>
      <c r="B380" s="1" t="n">
        <v>45165</v>
      </c>
      <c r="C380" s="1" t="n">
        <v>45913</v>
      </c>
      <c r="D380" t="inlineStr">
        <is>
          <t>SÖDERMANLANDS LÄN</t>
        </is>
      </c>
      <c r="E380" t="inlineStr">
        <is>
          <t>KATRINEHOLM</t>
        </is>
      </c>
      <c r="G380" t="n">
        <v>4.4</v>
      </c>
      <c r="H380" t="n">
        <v>0</v>
      </c>
      <c r="I380" t="n">
        <v>0</v>
      </c>
      <c r="J380" t="n">
        <v>0</v>
      </c>
      <c r="K380" t="n">
        <v>0</v>
      </c>
      <c r="L380" t="n">
        <v>0</v>
      </c>
      <c r="M380" t="n">
        <v>0</v>
      </c>
      <c r="N380" t="n">
        <v>0</v>
      </c>
      <c r="O380" t="n">
        <v>0</v>
      </c>
      <c r="P380" t="n">
        <v>0</v>
      </c>
      <c r="Q380" t="n">
        <v>0</v>
      </c>
      <c r="R380" s="2" t="inlineStr"/>
    </row>
    <row r="381" ht="15" customHeight="1">
      <c r="A381" t="inlineStr">
        <is>
          <t>A 25786-2025</t>
        </is>
      </c>
      <c r="B381" s="1" t="n">
        <v>45804.37456018518</v>
      </c>
      <c r="C381" s="1" t="n">
        <v>45913</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7305-2024</t>
        </is>
      </c>
      <c r="B382" s="1" t="n">
        <v>45344</v>
      </c>
      <c r="C382" s="1" t="n">
        <v>45913</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59474-2021</t>
        </is>
      </c>
      <c r="B383" s="1" t="n">
        <v>44491</v>
      </c>
      <c r="C383" s="1" t="n">
        <v>45913</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26154-2025</t>
        </is>
      </c>
      <c r="B384" s="1" t="n">
        <v>45805.43341435185</v>
      </c>
      <c r="C384" s="1" t="n">
        <v>45913</v>
      </c>
      <c r="D384" t="inlineStr">
        <is>
          <t>SÖDERMANLANDS LÄN</t>
        </is>
      </c>
      <c r="E384" t="inlineStr">
        <is>
          <t>KATRINEHOLM</t>
        </is>
      </c>
      <c r="G384" t="n">
        <v>4.5</v>
      </c>
      <c r="H384" t="n">
        <v>0</v>
      </c>
      <c r="I384" t="n">
        <v>0</v>
      </c>
      <c r="J384" t="n">
        <v>0</v>
      </c>
      <c r="K384" t="n">
        <v>0</v>
      </c>
      <c r="L384" t="n">
        <v>0</v>
      </c>
      <c r="M384" t="n">
        <v>0</v>
      </c>
      <c r="N384" t="n">
        <v>0</v>
      </c>
      <c r="O384" t="n">
        <v>0</v>
      </c>
      <c r="P384" t="n">
        <v>0</v>
      </c>
      <c r="Q384" t="n">
        <v>0</v>
      </c>
      <c r="R384" s="2" t="inlineStr"/>
    </row>
    <row r="385" ht="15" customHeight="1">
      <c r="A385" t="inlineStr">
        <is>
          <t>A 14239-2024</t>
        </is>
      </c>
      <c r="B385" s="1" t="n">
        <v>45393</v>
      </c>
      <c r="C385" s="1" t="n">
        <v>45913</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14248-2024</t>
        </is>
      </c>
      <c r="B386" s="1" t="n">
        <v>45393</v>
      </c>
      <c r="C386" s="1" t="n">
        <v>45913</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11635-2023</t>
        </is>
      </c>
      <c r="B387" s="1" t="n">
        <v>44994</v>
      </c>
      <c r="C387" s="1" t="n">
        <v>45913</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65485-2020</t>
        </is>
      </c>
      <c r="B388" s="1" t="n">
        <v>44173</v>
      </c>
      <c r="C388" s="1" t="n">
        <v>45913</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45913</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10932-2023</t>
        </is>
      </c>
      <c r="B390" s="1" t="n">
        <v>44985</v>
      </c>
      <c r="C390" s="1" t="n">
        <v>45913</v>
      </c>
      <c r="D390" t="inlineStr">
        <is>
          <t>SÖDERMANLANDS LÄN</t>
        </is>
      </c>
      <c r="E390" t="inlineStr">
        <is>
          <t>KATRINEHOLM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55038-2020</t>
        </is>
      </c>
      <c r="B391" s="1" t="n">
        <v>44130</v>
      </c>
      <c r="C391" s="1" t="n">
        <v>45913</v>
      </c>
      <c r="D391" t="inlineStr">
        <is>
          <t>SÖDERMANLANDS LÄN</t>
        </is>
      </c>
      <c r="E391" t="inlineStr">
        <is>
          <t>KATRINEHOLM</t>
        </is>
      </c>
      <c r="G391" t="n">
        <v>3.2</v>
      </c>
      <c r="H391" t="n">
        <v>0</v>
      </c>
      <c r="I391" t="n">
        <v>0</v>
      </c>
      <c r="J391" t="n">
        <v>0</v>
      </c>
      <c r="K391" t="n">
        <v>0</v>
      </c>
      <c r="L391" t="n">
        <v>0</v>
      </c>
      <c r="M391" t="n">
        <v>0</v>
      </c>
      <c r="N391" t="n">
        <v>0</v>
      </c>
      <c r="O391" t="n">
        <v>0</v>
      </c>
      <c r="P391" t="n">
        <v>0</v>
      </c>
      <c r="Q391" t="n">
        <v>0</v>
      </c>
      <c r="R391" s="2" t="inlineStr"/>
    </row>
    <row r="392" ht="15" customHeight="1">
      <c r="A392" t="inlineStr">
        <is>
          <t>A 55074-2020</t>
        </is>
      </c>
      <c r="B392" s="1" t="n">
        <v>44130</v>
      </c>
      <c r="C392" s="1" t="n">
        <v>45913</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51397-2023</t>
        </is>
      </c>
      <c r="B393" s="1" t="n">
        <v>45214</v>
      </c>
      <c r="C393" s="1" t="n">
        <v>45913</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19452-2023</t>
        </is>
      </c>
      <c r="B394" s="1" t="n">
        <v>45050</v>
      </c>
      <c r="C394" s="1" t="n">
        <v>45913</v>
      </c>
      <c r="D394" t="inlineStr">
        <is>
          <t>SÖDERMANLANDS LÄN</t>
        </is>
      </c>
      <c r="E394" t="inlineStr">
        <is>
          <t>KATRINEHOLM</t>
        </is>
      </c>
      <c r="F394" t="inlineStr">
        <is>
          <t>Holmen skog AB</t>
        </is>
      </c>
      <c r="G394" t="n">
        <v>4.7</v>
      </c>
      <c r="H394" t="n">
        <v>0</v>
      </c>
      <c r="I394" t="n">
        <v>0</v>
      </c>
      <c r="J394" t="n">
        <v>0</v>
      </c>
      <c r="K394" t="n">
        <v>0</v>
      </c>
      <c r="L394" t="n">
        <v>0</v>
      </c>
      <c r="M394" t="n">
        <v>0</v>
      </c>
      <c r="N394" t="n">
        <v>0</v>
      </c>
      <c r="O394" t="n">
        <v>0</v>
      </c>
      <c r="P394" t="n">
        <v>0</v>
      </c>
      <c r="Q394" t="n">
        <v>0</v>
      </c>
      <c r="R394" s="2" t="inlineStr"/>
    </row>
    <row r="395" ht="15" customHeight="1">
      <c r="A395" t="inlineStr">
        <is>
          <t>A 6087-2022</t>
        </is>
      </c>
      <c r="B395" s="1" t="n">
        <v>44599.61034722222</v>
      </c>
      <c r="C395" s="1" t="n">
        <v>45913</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8957-2024</t>
        </is>
      </c>
      <c r="B396" s="1" t="n">
        <v>45357.45089120371</v>
      </c>
      <c r="C396" s="1" t="n">
        <v>45913</v>
      </c>
      <c r="D396" t="inlineStr">
        <is>
          <t>SÖDERMANLANDS LÄN</t>
        </is>
      </c>
      <c r="E396" t="inlineStr">
        <is>
          <t>KATRINEHOLM</t>
        </is>
      </c>
      <c r="G396" t="n">
        <v>3.6</v>
      </c>
      <c r="H396" t="n">
        <v>0</v>
      </c>
      <c r="I396" t="n">
        <v>0</v>
      </c>
      <c r="J396" t="n">
        <v>0</v>
      </c>
      <c r="K396" t="n">
        <v>0</v>
      </c>
      <c r="L396" t="n">
        <v>0</v>
      </c>
      <c r="M396" t="n">
        <v>0</v>
      </c>
      <c r="N396" t="n">
        <v>0</v>
      </c>
      <c r="O396" t="n">
        <v>0</v>
      </c>
      <c r="P396" t="n">
        <v>0</v>
      </c>
      <c r="Q396" t="n">
        <v>0</v>
      </c>
      <c r="R396" s="2" t="inlineStr"/>
    </row>
    <row r="397" ht="15" customHeight="1">
      <c r="A397" t="inlineStr">
        <is>
          <t>A 52658-2023</t>
        </is>
      </c>
      <c r="B397" s="1" t="n">
        <v>45225</v>
      </c>
      <c r="C397" s="1" t="n">
        <v>45913</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42896-2024</t>
        </is>
      </c>
      <c r="B398" s="1" t="n">
        <v>45566.82973379629</v>
      </c>
      <c r="C398" s="1" t="n">
        <v>45913</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7747-2024</t>
        </is>
      </c>
      <c r="B399" s="1" t="n">
        <v>45348</v>
      </c>
      <c r="C399" s="1" t="n">
        <v>45913</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7753-2024</t>
        </is>
      </c>
      <c r="B400" s="1" t="n">
        <v>45348</v>
      </c>
      <c r="C400" s="1" t="n">
        <v>45913</v>
      </c>
      <c r="D400" t="inlineStr">
        <is>
          <t>SÖDERMANLANDS LÄN</t>
        </is>
      </c>
      <c r="E400" t="inlineStr">
        <is>
          <t>KATRINEHOLM</t>
        </is>
      </c>
      <c r="G400" t="n">
        <v>13.4</v>
      </c>
      <c r="H400" t="n">
        <v>0</v>
      </c>
      <c r="I400" t="n">
        <v>0</v>
      </c>
      <c r="J400" t="n">
        <v>0</v>
      </c>
      <c r="K400" t="n">
        <v>0</v>
      </c>
      <c r="L400" t="n">
        <v>0</v>
      </c>
      <c r="M400" t="n">
        <v>0</v>
      </c>
      <c r="N400" t="n">
        <v>0</v>
      </c>
      <c r="O400" t="n">
        <v>0</v>
      </c>
      <c r="P400" t="n">
        <v>0</v>
      </c>
      <c r="Q400" t="n">
        <v>0</v>
      </c>
      <c r="R400" s="2" t="inlineStr"/>
    </row>
    <row r="401" ht="15" customHeight="1">
      <c r="A401" t="inlineStr">
        <is>
          <t>A 5935-2023</t>
        </is>
      </c>
      <c r="B401" s="1" t="n">
        <v>44963</v>
      </c>
      <c r="C401" s="1" t="n">
        <v>45913</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5320-2025</t>
        </is>
      </c>
      <c r="B402" s="1" t="n">
        <v>45692</v>
      </c>
      <c r="C402" s="1" t="n">
        <v>45913</v>
      </c>
      <c r="D402" t="inlineStr">
        <is>
          <t>SÖDERMANLANDS LÄN</t>
        </is>
      </c>
      <c r="E402" t="inlineStr">
        <is>
          <t>KATRINEHOLM</t>
        </is>
      </c>
      <c r="F402" t="inlineStr">
        <is>
          <t>Kommuner</t>
        </is>
      </c>
      <c r="G402" t="n">
        <v>0.9</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45913</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2606-2025</t>
        </is>
      </c>
      <c r="B404" s="1" t="n">
        <v>45674</v>
      </c>
      <c r="C404" s="1" t="n">
        <v>45913</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39748-2022</t>
        </is>
      </c>
      <c r="B405" s="1" t="n">
        <v>44817</v>
      </c>
      <c r="C405" s="1" t="n">
        <v>45913</v>
      </c>
      <c r="D405" t="inlineStr">
        <is>
          <t>SÖDERMANLANDS LÄN</t>
        </is>
      </c>
      <c r="E405" t="inlineStr">
        <is>
          <t>KATRINEHOLM</t>
        </is>
      </c>
      <c r="G405" t="n">
        <v>10.2</v>
      </c>
      <c r="H405" t="n">
        <v>0</v>
      </c>
      <c r="I405" t="n">
        <v>0</v>
      </c>
      <c r="J405" t="n">
        <v>0</v>
      </c>
      <c r="K405" t="n">
        <v>0</v>
      </c>
      <c r="L405" t="n">
        <v>0</v>
      </c>
      <c r="M405" t="n">
        <v>0</v>
      </c>
      <c r="N405" t="n">
        <v>0</v>
      </c>
      <c r="O405" t="n">
        <v>0</v>
      </c>
      <c r="P405" t="n">
        <v>0</v>
      </c>
      <c r="Q405" t="n">
        <v>0</v>
      </c>
      <c r="R405" s="2" t="inlineStr"/>
    </row>
    <row r="406" ht="15" customHeight="1">
      <c r="A406" t="inlineStr">
        <is>
          <t>A 34731-2023</t>
        </is>
      </c>
      <c r="B406" s="1" t="n">
        <v>45141</v>
      </c>
      <c r="C406" s="1" t="n">
        <v>45913</v>
      </c>
      <c r="D406" t="inlineStr">
        <is>
          <t>SÖDERMANLANDS LÄN</t>
        </is>
      </c>
      <c r="E406" t="inlineStr">
        <is>
          <t>KATRINEHOLM</t>
        </is>
      </c>
      <c r="G406" t="n">
        <v>1.5</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45913</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58958-2020</t>
        </is>
      </c>
      <c r="B408" s="1" t="n">
        <v>44146</v>
      </c>
      <c r="C408" s="1" t="n">
        <v>45913</v>
      </c>
      <c r="D408" t="inlineStr">
        <is>
          <t>SÖDERMANLANDS LÄN</t>
        </is>
      </c>
      <c r="E408" t="inlineStr">
        <is>
          <t>KATRINEHOLM</t>
        </is>
      </c>
      <c r="F408" t="inlineStr">
        <is>
          <t>Holmen skog AB</t>
        </is>
      </c>
      <c r="G408" t="n">
        <v>0.2</v>
      </c>
      <c r="H408" t="n">
        <v>0</v>
      </c>
      <c r="I408" t="n">
        <v>0</v>
      </c>
      <c r="J408" t="n">
        <v>0</v>
      </c>
      <c r="K408" t="n">
        <v>0</v>
      </c>
      <c r="L408" t="n">
        <v>0</v>
      </c>
      <c r="M408" t="n">
        <v>0</v>
      </c>
      <c r="N408" t="n">
        <v>0</v>
      </c>
      <c r="O408" t="n">
        <v>0</v>
      </c>
      <c r="P408" t="n">
        <v>0</v>
      </c>
      <c r="Q408" t="n">
        <v>0</v>
      </c>
      <c r="R408" s="2" t="inlineStr"/>
    </row>
    <row r="409" ht="15" customHeight="1">
      <c r="A409" t="inlineStr">
        <is>
          <t>A 20480-2022</t>
        </is>
      </c>
      <c r="B409" s="1" t="n">
        <v>44699</v>
      </c>
      <c r="C409" s="1" t="n">
        <v>45913</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50017-2023</t>
        </is>
      </c>
      <c r="B410" s="1" t="n">
        <v>45215</v>
      </c>
      <c r="C410" s="1" t="n">
        <v>45913</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50018-2023</t>
        </is>
      </c>
      <c r="B411" s="1" t="n">
        <v>45215</v>
      </c>
      <c r="C411" s="1" t="n">
        <v>45913</v>
      </c>
      <c r="D411" t="inlineStr">
        <is>
          <t>SÖDERMANLANDS LÄN</t>
        </is>
      </c>
      <c r="E411" t="inlineStr">
        <is>
          <t>KATRINEHOLM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28508-2023</t>
        </is>
      </c>
      <c r="B412" s="1" t="n">
        <v>45103.46788194445</v>
      </c>
      <c r="C412" s="1" t="n">
        <v>45913</v>
      </c>
      <c r="D412" t="inlineStr">
        <is>
          <t>SÖDERMANLANDS LÄN</t>
        </is>
      </c>
      <c r="E412" t="inlineStr">
        <is>
          <t>KATRINEHOLM</t>
        </is>
      </c>
      <c r="F412" t="inlineStr">
        <is>
          <t>Kyrkan</t>
        </is>
      </c>
      <c r="G412" t="n">
        <v>20.5</v>
      </c>
      <c r="H412" t="n">
        <v>0</v>
      </c>
      <c r="I412" t="n">
        <v>0</v>
      </c>
      <c r="J412" t="n">
        <v>0</v>
      </c>
      <c r="K412" t="n">
        <v>0</v>
      </c>
      <c r="L412" t="n">
        <v>0</v>
      </c>
      <c r="M412" t="n">
        <v>0</v>
      </c>
      <c r="N412" t="n">
        <v>0</v>
      </c>
      <c r="O412" t="n">
        <v>0</v>
      </c>
      <c r="P412" t="n">
        <v>0</v>
      </c>
      <c r="Q412" t="n">
        <v>0</v>
      </c>
      <c r="R412" s="2" t="inlineStr"/>
    </row>
    <row r="413" ht="15" customHeight="1">
      <c r="A413" t="inlineStr">
        <is>
          <t>A 3939-2022</t>
        </is>
      </c>
      <c r="B413" s="1" t="n">
        <v>44587</v>
      </c>
      <c r="C413" s="1" t="n">
        <v>45913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56074-2022</t>
        </is>
      </c>
      <c r="B414" s="1" t="n">
        <v>44889</v>
      </c>
      <c r="C414" s="1" t="n">
        <v>45913</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46075-2023</t>
        </is>
      </c>
      <c r="B415" s="1" t="n">
        <v>45196</v>
      </c>
      <c r="C415" s="1" t="n">
        <v>45913</v>
      </c>
      <c r="D415" t="inlineStr">
        <is>
          <t>SÖDERMANLANDS LÄN</t>
        </is>
      </c>
      <c r="E415" t="inlineStr">
        <is>
          <t>KATRINEHOLM</t>
        </is>
      </c>
      <c r="F415" t="inlineStr">
        <is>
          <t>Övriga Aktiebolag</t>
        </is>
      </c>
      <c r="G415" t="n">
        <v>9.5</v>
      </c>
      <c r="H415" t="n">
        <v>0</v>
      </c>
      <c r="I415" t="n">
        <v>0</v>
      </c>
      <c r="J415" t="n">
        <v>0</v>
      </c>
      <c r="K415" t="n">
        <v>0</v>
      </c>
      <c r="L415" t="n">
        <v>0</v>
      </c>
      <c r="M415" t="n">
        <v>0</v>
      </c>
      <c r="N415" t="n">
        <v>0</v>
      </c>
      <c r="O415" t="n">
        <v>0</v>
      </c>
      <c r="P415" t="n">
        <v>0</v>
      </c>
      <c r="Q415" t="n">
        <v>0</v>
      </c>
      <c r="R415" s="2" t="inlineStr"/>
    </row>
    <row r="416" ht="15" customHeight="1">
      <c r="A416" t="inlineStr">
        <is>
          <t>A 61915-2021</t>
        </is>
      </c>
      <c r="B416" s="1" t="n">
        <v>44502.36780092592</v>
      </c>
      <c r="C416" s="1" t="n">
        <v>45913</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25823-2023</t>
        </is>
      </c>
      <c r="B417" s="1" t="n">
        <v>45090.55078703703</v>
      </c>
      <c r="C417" s="1" t="n">
        <v>45913</v>
      </c>
      <c r="D417" t="inlineStr">
        <is>
          <t>SÖDERMANLANDS LÄN</t>
        </is>
      </c>
      <c r="E417" t="inlineStr">
        <is>
          <t>KATRINEHOLM</t>
        </is>
      </c>
      <c r="F417" t="inlineStr">
        <is>
          <t>Kyrkan</t>
        </is>
      </c>
      <c r="G417" t="n">
        <v>10.2</v>
      </c>
      <c r="H417" t="n">
        <v>0</v>
      </c>
      <c r="I417" t="n">
        <v>0</v>
      </c>
      <c r="J417" t="n">
        <v>0</v>
      </c>
      <c r="K417" t="n">
        <v>0</v>
      </c>
      <c r="L417" t="n">
        <v>0</v>
      </c>
      <c r="M417" t="n">
        <v>0</v>
      </c>
      <c r="N417" t="n">
        <v>0</v>
      </c>
      <c r="O417" t="n">
        <v>0</v>
      </c>
      <c r="P417" t="n">
        <v>0</v>
      </c>
      <c r="Q417" t="n">
        <v>0</v>
      </c>
      <c r="R417" s="2" t="inlineStr"/>
    </row>
    <row r="418" ht="15" customHeight="1">
      <c r="A418" t="inlineStr">
        <is>
          <t>A 17360-2022</t>
        </is>
      </c>
      <c r="B418" s="1" t="n">
        <v>44678</v>
      </c>
      <c r="C418" s="1" t="n">
        <v>45913</v>
      </c>
      <c r="D418" t="inlineStr">
        <is>
          <t>SÖDERMANLANDS LÄN</t>
        </is>
      </c>
      <c r="E418" t="inlineStr">
        <is>
          <t>KATRINEHOLM</t>
        </is>
      </c>
      <c r="G418" t="n">
        <v>4.5</v>
      </c>
      <c r="H418" t="n">
        <v>0</v>
      </c>
      <c r="I418" t="n">
        <v>0</v>
      </c>
      <c r="J418" t="n">
        <v>0</v>
      </c>
      <c r="K418" t="n">
        <v>0</v>
      </c>
      <c r="L418" t="n">
        <v>0</v>
      </c>
      <c r="M418" t="n">
        <v>0</v>
      </c>
      <c r="N418" t="n">
        <v>0</v>
      </c>
      <c r="O418" t="n">
        <v>0</v>
      </c>
      <c r="P418" t="n">
        <v>0</v>
      </c>
      <c r="Q418" t="n">
        <v>0</v>
      </c>
      <c r="R418" s="2" t="inlineStr"/>
    </row>
    <row r="419" ht="15" customHeight="1">
      <c r="A419" t="inlineStr">
        <is>
          <t>A 27534-2025</t>
        </is>
      </c>
      <c r="B419" s="1" t="n">
        <v>45813</v>
      </c>
      <c r="C419" s="1" t="n">
        <v>45913</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27552-2025</t>
        </is>
      </c>
      <c r="B420" s="1" t="n">
        <v>45813</v>
      </c>
      <c r="C420" s="1" t="n">
        <v>45913</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8917-2024</t>
        </is>
      </c>
      <c r="B421" s="1" t="n">
        <v>45357.37618055556</v>
      </c>
      <c r="C421" s="1" t="n">
        <v>45913</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27636-2025</t>
        </is>
      </c>
      <c r="B422" s="1" t="n">
        <v>45813.57603009259</v>
      </c>
      <c r="C422" s="1" t="n">
        <v>45913</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4656-2023</t>
        </is>
      </c>
      <c r="B423" s="1" t="n">
        <v>44957</v>
      </c>
      <c r="C423" s="1" t="n">
        <v>45913</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24600-2025</t>
        </is>
      </c>
      <c r="B424" s="1" t="n">
        <v>45798.56348379629</v>
      </c>
      <c r="C424" s="1" t="n">
        <v>45913</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59093-2024</t>
        </is>
      </c>
      <c r="B425" s="1" t="n">
        <v>45636</v>
      </c>
      <c r="C425" s="1" t="n">
        <v>45913</v>
      </c>
      <c r="D425" t="inlineStr">
        <is>
          <t>SÖDERMANLANDS LÄN</t>
        </is>
      </c>
      <c r="E425" t="inlineStr">
        <is>
          <t>KATRINEHOLM</t>
        </is>
      </c>
      <c r="G425" t="n">
        <v>2.8</v>
      </c>
      <c r="H425" t="n">
        <v>0</v>
      </c>
      <c r="I425" t="n">
        <v>0</v>
      </c>
      <c r="J425" t="n">
        <v>0</v>
      </c>
      <c r="K425" t="n">
        <v>0</v>
      </c>
      <c r="L425" t="n">
        <v>0</v>
      </c>
      <c r="M425" t="n">
        <v>0</v>
      </c>
      <c r="N425" t="n">
        <v>0</v>
      </c>
      <c r="O425" t="n">
        <v>0</v>
      </c>
      <c r="P425" t="n">
        <v>0</v>
      </c>
      <c r="Q425" t="n">
        <v>0</v>
      </c>
      <c r="R425" s="2" t="inlineStr"/>
    </row>
    <row r="426" ht="15" customHeight="1">
      <c r="A426" t="inlineStr">
        <is>
          <t>A 35608-2024</t>
        </is>
      </c>
      <c r="B426" s="1" t="n">
        <v>45531</v>
      </c>
      <c r="C426" s="1" t="n">
        <v>45913</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22295-2024</t>
        </is>
      </c>
      <c r="B427" s="1" t="n">
        <v>45446.56141203704</v>
      </c>
      <c r="C427" s="1" t="n">
        <v>45913</v>
      </c>
      <c r="D427" t="inlineStr">
        <is>
          <t>SÖDERMANLANDS LÄN</t>
        </is>
      </c>
      <c r="E427" t="inlineStr">
        <is>
          <t>KATRINEHOLM</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38872-2024</t>
        </is>
      </c>
      <c r="B428" s="1" t="n">
        <v>45547</v>
      </c>
      <c r="C428" s="1" t="n">
        <v>45913</v>
      </c>
      <c r="D428" t="inlineStr">
        <is>
          <t>SÖDERMANLANDS LÄN</t>
        </is>
      </c>
      <c r="E428" t="inlineStr">
        <is>
          <t>KATRINEHOLM</t>
        </is>
      </c>
      <c r="G428" t="n">
        <v>5.7</v>
      </c>
      <c r="H428" t="n">
        <v>0</v>
      </c>
      <c r="I428" t="n">
        <v>0</v>
      </c>
      <c r="J428" t="n">
        <v>0</v>
      </c>
      <c r="K428" t="n">
        <v>0</v>
      </c>
      <c r="L428" t="n">
        <v>0</v>
      </c>
      <c r="M428" t="n">
        <v>0</v>
      </c>
      <c r="N428" t="n">
        <v>0</v>
      </c>
      <c r="O428" t="n">
        <v>0</v>
      </c>
      <c r="P428" t="n">
        <v>0</v>
      </c>
      <c r="Q428" t="n">
        <v>0</v>
      </c>
      <c r="R428" s="2" t="inlineStr"/>
    </row>
    <row r="429" ht="15" customHeight="1">
      <c r="A429" t="inlineStr">
        <is>
          <t>A 12633-2022</t>
        </is>
      </c>
      <c r="B429" s="1" t="n">
        <v>44638</v>
      </c>
      <c r="C429" s="1" t="n">
        <v>45913</v>
      </c>
      <c r="D429" t="inlineStr">
        <is>
          <t>SÖDERMANLANDS LÄN</t>
        </is>
      </c>
      <c r="E429" t="inlineStr">
        <is>
          <t>KATRINEHOLM</t>
        </is>
      </c>
      <c r="G429" t="n">
        <v>6.4</v>
      </c>
      <c r="H429" t="n">
        <v>0</v>
      </c>
      <c r="I429" t="n">
        <v>0</v>
      </c>
      <c r="J429" t="n">
        <v>0</v>
      </c>
      <c r="K429" t="n">
        <v>0</v>
      </c>
      <c r="L429" t="n">
        <v>0</v>
      </c>
      <c r="M429" t="n">
        <v>0</v>
      </c>
      <c r="N429" t="n">
        <v>0</v>
      </c>
      <c r="O429" t="n">
        <v>0</v>
      </c>
      <c r="P429" t="n">
        <v>0</v>
      </c>
      <c r="Q429" t="n">
        <v>0</v>
      </c>
      <c r="R429" s="2" t="inlineStr"/>
    </row>
    <row r="430" ht="15" customHeight="1">
      <c r="A430" t="inlineStr">
        <is>
          <t>A 46700-2023</t>
        </is>
      </c>
      <c r="B430" s="1" t="n">
        <v>45194</v>
      </c>
      <c r="C430" s="1" t="n">
        <v>45913</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55590-2023</t>
        </is>
      </c>
      <c r="B431" s="1" t="n">
        <v>45238</v>
      </c>
      <c r="C431" s="1" t="n">
        <v>45913</v>
      </c>
      <c r="D431" t="inlineStr">
        <is>
          <t>SÖDERMANLANDS LÄN</t>
        </is>
      </c>
      <c r="E431" t="inlineStr">
        <is>
          <t>KATRINEHOLM</t>
        </is>
      </c>
      <c r="G431" t="n">
        <v>4.5</v>
      </c>
      <c r="H431" t="n">
        <v>0</v>
      </c>
      <c r="I431" t="n">
        <v>0</v>
      </c>
      <c r="J431" t="n">
        <v>0</v>
      </c>
      <c r="K431" t="n">
        <v>0</v>
      </c>
      <c r="L431" t="n">
        <v>0</v>
      </c>
      <c r="M431" t="n">
        <v>0</v>
      </c>
      <c r="N431" t="n">
        <v>0</v>
      </c>
      <c r="O431" t="n">
        <v>0</v>
      </c>
      <c r="P431" t="n">
        <v>0</v>
      </c>
      <c r="Q431" t="n">
        <v>0</v>
      </c>
      <c r="R431" s="2" t="inlineStr"/>
    </row>
    <row r="432" ht="15" customHeight="1">
      <c r="A432" t="inlineStr">
        <is>
          <t>A 69600-2020</t>
        </is>
      </c>
      <c r="B432" s="1" t="n">
        <v>44195</v>
      </c>
      <c r="C432" s="1" t="n">
        <v>45913</v>
      </c>
      <c r="D432" t="inlineStr">
        <is>
          <t>SÖDERMANLANDS LÄN</t>
        </is>
      </c>
      <c r="E432" t="inlineStr">
        <is>
          <t>KATRINEHOLM</t>
        </is>
      </c>
      <c r="G432" t="n">
        <v>11.3</v>
      </c>
      <c r="H432" t="n">
        <v>0</v>
      </c>
      <c r="I432" t="n">
        <v>0</v>
      </c>
      <c r="J432" t="n">
        <v>0</v>
      </c>
      <c r="K432" t="n">
        <v>0</v>
      </c>
      <c r="L432" t="n">
        <v>0</v>
      </c>
      <c r="M432" t="n">
        <v>0</v>
      </c>
      <c r="N432" t="n">
        <v>0</v>
      </c>
      <c r="O432" t="n">
        <v>0</v>
      </c>
      <c r="P432" t="n">
        <v>0</v>
      </c>
      <c r="Q432" t="n">
        <v>0</v>
      </c>
      <c r="R432" s="2" t="inlineStr"/>
    </row>
    <row r="433" ht="15" customHeight="1">
      <c r="A433" t="inlineStr">
        <is>
          <t>A 29189-2025</t>
        </is>
      </c>
      <c r="B433" s="1" t="n">
        <v>45822</v>
      </c>
      <c r="C433" s="1" t="n">
        <v>45913</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15898-2022</t>
        </is>
      </c>
      <c r="B434" s="1" t="n">
        <v>44664.55688657407</v>
      </c>
      <c r="C434" s="1" t="n">
        <v>45913</v>
      </c>
      <c r="D434" t="inlineStr">
        <is>
          <t>SÖDERMANLANDS LÄN</t>
        </is>
      </c>
      <c r="E434" t="inlineStr">
        <is>
          <t>KATRINEHOLM</t>
        </is>
      </c>
      <c r="G434" t="n">
        <v>6.5</v>
      </c>
      <c r="H434" t="n">
        <v>0</v>
      </c>
      <c r="I434" t="n">
        <v>0</v>
      </c>
      <c r="J434" t="n">
        <v>0</v>
      </c>
      <c r="K434" t="n">
        <v>0</v>
      </c>
      <c r="L434" t="n">
        <v>0</v>
      </c>
      <c r="M434" t="n">
        <v>0</v>
      </c>
      <c r="N434" t="n">
        <v>0</v>
      </c>
      <c r="O434" t="n">
        <v>0</v>
      </c>
      <c r="P434" t="n">
        <v>0</v>
      </c>
      <c r="Q434" t="n">
        <v>0</v>
      </c>
      <c r="R434" s="2" t="inlineStr"/>
    </row>
    <row r="435" ht="15" customHeight="1">
      <c r="A435" t="inlineStr">
        <is>
          <t>A 15910-2022</t>
        </is>
      </c>
      <c r="B435" s="1" t="n">
        <v>44664</v>
      </c>
      <c r="C435" s="1" t="n">
        <v>45913</v>
      </c>
      <c r="D435" t="inlineStr">
        <is>
          <t>SÖDERMANLANDS LÄN</t>
        </is>
      </c>
      <c r="E435" t="inlineStr">
        <is>
          <t>KATRINEHOLM</t>
        </is>
      </c>
      <c r="G435" t="n">
        <v>5.6</v>
      </c>
      <c r="H435" t="n">
        <v>0</v>
      </c>
      <c r="I435" t="n">
        <v>0</v>
      </c>
      <c r="J435" t="n">
        <v>0</v>
      </c>
      <c r="K435" t="n">
        <v>0</v>
      </c>
      <c r="L435" t="n">
        <v>0</v>
      </c>
      <c r="M435" t="n">
        <v>0</v>
      </c>
      <c r="N435" t="n">
        <v>0</v>
      </c>
      <c r="O435" t="n">
        <v>0</v>
      </c>
      <c r="P435" t="n">
        <v>0</v>
      </c>
      <c r="Q435" t="n">
        <v>0</v>
      </c>
      <c r="R435" s="2" t="inlineStr"/>
    </row>
    <row r="436" ht="15" customHeight="1">
      <c r="A436" t="inlineStr">
        <is>
          <t>A 32818-2023</t>
        </is>
      </c>
      <c r="B436" s="1" t="n">
        <v>45124.55633101852</v>
      </c>
      <c r="C436" s="1" t="n">
        <v>45913</v>
      </c>
      <c r="D436" t="inlineStr">
        <is>
          <t>SÖDERMANLANDS LÄN</t>
        </is>
      </c>
      <c r="E436" t="inlineStr">
        <is>
          <t>KATRINEHOLM</t>
        </is>
      </c>
      <c r="G436" t="n">
        <v>3.4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45913</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45913</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61674-2020</t>
        </is>
      </c>
      <c r="B439" s="1" t="n">
        <v>44158</v>
      </c>
      <c r="C439" s="1" t="n">
        <v>45913</v>
      </c>
      <c r="D439" t="inlineStr">
        <is>
          <t>SÖDERMANLANDS LÄN</t>
        </is>
      </c>
      <c r="E439" t="inlineStr">
        <is>
          <t>KATRINEHOLM</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22272-2022</t>
        </is>
      </c>
      <c r="B440" s="1" t="n">
        <v>44712</v>
      </c>
      <c r="C440" s="1" t="n">
        <v>45913</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9192-2023</t>
        </is>
      </c>
      <c r="B441" s="1" t="n">
        <v>44980</v>
      </c>
      <c r="C441" s="1" t="n">
        <v>45913</v>
      </c>
      <c r="D441" t="inlineStr">
        <is>
          <t>SÖDERMANLANDS LÄN</t>
        </is>
      </c>
      <c r="E441" t="inlineStr">
        <is>
          <t>KATRINEHOLM</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27334-2023</t>
        </is>
      </c>
      <c r="B442" s="1" t="n">
        <v>45096</v>
      </c>
      <c r="C442" s="1" t="n">
        <v>45913</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15399-2022</t>
        </is>
      </c>
      <c r="B443" s="1" t="n">
        <v>44659</v>
      </c>
      <c r="C443" s="1" t="n">
        <v>45913</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11872-2023</t>
        </is>
      </c>
      <c r="B444" s="1" t="n">
        <v>44995</v>
      </c>
      <c r="C444" s="1" t="n">
        <v>45913</v>
      </c>
      <c r="D444" t="inlineStr">
        <is>
          <t>SÖDERMANLANDS LÄN</t>
        </is>
      </c>
      <c r="E444" t="inlineStr">
        <is>
          <t>KATRINEHOLM</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30050-2025</t>
        </is>
      </c>
      <c r="B445" s="1" t="n">
        <v>45826.59151620371</v>
      </c>
      <c r="C445" s="1" t="n">
        <v>45913</v>
      </c>
      <c r="D445" t="inlineStr">
        <is>
          <t>SÖDERMANLANDS LÄN</t>
        </is>
      </c>
      <c r="E445" t="inlineStr">
        <is>
          <t>KATRINEHOLM</t>
        </is>
      </c>
      <c r="G445" t="n">
        <v>7.9</v>
      </c>
      <c r="H445" t="n">
        <v>0</v>
      </c>
      <c r="I445" t="n">
        <v>0</v>
      </c>
      <c r="J445" t="n">
        <v>0</v>
      </c>
      <c r="K445" t="n">
        <v>0</v>
      </c>
      <c r="L445" t="n">
        <v>0</v>
      </c>
      <c r="M445" t="n">
        <v>0</v>
      </c>
      <c r="N445" t="n">
        <v>0</v>
      </c>
      <c r="O445" t="n">
        <v>0</v>
      </c>
      <c r="P445" t="n">
        <v>0</v>
      </c>
      <c r="Q445" t="n">
        <v>0</v>
      </c>
      <c r="R445" s="2" t="inlineStr"/>
    </row>
    <row r="446" ht="15" customHeight="1">
      <c r="A446" t="inlineStr">
        <is>
          <t>A 30070-2025</t>
        </is>
      </c>
      <c r="B446" s="1" t="n">
        <v>45826.63324074074</v>
      </c>
      <c r="C446" s="1" t="n">
        <v>45913</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49092-2024</t>
        </is>
      </c>
      <c r="B447" s="1" t="n">
        <v>45594.63619212963</v>
      </c>
      <c r="C447" s="1" t="n">
        <v>45913</v>
      </c>
      <c r="D447" t="inlineStr">
        <is>
          <t>SÖDERMANLANDS LÄN</t>
        </is>
      </c>
      <c r="E447" t="inlineStr">
        <is>
          <t>KATRINEHOLM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49095-2024</t>
        </is>
      </c>
      <c r="B448" s="1" t="n">
        <v>45594.63828703704</v>
      </c>
      <c r="C448" s="1" t="n">
        <v>45913</v>
      </c>
      <c r="D448" t="inlineStr">
        <is>
          <t>SÖDERMANLANDS LÄN</t>
        </is>
      </c>
      <c r="E448" t="inlineStr">
        <is>
          <t>KATRINEHOLM</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7254-2021</t>
        </is>
      </c>
      <c r="B449" s="1" t="n">
        <v>44238</v>
      </c>
      <c r="C449" s="1" t="n">
        <v>45913</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45913</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30350-2025</t>
        </is>
      </c>
      <c r="B451" s="1" t="n">
        <v>45827.53319444445</v>
      </c>
      <c r="C451" s="1" t="n">
        <v>45913</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40186-2023</t>
        </is>
      </c>
      <c r="B452" s="1" t="n">
        <v>45169</v>
      </c>
      <c r="C452" s="1" t="n">
        <v>45913</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47886-2023</t>
        </is>
      </c>
      <c r="B453" s="1" t="n">
        <v>45204</v>
      </c>
      <c r="C453" s="1" t="n">
        <v>45913</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65077-2020</t>
        </is>
      </c>
      <c r="B454" s="1" t="n">
        <v>44172</v>
      </c>
      <c r="C454" s="1" t="n">
        <v>45913</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30352-2025</t>
        </is>
      </c>
      <c r="B455" s="1" t="n">
        <v>45827</v>
      </c>
      <c r="C455" s="1" t="n">
        <v>45913</v>
      </c>
      <c r="D455" t="inlineStr">
        <is>
          <t>SÖDERMANLANDS LÄN</t>
        </is>
      </c>
      <c r="E455" t="inlineStr">
        <is>
          <t>KATRINEHOLM</t>
        </is>
      </c>
      <c r="G455" t="n">
        <v>1.6</v>
      </c>
      <c r="H455" t="n">
        <v>0</v>
      </c>
      <c r="I455" t="n">
        <v>0</v>
      </c>
      <c r="J455" t="n">
        <v>0</v>
      </c>
      <c r="K455" t="n">
        <v>0</v>
      </c>
      <c r="L455" t="n">
        <v>0</v>
      </c>
      <c r="M455" t="n">
        <v>0</v>
      </c>
      <c r="N455" t="n">
        <v>0</v>
      </c>
      <c r="O455" t="n">
        <v>0</v>
      </c>
      <c r="P455" t="n">
        <v>0</v>
      </c>
      <c r="Q455" t="n">
        <v>0</v>
      </c>
      <c r="R455" s="2" t="inlineStr"/>
    </row>
    <row r="456" ht="15" customHeight="1">
      <c r="A456" t="inlineStr">
        <is>
          <t>A 36562-2023</t>
        </is>
      </c>
      <c r="B456" s="1" t="n">
        <v>45153</v>
      </c>
      <c r="C456" s="1" t="n">
        <v>45913</v>
      </c>
      <c r="D456" t="inlineStr">
        <is>
          <t>SÖDERMANLANDS LÄN</t>
        </is>
      </c>
      <c r="E456" t="inlineStr">
        <is>
          <t>KATRINEHOLM</t>
        </is>
      </c>
      <c r="G456" t="n">
        <v>5.8</v>
      </c>
      <c r="H456" t="n">
        <v>0</v>
      </c>
      <c r="I456" t="n">
        <v>0</v>
      </c>
      <c r="J456" t="n">
        <v>0</v>
      </c>
      <c r="K456" t="n">
        <v>0</v>
      </c>
      <c r="L456" t="n">
        <v>0</v>
      </c>
      <c r="M456" t="n">
        <v>0</v>
      </c>
      <c r="N456" t="n">
        <v>0</v>
      </c>
      <c r="O456" t="n">
        <v>0</v>
      </c>
      <c r="P456" t="n">
        <v>0</v>
      </c>
      <c r="Q456" t="n">
        <v>0</v>
      </c>
      <c r="R456" s="2" t="inlineStr"/>
    </row>
    <row r="457" ht="15" customHeight="1">
      <c r="A457" t="inlineStr">
        <is>
          <t>A 36-2023</t>
        </is>
      </c>
      <c r="B457" s="1" t="n">
        <v>44928.36578703704</v>
      </c>
      <c r="C457" s="1" t="n">
        <v>45913</v>
      </c>
      <c r="D457" t="inlineStr">
        <is>
          <t>SÖDERMANLANDS LÄN</t>
        </is>
      </c>
      <c r="E457" t="inlineStr">
        <is>
          <t>KATRINEHOLM</t>
        </is>
      </c>
      <c r="G457" t="n">
        <v>3.7</v>
      </c>
      <c r="H457" t="n">
        <v>0</v>
      </c>
      <c r="I457" t="n">
        <v>0</v>
      </c>
      <c r="J457" t="n">
        <v>0</v>
      </c>
      <c r="K457" t="n">
        <v>0</v>
      </c>
      <c r="L457" t="n">
        <v>0</v>
      </c>
      <c r="M457" t="n">
        <v>0</v>
      </c>
      <c r="N457" t="n">
        <v>0</v>
      </c>
      <c r="O457" t="n">
        <v>0</v>
      </c>
      <c r="P457" t="n">
        <v>0</v>
      </c>
      <c r="Q457" t="n">
        <v>0</v>
      </c>
      <c r="R457" s="2" t="inlineStr"/>
    </row>
    <row r="458" ht="15" customHeight="1">
      <c r="A458" t="inlineStr">
        <is>
          <t>A 30386-2025</t>
        </is>
      </c>
      <c r="B458" s="1" t="n">
        <v>45827</v>
      </c>
      <c r="C458" s="1" t="n">
        <v>45913</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34539-2022</t>
        </is>
      </c>
      <c r="B459" s="1" t="n">
        <v>44793.50563657407</v>
      </c>
      <c r="C459" s="1" t="n">
        <v>45913</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30402-2025</t>
        </is>
      </c>
      <c r="B460" s="1" t="n">
        <v>45827</v>
      </c>
      <c r="C460" s="1" t="n">
        <v>45913</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10341-2022</t>
        </is>
      </c>
      <c r="B461" s="1" t="n">
        <v>44623</v>
      </c>
      <c r="C461" s="1" t="n">
        <v>45913</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41205-2021</t>
        </is>
      </c>
      <c r="B462" s="1" t="n">
        <v>44424.38577546296</v>
      </c>
      <c r="C462" s="1" t="n">
        <v>45913</v>
      </c>
      <c r="D462" t="inlineStr">
        <is>
          <t>SÖDERMANLANDS LÄN</t>
        </is>
      </c>
      <c r="E462" t="inlineStr">
        <is>
          <t>KATRINEHOLM</t>
        </is>
      </c>
      <c r="G462" t="n">
        <v>1.6</v>
      </c>
      <c r="H462" t="n">
        <v>0</v>
      </c>
      <c r="I462" t="n">
        <v>0</v>
      </c>
      <c r="J462" t="n">
        <v>0</v>
      </c>
      <c r="K462" t="n">
        <v>0</v>
      </c>
      <c r="L462" t="n">
        <v>0</v>
      </c>
      <c r="M462" t="n">
        <v>0</v>
      </c>
      <c r="N462" t="n">
        <v>0</v>
      </c>
      <c r="O462" t="n">
        <v>0</v>
      </c>
      <c r="P462" t="n">
        <v>0</v>
      </c>
      <c r="Q462" t="n">
        <v>0</v>
      </c>
      <c r="R462" s="2" t="inlineStr"/>
    </row>
    <row r="463" ht="15" customHeight="1">
      <c r="A463" t="inlineStr">
        <is>
          <t>A 12835-2024</t>
        </is>
      </c>
      <c r="B463" s="1" t="n">
        <v>45384</v>
      </c>
      <c r="C463" s="1" t="n">
        <v>45913</v>
      </c>
      <c r="D463" t="inlineStr">
        <is>
          <t>SÖDERMANLANDS LÄN</t>
        </is>
      </c>
      <c r="E463" t="inlineStr">
        <is>
          <t>KATRINEHOLM</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25716-2022</t>
        </is>
      </c>
      <c r="B464" s="1" t="n">
        <v>44733.39600694444</v>
      </c>
      <c r="C464" s="1" t="n">
        <v>45913</v>
      </c>
      <c r="D464" t="inlineStr">
        <is>
          <t>SÖDERMANLANDS LÄN</t>
        </is>
      </c>
      <c r="E464" t="inlineStr">
        <is>
          <t>KATRINEHOLM</t>
        </is>
      </c>
      <c r="G464" t="n">
        <v>3.4</v>
      </c>
      <c r="H464" t="n">
        <v>0</v>
      </c>
      <c r="I464" t="n">
        <v>0</v>
      </c>
      <c r="J464" t="n">
        <v>0</v>
      </c>
      <c r="K464" t="n">
        <v>0</v>
      </c>
      <c r="L464" t="n">
        <v>0</v>
      </c>
      <c r="M464" t="n">
        <v>0</v>
      </c>
      <c r="N464" t="n">
        <v>0</v>
      </c>
      <c r="O464" t="n">
        <v>0</v>
      </c>
      <c r="P464" t="n">
        <v>0</v>
      </c>
      <c r="Q464" t="n">
        <v>0</v>
      </c>
      <c r="R464" s="2" t="inlineStr"/>
    </row>
    <row r="465" ht="15" customHeight="1">
      <c r="A465" t="inlineStr">
        <is>
          <t>A 24748-2024</t>
        </is>
      </c>
      <c r="B465" s="1" t="n">
        <v>45460.66567129629</v>
      </c>
      <c r="C465" s="1" t="n">
        <v>45913</v>
      </c>
      <c r="D465" t="inlineStr">
        <is>
          <t>SÖDERMANLANDS LÄN</t>
        </is>
      </c>
      <c r="E465" t="inlineStr">
        <is>
          <t>KATRINEHOLM</t>
        </is>
      </c>
      <c r="G465" t="n">
        <v>3.3</v>
      </c>
      <c r="H465" t="n">
        <v>0</v>
      </c>
      <c r="I465" t="n">
        <v>0</v>
      </c>
      <c r="J465" t="n">
        <v>0</v>
      </c>
      <c r="K465" t="n">
        <v>0</v>
      </c>
      <c r="L465" t="n">
        <v>0</v>
      </c>
      <c r="M465" t="n">
        <v>0</v>
      </c>
      <c r="N465" t="n">
        <v>0</v>
      </c>
      <c r="O465" t="n">
        <v>0</v>
      </c>
      <c r="P465" t="n">
        <v>0</v>
      </c>
      <c r="Q465" t="n">
        <v>0</v>
      </c>
      <c r="R465" s="2" t="inlineStr"/>
    </row>
    <row r="466" ht="15" customHeight="1">
      <c r="A466" t="inlineStr">
        <is>
          <t>A 6807-2023</t>
        </is>
      </c>
      <c r="B466" s="1" t="n">
        <v>44964</v>
      </c>
      <c r="C466" s="1" t="n">
        <v>45913</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9668-2023</t>
        </is>
      </c>
      <c r="B467" s="1" t="n">
        <v>44984.41238425926</v>
      </c>
      <c r="C467" s="1" t="n">
        <v>45913</v>
      </c>
      <c r="D467" t="inlineStr">
        <is>
          <t>SÖDERMANLANDS LÄN</t>
        </is>
      </c>
      <c r="E467" t="inlineStr">
        <is>
          <t>KATRINEHOLM</t>
        </is>
      </c>
      <c r="G467" t="n">
        <v>4.8</v>
      </c>
      <c r="H467" t="n">
        <v>0</v>
      </c>
      <c r="I467" t="n">
        <v>0</v>
      </c>
      <c r="J467" t="n">
        <v>0</v>
      </c>
      <c r="K467" t="n">
        <v>0</v>
      </c>
      <c r="L467" t="n">
        <v>0</v>
      </c>
      <c r="M467" t="n">
        <v>0</v>
      </c>
      <c r="N467" t="n">
        <v>0</v>
      </c>
      <c r="O467" t="n">
        <v>0</v>
      </c>
      <c r="P467" t="n">
        <v>0</v>
      </c>
      <c r="Q467" t="n">
        <v>0</v>
      </c>
      <c r="R467" s="2" t="inlineStr"/>
    </row>
    <row r="468" ht="15" customHeight="1">
      <c r="A468" t="inlineStr">
        <is>
          <t>A 2298-2021</t>
        </is>
      </c>
      <c r="B468" s="1" t="n">
        <v>44212</v>
      </c>
      <c r="C468" s="1" t="n">
        <v>45913</v>
      </c>
      <c r="D468" t="inlineStr">
        <is>
          <t>SÖDERMANLANDS LÄN</t>
        </is>
      </c>
      <c r="E468" t="inlineStr">
        <is>
          <t>KATRINEHOLM</t>
        </is>
      </c>
      <c r="G468" t="n">
        <v>3.4</v>
      </c>
      <c r="H468" t="n">
        <v>0</v>
      </c>
      <c r="I468" t="n">
        <v>0</v>
      </c>
      <c r="J468" t="n">
        <v>0</v>
      </c>
      <c r="K468" t="n">
        <v>0</v>
      </c>
      <c r="L468" t="n">
        <v>0</v>
      </c>
      <c r="M468" t="n">
        <v>0</v>
      </c>
      <c r="N468" t="n">
        <v>0</v>
      </c>
      <c r="O468" t="n">
        <v>0</v>
      </c>
      <c r="P468" t="n">
        <v>0</v>
      </c>
      <c r="Q468" t="n">
        <v>0</v>
      </c>
      <c r="R468" s="2" t="inlineStr"/>
    </row>
    <row r="469" ht="15" customHeight="1">
      <c r="A469" t="inlineStr">
        <is>
          <t>A 9044-2022</t>
        </is>
      </c>
      <c r="B469" s="1" t="n">
        <v>44602</v>
      </c>
      <c r="C469" s="1" t="n">
        <v>45913</v>
      </c>
      <c r="D469" t="inlineStr">
        <is>
          <t>SÖDERMANLANDS LÄN</t>
        </is>
      </c>
      <c r="E469" t="inlineStr">
        <is>
          <t>KATRINEHOLM</t>
        </is>
      </c>
      <c r="G469" t="n">
        <v>5.8</v>
      </c>
      <c r="H469" t="n">
        <v>0</v>
      </c>
      <c r="I469" t="n">
        <v>0</v>
      </c>
      <c r="J469" t="n">
        <v>0</v>
      </c>
      <c r="K469" t="n">
        <v>0</v>
      </c>
      <c r="L469" t="n">
        <v>0</v>
      </c>
      <c r="M469" t="n">
        <v>0</v>
      </c>
      <c r="N469" t="n">
        <v>0</v>
      </c>
      <c r="O469" t="n">
        <v>0</v>
      </c>
      <c r="P469" t="n">
        <v>0</v>
      </c>
      <c r="Q469" t="n">
        <v>0</v>
      </c>
      <c r="R469" s="2" t="inlineStr"/>
    </row>
    <row r="470" ht="15" customHeight="1">
      <c r="A470" t="inlineStr">
        <is>
          <t>A 40402-2022</t>
        </is>
      </c>
      <c r="B470" s="1" t="n">
        <v>44823.44353009259</v>
      </c>
      <c r="C470" s="1" t="n">
        <v>45913</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17792-2025</t>
        </is>
      </c>
      <c r="B471" s="1" t="n">
        <v>45758</v>
      </c>
      <c r="C471" s="1" t="n">
        <v>45913</v>
      </c>
      <c r="D471" t="inlineStr">
        <is>
          <t>SÖDERMANLANDS LÄN</t>
        </is>
      </c>
      <c r="E471" t="inlineStr">
        <is>
          <t>KATRINEHOLM</t>
        </is>
      </c>
      <c r="G471" t="n">
        <v>4.2</v>
      </c>
      <c r="H471" t="n">
        <v>0</v>
      </c>
      <c r="I471" t="n">
        <v>0</v>
      </c>
      <c r="J471" t="n">
        <v>0</v>
      </c>
      <c r="K471" t="n">
        <v>0</v>
      </c>
      <c r="L471" t="n">
        <v>0</v>
      </c>
      <c r="M471" t="n">
        <v>0</v>
      </c>
      <c r="N471" t="n">
        <v>0</v>
      </c>
      <c r="O471" t="n">
        <v>0</v>
      </c>
      <c r="P471" t="n">
        <v>0</v>
      </c>
      <c r="Q471" t="n">
        <v>0</v>
      </c>
      <c r="R471" s="2" t="inlineStr"/>
    </row>
    <row r="472" ht="15" customHeight="1">
      <c r="A472" t="inlineStr">
        <is>
          <t>A 17820-2025</t>
        </is>
      </c>
      <c r="B472" s="1" t="n">
        <v>45758</v>
      </c>
      <c r="C472" s="1" t="n">
        <v>45913</v>
      </c>
      <c r="D472" t="inlineStr">
        <is>
          <t>SÖDERMANLANDS LÄN</t>
        </is>
      </c>
      <c r="E472" t="inlineStr">
        <is>
          <t>KATRINEHOLM</t>
        </is>
      </c>
      <c r="G472" t="n">
        <v>5.9</v>
      </c>
      <c r="H472" t="n">
        <v>0</v>
      </c>
      <c r="I472" t="n">
        <v>0</v>
      </c>
      <c r="J472" t="n">
        <v>0</v>
      </c>
      <c r="K472" t="n">
        <v>0</v>
      </c>
      <c r="L472" t="n">
        <v>0</v>
      </c>
      <c r="M472" t="n">
        <v>0</v>
      </c>
      <c r="N472" t="n">
        <v>0</v>
      </c>
      <c r="O472" t="n">
        <v>0</v>
      </c>
      <c r="P472" t="n">
        <v>0</v>
      </c>
      <c r="Q472" t="n">
        <v>0</v>
      </c>
      <c r="R472" s="2" t="inlineStr"/>
    </row>
    <row r="473" ht="15" customHeight="1">
      <c r="A473" t="inlineStr">
        <is>
          <t>A 30387-2022</t>
        </is>
      </c>
      <c r="B473" s="1" t="n">
        <v>44760</v>
      </c>
      <c r="C473" s="1" t="n">
        <v>45913</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31376-2025</t>
        </is>
      </c>
      <c r="B474" s="1" t="n">
        <v>45833</v>
      </c>
      <c r="C474" s="1" t="n">
        <v>45913</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11543-2025</t>
        </is>
      </c>
      <c r="B475" s="1" t="n">
        <v>45727.34248842593</v>
      </c>
      <c r="C475" s="1" t="n">
        <v>45913</v>
      </c>
      <c r="D475" t="inlineStr">
        <is>
          <t>SÖDERMANLANDS LÄN</t>
        </is>
      </c>
      <c r="E475" t="inlineStr">
        <is>
          <t>KATRINEHOLM</t>
        </is>
      </c>
      <c r="G475" t="n">
        <v>3.6</v>
      </c>
      <c r="H475" t="n">
        <v>0</v>
      </c>
      <c r="I475" t="n">
        <v>0</v>
      </c>
      <c r="J475" t="n">
        <v>0</v>
      </c>
      <c r="K475" t="n">
        <v>0</v>
      </c>
      <c r="L475" t="n">
        <v>0</v>
      </c>
      <c r="M475" t="n">
        <v>0</v>
      </c>
      <c r="N475" t="n">
        <v>0</v>
      </c>
      <c r="O475" t="n">
        <v>0</v>
      </c>
      <c r="P475" t="n">
        <v>0</v>
      </c>
      <c r="Q475" t="n">
        <v>0</v>
      </c>
      <c r="R475" s="2" t="inlineStr"/>
    </row>
    <row r="476" ht="15" customHeight="1">
      <c r="A476" t="inlineStr">
        <is>
          <t>A 48091-2024</t>
        </is>
      </c>
      <c r="B476" s="1" t="n">
        <v>45590</v>
      </c>
      <c r="C476" s="1" t="n">
        <v>45913</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24097-2022</t>
        </is>
      </c>
      <c r="B477" s="1" t="n">
        <v>44725.39371527778</v>
      </c>
      <c r="C477" s="1" t="n">
        <v>45913</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31392-2025</t>
        </is>
      </c>
      <c r="B478" s="1" t="n">
        <v>45833</v>
      </c>
      <c r="C478" s="1" t="n">
        <v>45913</v>
      </c>
      <c r="D478" t="inlineStr">
        <is>
          <t>SÖDERMANLANDS LÄN</t>
        </is>
      </c>
      <c r="E478" t="inlineStr">
        <is>
          <t>KATRINEHOLM</t>
        </is>
      </c>
      <c r="G478" t="n">
        <v>5</v>
      </c>
      <c r="H478" t="n">
        <v>0</v>
      </c>
      <c r="I478" t="n">
        <v>0</v>
      </c>
      <c r="J478" t="n">
        <v>0</v>
      </c>
      <c r="K478" t="n">
        <v>0</v>
      </c>
      <c r="L478" t="n">
        <v>0</v>
      </c>
      <c r="M478" t="n">
        <v>0</v>
      </c>
      <c r="N478" t="n">
        <v>0</v>
      </c>
      <c r="O478" t="n">
        <v>0</v>
      </c>
      <c r="P478" t="n">
        <v>0</v>
      </c>
      <c r="Q478" t="n">
        <v>0</v>
      </c>
      <c r="R478" s="2" t="inlineStr"/>
    </row>
    <row r="479" ht="15" customHeight="1">
      <c r="A479" t="inlineStr">
        <is>
          <t>A 31386-2025</t>
        </is>
      </c>
      <c r="B479" s="1" t="n">
        <v>45833.45259259259</v>
      </c>
      <c r="C479" s="1" t="n">
        <v>45913</v>
      </c>
      <c r="D479" t="inlineStr">
        <is>
          <t>SÖDERMANLANDS LÄN</t>
        </is>
      </c>
      <c r="E479" t="inlineStr">
        <is>
          <t>KATRINEHOLM</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45913</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37043-2025</t>
        </is>
      </c>
      <c r="B481" s="1" t="n">
        <v>45875.3396412037</v>
      </c>
      <c r="C481" s="1" t="n">
        <v>45913</v>
      </c>
      <c r="D481" t="inlineStr">
        <is>
          <t>SÖDERMANLANDS LÄN</t>
        </is>
      </c>
      <c r="E481" t="inlineStr">
        <is>
          <t>KATRINEHOLM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39052-2023</t>
        </is>
      </c>
      <c r="B482" s="1" t="n">
        <v>45163</v>
      </c>
      <c r="C482" s="1" t="n">
        <v>45913</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8922-2024</t>
        </is>
      </c>
      <c r="B483" s="1" t="n">
        <v>45357.38601851852</v>
      </c>
      <c r="C483" s="1" t="n">
        <v>45913</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45913</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20212-2025</t>
        </is>
      </c>
      <c r="B485" s="1" t="n">
        <v>45772.63049768518</v>
      </c>
      <c r="C485" s="1" t="n">
        <v>45913</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58651-2023</t>
        </is>
      </c>
      <c r="B486" s="1" t="n">
        <v>45247</v>
      </c>
      <c r="C486" s="1" t="n">
        <v>45913</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12238-2021</t>
        </is>
      </c>
      <c r="B487" s="1" t="n">
        <v>44266</v>
      </c>
      <c r="C487" s="1" t="n">
        <v>45913</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6446-2022</t>
        </is>
      </c>
      <c r="B488" s="1" t="n">
        <v>44600</v>
      </c>
      <c r="C488" s="1" t="n">
        <v>45913</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48160-2022</t>
        </is>
      </c>
      <c r="B489" s="1" t="n">
        <v>44853</v>
      </c>
      <c r="C489" s="1" t="n">
        <v>45913</v>
      </c>
      <c r="D489" t="inlineStr">
        <is>
          <t>SÖDERMANLANDS LÄN</t>
        </is>
      </c>
      <c r="E489" t="inlineStr">
        <is>
          <t>KATRINEHOLM</t>
        </is>
      </c>
      <c r="F489" t="inlineStr">
        <is>
          <t>Övriga statliga verk och myndigheter</t>
        </is>
      </c>
      <c r="G489" t="n">
        <v>2.2</v>
      </c>
      <c r="H489" t="n">
        <v>0</v>
      </c>
      <c r="I489" t="n">
        <v>0</v>
      </c>
      <c r="J489" t="n">
        <v>0</v>
      </c>
      <c r="K489" t="n">
        <v>0</v>
      </c>
      <c r="L489" t="n">
        <v>0</v>
      </c>
      <c r="M489" t="n">
        <v>0</v>
      </c>
      <c r="N489" t="n">
        <v>0</v>
      </c>
      <c r="O489" t="n">
        <v>0</v>
      </c>
      <c r="P489" t="n">
        <v>0</v>
      </c>
      <c r="Q489" t="n">
        <v>0</v>
      </c>
      <c r="R489" s="2" t="inlineStr"/>
    </row>
    <row r="490" ht="15" customHeight="1">
      <c r="A490" t="inlineStr">
        <is>
          <t>A 51923-2023</t>
        </is>
      </c>
      <c r="B490" s="1" t="n">
        <v>45223</v>
      </c>
      <c r="C490" s="1" t="n">
        <v>45913</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28317-2024</t>
        </is>
      </c>
      <c r="B491" s="1" t="n">
        <v>45477</v>
      </c>
      <c r="C491" s="1" t="n">
        <v>45913</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31990-2025</t>
        </is>
      </c>
      <c r="B492" s="1" t="n">
        <v>45835.36697916667</v>
      </c>
      <c r="C492" s="1" t="n">
        <v>45913</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18386-2025</t>
        </is>
      </c>
      <c r="B493" s="1" t="n">
        <v>45762</v>
      </c>
      <c r="C493" s="1" t="n">
        <v>45913</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45913</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47134-2022</t>
        </is>
      </c>
      <c r="B495" s="1" t="n">
        <v>44851</v>
      </c>
      <c r="C495" s="1" t="n">
        <v>45913</v>
      </c>
      <c r="D495" t="inlineStr">
        <is>
          <t>SÖDERMANLANDS LÄN</t>
        </is>
      </c>
      <c r="E495" t="inlineStr">
        <is>
          <t>KATRINEHOLM</t>
        </is>
      </c>
      <c r="F495" t="inlineStr">
        <is>
          <t>Övriga statliga verk och myndigheter</t>
        </is>
      </c>
      <c r="G495" t="n">
        <v>1.5</v>
      </c>
      <c r="H495" t="n">
        <v>0</v>
      </c>
      <c r="I495" t="n">
        <v>0</v>
      </c>
      <c r="J495" t="n">
        <v>0</v>
      </c>
      <c r="K495" t="n">
        <v>0</v>
      </c>
      <c r="L495" t="n">
        <v>0</v>
      </c>
      <c r="M495" t="n">
        <v>0</v>
      </c>
      <c r="N495" t="n">
        <v>0</v>
      </c>
      <c r="O495" t="n">
        <v>0</v>
      </c>
      <c r="P495" t="n">
        <v>0</v>
      </c>
      <c r="Q495" t="n">
        <v>0</v>
      </c>
      <c r="R495" s="2" t="inlineStr"/>
    </row>
    <row r="496" ht="15" customHeight="1">
      <c r="A496" t="inlineStr">
        <is>
          <t>A 3125-2024</t>
        </is>
      </c>
      <c r="B496" s="1" t="n">
        <v>45316</v>
      </c>
      <c r="C496" s="1" t="n">
        <v>45913</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35183-2022</t>
        </is>
      </c>
      <c r="B497" s="1" t="n">
        <v>44797</v>
      </c>
      <c r="C497" s="1" t="n">
        <v>45913</v>
      </c>
      <c r="D497" t="inlineStr">
        <is>
          <t>SÖDERMANLANDS LÄN</t>
        </is>
      </c>
      <c r="E497" t="inlineStr">
        <is>
          <t>KATRINEHOLM</t>
        </is>
      </c>
      <c r="G497" t="n">
        <v>4.6</v>
      </c>
      <c r="H497" t="n">
        <v>0</v>
      </c>
      <c r="I497" t="n">
        <v>0</v>
      </c>
      <c r="J497" t="n">
        <v>0</v>
      </c>
      <c r="K497" t="n">
        <v>0</v>
      </c>
      <c r="L497" t="n">
        <v>0</v>
      </c>
      <c r="M497" t="n">
        <v>0</v>
      </c>
      <c r="N497" t="n">
        <v>0</v>
      </c>
      <c r="O497" t="n">
        <v>0</v>
      </c>
      <c r="P497" t="n">
        <v>0</v>
      </c>
      <c r="Q497" t="n">
        <v>0</v>
      </c>
      <c r="R497" s="2" t="inlineStr"/>
    </row>
    <row r="498" ht="15" customHeight="1">
      <c r="A498" t="inlineStr">
        <is>
          <t>A 42519-2024</t>
        </is>
      </c>
      <c r="B498" s="1" t="n">
        <v>45565</v>
      </c>
      <c r="C498" s="1" t="n">
        <v>45913</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20826-2022</t>
        </is>
      </c>
      <c r="B499" s="1" t="n">
        <v>44701.44754629629</v>
      </c>
      <c r="C499" s="1" t="n">
        <v>45913</v>
      </c>
      <c r="D499" t="inlineStr">
        <is>
          <t>SÖDERMANLANDS LÄN</t>
        </is>
      </c>
      <c r="E499" t="inlineStr">
        <is>
          <t>KATRINEHOLM</t>
        </is>
      </c>
      <c r="G499" t="n">
        <v>6.8</v>
      </c>
      <c r="H499" t="n">
        <v>0</v>
      </c>
      <c r="I499" t="n">
        <v>0</v>
      </c>
      <c r="J499" t="n">
        <v>0</v>
      </c>
      <c r="K499" t="n">
        <v>0</v>
      </c>
      <c r="L499" t="n">
        <v>0</v>
      </c>
      <c r="M499" t="n">
        <v>0</v>
      </c>
      <c r="N499" t="n">
        <v>0</v>
      </c>
      <c r="O499" t="n">
        <v>0</v>
      </c>
      <c r="P499" t="n">
        <v>0</v>
      </c>
      <c r="Q499" t="n">
        <v>0</v>
      </c>
      <c r="R499" s="2" t="inlineStr"/>
    </row>
    <row r="500" ht="15" customHeight="1">
      <c r="A500" t="inlineStr">
        <is>
          <t>A 20846-2022</t>
        </is>
      </c>
      <c r="B500" s="1" t="n">
        <v>44701.4744212963</v>
      </c>
      <c r="C500" s="1" t="n">
        <v>45913</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49078-2024</t>
        </is>
      </c>
      <c r="B501" s="1" t="n">
        <v>45594.62556712963</v>
      </c>
      <c r="C501" s="1" t="n">
        <v>45913</v>
      </c>
      <c r="D501" t="inlineStr">
        <is>
          <t>SÖDERMANLANDS LÄN</t>
        </is>
      </c>
      <c r="E501" t="inlineStr">
        <is>
          <t>KATRINEHOLM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51440-2024</t>
        </is>
      </c>
      <c r="B502" s="1" t="n">
        <v>45604</v>
      </c>
      <c r="C502" s="1" t="n">
        <v>45913</v>
      </c>
      <c r="D502" t="inlineStr">
        <is>
          <t>SÖDERMANLANDS LÄN</t>
        </is>
      </c>
      <c r="E502" t="inlineStr">
        <is>
          <t>KATRINEHOLM</t>
        </is>
      </c>
      <c r="G502" t="n">
        <v>4.7</v>
      </c>
      <c r="H502" t="n">
        <v>0</v>
      </c>
      <c r="I502" t="n">
        <v>0</v>
      </c>
      <c r="J502" t="n">
        <v>0</v>
      </c>
      <c r="K502" t="n">
        <v>0</v>
      </c>
      <c r="L502" t="n">
        <v>0</v>
      </c>
      <c r="M502" t="n">
        <v>0</v>
      </c>
      <c r="N502" t="n">
        <v>0</v>
      </c>
      <c r="O502" t="n">
        <v>0</v>
      </c>
      <c r="P502" t="n">
        <v>0</v>
      </c>
      <c r="Q502" t="n">
        <v>0</v>
      </c>
      <c r="R502" s="2" t="inlineStr"/>
    </row>
    <row r="503" ht="15" customHeight="1">
      <c r="A503" t="inlineStr">
        <is>
          <t>A 1143-2024</t>
        </is>
      </c>
      <c r="B503" s="1" t="n">
        <v>45302</v>
      </c>
      <c r="C503" s="1" t="n">
        <v>45913</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3982-2024</t>
        </is>
      </c>
      <c r="B504" s="1" t="n">
        <v>45322</v>
      </c>
      <c r="C504" s="1" t="n">
        <v>45913</v>
      </c>
      <c r="D504" t="inlineStr">
        <is>
          <t>SÖDERMANLANDS LÄN</t>
        </is>
      </c>
      <c r="E504" t="inlineStr">
        <is>
          <t>KATRINEHOLM</t>
        </is>
      </c>
      <c r="G504" t="n">
        <v>3.7</v>
      </c>
      <c r="H504" t="n">
        <v>0</v>
      </c>
      <c r="I504" t="n">
        <v>0</v>
      </c>
      <c r="J504" t="n">
        <v>0</v>
      </c>
      <c r="K504" t="n">
        <v>0</v>
      </c>
      <c r="L504" t="n">
        <v>0</v>
      </c>
      <c r="M504" t="n">
        <v>0</v>
      </c>
      <c r="N504" t="n">
        <v>0</v>
      </c>
      <c r="O504" t="n">
        <v>0</v>
      </c>
      <c r="P504" t="n">
        <v>0</v>
      </c>
      <c r="Q504" t="n">
        <v>0</v>
      </c>
      <c r="R504" s="2" t="inlineStr"/>
    </row>
    <row r="505" ht="15" customHeight="1">
      <c r="A505" t="inlineStr">
        <is>
          <t>A 57263-2022</t>
        </is>
      </c>
      <c r="B505" s="1" t="n">
        <v>44895</v>
      </c>
      <c r="C505" s="1" t="n">
        <v>45913</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37827-2025</t>
        </is>
      </c>
      <c r="B506" s="1" t="n">
        <v>45881.40907407407</v>
      </c>
      <c r="C506" s="1" t="n">
        <v>45913</v>
      </c>
      <c r="D506" t="inlineStr">
        <is>
          <t>SÖDERMANLANDS LÄN</t>
        </is>
      </c>
      <c r="E506" t="inlineStr">
        <is>
          <t>KATRINEHOLM</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47879-2023</t>
        </is>
      </c>
      <c r="B507" s="1" t="n">
        <v>45204</v>
      </c>
      <c r="C507" s="1" t="n">
        <v>45913</v>
      </c>
      <c r="D507" t="inlineStr">
        <is>
          <t>SÖDERMANLANDS LÄN</t>
        </is>
      </c>
      <c r="E507" t="inlineStr">
        <is>
          <t>KATRINEHOLM</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12975-2022</t>
        </is>
      </c>
      <c r="B508" s="1" t="n">
        <v>44643</v>
      </c>
      <c r="C508" s="1" t="n">
        <v>45913</v>
      </c>
      <c r="D508" t="inlineStr">
        <is>
          <t>SÖDERMANLANDS LÄN</t>
        </is>
      </c>
      <c r="E508" t="inlineStr">
        <is>
          <t>KATRINEHOLM</t>
        </is>
      </c>
      <c r="G508" t="n">
        <v>2.4</v>
      </c>
      <c r="H508" t="n">
        <v>0</v>
      </c>
      <c r="I508" t="n">
        <v>0</v>
      </c>
      <c r="J508" t="n">
        <v>0</v>
      </c>
      <c r="K508" t="n">
        <v>0</v>
      </c>
      <c r="L508" t="n">
        <v>0</v>
      </c>
      <c r="M508" t="n">
        <v>0</v>
      </c>
      <c r="N508" t="n">
        <v>0</v>
      </c>
      <c r="O508" t="n">
        <v>0</v>
      </c>
      <c r="P508" t="n">
        <v>0</v>
      </c>
      <c r="Q508" t="n">
        <v>0</v>
      </c>
      <c r="R508" s="2" t="inlineStr"/>
    </row>
    <row r="509" ht="15" customHeight="1">
      <c r="A509" t="inlineStr">
        <is>
          <t>A 28427-2024</t>
        </is>
      </c>
      <c r="B509" s="1" t="n">
        <v>45477.64910879629</v>
      </c>
      <c r="C509" s="1" t="n">
        <v>45913</v>
      </c>
      <c r="D509" t="inlineStr">
        <is>
          <t>SÖDERMANLANDS LÄN</t>
        </is>
      </c>
      <c r="E509" t="inlineStr">
        <is>
          <t>KATRINEHOLM</t>
        </is>
      </c>
      <c r="G509" t="n">
        <v>5.9</v>
      </c>
      <c r="H509" t="n">
        <v>0</v>
      </c>
      <c r="I509" t="n">
        <v>0</v>
      </c>
      <c r="J509" t="n">
        <v>0</v>
      </c>
      <c r="K509" t="n">
        <v>0</v>
      </c>
      <c r="L509" t="n">
        <v>0</v>
      </c>
      <c r="M509" t="n">
        <v>0</v>
      </c>
      <c r="N509" t="n">
        <v>0</v>
      </c>
      <c r="O509" t="n">
        <v>0</v>
      </c>
      <c r="P509" t="n">
        <v>0</v>
      </c>
      <c r="Q509" t="n">
        <v>0</v>
      </c>
      <c r="R509" s="2" t="inlineStr"/>
    </row>
    <row r="510" ht="15" customHeight="1">
      <c r="A510" t="inlineStr">
        <is>
          <t>A 28431-2024</t>
        </is>
      </c>
      <c r="B510" s="1" t="n">
        <v>45477.65216435185</v>
      </c>
      <c r="C510" s="1" t="n">
        <v>45913</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51260-2021</t>
        </is>
      </c>
      <c r="B511" s="1" t="n">
        <v>44461</v>
      </c>
      <c r="C511" s="1" t="n">
        <v>45913</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53843-2023</t>
        </is>
      </c>
      <c r="B512" s="1" t="n">
        <v>45230</v>
      </c>
      <c r="C512" s="1" t="n">
        <v>45913</v>
      </c>
      <c r="D512" t="inlineStr">
        <is>
          <t>SÖDERMANLANDS LÄN</t>
        </is>
      </c>
      <c r="E512" t="inlineStr">
        <is>
          <t>KATRINEHOLM</t>
        </is>
      </c>
      <c r="G512" t="n">
        <v>14.2</v>
      </c>
      <c r="H512" t="n">
        <v>0</v>
      </c>
      <c r="I512" t="n">
        <v>0</v>
      </c>
      <c r="J512" t="n">
        <v>0</v>
      </c>
      <c r="K512" t="n">
        <v>0</v>
      </c>
      <c r="L512" t="n">
        <v>0</v>
      </c>
      <c r="M512" t="n">
        <v>0</v>
      </c>
      <c r="N512" t="n">
        <v>0</v>
      </c>
      <c r="O512" t="n">
        <v>0</v>
      </c>
      <c r="P512" t="n">
        <v>0</v>
      </c>
      <c r="Q512" t="n">
        <v>0</v>
      </c>
      <c r="R512" s="2" t="inlineStr"/>
    </row>
    <row r="513" ht="15" customHeight="1">
      <c r="A513" t="inlineStr">
        <is>
          <t>A 48763-2024</t>
        </is>
      </c>
      <c r="B513" s="1" t="n">
        <v>45593.60288194445</v>
      </c>
      <c r="C513" s="1" t="n">
        <v>45913</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33077-2025</t>
        </is>
      </c>
      <c r="B514" s="1" t="n">
        <v>45840.45864583334</v>
      </c>
      <c r="C514" s="1" t="n">
        <v>45913</v>
      </c>
      <c r="D514" t="inlineStr">
        <is>
          <t>SÖDERMANLANDS LÄN</t>
        </is>
      </c>
      <c r="E514" t="inlineStr">
        <is>
          <t>KATRINEHOLM</t>
        </is>
      </c>
      <c r="G514" t="n">
        <v>7</v>
      </c>
      <c r="H514" t="n">
        <v>0</v>
      </c>
      <c r="I514" t="n">
        <v>0</v>
      </c>
      <c r="J514" t="n">
        <v>0</v>
      </c>
      <c r="K514" t="n">
        <v>0</v>
      </c>
      <c r="L514" t="n">
        <v>0</v>
      </c>
      <c r="M514" t="n">
        <v>0</v>
      </c>
      <c r="N514" t="n">
        <v>0</v>
      </c>
      <c r="O514" t="n">
        <v>0</v>
      </c>
      <c r="P514" t="n">
        <v>0</v>
      </c>
      <c r="Q514" t="n">
        <v>0</v>
      </c>
      <c r="R514" s="2" t="inlineStr"/>
    </row>
    <row r="515" ht="15" customHeight="1">
      <c r="A515" t="inlineStr">
        <is>
          <t>A 14478-2023</t>
        </is>
      </c>
      <c r="B515" s="1" t="n">
        <v>45012.66421296296</v>
      </c>
      <c r="C515" s="1" t="n">
        <v>45913</v>
      </c>
      <c r="D515" t="inlineStr">
        <is>
          <t>SÖDERMANLANDS LÄN</t>
        </is>
      </c>
      <c r="E515" t="inlineStr">
        <is>
          <t>KATRINEHOLM</t>
        </is>
      </c>
      <c r="G515" t="n">
        <v>3.9</v>
      </c>
      <c r="H515" t="n">
        <v>0</v>
      </c>
      <c r="I515" t="n">
        <v>0</v>
      </c>
      <c r="J515" t="n">
        <v>0</v>
      </c>
      <c r="K515" t="n">
        <v>0</v>
      </c>
      <c r="L515" t="n">
        <v>0</v>
      </c>
      <c r="M515" t="n">
        <v>0</v>
      </c>
      <c r="N515" t="n">
        <v>0</v>
      </c>
      <c r="O515" t="n">
        <v>0</v>
      </c>
      <c r="P515" t="n">
        <v>0</v>
      </c>
      <c r="Q515" t="n">
        <v>0</v>
      </c>
      <c r="R515" s="2" t="inlineStr"/>
    </row>
    <row r="516" ht="15" customHeight="1">
      <c r="A516" t="inlineStr">
        <is>
          <t>A 20921-2023</t>
        </is>
      </c>
      <c r="B516" s="1" t="n">
        <v>45061</v>
      </c>
      <c r="C516" s="1" t="n">
        <v>45913</v>
      </c>
      <c r="D516" t="inlineStr">
        <is>
          <t>SÖDERMANLANDS LÄN</t>
        </is>
      </c>
      <c r="E516" t="inlineStr">
        <is>
          <t>KATRINEHOLM</t>
        </is>
      </c>
      <c r="G516" t="n">
        <v>8.9</v>
      </c>
      <c r="H516" t="n">
        <v>0</v>
      </c>
      <c r="I516" t="n">
        <v>0</v>
      </c>
      <c r="J516" t="n">
        <v>0</v>
      </c>
      <c r="K516" t="n">
        <v>0</v>
      </c>
      <c r="L516" t="n">
        <v>0</v>
      </c>
      <c r="M516" t="n">
        <v>0</v>
      </c>
      <c r="N516" t="n">
        <v>0</v>
      </c>
      <c r="O516" t="n">
        <v>0</v>
      </c>
      <c r="P516" t="n">
        <v>0</v>
      </c>
      <c r="Q516" t="n">
        <v>0</v>
      </c>
      <c r="R516" s="2" t="inlineStr"/>
    </row>
    <row r="517" ht="15" customHeight="1">
      <c r="A517" t="inlineStr">
        <is>
          <t>A 12930-2023</t>
        </is>
      </c>
      <c r="B517" s="1" t="n">
        <v>45001</v>
      </c>
      <c r="C517" s="1" t="n">
        <v>45913</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12938-2023</t>
        </is>
      </c>
      <c r="B518" s="1" t="n">
        <v>45001</v>
      </c>
      <c r="C518" s="1" t="n">
        <v>45913</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62418-2023</t>
        </is>
      </c>
      <c r="B519" s="1" t="n">
        <v>45268</v>
      </c>
      <c r="C519" s="1" t="n">
        <v>45913</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12559-2023</t>
        </is>
      </c>
      <c r="B520" s="1" t="n">
        <v>45000.36373842593</v>
      </c>
      <c r="C520" s="1" t="n">
        <v>45913</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7704-2023</t>
        </is>
      </c>
      <c r="B521" s="1" t="n">
        <v>44968</v>
      </c>
      <c r="C521" s="1" t="n">
        <v>45913</v>
      </c>
      <c r="D521" t="inlineStr">
        <is>
          <t>SÖDERMANLANDS LÄN</t>
        </is>
      </c>
      <c r="E521" t="inlineStr">
        <is>
          <t>KATRINEHOLM</t>
        </is>
      </c>
      <c r="G521" t="n">
        <v>7.3</v>
      </c>
      <c r="H521" t="n">
        <v>0</v>
      </c>
      <c r="I521" t="n">
        <v>0</v>
      </c>
      <c r="J521" t="n">
        <v>0</v>
      </c>
      <c r="K521" t="n">
        <v>0</v>
      </c>
      <c r="L521" t="n">
        <v>0</v>
      </c>
      <c r="M521" t="n">
        <v>0</v>
      </c>
      <c r="N521" t="n">
        <v>0</v>
      </c>
      <c r="O521" t="n">
        <v>0</v>
      </c>
      <c r="P521" t="n">
        <v>0</v>
      </c>
      <c r="Q521" t="n">
        <v>0</v>
      </c>
      <c r="R521" s="2" t="inlineStr"/>
    </row>
    <row r="522" ht="15" customHeight="1">
      <c r="A522" t="inlineStr">
        <is>
          <t>A 49122-2024</t>
        </is>
      </c>
      <c r="B522" s="1" t="n">
        <v>45594</v>
      </c>
      <c r="C522" s="1" t="n">
        <v>45913</v>
      </c>
      <c r="D522" t="inlineStr">
        <is>
          <t>SÖDERMANLANDS LÄN</t>
        </is>
      </c>
      <c r="E522" t="inlineStr">
        <is>
          <t>KATRINEHOLM</t>
        </is>
      </c>
      <c r="G522" t="n">
        <v>19.4</v>
      </c>
      <c r="H522" t="n">
        <v>0</v>
      </c>
      <c r="I522" t="n">
        <v>0</v>
      </c>
      <c r="J522" t="n">
        <v>0</v>
      </c>
      <c r="K522" t="n">
        <v>0</v>
      </c>
      <c r="L522" t="n">
        <v>0</v>
      </c>
      <c r="M522" t="n">
        <v>0</v>
      </c>
      <c r="N522" t="n">
        <v>0</v>
      </c>
      <c r="O522" t="n">
        <v>0</v>
      </c>
      <c r="P522" t="n">
        <v>0</v>
      </c>
      <c r="Q522" t="n">
        <v>0</v>
      </c>
      <c r="R522" s="2" t="inlineStr"/>
    </row>
    <row r="523" ht="15" customHeight="1">
      <c r="A523" t="inlineStr">
        <is>
          <t>A 12937-2023</t>
        </is>
      </c>
      <c r="B523" s="1" t="n">
        <v>45001</v>
      </c>
      <c r="C523" s="1" t="n">
        <v>45913</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11127-2023</t>
        </is>
      </c>
      <c r="B524" s="1" t="n">
        <v>44987</v>
      </c>
      <c r="C524" s="1" t="n">
        <v>45913</v>
      </c>
      <c r="D524" t="inlineStr">
        <is>
          <t>SÖDERMANLANDS LÄN</t>
        </is>
      </c>
      <c r="E524" t="inlineStr">
        <is>
          <t>KATRINEHOLM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45142-2021</t>
        </is>
      </c>
      <c r="B525" s="1" t="n">
        <v>44439</v>
      </c>
      <c r="C525" s="1" t="n">
        <v>45913</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7191-2023</t>
        </is>
      </c>
      <c r="B526" s="1" t="n">
        <v>44965</v>
      </c>
      <c r="C526" s="1" t="n">
        <v>45913</v>
      </c>
      <c r="D526" t="inlineStr">
        <is>
          <t>SÖDERMANLANDS LÄN</t>
        </is>
      </c>
      <c r="E526" t="inlineStr">
        <is>
          <t>KATRINEHOLM</t>
        </is>
      </c>
      <c r="G526" t="n">
        <v>14.1</v>
      </c>
      <c r="H526" t="n">
        <v>0</v>
      </c>
      <c r="I526" t="n">
        <v>0</v>
      </c>
      <c r="J526" t="n">
        <v>0</v>
      </c>
      <c r="K526" t="n">
        <v>0</v>
      </c>
      <c r="L526" t="n">
        <v>0</v>
      </c>
      <c r="M526" t="n">
        <v>0</v>
      </c>
      <c r="N526" t="n">
        <v>0</v>
      </c>
      <c r="O526" t="n">
        <v>0</v>
      </c>
      <c r="P526" t="n">
        <v>0</v>
      </c>
      <c r="Q526" t="n">
        <v>0</v>
      </c>
      <c r="R526" s="2" t="inlineStr"/>
    </row>
    <row r="527" ht="15" customHeight="1">
      <c r="A527" t="inlineStr">
        <is>
          <t>A 66540-2021</t>
        </is>
      </c>
      <c r="B527" s="1" t="n">
        <v>44519</v>
      </c>
      <c r="C527" s="1" t="n">
        <v>45913</v>
      </c>
      <c r="D527" t="inlineStr">
        <is>
          <t>SÖDERMANLANDS LÄN</t>
        </is>
      </c>
      <c r="E527" t="inlineStr">
        <is>
          <t>KATRINEHOLM</t>
        </is>
      </c>
      <c r="F527" t="inlineStr">
        <is>
          <t>Holmen skog AB</t>
        </is>
      </c>
      <c r="G527" t="n">
        <v>0.4</v>
      </c>
      <c r="H527" t="n">
        <v>0</v>
      </c>
      <c r="I527" t="n">
        <v>0</v>
      </c>
      <c r="J527" t="n">
        <v>0</v>
      </c>
      <c r="K527" t="n">
        <v>0</v>
      </c>
      <c r="L527" t="n">
        <v>0</v>
      </c>
      <c r="M527" t="n">
        <v>0</v>
      </c>
      <c r="N527" t="n">
        <v>0</v>
      </c>
      <c r="O527" t="n">
        <v>0</v>
      </c>
      <c r="P527" t="n">
        <v>0</v>
      </c>
      <c r="Q527" t="n">
        <v>0</v>
      </c>
      <c r="R527" s="2" t="inlineStr"/>
    </row>
    <row r="528" ht="15" customHeight="1">
      <c r="A528" t="inlineStr">
        <is>
          <t>A 27345-2023</t>
        </is>
      </c>
      <c r="B528" s="1" t="n">
        <v>45096</v>
      </c>
      <c r="C528" s="1" t="n">
        <v>45913</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1151-2025</t>
        </is>
      </c>
      <c r="B529" s="1" t="n">
        <v>45666</v>
      </c>
      <c r="C529" s="1" t="n">
        <v>45913</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6808-2023</t>
        </is>
      </c>
      <c r="B530" s="1" t="n">
        <v>44964</v>
      </c>
      <c r="C530" s="1" t="n">
        <v>45913</v>
      </c>
      <c r="D530" t="inlineStr">
        <is>
          <t>SÖDERMANLANDS LÄN</t>
        </is>
      </c>
      <c r="E530" t="inlineStr">
        <is>
          <t>KATRINEHOLM</t>
        </is>
      </c>
      <c r="G530" t="n">
        <v>1.5</v>
      </c>
      <c r="H530" t="n">
        <v>0</v>
      </c>
      <c r="I530" t="n">
        <v>0</v>
      </c>
      <c r="J530" t="n">
        <v>0</v>
      </c>
      <c r="K530" t="n">
        <v>0</v>
      </c>
      <c r="L530" t="n">
        <v>0</v>
      </c>
      <c r="M530" t="n">
        <v>0</v>
      </c>
      <c r="N530" t="n">
        <v>0</v>
      </c>
      <c r="O530" t="n">
        <v>0</v>
      </c>
      <c r="P530" t="n">
        <v>0</v>
      </c>
      <c r="Q530" t="n">
        <v>0</v>
      </c>
      <c r="R530" s="2" t="inlineStr"/>
    </row>
    <row r="531" ht="15" customHeight="1">
      <c r="A531" t="inlineStr">
        <is>
          <t>A 61394-2024</t>
        </is>
      </c>
      <c r="B531" s="1" t="n">
        <v>45646.42061342593</v>
      </c>
      <c r="C531" s="1" t="n">
        <v>45913</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8394-2024</t>
        </is>
      </c>
      <c r="B532" s="1" t="n">
        <v>45352</v>
      </c>
      <c r="C532" s="1" t="n">
        <v>45913</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18339-2023</t>
        </is>
      </c>
      <c r="B533" s="1" t="n">
        <v>45041</v>
      </c>
      <c r="C533" s="1" t="n">
        <v>45913</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58522-2024</t>
        </is>
      </c>
      <c r="B534" s="1" t="n">
        <v>45635.43770833333</v>
      </c>
      <c r="C534" s="1" t="n">
        <v>45913</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33096-2025</t>
        </is>
      </c>
      <c r="B535" s="1" t="n">
        <v>45840.47563657408</v>
      </c>
      <c r="C535" s="1" t="n">
        <v>45913</v>
      </c>
      <c r="D535" t="inlineStr">
        <is>
          <t>SÖDERMANLANDS LÄN</t>
        </is>
      </c>
      <c r="E535" t="inlineStr">
        <is>
          <t>KATRINEHOLM</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33101-2025</t>
        </is>
      </c>
      <c r="B536" s="1" t="n">
        <v>45840.47953703703</v>
      </c>
      <c r="C536" s="1" t="n">
        <v>45913</v>
      </c>
      <c r="D536" t="inlineStr">
        <is>
          <t>SÖDERMANLANDS LÄN</t>
        </is>
      </c>
      <c r="E536" t="inlineStr">
        <is>
          <t>KATRINEHOLM</t>
        </is>
      </c>
      <c r="G536" t="n">
        <v>4.4</v>
      </c>
      <c r="H536" t="n">
        <v>0</v>
      </c>
      <c r="I536" t="n">
        <v>0</v>
      </c>
      <c r="J536" t="n">
        <v>0</v>
      </c>
      <c r="K536" t="n">
        <v>0</v>
      </c>
      <c r="L536" t="n">
        <v>0</v>
      </c>
      <c r="M536" t="n">
        <v>0</v>
      </c>
      <c r="N536" t="n">
        <v>0</v>
      </c>
      <c r="O536" t="n">
        <v>0</v>
      </c>
      <c r="P536" t="n">
        <v>0</v>
      </c>
      <c r="Q536" t="n">
        <v>0</v>
      </c>
      <c r="R536" s="2" t="inlineStr"/>
    </row>
    <row r="537" ht="15" customHeight="1">
      <c r="A537" t="inlineStr">
        <is>
          <t>A 33090-2025</t>
        </is>
      </c>
      <c r="B537" s="1" t="n">
        <v>45840.46840277778</v>
      </c>
      <c r="C537" s="1" t="n">
        <v>45913</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13658-2023</t>
        </is>
      </c>
      <c r="B538" s="1" t="n">
        <v>45006</v>
      </c>
      <c r="C538" s="1" t="n">
        <v>45913</v>
      </c>
      <c r="D538" t="inlineStr">
        <is>
          <t>SÖDERMANLANDS LÄN</t>
        </is>
      </c>
      <c r="E538" t="inlineStr">
        <is>
          <t>KATRINEHOLM</t>
        </is>
      </c>
      <c r="F538" t="inlineStr">
        <is>
          <t>Kyrkan</t>
        </is>
      </c>
      <c r="G538" t="n">
        <v>24.3</v>
      </c>
      <c r="H538" t="n">
        <v>0</v>
      </c>
      <c r="I538" t="n">
        <v>0</v>
      </c>
      <c r="J538" t="n">
        <v>0</v>
      </c>
      <c r="K538" t="n">
        <v>0</v>
      </c>
      <c r="L538" t="n">
        <v>0</v>
      </c>
      <c r="M538" t="n">
        <v>0</v>
      </c>
      <c r="N538" t="n">
        <v>0</v>
      </c>
      <c r="O538" t="n">
        <v>0</v>
      </c>
      <c r="P538" t="n">
        <v>0</v>
      </c>
      <c r="Q538" t="n">
        <v>0</v>
      </c>
      <c r="R538" s="2" t="inlineStr"/>
    </row>
    <row r="539" ht="15" customHeight="1">
      <c r="A539" t="inlineStr">
        <is>
          <t>A 61385-2023</t>
        </is>
      </c>
      <c r="B539" s="1" t="n">
        <v>45264.64241898148</v>
      </c>
      <c r="C539" s="1" t="n">
        <v>45913</v>
      </c>
      <c r="D539" t="inlineStr">
        <is>
          <t>SÖDERMANLANDS LÄN</t>
        </is>
      </c>
      <c r="E539" t="inlineStr">
        <is>
          <t>KATRINEHOLM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55825-2022</t>
        </is>
      </c>
      <c r="B540" s="1" t="n">
        <v>44886</v>
      </c>
      <c r="C540" s="1" t="n">
        <v>45913</v>
      </c>
      <c r="D540" t="inlineStr">
        <is>
          <t>SÖDERMANLANDS LÄN</t>
        </is>
      </c>
      <c r="E540" t="inlineStr">
        <is>
          <t>KATRINEHOLM</t>
        </is>
      </c>
      <c r="G540" t="n">
        <v>1.3</v>
      </c>
      <c r="H540" t="n">
        <v>0</v>
      </c>
      <c r="I540" t="n">
        <v>0</v>
      </c>
      <c r="J540" t="n">
        <v>0</v>
      </c>
      <c r="K540" t="n">
        <v>0</v>
      </c>
      <c r="L540" t="n">
        <v>0</v>
      </c>
      <c r="M540" t="n">
        <v>0</v>
      </c>
      <c r="N540" t="n">
        <v>0</v>
      </c>
      <c r="O540" t="n">
        <v>0</v>
      </c>
      <c r="P540" t="n">
        <v>0</v>
      </c>
      <c r="Q540" t="n">
        <v>0</v>
      </c>
      <c r="R540" s="2" t="inlineStr"/>
    </row>
    <row r="541" ht="15" customHeight="1">
      <c r="A541" t="inlineStr">
        <is>
          <t>A 55856-2022</t>
        </is>
      </c>
      <c r="B541" s="1" t="n">
        <v>44888</v>
      </c>
      <c r="C541" s="1" t="n">
        <v>45913</v>
      </c>
      <c r="D541" t="inlineStr">
        <is>
          <t>SÖDERMANLANDS LÄN</t>
        </is>
      </c>
      <c r="E541" t="inlineStr">
        <is>
          <t>KATRINEHOLM</t>
        </is>
      </c>
      <c r="G541" t="n">
        <v>5.6</v>
      </c>
      <c r="H541" t="n">
        <v>0</v>
      </c>
      <c r="I541" t="n">
        <v>0</v>
      </c>
      <c r="J541" t="n">
        <v>0</v>
      </c>
      <c r="K541" t="n">
        <v>0</v>
      </c>
      <c r="L541" t="n">
        <v>0</v>
      </c>
      <c r="M541" t="n">
        <v>0</v>
      </c>
      <c r="N541" t="n">
        <v>0</v>
      </c>
      <c r="O541" t="n">
        <v>0</v>
      </c>
      <c r="P541" t="n">
        <v>0</v>
      </c>
      <c r="Q541" t="n">
        <v>0</v>
      </c>
      <c r="R541" s="2" t="inlineStr"/>
    </row>
    <row r="542" ht="15" customHeight="1">
      <c r="A542" t="inlineStr">
        <is>
          <t>A 47889-2023</t>
        </is>
      </c>
      <c r="B542" s="1" t="n">
        <v>45204</v>
      </c>
      <c r="C542" s="1" t="n">
        <v>45913</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43513-2023</t>
        </is>
      </c>
      <c r="B543" s="1" t="n">
        <v>45184</v>
      </c>
      <c r="C543" s="1" t="n">
        <v>45913</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34732-2022</t>
        </is>
      </c>
      <c r="B544" s="1" t="n">
        <v>44795</v>
      </c>
      <c r="C544" s="1" t="n">
        <v>45913</v>
      </c>
      <c r="D544" t="inlineStr">
        <is>
          <t>SÖDERMANLANDS LÄN</t>
        </is>
      </c>
      <c r="E544" t="inlineStr">
        <is>
          <t>KATRINEHOLM</t>
        </is>
      </c>
      <c r="G544" t="n">
        <v>3</v>
      </c>
      <c r="H544" t="n">
        <v>0</v>
      </c>
      <c r="I544" t="n">
        <v>0</v>
      </c>
      <c r="J544" t="n">
        <v>0</v>
      </c>
      <c r="K544" t="n">
        <v>0</v>
      </c>
      <c r="L544" t="n">
        <v>0</v>
      </c>
      <c r="M544" t="n">
        <v>0</v>
      </c>
      <c r="N544" t="n">
        <v>0</v>
      </c>
      <c r="O544" t="n">
        <v>0</v>
      </c>
      <c r="P544" t="n">
        <v>0</v>
      </c>
      <c r="Q544" t="n">
        <v>0</v>
      </c>
      <c r="R544" s="2" t="inlineStr"/>
    </row>
    <row r="545" ht="15" customHeight="1">
      <c r="A545" t="inlineStr">
        <is>
          <t>A 33084-2025</t>
        </is>
      </c>
      <c r="B545" s="1" t="n">
        <v>45840.46559027778</v>
      </c>
      <c r="C545" s="1" t="n">
        <v>45913</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33129-2025</t>
        </is>
      </c>
      <c r="B546" s="1" t="n">
        <v>45840.50141203704</v>
      </c>
      <c r="C546" s="1" t="n">
        <v>45913</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32166-2022</t>
        </is>
      </c>
      <c r="B547" s="1" t="n">
        <v>44781</v>
      </c>
      <c r="C547" s="1" t="n">
        <v>45913</v>
      </c>
      <c r="D547" t="inlineStr">
        <is>
          <t>SÖDERMANLANDS LÄN</t>
        </is>
      </c>
      <c r="E547" t="inlineStr">
        <is>
          <t>KATRINEHOLM</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45913</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35864-2023</t>
        </is>
      </c>
      <c r="B549" s="1" t="n">
        <v>45147</v>
      </c>
      <c r="C549" s="1" t="n">
        <v>45913</v>
      </c>
      <c r="D549" t="inlineStr">
        <is>
          <t>SÖDERMANLANDS LÄN</t>
        </is>
      </c>
      <c r="E549" t="inlineStr">
        <is>
          <t>KATRINEHOLM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8951-2024</t>
        </is>
      </c>
      <c r="B550" s="1" t="n">
        <v>45357.44695601852</v>
      </c>
      <c r="C550" s="1" t="n">
        <v>45913</v>
      </c>
      <c r="D550" t="inlineStr">
        <is>
          <t>SÖDERMANLANDS LÄN</t>
        </is>
      </c>
      <c r="E550" t="inlineStr">
        <is>
          <t>KATRINEHOLM</t>
        </is>
      </c>
      <c r="G550" t="n">
        <v>3.3</v>
      </c>
      <c r="H550" t="n">
        <v>0</v>
      </c>
      <c r="I550" t="n">
        <v>0</v>
      </c>
      <c r="J550" t="n">
        <v>0</v>
      </c>
      <c r="K550" t="n">
        <v>0</v>
      </c>
      <c r="L550" t="n">
        <v>0</v>
      </c>
      <c r="M550" t="n">
        <v>0</v>
      </c>
      <c r="N550" t="n">
        <v>0</v>
      </c>
      <c r="O550" t="n">
        <v>0</v>
      </c>
      <c r="P550" t="n">
        <v>0</v>
      </c>
      <c r="Q550" t="n">
        <v>0</v>
      </c>
      <c r="R550" s="2" t="inlineStr"/>
    </row>
    <row r="551" ht="15" customHeight="1">
      <c r="A551" t="inlineStr">
        <is>
          <t>A 8955-2024</t>
        </is>
      </c>
      <c r="B551" s="1" t="n">
        <v>45357.44873842593</v>
      </c>
      <c r="C551" s="1" t="n">
        <v>45913</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15945-2024</t>
        </is>
      </c>
      <c r="B552" s="1" t="n">
        <v>45405.48912037037</v>
      </c>
      <c r="C552" s="1" t="n">
        <v>45913</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48838-2020</t>
        </is>
      </c>
      <c r="B553" s="1" t="n">
        <v>44099</v>
      </c>
      <c r="C553" s="1" t="n">
        <v>45913</v>
      </c>
      <c r="D553" t="inlineStr">
        <is>
          <t>SÖDERMANLANDS LÄN</t>
        </is>
      </c>
      <c r="E553" t="inlineStr">
        <is>
          <t>KATRINEHOLM</t>
        </is>
      </c>
      <c r="G553" t="n">
        <v>6.8</v>
      </c>
      <c r="H553" t="n">
        <v>0</v>
      </c>
      <c r="I553" t="n">
        <v>0</v>
      </c>
      <c r="J553" t="n">
        <v>0</v>
      </c>
      <c r="K553" t="n">
        <v>0</v>
      </c>
      <c r="L553" t="n">
        <v>0</v>
      </c>
      <c r="M553" t="n">
        <v>0</v>
      </c>
      <c r="N553" t="n">
        <v>0</v>
      </c>
      <c r="O553" t="n">
        <v>0</v>
      </c>
      <c r="P553" t="n">
        <v>0</v>
      </c>
      <c r="Q553" t="n">
        <v>0</v>
      </c>
      <c r="R553" s="2" t="inlineStr"/>
    </row>
    <row r="554" ht="15" customHeight="1">
      <c r="A554" t="inlineStr">
        <is>
          <t>A 44637-2023</t>
        </is>
      </c>
      <c r="B554" s="1" t="n">
        <v>45189</v>
      </c>
      <c r="C554" s="1" t="n">
        <v>45913</v>
      </c>
      <c r="D554" t="inlineStr">
        <is>
          <t>SÖDERMANLANDS LÄN</t>
        </is>
      </c>
      <c r="E554" t="inlineStr">
        <is>
          <t>KATRINEHOLM</t>
        </is>
      </c>
      <c r="G554" t="n">
        <v>5.1</v>
      </c>
      <c r="H554" t="n">
        <v>0</v>
      </c>
      <c r="I554" t="n">
        <v>0</v>
      </c>
      <c r="J554" t="n">
        <v>0</v>
      </c>
      <c r="K554" t="n">
        <v>0</v>
      </c>
      <c r="L554" t="n">
        <v>0</v>
      </c>
      <c r="M554" t="n">
        <v>0</v>
      </c>
      <c r="N554" t="n">
        <v>0</v>
      </c>
      <c r="O554" t="n">
        <v>0</v>
      </c>
      <c r="P554" t="n">
        <v>0</v>
      </c>
      <c r="Q554" t="n">
        <v>0</v>
      </c>
      <c r="R554" s="2" t="inlineStr"/>
    </row>
    <row r="555" ht="15" customHeight="1">
      <c r="A555" t="inlineStr">
        <is>
          <t>A 4655-2024</t>
        </is>
      </c>
      <c r="B555" s="1" t="n">
        <v>45328</v>
      </c>
      <c r="C555" s="1" t="n">
        <v>45913</v>
      </c>
      <c r="D555" t="inlineStr">
        <is>
          <t>SÖDERMANLANDS LÄN</t>
        </is>
      </c>
      <c r="E555" t="inlineStr">
        <is>
          <t>KATRINEHOLM</t>
        </is>
      </c>
      <c r="G555" t="n">
        <v>17.7</v>
      </c>
      <c r="H555" t="n">
        <v>0</v>
      </c>
      <c r="I555" t="n">
        <v>0</v>
      </c>
      <c r="J555" t="n">
        <v>0</v>
      </c>
      <c r="K555" t="n">
        <v>0</v>
      </c>
      <c r="L555" t="n">
        <v>0</v>
      </c>
      <c r="M555" t="n">
        <v>0</v>
      </c>
      <c r="N555" t="n">
        <v>0</v>
      </c>
      <c r="O555" t="n">
        <v>0</v>
      </c>
      <c r="P555" t="n">
        <v>0</v>
      </c>
      <c r="Q555" t="n">
        <v>0</v>
      </c>
      <c r="R555" s="2" t="inlineStr"/>
    </row>
    <row r="556" ht="15" customHeight="1">
      <c r="A556" t="inlineStr">
        <is>
          <t>A 53387-2023</t>
        </is>
      </c>
      <c r="B556" s="1" t="n">
        <v>45229</v>
      </c>
      <c r="C556" s="1" t="n">
        <v>45913</v>
      </c>
      <c r="D556" t="inlineStr">
        <is>
          <t>SÖDERMANLANDS LÄN</t>
        </is>
      </c>
      <c r="E556" t="inlineStr">
        <is>
          <t>KATRINEHOLM</t>
        </is>
      </c>
      <c r="F556" t="inlineStr">
        <is>
          <t>Kyrkan</t>
        </is>
      </c>
      <c r="G556" t="n">
        <v>7.4</v>
      </c>
      <c r="H556" t="n">
        <v>0</v>
      </c>
      <c r="I556" t="n">
        <v>0</v>
      </c>
      <c r="J556" t="n">
        <v>0</v>
      </c>
      <c r="K556" t="n">
        <v>0</v>
      </c>
      <c r="L556" t="n">
        <v>0</v>
      </c>
      <c r="M556" t="n">
        <v>0</v>
      </c>
      <c r="N556" t="n">
        <v>0</v>
      </c>
      <c r="O556" t="n">
        <v>0</v>
      </c>
      <c r="P556" t="n">
        <v>0</v>
      </c>
      <c r="Q556" t="n">
        <v>0</v>
      </c>
      <c r="R556" s="2" t="inlineStr"/>
    </row>
    <row r="557" ht="15" customHeight="1">
      <c r="A557" t="inlineStr">
        <is>
          <t>A 33577-2025</t>
        </is>
      </c>
      <c r="B557" s="1" t="n">
        <v>45841.59056712963</v>
      </c>
      <c r="C557" s="1" t="n">
        <v>45913</v>
      </c>
      <c r="D557" t="inlineStr">
        <is>
          <t>SÖDERMANLANDS LÄN</t>
        </is>
      </c>
      <c r="E557" t="inlineStr">
        <is>
          <t>KATRINEHOLM</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39055-2022</t>
        </is>
      </c>
      <c r="B558" s="1" t="n">
        <v>44817</v>
      </c>
      <c r="C558" s="1" t="n">
        <v>45913</v>
      </c>
      <c r="D558" t="inlineStr">
        <is>
          <t>SÖDERMANLANDS LÄN</t>
        </is>
      </c>
      <c r="E558" t="inlineStr">
        <is>
          <t>KATRINEHOLM</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46257-2021</t>
        </is>
      </c>
      <c r="B559" s="1" t="n">
        <v>44442</v>
      </c>
      <c r="C559" s="1" t="n">
        <v>45913</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33469-2025</t>
        </is>
      </c>
      <c r="B560" s="1" t="n">
        <v>45841.48686342593</v>
      </c>
      <c r="C560" s="1" t="n">
        <v>45913</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52769-2023</t>
        </is>
      </c>
      <c r="B561" s="1" t="n">
        <v>45226</v>
      </c>
      <c r="C561" s="1" t="n">
        <v>45913</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4758-2025</t>
        </is>
      </c>
      <c r="B562" s="1" t="n">
        <v>45688</v>
      </c>
      <c r="C562" s="1" t="n">
        <v>45913</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27852-2023</t>
        </is>
      </c>
      <c r="B563" s="1" t="n">
        <v>45098</v>
      </c>
      <c r="C563" s="1" t="n">
        <v>45913</v>
      </c>
      <c r="D563" t="inlineStr">
        <is>
          <t>SÖDERMANLANDS LÄN</t>
        </is>
      </c>
      <c r="E563" t="inlineStr">
        <is>
          <t>KATRINEHOLM</t>
        </is>
      </c>
      <c r="G563" t="n">
        <v>7.4</v>
      </c>
      <c r="H563" t="n">
        <v>0</v>
      </c>
      <c r="I563" t="n">
        <v>0</v>
      </c>
      <c r="J563" t="n">
        <v>0</v>
      </c>
      <c r="K563" t="n">
        <v>0</v>
      </c>
      <c r="L563" t="n">
        <v>0</v>
      </c>
      <c r="M563" t="n">
        <v>0</v>
      </c>
      <c r="N563" t="n">
        <v>0</v>
      </c>
      <c r="O563" t="n">
        <v>0</v>
      </c>
      <c r="P563" t="n">
        <v>0</v>
      </c>
      <c r="Q563" t="n">
        <v>0</v>
      </c>
      <c r="R563" s="2" t="inlineStr"/>
    </row>
    <row r="564" ht="15" customHeight="1">
      <c r="A564" t="inlineStr">
        <is>
          <t>A 28304-2024</t>
        </is>
      </c>
      <c r="B564" s="1" t="n">
        <v>45477</v>
      </c>
      <c r="C564" s="1" t="n">
        <v>45913</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61911-2021</t>
        </is>
      </c>
      <c r="B565" s="1" t="n">
        <v>44502.35746527778</v>
      </c>
      <c r="C565" s="1" t="n">
        <v>45913</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42945-2023</t>
        </is>
      </c>
      <c r="B566" s="1" t="n">
        <v>45182.5793287037</v>
      </c>
      <c r="C566" s="1" t="n">
        <v>45913</v>
      </c>
      <c r="D566" t="inlineStr">
        <is>
          <t>SÖDERMANLANDS LÄN</t>
        </is>
      </c>
      <c r="E566" t="inlineStr">
        <is>
          <t>KATRINEHOLM</t>
        </is>
      </c>
      <c r="F566" t="inlineStr">
        <is>
          <t>Övriga Aktiebolag</t>
        </is>
      </c>
      <c r="G566" t="n">
        <v>2.2</v>
      </c>
      <c r="H566" t="n">
        <v>0</v>
      </c>
      <c r="I566" t="n">
        <v>0</v>
      </c>
      <c r="J566" t="n">
        <v>0</v>
      </c>
      <c r="K566" t="n">
        <v>0</v>
      </c>
      <c r="L566" t="n">
        <v>0</v>
      </c>
      <c r="M566" t="n">
        <v>0</v>
      </c>
      <c r="N566" t="n">
        <v>0</v>
      </c>
      <c r="O566" t="n">
        <v>0</v>
      </c>
      <c r="P566" t="n">
        <v>0</v>
      </c>
      <c r="Q566" t="n">
        <v>0</v>
      </c>
      <c r="R566" s="2" t="inlineStr"/>
    </row>
    <row r="567" ht="15" customHeight="1">
      <c r="A567" t="inlineStr">
        <is>
          <t>A 42962-2023</t>
        </is>
      </c>
      <c r="B567" s="1" t="n">
        <v>45182</v>
      </c>
      <c r="C567" s="1" t="n">
        <v>45913</v>
      </c>
      <c r="D567" t="inlineStr">
        <is>
          <t>SÖDERMANLANDS LÄN</t>
        </is>
      </c>
      <c r="E567" t="inlineStr">
        <is>
          <t>KATRINEHOLM</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44915-2022</t>
        </is>
      </c>
      <c r="B568" s="1" t="n">
        <v>44840</v>
      </c>
      <c r="C568" s="1" t="n">
        <v>45913</v>
      </c>
      <c r="D568" t="inlineStr">
        <is>
          <t>SÖDERMANLANDS LÄN</t>
        </is>
      </c>
      <c r="E568" t="inlineStr">
        <is>
          <t>KATRINEHOLM</t>
        </is>
      </c>
      <c r="G568" t="n">
        <v>6.3</v>
      </c>
      <c r="H568" t="n">
        <v>0</v>
      </c>
      <c r="I568" t="n">
        <v>0</v>
      </c>
      <c r="J568" t="n">
        <v>0</v>
      </c>
      <c r="K568" t="n">
        <v>0</v>
      </c>
      <c r="L568" t="n">
        <v>0</v>
      </c>
      <c r="M568" t="n">
        <v>0</v>
      </c>
      <c r="N568" t="n">
        <v>0</v>
      </c>
      <c r="O568" t="n">
        <v>0</v>
      </c>
      <c r="P568" t="n">
        <v>0</v>
      </c>
      <c r="Q568" t="n">
        <v>0</v>
      </c>
      <c r="R568" s="2" t="inlineStr"/>
    </row>
    <row r="569" ht="15" customHeight="1">
      <c r="A569" t="inlineStr">
        <is>
          <t>A 5953-2021</t>
        </is>
      </c>
      <c r="B569" s="1" t="n">
        <v>44231</v>
      </c>
      <c r="C569" s="1" t="n">
        <v>45913</v>
      </c>
      <c r="D569" t="inlineStr">
        <is>
          <t>SÖDERMANLANDS LÄN</t>
        </is>
      </c>
      <c r="E569" t="inlineStr">
        <is>
          <t>KATRINEHOLM</t>
        </is>
      </c>
      <c r="G569" t="n">
        <v>3.1</v>
      </c>
      <c r="H569" t="n">
        <v>0</v>
      </c>
      <c r="I569" t="n">
        <v>0</v>
      </c>
      <c r="J569" t="n">
        <v>0</v>
      </c>
      <c r="K569" t="n">
        <v>0</v>
      </c>
      <c r="L569" t="n">
        <v>0</v>
      </c>
      <c r="M569" t="n">
        <v>0</v>
      </c>
      <c r="N569" t="n">
        <v>0</v>
      </c>
      <c r="O569" t="n">
        <v>0</v>
      </c>
      <c r="P569" t="n">
        <v>0</v>
      </c>
      <c r="Q569" t="n">
        <v>0</v>
      </c>
      <c r="R569" s="2" t="inlineStr"/>
    </row>
    <row r="570" ht="15" customHeight="1">
      <c r="A570" t="inlineStr">
        <is>
          <t>A 49112-2024</t>
        </is>
      </c>
      <c r="B570" s="1" t="n">
        <v>45594.65637731482</v>
      </c>
      <c r="C570" s="1" t="n">
        <v>45913</v>
      </c>
      <c r="D570" t="inlineStr">
        <is>
          <t>SÖDERMANLANDS LÄN</t>
        </is>
      </c>
      <c r="E570" t="inlineStr">
        <is>
          <t>KATRINEHOLM</t>
        </is>
      </c>
      <c r="G570" t="n">
        <v>3.6</v>
      </c>
      <c r="H570" t="n">
        <v>0</v>
      </c>
      <c r="I570" t="n">
        <v>0</v>
      </c>
      <c r="J570" t="n">
        <v>0</v>
      </c>
      <c r="K570" t="n">
        <v>0</v>
      </c>
      <c r="L570" t="n">
        <v>0</v>
      </c>
      <c r="M570" t="n">
        <v>0</v>
      </c>
      <c r="N570" t="n">
        <v>0</v>
      </c>
      <c r="O570" t="n">
        <v>0</v>
      </c>
      <c r="P570" t="n">
        <v>0</v>
      </c>
      <c r="Q570" t="n">
        <v>0</v>
      </c>
      <c r="R570" s="2" t="inlineStr"/>
    </row>
    <row r="571" ht="15" customHeight="1">
      <c r="A571" t="inlineStr">
        <is>
          <t>A 42590-2022</t>
        </is>
      </c>
      <c r="B571" s="1" t="n">
        <v>44831</v>
      </c>
      <c r="C571" s="1" t="n">
        <v>45913</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45913</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57648-2020</t>
        </is>
      </c>
      <c r="B573" s="1" t="n">
        <v>44140.69324074074</v>
      </c>
      <c r="C573" s="1" t="n">
        <v>45913</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45793-2022</t>
        </is>
      </c>
      <c r="B574" s="1" t="n">
        <v>44844</v>
      </c>
      <c r="C574" s="1" t="n">
        <v>45913</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40393-2022</t>
        </is>
      </c>
      <c r="B575" s="1" t="n">
        <v>44823</v>
      </c>
      <c r="C575" s="1" t="n">
        <v>45913</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48685-2022</t>
        </is>
      </c>
      <c r="B576" s="1" t="n">
        <v>44859</v>
      </c>
      <c r="C576" s="1" t="n">
        <v>45913</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36133-2021</t>
        </is>
      </c>
      <c r="B577" s="1" t="n">
        <v>44386</v>
      </c>
      <c r="C577" s="1" t="n">
        <v>45913</v>
      </c>
      <c r="D577" t="inlineStr">
        <is>
          <t>SÖDERMANLANDS LÄN</t>
        </is>
      </c>
      <c r="E577" t="inlineStr">
        <is>
          <t>KATRINEHOLM</t>
        </is>
      </c>
      <c r="F577" t="inlineStr">
        <is>
          <t>Övriga Aktiebolag</t>
        </is>
      </c>
      <c r="G577" t="n">
        <v>8.9</v>
      </c>
      <c r="H577" t="n">
        <v>0</v>
      </c>
      <c r="I577" t="n">
        <v>0</v>
      </c>
      <c r="J577" t="n">
        <v>0</v>
      </c>
      <c r="K577" t="n">
        <v>0</v>
      </c>
      <c r="L577" t="n">
        <v>0</v>
      </c>
      <c r="M577" t="n">
        <v>0</v>
      </c>
      <c r="N577" t="n">
        <v>0</v>
      </c>
      <c r="O577" t="n">
        <v>0</v>
      </c>
      <c r="P577" t="n">
        <v>0</v>
      </c>
      <c r="Q577" t="n">
        <v>0</v>
      </c>
      <c r="R577" s="2" t="inlineStr"/>
    </row>
    <row r="578" ht="15" customHeight="1">
      <c r="A578" t="inlineStr">
        <is>
          <t>A 49700-2022</t>
        </is>
      </c>
      <c r="B578" s="1" t="n">
        <v>44862</v>
      </c>
      <c r="C578" s="1" t="n">
        <v>45913</v>
      </c>
      <c r="D578" t="inlineStr">
        <is>
          <t>SÖDERMANLANDS LÄN</t>
        </is>
      </c>
      <c r="E578" t="inlineStr">
        <is>
          <t>KATRINEHOLM</t>
        </is>
      </c>
      <c r="G578" t="n">
        <v>19.5</v>
      </c>
      <c r="H578" t="n">
        <v>0</v>
      </c>
      <c r="I578" t="n">
        <v>0</v>
      </c>
      <c r="J578" t="n">
        <v>0</v>
      </c>
      <c r="K578" t="n">
        <v>0</v>
      </c>
      <c r="L578" t="n">
        <v>0</v>
      </c>
      <c r="M578" t="n">
        <v>0</v>
      </c>
      <c r="N578" t="n">
        <v>0</v>
      </c>
      <c r="O578" t="n">
        <v>0</v>
      </c>
      <c r="P578" t="n">
        <v>0</v>
      </c>
      <c r="Q578" t="n">
        <v>0</v>
      </c>
      <c r="R578" s="2" t="inlineStr"/>
    </row>
    <row r="579" ht="15" customHeight="1">
      <c r="A579" t="inlineStr">
        <is>
          <t>A 33812-2025</t>
        </is>
      </c>
      <c r="B579" s="1" t="n">
        <v>45842</v>
      </c>
      <c r="C579" s="1" t="n">
        <v>45913</v>
      </c>
      <c r="D579" t="inlineStr">
        <is>
          <t>SÖDERMANLANDS LÄN</t>
        </is>
      </c>
      <c r="E579" t="inlineStr">
        <is>
          <t>KATRINEHOLM</t>
        </is>
      </c>
      <c r="G579" t="n">
        <v>1.5</v>
      </c>
      <c r="H579" t="n">
        <v>0</v>
      </c>
      <c r="I579" t="n">
        <v>0</v>
      </c>
      <c r="J579" t="n">
        <v>0</v>
      </c>
      <c r="K579" t="n">
        <v>0</v>
      </c>
      <c r="L579" t="n">
        <v>0</v>
      </c>
      <c r="M579" t="n">
        <v>0</v>
      </c>
      <c r="N579" t="n">
        <v>0</v>
      </c>
      <c r="O579" t="n">
        <v>0</v>
      </c>
      <c r="P579" t="n">
        <v>0</v>
      </c>
      <c r="Q579" t="n">
        <v>0</v>
      </c>
      <c r="R579" s="2" t="inlineStr"/>
    </row>
    <row r="580" ht="15" customHeight="1">
      <c r="A580" t="inlineStr">
        <is>
          <t>A 30276-2023</t>
        </is>
      </c>
      <c r="B580" s="1" t="n">
        <v>45110</v>
      </c>
      <c r="C580" s="1" t="n">
        <v>45913</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57265-2022</t>
        </is>
      </c>
      <c r="B581" s="1" t="n">
        <v>44895</v>
      </c>
      <c r="C581" s="1" t="n">
        <v>45913</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50316-2023</t>
        </is>
      </c>
      <c r="B582" s="1" t="n">
        <v>45209</v>
      </c>
      <c r="C582" s="1" t="n">
        <v>45913</v>
      </c>
      <c r="D582" t="inlineStr">
        <is>
          <t>SÖDERMANLANDS LÄN</t>
        </is>
      </c>
      <c r="E582" t="inlineStr">
        <is>
          <t>KATRINEHOLM</t>
        </is>
      </c>
      <c r="G582" t="n">
        <v>1.9</v>
      </c>
      <c r="H582" t="n">
        <v>0</v>
      </c>
      <c r="I582" t="n">
        <v>0</v>
      </c>
      <c r="J582" t="n">
        <v>0</v>
      </c>
      <c r="K582" t="n">
        <v>0</v>
      </c>
      <c r="L582" t="n">
        <v>0</v>
      </c>
      <c r="M582" t="n">
        <v>0</v>
      </c>
      <c r="N582" t="n">
        <v>0</v>
      </c>
      <c r="O582" t="n">
        <v>0</v>
      </c>
      <c r="P582" t="n">
        <v>0</v>
      </c>
      <c r="Q582" t="n">
        <v>0</v>
      </c>
      <c r="R582" s="2" t="inlineStr"/>
    </row>
    <row r="583" ht="15" customHeight="1">
      <c r="A583" t="inlineStr">
        <is>
          <t>A 52857-2021</t>
        </is>
      </c>
      <c r="B583" s="1" t="n">
        <v>44466</v>
      </c>
      <c r="C583" s="1" t="n">
        <v>45913</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33815-2025</t>
        </is>
      </c>
      <c r="B584" s="1" t="n">
        <v>45842</v>
      </c>
      <c r="C584" s="1" t="n">
        <v>45913</v>
      </c>
      <c r="D584" t="inlineStr">
        <is>
          <t>SÖDERMANLANDS LÄN</t>
        </is>
      </c>
      <c r="E584" t="inlineStr">
        <is>
          <t>KATRINEHOLM</t>
        </is>
      </c>
      <c r="G584" t="n">
        <v>3.4</v>
      </c>
      <c r="H584" t="n">
        <v>0</v>
      </c>
      <c r="I584" t="n">
        <v>0</v>
      </c>
      <c r="J584" t="n">
        <v>0</v>
      </c>
      <c r="K584" t="n">
        <v>0</v>
      </c>
      <c r="L584" t="n">
        <v>0</v>
      </c>
      <c r="M584" t="n">
        <v>0</v>
      </c>
      <c r="N584" t="n">
        <v>0</v>
      </c>
      <c r="O584" t="n">
        <v>0</v>
      </c>
      <c r="P584" t="n">
        <v>0</v>
      </c>
      <c r="Q584" t="n">
        <v>0</v>
      </c>
      <c r="R584" s="2" t="inlineStr"/>
    </row>
    <row r="585" ht="15" customHeight="1">
      <c r="A585" t="inlineStr">
        <is>
          <t>A 60160-2022</t>
        </is>
      </c>
      <c r="B585" s="1" t="n">
        <v>44909</v>
      </c>
      <c r="C585" s="1" t="n">
        <v>45913</v>
      </c>
      <c r="D585" t="inlineStr">
        <is>
          <t>SÖDERMANLANDS LÄN</t>
        </is>
      </c>
      <c r="E585" t="inlineStr">
        <is>
          <t>KATRINEHOLM</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19442-2023</t>
        </is>
      </c>
      <c r="B586" s="1" t="n">
        <v>45050</v>
      </c>
      <c r="C586" s="1" t="n">
        <v>45913</v>
      </c>
      <c r="D586" t="inlineStr">
        <is>
          <t>SÖDERMANLANDS LÄN</t>
        </is>
      </c>
      <c r="E586" t="inlineStr">
        <is>
          <t>KATRINEHOLM</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38883-2024</t>
        </is>
      </c>
      <c r="B587" s="1" t="n">
        <v>45547</v>
      </c>
      <c r="C587" s="1" t="n">
        <v>45913</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45913</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3060-2022</t>
        </is>
      </c>
      <c r="B589" s="1" t="n">
        <v>44582.40109953703</v>
      </c>
      <c r="C589" s="1" t="n">
        <v>45913</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6611-2023</t>
        </is>
      </c>
      <c r="B590" s="1" t="n">
        <v>44963</v>
      </c>
      <c r="C590" s="1" t="n">
        <v>45913</v>
      </c>
      <c r="D590" t="inlineStr">
        <is>
          <t>SÖDERMANLANDS LÄN</t>
        </is>
      </c>
      <c r="E590" t="inlineStr">
        <is>
          <t>KATRINEHOLM</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4667-2024</t>
        </is>
      </c>
      <c r="B591" s="1" t="n">
        <v>45328.47</v>
      </c>
      <c r="C591" s="1" t="n">
        <v>45913</v>
      </c>
      <c r="D591" t="inlineStr">
        <is>
          <t>SÖDERMANLANDS LÄN</t>
        </is>
      </c>
      <c r="E591" t="inlineStr">
        <is>
          <t>KATRINEHOLM</t>
        </is>
      </c>
      <c r="F591" t="inlineStr">
        <is>
          <t>Övriga Aktiebolag</t>
        </is>
      </c>
      <c r="G591" t="n">
        <v>10.2</v>
      </c>
      <c r="H591" t="n">
        <v>0</v>
      </c>
      <c r="I591" t="n">
        <v>0</v>
      </c>
      <c r="J591" t="n">
        <v>0</v>
      </c>
      <c r="K591" t="n">
        <v>0</v>
      </c>
      <c r="L591" t="n">
        <v>0</v>
      </c>
      <c r="M591" t="n">
        <v>0</v>
      </c>
      <c r="N591" t="n">
        <v>0</v>
      </c>
      <c r="O591" t="n">
        <v>0</v>
      </c>
      <c r="P591" t="n">
        <v>0</v>
      </c>
      <c r="Q591" t="n">
        <v>0</v>
      </c>
      <c r="R591" s="2" t="inlineStr"/>
    </row>
    <row r="592" ht="15" customHeight="1">
      <c r="A592" t="inlineStr">
        <is>
          <t>A 50804-2023</t>
        </is>
      </c>
      <c r="B592" s="1" t="n">
        <v>45211</v>
      </c>
      <c r="C592" s="1" t="n">
        <v>45913</v>
      </c>
      <c r="D592" t="inlineStr">
        <is>
          <t>SÖDERMANLANDS LÄN</t>
        </is>
      </c>
      <c r="E592" t="inlineStr">
        <is>
          <t>KATRINEHOLM</t>
        </is>
      </c>
      <c r="G592" t="n">
        <v>4</v>
      </c>
      <c r="H592" t="n">
        <v>0</v>
      </c>
      <c r="I592" t="n">
        <v>0</v>
      </c>
      <c r="J592" t="n">
        <v>0</v>
      </c>
      <c r="K592" t="n">
        <v>0</v>
      </c>
      <c r="L592" t="n">
        <v>0</v>
      </c>
      <c r="M592" t="n">
        <v>0</v>
      </c>
      <c r="N592" t="n">
        <v>0</v>
      </c>
      <c r="O592" t="n">
        <v>0</v>
      </c>
      <c r="P592" t="n">
        <v>0</v>
      </c>
      <c r="Q592" t="n">
        <v>0</v>
      </c>
      <c r="R592" s="2" t="inlineStr"/>
    </row>
    <row r="593" ht="15" customHeight="1">
      <c r="A593" t="inlineStr">
        <is>
          <t>A 20533-2023</t>
        </is>
      </c>
      <c r="B593" s="1" t="n">
        <v>45057</v>
      </c>
      <c r="C593" s="1" t="n">
        <v>45913</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c r="T593">
        <f>HYPERLINK("https://klasma.github.io/Logging_0483/kartor/A 20533-2023 karta.png", "A 20533-2023")</f>
        <v/>
      </c>
      <c r="V593">
        <f>HYPERLINK("https://klasma.github.io/Logging_0483/klagomål/A 20533-2023 FSC-klagomål.docx", "A 20533-2023")</f>
        <v/>
      </c>
      <c r="W593">
        <f>HYPERLINK("https://klasma.github.io/Logging_0483/klagomålsmail/A 20533-2023 FSC-klagomål mail.docx", "A 20533-2023")</f>
        <v/>
      </c>
      <c r="X593">
        <f>HYPERLINK("https://klasma.github.io/Logging_0483/tillsyn/A 20533-2023 tillsynsbegäran.docx", "A 20533-2023")</f>
        <v/>
      </c>
      <c r="Y593">
        <f>HYPERLINK("https://klasma.github.io/Logging_0483/tillsynsmail/A 20533-2023 tillsynsbegäran mail.docx", "A 20533-2023")</f>
        <v/>
      </c>
      <c r="Z593">
        <f>HYPERLINK("https://klasma.github.io/Logging_0483/fåglar/A 20533-2023 prioriterade fågelarter.docx", "A 20533-2023")</f>
        <v/>
      </c>
    </row>
    <row r="594" ht="15" customHeight="1">
      <c r="A594" t="inlineStr">
        <is>
          <t>A 39704-2023</t>
        </is>
      </c>
      <c r="B594" s="1" t="n">
        <v>45167</v>
      </c>
      <c r="C594" s="1" t="n">
        <v>45913</v>
      </c>
      <c r="D594" t="inlineStr">
        <is>
          <t>SÖDERMANLANDS LÄN</t>
        </is>
      </c>
      <c r="E594" t="inlineStr">
        <is>
          <t>KATRINEHOLM</t>
        </is>
      </c>
      <c r="F594" t="inlineStr">
        <is>
          <t>Övriga Aktiebolag</t>
        </is>
      </c>
      <c r="G594" t="n">
        <v>3.4</v>
      </c>
      <c r="H594" t="n">
        <v>0</v>
      </c>
      <c r="I594" t="n">
        <v>0</v>
      </c>
      <c r="J594" t="n">
        <v>0</v>
      </c>
      <c r="K594" t="n">
        <v>0</v>
      </c>
      <c r="L594" t="n">
        <v>0</v>
      </c>
      <c r="M594" t="n">
        <v>0</v>
      </c>
      <c r="N594" t="n">
        <v>0</v>
      </c>
      <c r="O594" t="n">
        <v>0</v>
      </c>
      <c r="P594" t="n">
        <v>0</v>
      </c>
      <c r="Q594" t="n">
        <v>0</v>
      </c>
      <c r="R594" s="2" t="inlineStr"/>
    </row>
    <row r="595" ht="15" customHeight="1">
      <c r="A595" t="inlineStr">
        <is>
          <t>A 43499-2021</t>
        </is>
      </c>
      <c r="B595" s="1" t="n">
        <v>44433</v>
      </c>
      <c r="C595" s="1" t="n">
        <v>45913</v>
      </c>
      <c r="D595" t="inlineStr">
        <is>
          <t>SÖDERMANLANDS LÄN</t>
        </is>
      </c>
      <c r="E595" t="inlineStr">
        <is>
          <t>KATRINEHOLM</t>
        </is>
      </c>
      <c r="F595" t="inlineStr">
        <is>
          <t>Övriga Aktiebolag</t>
        </is>
      </c>
      <c r="G595" t="n">
        <v>1.4</v>
      </c>
      <c r="H595" t="n">
        <v>0</v>
      </c>
      <c r="I595" t="n">
        <v>0</v>
      </c>
      <c r="J595" t="n">
        <v>0</v>
      </c>
      <c r="K595" t="n">
        <v>0</v>
      </c>
      <c r="L595" t="n">
        <v>0</v>
      </c>
      <c r="M595" t="n">
        <v>0</v>
      </c>
      <c r="N595" t="n">
        <v>0</v>
      </c>
      <c r="O595" t="n">
        <v>0</v>
      </c>
      <c r="P595" t="n">
        <v>0</v>
      </c>
      <c r="Q595" t="n">
        <v>0</v>
      </c>
      <c r="R595" s="2" t="inlineStr"/>
    </row>
    <row r="596" ht="15" customHeight="1">
      <c r="A596" t="inlineStr">
        <is>
          <t>A 53996-2023</t>
        </is>
      </c>
      <c r="B596" s="1" t="n">
        <v>45231</v>
      </c>
      <c r="C596" s="1" t="n">
        <v>45913</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33790-2024</t>
        </is>
      </c>
      <c r="B597" s="1" t="n">
        <v>45520.59179398148</v>
      </c>
      <c r="C597" s="1" t="n">
        <v>45913</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16087-2023</t>
        </is>
      </c>
      <c r="B598" s="1" t="n">
        <v>45026</v>
      </c>
      <c r="C598" s="1" t="n">
        <v>45913</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47456-2022</t>
        </is>
      </c>
      <c r="B599" s="1" t="n">
        <v>44852</v>
      </c>
      <c r="C599" s="1" t="n">
        <v>45913</v>
      </c>
      <c r="D599" t="inlineStr">
        <is>
          <t>SÖDERMANLANDS LÄN</t>
        </is>
      </c>
      <c r="E599" t="inlineStr">
        <is>
          <t>KATRINEHOLM</t>
        </is>
      </c>
      <c r="G599" t="n">
        <v>3.7</v>
      </c>
      <c r="H599" t="n">
        <v>0</v>
      </c>
      <c r="I599" t="n">
        <v>0</v>
      </c>
      <c r="J599" t="n">
        <v>0</v>
      </c>
      <c r="K599" t="n">
        <v>0</v>
      </c>
      <c r="L599" t="n">
        <v>0</v>
      </c>
      <c r="M599" t="n">
        <v>0</v>
      </c>
      <c r="N599" t="n">
        <v>0</v>
      </c>
      <c r="O599" t="n">
        <v>0</v>
      </c>
      <c r="P599" t="n">
        <v>0</v>
      </c>
      <c r="Q599" t="n">
        <v>0</v>
      </c>
      <c r="R599" s="2" t="inlineStr"/>
    </row>
    <row r="600" ht="15" customHeight="1">
      <c r="A600" t="inlineStr">
        <is>
          <t>A 23347-2023</t>
        </is>
      </c>
      <c r="B600" s="1" t="n">
        <v>45076</v>
      </c>
      <c r="C600" s="1" t="n">
        <v>45913</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74354-2021</t>
        </is>
      </c>
      <c r="B601" s="1" t="n">
        <v>44559.57041666667</v>
      </c>
      <c r="C601" s="1" t="n">
        <v>45913</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52348-2021</t>
        </is>
      </c>
      <c r="B602" s="1" t="n">
        <v>44464.49756944444</v>
      </c>
      <c r="C602" s="1" t="n">
        <v>45913</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61867-2020</t>
        </is>
      </c>
      <c r="B603" s="1" t="n">
        <v>44159</v>
      </c>
      <c r="C603" s="1" t="n">
        <v>45913</v>
      </c>
      <c r="D603" t="inlineStr">
        <is>
          <t>SÖDERMANLANDS LÄN</t>
        </is>
      </c>
      <c r="E603" t="inlineStr">
        <is>
          <t>KATRINEHOLM</t>
        </is>
      </c>
      <c r="G603" t="n">
        <v>2.9</v>
      </c>
      <c r="H603" t="n">
        <v>0</v>
      </c>
      <c r="I603" t="n">
        <v>0</v>
      </c>
      <c r="J603" t="n">
        <v>0</v>
      </c>
      <c r="K603" t="n">
        <v>0</v>
      </c>
      <c r="L603" t="n">
        <v>0</v>
      </c>
      <c r="M603" t="n">
        <v>0</v>
      </c>
      <c r="N603" t="n">
        <v>0</v>
      </c>
      <c r="O603" t="n">
        <v>0</v>
      </c>
      <c r="P603" t="n">
        <v>0</v>
      </c>
      <c r="Q603" t="n">
        <v>0</v>
      </c>
      <c r="R603" s="2" t="inlineStr"/>
    </row>
    <row r="604" ht="15" customHeight="1">
      <c r="A604" t="inlineStr">
        <is>
          <t>A 28652-2024</t>
        </is>
      </c>
      <c r="B604" s="1" t="n">
        <v>45478</v>
      </c>
      <c r="C604" s="1" t="n">
        <v>45913</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56628-2021</t>
        </is>
      </c>
      <c r="B605" s="1" t="n">
        <v>44480</v>
      </c>
      <c r="C605" s="1" t="n">
        <v>45913</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45438-2021</t>
        </is>
      </c>
      <c r="B606" s="1" t="n">
        <v>44440</v>
      </c>
      <c r="C606" s="1" t="n">
        <v>45913</v>
      </c>
      <c r="D606" t="inlineStr">
        <is>
          <t>SÖDERMANLANDS LÄN</t>
        </is>
      </c>
      <c r="E606" t="inlineStr">
        <is>
          <t>KATRINEHOLM</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52134-2020</t>
        </is>
      </c>
      <c r="B607" s="1" t="n">
        <v>44110</v>
      </c>
      <c r="C607" s="1" t="n">
        <v>45913</v>
      </c>
      <c r="D607" t="inlineStr">
        <is>
          <t>SÖDERMANLANDS LÄN</t>
        </is>
      </c>
      <c r="E607" t="inlineStr">
        <is>
          <t>KATRINEHOLM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50061-2022</t>
        </is>
      </c>
      <c r="B608" s="1" t="n">
        <v>44865</v>
      </c>
      <c r="C608" s="1" t="n">
        <v>45913</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10446-2024</t>
        </is>
      </c>
      <c r="B609" s="1" t="n">
        <v>45366</v>
      </c>
      <c r="C609" s="1" t="n">
        <v>45913</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6762-2025</t>
        </is>
      </c>
      <c r="B610" s="1" t="n">
        <v>45700</v>
      </c>
      <c r="C610" s="1" t="n">
        <v>45913</v>
      </c>
      <c r="D610" t="inlineStr">
        <is>
          <t>SÖDERMANLANDS LÄN</t>
        </is>
      </c>
      <c r="E610" t="inlineStr">
        <is>
          <t>KATRINEHOLM</t>
        </is>
      </c>
      <c r="G610" t="n">
        <v>1</v>
      </c>
      <c r="H610" t="n">
        <v>0</v>
      </c>
      <c r="I610" t="n">
        <v>0</v>
      </c>
      <c r="J610" t="n">
        <v>0</v>
      </c>
      <c r="K610" t="n">
        <v>0</v>
      </c>
      <c r="L610" t="n">
        <v>0</v>
      </c>
      <c r="M610" t="n">
        <v>0</v>
      </c>
      <c r="N610" t="n">
        <v>0</v>
      </c>
      <c r="O610" t="n">
        <v>0</v>
      </c>
      <c r="P610" t="n">
        <v>0</v>
      </c>
      <c r="Q610" t="n">
        <v>0</v>
      </c>
      <c r="R610" s="2" t="inlineStr"/>
    </row>
    <row r="611" ht="15" customHeight="1">
      <c r="A611" t="inlineStr">
        <is>
          <t>A 20213-2025</t>
        </is>
      </c>
      <c r="B611" s="1" t="n">
        <v>45772.63453703704</v>
      </c>
      <c r="C611" s="1" t="n">
        <v>45913</v>
      </c>
      <c r="D611" t="inlineStr">
        <is>
          <t>SÖDERMANLANDS LÄN</t>
        </is>
      </c>
      <c r="E611" t="inlineStr">
        <is>
          <t>KATRINEHOLM</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42791-2023</t>
        </is>
      </c>
      <c r="B612" s="1" t="n">
        <v>45181.92876157408</v>
      </c>
      <c r="C612" s="1" t="n">
        <v>45913</v>
      </c>
      <c r="D612" t="inlineStr">
        <is>
          <t>SÖDERMANLANDS LÄN</t>
        </is>
      </c>
      <c r="E612" t="inlineStr">
        <is>
          <t>KATRINEHOLM</t>
        </is>
      </c>
      <c r="G612" t="n">
        <v>4.1</v>
      </c>
      <c r="H612" t="n">
        <v>0</v>
      </c>
      <c r="I612" t="n">
        <v>0</v>
      </c>
      <c r="J612" t="n">
        <v>0</v>
      </c>
      <c r="K612" t="n">
        <v>0</v>
      </c>
      <c r="L612" t="n">
        <v>0</v>
      </c>
      <c r="M612" t="n">
        <v>0</v>
      </c>
      <c r="N612" t="n">
        <v>0</v>
      </c>
      <c r="O612" t="n">
        <v>0</v>
      </c>
      <c r="P612" t="n">
        <v>0</v>
      </c>
      <c r="Q612" t="n">
        <v>0</v>
      </c>
      <c r="R612" s="2" t="inlineStr"/>
    </row>
    <row r="613" ht="15" customHeight="1">
      <c r="A613" t="inlineStr">
        <is>
          <t>A 42792-2023</t>
        </is>
      </c>
      <c r="B613" s="1" t="n">
        <v>45181.95491898148</v>
      </c>
      <c r="C613" s="1" t="n">
        <v>45913</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61167-2020</t>
        </is>
      </c>
      <c r="B614" s="1" t="n">
        <v>44155</v>
      </c>
      <c r="C614" s="1" t="n">
        <v>45913</v>
      </c>
      <c r="D614" t="inlineStr">
        <is>
          <t>SÖDERMANLANDS LÄN</t>
        </is>
      </c>
      <c r="E614" t="inlineStr">
        <is>
          <t>KATRINEHOLM</t>
        </is>
      </c>
      <c r="G614" t="n">
        <v>3.8</v>
      </c>
      <c r="H614" t="n">
        <v>0</v>
      </c>
      <c r="I614" t="n">
        <v>0</v>
      </c>
      <c r="J614" t="n">
        <v>0</v>
      </c>
      <c r="K614" t="n">
        <v>0</v>
      </c>
      <c r="L614" t="n">
        <v>0</v>
      </c>
      <c r="M614" t="n">
        <v>0</v>
      </c>
      <c r="N614" t="n">
        <v>0</v>
      </c>
      <c r="O614" t="n">
        <v>0</v>
      </c>
      <c r="P614" t="n">
        <v>0</v>
      </c>
      <c r="Q614" t="n">
        <v>0</v>
      </c>
      <c r="R614" s="2" t="inlineStr"/>
    </row>
    <row r="615" ht="15" customHeight="1">
      <c r="A615" t="inlineStr">
        <is>
          <t>A 53860-2021</t>
        </is>
      </c>
      <c r="B615" s="1" t="n">
        <v>44467</v>
      </c>
      <c r="C615" s="1" t="n">
        <v>45913</v>
      </c>
      <c r="D615" t="inlineStr">
        <is>
          <t>SÖDERMANLANDS LÄN</t>
        </is>
      </c>
      <c r="E615" t="inlineStr">
        <is>
          <t>KATRINEHOLM</t>
        </is>
      </c>
      <c r="G615" t="n">
        <v>1.3</v>
      </c>
      <c r="H615" t="n">
        <v>0</v>
      </c>
      <c r="I615" t="n">
        <v>0</v>
      </c>
      <c r="J615" t="n">
        <v>0</v>
      </c>
      <c r="K615" t="n">
        <v>0</v>
      </c>
      <c r="L615" t="n">
        <v>0</v>
      </c>
      <c r="M615" t="n">
        <v>0</v>
      </c>
      <c r="N615" t="n">
        <v>0</v>
      </c>
      <c r="O615" t="n">
        <v>0</v>
      </c>
      <c r="P615" t="n">
        <v>0</v>
      </c>
      <c r="Q615" t="n">
        <v>0</v>
      </c>
      <c r="R615" s="2" t="inlineStr"/>
    </row>
    <row r="616" ht="15" customHeight="1">
      <c r="A616" t="inlineStr">
        <is>
          <t>A 57687-2020</t>
        </is>
      </c>
      <c r="B616" s="1" t="n">
        <v>44140</v>
      </c>
      <c r="C616" s="1" t="n">
        <v>45913</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31740-2022</t>
        </is>
      </c>
      <c r="B617" s="1" t="n">
        <v>44776</v>
      </c>
      <c r="C617" s="1" t="n">
        <v>45913</v>
      </c>
      <c r="D617" t="inlineStr">
        <is>
          <t>SÖDERMANLANDS LÄN</t>
        </is>
      </c>
      <c r="E617" t="inlineStr">
        <is>
          <t>KATRINEHOLM</t>
        </is>
      </c>
      <c r="G617" t="n">
        <v>1.1</v>
      </c>
      <c r="H617" t="n">
        <v>0</v>
      </c>
      <c r="I617" t="n">
        <v>0</v>
      </c>
      <c r="J617" t="n">
        <v>0</v>
      </c>
      <c r="K617" t="n">
        <v>0</v>
      </c>
      <c r="L617" t="n">
        <v>0</v>
      </c>
      <c r="M617" t="n">
        <v>0</v>
      </c>
      <c r="N617" t="n">
        <v>0</v>
      </c>
      <c r="O617" t="n">
        <v>0</v>
      </c>
      <c r="P617" t="n">
        <v>0</v>
      </c>
      <c r="Q617" t="n">
        <v>0</v>
      </c>
      <c r="R617" s="2" t="inlineStr"/>
    </row>
    <row r="618" ht="15" customHeight="1">
      <c r="A618" t="inlineStr">
        <is>
          <t>A 23842-2023</t>
        </is>
      </c>
      <c r="B618" s="1" t="n">
        <v>45075</v>
      </c>
      <c r="C618" s="1" t="n">
        <v>45913</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34263-2023</t>
        </is>
      </c>
      <c r="B619" s="1" t="n">
        <v>45138.60248842592</v>
      </c>
      <c r="C619" s="1" t="n">
        <v>45913</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59308-2020</t>
        </is>
      </c>
      <c r="B620" s="1" t="n">
        <v>44147</v>
      </c>
      <c r="C620" s="1" t="n">
        <v>45913</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48619-2020</t>
        </is>
      </c>
      <c r="B621" s="1" t="n">
        <v>44103</v>
      </c>
      <c r="C621" s="1" t="n">
        <v>45913</v>
      </c>
      <c r="D621" t="inlineStr">
        <is>
          <t>SÖDERMANLANDS LÄN</t>
        </is>
      </c>
      <c r="E621" t="inlineStr">
        <is>
          <t>KATRINEHOLM</t>
        </is>
      </c>
      <c r="F621" t="inlineStr">
        <is>
          <t>Övriga statliga verk och myndigheter</t>
        </is>
      </c>
      <c r="G621" t="n">
        <v>0.9</v>
      </c>
      <c r="H621" t="n">
        <v>0</v>
      </c>
      <c r="I621" t="n">
        <v>0</v>
      </c>
      <c r="J621" t="n">
        <v>0</v>
      </c>
      <c r="K621" t="n">
        <v>0</v>
      </c>
      <c r="L621" t="n">
        <v>0</v>
      </c>
      <c r="M621" t="n">
        <v>0</v>
      </c>
      <c r="N621" t="n">
        <v>0</v>
      </c>
      <c r="O621" t="n">
        <v>0</v>
      </c>
      <c r="P621" t="n">
        <v>0</v>
      </c>
      <c r="Q621" t="n">
        <v>0</v>
      </c>
      <c r="R621" s="2" t="inlineStr"/>
    </row>
    <row r="622" ht="15" customHeight="1">
      <c r="A622" t="inlineStr">
        <is>
          <t>A 46899-2022</t>
        </is>
      </c>
      <c r="B622" s="1" t="n">
        <v>44848</v>
      </c>
      <c r="C622" s="1" t="n">
        <v>45913</v>
      </c>
      <c r="D622" t="inlineStr">
        <is>
          <t>SÖDERMANLANDS LÄN</t>
        </is>
      </c>
      <c r="E622" t="inlineStr">
        <is>
          <t>KATRINEHOLM</t>
        </is>
      </c>
      <c r="G622" t="n">
        <v>2</v>
      </c>
      <c r="H622" t="n">
        <v>0</v>
      </c>
      <c r="I622" t="n">
        <v>0</v>
      </c>
      <c r="J622" t="n">
        <v>0</v>
      </c>
      <c r="K622" t="n">
        <v>0</v>
      </c>
      <c r="L622" t="n">
        <v>0</v>
      </c>
      <c r="M622" t="n">
        <v>0</v>
      </c>
      <c r="N622" t="n">
        <v>0</v>
      </c>
      <c r="O622" t="n">
        <v>0</v>
      </c>
      <c r="P622" t="n">
        <v>0</v>
      </c>
      <c r="Q622" t="n">
        <v>0</v>
      </c>
      <c r="R622" s="2" t="inlineStr"/>
    </row>
    <row r="623" ht="15" customHeight="1">
      <c r="A623" t="inlineStr">
        <is>
          <t>A 55296-2022</t>
        </is>
      </c>
      <c r="B623" s="1" t="n">
        <v>44887</v>
      </c>
      <c r="C623" s="1" t="n">
        <v>45913</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4679-2023</t>
        </is>
      </c>
      <c r="B624" s="1" t="n">
        <v>44957.44885416667</v>
      </c>
      <c r="C624" s="1" t="n">
        <v>45913</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57524-2021</t>
        </is>
      </c>
      <c r="B625" s="1" t="n">
        <v>44483</v>
      </c>
      <c r="C625" s="1" t="n">
        <v>45913</v>
      </c>
      <c r="D625" t="inlineStr">
        <is>
          <t>SÖDERMANLANDS LÄN</t>
        </is>
      </c>
      <c r="E625" t="inlineStr">
        <is>
          <t>KATRINEHOLM</t>
        </is>
      </c>
      <c r="G625" t="n">
        <v>0.4</v>
      </c>
      <c r="H625" t="n">
        <v>0</v>
      </c>
      <c r="I625" t="n">
        <v>0</v>
      </c>
      <c r="J625" t="n">
        <v>0</v>
      </c>
      <c r="K625" t="n">
        <v>0</v>
      </c>
      <c r="L625" t="n">
        <v>0</v>
      </c>
      <c r="M625" t="n">
        <v>0</v>
      </c>
      <c r="N625" t="n">
        <v>0</v>
      </c>
      <c r="O625" t="n">
        <v>0</v>
      </c>
      <c r="P625" t="n">
        <v>0</v>
      </c>
      <c r="Q625" t="n">
        <v>0</v>
      </c>
      <c r="R625" s="2" t="inlineStr"/>
    </row>
    <row r="626" ht="15" customHeight="1">
      <c r="A626" t="inlineStr">
        <is>
          <t>A 931-2023</t>
        </is>
      </c>
      <c r="B626" s="1" t="n">
        <v>44932.74261574074</v>
      </c>
      <c r="C626" s="1" t="n">
        <v>45913</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55171-2023</t>
        </is>
      </c>
      <c r="B627" s="1" t="n">
        <v>45231</v>
      </c>
      <c r="C627" s="1" t="n">
        <v>45913</v>
      </c>
      <c r="D627" t="inlineStr">
        <is>
          <t>SÖDERMANLANDS LÄN</t>
        </is>
      </c>
      <c r="E627" t="inlineStr">
        <is>
          <t>KATRINEHOLM</t>
        </is>
      </c>
      <c r="G627" t="n">
        <v>4.2</v>
      </c>
      <c r="H627" t="n">
        <v>0</v>
      </c>
      <c r="I627" t="n">
        <v>0</v>
      </c>
      <c r="J627" t="n">
        <v>0</v>
      </c>
      <c r="K627" t="n">
        <v>0</v>
      </c>
      <c r="L627" t="n">
        <v>0</v>
      </c>
      <c r="M627" t="n">
        <v>0</v>
      </c>
      <c r="N627" t="n">
        <v>0</v>
      </c>
      <c r="O627" t="n">
        <v>0</v>
      </c>
      <c r="P627" t="n">
        <v>0</v>
      </c>
      <c r="Q627" t="n">
        <v>0</v>
      </c>
      <c r="R627" s="2" t="inlineStr"/>
    </row>
    <row r="628" ht="15" customHeight="1">
      <c r="A628" t="inlineStr">
        <is>
          <t>A 6087-2021</t>
        </is>
      </c>
      <c r="B628" s="1" t="n">
        <v>44232</v>
      </c>
      <c r="C628" s="1" t="n">
        <v>45913</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53393-2023</t>
        </is>
      </c>
      <c r="B629" s="1" t="n">
        <v>45229</v>
      </c>
      <c r="C629" s="1" t="n">
        <v>45913</v>
      </c>
      <c r="D629" t="inlineStr">
        <is>
          <t>SÖDERMANLANDS LÄN</t>
        </is>
      </c>
      <c r="E629" t="inlineStr">
        <is>
          <t>KATRINEHOLM</t>
        </is>
      </c>
      <c r="F629" t="inlineStr">
        <is>
          <t>Kyrkan</t>
        </is>
      </c>
      <c r="G629" t="n">
        <v>5.6</v>
      </c>
      <c r="H629" t="n">
        <v>0</v>
      </c>
      <c r="I629" t="n">
        <v>0</v>
      </c>
      <c r="J629" t="n">
        <v>0</v>
      </c>
      <c r="K629" t="n">
        <v>0</v>
      </c>
      <c r="L629" t="n">
        <v>0</v>
      </c>
      <c r="M629" t="n">
        <v>0</v>
      </c>
      <c r="N629" t="n">
        <v>0</v>
      </c>
      <c r="O629" t="n">
        <v>0</v>
      </c>
      <c r="P629" t="n">
        <v>0</v>
      </c>
      <c r="Q629" t="n">
        <v>0</v>
      </c>
      <c r="R629" s="2" t="inlineStr"/>
    </row>
    <row r="630" ht="15" customHeight="1">
      <c r="A630" t="inlineStr">
        <is>
          <t>A 38708-2025</t>
        </is>
      </c>
      <c r="B630" s="1" t="n">
        <v>45885</v>
      </c>
      <c r="C630" s="1" t="n">
        <v>45913</v>
      </c>
      <c r="D630" t="inlineStr">
        <is>
          <t>SÖDERMANLANDS LÄN</t>
        </is>
      </c>
      <c r="E630" t="inlineStr">
        <is>
          <t>KATRINEHOLM</t>
        </is>
      </c>
      <c r="G630" t="n">
        <v>1.9</v>
      </c>
      <c r="H630" t="n">
        <v>0</v>
      </c>
      <c r="I630" t="n">
        <v>0</v>
      </c>
      <c r="J630" t="n">
        <v>0</v>
      </c>
      <c r="K630" t="n">
        <v>0</v>
      </c>
      <c r="L630" t="n">
        <v>0</v>
      </c>
      <c r="M630" t="n">
        <v>0</v>
      </c>
      <c r="N630" t="n">
        <v>0</v>
      </c>
      <c r="O630" t="n">
        <v>0</v>
      </c>
      <c r="P630" t="n">
        <v>0</v>
      </c>
      <c r="Q630" t="n">
        <v>0</v>
      </c>
      <c r="R630" s="2" t="inlineStr"/>
    </row>
    <row r="631" ht="15" customHeight="1">
      <c r="A631" t="inlineStr">
        <is>
          <t>A 48528-2021</t>
        </is>
      </c>
      <c r="B631" s="1" t="n">
        <v>44449</v>
      </c>
      <c r="C631" s="1" t="n">
        <v>45913</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48398-2022</t>
        </is>
      </c>
      <c r="B632" s="1" t="n">
        <v>44858.60809027778</v>
      </c>
      <c r="C632" s="1" t="n">
        <v>45913</v>
      </c>
      <c r="D632" t="inlineStr">
        <is>
          <t>SÖDERMANLANDS LÄN</t>
        </is>
      </c>
      <c r="E632" t="inlineStr">
        <is>
          <t>KATRINEHOLM</t>
        </is>
      </c>
      <c r="G632" t="n">
        <v>1.9</v>
      </c>
      <c r="H632" t="n">
        <v>0</v>
      </c>
      <c r="I632" t="n">
        <v>0</v>
      </c>
      <c r="J632" t="n">
        <v>0</v>
      </c>
      <c r="K632" t="n">
        <v>0</v>
      </c>
      <c r="L632" t="n">
        <v>0</v>
      </c>
      <c r="M632" t="n">
        <v>0</v>
      </c>
      <c r="N632" t="n">
        <v>0</v>
      </c>
      <c r="O632" t="n">
        <v>0</v>
      </c>
      <c r="P632" t="n">
        <v>0</v>
      </c>
      <c r="Q632" t="n">
        <v>0</v>
      </c>
      <c r="R632" s="2" t="inlineStr"/>
    </row>
    <row r="633" ht="15" customHeight="1">
      <c r="A633" t="inlineStr">
        <is>
          <t>A 6753-2022</t>
        </is>
      </c>
      <c r="B633" s="1" t="n">
        <v>44602</v>
      </c>
      <c r="C633" s="1" t="n">
        <v>45913</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15184-2023</t>
        </is>
      </c>
      <c r="B634" s="1" t="n">
        <v>45016</v>
      </c>
      <c r="C634" s="1" t="n">
        <v>45913</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23031-2024</t>
        </is>
      </c>
      <c r="B635" s="1" t="n">
        <v>45450.38120370371</v>
      </c>
      <c r="C635" s="1" t="n">
        <v>45913</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45913</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2297-2021</t>
        </is>
      </c>
      <c r="B637" s="1" t="n">
        <v>44212</v>
      </c>
      <c r="C637" s="1" t="n">
        <v>45913</v>
      </c>
      <c r="D637" t="inlineStr">
        <is>
          <t>SÖDERMANLANDS LÄN</t>
        </is>
      </c>
      <c r="E637" t="inlineStr">
        <is>
          <t>KATRINEHOLM</t>
        </is>
      </c>
      <c r="G637" t="n">
        <v>14.4</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45913</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22506-2023</t>
        </is>
      </c>
      <c r="B639" s="1" t="n">
        <v>45071.37393518518</v>
      </c>
      <c r="C639" s="1" t="n">
        <v>45913</v>
      </c>
      <c r="D639" t="inlineStr">
        <is>
          <t>SÖDERMANLANDS LÄN</t>
        </is>
      </c>
      <c r="E639" t="inlineStr">
        <is>
          <t>KATRINEHOLM</t>
        </is>
      </c>
      <c r="F639" t="inlineStr">
        <is>
          <t>Kyrkan</t>
        </is>
      </c>
      <c r="G639" t="n">
        <v>5.9</v>
      </c>
      <c r="H639" t="n">
        <v>0</v>
      </c>
      <c r="I639" t="n">
        <v>0</v>
      </c>
      <c r="J639" t="n">
        <v>0</v>
      </c>
      <c r="K639" t="n">
        <v>0</v>
      </c>
      <c r="L639" t="n">
        <v>0</v>
      </c>
      <c r="M639" t="n">
        <v>0</v>
      </c>
      <c r="N639" t="n">
        <v>0</v>
      </c>
      <c r="O639" t="n">
        <v>0</v>
      </c>
      <c r="P639" t="n">
        <v>0</v>
      </c>
      <c r="Q639" t="n">
        <v>0</v>
      </c>
      <c r="R639" s="2" t="inlineStr"/>
    </row>
    <row r="640" ht="15" customHeight="1">
      <c r="A640" t="inlineStr">
        <is>
          <t>A 12888-2025</t>
        </is>
      </c>
      <c r="B640" s="1" t="n">
        <v>45733</v>
      </c>
      <c r="C640" s="1" t="n">
        <v>45913</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29830-2023</t>
        </is>
      </c>
      <c r="B641" s="1" t="n">
        <v>45107</v>
      </c>
      <c r="C641" s="1" t="n">
        <v>45913</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35160-2025</t>
        </is>
      </c>
      <c r="B642" s="1" t="n">
        <v>45852.70430555556</v>
      </c>
      <c r="C642" s="1" t="n">
        <v>45913</v>
      </c>
      <c r="D642" t="inlineStr">
        <is>
          <t>SÖDERMANLANDS LÄN</t>
        </is>
      </c>
      <c r="E642" t="inlineStr">
        <is>
          <t>KATRINEHOLM</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65358-2020</t>
        </is>
      </c>
      <c r="B643" s="1" t="n">
        <v>44173</v>
      </c>
      <c r="C643" s="1" t="n">
        <v>45913</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35156-2025</t>
        </is>
      </c>
      <c r="B644" s="1" t="n">
        <v>45852</v>
      </c>
      <c r="C644" s="1" t="n">
        <v>45913</v>
      </c>
      <c r="D644" t="inlineStr">
        <is>
          <t>SÖDERMANLANDS LÄN</t>
        </is>
      </c>
      <c r="E644" t="inlineStr">
        <is>
          <t>KATRINEHOLM</t>
        </is>
      </c>
      <c r="G644" t="n">
        <v>5.7</v>
      </c>
      <c r="H644" t="n">
        <v>0</v>
      </c>
      <c r="I644" t="n">
        <v>0</v>
      </c>
      <c r="J644" t="n">
        <v>0</v>
      </c>
      <c r="K644" t="n">
        <v>0</v>
      </c>
      <c r="L644" t="n">
        <v>0</v>
      </c>
      <c r="M644" t="n">
        <v>0</v>
      </c>
      <c r="N644" t="n">
        <v>0</v>
      </c>
      <c r="O644" t="n">
        <v>0</v>
      </c>
      <c r="P644" t="n">
        <v>0</v>
      </c>
      <c r="Q644" t="n">
        <v>0</v>
      </c>
      <c r="R644" s="2" t="inlineStr"/>
    </row>
    <row r="645" ht="15" customHeight="1">
      <c r="A645" t="inlineStr">
        <is>
          <t>A 35228-2025</t>
        </is>
      </c>
      <c r="B645" s="1" t="n">
        <v>45853</v>
      </c>
      <c r="C645" s="1" t="n">
        <v>45913</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62424-2020</t>
        </is>
      </c>
      <c r="B646" s="1" t="n">
        <v>44160</v>
      </c>
      <c r="C646" s="1" t="n">
        <v>45913</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19098-2022</t>
        </is>
      </c>
      <c r="B647" s="1" t="n">
        <v>44691.52616898148</v>
      </c>
      <c r="C647" s="1" t="n">
        <v>45913</v>
      </c>
      <c r="D647" t="inlineStr">
        <is>
          <t>SÖDERMANLANDS LÄN</t>
        </is>
      </c>
      <c r="E647" t="inlineStr">
        <is>
          <t>KATRINEHOLM</t>
        </is>
      </c>
      <c r="G647" t="n">
        <v>5.5</v>
      </c>
      <c r="H647" t="n">
        <v>0</v>
      </c>
      <c r="I647" t="n">
        <v>0</v>
      </c>
      <c r="J647" t="n">
        <v>0</v>
      </c>
      <c r="K647" t="n">
        <v>0</v>
      </c>
      <c r="L647" t="n">
        <v>0</v>
      </c>
      <c r="M647" t="n">
        <v>0</v>
      </c>
      <c r="N647" t="n">
        <v>0</v>
      </c>
      <c r="O647" t="n">
        <v>0</v>
      </c>
      <c r="P647" t="n">
        <v>0</v>
      </c>
      <c r="Q647" t="n">
        <v>0</v>
      </c>
      <c r="R647" s="2" t="inlineStr"/>
    </row>
    <row r="648" ht="15" customHeight="1">
      <c r="A648" t="inlineStr">
        <is>
          <t>A 35152-2025</t>
        </is>
      </c>
      <c r="B648" s="1" t="n">
        <v>45852</v>
      </c>
      <c r="C648" s="1" t="n">
        <v>45913</v>
      </c>
      <c r="D648" t="inlineStr">
        <is>
          <t>SÖDERMANLANDS LÄN</t>
        </is>
      </c>
      <c r="E648" t="inlineStr">
        <is>
          <t>KATRINEHOLM</t>
        </is>
      </c>
      <c r="G648" t="n">
        <v>4.6</v>
      </c>
      <c r="H648" t="n">
        <v>0</v>
      </c>
      <c r="I648" t="n">
        <v>0</v>
      </c>
      <c r="J648" t="n">
        <v>0</v>
      </c>
      <c r="K648" t="n">
        <v>0</v>
      </c>
      <c r="L648" t="n">
        <v>0</v>
      </c>
      <c r="M648" t="n">
        <v>0</v>
      </c>
      <c r="N648" t="n">
        <v>0</v>
      </c>
      <c r="O648" t="n">
        <v>0</v>
      </c>
      <c r="P648" t="n">
        <v>0</v>
      </c>
      <c r="Q648" t="n">
        <v>0</v>
      </c>
      <c r="R648" s="2" t="inlineStr"/>
    </row>
    <row r="649" ht="15" customHeight="1">
      <c r="A649" t="inlineStr">
        <is>
          <t>A 35165-2025</t>
        </is>
      </c>
      <c r="B649" s="1" t="n">
        <v>45852.72320601852</v>
      </c>
      <c r="C649" s="1" t="n">
        <v>45913</v>
      </c>
      <c r="D649" t="inlineStr">
        <is>
          <t>SÖDERMANLANDS LÄN</t>
        </is>
      </c>
      <c r="E649" t="inlineStr">
        <is>
          <t>KATRINEHOLM</t>
        </is>
      </c>
      <c r="F649" t="inlineStr">
        <is>
          <t>Övriga Aktiebolag</t>
        </is>
      </c>
      <c r="G649" t="n">
        <v>20.7</v>
      </c>
      <c r="H649" t="n">
        <v>0</v>
      </c>
      <c r="I649" t="n">
        <v>0</v>
      </c>
      <c r="J649" t="n">
        <v>0</v>
      </c>
      <c r="K649" t="n">
        <v>0</v>
      </c>
      <c r="L649" t="n">
        <v>0</v>
      </c>
      <c r="M649" t="n">
        <v>0</v>
      </c>
      <c r="N649" t="n">
        <v>0</v>
      </c>
      <c r="O649" t="n">
        <v>0</v>
      </c>
      <c r="P649" t="n">
        <v>0</v>
      </c>
      <c r="Q649" t="n">
        <v>0</v>
      </c>
      <c r="R649" s="2" t="inlineStr"/>
    </row>
    <row r="650" ht="15" customHeight="1">
      <c r="A650" t="inlineStr">
        <is>
          <t>A 6628-2022</t>
        </is>
      </c>
      <c r="B650" s="1" t="n">
        <v>44601.78850694445</v>
      </c>
      <c r="C650" s="1" t="n">
        <v>45913</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39645-2025</t>
        </is>
      </c>
      <c r="B651" s="1" t="n">
        <v>45890</v>
      </c>
      <c r="C651" s="1" t="n">
        <v>45913</v>
      </c>
      <c r="D651" t="inlineStr">
        <is>
          <t>SÖDERMANLANDS LÄN</t>
        </is>
      </c>
      <c r="E651" t="inlineStr">
        <is>
          <t>KATRINEHOLM</t>
        </is>
      </c>
      <c r="G651" t="n">
        <v>0.2</v>
      </c>
      <c r="H651" t="n">
        <v>0</v>
      </c>
      <c r="I651" t="n">
        <v>0</v>
      </c>
      <c r="J651" t="n">
        <v>0</v>
      </c>
      <c r="K651" t="n">
        <v>0</v>
      </c>
      <c r="L651" t="n">
        <v>0</v>
      </c>
      <c r="M651" t="n">
        <v>0</v>
      </c>
      <c r="N651" t="n">
        <v>0</v>
      </c>
      <c r="O651" t="n">
        <v>0</v>
      </c>
      <c r="P651" t="n">
        <v>0</v>
      </c>
      <c r="Q651" t="n">
        <v>0</v>
      </c>
      <c r="R651" s="2" t="inlineStr"/>
    </row>
    <row r="652" ht="15" customHeight="1">
      <c r="A652" t="inlineStr">
        <is>
          <t>A 39663-2025</t>
        </is>
      </c>
      <c r="B652" s="1" t="n">
        <v>45890</v>
      </c>
      <c r="C652" s="1" t="n">
        <v>45913</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39668-2025</t>
        </is>
      </c>
      <c r="B653" s="1" t="n">
        <v>45890</v>
      </c>
      <c r="C653" s="1" t="n">
        <v>45913</v>
      </c>
      <c r="D653" t="inlineStr">
        <is>
          <t>SÖDERMANLANDS LÄN</t>
        </is>
      </c>
      <c r="E653" t="inlineStr">
        <is>
          <t>KATRINEHOLM</t>
        </is>
      </c>
      <c r="G653" t="n">
        <v>2.9</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45913</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39847-2025</t>
        </is>
      </c>
      <c r="B655" s="1" t="n">
        <v>45891.58381944444</v>
      </c>
      <c r="C655" s="1" t="n">
        <v>45913</v>
      </c>
      <c r="D655" t="inlineStr">
        <is>
          <t>SÖDERMANLANDS LÄN</t>
        </is>
      </c>
      <c r="E655" t="inlineStr">
        <is>
          <t>KATRINEHOLM</t>
        </is>
      </c>
      <c r="F655" t="inlineStr">
        <is>
          <t>Holmen skog AB</t>
        </is>
      </c>
      <c r="G655" t="n">
        <v>2.5</v>
      </c>
      <c r="H655" t="n">
        <v>0</v>
      </c>
      <c r="I655" t="n">
        <v>0</v>
      </c>
      <c r="J655" t="n">
        <v>0</v>
      </c>
      <c r="K655" t="n">
        <v>0</v>
      </c>
      <c r="L655" t="n">
        <v>0</v>
      </c>
      <c r="M655" t="n">
        <v>0</v>
      </c>
      <c r="N655" t="n">
        <v>0</v>
      </c>
      <c r="O655" t="n">
        <v>0</v>
      </c>
      <c r="P655" t="n">
        <v>0</v>
      </c>
      <c r="Q655" t="n">
        <v>0</v>
      </c>
      <c r="R655" s="2" t="inlineStr"/>
    </row>
    <row r="656" ht="15" customHeight="1">
      <c r="A656" t="inlineStr">
        <is>
          <t>A 35149-2025</t>
        </is>
      </c>
      <c r="B656" s="1" t="n">
        <v>45852</v>
      </c>
      <c r="C656" s="1" t="n">
        <v>45913</v>
      </c>
      <c r="D656" t="inlineStr">
        <is>
          <t>SÖDERMANLANDS LÄN</t>
        </is>
      </c>
      <c r="E656" t="inlineStr">
        <is>
          <t>KATRINEHOLM</t>
        </is>
      </c>
      <c r="G656" t="n">
        <v>2.3</v>
      </c>
      <c r="H656" t="n">
        <v>0</v>
      </c>
      <c r="I656" t="n">
        <v>0</v>
      </c>
      <c r="J656" t="n">
        <v>0</v>
      </c>
      <c r="K656" t="n">
        <v>0</v>
      </c>
      <c r="L656" t="n">
        <v>0</v>
      </c>
      <c r="M656" t="n">
        <v>0</v>
      </c>
      <c r="N656" t="n">
        <v>0</v>
      </c>
      <c r="O656" t="n">
        <v>0</v>
      </c>
      <c r="P656" t="n">
        <v>0</v>
      </c>
      <c r="Q656" t="n">
        <v>0</v>
      </c>
      <c r="R656" s="2" t="inlineStr"/>
    </row>
    <row r="657" ht="15" customHeight="1">
      <c r="A657" t="inlineStr">
        <is>
          <t>A 35161-2025</t>
        </is>
      </c>
      <c r="B657" s="1" t="n">
        <v>45852.70716435185</v>
      </c>
      <c r="C657" s="1" t="n">
        <v>45913</v>
      </c>
      <c r="D657" t="inlineStr">
        <is>
          <t>SÖDERMANLANDS LÄN</t>
        </is>
      </c>
      <c r="E657" t="inlineStr">
        <is>
          <t>KATRINEHOLM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35084-2025</t>
        </is>
      </c>
      <c r="B658" s="1" t="n">
        <v>45852</v>
      </c>
      <c r="C658" s="1" t="n">
        <v>45913</v>
      </c>
      <c r="D658" t="inlineStr">
        <is>
          <t>SÖDERMANLANDS LÄN</t>
        </is>
      </c>
      <c r="E658" t="inlineStr">
        <is>
          <t>KATRINEHOLM</t>
        </is>
      </c>
      <c r="G658" t="n">
        <v>3.2</v>
      </c>
      <c r="H658" t="n">
        <v>0</v>
      </c>
      <c r="I658" t="n">
        <v>0</v>
      </c>
      <c r="J658" t="n">
        <v>0</v>
      </c>
      <c r="K658" t="n">
        <v>0</v>
      </c>
      <c r="L658" t="n">
        <v>0</v>
      </c>
      <c r="M658" t="n">
        <v>0</v>
      </c>
      <c r="N658" t="n">
        <v>0</v>
      </c>
      <c r="O658" t="n">
        <v>0</v>
      </c>
      <c r="P658" t="n">
        <v>0</v>
      </c>
      <c r="Q658" t="n">
        <v>0</v>
      </c>
      <c r="R658" s="2" t="inlineStr"/>
    </row>
    <row r="659" ht="15" customHeight="1">
      <c r="A659" t="inlineStr">
        <is>
          <t>A 35145-2025</t>
        </is>
      </c>
      <c r="B659" s="1" t="n">
        <v>45852</v>
      </c>
      <c r="C659" s="1" t="n">
        <v>45913</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34439-2025</t>
        </is>
      </c>
      <c r="B660" s="1" t="n">
        <v>45845</v>
      </c>
      <c r="C660" s="1" t="n">
        <v>45913</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35157-2025</t>
        </is>
      </c>
      <c r="B661" s="1" t="n">
        <v>45852</v>
      </c>
      <c r="C661" s="1" t="n">
        <v>45913</v>
      </c>
      <c r="D661" t="inlineStr">
        <is>
          <t>SÖDERMANLANDS LÄN</t>
        </is>
      </c>
      <c r="E661" t="inlineStr">
        <is>
          <t>KATRINEHOLM</t>
        </is>
      </c>
      <c r="G661" t="n">
        <v>3.7</v>
      </c>
      <c r="H661" t="n">
        <v>0</v>
      </c>
      <c r="I661" t="n">
        <v>0</v>
      </c>
      <c r="J661" t="n">
        <v>0</v>
      </c>
      <c r="K661" t="n">
        <v>0</v>
      </c>
      <c r="L661" t="n">
        <v>0</v>
      </c>
      <c r="M661" t="n">
        <v>0</v>
      </c>
      <c r="N661" t="n">
        <v>0</v>
      </c>
      <c r="O661" t="n">
        <v>0</v>
      </c>
      <c r="P661" t="n">
        <v>0</v>
      </c>
      <c r="Q661" t="n">
        <v>0</v>
      </c>
      <c r="R661" s="2" t="inlineStr"/>
    </row>
    <row r="662" ht="15" customHeight="1">
      <c r="A662" t="inlineStr">
        <is>
          <t>A 35158-2025</t>
        </is>
      </c>
      <c r="B662" s="1" t="n">
        <v>45852</v>
      </c>
      <c r="C662" s="1" t="n">
        <v>45913</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55136-2020</t>
        </is>
      </c>
      <c r="B663" s="1" t="n">
        <v>44130</v>
      </c>
      <c r="C663" s="1" t="n">
        <v>45913</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39737-2025</t>
        </is>
      </c>
      <c r="B664" s="1" t="n">
        <v>45891</v>
      </c>
      <c r="C664" s="1" t="n">
        <v>45913</v>
      </c>
      <c r="D664" t="inlineStr">
        <is>
          <t>SÖDERMANLANDS LÄN</t>
        </is>
      </c>
      <c r="E664" t="inlineStr">
        <is>
          <t>KATRINEHOLM</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57947-2020</t>
        </is>
      </c>
      <c r="B665" s="1" t="n">
        <v>44142</v>
      </c>
      <c r="C665" s="1" t="n">
        <v>45913</v>
      </c>
      <c r="D665" t="inlineStr">
        <is>
          <t>SÖDERMANLANDS LÄN</t>
        </is>
      </c>
      <c r="E665" t="inlineStr">
        <is>
          <t>KATRINEHOLM</t>
        </is>
      </c>
      <c r="G665" t="n">
        <v>9.6</v>
      </c>
      <c r="H665" t="n">
        <v>0</v>
      </c>
      <c r="I665" t="n">
        <v>0</v>
      </c>
      <c r="J665" t="n">
        <v>0</v>
      </c>
      <c r="K665" t="n">
        <v>0</v>
      </c>
      <c r="L665" t="n">
        <v>0</v>
      </c>
      <c r="M665" t="n">
        <v>0</v>
      </c>
      <c r="N665" t="n">
        <v>0</v>
      </c>
      <c r="O665" t="n">
        <v>0</v>
      </c>
      <c r="P665" t="n">
        <v>0</v>
      </c>
      <c r="Q665" t="n">
        <v>0</v>
      </c>
      <c r="R665" s="2" t="inlineStr"/>
    </row>
    <row r="666" ht="15" customHeight="1">
      <c r="A666" t="inlineStr">
        <is>
          <t>A 2325-2023</t>
        </is>
      </c>
      <c r="B666" s="1" t="n">
        <v>44942</v>
      </c>
      <c r="C666" s="1" t="n">
        <v>45913</v>
      </c>
      <c r="D666" t="inlineStr">
        <is>
          <t>SÖDERMANLANDS LÄN</t>
        </is>
      </c>
      <c r="E666" t="inlineStr">
        <is>
          <t>KATRINEHOLM</t>
        </is>
      </c>
      <c r="G666" t="n">
        <v>5.6</v>
      </c>
      <c r="H666" t="n">
        <v>0</v>
      </c>
      <c r="I666" t="n">
        <v>0</v>
      </c>
      <c r="J666" t="n">
        <v>0</v>
      </c>
      <c r="K666" t="n">
        <v>0</v>
      </c>
      <c r="L666" t="n">
        <v>0</v>
      </c>
      <c r="M666" t="n">
        <v>0</v>
      </c>
      <c r="N666" t="n">
        <v>0</v>
      </c>
      <c r="O666" t="n">
        <v>0</v>
      </c>
      <c r="P666" t="n">
        <v>0</v>
      </c>
      <c r="Q666" t="n">
        <v>0</v>
      </c>
      <c r="R666" s="2" t="inlineStr"/>
    </row>
    <row r="667" ht="15" customHeight="1">
      <c r="A667" t="inlineStr">
        <is>
          <t>A 46011-2021</t>
        </is>
      </c>
      <c r="B667" s="1" t="n">
        <v>44441.88092592593</v>
      </c>
      <c r="C667" s="1" t="n">
        <v>45913</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41074-2025</t>
        </is>
      </c>
      <c r="B668" s="1" t="n">
        <v>45898.42240740741</v>
      </c>
      <c r="C668" s="1" t="n">
        <v>45913</v>
      </c>
      <c r="D668" t="inlineStr">
        <is>
          <t>SÖDERMANLANDS LÄN</t>
        </is>
      </c>
      <c r="E668" t="inlineStr">
        <is>
          <t>KATRINEHOLM</t>
        </is>
      </c>
      <c r="F668" t="inlineStr">
        <is>
          <t>Allmännings- och besparingsskogar</t>
        </is>
      </c>
      <c r="G668" t="n">
        <v>4.8</v>
      </c>
      <c r="H668" t="n">
        <v>0</v>
      </c>
      <c r="I668" t="n">
        <v>0</v>
      </c>
      <c r="J668" t="n">
        <v>0</v>
      </c>
      <c r="K668" t="n">
        <v>0</v>
      </c>
      <c r="L668" t="n">
        <v>0</v>
      </c>
      <c r="M668" t="n">
        <v>0</v>
      </c>
      <c r="N668" t="n">
        <v>0</v>
      </c>
      <c r="O668" t="n">
        <v>0</v>
      </c>
      <c r="P668" t="n">
        <v>0</v>
      </c>
      <c r="Q668" t="n">
        <v>0</v>
      </c>
      <c r="R668" s="2" t="inlineStr"/>
    </row>
    <row r="669" ht="15" customHeight="1">
      <c r="A669" t="inlineStr">
        <is>
          <t>A 62140-2022</t>
        </is>
      </c>
      <c r="B669" s="1" t="n">
        <v>44922</v>
      </c>
      <c r="C669" s="1" t="n">
        <v>45913</v>
      </c>
      <c r="D669" t="inlineStr">
        <is>
          <t>SÖDERMANLANDS LÄN</t>
        </is>
      </c>
      <c r="E669" t="inlineStr">
        <is>
          <t>KATRINEHOLM</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33934-2022</t>
        </is>
      </c>
      <c r="B670" s="1" t="n">
        <v>44790</v>
      </c>
      <c r="C670" s="1" t="n">
        <v>45913</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13171-2024</t>
        </is>
      </c>
      <c r="B671" s="1" t="n">
        <v>45386</v>
      </c>
      <c r="C671" s="1" t="n">
        <v>45913</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59384-2022</t>
        </is>
      </c>
      <c r="B672" s="1" t="n">
        <v>44905</v>
      </c>
      <c r="C672" s="1" t="n">
        <v>45913</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13086-2023</t>
        </is>
      </c>
      <c r="B673" s="1" t="n">
        <v>45002.42188657408</v>
      </c>
      <c r="C673" s="1" t="n">
        <v>45913</v>
      </c>
      <c r="D673" t="inlineStr">
        <is>
          <t>SÖDERMANLANDS LÄN</t>
        </is>
      </c>
      <c r="E673" t="inlineStr">
        <is>
          <t>KATRINEHOLM</t>
        </is>
      </c>
      <c r="G673" t="n">
        <v>2.2</v>
      </c>
      <c r="H673" t="n">
        <v>0</v>
      </c>
      <c r="I673" t="n">
        <v>0</v>
      </c>
      <c r="J673" t="n">
        <v>0</v>
      </c>
      <c r="K673" t="n">
        <v>0</v>
      </c>
      <c r="L673" t="n">
        <v>0</v>
      </c>
      <c r="M673" t="n">
        <v>0</v>
      </c>
      <c r="N673" t="n">
        <v>0</v>
      </c>
      <c r="O673" t="n">
        <v>0</v>
      </c>
      <c r="P673" t="n">
        <v>0</v>
      </c>
      <c r="Q673" t="n">
        <v>0</v>
      </c>
      <c r="R673" s="2" t="inlineStr"/>
    </row>
    <row r="674" ht="15" customHeight="1">
      <c r="A674" t="inlineStr">
        <is>
          <t>A 19670-2022</t>
        </is>
      </c>
      <c r="B674" s="1" t="n">
        <v>44694</v>
      </c>
      <c r="C674" s="1" t="n">
        <v>45913</v>
      </c>
      <c r="D674" t="inlineStr">
        <is>
          <t>SÖDERMANLANDS LÄN</t>
        </is>
      </c>
      <c r="E674" t="inlineStr">
        <is>
          <t>KATRINEHOLM</t>
        </is>
      </c>
      <c r="G674" t="n">
        <v>13.6</v>
      </c>
      <c r="H674" t="n">
        <v>0</v>
      </c>
      <c r="I674" t="n">
        <v>0</v>
      </c>
      <c r="J674" t="n">
        <v>0</v>
      </c>
      <c r="K674" t="n">
        <v>0</v>
      </c>
      <c r="L674" t="n">
        <v>0</v>
      </c>
      <c r="M674" t="n">
        <v>0</v>
      </c>
      <c r="N674" t="n">
        <v>0</v>
      </c>
      <c r="O674" t="n">
        <v>0</v>
      </c>
      <c r="P674" t="n">
        <v>0</v>
      </c>
      <c r="Q674" t="n">
        <v>0</v>
      </c>
      <c r="R674" s="2" t="inlineStr"/>
    </row>
    <row r="675" ht="15" customHeight="1">
      <c r="A675" t="inlineStr">
        <is>
          <t>A 19107-2022</t>
        </is>
      </c>
      <c r="B675" s="1" t="n">
        <v>44691.54077546296</v>
      </c>
      <c r="C675" s="1" t="n">
        <v>45913</v>
      </c>
      <c r="D675" t="inlineStr">
        <is>
          <t>SÖDERMANLANDS LÄN</t>
        </is>
      </c>
      <c r="E675" t="inlineStr">
        <is>
          <t>KATRINEHOLM</t>
        </is>
      </c>
      <c r="G675" t="n">
        <v>1</v>
      </c>
      <c r="H675" t="n">
        <v>0</v>
      </c>
      <c r="I675" t="n">
        <v>0</v>
      </c>
      <c r="J675" t="n">
        <v>0</v>
      </c>
      <c r="K675" t="n">
        <v>0</v>
      </c>
      <c r="L675" t="n">
        <v>0</v>
      </c>
      <c r="M675" t="n">
        <v>0</v>
      </c>
      <c r="N675" t="n">
        <v>0</v>
      </c>
      <c r="O675" t="n">
        <v>0</v>
      </c>
      <c r="P675" t="n">
        <v>0</v>
      </c>
      <c r="Q675" t="n">
        <v>0</v>
      </c>
      <c r="R675" s="2" t="inlineStr"/>
    </row>
    <row r="676" ht="15" customHeight="1">
      <c r="A676" t="inlineStr">
        <is>
          <t>A 57693-2020</t>
        </is>
      </c>
      <c r="B676" s="1" t="n">
        <v>44140</v>
      </c>
      <c r="C676" s="1" t="n">
        <v>45913</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30333-2023</t>
        </is>
      </c>
      <c r="B677" s="1" t="n">
        <v>45111</v>
      </c>
      <c r="C677" s="1" t="n">
        <v>45913</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6175-2023</t>
        </is>
      </c>
      <c r="B678" s="1" t="n">
        <v>44964</v>
      </c>
      <c r="C678" s="1" t="n">
        <v>45913</v>
      </c>
      <c r="D678" t="inlineStr">
        <is>
          <t>SÖDERMANLANDS LÄN</t>
        </is>
      </c>
      <c r="E678" t="inlineStr">
        <is>
          <t>KATRINEHOLM</t>
        </is>
      </c>
      <c r="G678" t="n">
        <v>11.2</v>
      </c>
      <c r="H678" t="n">
        <v>0</v>
      </c>
      <c r="I678" t="n">
        <v>0</v>
      </c>
      <c r="J678" t="n">
        <v>0</v>
      </c>
      <c r="K678" t="n">
        <v>0</v>
      </c>
      <c r="L678" t="n">
        <v>0</v>
      </c>
      <c r="M678" t="n">
        <v>0</v>
      </c>
      <c r="N678" t="n">
        <v>0</v>
      </c>
      <c r="O678" t="n">
        <v>0</v>
      </c>
      <c r="P678" t="n">
        <v>0</v>
      </c>
      <c r="Q678" t="n">
        <v>0</v>
      </c>
      <c r="R678" s="2" t="inlineStr"/>
    </row>
    <row r="679" ht="15" customHeight="1">
      <c r="A679" t="inlineStr">
        <is>
          <t>A 11875-2023</t>
        </is>
      </c>
      <c r="B679" s="1" t="n">
        <v>44995</v>
      </c>
      <c r="C679" s="1" t="n">
        <v>45913</v>
      </c>
      <c r="D679" t="inlineStr">
        <is>
          <t>SÖDERMANLANDS LÄN</t>
        </is>
      </c>
      <c r="E679" t="inlineStr">
        <is>
          <t>KATRINEHOLM</t>
        </is>
      </c>
      <c r="F679" t="inlineStr">
        <is>
          <t>Kommuner</t>
        </is>
      </c>
      <c r="G679" t="n">
        <v>1.1</v>
      </c>
      <c r="H679" t="n">
        <v>0</v>
      </c>
      <c r="I679" t="n">
        <v>0</v>
      </c>
      <c r="J679" t="n">
        <v>0</v>
      </c>
      <c r="K679" t="n">
        <v>0</v>
      </c>
      <c r="L679" t="n">
        <v>0</v>
      </c>
      <c r="M679" t="n">
        <v>0</v>
      </c>
      <c r="N679" t="n">
        <v>0</v>
      </c>
      <c r="O679" t="n">
        <v>0</v>
      </c>
      <c r="P679" t="n">
        <v>0</v>
      </c>
      <c r="Q679" t="n">
        <v>0</v>
      </c>
      <c r="R679" s="2" t="inlineStr"/>
    </row>
    <row r="680" ht="15" customHeight="1">
      <c r="A680" t="inlineStr">
        <is>
          <t>A 6796-2022</t>
        </is>
      </c>
      <c r="B680" s="1" t="n">
        <v>44602</v>
      </c>
      <c r="C680" s="1" t="n">
        <v>45913</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41648-2025</t>
        </is>
      </c>
      <c r="B681" s="1" t="n">
        <v>45902.32601851852</v>
      </c>
      <c r="C681" s="1" t="n">
        <v>45913</v>
      </c>
      <c r="D681" t="inlineStr">
        <is>
          <t>SÖDERMANLANDS LÄN</t>
        </is>
      </c>
      <c r="E681" t="inlineStr">
        <is>
          <t>KATRINEHOLM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41548-2025</t>
        </is>
      </c>
      <c r="B682" s="1" t="n">
        <v>45901</v>
      </c>
      <c r="C682" s="1" t="n">
        <v>45913</v>
      </c>
      <c r="D682" t="inlineStr">
        <is>
          <t>SÖDERMANLANDS LÄN</t>
        </is>
      </c>
      <c r="E682" t="inlineStr">
        <is>
          <t>KATRINEHOLM</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34176-2025</t>
        </is>
      </c>
      <c r="B683" s="1" t="n">
        <v>45845</v>
      </c>
      <c r="C683" s="1" t="n">
        <v>45913</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41498-2025</t>
        </is>
      </c>
      <c r="B684" s="1" t="n">
        <v>45901.49755787037</v>
      </c>
      <c r="C684" s="1" t="n">
        <v>45913</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45913</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55079-2020</t>
        </is>
      </c>
      <c r="B686" s="1" t="n">
        <v>44130.46172453704</v>
      </c>
      <c r="C686" s="1" t="n">
        <v>45913</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39068-2022</t>
        </is>
      </c>
      <c r="B687" s="1" t="n">
        <v>44816</v>
      </c>
      <c r="C687" s="1" t="n">
        <v>45913</v>
      </c>
      <c r="D687" t="inlineStr">
        <is>
          <t>SÖDERMANLANDS LÄN</t>
        </is>
      </c>
      <c r="E687" t="inlineStr">
        <is>
          <t>KATRINEHOLM</t>
        </is>
      </c>
      <c r="G687" t="n">
        <v>3.6</v>
      </c>
      <c r="H687" t="n">
        <v>0</v>
      </c>
      <c r="I687" t="n">
        <v>0</v>
      </c>
      <c r="J687" t="n">
        <v>0</v>
      </c>
      <c r="K687" t="n">
        <v>0</v>
      </c>
      <c r="L687" t="n">
        <v>0</v>
      </c>
      <c r="M687" t="n">
        <v>0</v>
      </c>
      <c r="N687" t="n">
        <v>0</v>
      </c>
      <c r="O687" t="n">
        <v>0</v>
      </c>
      <c r="P687" t="n">
        <v>0</v>
      </c>
      <c r="Q687" t="n">
        <v>0</v>
      </c>
      <c r="R687" s="2" t="inlineStr"/>
    </row>
    <row r="688" ht="15" customHeight="1">
      <c r="A688" t="inlineStr">
        <is>
          <t>A 8765-2023</t>
        </is>
      </c>
      <c r="B688" s="1" t="n">
        <v>44978.52131944444</v>
      </c>
      <c r="C688" s="1" t="n">
        <v>45913</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57154-2023</t>
        </is>
      </c>
      <c r="B689" s="1" t="n">
        <v>45245</v>
      </c>
      <c r="C689" s="1" t="n">
        <v>45913</v>
      </c>
      <c r="D689" t="inlineStr">
        <is>
          <t>SÖDERMANLANDS LÄN</t>
        </is>
      </c>
      <c r="E689" t="inlineStr">
        <is>
          <t>KATRINEHOLM</t>
        </is>
      </c>
      <c r="F689" t="inlineStr">
        <is>
          <t>Allmännings- och besparingsskogar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41633-2025</t>
        </is>
      </c>
      <c r="B690" s="1" t="n">
        <v>45901</v>
      </c>
      <c r="C690" s="1" t="n">
        <v>45913</v>
      </c>
      <c r="D690" t="inlineStr">
        <is>
          <t>SÖDERMANLANDS LÄN</t>
        </is>
      </c>
      <c r="E690" t="inlineStr">
        <is>
          <t>KATRINEHOLM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42686-2025</t>
        </is>
      </c>
      <c r="B691" s="1" t="n">
        <v>45908.35550925926</v>
      </c>
      <c r="C691" s="1" t="n">
        <v>45913</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42474-2025</t>
        </is>
      </c>
      <c r="B692" s="1" t="n">
        <v>45905.46659722222</v>
      </c>
      <c r="C692" s="1" t="n">
        <v>45913</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21959-2022</t>
        </is>
      </c>
      <c r="B693" s="1" t="n">
        <v>44708</v>
      </c>
      <c r="C693" s="1" t="n">
        <v>45913</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51530-2023</t>
        </is>
      </c>
      <c r="B694" s="1" t="n">
        <v>45222</v>
      </c>
      <c r="C694" s="1" t="n">
        <v>45913</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45913</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42799-2025</t>
        </is>
      </c>
      <c r="B696" s="1" t="n">
        <v>45907</v>
      </c>
      <c r="C696" s="1" t="n">
        <v>45913</v>
      </c>
      <c r="D696" t="inlineStr">
        <is>
          <t>SÖDERMANLANDS LÄN</t>
        </is>
      </c>
      <c r="E696" t="inlineStr">
        <is>
          <t>KATRINEHOLM</t>
        </is>
      </c>
      <c r="G696" t="n">
        <v>3.9</v>
      </c>
      <c r="H696" t="n">
        <v>0</v>
      </c>
      <c r="I696" t="n">
        <v>0</v>
      </c>
      <c r="J696" t="n">
        <v>0</v>
      </c>
      <c r="K696" t="n">
        <v>0</v>
      </c>
      <c r="L696" t="n">
        <v>0</v>
      </c>
      <c r="M696" t="n">
        <v>0</v>
      </c>
      <c r="N696" t="n">
        <v>0</v>
      </c>
      <c r="O696" t="n">
        <v>0</v>
      </c>
      <c r="P696" t="n">
        <v>0</v>
      </c>
      <c r="Q696" t="n">
        <v>0</v>
      </c>
      <c r="R696" s="2" t="inlineStr"/>
    </row>
    <row r="697" ht="15" customHeight="1">
      <c r="A697" t="inlineStr">
        <is>
          <t>A 38879-2024</t>
        </is>
      </c>
      <c r="B697" s="1" t="n">
        <v>45547</v>
      </c>
      <c r="C697" s="1" t="n">
        <v>45913</v>
      </c>
      <c r="D697" t="inlineStr">
        <is>
          <t>SÖDERMANLANDS LÄN</t>
        </is>
      </c>
      <c r="E697" t="inlineStr">
        <is>
          <t>KATRINEHOLM</t>
        </is>
      </c>
      <c r="G697" t="n">
        <v>2.6</v>
      </c>
      <c r="H697" t="n">
        <v>0</v>
      </c>
      <c r="I697" t="n">
        <v>0</v>
      </c>
      <c r="J697" t="n">
        <v>0</v>
      </c>
      <c r="K697" t="n">
        <v>0</v>
      </c>
      <c r="L697" t="n">
        <v>0</v>
      </c>
      <c r="M697" t="n">
        <v>0</v>
      </c>
      <c r="N697" t="n">
        <v>0</v>
      </c>
      <c r="O697" t="n">
        <v>0</v>
      </c>
      <c r="P697" t="n">
        <v>0</v>
      </c>
      <c r="Q697" t="n">
        <v>0</v>
      </c>
      <c r="R697" s="2" t="inlineStr"/>
    </row>
    <row r="698" ht="15" customHeight="1">
      <c r="A698" t="inlineStr">
        <is>
          <t>A 44024-2021</t>
        </is>
      </c>
      <c r="B698" s="1" t="n">
        <v>44434</v>
      </c>
      <c r="C698" s="1" t="n">
        <v>45913</v>
      </c>
      <c r="D698" t="inlineStr">
        <is>
          <t>SÖDERMANLANDS LÄN</t>
        </is>
      </c>
      <c r="E698" t="inlineStr">
        <is>
          <t>KATRINEHOLM</t>
        </is>
      </c>
      <c r="G698" t="n">
        <v>13</v>
      </c>
      <c r="H698" t="n">
        <v>0</v>
      </c>
      <c r="I698" t="n">
        <v>0</v>
      </c>
      <c r="J698" t="n">
        <v>0</v>
      </c>
      <c r="K698" t="n">
        <v>0</v>
      </c>
      <c r="L698" t="n">
        <v>0</v>
      </c>
      <c r="M698" t="n">
        <v>0</v>
      </c>
      <c r="N698" t="n">
        <v>0</v>
      </c>
      <c r="O698" t="n">
        <v>0</v>
      </c>
      <c r="P698" t="n">
        <v>0</v>
      </c>
      <c r="Q698" t="n">
        <v>0</v>
      </c>
      <c r="R698" s="2" t="inlineStr"/>
    </row>
    <row r="699" ht="15" customHeight="1">
      <c r="A699" t="inlineStr">
        <is>
          <t>A 64657-2020</t>
        </is>
      </c>
      <c r="B699" s="1" t="n">
        <v>44169</v>
      </c>
      <c r="C699" s="1" t="n">
        <v>45913</v>
      </c>
      <c r="D699" t="inlineStr">
        <is>
          <t>SÖDERMANLANDS LÄN</t>
        </is>
      </c>
      <c r="E699" t="inlineStr">
        <is>
          <t>KATRINEHOLM</t>
        </is>
      </c>
      <c r="F699" t="inlineStr">
        <is>
          <t>Kyrkan</t>
        </is>
      </c>
      <c r="G699" t="n">
        <v>7.6</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45913</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25362-2023</t>
        </is>
      </c>
      <c r="B701" s="1" t="n">
        <v>45088.83430555555</v>
      </c>
      <c r="C701" s="1" t="n">
        <v>45913</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41632-2025</t>
        </is>
      </c>
      <c r="B702" s="1" t="n">
        <v>45901</v>
      </c>
      <c r="C702" s="1" t="n">
        <v>45913</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4662-2023</t>
        </is>
      </c>
      <c r="B703" s="1" t="n">
        <v>44957</v>
      </c>
      <c r="C703" s="1" t="n">
        <v>45913</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19685-2022</t>
        </is>
      </c>
      <c r="B704" s="1" t="n">
        <v>44694</v>
      </c>
      <c r="C704" s="1" t="n">
        <v>45913</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45913</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45913</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45913</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45913</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45913</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45913</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36590-2025</t>
        </is>
      </c>
      <c r="B711" s="1" t="n">
        <v>45870</v>
      </c>
      <c r="C711" s="1" t="n">
        <v>45913</v>
      </c>
      <c r="D711" t="inlineStr">
        <is>
          <t>SÖDERMANLANDS LÄN</t>
        </is>
      </c>
      <c r="E711" t="inlineStr">
        <is>
          <t>KATRINEHOLM</t>
        </is>
      </c>
      <c r="G711" t="n">
        <v>2</v>
      </c>
      <c r="H711" t="n">
        <v>0</v>
      </c>
      <c r="I711" t="n">
        <v>0</v>
      </c>
      <c r="J711" t="n">
        <v>0</v>
      </c>
      <c r="K711" t="n">
        <v>0</v>
      </c>
      <c r="L711" t="n">
        <v>0</v>
      </c>
      <c r="M711" t="n">
        <v>0</v>
      </c>
      <c r="N711" t="n">
        <v>0</v>
      </c>
      <c r="O711" t="n">
        <v>0</v>
      </c>
      <c r="P711" t="n">
        <v>0</v>
      </c>
      <c r="Q711" t="n">
        <v>0</v>
      </c>
      <c r="R711" s="2" t="inlineStr"/>
    </row>
    <row r="712" ht="15" customHeight="1">
      <c r="A712" t="inlineStr">
        <is>
          <t>A 26684-2025</t>
        </is>
      </c>
      <c r="B712" s="1" t="n">
        <v>45810</v>
      </c>
      <c r="C712" s="1" t="n">
        <v>45913</v>
      </c>
      <c r="D712" t="inlineStr">
        <is>
          <t>SÖDERMANLANDS LÄN</t>
        </is>
      </c>
      <c r="E712" t="inlineStr">
        <is>
          <t>KATRINEHOLM</t>
        </is>
      </c>
      <c r="G712" t="n">
        <v>1</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45913</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31719-2024</t>
        </is>
      </c>
      <c r="B714" s="1" t="n">
        <v>45509</v>
      </c>
      <c r="C714" s="1" t="n">
        <v>45913</v>
      </c>
      <c r="D714" t="inlineStr">
        <is>
          <t>SÖDERMANLANDS LÄN</t>
        </is>
      </c>
      <c r="E714" t="inlineStr">
        <is>
          <t>KATRINEHOLM</t>
        </is>
      </c>
      <c r="F714" t="inlineStr">
        <is>
          <t>Kyrkan</t>
        </is>
      </c>
      <c r="G714" t="n">
        <v>11.9</v>
      </c>
      <c r="H714" t="n">
        <v>0</v>
      </c>
      <c r="I714" t="n">
        <v>0</v>
      </c>
      <c r="J714" t="n">
        <v>0</v>
      </c>
      <c r="K714" t="n">
        <v>0</v>
      </c>
      <c r="L714" t="n">
        <v>0</v>
      </c>
      <c r="M714" t="n">
        <v>0</v>
      </c>
      <c r="N714" t="n">
        <v>0</v>
      </c>
      <c r="O714" t="n">
        <v>0</v>
      </c>
      <c r="P714" t="n">
        <v>0</v>
      </c>
      <c r="Q714" t="n">
        <v>0</v>
      </c>
      <c r="R714" s="2" t="inlineStr"/>
    </row>
    <row r="715" ht="15" customHeight="1">
      <c r="A715" t="inlineStr">
        <is>
          <t>A 41793-2025</t>
        </is>
      </c>
      <c r="B715" s="1" t="n">
        <v>45902</v>
      </c>
      <c r="C715" s="1" t="n">
        <v>45913</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45913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45913</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12227-2025</t>
        </is>
      </c>
      <c r="B718" s="1" t="n">
        <v>45729.56836805555</v>
      </c>
      <c r="C718" s="1" t="n">
        <v>45913</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45913</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45913</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45913</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45913</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45913</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45913</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45913</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45913</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45913</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45913</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45913</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45913</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45913</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45913</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45913</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45913</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45913</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45913</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45913</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45913</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45913</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45913</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45913</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45913</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45913</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45913</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45913</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45913</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45913</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45913</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45913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45913</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45913</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45913</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45913</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45913</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45913</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45913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45913</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45913</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45913</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45913</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45913</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45913</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45913</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57645-2020</t>
        </is>
      </c>
      <c r="B764" s="1" t="n">
        <v>44140.68782407408</v>
      </c>
      <c r="C764" s="1" t="n">
        <v>45913</v>
      </c>
      <c r="D764" t="inlineStr">
        <is>
          <t>SÖDERMANLANDS LÄN</t>
        </is>
      </c>
      <c r="E764" t="inlineStr">
        <is>
          <t>KATRINEHOLM</t>
        </is>
      </c>
      <c r="G764" t="n">
        <v>17</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45913</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45913</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45913</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45913</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45913</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45913</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45913</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45913</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45913</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45913</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45913</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45913</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45913</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c r="A778" t="inlineStr">
        <is>
          <t>A 49116-2024</t>
        </is>
      </c>
      <c r="B778" s="1" t="n">
        <v>45594.6605787037</v>
      </c>
      <c r="C778" s="1" t="n">
        <v>45913</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2025-09-13T08:52:19Z</dcterms:created>
  <dcterms:modified xmlns:dcterms="http://purl.org/dc/terms/" xmlns:xsi="http://www.w3.org/2001/XMLSchema-instance" xsi:type="dcterms:W3CDTF">2025-09-13T08:52:20Z</dcterms:modified>
</cp:coreProperties>
</file>