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45911</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45911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45911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45911</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45911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45911</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45911</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45911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45911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45911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45911</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45911</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45911</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45911</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45911</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30229-2023</t>
        </is>
      </c>
      <c r="B21" s="1" t="n">
        <v>45099</v>
      </c>
      <c r="C21" s="1" t="n">
        <v>45911</v>
      </c>
      <c r="D21" t="inlineStr">
        <is>
          <t>SÖDERMANLANDS LÄN</t>
        </is>
      </c>
      <c r="E21" t="inlineStr">
        <is>
          <t>KATRINEHOLM</t>
        </is>
      </c>
      <c r="G21" t="n">
        <v>11.8</v>
      </c>
      <c r="H21" t="n">
        <v>0</v>
      </c>
      <c r="I21" t="n">
        <v>0</v>
      </c>
      <c r="J21" t="n">
        <v>2</v>
      </c>
      <c r="K21" t="n">
        <v>0</v>
      </c>
      <c r="L21" t="n">
        <v>0</v>
      </c>
      <c r="M21" t="n">
        <v>0</v>
      </c>
      <c r="N21" t="n">
        <v>0</v>
      </c>
      <c r="O21" t="n">
        <v>2</v>
      </c>
      <c r="P21" t="n">
        <v>0</v>
      </c>
      <c r="Q21" t="n">
        <v>2</v>
      </c>
      <c r="R21" s="2" t="inlineStr">
        <is>
          <t>Bredbrämad bastardsvärmare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56897-2021</t>
        </is>
      </c>
      <c r="B22" s="1" t="n">
        <v>44481</v>
      </c>
      <c r="C22" s="1" t="n">
        <v>45911</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24718-2025</t>
        </is>
      </c>
      <c r="B23" s="1" t="n">
        <v>45799</v>
      </c>
      <c r="C23" s="1" t="n">
        <v>45911</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14655-2023</t>
        </is>
      </c>
      <c r="B24" s="1" t="n">
        <v>45013</v>
      </c>
      <c r="C24" s="1" t="n">
        <v>45911</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1150-2025</t>
        </is>
      </c>
      <c r="B25" s="1" t="n">
        <v>45666</v>
      </c>
      <c r="C25" s="1" t="n">
        <v>45911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45911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45911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45911</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45911</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45911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45911</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53990-2023</t>
        </is>
      </c>
      <c r="B36" s="1" t="n">
        <v>45231</v>
      </c>
      <c r="C36" s="1" t="n">
        <v>45911</v>
      </c>
      <c r="D36" t="inlineStr">
        <is>
          <t>SÖDERMANLANDS LÄN</t>
        </is>
      </c>
      <c r="E36" t="inlineStr">
        <is>
          <t>KATRINEHOLM</t>
        </is>
      </c>
      <c r="G36" t="n">
        <v>6.1</v>
      </c>
      <c r="H36" t="n">
        <v>0</v>
      </c>
      <c r="I36" t="n">
        <v>0</v>
      </c>
      <c r="J36" t="n">
        <v>1</v>
      </c>
      <c r="K36" t="n">
        <v>0</v>
      </c>
      <c r="L36" t="n">
        <v>0</v>
      </c>
      <c r="M36" t="n">
        <v>0</v>
      </c>
      <c r="N36" t="n">
        <v>0</v>
      </c>
      <c r="O36" t="n">
        <v>1</v>
      </c>
      <c r="P36" t="n">
        <v>0</v>
      </c>
      <c r="Q36" t="n">
        <v>1</v>
      </c>
      <c r="R36" s="2" t="inlineStr">
        <is>
          <t>Motaggsvamp</t>
        </is>
      </c>
      <c r="S36">
        <f>HYPERLINK("https://klasma.github.io/Logging_0483/artfynd/A 53990-2023 artfynd.xlsx", "A 53990-2023")</f>
        <v/>
      </c>
      <c r="T36">
        <f>HYPERLINK("https://klasma.github.io/Logging_0483/kartor/A 53990-2023 karta.png", "A 53990-2023")</f>
        <v/>
      </c>
      <c r="V36">
        <f>HYPERLINK("https://klasma.github.io/Logging_0483/klagomål/A 53990-2023 FSC-klagomål.docx", "A 53990-2023")</f>
        <v/>
      </c>
      <c r="W36">
        <f>HYPERLINK("https://klasma.github.io/Logging_0483/klagomålsmail/A 53990-2023 FSC-klagomål mail.docx", "A 53990-2023")</f>
        <v/>
      </c>
      <c r="X36">
        <f>HYPERLINK("https://klasma.github.io/Logging_0483/tillsyn/A 53990-2023 tillsynsbegäran.docx", "A 53990-2023")</f>
        <v/>
      </c>
      <c r="Y36">
        <f>HYPERLINK("https://klasma.github.io/Logging_0483/tillsynsmail/A 53990-2023 tillsynsbegäran mail.docx", "A 53990-2023")</f>
        <v/>
      </c>
    </row>
    <row r="37" ht="15" customHeight="1">
      <c r="A37" t="inlineStr">
        <is>
          <t>A 27926-2025</t>
        </is>
      </c>
      <c r="B37" s="1" t="n">
        <v>45814</v>
      </c>
      <c r="C37" s="1" t="n">
        <v>45911</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16458-2022</t>
        </is>
      </c>
      <c r="B38" s="1" t="n">
        <v>44671</v>
      </c>
      <c r="C38" s="1" t="n">
        <v>45911</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23568-2023</t>
        </is>
      </c>
      <c r="B39" s="1" t="n">
        <v>45077</v>
      </c>
      <c r="C39" s="1" t="n">
        <v>45911</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53154-2023</t>
        </is>
      </c>
      <c r="B40" s="1" t="n">
        <v>45229</v>
      </c>
      <c r="C40" s="1" t="n">
        <v>45911</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57519-2021</t>
        </is>
      </c>
      <c r="B41" s="1" t="n">
        <v>44483</v>
      </c>
      <c r="C41" s="1" t="n">
        <v>45911</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Blåsippa</t>
        </is>
      </c>
      <c r="S41">
        <f>HYPERLINK("https://klasma.github.io/Logging_0483/artfynd/A 57519-2021 artfynd.xlsx", "A 57519-2021")</f>
        <v/>
      </c>
      <c r="T41">
        <f>HYPERLINK("https://klasma.github.io/Logging_0483/kartor/A 57519-2021 karta.png", "A 57519-2021")</f>
        <v/>
      </c>
      <c r="V41">
        <f>HYPERLINK("https://klasma.github.io/Logging_0483/klagomål/A 57519-2021 FSC-klagomål.docx", "A 57519-2021")</f>
        <v/>
      </c>
      <c r="W41">
        <f>HYPERLINK("https://klasma.github.io/Logging_0483/klagomålsmail/A 57519-2021 FSC-klagomål mail.docx", "A 57519-2021")</f>
        <v/>
      </c>
      <c r="X41">
        <f>HYPERLINK("https://klasma.github.io/Logging_0483/tillsyn/A 57519-2021 tillsynsbegäran.docx", "A 57519-2021")</f>
        <v/>
      </c>
      <c r="Y41">
        <f>HYPERLINK("https://klasma.github.io/Logging_0483/tillsynsmail/A 57519-2021 tillsynsbegäran mail.docx", "A 57519-2021")</f>
        <v/>
      </c>
    </row>
    <row r="42" ht="15" customHeight="1">
      <c r="A42" t="inlineStr">
        <is>
          <t>A 44486-2023</t>
        </is>
      </c>
      <c r="B42" s="1" t="n">
        <v>45183</v>
      </c>
      <c r="C42" s="1" t="n">
        <v>45911</v>
      </c>
      <c r="D42" t="inlineStr">
        <is>
          <t>SÖDERMANLANDS LÄN</t>
        </is>
      </c>
      <c r="E42" t="inlineStr">
        <is>
          <t>KATRINEHOLM</t>
        </is>
      </c>
      <c r="G42" t="n">
        <v>1.7</v>
      </c>
      <c r="H42" t="n">
        <v>0</v>
      </c>
      <c r="I42" t="n">
        <v>0</v>
      </c>
      <c r="J42" t="n">
        <v>1</v>
      </c>
      <c r="K42" t="n">
        <v>0</v>
      </c>
      <c r="L42" t="n">
        <v>0</v>
      </c>
      <c r="M42" t="n">
        <v>0</v>
      </c>
      <c r="N42" t="n">
        <v>0</v>
      </c>
      <c r="O42" t="n">
        <v>1</v>
      </c>
      <c r="P42" t="n">
        <v>0</v>
      </c>
      <c r="Q42" t="n">
        <v>1</v>
      </c>
      <c r="R42" s="2" t="inlineStr">
        <is>
          <t>Svedjenäva</t>
        </is>
      </c>
      <c r="S42">
        <f>HYPERLINK("https://klasma.github.io/Logging_0483/artfynd/A 44486-2023 artfynd.xlsx", "A 44486-2023")</f>
        <v/>
      </c>
      <c r="T42">
        <f>HYPERLINK("https://klasma.github.io/Logging_0483/kartor/A 44486-2023 karta.png", "A 44486-2023")</f>
        <v/>
      </c>
      <c r="V42">
        <f>HYPERLINK("https://klasma.github.io/Logging_0483/klagomål/A 44486-2023 FSC-klagomål.docx", "A 44486-2023")</f>
        <v/>
      </c>
      <c r="W42">
        <f>HYPERLINK("https://klasma.github.io/Logging_0483/klagomålsmail/A 44486-2023 FSC-klagomål mail.docx", "A 44486-2023")</f>
        <v/>
      </c>
      <c r="X42">
        <f>HYPERLINK("https://klasma.github.io/Logging_0483/tillsyn/A 44486-2023 tillsynsbegäran.docx", "A 44486-2023")</f>
        <v/>
      </c>
      <c r="Y42">
        <f>HYPERLINK("https://klasma.github.io/Logging_0483/tillsynsmail/A 44486-2023 tillsynsbegäran mail.docx", "A 44486-2023")</f>
        <v/>
      </c>
    </row>
    <row r="43" ht="15" customHeight="1">
      <c r="A43" t="inlineStr">
        <is>
          <t>A 11890-2023</t>
        </is>
      </c>
      <c r="B43" s="1" t="n">
        <v>44995</v>
      </c>
      <c r="C43" s="1" t="n">
        <v>45911</v>
      </c>
      <c r="D43" t="inlineStr">
        <is>
          <t>SÖDERMANLANDS LÄN</t>
        </is>
      </c>
      <c r="E43" t="inlineStr">
        <is>
          <t>KATRINEHOLM</t>
        </is>
      </c>
      <c r="F43" t="inlineStr">
        <is>
          <t>Kommuner</t>
        </is>
      </c>
      <c r="G43" t="n">
        <v>6.7</v>
      </c>
      <c r="H43" t="n">
        <v>1</v>
      </c>
      <c r="I43" t="n">
        <v>1</v>
      </c>
      <c r="J43" t="n">
        <v>0</v>
      </c>
      <c r="K43" t="n">
        <v>0</v>
      </c>
      <c r="L43" t="n">
        <v>0</v>
      </c>
      <c r="M43" t="n">
        <v>0</v>
      </c>
      <c r="N43" t="n">
        <v>0</v>
      </c>
      <c r="O43" t="n">
        <v>0</v>
      </c>
      <c r="P43" t="n">
        <v>0</v>
      </c>
      <c r="Q43" t="n">
        <v>1</v>
      </c>
      <c r="R43" s="2" t="inlineStr">
        <is>
          <t>Skogsknipprot</t>
        </is>
      </c>
      <c r="S43">
        <f>HYPERLINK("https://klasma.github.io/Logging_0483/artfynd/A 11890-2023 artfynd.xlsx", "A 11890-2023")</f>
        <v/>
      </c>
      <c r="T43">
        <f>HYPERLINK("https://klasma.github.io/Logging_0483/kartor/A 11890-2023 karta.png", "A 11890-2023")</f>
        <v/>
      </c>
      <c r="V43">
        <f>HYPERLINK("https://klasma.github.io/Logging_0483/klagomål/A 11890-2023 FSC-klagomål.docx", "A 11890-2023")</f>
        <v/>
      </c>
      <c r="W43">
        <f>HYPERLINK("https://klasma.github.io/Logging_0483/klagomålsmail/A 11890-2023 FSC-klagomål mail.docx", "A 11890-2023")</f>
        <v/>
      </c>
      <c r="X43">
        <f>HYPERLINK("https://klasma.github.io/Logging_0483/tillsyn/A 11890-2023 tillsynsbegäran.docx", "A 11890-2023")</f>
        <v/>
      </c>
      <c r="Y43">
        <f>HYPERLINK("https://klasma.github.io/Logging_0483/tillsynsmail/A 11890-2023 tillsynsbegäran mail.docx", "A 11890-2023")</f>
        <v/>
      </c>
    </row>
    <row r="44" ht="15" customHeight="1">
      <c r="A44" t="inlineStr">
        <is>
          <t>A 47989-2020</t>
        </is>
      </c>
      <c r="B44" s="1" t="n">
        <v>44099</v>
      </c>
      <c r="C44" s="1" t="n">
        <v>45911</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44632-2023</t>
        </is>
      </c>
      <c r="B45" s="1" t="n">
        <v>45184</v>
      </c>
      <c r="C45" s="1" t="n">
        <v>45911</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35163-2025</t>
        </is>
      </c>
      <c r="B46" s="1" t="n">
        <v>45852.71136574074</v>
      </c>
      <c r="C46" s="1" t="n">
        <v>45911</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33801-2023</t>
        </is>
      </c>
      <c r="B47" s="1" t="n">
        <v>45133</v>
      </c>
      <c r="C47" s="1" t="n">
        <v>45911</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42055-2025</t>
        </is>
      </c>
      <c r="B48" s="1" t="n">
        <v>45903.64179398148</v>
      </c>
      <c r="C48" s="1" t="n">
        <v>45911</v>
      </c>
      <c r="D48" t="inlineStr">
        <is>
          <t>SÖDERMANLANDS LÄN</t>
        </is>
      </c>
      <c r="E48" t="inlineStr">
        <is>
          <t>KATRINEHOLM</t>
        </is>
      </c>
      <c r="F48" t="inlineStr">
        <is>
          <t>Allmännings- och besparingsskogar</t>
        </is>
      </c>
      <c r="G48" t="n">
        <v>0.8</v>
      </c>
      <c r="H48" t="n">
        <v>0</v>
      </c>
      <c r="I48" t="n">
        <v>1</v>
      </c>
      <c r="J48" t="n">
        <v>0</v>
      </c>
      <c r="K48" t="n">
        <v>0</v>
      </c>
      <c r="L48" t="n">
        <v>0</v>
      </c>
      <c r="M48" t="n">
        <v>0</v>
      </c>
      <c r="N48" t="n">
        <v>0</v>
      </c>
      <c r="O48" t="n">
        <v>0</v>
      </c>
      <c r="P48" t="n">
        <v>0</v>
      </c>
      <c r="Q48" t="n">
        <v>1</v>
      </c>
      <c r="R48" s="2" t="inlineStr">
        <is>
          <t>Björksplintborre</t>
        </is>
      </c>
      <c r="S48">
        <f>HYPERLINK("https://klasma.github.io/Logging_0483/artfynd/A 42055-2025 artfynd.xlsx", "A 42055-2025")</f>
        <v/>
      </c>
      <c r="T48">
        <f>HYPERLINK("https://klasma.github.io/Logging_0483/kartor/A 42055-2025 karta.png", "A 42055-2025")</f>
        <v/>
      </c>
      <c r="V48">
        <f>HYPERLINK("https://klasma.github.io/Logging_0483/klagomål/A 42055-2025 FSC-klagomål.docx", "A 42055-2025")</f>
        <v/>
      </c>
      <c r="W48">
        <f>HYPERLINK("https://klasma.github.io/Logging_0483/klagomålsmail/A 42055-2025 FSC-klagomål mail.docx", "A 42055-2025")</f>
        <v/>
      </c>
      <c r="X48">
        <f>HYPERLINK("https://klasma.github.io/Logging_0483/tillsyn/A 42055-2025 tillsynsbegäran.docx", "A 42055-2025")</f>
        <v/>
      </c>
      <c r="Y48">
        <f>HYPERLINK("https://klasma.github.io/Logging_0483/tillsynsmail/A 42055-2025 tillsynsbegäran mail.docx", "A 42055-2025")</f>
        <v/>
      </c>
    </row>
    <row r="49" ht="15" customHeight="1">
      <c r="A49" t="inlineStr">
        <is>
          <t>A 6076-2022</t>
        </is>
      </c>
      <c r="B49" s="1" t="n">
        <v>44599</v>
      </c>
      <c r="C49" s="1" t="n">
        <v>45911</v>
      </c>
      <c r="D49" t="inlineStr">
        <is>
          <t>SÖDERMANLANDS LÄN</t>
        </is>
      </c>
      <c r="E49" t="inlineStr">
        <is>
          <t>KATRINEHOLM</t>
        </is>
      </c>
      <c r="G49" t="n">
        <v>3.3</v>
      </c>
      <c r="H49" t="n">
        <v>0</v>
      </c>
      <c r="I49" t="n">
        <v>1</v>
      </c>
      <c r="J49" t="n">
        <v>0</v>
      </c>
      <c r="K49" t="n">
        <v>0</v>
      </c>
      <c r="L49" t="n">
        <v>0</v>
      </c>
      <c r="M49" t="n">
        <v>0</v>
      </c>
      <c r="N49" t="n">
        <v>0</v>
      </c>
      <c r="O49" t="n">
        <v>0</v>
      </c>
      <c r="P49" t="n">
        <v>0</v>
      </c>
      <c r="Q49" t="n">
        <v>1</v>
      </c>
      <c r="R49" s="2" t="inlineStr">
        <is>
          <t>Svart trolldruva</t>
        </is>
      </c>
      <c r="S49">
        <f>HYPERLINK("https://klasma.github.io/Logging_0483/artfynd/A 6076-2022 artfynd.xlsx", "A 6076-2022")</f>
        <v/>
      </c>
      <c r="T49">
        <f>HYPERLINK("https://klasma.github.io/Logging_0483/kartor/A 6076-2022 karta.png", "A 6076-2022")</f>
        <v/>
      </c>
      <c r="V49">
        <f>HYPERLINK("https://klasma.github.io/Logging_0483/klagomål/A 6076-2022 FSC-klagomål.docx", "A 6076-2022")</f>
        <v/>
      </c>
      <c r="W49">
        <f>HYPERLINK("https://klasma.github.io/Logging_0483/klagomålsmail/A 6076-2022 FSC-klagomål mail.docx", "A 6076-2022")</f>
        <v/>
      </c>
      <c r="X49">
        <f>HYPERLINK("https://klasma.github.io/Logging_0483/tillsyn/A 6076-2022 tillsynsbegäran.docx", "A 6076-2022")</f>
        <v/>
      </c>
      <c r="Y49">
        <f>HYPERLINK("https://klasma.github.io/Logging_0483/tillsynsmail/A 6076-2022 tillsynsbegäran mail.docx", "A 6076-2022")</f>
        <v/>
      </c>
    </row>
    <row r="50" ht="15" customHeight="1">
      <c r="A50" t="inlineStr">
        <is>
          <t>A 42745-2022</t>
        </is>
      </c>
      <c r="B50" s="1" t="n">
        <v>44831</v>
      </c>
      <c r="C50" s="1" t="n">
        <v>45911</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36220-2022</t>
        </is>
      </c>
      <c r="B51" s="1" t="n">
        <v>44803</v>
      </c>
      <c r="C51" s="1" t="n">
        <v>45911</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41980-2025</t>
        </is>
      </c>
      <c r="B52" s="1" t="n">
        <v>45903</v>
      </c>
      <c r="C52" s="1" t="n">
        <v>45911</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12238-2023</t>
        </is>
      </c>
      <c r="B53" s="1" t="n">
        <v>44995</v>
      </c>
      <c r="C53" s="1" t="n">
        <v>45911</v>
      </c>
      <c r="D53" t="inlineStr">
        <is>
          <t>SÖDERMANLANDS LÄN</t>
        </is>
      </c>
      <c r="E53" t="inlineStr">
        <is>
          <t>KATRINEHOLM</t>
        </is>
      </c>
      <c r="F53" t="inlineStr">
        <is>
          <t>Övriga Aktiebolag</t>
        </is>
      </c>
      <c r="G53" t="n">
        <v>58</v>
      </c>
      <c r="H53" t="n">
        <v>0</v>
      </c>
      <c r="I53" t="n">
        <v>0</v>
      </c>
      <c r="J53" t="n">
        <v>1</v>
      </c>
      <c r="K53" t="n">
        <v>0</v>
      </c>
      <c r="L53" t="n">
        <v>0</v>
      </c>
      <c r="M53" t="n">
        <v>0</v>
      </c>
      <c r="N53" t="n">
        <v>0</v>
      </c>
      <c r="O53" t="n">
        <v>1</v>
      </c>
      <c r="P53" t="n">
        <v>0</v>
      </c>
      <c r="Q53" t="n">
        <v>1</v>
      </c>
      <c r="R53" s="2" t="inlineStr">
        <is>
          <t>Skogsklocka</t>
        </is>
      </c>
      <c r="S53">
        <f>HYPERLINK("https://klasma.github.io/Logging_0483/artfynd/A 12238-2023 artfynd.xlsx", "A 12238-2023")</f>
        <v/>
      </c>
      <c r="T53">
        <f>HYPERLINK("https://klasma.github.io/Logging_0483/kartor/A 12238-2023 karta.png", "A 12238-2023")</f>
        <v/>
      </c>
      <c r="V53">
        <f>HYPERLINK("https://klasma.github.io/Logging_0483/klagomål/A 12238-2023 FSC-klagomål.docx", "A 12238-2023")</f>
        <v/>
      </c>
      <c r="W53">
        <f>HYPERLINK("https://klasma.github.io/Logging_0483/klagomålsmail/A 12238-2023 FSC-klagomål mail.docx", "A 12238-2023")</f>
        <v/>
      </c>
      <c r="X53">
        <f>HYPERLINK("https://klasma.github.io/Logging_0483/tillsyn/A 12238-2023 tillsynsbegäran.docx", "A 12238-2023")</f>
        <v/>
      </c>
      <c r="Y53">
        <f>HYPERLINK("https://klasma.github.io/Logging_0483/tillsynsmail/A 12238-2023 tillsynsbegäran mail.docx", "A 12238-2023")</f>
        <v/>
      </c>
    </row>
    <row r="54" ht="15" customHeight="1">
      <c r="A54" t="inlineStr">
        <is>
          <t>A 28985-2022</t>
        </is>
      </c>
      <c r="B54" s="1" t="n">
        <v>44749</v>
      </c>
      <c r="C54" s="1" t="n">
        <v>45911</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44413-2024</t>
        </is>
      </c>
      <c r="B55" s="1" t="n">
        <v>45573.77701388889</v>
      </c>
      <c r="C55" s="1" t="n">
        <v>45911</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22474-2025</t>
        </is>
      </c>
      <c r="B56" s="1" t="n">
        <v>45786.62152777778</v>
      </c>
      <c r="C56" s="1" t="n">
        <v>45911</v>
      </c>
      <c r="D56" t="inlineStr">
        <is>
          <t>SÖDERMANLANDS LÄN</t>
        </is>
      </c>
      <c r="E56" t="inlineStr">
        <is>
          <t>KATRINEHOLM</t>
        </is>
      </c>
      <c r="F56" t="inlineStr">
        <is>
          <t>Övriga Aktiebolag</t>
        </is>
      </c>
      <c r="G56" t="n">
        <v>7.6</v>
      </c>
      <c r="H56" t="n">
        <v>1</v>
      </c>
      <c r="I56" t="n">
        <v>0</v>
      </c>
      <c r="J56" t="n">
        <v>0</v>
      </c>
      <c r="K56" t="n">
        <v>0</v>
      </c>
      <c r="L56" t="n">
        <v>0</v>
      </c>
      <c r="M56" t="n">
        <v>0</v>
      </c>
      <c r="N56" t="n">
        <v>0</v>
      </c>
      <c r="O56" t="n">
        <v>0</v>
      </c>
      <c r="P56" t="n">
        <v>0</v>
      </c>
      <c r="Q56" t="n">
        <v>1</v>
      </c>
      <c r="R56" s="2" t="inlineStr">
        <is>
          <t>Mattlummer</t>
        </is>
      </c>
      <c r="S56">
        <f>HYPERLINK("https://klasma.github.io/Logging_0483/artfynd/A 22474-2025 artfynd.xlsx", "A 22474-2025")</f>
        <v/>
      </c>
      <c r="T56">
        <f>HYPERLINK("https://klasma.github.io/Logging_0483/kartor/A 22474-2025 karta.png", "A 22474-2025")</f>
        <v/>
      </c>
      <c r="V56">
        <f>HYPERLINK("https://klasma.github.io/Logging_0483/klagomål/A 22474-2025 FSC-klagomål.docx", "A 22474-2025")</f>
        <v/>
      </c>
      <c r="W56">
        <f>HYPERLINK("https://klasma.github.io/Logging_0483/klagomålsmail/A 22474-2025 FSC-klagomål mail.docx", "A 22474-2025")</f>
        <v/>
      </c>
      <c r="X56">
        <f>HYPERLINK("https://klasma.github.io/Logging_0483/tillsyn/A 22474-2025 tillsynsbegäran.docx", "A 22474-2025")</f>
        <v/>
      </c>
      <c r="Y56">
        <f>HYPERLINK("https://klasma.github.io/Logging_0483/tillsynsmail/A 22474-2025 tillsynsbegäran mail.docx", "A 22474-2025")</f>
        <v/>
      </c>
    </row>
    <row r="57" ht="15" customHeight="1">
      <c r="A57" t="inlineStr">
        <is>
          <t>A 36856-2021</t>
        </is>
      </c>
      <c r="B57" s="1" t="n">
        <v>44393</v>
      </c>
      <c r="C57" s="1" t="n">
        <v>45911</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45911</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45911</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45911</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45911</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45911</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45911</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45911</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45911</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45911</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45911</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45911</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45911</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45911</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45911</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45911</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45911</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45911</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45911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45911</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45911</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45911</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45911</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45911</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45911</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45911</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45911</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45911</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45911</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45911</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45911</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45911</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45911</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45911</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45911</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45911</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45911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45911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45911</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45911</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45911</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45911</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45911</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45911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45911</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45911</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45911</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45911</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45911</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45911</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45911</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45911</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45911</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45911</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45911</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45911</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45911</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45911</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45911</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45911</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45911</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45911</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45911</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45911</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45911</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45911</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45911</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45911</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45911</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45911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45911</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45911</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45911</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45911</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45911</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20847-2022</t>
        </is>
      </c>
      <c r="B137" s="1" t="n">
        <v>44701</v>
      </c>
      <c r="C137" s="1" t="n">
        <v>45911</v>
      </c>
      <c r="D137" t="inlineStr">
        <is>
          <t>SÖDERMANLANDS LÄN</t>
        </is>
      </c>
      <c r="E137" t="inlineStr">
        <is>
          <t>KATRINEHOLM</t>
        </is>
      </c>
      <c r="G137" t="n">
        <v>3.5</v>
      </c>
      <c r="H137" t="n">
        <v>0</v>
      </c>
      <c r="I137" t="n">
        <v>0</v>
      </c>
      <c r="J137" t="n">
        <v>0</v>
      </c>
      <c r="K137" t="n">
        <v>0</v>
      </c>
      <c r="L137" t="n">
        <v>0</v>
      </c>
      <c r="M137" t="n">
        <v>0</v>
      </c>
      <c r="N137" t="n">
        <v>0</v>
      </c>
      <c r="O137" t="n">
        <v>0</v>
      </c>
      <c r="P137" t="n">
        <v>0</v>
      </c>
      <c r="Q137" t="n">
        <v>0</v>
      </c>
      <c r="R137" s="2" t="inlineStr"/>
    </row>
    <row r="138" ht="15" customHeight="1">
      <c r="A138" t="inlineStr">
        <is>
          <t>A 73142-2021</t>
        </is>
      </c>
      <c r="B138" s="1" t="n">
        <v>44550</v>
      </c>
      <c r="C138" s="1" t="n">
        <v>45911</v>
      </c>
      <c r="D138" t="inlineStr">
        <is>
          <t>SÖDERMANLANDS LÄN</t>
        </is>
      </c>
      <c r="E138" t="inlineStr">
        <is>
          <t>KATRINEHOLM</t>
        </is>
      </c>
      <c r="F138" t="inlineStr">
        <is>
          <t>Kyrkan</t>
        </is>
      </c>
      <c r="G138" t="n">
        <v>0.9</v>
      </c>
      <c r="H138" t="n">
        <v>0</v>
      </c>
      <c r="I138" t="n">
        <v>0</v>
      </c>
      <c r="J138" t="n">
        <v>0</v>
      </c>
      <c r="K138" t="n">
        <v>0</v>
      </c>
      <c r="L138" t="n">
        <v>0</v>
      </c>
      <c r="M138" t="n">
        <v>0</v>
      </c>
      <c r="N138" t="n">
        <v>0</v>
      </c>
      <c r="O138" t="n">
        <v>0</v>
      </c>
      <c r="P138" t="n">
        <v>0</v>
      </c>
      <c r="Q138" t="n">
        <v>0</v>
      </c>
      <c r="R138" s="2" t="inlineStr"/>
    </row>
    <row r="139" ht="15" customHeight="1">
      <c r="A139" t="inlineStr">
        <is>
          <t>A 55349-2021</t>
        </is>
      </c>
      <c r="B139" s="1" t="n">
        <v>44475</v>
      </c>
      <c r="C139" s="1" t="n">
        <v>45911</v>
      </c>
      <c r="D139" t="inlineStr">
        <is>
          <t>SÖDERMANLANDS LÄN</t>
        </is>
      </c>
      <c r="E139" t="inlineStr">
        <is>
          <t>KATRINEHOLM</t>
        </is>
      </c>
      <c r="G139" t="n">
        <v>2.8</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45911</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45911</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45911</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45911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45911</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41863-2021</t>
        </is>
      </c>
      <c r="B145" s="1" t="n">
        <v>44426</v>
      </c>
      <c r="C145" s="1" t="n">
        <v>45911</v>
      </c>
      <c r="D145" t="inlineStr">
        <is>
          <t>SÖDERMANLANDS LÄN</t>
        </is>
      </c>
      <c r="E145" t="inlineStr">
        <is>
          <t>KATRINEHOLM</t>
        </is>
      </c>
      <c r="G145" t="n">
        <v>0.3</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45911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39527-2021</t>
        </is>
      </c>
      <c r="B147" s="1" t="n">
        <v>44415</v>
      </c>
      <c r="C147" s="1" t="n">
        <v>45911</v>
      </c>
      <c r="D147" t="inlineStr">
        <is>
          <t>SÖDERMANLANDS LÄN</t>
        </is>
      </c>
      <c r="E147" t="inlineStr">
        <is>
          <t>KATRINEHOLM</t>
        </is>
      </c>
      <c r="G147" t="n">
        <v>0.9</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45911</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45911</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45911</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45911</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45911</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45911</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7550-2022</t>
        </is>
      </c>
      <c r="B154" s="1" t="n">
        <v>44607</v>
      </c>
      <c r="C154" s="1" t="n">
        <v>45911</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45911</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38607-2021</t>
        </is>
      </c>
      <c r="B156" s="1" t="n">
        <v>44409.41428240741</v>
      </c>
      <c r="C156" s="1" t="n">
        <v>45911</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11070-2021</t>
        </is>
      </c>
      <c r="B157" s="1" t="n">
        <v>44260</v>
      </c>
      <c r="C157" s="1" t="n">
        <v>45911</v>
      </c>
      <c r="D157" t="inlineStr">
        <is>
          <t>SÖDERMANLANDS LÄN</t>
        </is>
      </c>
      <c r="E157" t="inlineStr">
        <is>
          <t>KATRINEHOLM</t>
        </is>
      </c>
      <c r="F157" t="inlineStr">
        <is>
          <t>Allmännings- och besparingsskogar</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45911</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25893-2022</t>
        </is>
      </c>
      <c r="B159" s="1" t="n">
        <v>44733.77543981482</v>
      </c>
      <c r="C159" s="1" t="n">
        <v>45911</v>
      </c>
      <c r="D159" t="inlineStr">
        <is>
          <t>SÖDERMANLANDS LÄN</t>
        </is>
      </c>
      <c r="E159" t="inlineStr">
        <is>
          <t>KATRINEHOLM</t>
        </is>
      </c>
      <c r="G159" t="n">
        <v>0.5</v>
      </c>
      <c r="H159" t="n">
        <v>0</v>
      </c>
      <c r="I159" t="n">
        <v>0</v>
      </c>
      <c r="J159" t="n">
        <v>0</v>
      </c>
      <c r="K159" t="n">
        <v>0</v>
      </c>
      <c r="L159" t="n">
        <v>0</v>
      </c>
      <c r="M159" t="n">
        <v>0</v>
      </c>
      <c r="N159" t="n">
        <v>0</v>
      </c>
      <c r="O159" t="n">
        <v>0</v>
      </c>
      <c r="P159" t="n">
        <v>0</v>
      </c>
      <c r="Q159" t="n">
        <v>0</v>
      </c>
      <c r="R159" s="2" t="inlineStr"/>
    </row>
    <row r="160" ht="15" customHeight="1">
      <c r="A160" t="inlineStr">
        <is>
          <t>A 9419-2022</t>
        </is>
      </c>
      <c r="B160" s="1" t="n">
        <v>44616</v>
      </c>
      <c r="C160" s="1" t="n">
        <v>45911</v>
      </c>
      <c r="D160" t="inlineStr">
        <is>
          <t>SÖDERMANLANDS LÄN</t>
        </is>
      </c>
      <c r="E160" t="inlineStr">
        <is>
          <t>KATRINEHOLM</t>
        </is>
      </c>
      <c r="F160" t="inlineStr">
        <is>
          <t>Övriga Aktiebolag</t>
        </is>
      </c>
      <c r="G160" t="n">
        <v>1.7</v>
      </c>
      <c r="H160" t="n">
        <v>0</v>
      </c>
      <c r="I160" t="n">
        <v>0</v>
      </c>
      <c r="J160" t="n">
        <v>0</v>
      </c>
      <c r="K160" t="n">
        <v>0</v>
      </c>
      <c r="L160" t="n">
        <v>0</v>
      </c>
      <c r="M160" t="n">
        <v>0</v>
      </c>
      <c r="N160" t="n">
        <v>0</v>
      </c>
      <c r="O160" t="n">
        <v>0</v>
      </c>
      <c r="P160" t="n">
        <v>0</v>
      </c>
      <c r="Q160" t="n">
        <v>0</v>
      </c>
      <c r="R160" s="2" t="inlineStr"/>
    </row>
    <row r="161" ht="15" customHeight="1">
      <c r="A161" t="inlineStr">
        <is>
          <t>A 51885-2022</t>
        </is>
      </c>
      <c r="B161" s="1" t="n">
        <v>44872.60384259259</v>
      </c>
      <c r="C161" s="1" t="n">
        <v>45911</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42735-2022</t>
        </is>
      </c>
      <c r="B162" s="1" t="n">
        <v>44832</v>
      </c>
      <c r="C162" s="1" t="n">
        <v>45911</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45911</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66801-2021</t>
        </is>
      </c>
      <c r="B164" s="1" t="n">
        <v>44522</v>
      </c>
      <c r="C164" s="1" t="n">
        <v>45911</v>
      </c>
      <c r="D164" t="inlineStr">
        <is>
          <t>SÖDERMANLANDS LÄN</t>
        </is>
      </c>
      <c r="E164" t="inlineStr">
        <is>
          <t>KATRINEHOLM</t>
        </is>
      </c>
      <c r="F164" t="inlineStr">
        <is>
          <t>Holmen skog AB</t>
        </is>
      </c>
      <c r="G164" t="n">
        <v>0.2</v>
      </c>
      <c r="H164" t="n">
        <v>0</v>
      </c>
      <c r="I164" t="n">
        <v>0</v>
      </c>
      <c r="J164" t="n">
        <v>0</v>
      </c>
      <c r="K164" t="n">
        <v>0</v>
      </c>
      <c r="L164" t="n">
        <v>0</v>
      </c>
      <c r="M164" t="n">
        <v>0</v>
      </c>
      <c r="N164" t="n">
        <v>0</v>
      </c>
      <c r="O164" t="n">
        <v>0</v>
      </c>
      <c r="P164" t="n">
        <v>0</v>
      </c>
      <c r="Q164" t="n">
        <v>0</v>
      </c>
      <c r="R164" s="2" t="inlineStr"/>
    </row>
    <row r="165" ht="15" customHeight="1">
      <c r="A165" t="inlineStr">
        <is>
          <t>A 45038-2022</t>
        </is>
      </c>
      <c r="B165" s="1" t="n">
        <v>44840</v>
      </c>
      <c r="C165" s="1" t="n">
        <v>45911</v>
      </c>
      <c r="D165" t="inlineStr">
        <is>
          <t>SÖDERMANLANDS LÄN</t>
        </is>
      </c>
      <c r="E165" t="inlineStr">
        <is>
          <t>KATRINEHOLM</t>
        </is>
      </c>
      <c r="G165" t="n">
        <v>3.6</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45911</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24199-2022</t>
        </is>
      </c>
      <c r="B167" s="1" t="n">
        <v>44725</v>
      </c>
      <c r="C167" s="1" t="n">
        <v>45911</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45911</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38835-2021</t>
        </is>
      </c>
      <c r="B169" s="1" t="n">
        <v>44411</v>
      </c>
      <c r="C169" s="1" t="n">
        <v>45911</v>
      </c>
      <c r="D169" t="inlineStr">
        <is>
          <t>SÖDERMANLANDS LÄN</t>
        </is>
      </c>
      <c r="E169" t="inlineStr">
        <is>
          <t>KATRINEHOLM</t>
        </is>
      </c>
      <c r="G169" t="n">
        <v>10.2</v>
      </c>
      <c r="H169" t="n">
        <v>0</v>
      </c>
      <c r="I169" t="n">
        <v>0</v>
      </c>
      <c r="J169" t="n">
        <v>0</v>
      </c>
      <c r="K169" t="n">
        <v>0</v>
      </c>
      <c r="L169" t="n">
        <v>0</v>
      </c>
      <c r="M169" t="n">
        <v>0</v>
      </c>
      <c r="N169" t="n">
        <v>0</v>
      </c>
      <c r="O169" t="n">
        <v>0</v>
      </c>
      <c r="P169" t="n">
        <v>0</v>
      </c>
      <c r="Q169" t="n">
        <v>0</v>
      </c>
      <c r="R169" s="2" t="inlineStr"/>
    </row>
    <row r="170" ht="15" customHeight="1">
      <c r="A170" t="inlineStr">
        <is>
          <t>A 68206-2021</t>
        </is>
      </c>
      <c r="B170" s="1" t="n">
        <v>44526</v>
      </c>
      <c r="C170" s="1" t="n">
        <v>45911</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7240-2021</t>
        </is>
      </c>
      <c r="B171" s="1" t="n">
        <v>44238</v>
      </c>
      <c r="C171" s="1" t="n">
        <v>45911</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69429-2021</t>
        </is>
      </c>
      <c r="B172" s="1" t="n">
        <v>44531</v>
      </c>
      <c r="C172" s="1" t="n">
        <v>45911</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45911</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45911</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45911</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45911</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45911</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34625-2022</t>
        </is>
      </c>
      <c r="B178" s="1" t="n">
        <v>44795.44392361111</v>
      </c>
      <c r="C178" s="1" t="n">
        <v>45911</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53791-2021</t>
        </is>
      </c>
      <c r="B179" s="1" t="n">
        <v>44467</v>
      </c>
      <c r="C179" s="1" t="n">
        <v>45911</v>
      </c>
      <c r="D179" t="inlineStr">
        <is>
          <t>SÖDERMANLANDS LÄN</t>
        </is>
      </c>
      <c r="E179" t="inlineStr">
        <is>
          <t>KATRINEHOLM</t>
        </is>
      </c>
      <c r="G179" t="n">
        <v>2.7</v>
      </c>
      <c r="H179" t="n">
        <v>0</v>
      </c>
      <c r="I179" t="n">
        <v>0</v>
      </c>
      <c r="J179" t="n">
        <v>0</v>
      </c>
      <c r="K179" t="n">
        <v>0</v>
      </c>
      <c r="L179" t="n">
        <v>0</v>
      </c>
      <c r="M179" t="n">
        <v>0</v>
      </c>
      <c r="N179" t="n">
        <v>0</v>
      </c>
      <c r="O179" t="n">
        <v>0</v>
      </c>
      <c r="P179" t="n">
        <v>0</v>
      </c>
      <c r="Q179" t="n">
        <v>0</v>
      </c>
      <c r="R179" s="2" t="inlineStr"/>
    </row>
    <row r="180" ht="15" customHeight="1">
      <c r="A180" t="inlineStr">
        <is>
          <t>A 41642-2022</t>
        </is>
      </c>
      <c r="B180" s="1" t="n">
        <v>44827</v>
      </c>
      <c r="C180" s="1" t="n">
        <v>45911</v>
      </c>
      <c r="D180" t="inlineStr">
        <is>
          <t>SÖDERMANLANDS LÄN</t>
        </is>
      </c>
      <c r="E180" t="inlineStr">
        <is>
          <t>KATRINEHOLM</t>
        </is>
      </c>
      <c r="G180" t="n">
        <v>2.4</v>
      </c>
      <c r="H180" t="n">
        <v>0</v>
      </c>
      <c r="I180" t="n">
        <v>0</v>
      </c>
      <c r="J180" t="n">
        <v>0</v>
      </c>
      <c r="K180" t="n">
        <v>0</v>
      </c>
      <c r="L180" t="n">
        <v>0</v>
      </c>
      <c r="M180" t="n">
        <v>0</v>
      </c>
      <c r="N180" t="n">
        <v>0</v>
      </c>
      <c r="O180" t="n">
        <v>0</v>
      </c>
      <c r="P180" t="n">
        <v>0</v>
      </c>
      <c r="Q180" t="n">
        <v>0</v>
      </c>
      <c r="R180" s="2" t="inlineStr"/>
    </row>
    <row r="181" ht="15" customHeight="1">
      <c r="A181" t="inlineStr">
        <is>
          <t>A 64633-2020</t>
        </is>
      </c>
      <c r="B181" s="1" t="n">
        <v>44169</v>
      </c>
      <c r="C181" s="1" t="n">
        <v>45911</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45911</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24098-2022</t>
        </is>
      </c>
      <c r="B183" s="1" t="n">
        <v>44725</v>
      </c>
      <c r="C183" s="1" t="n">
        <v>45911</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45911</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45911</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45911</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45911</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45911</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7189-2022</t>
        </is>
      </c>
      <c r="B189" s="1" t="n">
        <v>44605</v>
      </c>
      <c r="C189" s="1" t="n">
        <v>45911</v>
      </c>
      <c r="D189" t="inlineStr">
        <is>
          <t>SÖDERMANLANDS LÄN</t>
        </is>
      </c>
      <c r="E189" t="inlineStr">
        <is>
          <t>KATRINEHOLM</t>
        </is>
      </c>
      <c r="G189" t="n">
        <v>1.8</v>
      </c>
      <c r="H189" t="n">
        <v>0</v>
      </c>
      <c r="I189" t="n">
        <v>0</v>
      </c>
      <c r="J189" t="n">
        <v>0</v>
      </c>
      <c r="K189" t="n">
        <v>0</v>
      </c>
      <c r="L189" t="n">
        <v>0</v>
      </c>
      <c r="M189" t="n">
        <v>0</v>
      </c>
      <c r="N189" t="n">
        <v>0</v>
      </c>
      <c r="O189" t="n">
        <v>0</v>
      </c>
      <c r="P189" t="n">
        <v>0</v>
      </c>
      <c r="Q189" t="n">
        <v>0</v>
      </c>
      <c r="R189" s="2" t="inlineStr"/>
    </row>
    <row r="190" ht="15" customHeight="1">
      <c r="A190" t="inlineStr">
        <is>
          <t>A 4767-2021</t>
        </is>
      </c>
      <c r="B190" s="1" t="n">
        <v>44225</v>
      </c>
      <c r="C190" s="1" t="n">
        <v>45911</v>
      </c>
      <c r="D190" t="inlineStr">
        <is>
          <t>SÖDERMANLANDS LÄN</t>
        </is>
      </c>
      <c r="E190" t="inlineStr">
        <is>
          <t>KATRINEHOLM</t>
        </is>
      </c>
      <c r="G190" t="n">
        <v>3.8</v>
      </c>
      <c r="H190" t="n">
        <v>0</v>
      </c>
      <c r="I190" t="n">
        <v>0</v>
      </c>
      <c r="J190" t="n">
        <v>0</v>
      </c>
      <c r="K190" t="n">
        <v>0</v>
      </c>
      <c r="L190" t="n">
        <v>0</v>
      </c>
      <c r="M190" t="n">
        <v>0</v>
      </c>
      <c r="N190" t="n">
        <v>0</v>
      </c>
      <c r="O190" t="n">
        <v>0</v>
      </c>
      <c r="P190" t="n">
        <v>0</v>
      </c>
      <c r="Q190" t="n">
        <v>0</v>
      </c>
      <c r="R190" s="2" t="inlineStr"/>
    </row>
    <row r="191" ht="15" customHeight="1">
      <c r="A191" t="inlineStr">
        <is>
          <t>A 54698-2021</t>
        </is>
      </c>
      <c r="B191" s="1" t="n">
        <v>44473</v>
      </c>
      <c r="C191" s="1" t="n">
        <v>45911</v>
      </c>
      <c r="D191" t="inlineStr">
        <is>
          <t>SÖDERMANLANDS LÄN</t>
        </is>
      </c>
      <c r="E191" t="inlineStr">
        <is>
          <t>KATRINEHOLM</t>
        </is>
      </c>
      <c r="F191" t="inlineStr">
        <is>
          <t>Holmen skog AB</t>
        </is>
      </c>
      <c r="G191" t="n">
        <v>1.7</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45911</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45911</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45911</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36964-2021</t>
        </is>
      </c>
      <c r="B195" s="1" t="n">
        <v>44393</v>
      </c>
      <c r="C195" s="1" t="n">
        <v>45911</v>
      </c>
      <c r="D195" t="inlineStr">
        <is>
          <t>SÖDERMANLANDS LÄN</t>
        </is>
      </c>
      <c r="E195" t="inlineStr">
        <is>
          <t>KATRINEHOLM</t>
        </is>
      </c>
      <c r="G195" t="n">
        <v>3.5</v>
      </c>
      <c r="H195" t="n">
        <v>0</v>
      </c>
      <c r="I195" t="n">
        <v>0</v>
      </c>
      <c r="J195" t="n">
        <v>0</v>
      </c>
      <c r="K195" t="n">
        <v>0</v>
      </c>
      <c r="L195" t="n">
        <v>0</v>
      </c>
      <c r="M195" t="n">
        <v>0</v>
      </c>
      <c r="N195" t="n">
        <v>0</v>
      </c>
      <c r="O195" t="n">
        <v>0</v>
      </c>
      <c r="P195" t="n">
        <v>0</v>
      </c>
      <c r="Q195" t="n">
        <v>0</v>
      </c>
      <c r="R195" s="2" t="inlineStr"/>
    </row>
    <row r="196" ht="15" customHeight="1">
      <c r="A196" t="inlineStr">
        <is>
          <t>A 30981-2022</t>
        </is>
      </c>
      <c r="B196" s="1" t="n">
        <v>44768</v>
      </c>
      <c r="C196" s="1" t="n">
        <v>45911</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45911</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12658-2022</t>
        </is>
      </c>
      <c r="B198" s="1" t="n">
        <v>44641</v>
      </c>
      <c r="C198" s="1" t="n">
        <v>45911</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46412-2022</t>
        </is>
      </c>
      <c r="B199" s="1" t="n">
        <v>44848.42216435185</v>
      </c>
      <c r="C199" s="1" t="n">
        <v>45911</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45911</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56572-2021</t>
        </is>
      </c>
      <c r="B201" s="1" t="n">
        <v>44480</v>
      </c>
      <c r="C201" s="1" t="n">
        <v>45911</v>
      </c>
      <c r="D201" t="inlineStr">
        <is>
          <t>SÖDERMANLANDS LÄN</t>
        </is>
      </c>
      <c r="E201" t="inlineStr">
        <is>
          <t>KATRINEHOLM</t>
        </is>
      </c>
      <c r="F201" t="inlineStr">
        <is>
          <t>Holmen skog AB</t>
        </is>
      </c>
      <c r="G201" t="n">
        <v>0.5</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45911</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6789-2022</t>
        </is>
      </c>
      <c r="B203" s="1" t="n">
        <v>44602</v>
      </c>
      <c r="C203" s="1" t="n">
        <v>45911</v>
      </c>
      <c r="D203" t="inlineStr">
        <is>
          <t>SÖDERMANLANDS LÄN</t>
        </is>
      </c>
      <c r="E203" t="inlineStr">
        <is>
          <t>KATRINEHOLM</t>
        </is>
      </c>
      <c r="G203" t="n">
        <v>4.6</v>
      </c>
      <c r="H203" t="n">
        <v>0</v>
      </c>
      <c r="I203" t="n">
        <v>0</v>
      </c>
      <c r="J203" t="n">
        <v>0</v>
      </c>
      <c r="K203" t="n">
        <v>0</v>
      </c>
      <c r="L203" t="n">
        <v>0</v>
      </c>
      <c r="M203" t="n">
        <v>0</v>
      </c>
      <c r="N203" t="n">
        <v>0</v>
      </c>
      <c r="O203" t="n">
        <v>0</v>
      </c>
      <c r="P203" t="n">
        <v>0</v>
      </c>
      <c r="Q203" t="n">
        <v>0</v>
      </c>
      <c r="R203" s="2" t="inlineStr"/>
    </row>
    <row r="204" ht="15" customHeight="1">
      <c r="A204" t="inlineStr">
        <is>
          <t>A 21576-2022</t>
        </is>
      </c>
      <c r="B204" s="1" t="n">
        <v>44706</v>
      </c>
      <c r="C204" s="1" t="n">
        <v>45911</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43967-2022</t>
        </is>
      </c>
      <c r="B205" s="1" t="n">
        <v>44837</v>
      </c>
      <c r="C205" s="1" t="n">
        <v>45911</v>
      </c>
      <c r="D205" t="inlineStr">
        <is>
          <t>SÖDERMANLANDS LÄN</t>
        </is>
      </c>
      <c r="E205" t="inlineStr">
        <is>
          <t>KATRINEHOLM</t>
        </is>
      </c>
      <c r="G205" t="n">
        <v>6.2</v>
      </c>
      <c r="H205" t="n">
        <v>0</v>
      </c>
      <c r="I205" t="n">
        <v>0</v>
      </c>
      <c r="J205" t="n">
        <v>0</v>
      </c>
      <c r="K205" t="n">
        <v>0</v>
      </c>
      <c r="L205" t="n">
        <v>0</v>
      </c>
      <c r="M205" t="n">
        <v>0</v>
      </c>
      <c r="N205" t="n">
        <v>0</v>
      </c>
      <c r="O205" t="n">
        <v>0</v>
      </c>
      <c r="P205" t="n">
        <v>0</v>
      </c>
      <c r="Q205" t="n">
        <v>0</v>
      </c>
      <c r="R205" s="2" t="inlineStr"/>
    </row>
    <row r="206" ht="15" customHeight="1">
      <c r="A206" t="inlineStr">
        <is>
          <t>A 44012-2022</t>
        </is>
      </c>
      <c r="B206" s="1" t="n">
        <v>44838</v>
      </c>
      <c r="C206" s="1" t="n">
        <v>45911</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35188-2022</t>
        </is>
      </c>
      <c r="B207" s="1" t="n">
        <v>44797</v>
      </c>
      <c r="C207" s="1" t="n">
        <v>45911</v>
      </c>
      <c r="D207" t="inlineStr">
        <is>
          <t>SÖDERMANLANDS LÄN</t>
        </is>
      </c>
      <c r="E207" t="inlineStr">
        <is>
          <t>KATRINEHOLM</t>
        </is>
      </c>
      <c r="G207" t="n">
        <v>3</v>
      </c>
      <c r="H207" t="n">
        <v>0</v>
      </c>
      <c r="I207" t="n">
        <v>0</v>
      </c>
      <c r="J207" t="n">
        <v>0</v>
      </c>
      <c r="K207" t="n">
        <v>0</v>
      </c>
      <c r="L207" t="n">
        <v>0</v>
      </c>
      <c r="M207" t="n">
        <v>0</v>
      </c>
      <c r="N207" t="n">
        <v>0</v>
      </c>
      <c r="O207" t="n">
        <v>0</v>
      </c>
      <c r="P207" t="n">
        <v>0</v>
      </c>
      <c r="Q207" t="n">
        <v>0</v>
      </c>
      <c r="R207" s="2" t="inlineStr"/>
    </row>
    <row r="208" ht="15" customHeight="1">
      <c r="A208" t="inlineStr">
        <is>
          <t>A 7705-2021</t>
        </is>
      </c>
      <c r="B208" s="1" t="n">
        <v>44242</v>
      </c>
      <c r="C208" s="1" t="n">
        <v>45911</v>
      </c>
      <c r="D208" t="inlineStr">
        <is>
          <t>SÖDERMANLANDS LÄN</t>
        </is>
      </c>
      <c r="E208" t="inlineStr">
        <is>
          <t>KATRINEHOLM</t>
        </is>
      </c>
      <c r="F208" t="inlineStr">
        <is>
          <t>Allmännings- och besparingsskogar</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51835-2022</t>
        </is>
      </c>
      <c r="B209" s="1" t="n">
        <v>44872.57288194444</v>
      </c>
      <c r="C209" s="1" t="n">
        <v>45911</v>
      </c>
      <c r="D209" t="inlineStr">
        <is>
          <t>SÖDERMANLANDS LÄN</t>
        </is>
      </c>
      <c r="E209" t="inlineStr">
        <is>
          <t>KATRINEHOLM</t>
        </is>
      </c>
      <c r="G209" t="n">
        <v>0.9</v>
      </c>
      <c r="H209" t="n">
        <v>0</v>
      </c>
      <c r="I209" t="n">
        <v>0</v>
      </c>
      <c r="J209" t="n">
        <v>0</v>
      </c>
      <c r="K209" t="n">
        <v>0</v>
      </c>
      <c r="L209" t="n">
        <v>0</v>
      </c>
      <c r="M209" t="n">
        <v>0</v>
      </c>
      <c r="N209" t="n">
        <v>0</v>
      </c>
      <c r="O209" t="n">
        <v>0</v>
      </c>
      <c r="P209" t="n">
        <v>0</v>
      </c>
      <c r="Q209" t="n">
        <v>0</v>
      </c>
      <c r="R209" s="2" t="inlineStr"/>
    </row>
    <row r="210" ht="15" customHeight="1">
      <c r="A210" t="inlineStr">
        <is>
          <t>A 55795-2023</t>
        </is>
      </c>
      <c r="B210" s="1" t="n">
        <v>45239.54861111111</v>
      </c>
      <c r="C210" s="1" t="n">
        <v>45911</v>
      </c>
      <c r="D210" t="inlineStr">
        <is>
          <t>SÖDERMANLANDS LÄN</t>
        </is>
      </c>
      <c r="E210" t="inlineStr">
        <is>
          <t>KATRINEHOLM</t>
        </is>
      </c>
      <c r="G210" t="n">
        <v>7</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45911</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45911</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41966-2023</t>
        </is>
      </c>
      <c r="B213" s="1" t="n">
        <v>45177</v>
      </c>
      <c r="C213" s="1" t="n">
        <v>45911</v>
      </c>
      <c r="D213" t="inlineStr">
        <is>
          <t>SÖDERMANLANDS LÄN</t>
        </is>
      </c>
      <c r="E213" t="inlineStr">
        <is>
          <t>KATRINEHOLM</t>
        </is>
      </c>
      <c r="G213" t="n">
        <v>36.9</v>
      </c>
      <c r="H213" t="n">
        <v>0</v>
      </c>
      <c r="I213" t="n">
        <v>0</v>
      </c>
      <c r="J213" t="n">
        <v>0</v>
      </c>
      <c r="K213" t="n">
        <v>0</v>
      </c>
      <c r="L213" t="n">
        <v>0</v>
      </c>
      <c r="M213" t="n">
        <v>0</v>
      </c>
      <c r="N213" t="n">
        <v>0</v>
      </c>
      <c r="O213" t="n">
        <v>0</v>
      </c>
      <c r="P213" t="n">
        <v>0</v>
      </c>
      <c r="Q213" t="n">
        <v>0</v>
      </c>
      <c r="R213" s="2" t="inlineStr"/>
    </row>
    <row r="214" ht="15" customHeight="1">
      <c r="A214" t="inlineStr">
        <is>
          <t>A 36366-2023</t>
        </is>
      </c>
      <c r="B214" s="1" t="n">
        <v>45152</v>
      </c>
      <c r="C214" s="1" t="n">
        <v>45911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24284-2024</t>
        </is>
      </c>
      <c r="B215" s="1" t="n">
        <v>45457</v>
      </c>
      <c r="C215" s="1" t="n">
        <v>45911</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58473-2021</t>
        </is>
      </c>
      <c r="B216" s="1" t="n">
        <v>44488</v>
      </c>
      <c r="C216" s="1" t="n">
        <v>45911</v>
      </c>
      <c r="D216" t="inlineStr">
        <is>
          <t>SÖDERMANLANDS LÄN</t>
        </is>
      </c>
      <c r="E216" t="inlineStr">
        <is>
          <t>KATRINEHOLM</t>
        </is>
      </c>
      <c r="G216" t="n">
        <v>0.5</v>
      </c>
      <c r="H216" t="n">
        <v>0</v>
      </c>
      <c r="I216" t="n">
        <v>0</v>
      </c>
      <c r="J216" t="n">
        <v>0</v>
      </c>
      <c r="K216" t="n">
        <v>0</v>
      </c>
      <c r="L216" t="n">
        <v>0</v>
      </c>
      <c r="M216" t="n">
        <v>0</v>
      </c>
      <c r="N216" t="n">
        <v>0</v>
      </c>
      <c r="O216" t="n">
        <v>0</v>
      </c>
      <c r="P216" t="n">
        <v>0</v>
      </c>
      <c r="Q216" t="n">
        <v>0</v>
      </c>
      <c r="R216" s="2" t="inlineStr"/>
    </row>
    <row r="217" ht="15" customHeight="1">
      <c r="A217" t="inlineStr">
        <is>
          <t>A 36021-2023</t>
        </is>
      </c>
      <c r="B217" s="1" t="n">
        <v>45148</v>
      </c>
      <c r="C217" s="1" t="n">
        <v>45911</v>
      </c>
      <c r="D217" t="inlineStr">
        <is>
          <t>SÖDERMANLANDS LÄN</t>
        </is>
      </c>
      <c r="E217" t="inlineStr">
        <is>
          <t>KATRINEHOLM</t>
        </is>
      </c>
      <c r="G217" t="n">
        <v>1.8</v>
      </c>
      <c r="H217" t="n">
        <v>0</v>
      </c>
      <c r="I217" t="n">
        <v>0</v>
      </c>
      <c r="J217" t="n">
        <v>0</v>
      </c>
      <c r="K217" t="n">
        <v>0</v>
      </c>
      <c r="L217" t="n">
        <v>0</v>
      </c>
      <c r="M217" t="n">
        <v>0</v>
      </c>
      <c r="N217" t="n">
        <v>0</v>
      </c>
      <c r="O217" t="n">
        <v>0</v>
      </c>
      <c r="P217" t="n">
        <v>0</v>
      </c>
      <c r="Q217" t="n">
        <v>0</v>
      </c>
      <c r="R217" s="2" t="inlineStr"/>
    </row>
    <row r="218" ht="15" customHeight="1">
      <c r="A218" t="inlineStr">
        <is>
          <t>A 33538-2022</t>
        </is>
      </c>
      <c r="B218" s="1" t="n">
        <v>44789</v>
      </c>
      <c r="C218" s="1" t="n">
        <v>45911</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29502-2023</t>
        </is>
      </c>
      <c r="B219" s="1" t="n">
        <v>45106</v>
      </c>
      <c r="C219" s="1" t="n">
        <v>45911</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42111-2022</t>
        </is>
      </c>
      <c r="B220" s="1" t="n">
        <v>44830</v>
      </c>
      <c r="C220" s="1" t="n">
        <v>45911</v>
      </c>
      <c r="D220" t="inlineStr">
        <is>
          <t>SÖDERMANLANDS LÄN</t>
        </is>
      </c>
      <c r="E220" t="inlineStr">
        <is>
          <t>KATRINEHOLM</t>
        </is>
      </c>
      <c r="G220" t="n">
        <v>2.5</v>
      </c>
      <c r="H220" t="n">
        <v>0</v>
      </c>
      <c r="I220" t="n">
        <v>0</v>
      </c>
      <c r="J220" t="n">
        <v>0</v>
      </c>
      <c r="K220" t="n">
        <v>0</v>
      </c>
      <c r="L220" t="n">
        <v>0</v>
      </c>
      <c r="M220" t="n">
        <v>0</v>
      </c>
      <c r="N220" t="n">
        <v>0</v>
      </c>
      <c r="O220" t="n">
        <v>0</v>
      </c>
      <c r="P220" t="n">
        <v>0</v>
      </c>
      <c r="Q220" t="n">
        <v>0</v>
      </c>
      <c r="R220" s="2" t="inlineStr"/>
    </row>
    <row r="221" ht="15" customHeight="1">
      <c r="A221" t="inlineStr">
        <is>
          <t>A 20949-2021</t>
        </is>
      </c>
      <c r="B221" s="1" t="n">
        <v>44319</v>
      </c>
      <c r="C221" s="1" t="n">
        <v>45911</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28597-2024</t>
        </is>
      </c>
      <c r="B222" s="1" t="n">
        <v>45478</v>
      </c>
      <c r="C222" s="1" t="n">
        <v>45911</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36767-2022</t>
        </is>
      </c>
      <c r="B223" s="1" t="n">
        <v>44805</v>
      </c>
      <c r="C223" s="1" t="n">
        <v>45911</v>
      </c>
      <c r="D223" t="inlineStr">
        <is>
          <t>SÖDERMANLANDS LÄN</t>
        </is>
      </c>
      <c r="E223" t="inlineStr">
        <is>
          <t>KATRINEHOLM</t>
        </is>
      </c>
      <c r="G223" t="n">
        <v>1.1</v>
      </c>
      <c r="H223" t="n">
        <v>0</v>
      </c>
      <c r="I223" t="n">
        <v>0</v>
      </c>
      <c r="J223" t="n">
        <v>0</v>
      </c>
      <c r="K223" t="n">
        <v>0</v>
      </c>
      <c r="L223" t="n">
        <v>0</v>
      </c>
      <c r="M223" t="n">
        <v>0</v>
      </c>
      <c r="N223" t="n">
        <v>0</v>
      </c>
      <c r="O223" t="n">
        <v>0</v>
      </c>
      <c r="P223" t="n">
        <v>0</v>
      </c>
      <c r="Q223" t="n">
        <v>0</v>
      </c>
      <c r="R223" s="2" t="inlineStr"/>
    </row>
    <row r="224" ht="15" customHeight="1">
      <c r="A224" t="inlineStr">
        <is>
          <t>A 22119-2025</t>
        </is>
      </c>
      <c r="B224" s="1" t="n">
        <v>45785</v>
      </c>
      <c r="C224" s="1" t="n">
        <v>45911</v>
      </c>
      <c r="D224" t="inlineStr">
        <is>
          <t>SÖDERMANLANDS LÄN</t>
        </is>
      </c>
      <c r="E224" t="inlineStr">
        <is>
          <t>KATRINEHOLM</t>
        </is>
      </c>
      <c r="G224" t="n">
        <v>0.8</v>
      </c>
      <c r="H224" t="n">
        <v>0</v>
      </c>
      <c r="I224" t="n">
        <v>0</v>
      </c>
      <c r="J224" t="n">
        <v>0</v>
      </c>
      <c r="K224" t="n">
        <v>0</v>
      </c>
      <c r="L224" t="n">
        <v>0</v>
      </c>
      <c r="M224" t="n">
        <v>0</v>
      </c>
      <c r="N224" t="n">
        <v>0</v>
      </c>
      <c r="O224" t="n">
        <v>0</v>
      </c>
      <c r="P224" t="n">
        <v>0</v>
      </c>
      <c r="Q224" t="n">
        <v>0</v>
      </c>
      <c r="R224" s="2" t="inlineStr"/>
    </row>
    <row r="225" ht="15" customHeight="1">
      <c r="A225" t="inlineStr">
        <is>
          <t>A 36210-2022</t>
        </is>
      </c>
      <c r="B225" s="1" t="n">
        <v>44803.47950231482</v>
      </c>
      <c r="C225" s="1" t="n">
        <v>45911</v>
      </c>
      <c r="D225" t="inlineStr">
        <is>
          <t>SÖDERMANLANDS LÄN</t>
        </is>
      </c>
      <c r="E225" t="inlineStr">
        <is>
          <t>KATRINEHOLM</t>
        </is>
      </c>
      <c r="G225" t="n">
        <v>1.6</v>
      </c>
      <c r="H225" t="n">
        <v>0</v>
      </c>
      <c r="I225" t="n">
        <v>0</v>
      </c>
      <c r="J225" t="n">
        <v>0</v>
      </c>
      <c r="K225" t="n">
        <v>0</v>
      </c>
      <c r="L225" t="n">
        <v>0</v>
      </c>
      <c r="M225" t="n">
        <v>0</v>
      </c>
      <c r="N225" t="n">
        <v>0</v>
      </c>
      <c r="O225" t="n">
        <v>0</v>
      </c>
      <c r="P225" t="n">
        <v>0</v>
      </c>
      <c r="Q225" t="n">
        <v>0</v>
      </c>
      <c r="R225" s="2" t="inlineStr"/>
    </row>
    <row r="226" ht="15" customHeight="1">
      <c r="A226" t="inlineStr">
        <is>
          <t>A 33712-2022</t>
        </is>
      </c>
      <c r="B226" s="1" t="n">
        <v>44789</v>
      </c>
      <c r="C226" s="1" t="n">
        <v>45911</v>
      </c>
      <c r="D226" t="inlineStr">
        <is>
          <t>SÖDERMANLANDS LÄN</t>
        </is>
      </c>
      <c r="E226" t="inlineStr">
        <is>
          <t>KATRINEHOLM</t>
        </is>
      </c>
      <c r="G226" t="n">
        <v>4.3</v>
      </c>
      <c r="H226" t="n">
        <v>0</v>
      </c>
      <c r="I226" t="n">
        <v>0</v>
      </c>
      <c r="J226" t="n">
        <v>0</v>
      </c>
      <c r="K226" t="n">
        <v>0</v>
      </c>
      <c r="L226" t="n">
        <v>0</v>
      </c>
      <c r="M226" t="n">
        <v>0</v>
      </c>
      <c r="N226" t="n">
        <v>0</v>
      </c>
      <c r="O226" t="n">
        <v>0</v>
      </c>
      <c r="P226" t="n">
        <v>0</v>
      </c>
      <c r="Q226" t="n">
        <v>0</v>
      </c>
      <c r="R226" s="2" t="inlineStr"/>
    </row>
    <row r="227" ht="15" customHeight="1">
      <c r="A227" t="inlineStr">
        <is>
          <t>A 55034-2021</t>
        </is>
      </c>
      <c r="B227" s="1" t="n">
        <v>44474</v>
      </c>
      <c r="C227" s="1" t="n">
        <v>45911</v>
      </c>
      <c r="D227" t="inlineStr">
        <is>
          <t>SÖDERMANLANDS LÄN</t>
        </is>
      </c>
      <c r="E227" t="inlineStr">
        <is>
          <t>KATRINEHOLM</t>
        </is>
      </c>
      <c r="G227" t="n">
        <v>5</v>
      </c>
      <c r="H227" t="n">
        <v>0</v>
      </c>
      <c r="I227" t="n">
        <v>0</v>
      </c>
      <c r="J227" t="n">
        <v>0</v>
      </c>
      <c r="K227" t="n">
        <v>0</v>
      </c>
      <c r="L227" t="n">
        <v>0</v>
      </c>
      <c r="M227" t="n">
        <v>0</v>
      </c>
      <c r="N227" t="n">
        <v>0</v>
      </c>
      <c r="O227" t="n">
        <v>0</v>
      </c>
      <c r="P227" t="n">
        <v>0</v>
      </c>
      <c r="Q227" t="n">
        <v>0</v>
      </c>
      <c r="R227" s="2" t="inlineStr"/>
    </row>
    <row r="228" ht="15" customHeight="1">
      <c r="A228" t="inlineStr">
        <is>
          <t>A 33717-2022</t>
        </is>
      </c>
      <c r="B228" s="1" t="n">
        <v>44789</v>
      </c>
      <c r="C228" s="1" t="n">
        <v>45911</v>
      </c>
      <c r="D228" t="inlineStr">
        <is>
          <t>SÖDERMANLANDS LÄN</t>
        </is>
      </c>
      <c r="E228" t="inlineStr">
        <is>
          <t>KATRINEHOLM</t>
        </is>
      </c>
      <c r="G228" t="n">
        <v>4.4</v>
      </c>
      <c r="H228" t="n">
        <v>0</v>
      </c>
      <c r="I228" t="n">
        <v>0</v>
      </c>
      <c r="J228" t="n">
        <v>0</v>
      </c>
      <c r="K228" t="n">
        <v>0</v>
      </c>
      <c r="L228" t="n">
        <v>0</v>
      </c>
      <c r="M228" t="n">
        <v>0</v>
      </c>
      <c r="N228" t="n">
        <v>0</v>
      </c>
      <c r="O228" t="n">
        <v>0</v>
      </c>
      <c r="P228" t="n">
        <v>0</v>
      </c>
      <c r="Q228" t="n">
        <v>0</v>
      </c>
      <c r="R228" s="2" t="inlineStr"/>
    </row>
    <row r="229" ht="15" customHeight="1">
      <c r="A229" t="inlineStr">
        <is>
          <t>A 3090-2025</t>
        </is>
      </c>
      <c r="B229" s="1" t="n">
        <v>45678</v>
      </c>
      <c r="C229" s="1" t="n">
        <v>45911</v>
      </c>
      <c r="D229" t="inlineStr">
        <is>
          <t>SÖDERMANLANDS LÄN</t>
        </is>
      </c>
      <c r="E229" t="inlineStr">
        <is>
          <t>KATRINEHOLM</t>
        </is>
      </c>
      <c r="F229" t="inlineStr">
        <is>
          <t>Kyrkan</t>
        </is>
      </c>
      <c r="G229" t="n">
        <v>6.9</v>
      </c>
      <c r="H229" t="n">
        <v>0</v>
      </c>
      <c r="I229" t="n">
        <v>0</v>
      </c>
      <c r="J229" t="n">
        <v>0</v>
      </c>
      <c r="K229" t="n">
        <v>0</v>
      </c>
      <c r="L229" t="n">
        <v>0</v>
      </c>
      <c r="M229" t="n">
        <v>0</v>
      </c>
      <c r="N229" t="n">
        <v>0</v>
      </c>
      <c r="O229" t="n">
        <v>0</v>
      </c>
      <c r="P229" t="n">
        <v>0</v>
      </c>
      <c r="Q229" t="n">
        <v>0</v>
      </c>
      <c r="R229" s="2" t="inlineStr"/>
    </row>
    <row r="230" ht="15" customHeight="1">
      <c r="A230" t="inlineStr">
        <is>
          <t>A 33752-2023</t>
        </is>
      </c>
      <c r="B230" s="1" t="n">
        <v>45120</v>
      </c>
      <c r="C230" s="1" t="n">
        <v>45911</v>
      </c>
      <c r="D230" t="inlineStr">
        <is>
          <t>SÖDERMANLANDS LÄN</t>
        </is>
      </c>
      <c r="E230" t="inlineStr">
        <is>
          <t>KATRINEHOLM</t>
        </is>
      </c>
      <c r="G230" t="n">
        <v>1</v>
      </c>
      <c r="H230" t="n">
        <v>0</v>
      </c>
      <c r="I230" t="n">
        <v>0</v>
      </c>
      <c r="J230" t="n">
        <v>0</v>
      </c>
      <c r="K230" t="n">
        <v>0</v>
      </c>
      <c r="L230" t="n">
        <v>0</v>
      </c>
      <c r="M230" t="n">
        <v>0</v>
      </c>
      <c r="N230" t="n">
        <v>0</v>
      </c>
      <c r="O230" t="n">
        <v>0</v>
      </c>
      <c r="P230" t="n">
        <v>0</v>
      </c>
      <c r="Q230" t="n">
        <v>0</v>
      </c>
      <c r="R230" s="2" t="inlineStr"/>
    </row>
    <row r="231" ht="15" customHeight="1">
      <c r="A231" t="inlineStr">
        <is>
          <t>A 45376-2022</t>
        </is>
      </c>
      <c r="B231" s="1" t="n">
        <v>44844</v>
      </c>
      <c r="C231" s="1" t="n">
        <v>45911</v>
      </c>
      <c r="D231" t="inlineStr">
        <is>
          <t>SÖDERMANLANDS LÄN</t>
        </is>
      </c>
      <c r="E231" t="inlineStr">
        <is>
          <t>KATRINEHOLM</t>
        </is>
      </c>
      <c r="G231" t="n">
        <v>4.7</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45911</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45911</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22113-2025</t>
        </is>
      </c>
      <c r="B234" s="1" t="n">
        <v>45785</v>
      </c>
      <c r="C234" s="1" t="n">
        <v>45911</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48682-2022</t>
        </is>
      </c>
      <c r="B235" s="1" t="n">
        <v>44859</v>
      </c>
      <c r="C235" s="1" t="n">
        <v>45911</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29198-2023</t>
        </is>
      </c>
      <c r="B236" s="1" t="n">
        <v>45105</v>
      </c>
      <c r="C236" s="1" t="n">
        <v>45911</v>
      </c>
      <c r="D236" t="inlineStr">
        <is>
          <t>SÖDERMANLANDS LÄN</t>
        </is>
      </c>
      <c r="E236" t="inlineStr">
        <is>
          <t>KATRINEHOLM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50021-2023</t>
        </is>
      </c>
      <c r="B237" s="1" t="n">
        <v>45215</v>
      </c>
      <c r="C237" s="1" t="n">
        <v>45911</v>
      </c>
      <c r="D237" t="inlineStr">
        <is>
          <t>SÖDERMANLANDS LÄN</t>
        </is>
      </c>
      <c r="E237" t="inlineStr">
        <is>
          <t>KATRINEHOLM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24179-2024</t>
        </is>
      </c>
      <c r="B238" s="1" t="n">
        <v>45456.83059027778</v>
      </c>
      <c r="C238" s="1" t="n">
        <v>45911</v>
      </c>
      <c r="D238" t="inlineStr">
        <is>
          <t>SÖDERMANLANDS LÄN</t>
        </is>
      </c>
      <c r="E238" t="inlineStr">
        <is>
          <t>KATRINEHOLM</t>
        </is>
      </c>
      <c r="G238" t="n">
        <v>1.3</v>
      </c>
      <c r="H238" t="n">
        <v>0</v>
      </c>
      <c r="I238" t="n">
        <v>0</v>
      </c>
      <c r="J238" t="n">
        <v>0</v>
      </c>
      <c r="K238" t="n">
        <v>0</v>
      </c>
      <c r="L238" t="n">
        <v>0</v>
      </c>
      <c r="M238" t="n">
        <v>0</v>
      </c>
      <c r="N238" t="n">
        <v>0</v>
      </c>
      <c r="O238" t="n">
        <v>0</v>
      </c>
      <c r="P238" t="n">
        <v>0</v>
      </c>
      <c r="Q238" t="n">
        <v>0</v>
      </c>
      <c r="R238" s="2" t="inlineStr"/>
    </row>
    <row r="239" ht="15" customHeight="1">
      <c r="A239" t="inlineStr">
        <is>
          <t>A 9992-2022</t>
        </is>
      </c>
      <c r="B239" s="1" t="n">
        <v>44621</v>
      </c>
      <c r="C239" s="1" t="n">
        <v>45911</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41267-2023</t>
        </is>
      </c>
      <c r="B240" s="1" t="n">
        <v>45174</v>
      </c>
      <c r="C240" s="1" t="n">
        <v>45911</v>
      </c>
      <c r="D240" t="inlineStr">
        <is>
          <t>SÖDERMANLANDS LÄN</t>
        </is>
      </c>
      <c r="E240" t="inlineStr">
        <is>
          <t>KATRINEHOLM</t>
        </is>
      </c>
      <c r="F240" t="inlineStr">
        <is>
          <t>Holmen skog AB</t>
        </is>
      </c>
      <c r="G240" t="n">
        <v>4.5</v>
      </c>
      <c r="H240" t="n">
        <v>0</v>
      </c>
      <c r="I240" t="n">
        <v>0</v>
      </c>
      <c r="J240" t="n">
        <v>0</v>
      </c>
      <c r="K240" t="n">
        <v>0</v>
      </c>
      <c r="L240" t="n">
        <v>0</v>
      </c>
      <c r="M240" t="n">
        <v>0</v>
      </c>
      <c r="N240" t="n">
        <v>0</v>
      </c>
      <c r="O240" t="n">
        <v>0</v>
      </c>
      <c r="P240" t="n">
        <v>0</v>
      </c>
      <c r="Q240" t="n">
        <v>0</v>
      </c>
      <c r="R240" s="2" t="inlineStr"/>
    </row>
    <row r="241" ht="15" customHeight="1">
      <c r="A241" t="inlineStr">
        <is>
          <t>A 51264-2021</t>
        </is>
      </c>
      <c r="B241" s="1" t="n">
        <v>44461</v>
      </c>
      <c r="C241" s="1" t="n">
        <v>45911</v>
      </c>
      <c r="D241" t="inlineStr">
        <is>
          <t>SÖDERMANLANDS LÄN</t>
        </is>
      </c>
      <c r="E241" t="inlineStr">
        <is>
          <t>KATRINEHOLM</t>
        </is>
      </c>
      <c r="G241" t="n">
        <v>3.1</v>
      </c>
      <c r="H241" t="n">
        <v>0</v>
      </c>
      <c r="I241" t="n">
        <v>0</v>
      </c>
      <c r="J241" t="n">
        <v>0</v>
      </c>
      <c r="K241" t="n">
        <v>0</v>
      </c>
      <c r="L241" t="n">
        <v>0</v>
      </c>
      <c r="M241" t="n">
        <v>0</v>
      </c>
      <c r="N241" t="n">
        <v>0</v>
      </c>
      <c r="O241" t="n">
        <v>0</v>
      </c>
      <c r="P241" t="n">
        <v>0</v>
      </c>
      <c r="Q241" t="n">
        <v>0</v>
      </c>
      <c r="R241" s="2" t="inlineStr"/>
    </row>
    <row r="242" ht="15" customHeight="1">
      <c r="A242" t="inlineStr">
        <is>
          <t>A 51128-2021</t>
        </is>
      </c>
      <c r="B242" s="1" t="n">
        <v>44460</v>
      </c>
      <c r="C242" s="1" t="n">
        <v>45911</v>
      </c>
      <c r="D242" t="inlineStr">
        <is>
          <t>SÖDERMANLANDS LÄN</t>
        </is>
      </c>
      <c r="E242" t="inlineStr">
        <is>
          <t>KATRINEHOLM</t>
        </is>
      </c>
      <c r="G242" t="n">
        <v>7.8</v>
      </c>
      <c r="H242" t="n">
        <v>0</v>
      </c>
      <c r="I242" t="n">
        <v>0</v>
      </c>
      <c r="J242" t="n">
        <v>0</v>
      </c>
      <c r="K242" t="n">
        <v>0</v>
      </c>
      <c r="L242" t="n">
        <v>0</v>
      </c>
      <c r="M242" t="n">
        <v>0</v>
      </c>
      <c r="N242" t="n">
        <v>0</v>
      </c>
      <c r="O242" t="n">
        <v>0</v>
      </c>
      <c r="P242" t="n">
        <v>0</v>
      </c>
      <c r="Q242" t="n">
        <v>0</v>
      </c>
      <c r="R242" s="2" t="inlineStr"/>
    </row>
    <row r="243" ht="15" customHeight="1">
      <c r="A243" t="inlineStr">
        <is>
          <t>A 3980-2024</t>
        </is>
      </c>
      <c r="B243" s="1" t="n">
        <v>45322</v>
      </c>
      <c r="C243" s="1" t="n">
        <v>45911</v>
      </c>
      <c r="D243" t="inlineStr">
        <is>
          <t>SÖDERMANLANDS LÄN</t>
        </is>
      </c>
      <c r="E243" t="inlineStr">
        <is>
          <t>KATRINEHOLM</t>
        </is>
      </c>
      <c r="G243" t="n">
        <v>0.4</v>
      </c>
      <c r="H243" t="n">
        <v>0</v>
      </c>
      <c r="I243" t="n">
        <v>0</v>
      </c>
      <c r="J243" t="n">
        <v>0</v>
      </c>
      <c r="K243" t="n">
        <v>0</v>
      </c>
      <c r="L243" t="n">
        <v>0</v>
      </c>
      <c r="M243" t="n">
        <v>0</v>
      </c>
      <c r="N243" t="n">
        <v>0</v>
      </c>
      <c r="O243" t="n">
        <v>0</v>
      </c>
      <c r="P243" t="n">
        <v>0</v>
      </c>
      <c r="Q243" t="n">
        <v>0</v>
      </c>
      <c r="R243" s="2" t="inlineStr"/>
    </row>
    <row r="244" ht="15" customHeight="1">
      <c r="A244" t="inlineStr">
        <is>
          <t>A 64713-2023</t>
        </is>
      </c>
      <c r="B244" s="1" t="n">
        <v>45281</v>
      </c>
      <c r="C244" s="1" t="n">
        <v>45911</v>
      </c>
      <c r="D244" t="inlineStr">
        <is>
          <t>SÖDERMANLANDS LÄN</t>
        </is>
      </c>
      <c r="E244" t="inlineStr">
        <is>
          <t>KATRINEHOLM</t>
        </is>
      </c>
      <c r="G244" t="n">
        <v>4.9</v>
      </c>
      <c r="H244" t="n">
        <v>0</v>
      </c>
      <c r="I244" t="n">
        <v>0</v>
      </c>
      <c r="J244" t="n">
        <v>0</v>
      </c>
      <c r="K244" t="n">
        <v>0</v>
      </c>
      <c r="L244" t="n">
        <v>0</v>
      </c>
      <c r="M244" t="n">
        <v>0</v>
      </c>
      <c r="N244" t="n">
        <v>0</v>
      </c>
      <c r="O244" t="n">
        <v>0</v>
      </c>
      <c r="P244" t="n">
        <v>0</v>
      </c>
      <c r="Q244" t="n">
        <v>0</v>
      </c>
      <c r="R244" s="2" t="inlineStr"/>
    </row>
    <row r="245" ht="15" customHeight="1">
      <c r="A245" t="inlineStr">
        <is>
          <t>A 4650-2024</t>
        </is>
      </c>
      <c r="B245" s="1" t="n">
        <v>45328</v>
      </c>
      <c r="C245" s="1" t="n">
        <v>45911</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4652-2024</t>
        </is>
      </c>
      <c r="B246" s="1" t="n">
        <v>45328</v>
      </c>
      <c r="C246" s="1" t="n">
        <v>45911</v>
      </c>
      <c r="D246" t="inlineStr">
        <is>
          <t>SÖDERMANLANDS LÄN</t>
        </is>
      </c>
      <c r="E246" t="inlineStr">
        <is>
          <t>KATRINEHOLM</t>
        </is>
      </c>
      <c r="F246" t="inlineStr">
        <is>
          <t>Övriga Aktiebolag</t>
        </is>
      </c>
      <c r="G246" t="n">
        <v>6.1</v>
      </c>
      <c r="H246" t="n">
        <v>0</v>
      </c>
      <c r="I246" t="n">
        <v>0</v>
      </c>
      <c r="J246" t="n">
        <v>0</v>
      </c>
      <c r="K246" t="n">
        <v>0</v>
      </c>
      <c r="L246" t="n">
        <v>0</v>
      </c>
      <c r="M246" t="n">
        <v>0</v>
      </c>
      <c r="N246" t="n">
        <v>0</v>
      </c>
      <c r="O246" t="n">
        <v>0</v>
      </c>
      <c r="P246" t="n">
        <v>0</v>
      </c>
      <c r="Q246" t="n">
        <v>0</v>
      </c>
      <c r="R246" s="2" t="inlineStr"/>
    </row>
    <row r="247" ht="15" customHeight="1">
      <c r="A247" t="inlineStr">
        <is>
          <t>A 60677-2021</t>
        </is>
      </c>
      <c r="B247" s="1" t="n">
        <v>44495</v>
      </c>
      <c r="C247" s="1" t="n">
        <v>45911</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29008-2024</t>
        </is>
      </c>
      <c r="B248" s="1" t="n">
        <v>45481</v>
      </c>
      <c r="C248" s="1" t="n">
        <v>45911</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9936-2023</t>
        </is>
      </c>
      <c r="B249" s="1" t="n">
        <v>44985.47086805556</v>
      </c>
      <c r="C249" s="1" t="n">
        <v>45911</v>
      </c>
      <c r="D249" t="inlineStr">
        <is>
          <t>SÖDERMANLANDS LÄN</t>
        </is>
      </c>
      <c r="E249" t="inlineStr">
        <is>
          <t>KATRINEHOLM</t>
        </is>
      </c>
      <c r="G249" t="n">
        <v>0.4</v>
      </c>
      <c r="H249" t="n">
        <v>0</v>
      </c>
      <c r="I249" t="n">
        <v>0</v>
      </c>
      <c r="J249" t="n">
        <v>0</v>
      </c>
      <c r="K249" t="n">
        <v>0</v>
      </c>
      <c r="L249" t="n">
        <v>0</v>
      </c>
      <c r="M249" t="n">
        <v>0</v>
      </c>
      <c r="N249" t="n">
        <v>0</v>
      </c>
      <c r="O249" t="n">
        <v>0</v>
      </c>
      <c r="P249" t="n">
        <v>0</v>
      </c>
      <c r="Q249" t="n">
        <v>0</v>
      </c>
      <c r="R249" s="2" t="inlineStr"/>
    </row>
    <row r="250" ht="15" customHeight="1">
      <c r="A250" t="inlineStr">
        <is>
          <t>A 43088-2022</t>
        </is>
      </c>
      <c r="B250" s="1" t="n">
        <v>44833</v>
      </c>
      <c r="C250" s="1" t="n">
        <v>45911</v>
      </c>
      <c r="D250" t="inlineStr">
        <is>
          <t>SÖDERMANLANDS LÄN</t>
        </is>
      </c>
      <c r="E250" t="inlineStr">
        <is>
          <t>KATRINEHOLM</t>
        </is>
      </c>
      <c r="G250" t="n">
        <v>6.6</v>
      </c>
      <c r="H250" t="n">
        <v>0</v>
      </c>
      <c r="I250" t="n">
        <v>0</v>
      </c>
      <c r="J250" t="n">
        <v>0</v>
      </c>
      <c r="K250" t="n">
        <v>0</v>
      </c>
      <c r="L250" t="n">
        <v>0</v>
      </c>
      <c r="M250" t="n">
        <v>0</v>
      </c>
      <c r="N250" t="n">
        <v>0</v>
      </c>
      <c r="O250" t="n">
        <v>0</v>
      </c>
      <c r="P250" t="n">
        <v>0</v>
      </c>
      <c r="Q250" t="n">
        <v>0</v>
      </c>
      <c r="R250" s="2" t="inlineStr"/>
    </row>
    <row r="251" ht="15" customHeight="1">
      <c r="A251" t="inlineStr">
        <is>
          <t>A 24983-2024</t>
        </is>
      </c>
      <c r="B251" s="1" t="n">
        <v>45461</v>
      </c>
      <c r="C251" s="1" t="n">
        <v>45911</v>
      </c>
      <c r="D251" t="inlineStr">
        <is>
          <t>SÖDERMANLANDS LÄN</t>
        </is>
      </c>
      <c r="E251" t="inlineStr">
        <is>
          <t>KATRINEHOLM</t>
        </is>
      </c>
      <c r="G251" t="n">
        <v>2.6</v>
      </c>
      <c r="H251" t="n">
        <v>0</v>
      </c>
      <c r="I251" t="n">
        <v>0</v>
      </c>
      <c r="J251" t="n">
        <v>0</v>
      </c>
      <c r="K251" t="n">
        <v>0</v>
      </c>
      <c r="L251" t="n">
        <v>0</v>
      </c>
      <c r="M251" t="n">
        <v>0</v>
      </c>
      <c r="N251" t="n">
        <v>0</v>
      </c>
      <c r="O251" t="n">
        <v>0</v>
      </c>
      <c r="P251" t="n">
        <v>0</v>
      </c>
      <c r="Q251" t="n">
        <v>0</v>
      </c>
      <c r="R251" s="2" t="inlineStr"/>
    </row>
    <row r="252" ht="15" customHeight="1">
      <c r="A252" t="inlineStr">
        <is>
          <t>A 64605-2023</t>
        </is>
      </c>
      <c r="B252" s="1" t="n">
        <v>45281</v>
      </c>
      <c r="C252" s="1" t="n">
        <v>45911</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17246-2024</t>
        </is>
      </c>
      <c r="B253" s="1" t="n">
        <v>45414</v>
      </c>
      <c r="C253" s="1" t="n">
        <v>45911</v>
      </c>
      <c r="D253" t="inlineStr">
        <is>
          <t>SÖDERMANLANDS LÄN</t>
        </is>
      </c>
      <c r="E253" t="inlineStr">
        <is>
          <t>KATRINEHOLM</t>
        </is>
      </c>
      <c r="F253" t="inlineStr">
        <is>
          <t>Allmännings- och besparingsskogar</t>
        </is>
      </c>
      <c r="G253" t="n">
        <v>13.7</v>
      </c>
      <c r="H253" t="n">
        <v>0</v>
      </c>
      <c r="I253" t="n">
        <v>0</v>
      </c>
      <c r="J253" t="n">
        <v>0</v>
      </c>
      <c r="K253" t="n">
        <v>0</v>
      </c>
      <c r="L253" t="n">
        <v>0</v>
      </c>
      <c r="M253" t="n">
        <v>0</v>
      </c>
      <c r="N253" t="n">
        <v>0</v>
      </c>
      <c r="O253" t="n">
        <v>0</v>
      </c>
      <c r="P253" t="n">
        <v>0</v>
      </c>
      <c r="Q253" t="n">
        <v>0</v>
      </c>
      <c r="R253" s="2" t="inlineStr"/>
    </row>
    <row r="254" ht="15" customHeight="1">
      <c r="A254" t="inlineStr">
        <is>
          <t>A 22476-2025</t>
        </is>
      </c>
      <c r="B254" s="1" t="n">
        <v>45786</v>
      </c>
      <c r="C254" s="1" t="n">
        <v>45911</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4645-2024</t>
        </is>
      </c>
      <c r="B255" s="1" t="n">
        <v>45328</v>
      </c>
      <c r="C255" s="1" t="n">
        <v>45911</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20460-2025</t>
        </is>
      </c>
      <c r="B256" s="1" t="n">
        <v>45775.52854166667</v>
      </c>
      <c r="C256" s="1" t="n">
        <v>45911</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22336-2025</t>
        </is>
      </c>
      <c r="B257" s="1" t="n">
        <v>45786.44217592593</v>
      </c>
      <c r="C257" s="1" t="n">
        <v>45911</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9693-2024</t>
        </is>
      </c>
      <c r="B258" s="1" t="n">
        <v>45362</v>
      </c>
      <c r="C258" s="1" t="n">
        <v>45911</v>
      </c>
      <c r="D258" t="inlineStr">
        <is>
          <t>SÖDERMANLANDS LÄN</t>
        </is>
      </c>
      <c r="E258" t="inlineStr">
        <is>
          <t>KATRINEHOLM</t>
        </is>
      </c>
      <c r="G258" t="n">
        <v>5.9</v>
      </c>
      <c r="H258" t="n">
        <v>0</v>
      </c>
      <c r="I258" t="n">
        <v>0</v>
      </c>
      <c r="J258" t="n">
        <v>0</v>
      </c>
      <c r="K258" t="n">
        <v>0</v>
      </c>
      <c r="L258" t="n">
        <v>0</v>
      </c>
      <c r="M258" t="n">
        <v>0</v>
      </c>
      <c r="N258" t="n">
        <v>0</v>
      </c>
      <c r="O258" t="n">
        <v>0</v>
      </c>
      <c r="P258" t="n">
        <v>0</v>
      </c>
      <c r="Q258" t="n">
        <v>0</v>
      </c>
      <c r="R258" s="2" t="inlineStr"/>
    </row>
    <row r="259" ht="15" customHeight="1">
      <c r="A259" t="inlineStr">
        <is>
          <t>A 43964-2022</t>
        </is>
      </c>
      <c r="B259" s="1" t="n">
        <v>44837</v>
      </c>
      <c r="C259" s="1" t="n">
        <v>45911</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55031-2020</t>
        </is>
      </c>
      <c r="B260" s="1" t="n">
        <v>44130</v>
      </c>
      <c r="C260" s="1" t="n">
        <v>45911</v>
      </c>
      <c r="D260" t="inlineStr">
        <is>
          <t>SÖDERMANLANDS LÄN</t>
        </is>
      </c>
      <c r="E260" t="inlineStr">
        <is>
          <t>KATRINEHOLM</t>
        </is>
      </c>
      <c r="G260" t="n">
        <v>1.9</v>
      </c>
      <c r="H260" t="n">
        <v>0</v>
      </c>
      <c r="I260" t="n">
        <v>0</v>
      </c>
      <c r="J260" t="n">
        <v>0</v>
      </c>
      <c r="K260" t="n">
        <v>0</v>
      </c>
      <c r="L260" t="n">
        <v>0</v>
      </c>
      <c r="M260" t="n">
        <v>0</v>
      </c>
      <c r="N260" t="n">
        <v>0</v>
      </c>
      <c r="O260" t="n">
        <v>0</v>
      </c>
      <c r="P260" t="n">
        <v>0</v>
      </c>
      <c r="Q260" t="n">
        <v>0</v>
      </c>
      <c r="R260" s="2" t="inlineStr"/>
    </row>
    <row r="261" ht="15" customHeight="1">
      <c r="A261" t="inlineStr">
        <is>
          <t>A 28582-2024</t>
        </is>
      </c>
      <c r="B261" s="1" t="n">
        <v>45478.40751157407</v>
      </c>
      <c r="C261" s="1" t="n">
        <v>45911</v>
      </c>
      <c r="D261" t="inlineStr">
        <is>
          <t>SÖDERMANLANDS LÄN</t>
        </is>
      </c>
      <c r="E261" t="inlineStr">
        <is>
          <t>KATRINEHOLM</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42015-2022</t>
        </is>
      </c>
      <c r="B262" s="1" t="n">
        <v>44830.4649074074</v>
      </c>
      <c r="C262" s="1" t="n">
        <v>45911</v>
      </c>
      <c r="D262" t="inlineStr">
        <is>
          <t>SÖDERMANLANDS LÄN</t>
        </is>
      </c>
      <c r="E262" t="inlineStr">
        <is>
          <t>KATRINEHOLM</t>
        </is>
      </c>
      <c r="G262" t="n">
        <v>3.8</v>
      </c>
      <c r="H262" t="n">
        <v>0</v>
      </c>
      <c r="I262" t="n">
        <v>0</v>
      </c>
      <c r="J262" t="n">
        <v>0</v>
      </c>
      <c r="K262" t="n">
        <v>0</v>
      </c>
      <c r="L262" t="n">
        <v>0</v>
      </c>
      <c r="M262" t="n">
        <v>0</v>
      </c>
      <c r="N262" t="n">
        <v>0</v>
      </c>
      <c r="O262" t="n">
        <v>0</v>
      </c>
      <c r="P262" t="n">
        <v>0</v>
      </c>
      <c r="Q262" t="n">
        <v>0</v>
      </c>
      <c r="R262" s="2" t="inlineStr"/>
    </row>
    <row r="263" ht="15" customHeight="1">
      <c r="A263" t="inlineStr">
        <is>
          <t>A 42020-2022</t>
        </is>
      </c>
      <c r="B263" s="1" t="n">
        <v>44830.46849537037</v>
      </c>
      <c r="C263" s="1" t="n">
        <v>45911</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23050-2025</t>
        </is>
      </c>
      <c r="B264" s="1" t="n">
        <v>45790.69971064815</v>
      </c>
      <c r="C264" s="1" t="n">
        <v>45911</v>
      </c>
      <c r="D264" t="inlineStr">
        <is>
          <t>SÖDERMANLANDS LÄN</t>
        </is>
      </c>
      <c r="E264" t="inlineStr">
        <is>
          <t>KATRINEHOLM</t>
        </is>
      </c>
      <c r="G264" t="n">
        <v>3.7</v>
      </c>
      <c r="H264" t="n">
        <v>0</v>
      </c>
      <c r="I264" t="n">
        <v>0</v>
      </c>
      <c r="J264" t="n">
        <v>0</v>
      </c>
      <c r="K264" t="n">
        <v>0</v>
      </c>
      <c r="L264" t="n">
        <v>0</v>
      </c>
      <c r="M264" t="n">
        <v>0</v>
      </c>
      <c r="N264" t="n">
        <v>0</v>
      </c>
      <c r="O264" t="n">
        <v>0</v>
      </c>
      <c r="P264" t="n">
        <v>0</v>
      </c>
      <c r="Q264" t="n">
        <v>0</v>
      </c>
      <c r="R264" s="2" t="inlineStr"/>
    </row>
    <row r="265" ht="15" customHeight="1">
      <c r="A265" t="inlineStr">
        <is>
          <t>A 55846-2022</t>
        </is>
      </c>
      <c r="B265" s="1" t="n">
        <v>44888</v>
      </c>
      <c r="C265" s="1" t="n">
        <v>45911</v>
      </c>
      <c r="D265" t="inlineStr">
        <is>
          <t>SÖDERMANLANDS LÄN</t>
        </is>
      </c>
      <c r="E265" t="inlineStr">
        <is>
          <t>KATRINEHOLM</t>
        </is>
      </c>
      <c r="G265" t="n">
        <v>6.5</v>
      </c>
      <c r="H265" t="n">
        <v>0</v>
      </c>
      <c r="I265" t="n">
        <v>0</v>
      </c>
      <c r="J265" t="n">
        <v>0</v>
      </c>
      <c r="K265" t="n">
        <v>0</v>
      </c>
      <c r="L265" t="n">
        <v>0</v>
      </c>
      <c r="M265" t="n">
        <v>0</v>
      </c>
      <c r="N265" t="n">
        <v>0</v>
      </c>
      <c r="O265" t="n">
        <v>0</v>
      </c>
      <c r="P265" t="n">
        <v>0</v>
      </c>
      <c r="Q265" t="n">
        <v>0</v>
      </c>
      <c r="R265" s="2" t="inlineStr"/>
    </row>
    <row r="266" ht="15" customHeight="1">
      <c r="A266" t="inlineStr">
        <is>
          <t>A 36001-2024</t>
        </is>
      </c>
      <c r="B266" s="1" t="n">
        <v>45533.54609953704</v>
      </c>
      <c r="C266" s="1" t="n">
        <v>45911</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26081-2024</t>
        </is>
      </c>
      <c r="B267" s="1" t="n">
        <v>45462</v>
      </c>
      <c r="C267" s="1" t="n">
        <v>45911</v>
      </c>
      <c r="D267" t="inlineStr">
        <is>
          <t>SÖDERMANLANDS LÄN</t>
        </is>
      </c>
      <c r="E267" t="inlineStr">
        <is>
          <t>KATRINEHOLM</t>
        </is>
      </c>
      <c r="G267" t="n">
        <v>4.1</v>
      </c>
      <c r="H267" t="n">
        <v>0</v>
      </c>
      <c r="I267" t="n">
        <v>0</v>
      </c>
      <c r="J267" t="n">
        <v>0</v>
      </c>
      <c r="K267" t="n">
        <v>0</v>
      </c>
      <c r="L267" t="n">
        <v>0</v>
      </c>
      <c r="M267" t="n">
        <v>0</v>
      </c>
      <c r="N267" t="n">
        <v>0</v>
      </c>
      <c r="O267" t="n">
        <v>0</v>
      </c>
      <c r="P267" t="n">
        <v>0</v>
      </c>
      <c r="Q267" t="n">
        <v>0</v>
      </c>
      <c r="R267" s="2" t="inlineStr"/>
    </row>
    <row r="268" ht="15" customHeight="1">
      <c r="A268" t="inlineStr">
        <is>
          <t>A 30242-2023</t>
        </is>
      </c>
      <c r="B268" s="1" t="n">
        <v>45099</v>
      </c>
      <c r="C268" s="1" t="n">
        <v>45911</v>
      </c>
      <c r="D268" t="inlineStr">
        <is>
          <t>SÖDERMANLANDS LÄN</t>
        </is>
      </c>
      <c r="E268" t="inlineStr">
        <is>
          <t>KATRINEHOLM</t>
        </is>
      </c>
      <c r="G268" t="n">
        <v>3</v>
      </c>
      <c r="H268" t="n">
        <v>0</v>
      </c>
      <c r="I268" t="n">
        <v>0</v>
      </c>
      <c r="J268" t="n">
        <v>0</v>
      </c>
      <c r="K268" t="n">
        <v>0</v>
      </c>
      <c r="L268" t="n">
        <v>0</v>
      </c>
      <c r="M268" t="n">
        <v>0</v>
      </c>
      <c r="N268" t="n">
        <v>0</v>
      </c>
      <c r="O268" t="n">
        <v>0</v>
      </c>
      <c r="P268" t="n">
        <v>0</v>
      </c>
      <c r="Q268" t="n">
        <v>0</v>
      </c>
      <c r="R268" s="2" t="inlineStr"/>
    </row>
    <row r="269" ht="15" customHeight="1">
      <c r="A269" t="inlineStr">
        <is>
          <t>A 53722-2023</t>
        </is>
      </c>
      <c r="B269" s="1" t="n">
        <v>45230</v>
      </c>
      <c r="C269" s="1" t="n">
        <v>45911</v>
      </c>
      <c r="D269" t="inlineStr">
        <is>
          <t>SÖDERMANLANDS LÄN</t>
        </is>
      </c>
      <c r="E269" t="inlineStr">
        <is>
          <t>KATRINEHOLM</t>
        </is>
      </c>
      <c r="F269" t="inlineStr">
        <is>
          <t>Allmännings- och besparingsskogar</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36832-2023</t>
        </is>
      </c>
      <c r="B270" s="1" t="n">
        <v>45153</v>
      </c>
      <c r="C270" s="1" t="n">
        <v>45911</v>
      </c>
      <c r="D270" t="inlineStr">
        <is>
          <t>SÖDERMANLANDS LÄN</t>
        </is>
      </c>
      <c r="E270" t="inlineStr">
        <is>
          <t>KATRINEHOLM</t>
        </is>
      </c>
      <c r="F270" t="inlineStr">
        <is>
          <t>Övriga Aktiebolag</t>
        </is>
      </c>
      <c r="G270" t="n">
        <v>9</v>
      </c>
      <c r="H270" t="n">
        <v>0</v>
      </c>
      <c r="I270" t="n">
        <v>0</v>
      </c>
      <c r="J270" t="n">
        <v>0</v>
      </c>
      <c r="K270" t="n">
        <v>0</v>
      </c>
      <c r="L270" t="n">
        <v>0</v>
      </c>
      <c r="M270" t="n">
        <v>0</v>
      </c>
      <c r="N270" t="n">
        <v>0</v>
      </c>
      <c r="O270" t="n">
        <v>0</v>
      </c>
      <c r="P270" t="n">
        <v>0</v>
      </c>
      <c r="Q270" t="n">
        <v>0</v>
      </c>
      <c r="R270" s="2" t="inlineStr"/>
    </row>
    <row r="271" ht="15" customHeight="1">
      <c r="A271" t="inlineStr">
        <is>
          <t>A 55863-2022</t>
        </is>
      </c>
      <c r="B271" s="1" t="n">
        <v>44888</v>
      </c>
      <c r="C271" s="1" t="n">
        <v>45911</v>
      </c>
      <c r="D271" t="inlineStr">
        <is>
          <t>SÖDERMANLANDS LÄN</t>
        </is>
      </c>
      <c r="E271" t="inlineStr">
        <is>
          <t>KATRINEHOLM</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55865-2022</t>
        </is>
      </c>
      <c r="B272" s="1" t="n">
        <v>44888</v>
      </c>
      <c r="C272" s="1" t="n">
        <v>45911</v>
      </c>
      <c r="D272" t="inlineStr">
        <is>
          <t>SÖDERMANLANDS LÄN</t>
        </is>
      </c>
      <c r="E272" t="inlineStr">
        <is>
          <t>KATRINEHOLM</t>
        </is>
      </c>
      <c r="G272" t="n">
        <v>9.1</v>
      </c>
      <c r="H272" t="n">
        <v>0</v>
      </c>
      <c r="I272" t="n">
        <v>0</v>
      </c>
      <c r="J272" t="n">
        <v>0</v>
      </c>
      <c r="K272" t="n">
        <v>0</v>
      </c>
      <c r="L272" t="n">
        <v>0</v>
      </c>
      <c r="M272" t="n">
        <v>0</v>
      </c>
      <c r="N272" t="n">
        <v>0</v>
      </c>
      <c r="O272" t="n">
        <v>0</v>
      </c>
      <c r="P272" t="n">
        <v>0</v>
      </c>
      <c r="Q272" t="n">
        <v>0</v>
      </c>
      <c r="R272" s="2" t="inlineStr"/>
    </row>
    <row r="273" ht="15" customHeight="1">
      <c r="A273" t="inlineStr">
        <is>
          <t>A 28931-2024</t>
        </is>
      </c>
      <c r="B273" s="1" t="n">
        <v>45479</v>
      </c>
      <c r="C273" s="1" t="n">
        <v>45911</v>
      </c>
      <c r="D273" t="inlineStr">
        <is>
          <t>SÖDERMANLANDS LÄN</t>
        </is>
      </c>
      <c r="E273" t="inlineStr">
        <is>
          <t>KATRINEHOLM</t>
        </is>
      </c>
      <c r="G273" t="n">
        <v>7.4</v>
      </c>
      <c r="H273" t="n">
        <v>0</v>
      </c>
      <c r="I273" t="n">
        <v>0</v>
      </c>
      <c r="J273" t="n">
        <v>0</v>
      </c>
      <c r="K273" t="n">
        <v>0</v>
      </c>
      <c r="L273" t="n">
        <v>0</v>
      </c>
      <c r="M273" t="n">
        <v>0</v>
      </c>
      <c r="N273" t="n">
        <v>0</v>
      </c>
      <c r="O273" t="n">
        <v>0</v>
      </c>
      <c r="P273" t="n">
        <v>0</v>
      </c>
      <c r="Q273" t="n">
        <v>0</v>
      </c>
      <c r="R273" s="2" t="inlineStr"/>
    </row>
    <row r="274" ht="15" customHeight="1">
      <c r="A274" t="inlineStr">
        <is>
          <t>A 24902-2024</t>
        </is>
      </c>
      <c r="B274" s="1" t="n">
        <v>45461</v>
      </c>
      <c r="C274" s="1" t="n">
        <v>45911</v>
      </c>
      <c r="D274" t="inlineStr">
        <is>
          <t>SÖDERMANLANDS LÄN</t>
        </is>
      </c>
      <c r="E274" t="inlineStr">
        <is>
          <t>KATRINEHOLM</t>
        </is>
      </c>
      <c r="G274" t="n">
        <v>3.5</v>
      </c>
      <c r="H274" t="n">
        <v>0</v>
      </c>
      <c r="I274" t="n">
        <v>0</v>
      </c>
      <c r="J274" t="n">
        <v>0</v>
      </c>
      <c r="K274" t="n">
        <v>0</v>
      </c>
      <c r="L274" t="n">
        <v>0</v>
      </c>
      <c r="M274" t="n">
        <v>0</v>
      </c>
      <c r="N274" t="n">
        <v>0</v>
      </c>
      <c r="O274" t="n">
        <v>0</v>
      </c>
      <c r="P274" t="n">
        <v>0</v>
      </c>
      <c r="Q274" t="n">
        <v>0</v>
      </c>
      <c r="R274" s="2" t="inlineStr"/>
    </row>
    <row r="275" ht="15" customHeight="1">
      <c r="A275" t="inlineStr">
        <is>
          <t>A 69117-2021</t>
        </is>
      </c>
      <c r="B275" s="1" t="n">
        <v>44530.82445601852</v>
      </c>
      <c r="C275" s="1" t="n">
        <v>45911</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48520-2023</t>
        </is>
      </c>
      <c r="B276" s="1" t="n">
        <v>45208</v>
      </c>
      <c r="C276" s="1" t="n">
        <v>45911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56661-2021</t>
        </is>
      </c>
      <c r="B277" s="1" t="n">
        <v>44481.24327546296</v>
      </c>
      <c r="C277" s="1" t="n">
        <v>45911</v>
      </c>
      <c r="D277" t="inlineStr">
        <is>
          <t>SÖDERMANLANDS LÄN</t>
        </is>
      </c>
      <c r="E277" t="inlineStr">
        <is>
          <t>KATRINEHOLM</t>
        </is>
      </c>
      <c r="G277" t="n">
        <v>5.8</v>
      </c>
      <c r="H277" t="n">
        <v>0</v>
      </c>
      <c r="I277" t="n">
        <v>0</v>
      </c>
      <c r="J277" t="n">
        <v>0</v>
      </c>
      <c r="K277" t="n">
        <v>0</v>
      </c>
      <c r="L277" t="n">
        <v>0</v>
      </c>
      <c r="M277" t="n">
        <v>0</v>
      </c>
      <c r="N277" t="n">
        <v>0</v>
      </c>
      <c r="O277" t="n">
        <v>0</v>
      </c>
      <c r="P277" t="n">
        <v>0</v>
      </c>
      <c r="Q277" t="n">
        <v>0</v>
      </c>
      <c r="R277" s="2" t="inlineStr"/>
    </row>
    <row r="278" ht="15" customHeight="1">
      <c r="A278" t="inlineStr">
        <is>
          <t>A 28394-2023</t>
        </is>
      </c>
      <c r="B278" s="1" t="n">
        <v>45100</v>
      </c>
      <c r="C278" s="1" t="n">
        <v>45911</v>
      </c>
      <c r="D278" t="inlineStr">
        <is>
          <t>SÖDERMANLANDS LÄN</t>
        </is>
      </c>
      <c r="E278" t="inlineStr">
        <is>
          <t>KATRINEHOLM</t>
        </is>
      </c>
      <c r="G278" t="n">
        <v>4.2</v>
      </c>
      <c r="H278" t="n">
        <v>0</v>
      </c>
      <c r="I278" t="n">
        <v>0</v>
      </c>
      <c r="J278" t="n">
        <v>0</v>
      </c>
      <c r="K278" t="n">
        <v>0</v>
      </c>
      <c r="L278" t="n">
        <v>0</v>
      </c>
      <c r="M278" t="n">
        <v>0</v>
      </c>
      <c r="N278" t="n">
        <v>0</v>
      </c>
      <c r="O278" t="n">
        <v>0</v>
      </c>
      <c r="P278" t="n">
        <v>0</v>
      </c>
      <c r="Q278" t="n">
        <v>0</v>
      </c>
      <c r="R278" s="2" t="inlineStr"/>
    </row>
    <row r="279" ht="15" customHeight="1">
      <c r="A279" t="inlineStr">
        <is>
          <t>A 4122-2023</t>
        </is>
      </c>
      <c r="B279" s="1" t="n">
        <v>44952</v>
      </c>
      <c r="C279" s="1" t="n">
        <v>45911</v>
      </c>
      <c r="D279" t="inlineStr">
        <is>
          <t>SÖDERMANLANDS LÄN</t>
        </is>
      </c>
      <c r="E279" t="inlineStr">
        <is>
          <t>KATRINEHOLM</t>
        </is>
      </c>
      <c r="G279" t="n">
        <v>9</v>
      </c>
      <c r="H279" t="n">
        <v>0</v>
      </c>
      <c r="I279" t="n">
        <v>0</v>
      </c>
      <c r="J279" t="n">
        <v>0</v>
      </c>
      <c r="K279" t="n">
        <v>0</v>
      </c>
      <c r="L279" t="n">
        <v>0</v>
      </c>
      <c r="M279" t="n">
        <v>0</v>
      </c>
      <c r="N279" t="n">
        <v>0</v>
      </c>
      <c r="O279" t="n">
        <v>0</v>
      </c>
      <c r="P279" t="n">
        <v>0</v>
      </c>
      <c r="Q279" t="n">
        <v>0</v>
      </c>
      <c r="R279" s="2" t="inlineStr"/>
    </row>
    <row r="280" ht="15" customHeight="1">
      <c r="A280" t="inlineStr">
        <is>
          <t>A 38308-2021</t>
        </is>
      </c>
      <c r="B280" s="1" t="n">
        <v>44406</v>
      </c>
      <c r="C280" s="1" t="n">
        <v>45911</v>
      </c>
      <c r="D280" t="inlineStr">
        <is>
          <t>SÖDERMANLANDS LÄN</t>
        </is>
      </c>
      <c r="E280" t="inlineStr">
        <is>
          <t>KATRINEHOLM</t>
        </is>
      </c>
      <c r="G280" t="n">
        <v>1.7</v>
      </c>
      <c r="H280" t="n">
        <v>0</v>
      </c>
      <c r="I280" t="n">
        <v>0</v>
      </c>
      <c r="J280" t="n">
        <v>0</v>
      </c>
      <c r="K280" t="n">
        <v>0</v>
      </c>
      <c r="L280" t="n">
        <v>0</v>
      </c>
      <c r="M280" t="n">
        <v>0</v>
      </c>
      <c r="N280" t="n">
        <v>0</v>
      </c>
      <c r="O280" t="n">
        <v>0</v>
      </c>
      <c r="P280" t="n">
        <v>0</v>
      </c>
      <c r="Q280" t="n">
        <v>0</v>
      </c>
      <c r="R280" s="2" t="inlineStr"/>
    </row>
    <row r="281" ht="15" customHeight="1">
      <c r="A281" t="inlineStr">
        <is>
          <t>A 55172-2022</t>
        </is>
      </c>
      <c r="B281" s="1" t="n">
        <v>44886</v>
      </c>
      <c r="C281" s="1" t="n">
        <v>45911</v>
      </c>
      <c r="D281" t="inlineStr">
        <is>
          <t>SÖDERMANLANDS LÄN</t>
        </is>
      </c>
      <c r="E281" t="inlineStr">
        <is>
          <t>KATRINEHOLM</t>
        </is>
      </c>
      <c r="G281" t="n">
        <v>1.3</v>
      </c>
      <c r="H281" t="n">
        <v>0</v>
      </c>
      <c r="I281" t="n">
        <v>0</v>
      </c>
      <c r="J281" t="n">
        <v>0</v>
      </c>
      <c r="K281" t="n">
        <v>0</v>
      </c>
      <c r="L281" t="n">
        <v>0</v>
      </c>
      <c r="M281" t="n">
        <v>0</v>
      </c>
      <c r="N281" t="n">
        <v>0</v>
      </c>
      <c r="O281" t="n">
        <v>0</v>
      </c>
      <c r="P281" t="n">
        <v>0</v>
      </c>
      <c r="Q281" t="n">
        <v>0</v>
      </c>
      <c r="R281" s="2" t="inlineStr"/>
    </row>
    <row r="282" ht="15" customHeight="1">
      <c r="A282" t="inlineStr">
        <is>
          <t>A 67337-2021</t>
        </is>
      </c>
      <c r="B282" s="1" t="n">
        <v>44523</v>
      </c>
      <c r="C282" s="1" t="n">
        <v>45911</v>
      </c>
      <c r="D282" t="inlineStr">
        <is>
          <t>SÖDERMANLANDS LÄN</t>
        </is>
      </c>
      <c r="E282" t="inlineStr">
        <is>
          <t>KATRINEHOLM</t>
        </is>
      </c>
      <c r="G282" t="n">
        <v>5.2</v>
      </c>
      <c r="H282" t="n">
        <v>0</v>
      </c>
      <c r="I282" t="n">
        <v>0</v>
      </c>
      <c r="J282" t="n">
        <v>0</v>
      </c>
      <c r="K282" t="n">
        <v>0</v>
      </c>
      <c r="L282" t="n">
        <v>0</v>
      </c>
      <c r="M282" t="n">
        <v>0</v>
      </c>
      <c r="N282" t="n">
        <v>0</v>
      </c>
      <c r="O282" t="n">
        <v>0</v>
      </c>
      <c r="P282" t="n">
        <v>0</v>
      </c>
      <c r="Q282" t="n">
        <v>0</v>
      </c>
      <c r="R282" s="2" t="inlineStr"/>
    </row>
    <row r="283" ht="15" customHeight="1">
      <c r="A283" t="inlineStr">
        <is>
          <t>A 6810-2023</t>
        </is>
      </c>
      <c r="B283" s="1" t="n">
        <v>44964</v>
      </c>
      <c r="C283" s="1" t="n">
        <v>45911</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32944-2023</t>
        </is>
      </c>
      <c r="B284" s="1" t="n">
        <v>45125</v>
      </c>
      <c r="C284" s="1" t="n">
        <v>45911</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29977-2023</t>
        </is>
      </c>
      <c r="B285" s="1" t="n">
        <v>45108</v>
      </c>
      <c r="C285" s="1" t="n">
        <v>45911</v>
      </c>
      <c r="D285" t="inlineStr">
        <is>
          <t>SÖDERMANLANDS LÄN</t>
        </is>
      </c>
      <c r="E285" t="inlineStr">
        <is>
          <t>KATRINEHOLM</t>
        </is>
      </c>
      <c r="G285" t="n">
        <v>2.4</v>
      </c>
      <c r="H285" t="n">
        <v>0</v>
      </c>
      <c r="I285" t="n">
        <v>0</v>
      </c>
      <c r="J285" t="n">
        <v>0</v>
      </c>
      <c r="K285" t="n">
        <v>0</v>
      </c>
      <c r="L285" t="n">
        <v>0</v>
      </c>
      <c r="M285" t="n">
        <v>0</v>
      </c>
      <c r="N285" t="n">
        <v>0</v>
      </c>
      <c r="O285" t="n">
        <v>0</v>
      </c>
      <c r="P285" t="n">
        <v>0</v>
      </c>
      <c r="Q285" t="n">
        <v>0</v>
      </c>
      <c r="R285" s="2" t="inlineStr"/>
    </row>
    <row r="286" ht="15" customHeight="1">
      <c r="A286" t="inlineStr">
        <is>
          <t>A 29394-2024</t>
        </is>
      </c>
      <c r="B286" s="1" t="n">
        <v>45483</v>
      </c>
      <c r="C286" s="1" t="n">
        <v>45911</v>
      </c>
      <c r="D286" t="inlineStr">
        <is>
          <t>SÖDERMANLANDS LÄN</t>
        </is>
      </c>
      <c r="E286" t="inlineStr">
        <is>
          <t>KATRINEHOLM</t>
        </is>
      </c>
      <c r="G286" t="n">
        <v>0.9</v>
      </c>
      <c r="H286" t="n">
        <v>0</v>
      </c>
      <c r="I286" t="n">
        <v>0</v>
      </c>
      <c r="J286" t="n">
        <v>0</v>
      </c>
      <c r="K286" t="n">
        <v>0</v>
      </c>
      <c r="L286" t="n">
        <v>0</v>
      </c>
      <c r="M286" t="n">
        <v>0</v>
      </c>
      <c r="N286" t="n">
        <v>0</v>
      </c>
      <c r="O286" t="n">
        <v>0</v>
      </c>
      <c r="P286" t="n">
        <v>0</v>
      </c>
      <c r="Q286" t="n">
        <v>0</v>
      </c>
      <c r="R286" s="2" t="inlineStr"/>
    </row>
    <row r="287" ht="15" customHeight="1">
      <c r="A287" t="inlineStr">
        <is>
          <t>A 50032-2022</t>
        </is>
      </c>
      <c r="B287" s="1" t="n">
        <v>44860</v>
      </c>
      <c r="C287" s="1" t="n">
        <v>45911</v>
      </c>
      <c r="D287" t="inlineStr">
        <is>
          <t>SÖDERMANLANDS LÄN</t>
        </is>
      </c>
      <c r="E287" t="inlineStr">
        <is>
          <t>KATRINEHOLM</t>
        </is>
      </c>
      <c r="G287" t="n">
        <v>7.5</v>
      </c>
      <c r="H287" t="n">
        <v>0</v>
      </c>
      <c r="I287" t="n">
        <v>0</v>
      </c>
      <c r="J287" t="n">
        <v>0</v>
      </c>
      <c r="K287" t="n">
        <v>0</v>
      </c>
      <c r="L287" t="n">
        <v>0</v>
      </c>
      <c r="M287" t="n">
        <v>0</v>
      </c>
      <c r="N287" t="n">
        <v>0</v>
      </c>
      <c r="O287" t="n">
        <v>0</v>
      </c>
      <c r="P287" t="n">
        <v>0</v>
      </c>
      <c r="Q287" t="n">
        <v>0</v>
      </c>
      <c r="R287" s="2" t="inlineStr"/>
    </row>
    <row r="288" ht="15" customHeight="1">
      <c r="A288" t="inlineStr">
        <is>
          <t>A 26713-2024</t>
        </is>
      </c>
      <c r="B288" s="1" t="n">
        <v>45470</v>
      </c>
      <c r="C288" s="1" t="n">
        <v>45911</v>
      </c>
      <c r="D288" t="inlineStr">
        <is>
          <t>SÖDERMANLANDS LÄN</t>
        </is>
      </c>
      <c r="E288" t="inlineStr">
        <is>
          <t>KATRINEHOLM</t>
        </is>
      </c>
      <c r="G288" t="n">
        <v>0.7</v>
      </c>
      <c r="H288" t="n">
        <v>0</v>
      </c>
      <c r="I288" t="n">
        <v>0</v>
      </c>
      <c r="J288" t="n">
        <v>0</v>
      </c>
      <c r="K288" t="n">
        <v>0</v>
      </c>
      <c r="L288" t="n">
        <v>0</v>
      </c>
      <c r="M288" t="n">
        <v>0</v>
      </c>
      <c r="N288" t="n">
        <v>0</v>
      </c>
      <c r="O288" t="n">
        <v>0</v>
      </c>
      <c r="P288" t="n">
        <v>0</v>
      </c>
      <c r="Q288" t="n">
        <v>0</v>
      </c>
      <c r="R288" s="2" t="inlineStr"/>
    </row>
    <row r="289" ht="15" customHeight="1">
      <c r="A289" t="inlineStr">
        <is>
          <t>A 2603-2025</t>
        </is>
      </c>
      <c r="B289" s="1" t="n">
        <v>45674</v>
      </c>
      <c r="C289" s="1" t="n">
        <v>45911</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43837-2022</t>
        </is>
      </c>
      <c r="B290" s="1" t="n">
        <v>44838</v>
      </c>
      <c r="C290" s="1" t="n">
        <v>45911</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57510-2021</t>
        </is>
      </c>
      <c r="B291" s="1" t="n">
        <v>44483</v>
      </c>
      <c r="C291" s="1" t="n">
        <v>45911</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5788-2022</t>
        </is>
      </c>
      <c r="B292" s="1" t="n">
        <v>44596.54990740741</v>
      </c>
      <c r="C292" s="1" t="n">
        <v>45911</v>
      </c>
      <c r="D292" t="inlineStr">
        <is>
          <t>SÖDERMANLANDS LÄN</t>
        </is>
      </c>
      <c r="E292" t="inlineStr">
        <is>
          <t>KATRINEHOLM</t>
        </is>
      </c>
      <c r="G292" t="n">
        <v>4.1</v>
      </c>
      <c r="H292" t="n">
        <v>0</v>
      </c>
      <c r="I292" t="n">
        <v>0</v>
      </c>
      <c r="J292" t="n">
        <v>0</v>
      </c>
      <c r="K292" t="n">
        <v>0</v>
      </c>
      <c r="L292" t="n">
        <v>0</v>
      </c>
      <c r="M292" t="n">
        <v>0</v>
      </c>
      <c r="N292" t="n">
        <v>0</v>
      </c>
      <c r="O292" t="n">
        <v>0</v>
      </c>
      <c r="P292" t="n">
        <v>0</v>
      </c>
      <c r="Q292" t="n">
        <v>0</v>
      </c>
      <c r="R292" s="2" t="inlineStr"/>
    </row>
    <row r="293" ht="15" customHeight="1">
      <c r="A293" t="inlineStr">
        <is>
          <t>A 20803-2024</t>
        </is>
      </c>
      <c r="B293" s="1" t="n">
        <v>45438</v>
      </c>
      <c r="C293" s="1" t="n">
        <v>45911</v>
      </c>
      <c r="D293" t="inlineStr">
        <is>
          <t>SÖDERMANLANDS LÄN</t>
        </is>
      </c>
      <c r="E293" t="inlineStr">
        <is>
          <t>KATRINEHOLM</t>
        </is>
      </c>
      <c r="G293" t="n">
        <v>1.5</v>
      </c>
      <c r="H293" t="n">
        <v>0</v>
      </c>
      <c r="I293" t="n">
        <v>0</v>
      </c>
      <c r="J293" t="n">
        <v>0</v>
      </c>
      <c r="K293" t="n">
        <v>0</v>
      </c>
      <c r="L293" t="n">
        <v>0</v>
      </c>
      <c r="M293" t="n">
        <v>0</v>
      </c>
      <c r="N293" t="n">
        <v>0</v>
      </c>
      <c r="O293" t="n">
        <v>0</v>
      </c>
      <c r="P293" t="n">
        <v>0</v>
      </c>
      <c r="Q293" t="n">
        <v>0</v>
      </c>
      <c r="R293" s="2" t="inlineStr"/>
    </row>
    <row r="294" ht="15" customHeight="1">
      <c r="A294" t="inlineStr">
        <is>
          <t>A 5795-2022</t>
        </is>
      </c>
      <c r="B294" s="1" t="n">
        <v>44596</v>
      </c>
      <c r="C294" s="1" t="n">
        <v>45911</v>
      </c>
      <c r="D294" t="inlineStr">
        <is>
          <t>SÖDERMANLANDS LÄN</t>
        </is>
      </c>
      <c r="E294" t="inlineStr">
        <is>
          <t>KATRINEHOLM</t>
        </is>
      </c>
      <c r="G294" t="n">
        <v>8.1</v>
      </c>
      <c r="H294" t="n">
        <v>0</v>
      </c>
      <c r="I294" t="n">
        <v>0</v>
      </c>
      <c r="J294" t="n">
        <v>0</v>
      </c>
      <c r="K294" t="n">
        <v>0</v>
      </c>
      <c r="L294" t="n">
        <v>0</v>
      </c>
      <c r="M294" t="n">
        <v>0</v>
      </c>
      <c r="N294" t="n">
        <v>0</v>
      </c>
      <c r="O294" t="n">
        <v>0</v>
      </c>
      <c r="P294" t="n">
        <v>0</v>
      </c>
      <c r="Q294" t="n">
        <v>0</v>
      </c>
      <c r="R294" s="2" t="inlineStr"/>
    </row>
    <row r="295" ht="15" customHeight="1">
      <c r="A295" t="inlineStr">
        <is>
          <t>A 24566-2025</t>
        </is>
      </c>
      <c r="B295" s="1" t="n">
        <v>45798.46452546296</v>
      </c>
      <c r="C295" s="1" t="n">
        <v>45911</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24605-2025</t>
        </is>
      </c>
      <c r="B296" s="1" t="n">
        <v>45798.57403935185</v>
      </c>
      <c r="C296" s="1" t="n">
        <v>45911</v>
      </c>
      <c r="D296" t="inlineStr">
        <is>
          <t>SÖDERMANLANDS LÄN</t>
        </is>
      </c>
      <c r="E296" t="inlineStr">
        <is>
          <t>KATRINEHOLM</t>
        </is>
      </c>
      <c r="G296" t="n">
        <v>7</v>
      </c>
      <c r="H296" t="n">
        <v>0</v>
      </c>
      <c r="I296" t="n">
        <v>0</v>
      </c>
      <c r="J296" t="n">
        <v>0</v>
      </c>
      <c r="K296" t="n">
        <v>0</v>
      </c>
      <c r="L296" t="n">
        <v>0</v>
      </c>
      <c r="M296" t="n">
        <v>0</v>
      </c>
      <c r="N296" t="n">
        <v>0</v>
      </c>
      <c r="O296" t="n">
        <v>0</v>
      </c>
      <c r="P296" t="n">
        <v>0</v>
      </c>
      <c r="Q296" t="n">
        <v>0</v>
      </c>
      <c r="R296" s="2" t="inlineStr"/>
    </row>
    <row r="297" ht="15" customHeight="1">
      <c r="A297" t="inlineStr">
        <is>
          <t>A 56086-2023</t>
        </is>
      </c>
      <c r="B297" s="1" t="n">
        <v>45240</v>
      </c>
      <c r="C297" s="1" t="n">
        <v>45911</v>
      </c>
      <c r="D297" t="inlineStr">
        <is>
          <t>SÖDERMANLANDS LÄN</t>
        </is>
      </c>
      <c r="E297" t="inlineStr">
        <is>
          <t>KATRINEHOLM</t>
        </is>
      </c>
      <c r="F297" t="inlineStr">
        <is>
          <t>Kyrkan</t>
        </is>
      </c>
      <c r="G297" t="n">
        <v>17</v>
      </c>
      <c r="H297" t="n">
        <v>0</v>
      </c>
      <c r="I297" t="n">
        <v>0</v>
      </c>
      <c r="J297" t="n">
        <v>0</v>
      </c>
      <c r="K297" t="n">
        <v>0</v>
      </c>
      <c r="L297" t="n">
        <v>0</v>
      </c>
      <c r="M297" t="n">
        <v>0</v>
      </c>
      <c r="N297" t="n">
        <v>0</v>
      </c>
      <c r="O297" t="n">
        <v>0</v>
      </c>
      <c r="P297" t="n">
        <v>0</v>
      </c>
      <c r="Q297" t="n">
        <v>0</v>
      </c>
      <c r="R297" s="2" t="inlineStr"/>
    </row>
    <row r="298" ht="15" customHeight="1">
      <c r="A298" t="inlineStr">
        <is>
          <t>A 55732-2023</t>
        </is>
      </c>
      <c r="B298" s="1" t="n">
        <v>45239</v>
      </c>
      <c r="C298" s="1" t="n">
        <v>45911</v>
      </c>
      <c r="D298" t="inlineStr">
        <is>
          <t>SÖDERMANLANDS LÄN</t>
        </is>
      </c>
      <c r="E298" t="inlineStr">
        <is>
          <t>KATRINEHOLM</t>
        </is>
      </c>
      <c r="G298" t="n">
        <v>0.9</v>
      </c>
      <c r="H298" t="n">
        <v>0</v>
      </c>
      <c r="I298" t="n">
        <v>0</v>
      </c>
      <c r="J298" t="n">
        <v>0</v>
      </c>
      <c r="K298" t="n">
        <v>0</v>
      </c>
      <c r="L298" t="n">
        <v>0</v>
      </c>
      <c r="M298" t="n">
        <v>0</v>
      </c>
      <c r="N298" t="n">
        <v>0</v>
      </c>
      <c r="O298" t="n">
        <v>0</v>
      </c>
      <c r="P298" t="n">
        <v>0</v>
      </c>
      <c r="Q298" t="n">
        <v>0</v>
      </c>
      <c r="R298" s="2" t="inlineStr"/>
    </row>
    <row r="299" ht="15" customHeight="1">
      <c r="A299" t="inlineStr">
        <is>
          <t>A 61423-2024</t>
        </is>
      </c>
      <c r="B299" s="1" t="n">
        <v>45646.45209490741</v>
      </c>
      <c r="C299" s="1" t="n">
        <v>45911</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41727-2024</t>
        </is>
      </c>
      <c r="B300" s="1" t="n">
        <v>45560</v>
      </c>
      <c r="C300" s="1" t="n">
        <v>45911</v>
      </c>
      <c r="D300" t="inlineStr">
        <is>
          <t>SÖDERMANLANDS LÄN</t>
        </is>
      </c>
      <c r="E300" t="inlineStr">
        <is>
          <t>KATRINEHOLM</t>
        </is>
      </c>
      <c r="G300" t="n">
        <v>3.9</v>
      </c>
      <c r="H300" t="n">
        <v>0</v>
      </c>
      <c r="I300" t="n">
        <v>0</v>
      </c>
      <c r="J300" t="n">
        <v>0</v>
      </c>
      <c r="K300" t="n">
        <v>0</v>
      </c>
      <c r="L300" t="n">
        <v>0</v>
      </c>
      <c r="M300" t="n">
        <v>0</v>
      </c>
      <c r="N300" t="n">
        <v>0</v>
      </c>
      <c r="O300" t="n">
        <v>0</v>
      </c>
      <c r="P300" t="n">
        <v>0</v>
      </c>
      <c r="Q300" t="n">
        <v>0</v>
      </c>
      <c r="R300" s="2" t="inlineStr"/>
    </row>
    <row r="301" ht="15" customHeight="1">
      <c r="A301" t="inlineStr">
        <is>
          <t>A 3075-2022</t>
        </is>
      </c>
      <c r="B301" s="1" t="n">
        <v>44582</v>
      </c>
      <c r="C301" s="1" t="n">
        <v>45911</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24717-2025</t>
        </is>
      </c>
      <c r="B302" s="1" t="n">
        <v>45799.27168981481</v>
      </c>
      <c r="C302" s="1" t="n">
        <v>45911</v>
      </c>
      <c r="D302" t="inlineStr">
        <is>
          <t>SÖDERMANLANDS LÄN</t>
        </is>
      </c>
      <c r="E302" t="inlineStr">
        <is>
          <t>KATRINEHOLM</t>
        </is>
      </c>
      <c r="G302" t="n">
        <v>24.5</v>
      </c>
      <c r="H302" t="n">
        <v>0</v>
      </c>
      <c r="I302" t="n">
        <v>0</v>
      </c>
      <c r="J302" t="n">
        <v>0</v>
      </c>
      <c r="K302" t="n">
        <v>0</v>
      </c>
      <c r="L302" t="n">
        <v>0</v>
      </c>
      <c r="M302" t="n">
        <v>0</v>
      </c>
      <c r="N302" t="n">
        <v>0</v>
      </c>
      <c r="O302" t="n">
        <v>0</v>
      </c>
      <c r="P302" t="n">
        <v>0</v>
      </c>
      <c r="Q302" t="n">
        <v>0</v>
      </c>
      <c r="R302" s="2" t="inlineStr"/>
    </row>
    <row r="303" ht="15" customHeight="1">
      <c r="A303" t="inlineStr">
        <is>
          <t>A 53999-2023</t>
        </is>
      </c>
      <c r="B303" s="1" t="n">
        <v>45231</v>
      </c>
      <c r="C303" s="1" t="n">
        <v>45911</v>
      </c>
      <c r="D303" t="inlineStr">
        <is>
          <t>SÖDERMANLANDS LÄN</t>
        </is>
      </c>
      <c r="E303" t="inlineStr">
        <is>
          <t>KATRINEHOLM</t>
        </is>
      </c>
      <c r="G303" t="n">
        <v>5.4</v>
      </c>
      <c r="H303" t="n">
        <v>0</v>
      </c>
      <c r="I303" t="n">
        <v>0</v>
      </c>
      <c r="J303" t="n">
        <v>0</v>
      </c>
      <c r="K303" t="n">
        <v>0</v>
      </c>
      <c r="L303" t="n">
        <v>0</v>
      </c>
      <c r="M303" t="n">
        <v>0</v>
      </c>
      <c r="N303" t="n">
        <v>0</v>
      </c>
      <c r="O303" t="n">
        <v>0</v>
      </c>
      <c r="P303" t="n">
        <v>0</v>
      </c>
      <c r="Q303" t="n">
        <v>0</v>
      </c>
      <c r="R303" s="2" t="inlineStr"/>
    </row>
    <row r="304" ht="15" customHeight="1">
      <c r="A304" t="inlineStr">
        <is>
          <t>A 24719-2025</t>
        </is>
      </c>
      <c r="B304" s="1" t="n">
        <v>45799</v>
      </c>
      <c r="C304" s="1" t="n">
        <v>45911</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40159-2023</t>
        </is>
      </c>
      <c r="B305" s="1" t="n">
        <v>45169</v>
      </c>
      <c r="C305" s="1" t="n">
        <v>45911</v>
      </c>
      <c r="D305" t="inlineStr">
        <is>
          <t>SÖDERMANLANDS LÄN</t>
        </is>
      </c>
      <c r="E305" t="inlineStr">
        <is>
          <t>KATRINEHOLM</t>
        </is>
      </c>
      <c r="F305" t="inlineStr">
        <is>
          <t>Övriga Aktiebolag</t>
        </is>
      </c>
      <c r="G305" t="n">
        <v>1.1</v>
      </c>
      <c r="H305" t="n">
        <v>0</v>
      </c>
      <c r="I305" t="n">
        <v>0</v>
      </c>
      <c r="J305" t="n">
        <v>0</v>
      </c>
      <c r="K305" t="n">
        <v>0</v>
      </c>
      <c r="L305" t="n">
        <v>0</v>
      </c>
      <c r="M305" t="n">
        <v>0</v>
      </c>
      <c r="N305" t="n">
        <v>0</v>
      </c>
      <c r="O305" t="n">
        <v>0</v>
      </c>
      <c r="P305" t="n">
        <v>0</v>
      </c>
      <c r="Q305" t="n">
        <v>0</v>
      </c>
      <c r="R305" s="2" t="inlineStr"/>
    </row>
    <row r="306" ht="15" customHeight="1">
      <c r="A306" t="inlineStr">
        <is>
          <t>A 59887-2020</t>
        </is>
      </c>
      <c r="B306" s="1" t="n">
        <v>44151</v>
      </c>
      <c r="C306" s="1" t="n">
        <v>45911</v>
      </c>
      <c r="D306" t="inlineStr">
        <is>
          <t>SÖDERMANLANDS LÄN</t>
        </is>
      </c>
      <c r="E306" t="inlineStr">
        <is>
          <t>KATRINEHOLM</t>
        </is>
      </c>
      <c r="G306" t="n">
        <v>3.1</v>
      </c>
      <c r="H306" t="n">
        <v>0</v>
      </c>
      <c r="I306" t="n">
        <v>0</v>
      </c>
      <c r="J306" t="n">
        <v>0</v>
      </c>
      <c r="K306" t="n">
        <v>0</v>
      </c>
      <c r="L306" t="n">
        <v>0</v>
      </c>
      <c r="M306" t="n">
        <v>0</v>
      </c>
      <c r="N306" t="n">
        <v>0</v>
      </c>
      <c r="O306" t="n">
        <v>0</v>
      </c>
      <c r="P306" t="n">
        <v>0</v>
      </c>
      <c r="Q306" t="n">
        <v>0</v>
      </c>
      <c r="R306" s="2" t="inlineStr"/>
    </row>
    <row r="307" ht="15" customHeight="1">
      <c r="A307" t="inlineStr">
        <is>
          <t>A 28675-2024</t>
        </is>
      </c>
      <c r="B307" s="1" t="n">
        <v>45478</v>
      </c>
      <c r="C307" s="1" t="n">
        <v>45911</v>
      </c>
      <c r="D307" t="inlineStr">
        <is>
          <t>SÖDERMANLANDS LÄN</t>
        </is>
      </c>
      <c r="E307" t="inlineStr">
        <is>
          <t>KATRINEHOLM</t>
        </is>
      </c>
      <c r="F307" t="inlineStr">
        <is>
          <t>Övriga Aktiebolag</t>
        </is>
      </c>
      <c r="G307" t="n">
        <v>3.5</v>
      </c>
      <c r="H307" t="n">
        <v>0</v>
      </c>
      <c r="I307" t="n">
        <v>0</v>
      </c>
      <c r="J307" t="n">
        <v>0</v>
      </c>
      <c r="K307" t="n">
        <v>0</v>
      </c>
      <c r="L307" t="n">
        <v>0</v>
      </c>
      <c r="M307" t="n">
        <v>0</v>
      </c>
      <c r="N307" t="n">
        <v>0</v>
      </c>
      <c r="O307" t="n">
        <v>0</v>
      </c>
      <c r="P307" t="n">
        <v>0</v>
      </c>
      <c r="Q307" t="n">
        <v>0</v>
      </c>
      <c r="R307" s="2" t="inlineStr"/>
    </row>
    <row r="308" ht="15" customHeight="1">
      <c r="A308" t="inlineStr">
        <is>
          <t>A 27875-2024</t>
        </is>
      </c>
      <c r="B308" s="1" t="n">
        <v>45475</v>
      </c>
      <c r="C308" s="1" t="n">
        <v>45911</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27376-2024</t>
        </is>
      </c>
      <c r="B309" s="1" t="n">
        <v>45473.88313657408</v>
      </c>
      <c r="C309" s="1" t="n">
        <v>45911</v>
      </c>
      <c r="D309" t="inlineStr">
        <is>
          <t>SÖDERMANLANDS LÄN</t>
        </is>
      </c>
      <c r="E309" t="inlineStr">
        <is>
          <t>KATRINEHOLM</t>
        </is>
      </c>
      <c r="F309" t="inlineStr">
        <is>
          <t>Kommuner</t>
        </is>
      </c>
      <c r="G309" t="n">
        <v>2.8</v>
      </c>
      <c r="H309" t="n">
        <v>0</v>
      </c>
      <c r="I309" t="n">
        <v>0</v>
      </c>
      <c r="J309" t="n">
        <v>0</v>
      </c>
      <c r="K309" t="n">
        <v>0</v>
      </c>
      <c r="L309" t="n">
        <v>0</v>
      </c>
      <c r="M309" t="n">
        <v>0</v>
      </c>
      <c r="N309" t="n">
        <v>0</v>
      </c>
      <c r="O309" t="n">
        <v>0</v>
      </c>
      <c r="P309" t="n">
        <v>0</v>
      </c>
      <c r="Q309" t="n">
        <v>0</v>
      </c>
      <c r="R309" s="2" t="inlineStr"/>
    </row>
    <row r="310" ht="15" customHeight="1">
      <c r="A310" t="inlineStr">
        <is>
          <t>A 73409-2021</t>
        </is>
      </c>
      <c r="B310" s="1" t="n">
        <v>44551</v>
      </c>
      <c r="C310" s="1" t="n">
        <v>45911</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73415-2021</t>
        </is>
      </c>
      <c r="B311" s="1" t="n">
        <v>44551</v>
      </c>
      <c r="C311" s="1" t="n">
        <v>45911</v>
      </c>
      <c r="D311" t="inlineStr">
        <is>
          <t>SÖDERMANLANDS LÄN</t>
        </is>
      </c>
      <c r="E311" t="inlineStr">
        <is>
          <t>KATRINEHOLM</t>
        </is>
      </c>
      <c r="G311" t="n">
        <v>3.2</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45911</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28995-2024</t>
        </is>
      </c>
      <c r="B313" s="1" t="n">
        <v>45481.49899305555</v>
      </c>
      <c r="C313" s="1" t="n">
        <v>45911</v>
      </c>
      <c r="D313" t="inlineStr">
        <is>
          <t>SÖDERMANLANDS LÄN</t>
        </is>
      </c>
      <c r="E313" t="inlineStr">
        <is>
          <t>KATRINEHOLM</t>
        </is>
      </c>
      <c r="G313" t="n">
        <v>0.9</v>
      </c>
      <c r="H313" t="n">
        <v>0</v>
      </c>
      <c r="I313" t="n">
        <v>0</v>
      </c>
      <c r="J313" t="n">
        <v>0</v>
      </c>
      <c r="K313" t="n">
        <v>0</v>
      </c>
      <c r="L313" t="n">
        <v>0</v>
      </c>
      <c r="M313" t="n">
        <v>0</v>
      </c>
      <c r="N313" t="n">
        <v>0</v>
      </c>
      <c r="O313" t="n">
        <v>0</v>
      </c>
      <c r="P313" t="n">
        <v>0</v>
      </c>
      <c r="Q313" t="n">
        <v>0</v>
      </c>
      <c r="R313" s="2" t="inlineStr"/>
    </row>
    <row r="314" ht="15" customHeight="1">
      <c r="A314" t="inlineStr">
        <is>
          <t>A 44989-2022</t>
        </is>
      </c>
      <c r="B314" s="1" t="n">
        <v>44840</v>
      </c>
      <c r="C314" s="1" t="n">
        <v>45911</v>
      </c>
      <c r="D314" t="inlineStr">
        <is>
          <t>SÖDERMANLANDS LÄN</t>
        </is>
      </c>
      <c r="E314" t="inlineStr">
        <is>
          <t>KATRINEHOLM</t>
        </is>
      </c>
      <c r="G314" t="n">
        <v>6</v>
      </c>
      <c r="H314" t="n">
        <v>0</v>
      </c>
      <c r="I314" t="n">
        <v>0</v>
      </c>
      <c r="J314" t="n">
        <v>0</v>
      </c>
      <c r="K314" t="n">
        <v>0</v>
      </c>
      <c r="L314" t="n">
        <v>0</v>
      </c>
      <c r="M314" t="n">
        <v>0</v>
      </c>
      <c r="N314" t="n">
        <v>0</v>
      </c>
      <c r="O314" t="n">
        <v>0</v>
      </c>
      <c r="P314" t="n">
        <v>0</v>
      </c>
      <c r="Q314" t="n">
        <v>0</v>
      </c>
      <c r="R314" s="2" t="inlineStr"/>
    </row>
    <row r="315" ht="15" customHeight="1">
      <c r="A315" t="inlineStr">
        <is>
          <t>A 48259-2022</t>
        </is>
      </c>
      <c r="B315" s="1" t="n">
        <v>44858</v>
      </c>
      <c r="C315" s="1" t="n">
        <v>45911</v>
      </c>
      <c r="D315" t="inlineStr">
        <is>
          <t>SÖDERMANLANDS LÄN</t>
        </is>
      </c>
      <c r="E315" t="inlineStr">
        <is>
          <t>KATRINEHOLM</t>
        </is>
      </c>
      <c r="G315" t="n">
        <v>3.5</v>
      </c>
      <c r="H315" t="n">
        <v>0</v>
      </c>
      <c r="I315" t="n">
        <v>0</v>
      </c>
      <c r="J315" t="n">
        <v>0</v>
      </c>
      <c r="K315" t="n">
        <v>0</v>
      </c>
      <c r="L315" t="n">
        <v>0</v>
      </c>
      <c r="M315" t="n">
        <v>0</v>
      </c>
      <c r="N315" t="n">
        <v>0</v>
      </c>
      <c r="O315" t="n">
        <v>0</v>
      </c>
      <c r="P315" t="n">
        <v>0</v>
      </c>
      <c r="Q315" t="n">
        <v>0</v>
      </c>
      <c r="R315" s="2" t="inlineStr"/>
    </row>
    <row r="316" ht="15" customHeight="1">
      <c r="A316" t="inlineStr">
        <is>
          <t>A 28992-2024</t>
        </is>
      </c>
      <c r="B316" s="1" t="n">
        <v>45481.49289351852</v>
      </c>
      <c r="C316" s="1" t="n">
        <v>45911</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25786-2025</t>
        </is>
      </c>
      <c r="B317" s="1" t="n">
        <v>45804.37456018518</v>
      </c>
      <c r="C317" s="1" t="n">
        <v>45911</v>
      </c>
      <c r="D317" t="inlineStr">
        <is>
          <t>SÖDERMANLANDS LÄN</t>
        </is>
      </c>
      <c r="E317" t="inlineStr">
        <is>
          <t>KATRINEHOLM</t>
        </is>
      </c>
      <c r="F317" t="inlineStr">
        <is>
          <t>Holmen skog AB</t>
        </is>
      </c>
      <c r="G317" t="n">
        <v>1.3</v>
      </c>
      <c r="H317" t="n">
        <v>0</v>
      </c>
      <c r="I317" t="n">
        <v>0</v>
      </c>
      <c r="J317" t="n">
        <v>0</v>
      </c>
      <c r="K317" t="n">
        <v>0</v>
      </c>
      <c r="L317" t="n">
        <v>0</v>
      </c>
      <c r="M317" t="n">
        <v>0</v>
      </c>
      <c r="N317" t="n">
        <v>0</v>
      </c>
      <c r="O317" t="n">
        <v>0</v>
      </c>
      <c r="P317" t="n">
        <v>0</v>
      </c>
      <c r="Q317" t="n">
        <v>0</v>
      </c>
      <c r="R317" s="2" t="inlineStr"/>
    </row>
    <row r="318" ht="15" customHeight="1">
      <c r="A318" t="inlineStr">
        <is>
          <t>A 7322-2023</t>
        </is>
      </c>
      <c r="B318" s="1" t="n">
        <v>44970</v>
      </c>
      <c r="C318" s="1" t="n">
        <v>45911</v>
      </c>
      <c r="D318" t="inlineStr">
        <is>
          <t>SÖDERMANLANDS LÄN</t>
        </is>
      </c>
      <c r="E318" t="inlineStr">
        <is>
          <t>KATRINEHOLM</t>
        </is>
      </c>
      <c r="G318" t="n">
        <v>2.1</v>
      </c>
      <c r="H318" t="n">
        <v>0</v>
      </c>
      <c r="I318" t="n">
        <v>0</v>
      </c>
      <c r="J318" t="n">
        <v>0</v>
      </c>
      <c r="K318" t="n">
        <v>0</v>
      </c>
      <c r="L318" t="n">
        <v>0</v>
      </c>
      <c r="M318" t="n">
        <v>0</v>
      </c>
      <c r="N318" t="n">
        <v>0</v>
      </c>
      <c r="O318" t="n">
        <v>0</v>
      </c>
      <c r="P318" t="n">
        <v>0</v>
      </c>
      <c r="Q318" t="n">
        <v>0</v>
      </c>
      <c r="R318" s="2" t="inlineStr"/>
    </row>
    <row r="319" ht="15" customHeight="1">
      <c r="A319" t="inlineStr">
        <is>
          <t>A 2093-2025</t>
        </is>
      </c>
      <c r="B319" s="1" t="n">
        <v>45672</v>
      </c>
      <c r="C319" s="1" t="n">
        <v>45911</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26684-2025</t>
        </is>
      </c>
      <c r="B320" s="1" t="n">
        <v>45810</v>
      </c>
      <c r="C320" s="1" t="n">
        <v>45911</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8087-2022</t>
        </is>
      </c>
      <c r="B321" s="1" t="n">
        <v>44609.53502314815</v>
      </c>
      <c r="C321" s="1" t="n">
        <v>45911</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50935-2023</t>
        </is>
      </c>
      <c r="B322" s="1" t="n">
        <v>45211</v>
      </c>
      <c r="C322" s="1" t="n">
        <v>45911</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26154-2025</t>
        </is>
      </c>
      <c r="B323" s="1" t="n">
        <v>45805.43341435185</v>
      </c>
      <c r="C323" s="1" t="n">
        <v>45911</v>
      </c>
      <c r="D323" t="inlineStr">
        <is>
          <t>SÖDERMANLANDS LÄN</t>
        </is>
      </c>
      <c r="E323" t="inlineStr">
        <is>
          <t>KATRINEHOLM</t>
        </is>
      </c>
      <c r="G323" t="n">
        <v>4.5</v>
      </c>
      <c r="H323" t="n">
        <v>0</v>
      </c>
      <c r="I323" t="n">
        <v>0</v>
      </c>
      <c r="J323" t="n">
        <v>0</v>
      </c>
      <c r="K323" t="n">
        <v>0</v>
      </c>
      <c r="L323" t="n">
        <v>0</v>
      </c>
      <c r="M323" t="n">
        <v>0</v>
      </c>
      <c r="N323" t="n">
        <v>0</v>
      </c>
      <c r="O323" t="n">
        <v>0</v>
      </c>
      <c r="P323" t="n">
        <v>0</v>
      </c>
      <c r="Q323" t="n">
        <v>0</v>
      </c>
      <c r="R323" s="2" t="inlineStr"/>
    </row>
    <row r="324" ht="15" customHeight="1">
      <c r="A324" t="inlineStr">
        <is>
          <t>A 27886-2024</t>
        </is>
      </c>
      <c r="B324" s="1" t="n">
        <v>45475</v>
      </c>
      <c r="C324" s="1" t="n">
        <v>45911</v>
      </c>
      <c r="D324" t="inlineStr">
        <is>
          <t>SÖDERMANLANDS LÄN</t>
        </is>
      </c>
      <c r="E324" t="inlineStr">
        <is>
          <t>KATRINEHOLM</t>
        </is>
      </c>
      <c r="G324" t="n">
        <v>10.3</v>
      </c>
      <c r="H324" t="n">
        <v>0</v>
      </c>
      <c r="I324" t="n">
        <v>0</v>
      </c>
      <c r="J324" t="n">
        <v>0</v>
      </c>
      <c r="K324" t="n">
        <v>0</v>
      </c>
      <c r="L324" t="n">
        <v>0</v>
      </c>
      <c r="M324" t="n">
        <v>0</v>
      </c>
      <c r="N324" t="n">
        <v>0</v>
      </c>
      <c r="O324" t="n">
        <v>0</v>
      </c>
      <c r="P324" t="n">
        <v>0</v>
      </c>
      <c r="Q324" t="n">
        <v>0</v>
      </c>
      <c r="R324" s="2" t="inlineStr"/>
    </row>
    <row r="325" ht="15" customHeight="1">
      <c r="A325" t="inlineStr">
        <is>
          <t>A 48834-2020</t>
        </is>
      </c>
      <c r="B325" s="1" t="n">
        <v>44099</v>
      </c>
      <c r="C325" s="1" t="n">
        <v>45911</v>
      </c>
      <c r="D325" t="inlineStr">
        <is>
          <t>SÖDERMANLANDS LÄN</t>
        </is>
      </c>
      <c r="E325" t="inlineStr">
        <is>
          <t>KATRINEHOLM</t>
        </is>
      </c>
      <c r="G325" t="n">
        <v>12.9</v>
      </c>
      <c r="H325" t="n">
        <v>0</v>
      </c>
      <c r="I325" t="n">
        <v>0</v>
      </c>
      <c r="J325" t="n">
        <v>0</v>
      </c>
      <c r="K325" t="n">
        <v>0</v>
      </c>
      <c r="L325" t="n">
        <v>0</v>
      </c>
      <c r="M325" t="n">
        <v>0</v>
      </c>
      <c r="N325" t="n">
        <v>0</v>
      </c>
      <c r="O325" t="n">
        <v>0</v>
      </c>
      <c r="P325" t="n">
        <v>0</v>
      </c>
      <c r="Q325" t="n">
        <v>0</v>
      </c>
      <c r="R325" s="2" t="inlineStr"/>
    </row>
    <row r="326" ht="15" customHeight="1">
      <c r="A326" t="inlineStr">
        <is>
          <t>A 6298-2024</t>
        </is>
      </c>
      <c r="B326" s="1" t="n">
        <v>45338.34245370371</v>
      </c>
      <c r="C326" s="1" t="n">
        <v>45911</v>
      </c>
      <c r="D326" t="inlineStr">
        <is>
          <t>SÖDERMANLANDS LÄN</t>
        </is>
      </c>
      <c r="E326" t="inlineStr">
        <is>
          <t>KATRINEHOLM</t>
        </is>
      </c>
      <c r="G326" t="n">
        <v>1.4</v>
      </c>
      <c r="H326" t="n">
        <v>0</v>
      </c>
      <c r="I326" t="n">
        <v>0</v>
      </c>
      <c r="J326" t="n">
        <v>0</v>
      </c>
      <c r="K326" t="n">
        <v>0</v>
      </c>
      <c r="L326" t="n">
        <v>0</v>
      </c>
      <c r="M326" t="n">
        <v>0</v>
      </c>
      <c r="N326" t="n">
        <v>0</v>
      </c>
      <c r="O326" t="n">
        <v>0</v>
      </c>
      <c r="P326" t="n">
        <v>0</v>
      </c>
      <c r="Q326" t="n">
        <v>0</v>
      </c>
      <c r="R326" s="2" t="inlineStr"/>
    </row>
    <row r="327" ht="15" customHeight="1">
      <c r="A327" t="inlineStr">
        <is>
          <t>A 26156-2025</t>
        </is>
      </c>
      <c r="B327" s="1" t="n">
        <v>45805.43864583333</v>
      </c>
      <c r="C327" s="1" t="n">
        <v>45911</v>
      </c>
      <c r="D327" t="inlineStr">
        <is>
          <t>SÖDERMANLANDS LÄN</t>
        </is>
      </c>
      <c r="E327" t="inlineStr">
        <is>
          <t>KATRINEHOLM</t>
        </is>
      </c>
      <c r="G327" t="n">
        <v>4.1</v>
      </c>
      <c r="H327" t="n">
        <v>0</v>
      </c>
      <c r="I327" t="n">
        <v>0</v>
      </c>
      <c r="J327" t="n">
        <v>0</v>
      </c>
      <c r="K327" t="n">
        <v>0</v>
      </c>
      <c r="L327" t="n">
        <v>0</v>
      </c>
      <c r="M327" t="n">
        <v>0</v>
      </c>
      <c r="N327" t="n">
        <v>0</v>
      </c>
      <c r="O327" t="n">
        <v>0</v>
      </c>
      <c r="P327" t="n">
        <v>0</v>
      </c>
      <c r="Q327" t="n">
        <v>0</v>
      </c>
      <c r="R327" s="2" t="inlineStr"/>
    </row>
    <row r="328" ht="15" customHeight="1">
      <c r="A328" t="inlineStr">
        <is>
          <t>A 33001-2024</t>
        </is>
      </c>
      <c r="B328" s="1" t="n">
        <v>45517</v>
      </c>
      <c r="C328" s="1" t="n">
        <v>45911</v>
      </c>
      <c r="D328" t="inlineStr">
        <is>
          <t>SÖDERMANLANDS LÄN</t>
        </is>
      </c>
      <c r="E328" t="inlineStr">
        <is>
          <t>KATRINEHOLM</t>
        </is>
      </c>
      <c r="G328" t="n">
        <v>1.5</v>
      </c>
      <c r="H328" t="n">
        <v>0</v>
      </c>
      <c r="I328" t="n">
        <v>0</v>
      </c>
      <c r="J328" t="n">
        <v>0</v>
      </c>
      <c r="K328" t="n">
        <v>0</v>
      </c>
      <c r="L328" t="n">
        <v>0</v>
      </c>
      <c r="M328" t="n">
        <v>0</v>
      </c>
      <c r="N328" t="n">
        <v>0</v>
      </c>
      <c r="O328" t="n">
        <v>0</v>
      </c>
      <c r="P328" t="n">
        <v>0</v>
      </c>
      <c r="Q328" t="n">
        <v>0</v>
      </c>
      <c r="R328" s="2" t="inlineStr"/>
    </row>
    <row r="329" ht="15" customHeight="1">
      <c r="A329" t="inlineStr">
        <is>
          <t>A 25363-2023</t>
        </is>
      </c>
      <c r="B329" s="1" t="n">
        <v>45088.83840277778</v>
      </c>
      <c r="C329" s="1" t="n">
        <v>45911</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6722-2022</t>
        </is>
      </c>
      <c r="B330" s="1" t="n">
        <v>44602</v>
      </c>
      <c r="C330" s="1" t="n">
        <v>45911</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6763-2022</t>
        </is>
      </c>
      <c r="B331" s="1" t="n">
        <v>44602</v>
      </c>
      <c r="C331" s="1" t="n">
        <v>45911</v>
      </c>
      <c r="D331" t="inlineStr">
        <is>
          <t>SÖDERMANLANDS LÄN</t>
        </is>
      </c>
      <c r="E331" t="inlineStr">
        <is>
          <t>KATRINEHOLM</t>
        </is>
      </c>
      <c r="G331" t="n">
        <v>6.7</v>
      </c>
      <c r="H331" t="n">
        <v>0</v>
      </c>
      <c r="I331" t="n">
        <v>0</v>
      </c>
      <c r="J331" t="n">
        <v>0</v>
      </c>
      <c r="K331" t="n">
        <v>0</v>
      </c>
      <c r="L331" t="n">
        <v>0</v>
      </c>
      <c r="M331" t="n">
        <v>0</v>
      </c>
      <c r="N331" t="n">
        <v>0</v>
      </c>
      <c r="O331" t="n">
        <v>0</v>
      </c>
      <c r="P331" t="n">
        <v>0</v>
      </c>
      <c r="Q331" t="n">
        <v>0</v>
      </c>
      <c r="R331" s="2" t="inlineStr"/>
    </row>
    <row r="332" ht="15" customHeight="1">
      <c r="A332" t="inlineStr">
        <is>
          <t>A 12227-2025</t>
        </is>
      </c>
      <c r="B332" s="1" t="n">
        <v>45729.56836805555</v>
      </c>
      <c r="C332" s="1" t="n">
        <v>45911</v>
      </c>
      <c r="D332" t="inlineStr">
        <is>
          <t>SÖDERMANLANDS LÄN</t>
        </is>
      </c>
      <c r="E332" t="inlineStr">
        <is>
          <t>KATRINEHOLM</t>
        </is>
      </c>
      <c r="G332" t="n">
        <v>7</v>
      </c>
      <c r="H332" t="n">
        <v>0</v>
      </c>
      <c r="I332" t="n">
        <v>0</v>
      </c>
      <c r="J332" t="n">
        <v>0</v>
      </c>
      <c r="K332" t="n">
        <v>0</v>
      </c>
      <c r="L332" t="n">
        <v>0</v>
      </c>
      <c r="M332" t="n">
        <v>0</v>
      </c>
      <c r="N332" t="n">
        <v>0</v>
      </c>
      <c r="O332" t="n">
        <v>0</v>
      </c>
      <c r="P332" t="n">
        <v>0</v>
      </c>
      <c r="Q332" t="n">
        <v>0</v>
      </c>
      <c r="R332" s="2" t="inlineStr"/>
    </row>
    <row r="333" ht="15" customHeight="1">
      <c r="A333" t="inlineStr">
        <is>
          <t>A 58175-2024</t>
        </is>
      </c>
      <c r="B333" s="1" t="n">
        <v>45632.46648148148</v>
      </c>
      <c r="C333" s="1" t="n">
        <v>45911</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5790-2022</t>
        </is>
      </c>
      <c r="B334" s="1" t="n">
        <v>44596.55368055555</v>
      </c>
      <c r="C334" s="1" t="n">
        <v>45911</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53715-2023</t>
        </is>
      </c>
      <c r="B335" s="1" t="n">
        <v>45230</v>
      </c>
      <c r="C335" s="1" t="n">
        <v>45911</v>
      </c>
      <c r="D335" t="inlineStr">
        <is>
          <t>SÖDERMANLANDS LÄN</t>
        </is>
      </c>
      <c r="E335" t="inlineStr">
        <is>
          <t>KATRINEHOLM</t>
        </is>
      </c>
      <c r="F335" t="inlineStr">
        <is>
          <t>Allmännings- och besparingsskogar</t>
        </is>
      </c>
      <c r="G335" t="n">
        <v>5.6</v>
      </c>
      <c r="H335" t="n">
        <v>0</v>
      </c>
      <c r="I335" t="n">
        <v>0</v>
      </c>
      <c r="J335" t="n">
        <v>0</v>
      </c>
      <c r="K335" t="n">
        <v>0</v>
      </c>
      <c r="L335" t="n">
        <v>0</v>
      </c>
      <c r="M335" t="n">
        <v>0</v>
      </c>
      <c r="N335" t="n">
        <v>0</v>
      </c>
      <c r="O335" t="n">
        <v>0</v>
      </c>
      <c r="P335" t="n">
        <v>0</v>
      </c>
      <c r="Q335" t="n">
        <v>0</v>
      </c>
      <c r="R335" s="2" t="inlineStr"/>
    </row>
    <row r="336" ht="15" customHeight="1">
      <c r="A336" t="inlineStr">
        <is>
          <t>A 14313-2024</t>
        </is>
      </c>
      <c r="B336" s="1" t="n">
        <v>45393</v>
      </c>
      <c r="C336" s="1" t="n">
        <v>45911</v>
      </c>
      <c r="D336" t="inlineStr">
        <is>
          <t>SÖDERMANLANDS LÄN</t>
        </is>
      </c>
      <c r="E336" t="inlineStr">
        <is>
          <t>KATRINEHOLM</t>
        </is>
      </c>
      <c r="G336" t="n">
        <v>3.1</v>
      </c>
      <c r="H336" t="n">
        <v>0</v>
      </c>
      <c r="I336" t="n">
        <v>0</v>
      </c>
      <c r="J336" t="n">
        <v>0</v>
      </c>
      <c r="K336" t="n">
        <v>0</v>
      </c>
      <c r="L336" t="n">
        <v>0</v>
      </c>
      <c r="M336" t="n">
        <v>0</v>
      </c>
      <c r="N336" t="n">
        <v>0</v>
      </c>
      <c r="O336" t="n">
        <v>0</v>
      </c>
      <c r="P336" t="n">
        <v>0</v>
      </c>
      <c r="Q336" t="n">
        <v>0</v>
      </c>
      <c r="R336" s="2" t="inlineStr"/>
    </row>
    <row r="337" ht="15" customHeight="1">
      <c r="A337" t="inlineStr">
        <is>
          <t>A 29397-2024</t>
        </is>
      </c>
      <c r="B337" s="1" t="n">
        <v>45483</v>
      </c>
      <c r="C337" s="1" t="n">
        <v>45911</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51218-2020</t>
        </is>
      </c>
      <c r="B338" s="1" t="n">
        <v>44112</v>
      </c>
      <c r="C338" s="1" t="n">
        <v>45911</v>
      </c>
      <c r="D338" t="inlineStr">
        <is>
          <t>SÖDERMANLANDS LÄN</t>
        </is>
      </c>
      <c r="E338" t="inlineStr">
        <is>
          <t>KATRINEHOLM</t>
        </is>
      </c>
      <c r="F338" t="inlineStr">
        <is>
          <t>Kommuner</t>
        </is>
      </c>
      <c r="G338" t="n">
        <v>1.5</v>
      </c>
      <c r="H338" t="n">
        <v>0</v>
      </c>
      <c r="I338" t="n">
        <v>0</v>
      </c>
      <c r="J338" t="n">
        <v>0</v>
      </c>
      <c r="K338" t="n">
        <v>0</v>
      </c>
      <c r="L338" t="n">
        <v>0</v>
      </c>
      <c r="M338" t="n">
        <v>0</v>
      </c>
      <c r="N338" t="n">
        <v>0</v>
      </c>
      <c r="O338" t="n">
        <v>0</v>
      </c>
      <c r="P338" t="n">
        <v>0</v>
      </c>
      <c r="Q338" t="n">
        <v>0</v>
      </c>
      <c r="R338" s="2" t="inlineStr"/>
    </row>
    <row r="339" ht="15" customHeight="1">
      <c r="A339" t="inlineStr">
        <is>
          <t>A 46830-2020</t>
        </is>
      </c>
      <c r="B339" s="1" t="n">
        <v>44089</v>
      </c>
      <c r="C339" s="1" t="n">
        <v>45911</v>
      </c>
      <c r="D339" t="inlineStr">
        <is>
          <t>SÖDERMANLANDS LÄN</t>
        </is>
      </c>
      <c r="E339" t="inlineStr">
        <is>
          <t>KATRINEHOLM</t>
        </is>
      </c>
      <c r="G339" t="n">
        <v>1.1</v>
      </c>
      <c r="H339" t="n">
        <v>0</v>
      </c>
      <c r="I339" t="n">
        <v>0</v>
      </c>
      <c r="J339" t="n">
        <v>0</v>
      </c>
      <c r="K339" t="n">
        <v>0</v>
      </c>
      <c r="L339" t="n">
        <v>0</v>
      </c>
      <c r="M339" t="n">
        <v>0</v>
      </c>
      <c r="N339" t="n">
        <v>0</v>
      </c>
      <c r="O339" t="n">
        <v>0</v>
      </c>
      <c r="P339" t="n">
        <v>0</v>
      </c>
      <c r="Q339" t="n">
        <v>0</v>
      </c>
      <c r="R339" s="2" t="inlineStr"/>
    </row>
    <row r="340" ht="15" customHeight="1">
      <c r="A340" t="inlineStr">
        <is>
          <t>A 33278-2024</t>
        </is>
      </c>
      <c r="B340" s="1" t="n">
        <v>45518</v>
      </c>
      <c r="C340" s="1" t="n">
        <v>45911</v>
      </c>
      <c r="D340" t="inlineStr">
        <is>
          <t>SÖDERMANLANDS LÄN</t>
        </is>
      </c>
      <c r="E340" t="inlineStr">
        <is>
          <t>KATRINEHOLM</t>
        </is>
      </c>
      <c r="G340" t="n">
        <v>2.1</v>
      </c>
      <c r="H340" t="n">
        <v>0</v>
      </c>
      <c r="I340" t="n">
        <v>0</v>
      </c>
      <c r="J340" t="n">
        <v>0</v>
      </c>
      <c r="K340" t="n">
        <v>0</v>
      </c>
      <c r="L340" t="n">
        <v>0</v>
      </c>
      <c r="M340" t="n">
        <v>0</v>
      </c>
      <c r="N340" t="n">
        <v>0</v>
      </c>
      <c r="O340" t="n">
        <v>0</v>
      </c>
      <c r="P340" t="n">
        <v>0</v>
      </c>
      <c r="Q340" t="n">
        <v>0</v>
      </c>
      <c r="R340" s="2" t="inlineStr"/>
    </row>
    <row r="341" ht="15" customHeight="1">
      <c r="A341" t="inlineStr">
        <is>
          <t>A 57462-2020</t>
        </is>
      </c>
      <c r="B341" s="1" t="n">
        <v>44140</v>
      </c>
      <c r="C341" s="1" t="n">
        <v>45911</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23705-2023</t>
        </is>
      </c>
      <c r="B342" s="1" t="n">
        <v>45077</v>
      </c>
      <c r="C342" s="1" t="n">
        <v>45911</v>
      </c>
      <c r="D342" t="inlineStr">
        <is>
          <t>SÖDERMANLANDS LÄN</t>
        </is>
      </c>
      <c r="E342" t="inlineStr">
        <is>
          <t>KATRINEHOLM</t>
        </is>
      </c>
      <c r="F342" t="inlineStr">
        <is>
          <t>Kyrkan</t>
        </is>
      </c>
      <c r="G342" t="n">
        <v>11.9</v>
      </c>
      <c r="H342" t="n">
        <v>0</v>
      </c>
      <c r="I342" t="n">
        <v>0</v>
      </c>
      <c r="J342" t="n">
        <v>0</v>
      </c>
      <c r="K342" t="n">
        <v>0</v>
      </c>
      <c r="L342" t="n">
        <v>0</v>
      </c>
      <c r="M342" t="n">
        <v>0</v>
      </c>
      <c r="N342" t="n">
        <v>0</v>
      </c>
      <c r="O342" t="n">
        <v>0</v>
      </c>
      <c r="P342" t="n">
        <v>0</v>
      </c>
      <c r="Q342" t="n">
        <v>0</v>
      </c>
      <c r="R342" s="2" t="inlineStr"/>
    </row>
    <row r="343" ht="15" customHeight="1">
      <c r="A343" t="inlineStr">
        <is>
          <t>A 9714-2024</t>
        </is>
      </c>
      <c r="B343" s="1" t="n">
        <v>45362</v>
      </c>
      <c r="C343" s="1" t="n">
        <v>45911</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24619-2024</t>
        </is>
      </c>
      <c r="B344" s="1" t="n">
        <v>45460</v>
      </c>
      <c r="C344" s="1" t="n">
        <v>45911</v>
      </c>
      <c r="D344" t="inlineStr">
        <is>
          <t>SÖDERMANLANDS LÄN</t>
        </is>
      </c>
      <c r="E344" t="inlineStr">
        <is>
          <t>KATRINEHOLM</t>
        </is>
      </c>
      <c r="G344" t="n">
        <v>4.7</v>
      </c>
      <c r="H344" t="n">
        <v>0</v>
      </c>
      <c r="I344" t="n">
        <v>0</v>
      </c>
      <c r="J344" t="n">
        <v>0</v>
      </c>
      <c r="K344" t="n">
        <v>0</v>
      </c>
      <c r="L344" t="n">
        <v>0</v>
      </c>
      <c r="M344" t="n">
        <v>0</v>
      </c>
      <c r="N344" t="n">
        <v>0</v>
      </c>
      <c r="O344" t="n">
        <v>0</v>
      </c>
      <c r="P344" t="n">
        <v>0</v>
      </c>
      <c r="Q344" t="n">
        <v>0</v>
      </c>
      <c r="R344" s="2" t="inlineStr"/>
    </row>
    <row r="345" ht="15" customHeight="1">
      <c r="A345" t="inlineStr">
        <is>
          <t>A 9699-2024</t>
        </is>
      </c>
      <c r="B345" s="1" t="n">
        <v>45362</v>
      </c>
      <c r="C345" s="1" t="n">
        <v>45911</v>
      </c>
      <c r="D345" t="inlineStr">
        <is>
          <t>SÖDERMANLANDS LÄN</t>
        </is>
      </c>
      <c r="E345" t="inlineStr">
        <is>
          <t>KATRINEHOLM</t>
        </is>
      </c>
      <c r="G345" t="n">
        <v>7.7</v>
      </c>
      <c r="H345" t="n">
        <v>0</v>
      </c>
      <c r="I345" t="n">
        <v>0</v>
      </c>
      <c r="J345" t="n">
        <v>0</v>
      </c>
      <c r="K345" t="n">
        <v>0</v>
      </c>
      <c r="L345" t="n">
        <v>0</v>
      </c>
      <c r="M345" t="n">
        <v>0</v>
      </c>
      <c r="N345" t="n">
        <v>0</v>
      </c>
      <c r="O345" t="n">
        <v>0</v>
      </c>
      <c r="P345" t="n">
        <v>0</v>
      </c>
      <c r="Q345" t="n">
        <v>0</v>
      </c>
      <c r="R345" s="2" t="inlineStr"/>
    </row>
    <row r="346" ht="15" customHeight="1">
      <c r="A346" t="inlineStr">
        <is>
          <t>A 59749-2020</t>
        </is>
      </c>
      <c r="B346" s="1" t="n">
        <v>44151</v>
      </c>
      <c r="C346" s="1" t="n">
        <v>45911</v>
      </c>
      <c r="D346" t="inlineStr">
        <is>
          <t>SÖDERMANLANDS LÄN</t>
        </is>
      </c>
      <c r="E346" t="inlineStr">
        <is>
          <t>KATRINEHOLM</t>
        </is>
      </c>
      <c r="G346" t="n">
        <v>2.1</v>
      </c>
      <c r="H346" t="n">
        <v>0</v>
      </c>
      <c r="I346" t="n">
        <v>0</v>
      </c>
      <c r="J346" t="n">
        <v>0</v>
      </c>
      <c r="K346" t="n">
        <v>0</v>
      </c>
      <c r="L346" t="n">
        <v>0</v>
      </c>
      <c r="M346" t="n">
        <v>0</v>
      </c>
      <c r="N346" t="n">
        <v>0</v>
      </c>
      <c r="O346" t="n">
        <v>0</v>
      </c>
      <c r="P346" t="n">
        <v>0</v>
      </c>
      <c r="Q346" t="n">
        <v>0</v>
      </c>
      <c r="R346" s="2" t="inlineStr"/>
    </row>
    <row r="347" ht="15" customHeight="1">
      <c r="A347" t="inlineStr">
        <is>
          <t>A 59474-2021</t>
        </is>
      </c>
      <c r="B347" s="1" t="n">
        <v>44491</v>
      </c>
      <c r="C347" s="1" t="n">
        <v>45911</v>
      </c>
      <c r="D347" t="inlineStr">
        <is>
          <t>SÖDERMANLANDS LÄN</t>
        </is>
      </c>
      <c r="E347" t="inlineStr">
        <is>
          <t>KATRINEHOLM</t>
        </is>
      </c>
      <c r="G347" t="n">
        <v>2.7</v>
      </c>
      <c r="H347" t="n">
        <v>0</v>
      </c>
      <c r="I347" t="n">
        <v>0</v>
      </c>
      <c r="J347" t="n">
        <v>0</v>
      </c>
      <c r="K347" t="n">
        <v>0</v>
      </c>
      <c r="L347" t="n">
        <v>0</v>
      </c>
      <c r="M347" t="n">
        <v>0</v>
      </c>
      <c r="N347" t="n">
        <v>0</v>
      </c>
      <c r="O347" t="n">
        <v>0</v>
      </c>
      <c r="P347" t="n">
        <v>0</v>
      </c>
      <c r="Q347" t="n">
        <v>0</v>
      </c>
      <c r="R347" s="2" t="inlineStr"/>
    </row>
    <row r="348" ht="15" customHeight="1">
      <c r="A348" t="inlineStr">
        <is>
          <t>A 39120-2023</t>
        </is>
      </c>
      <c r="B348" s="1" t="n">
        <v>45165</v>
      </c>
      <c r="C348" s="1" t="n">
        <v>45911</v>
      </c>
      <c r="D348" t="inlineStr">
        <is>
          <t>SÖDERMANLANDS LÄN</t>
        </is>
      </c>
      <c r="E348" t="inlineStr">
        <is>
          <t>KATRINEHOLM</t>
        </is>
      </c>
      <c r="G348" t="n">
        <v>4.4</v>
      </c>
      <c r="H348" t="n">
        <v>0</v>
      </c>
      <c r="I348" t="n">
        <v>0</v>
      </c>
      <c r="J348" t="n">
        <v>0</v>
      </c>
      <c r="K348" t="n">
        <v>0</v>
      </c>
      <c r="L348" t="n">
        <v>0</v>
      </c>
      <c r="M348" t="n">
        <v>0</v>
      </c>
      <c r="N348" t="n">
        <v>0</v>
      </c>
      <c r="O348" t="n">
        <v>0</v>
      </c>
      <c r="P348" t="n">
        <v>0</v>
      </c>
      <c r="Q348" t="n">
        <v>0</v>
      </c>
      <c r="R348" s="2" t="inlineStr"/>
    </row>
    <row r="349" ht="15" customHeight="1">
      <c r="A349" t="inlineStr">
        <is>
          <t>A 14239-2024</t>
        </is>
      </c>
      <c r="B349" s="1" t="n">
        <v>45393</v>
      </c>
      <c r="C349" s="1" t="n">
        <v>45911</v>
      </c>
      <c r="D349" t="inlineStr">
        <is>
          <t>SÖDERMANLANDS LÄN</t>
        </is>
      </c>
      <c r="E349" t="inlineStr">
        <is>
          <t>KATRINEHOLM</t>
        </is>
      </c>
      <c r="G349" t="n">
        <v>2.7</v>
      </c>
      <c r="H349" t="n">
        <v>0</v>
      </c>
      <c r="I349" t="n">
        <v>0</v>
      </c>
      <c r="J349" t="n">
        <v>0</v>
      </c>
      <c r="K349" t="n">
        <v>0</v>
      </c>
      <c r="L349" t="n">
        <v>0</v>
      </c>
      <c r="M349" t="n">
        <v>0</v>
      </c>
      <c r="N349" t="n">
        <v>0</v>
      </c>
      <c r="O349" t="n">
        <v>0</v>
      </c>
      <c r="P349" t="n">
        <v>0</v>
      </c>
      <c r="Q349" t="n">
        <v>0</v>
      </c>
      <c r="R349" s="2" t="inlineStr"/>
    </row>
    <row r="350" ht="15" customHeight="1">
      <c r="A350" t="inlineStr">
        <is>
          <t>A 14248-2024</t>
        </is>
      </c>
      <c r="B350" s="1" t="n">
        <v>45393</v>
      </c>
      <c r="C350" s="1" t="n">
        <v>45911</v>
      </c>
      <c r="D350" t="inlineStr">
        <is>
          <t>SÖDERMANLANDS LÄN</t>
        </is>
      </c>
      <c r="E350" t="inlineStr">
        <is>
          <t>KATRINEHOLM</t>
        </is>
      </c>
      <c r="G350" t="n">
        <v>1.4</v>
      </c>
      <c r="H350" t="n">
        <v>0</v>
      </c>
      <c r="I350" t="n">
        <v>0</v>
      </c>
      <c r="J350" t="n">
        <v>0</v>
      </c>
      <c r="K350" t="n">
        <v>0</v>
      </c>
      <c r="L350" t="n">
        <v>0</v>
      </c>
      <c r="M350" t="n">
        <v>0</v>
      </c>
      <c r="N350" t="n">
        <v>0</v>
      </c>
      <c r="O350" t="n">
        <v>0</v>
      </c>
      <c r="P350" t="n">
        <v>0</v>
      </c>
      <c r="Q350" t="n">
        <v>0</v>
      </c>
      <c r="R350" s="2" t="inlineStr"/>
    </row>
    <row r="351" ht="15" customHeight="1">
      <c r="A351" t="inlineStr">
        <is>
          <t>A 11635-2023</t>
        </is>
      </c>
      <c r="B351" s="1" t="n">
        <v>44994</v>
      </c>
      <c r="C351" s="1" t="n">
        <v>45911</v>
      </c>
      <c r="D351" t="inlineStr">
        <is>
          <t>SÖDERMANLANDS LÄN</t>
        </is>
      </c>
      <c r="E351" t="inlineStr">
        <is>
          <t>KATRINEHOLM</t>
        </is>
      </c>
      <c r="G351" t="n">
        <v>4.3</v>
      </c>
      <c r="H351" t="n">
        <v>0</v>
      </c>
      <c r="I351" t="n">
        <v>0</v>
      </c>
      <c r="J351" t="n">
        <v>0</v>
      </c>
      <c r="K351" t="n">
        <v>0</v>
      </c>
      <c r="L351" t="n">
        <v>0</v>
      </c>
      <c r="M351" t="n">
        <v>0</v>
      </c>
      <c r="N351" t="n">
        <v>0</v>
      </c>
      <c r="O351" t="n">
        <v>0</v>
      </c>
      <c r="P351" t="n">
        <v>0</v>
      </c>
      <c r="Q351" t="n">
        <v>0</v>
      </c>
      <c r="R351" s="2" t="inlineStr"/>
    </row>
    <row r="352" ht="15" customHeight="1">
      <c r="A352" t="inlineStr">
        <is>
          <t>A 65485-2020</t>
        </is>
      </c>
      <c r="B352" s="1" t="n">
        <v>44173</v>
      </c>
      <c r="C352" s="1" t="n">
        <v>45911</v>
      </c>
      <c r="D352" t="inlineStr">
        <is>
          <t>SÖDERMANLANDS LÄN</t>
        </is>
      </c>
      <c r="E352" t="inlineStr">
        <is>
          <t>KATRINEHOLM</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10932-2023</t>
        </is>
      </c>
      <c r="B353" s="1" t="n">
        <v>44985</v>
      </c>
      <c r="C353" s="1" t="n">
        <v>45911</v>
      </c>
      <c r="D353" t="inlineStr">
        <is>
          <t>SÖDERMANLANDS LÄN</t>
        </is>
      </c>
      <c r="E353" t="inlineStr">
        <is>
          <t>KATRINEHOLM</t>
        </is>
      </c>
      <c r="G353" t="n">
        <v>1.8</v>
      </c>
      <c r="H353" t="n">
        <v>0</v>
      </c>
      <c r="I353" t="n">
        <v>0</v>
      </c>
      <c r="J353" t="n">
        <v>0</v>
      </c>
      <c r="K353" t="n">
        <v>0</v>
      </c>
      <c r="L353" t="n">
        <v>0</v>
      </c>
      <c r="M353" t="n">
        <v>0</v>
      </c>
      <c r="N353" t="n">
        <v>0</v>
      </c>
      <c r="O353" t="n">
        <v>0</v>
      </c>
      <c r="P353" t="n">
        <v>0</v>
      </c>
      <c r="Q353" t="n">
        <v>0</v>
      </c>
      <c r="R353" s="2" t="inlineStr"/>
    </row>
    <row r="354" ht="15" customHeight="1">
      <c r="A354" t="inlineStr">
        <is>
          <t>A 7305-2024</t>
        </is>
      </c>
      <c r="B354" s="1" t="n">
        <v>45344</v>
      </c>
      <c r="C354" s="1" t="n">
        <v>45911</v>
      </c>
      <c r="D354" t="inlineStr">
        <is>
          <t>SÖDERMANLANDS LÄN</t>
        </is>
      </c>
      <c r="E354" t="inlineStr">
        <is>
          <t>KATRINEHOLM</t>
        </is>
      </c>
      <c r="G354" t="n">
        <v>0.7</v>
      </c>
      <c r="H354" t="n">
        <v>0</v>
      </c>
      <c r="I354" t="n">
        <v>0</v>
      </c>
      <c r="J354" t="n">
        <v>0</v>
      </c>
      <c r="K354" t="n">
        <v>0</v>
      </c>
      <c r="L354" t="n">
        <v>0</v>
      </c>
      <c r="M354" t="n">
        <v>0</v>
      </c>
      <c r="N354" t="n">
        <v>0</v>
      </c>
      <c r="O354" t="n">
        <v>0</v>
      </c>
      <c r="P354" t="n">
        <v>0</v>
      </c>
      <c r="Q354" t="n">
        <v>0</v>
      </c>
      <c r="R354" s="2" t="inlineStr"/>
    </row>
    <row r="355" ht="15" customHeight="1">
      <c r="A355" t="inlineStr">
        <is>
          <t>A 55038-2020</t>
        </is>
      </c>
      <c r="B355" s="1" t="n">
        <v>44130</v>
      </c>
      <c r="C355" s="1" t="n">
        <v>45911</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55074-2020</t>
        </is>
      </c>
      <c r="B356" s="1" t="n">
        <v>44130</v>
      </c>
      <c r="C356" s="1" t="n">
        <v>45911</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6087-2022</t>
        </is>
      </c>
      <c r="B357" s="1" t="n">
        <v>44599.61034722222</v>
      </c>
      <c r="C357" s="1" t="n">
        <v>45911</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8957-2024</t>
        </is>
      </c>
      <c r="B358" s="1" t="n">
        <v>45357.45089120371</v>
      </c>
      <c r="C358" s="1" t="n">
        <v>45911</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51397-2023</t>
        </is>
      </c>
      <c r="B359" s="1" t="n">
        <v>45214</v>
      </c>
      <c r="C359" s="1" t="n">
        <v>45911</v>
      </c>
      <c r="D359" t="inlineStr">
        <is>
          <t>SÖDERMANLANDS LÄN</t>
        </is>
      </c>
      <c r="E359" t="inlineStr">
        <is>
          <t>KATRINEHOLM</t>
        </is>
      </c>
      <c r="G359" t="n">
        <v>4.9</v>
      </c>
      <c r="H359" t="n">
        <v>0</v>
      </c>
      <c r="I359" t="n">
        <v>0</v>
      </c>
      <c r="J359" t="n">
        <v>0</v>
      </c>
      <c r="K359" t="n">
        <v>0</v>
      </c>
      <c r="L359" t="n">
        <v>0</v>
      </c>
      <c r="M359" t="n">
        <v>0</v>
      </c>
      <c r="N359" t="n">
        <v>0</v>
      </c>
      <c r="O359" t="n">
        <v>0</v>
      </c>
      <c r="P359" t="n">
        <v>0</v>
      </c>
      <c r="Q359" t="n">
        <v>0</v>
      </c>
      <c r="R359" s="2" t="inlineStr"/>
    </row>
    <row r="360" ht="15" customHeight="1">
      <c r="A360" t="inlineStr">
        <is>
          <t>A 42896-2024</t>
        </is>
      </c>
      <c r="B360" s="1" t="n">
        <v>45566.82973379629</v>
      </c>
      <c r="C360" s="1" t="n">
        <v>45911</v>
      </c>
      <c r="D360" t="inlineStr">
        <is>
          <t>SÖDERMANLANDS LÄN</t>
        </is>
      </c>
      <c r="E360" t="inlineStr">
        <is>
          <t>KATRINEHOLM</t>
        </is>
      </c>
      <c r="G360" t="n">
        <v>4.3</v>
      </c>
      <c r="H360" t="n">
        <v>0</v>
      </c>
      <c r="I360" t="n">
        <v>0</v>
      </c>
      <c r="J360" t="n">
        <v>0</v>
      </c>
      <c r="K360" t="n">
        <v>0</v>
      </c>
      <c r="L360" t="n">
        <v>0</v>
      </c>
      <c r="M360" t="n">
        <v>0</v>
      </c>
      <c r="N360" t="n">
        <v>0</v>
      </c>
      <c r="O360" t="n">
        <v>0</v>
      </c>
      <c r="P360" t="n">
        <v>0</v>
      </c>
      <c r="Q360" t="n">
        <v>0</v>
      </c>
      <c r="R360" s="2" t="inlineStr"/>
    </row>
    <row r="361" ht="15" customHeight="1">
      <c r="A361" t="inlineStr">
        <is>
          <t>A 19452-2023</t>
        </is>
      </c>
      <c r="B361" s="1" t="n">
        <v>45050</v>
      </c>
      <c r="C361" s="1" t="n">
        <v>45911</v>
      </c>
      <c r="D361" t="inlineStr">
        <is>
          <t>SÖDERMANLANDS LÄN</t>
        </is>
      </c>
      <c r="E361" t="inlineStr">
        <is>
          <t>KATRINEHOLM</t>
        </is>
      </c>
      <c r="F361" t="inlineStr">
        <is>
          <t>Holmen skog AB</t>
        </is>
      </c>
      <c r="G361" t="n">
        <v>4.7</v>
      </c>
      <c r="H361" t="n">
        <v>0</v>
      </c>
      <c r="I361" t="n">
        <v>0</v>
      </c>
      <c r="J361" t="n">
        <v>0</v>
      </c>
      <c r="K361" t="n">
        <v>0</v>
      </c>
      <c r="L361" t="n">
        <v>0</v>
      </c>
      <c r="M361" t="n">
        <v>0</v>
      </c>
      <c r="N361" t="n">
        <v>0</v>
      </c>
      <c r="O361" t="n">
        <v>0</v>
      </c>
      <c r="P361" t="n">
        <v>0</v>
      </c>
      <c r="Q361" t="n">
        <v>0</v>
      </c>
      <c r="R361" s="2" t="inlineStr"/>
    </row>
    <row r="362" ht="15" customHeight="1">
      <c r="A362" t="inlineStr">
        <is>
          <t>A 7747-2024</t>
        </is>
      </c>
      <c r="B362" s="1" t="n">
        <v>45348</v>
      </c>
      <c r="C362" s="1" t="n">
        <v>45911</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7753-2024</t>
        </is>
      </c>
      <c r="B363" s="1" t="n">
        <v>45348</v>
      </c>
      <c r="C363" s="1" t="n">
        <v>45911</v>
      </c>
      <c r="D363" t="inlineStr">
        <is>
          <t>SÖDERMANLANDS LÄN</t>
        </is>
      </c>
      <c r="E363" t="inlineStr">
        <is>
          <t>KATRINEHOLM</t>
        </is>
      </c>
      <c r="G363" t="n">
        <v>13.4</v>
      </c>
      <c r="H363" t="n">
        <v>0</v>
      </c>
      <c r="I363" t="n">
        <v>0</v>
      </c>
      <c r="J363" t="n">
        <v>0</v>
      </c>
      <c r="K363" t="n">
        <v>0</v>
      </c>
      <c r="L363" t="n">
        <v>0</v>
      </c>
      <c r="M363" t="n">
        <v>0</v>
      </c>
      <c r="N363" t="n">
        <v>0</v>
      </c>
      <c r="O363" t="n">
        <v>0</v>
      </c>
      <c r="P363" t="n">
        <v>0</v>
      </c>
      <c r="Q363" t="n">
        <v>0</v>
      </c>
      <c r="R363" s="2" t="inlineStr"/>
    </row>
    <row r="364" ht="15" customHeight="1">
      <c r="A364" t="inlineStr">
        <is>
          <t>A 5935-2023</t>
        </is>
      </c>
      <c r="B364" s="1" t="n">
        <v>44963</v>
      </c>
      <c r="C364" s="1" t="n">
        <v>45911</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52658-2023</t>
        </is>
      </c>
      <c r="B365" s="1" t="n">
        <v>45225</v>
      </c>
      <c r="C365" s="1" t="n">
        <v>45911</v>
      </c>
      <c r="D365" t="inlineStr">
        <is>
          <t>SÖDERMANLANDS LÄN</t>
        </is>
      </c>
      <c r="E365" t="inlineStr">
        <is>
          <t>KATRINEHOLM</t>
        </is>
      </c>
      <c r="G365" t="n">
        <v>1.2</v>
      </c>
      <c r="H365" t="n">
        <v>0</v>
      </c>
      <c r="I365" t="n">
        <v>0</v>
      </c>
      <c r="J365" t="n">
        <v>0</v>
      </c>
      <c r="K365" t="n">
        <v>0</v>
      </c>
      <c r="L365" t="n">
        <v>0</v>
      </c>
      <c r="M365" t="n">
        <v>0</v>
      </c>
      <c r="N365" t="n">
        <v>0</v>
      </c>
      <c r="O365" t="n">
        <v>0</v>
      </c>
      <c r="P365" t="n">
        <v>0</v>
      </c>
      <c r="Q365" t="n">
        <v>0</v>
      </c>
      <c r="R365" s="2" t="inlineStr"/>
    </row>
    <row r="366" ht="15" customHeight="1">
      <c r="A366" t="inlineStr">
        <is>
          <t>A 10732-2022</t>
        </is>
      </c>
      <c r="B366" s="1" t="n">
        <v>44627.34033564815</v>
      </c>
      <c r="C366" s="1" t="n">
        <v>45911</v>
      </c>
      <c r="D366" t="inlineStr">
        <is>
          <t>SÖDERMANLANDS LÄN</t>
        </is>
      </c>
      <c r="E366" t="inlineStr">
        <is>
          <t>KATRINEHOLM</t>
        </is>
      </c>
      <c r="G366" t="n">
        <v>2.4</v>
      </c>
      <c r="H366" t="n">
        <v>0</v>
      </c>
      <c r="I366" t="n">
        <v>0</v>
      </c>
      <c r="J366" t="n">
        <v>0</v>
      </c>
      <c r="K366" t="n">
        <v>0</v>
      </c>
      <c r="L366" t="n">
        <v>0</v>
      </c>
      <c r="M366" t="n">
        <v>0</v>
      </c>
      <c r="N366" t="n">
        <v>0</v>
      </c>
      <c r="O366" t="n">
        <v>0</v>
      </c>
      <c r="P366" t="n">
        <v>0</v>
      </c>
      <c r="Q366" t="n">
        <v>0</v>
      </c>
      <c r="R366" s="2" t="inlineStr"/>
    </row>
    <row r="367" ht="15" customHeight="1">
      <c r="A367" t="inlineStr">
        <is>
          <t>A 58958-2020</t>
        </is>
      </c>
      <c r="B367" s="1" t="n">
        <v>44146</v>
      </c>
      <c r="C367" s="1" t="n">
        <v>45911</v>
      </c>
      <c r="D367" t="inlineStr">
        <is>
          <t>SÖDERMANLANDS LÄN</t>
        </is>
      </c>
      <c r="E367" t="inlineStr">
        <is>
          <t>KATRINEHOLM</t>
        </is>
      </c>
      <c r="F367" t="inlineStr">
        <is>
          <t>Holmen skog AB</t>
        </is>
      </c>
      <c r="G367" t="n">
        <v>0.2</v>
      </c>
      <c r="H367" t="n">
        <v>0</v>
      </c>
      <c r="I367" t="n">
        <v>0</v>
      </c>
      <c r="J367" t="n">
        <v>0</v>
      </c>
      <c r="K367" t="n">
        <v>0</v>
      </c>
      <c r="L367" t="n">
        <v>0</v>
      </c>
      <c r="M367" t="n">
        <v>0</v>
      </c>
      <c r="N367" t="n">
        <v>0</v>
      </c>
      <c r="O367" t="n">
        <v>0</v>
      </c>
      <c r="P367" t="n">
        <v>0</v>
      </c>
      <c r="Q367" t="n">
        <v>0</v>
      </c>
      <c r="R367" s="2" t="inlineStr"/>
    </row>
    <row r="368" ht="15" customHeight="1">
      <c r="A368" t="inlineStr">
        <is>
          <t>A 5320-2025</t>
        </is>
      </c>
      <c r="B368" s="1" t="n">
        <v>45692</v>
      </c>
      <c r="C368" s="1" t="n">
        <v>45911</v>
      </c>
      <c r="D368" t="inlineStr">
        <is>
          <t>SÖDERMANLANDS LÄN</t>
        </is>
      </c>
      <c r="E368" t="inlineStr">
        <is>
          <t>KATRINEHOLM</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3939-2022</t>
        </is>
      </c>
      <c r="B369" s="1" t="n">
        <v>44587</v>
      </c>
      <c r="C369" s="1" t="n">
        <v>45911</v>
      </c>
      <c r="D369" t="inlineStr">
        <is>
          <t>SÖDERMANLANDS LÄN</t>
        </is>
      </c>
      <c r="E369" t="inlineStr">
        <is>
          <t>KATRINEHOLM</t>
        </is>
      </c>
      <c r="G369" t="n">
        <v>0.8</v>
      </c>
      <c r="H369" t="n">
        <v>0</v>
      </c>
      <c r="I369" t="n">
        <v>0</v>
      </c>
      <c r="J369" t="n">
        <v>0</v>
      </c>
      <c r="K369" t="n">
        <v>0</v>
      </c>
      <c r="L369" t="n">
        <v>0</v>
      </c>
      <c r="M369" t="n">
        <v>0</v>
      </c>
      <c r="N369" t="n">
        <v>0</v>
      </c>
      <c r="O369" t="n">
        <v>0</v>
      </c>
      <c r="P369" t="n">
        <v>0</v>
      </c>
      <c r="Q369" t="n">
        <v>0</v>
      </c>
      <c r="R369" s="2" t="inlineStr"/>
    </row>
    <row r="370" ht="15" customHeight="1">
      <c r="A370" t="inlineStr">
        <is>
          <t>A 56074-2022</t>
        </is>
      </c>
      <c r="B370" s="1" t="n">
        <v>44889</v>
      </c>
      <c r="C370" s="1" t="n">
        <v>45911</v>
      </c>
      <c r="D370" t="inlineStr">
        <is>
          <t>SÖDERMANLANDS LÄN</t>
        </is>
      </c>
      <c r="E370" t="inlineStr">
        <is>
          <t>KATRINEHOLM</t>
        </is>
      </c>
      <c r="G370" t="n">
        <v>1</v>
      </c>
      <c r="H370" t="n">
        <v>0</v>
      </c>
      <c r="I370" t="n">
        <v>0</v>
      </c>
      <c r="J370" t="n">
        <v>0</v>
      </c>
      <c r="K370" t="n">
        <v>0</v>
      </c>
      <c r="L370" t="n">
        <v>0</v>
      </c>
      <c r="M370" t="n">
        <v>0</v>
      </c>
      <c r="N370" t="n">
        <v>0</v>
      </c>
      <c r="O370" t="n">
        <v>0</v>
      </c>
      <c r="P370" t="n">
        <v>0</v>
      </c>
      <c r="Q370" t="n">
        <v>0</v>
      </c>
      <c r="R370" s="2" t="inlineStr"/>
      <c r="T370">
        <f>HYPERLINK("https://klasma.github.io/Logging_0483/kartor/A 56074-2022 karta.png", "A 56074-2022")</f>
        <v/>
      </c>
      <c r="V370">
        <f>HYPERLINK("https://klasma.github.io/Logging_0483/klagomål/A 56074-2022 FSC-klagomål.docx", "A 56074-2022")</f>
        <v/>
      </c>
      <c r="W370">
        <f>HYPERLINK("https://klasma.github.io/Logging_0483/klagomålsmail/A 56074-2022 FSC-klagomål mail.docx", "A 56074-2022")</f>
        <v/>
      </c>
      <c r="X370">
        <f>HYPERLINK("https://klasma.github.io/Logging_0483/tillsyn/A 56074-2022 tillsynsbegäran.docx", "A 56074-2022")</f>
        <v/>
      </c>
      <c r="Y370">
        <f>HYPERLINK("https://klasma.github.io/Logging_0483/tillsynsmail/A 56074-2022 tillsynsbegäran mail.docx", "A 56074-2022")</f>
        <v/>
      </c>
    </row>
    <row r="371" ht="15" customHeight="1">
      <c r="A371" t="inlineStr">
        <is>
          <t>A 27534-2025</t>
        </is>
      </c>
      <c r="B371" s="1" t="n">
        <v>45813</v>
      </c>
      <c r="C371" s="1" t="n">
        <v>45911</v>
      </c>
      <c r="D371" t="inlineStr">
        <is>
          <t>SÖDERMANLANDS LÄN</t>
        </is>
      </c>
      <c r="E371" t="inlineStr">
        <is>
          <t>KATRINEHOLM</t>
        </is>
      </c>
      <c r="G371" t="n">
        <v>0.7</v>
      </c>
      <c r="H371" t="n">
        <v>0</v>
      </c>
      <c r="I371" t="n">
        <v>0</v>
      </c>
      <c r="J371" t="n">
        <v>0</v>
      </c>
      <c r="K371" t="n">
        <v>0</v>
      </c>
      <c r="L371" t="n">
        <v>0</v>
      </c>
      <c r="M371" t="n">
        <v>0</v>
      </c>
      <c r="N371" t="n">
        <v>0</v>
      </c>
      <c r="O371" t="n">
        <v>0</v>
      </c>
      <c r="P371" t="n">
        <v>0</v>
      </c>
      <c r="Q371" t="n">
        <v>0</v>
      </c>
      <c r="R371" s="2" t="inlineStr"/>
    </row>
    <row r="372" ht="15" customHeight="1">
      <c r="A372" t="inlineStr">
        <is>
          <t>A 2606-2025</t>
        </is>
      </c>
      <c r="B372" s="1" t="n">
        <v>45674</v>
      </c>
      <c r="C372" s="1" t="n">
        <v>45911</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27552-2025</t>
        </is>
      </c>
      <c r="B373" s="1" t="n">
        <v>45813</v>
      </c>
      <c r="C373" s="1" t="n">
        <v>45911</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61915-2021</t>
        </is>
      </c>
      <c r="B374" s="1" t="n">
        <v>44502.36780092592</v>
      </c>
      <c r="C374" s="1" t="n">
        <v>45911</v>
      </c>
      <c r="D374" t="inlineStr">
        <is>
          <t>SÖDERMANLANDS LÄN</t>
        </is>
      </c>
      <c r="E374" t="inlineStr">
        <is>
          <t>KATRINEHOLM</t>
        </is>
      </c>
      <c r="G374" t="n">
        <v>2.6</v>
      </c>
      <c r="H374" t="n">
        <v>0</v>
      </c>
      <c r="I374" t="n">
        <v>0</v>
      </c>
      <c r="J374" t="n">
        <v>0</v>
      </c>
      <c r="K374" t="n">
        <v>0</v>
      </c>
      <c r="L374" t="n">
        <v>0</v>
      </c>
      <c r="M374" t="n">
        <v>0</v>
      </c>
      <c r="N374" t="n">
        <v>0</v>
      </c>
      <c r="O374" t="n">
        <v>0</v>
      </c>
      <c r="P374" t="n">
        <v>0</v>
      </c>
      <c r="Q374" t="n">
        <v>0</v>
      </c>
      <c r="R374" s="2" t="inlineStr"/>
    </row>
    <row r="375" ht="15" customHeight="1">
      <c r="A375" t="inlineStr">
        <is>
          <t>A 39748-2022</t>
        </is>
      </c>
      <c r="B375" s="1" t="n">
        <v>44817</v>
      </c>
      <c r="C375" s="1" t="n">
        <v>45911</v>
      </c>
      <c r="D375" t="inlineStr">
        <is>
          <t>SÖDERMANLANDS LÄN</t>
        </is>
      </c>
      <c r="E375" t="inlineStr">
        <is>
          <t>KATRINEHOLM</t>
        </is>
      </c>
      <c r="G375" t="n">
        <v>10.2</v>
      </c>
      <c r="H375" t="n">
        <v>0</v>
      </c>
      <c r="I375" t="n">
        <v>0</v>
      </c>
      <c r="J375" t="n">
        <v>0</v>
      </c>
      <c r="K375" t="n">
        <v>0</v>
      </c>
      <c r="L375" t="n">
        <v>0</v>
      </c>
      <c r="M375" t="n">
        <v>0</v>
      </c>
      <c r="N375" t="n">
        <v>0</v>
      </c>
      <c r="O375" t="n">
        <v>0</v>
      </c>
      <c r="P375" t="n">
        <v>0</v>
      </c>
      <c r="Q375" t="n">
        <v>0</v>
      </c>
      <c r="R375" s="2" t="inlineStr"/>
    </row>
    <row r="376" ht="15" customHeight="1">
      <c r="A376" t="inlineStr">
        <is>
          <t>A 34731-2023</t>
        </is>
      </c>
      <c r="B376" s="1" t="n">
        <v>45141</v>
      </c>
      <c r="C376" s="1" t="n">
        <v>45911</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34739-2023</t>
        </is>
      </c>
      <c r="B377" s="1" t="n">
        <v>45141</v>
      </c>
      <c r="C377" s="1" t="n">
        <v>45911</v>
      </c>
      <c r="D377" t="inlineStr">
        <is>
          <t>SÖDERMANLANDS LÄN</t>
        </is>
      </c>
      <c r="E377" t="inlineStr">
        <is>
          <t>KATRINEHOLM</t>
        </is>
      </c>
      <c r="G377" t="n">
        <v>1.4</v>
      </c>
      <c r="H377" t="n">
        <v>0</v>
      </c>
      <c r="I377" t="n">
        <v>0</v>
      </c>
      <c r="J377" t="n">
        <v>0</v>
      </c>
      <c r="K377" t="n">
        <v>0</v>
      </c>
      <c r="L377" t="n">
        <v>0</v>
      </c>
      <c r="M377" t="n">
        <v>0</v>
      </c>
      <c r="N377" t="n">
        <v>0</v>
      </c>
      <c r="O377" t="n">
        <v>0</v>
      </c>
      <c r="P377" t="n">
        <v>0</v>
      </c>
      <c r="Q377" t="n">
        <v>0</v>
      </c>
      <c r="R377" s="2" t="inlineStr"/>
    </row>
    <row r="378" ht="15" customHeight="1">
      <c r="A378" t="inlineStr">
        <is>
          <t>A 27636-2025</t>
        </is>
      </c>
      <c r="B378" s="1" t="n">
        <v>45813.57603009259</v>
      </c>
      <c r="C378" s="1" t="n">
        <v>45911</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20480-2022</t>
        </is>
      </c>
      <c r="B379" s="1" t="n">
        <v>44699</v>
      </c>
      <c r="C379" s="1" t="n">
        <v>45911</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24600-2025</t>
        </is>
      </c>
      <c r="B380" s="1" t="n">
        <v>45798.56348379629</v>
      </c>
      <c r="C380" s="1" t="n">
        <v>45911</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50017-2023</t>
        </is>
      </c>
      <c r="B381" s="1" t="n">
        <v>45215</v>
      </c>
      <c r="C381" s="1" t="n">
        <v>45911</v>
      </c>
      <c r="D381" t="inlineStr">
        <is>
          <t>SÖDERMANLANDS LÄN</t>
        </is>
      </c>
      <c r="E381" t="inlineStr">
        <is>
          <t>KATRINEHOLM</t>
        </is>
      </c>
      <c r="G381" t="n">
        <v>0.9</v>
      </c>
      <c r="H381" t="n">
        <v>0</v>
      </c>
      <c r="I381" t="n">
        <v>0</v>
      </c>
      <c r="J381" t="n">
        <v>0</v>
      </c>
      <c r="K381" t="n">
        <v>0</v>
      </c>
      <c r="L381" t="n">
        <v>0</v>
      </c>
      <c r="M381" t="n">
        <v>0</v>
      </c>
      <c r="N381" t="n">
        <v>0</v>
      </c>
      <c r="O381" t="n">
        <v>0</v>
      </c>
      <c r="P381" t="n">
        <v>0</v>
      </c>
      <c r="Q381" t="n">
        <v>0</v>
      </c>
      <c r="R381" s="2" t="inlineStr"/>
    </row>
    <row r="382" ht="15" customHeight="1">
      <c r="A382" t="inlineStr">
        <is>
          <t>A 50018-2023</t>
        </is>
      </c>
      <c r="B382" s="1" t="n">
        <v>45215</v>
      </c>
      <c r="C382" s="1" t="n">
        <v>45911</v>
      </c>
      <c r="D382" t="inlineStr">
        <is>
          <t>SÖDERMANLANDS LÄN</t>
        </is>
      </c>
      <c r="E382" t="inlineStr">
        <is>
          <t>KATRINEHOLM</t>
        </is>
      </c>
      <c r="G382" t="n">
        <v>2.4</v>
      </c>
      <c r="H382" t="n">
        <v>0</v>
      </c>
      <c r="I382" t="n">
        <v>0</v>
      </c>
      <c r="J382" t="n">
        <v>0</v>
      </c>
      <c r="K382" t="n">
        <v>0</v>
      </c>
      <c r="L382" t="n">
        <v>0</v>
      </c>
      <c r="M382" t="n">
        <v>0</v>
      </c>
      <c r="N382" t="n">
        <v>0</v>
      </c>
      <c r="O382" t="n">
        <v>0</v>
      </c>
      <c r="P382" t="n">
        <v>0</v>
      </c>
      <c r="Q382" t="n">
        <v>0</v>
      </c>
      <c r="R382" s="2" t="inlineStr"/>
    </row>
    <row r="383" ht="15" customHeight="1">
      <c r="A383" t="inlineStr">
        <is>
          <t>A 28508-2023</t>
        </is>
      </c>
      <c r="B383" s="1" t="n">
        <v>45103.46788194445</v>
      </c>
      <c r="C383" s="1" t="n">
        <v>45911</v>
      </c>
      <c r="D383" t="inlineStr">
        <is>
          <t>SÖDERMANLANDS LÄN</t>
        </is>
      </c>
      <c r="E383" t="inlineStr">
        <is>
          <t>KATRINEHOLM</t>
        </is>
      </c>
      <c r="F383" t="inlineStr">
        <is>
          <t>Kyrkan</t>
        </is>
      </c>
      <c r="G383" t="n">
        <v>20.5</v>
      </c>
      <c r="H383" t="n">
        <v>0</v>
      </c>
      <c r="I383" t="n">
        <v>0</v>
      </c>
      <c r="J383" t="n">
        <v>0</v>
      </c>
      <c r="K383" t="n">
        <v>0</v>
      </c>
      <c r="L383" t="n">
        <v>0</v>
      </c>
      <c r="M383" t="n">
        <v>0</v>
      </c>
      <c r="N383" t="n">
        <v>0</v>
      </c>
      <c r="O383" t="n">
        <v>0</v>
      </c>
      <c r="P383" t="n">
        <v>0</v>
      </c>
      <c r="Q383" t="n">
        <v>0</v>
      </c>
      <c r="R383" s="2" t="inlineStr"/>
    </row>
    <row r="384" ht="15" customHeight="1">
      <c r="A384" t="inlineStr">
        <is>
          <t>A 46075-2023</t>
        </is>
      </c>
      <c r="B384" s="1" t="n">
        <v>45196</v>
      </c>
      <c r="C384" s="1" t="n">
        <v>45911</v>
      </c>
      <c r="D384" t="inlineStr">
        <is>
          <t>SÖDERMANLANDS LÄN</t>
        </is>
      </c>
      <c r="E384" t="inlineStr">
        <is>
          <t>KATRINEHOLM</t>
        </is>
      </c>
      <c r="F384" t="inlineStr">
        <is>
          <t>Övriga Aktiebolag</t>
        </is>
      </c>
      <c r="G384" t="n">
        <v>9.5</v>
      </c>
      <c r="H384" t="n">
        <v>0</v>
      </c>
      <c r="I384" t="n">
        <v>0</v>
      </c>
      <c r="J384" t="n">
        <v>0</v>
      </c>
      <c r="K384" t="n">
        <v>0</v>
      </c>
      <c r="L384" t="n">
        <v>0</v>
      </c>
      <c r="M384" t="n">
        <v>0</v>
      </c>
      <c r="N384" t="n">
        <v>0</v>
      </c>
      <c r="O384" t="n">
        <v>0</v>
      </c>
      <c r="P384" t="n">
        <v>0</v>
      </c>
      <c r="Q384" t="n">
        <v>0</v>
      </c>
      <c r="R384" s="2" t="inlineStr"/>
    </row>
    <row r="385" ht="15" customHeight="1">
      <c r="A385" t="inlineStr">
        <is>
          <t>A 25823-2023</t>
        </is>
      </c>
      <c r="B385" s="1" t="n">
        <v>45090.55078703703</v>
      </c>
      <c r="C385" s="1" t="n">
        <v>45911</v>
      </c>
      <c r="D385" t="inlineStr">
        <is>
          <t>SÖDERMANLANDS LÄN</t>
        </is>
      </c>
      <c r="E385" t="inlineStr">
        <is>
          <t>KATRINEHOLM</t>
        </is>
      </c>
      <c r="F385" t="inlineStr">
        <is>
          <t>Kyrkan</t>
        </is>
      </c>
      <c r="G385" t="n">
        <v>10.2</v>
      </c>
      <c r="H385" t="n">
        <v>0</v>
      </c>
      <c r="I385" t="n">
        <v>0</v>
      </c>
      <c r="J385" t="n">
        <v>0</v>
      </c>
      <c r="K385" t="n">
        <v>0</v>
      </c>
      <c r="L385" t="n">
        <v>0</v>
      </c>
      <c r="M385" t="n">
        <v>0</v>
      </c>
      <c r="N385" t="n">
        <v>0</v>
      </c>
      <c r="O385" t="n">
        <v>0</v>
      </c>
      <c r="P385" t="n">
        <v>0</v>
      </c>
      <c r="Q385" t="n">
        <v>0</v>
      </c>
      <c r="R385" s="2" t="inlineStr"/>
    </row>
    <row r="386" ht="15" customHeight="1">
      <c r="A386" t="inlineStr">
        <is>
          <t>A 8917-2024</t>
        </is>
      </c>
      <c r="B386" s="1" t="n">
        <v>45357.37618055556</v>
      </c>
      <c r="C386" s="1" t="n">
        <v>45911</v>
      </c>
      <c r="D386" t="inlineStr">
        <is>
          <t>SÖDERMANLANDS LÄN</t>
        </is>
      </c>
      <c r="E386" t="inlineStr">
        <is>
          <t>KATRINEHOLM</t>
        </is>
      </c>
      <c r="G386" t="n">
        <v>3</v>
      </c>
      <c r="H386" t="n">
        <v>0</v>
      </c>
      <c r="I386" t="n">
        <v>0</v>
      </c>
      <c r="J386" t="n">
        <v>0</v>
      </c>
      <c r="K386" t="n">
        <v>0</v>
      </c>
      <c r="L386" t="n">
        <v>0</v>
      </c>
      <c r="M386" t="n">
        <v>0</v>
      </c>
      <c r="N386" t="n">
        <v>0</v>
      </c>
      <c r="O386" t="n">
        <v>0</v>
      </c>
      <c r="P386" t="n">
        <v>0</v>
      </c>
      <c r="Q386" t="n">
        <v>0</v>
      </c>
      <c r="R386" s="2" t="inlineStr"/>
    </row>
    <row r="387" ht="15" customHeight="1">
      <c r="A387" t="inlineStr">
        <is>
          <t>A 4656-2023</t>
        </is>
      </c>
      <c r="B387" s="1" t="n">
        <v>44957</v>
      </c>
      <c r="C387" s="1" t="n">
        <v>45911</v>
      </c>
      <c r="D387" t="inlineStr">
        <is>
          <t>SÖDERMANLANDS LÄN</t>
        </is>
      </c>
      <c r="E387" t="inlineStr">
        <is>
          <t>KATRINEHOLM</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35608-2024</t>
        </is>
      </c>
      <c r="B388" s="1" t="n">
        <v>45531</v>
      </c>
      <c r="C388" s="1" t="n">
        <v>45911</v>
      </c>
      <c r="D388" t="inlineStr">
        <is>
          <t>SÖDERMANLANDS LÄN</t>
        </is>
      </c>
      <c r="E388" t="inlineStr">
        <is>
          <t>KATRINEHOLM</t>
        </is>
      </c>
      <c r="G388" t="n">
        <v>2</v>
      </c>
      <c r="H388" t="n">
        <v>0</v>
      </c>
      <c r="I388" t="n">
        <v>0</v>
      </c>
      <c r="J388" t="n">
        <v>0</v>
      </c>
      <c r="K388" t="n">
        <v>0</v>
      </c>
      <c r="L388" t="n">
        <v>0</v>
      </c>
      <c r="M388" t="n">
        <v>0</v>
      </c>
      <c r="N388" t="n">
        <v>0</v>
      </c>
      <c r="O388" t="n">
        <v>0</v>
      </c>
      <c r="P388" t="n">
        <v>0</v>
      </c>
      <c r="Q388" t="n">
        <v>0</v>
      </c>
      <c r="R388" s="2" t="inlineStr"/>
    </row>
    <row r="389" ht="15" customHeight="1">
      <c r="A389" t="inlineStr">
        <is>
          <t>A 59093-2024</t>
        </is>
      </c>
      <c r="B389" s="1" t="n">
        <v>45636</v>
      </c>
      <c r="C389" s="1" t="n">
        <v>45911</v>
      </c>
      <c r="D389" t="inlineStr">
        <is>
          <t>SÖDERMANLANDS LÄN</t>
        </is>
      </c>
      <c r="E389" t="inlineStr">
        <is>
          <t>KATRINEHOLM</t>
        </is>
      </c>
      <c r="G389" t="n">
        <v>2.8</v>
      </c>
      <c r="H389" t="n">
        <v>0</v>
      </c>
      <c r="I389" t="n">
        <v>0</v>
      </c>
      <c r="J389" t="n">
        <v>0</v>
      </c>
      <c r="K389" t="n">
        <v>0</v>
      </c>
      <c r="L389" t="n">
        <v>0</v>
      </c>
      <c r="M389" t="n">
        <v>0</v>
      </c>
      <c r="N389" t="n">
        <v>0</v>
      </c>
      <c r="O389" t="n">
        <v>0</v>
      </c>
      <c r="P389" t="n">
        <v>0</v>
      </c>
      <c r="Q389" t="n">
        <v>0</v>
      </c>
      <c r="R389" s="2" t="inlineStr"/>
    </row>
    <row r="390" ht="15" customHeight="1">
      <c r="A390" t="inlineStr">
        <is>
          <t>A 17360-2022</t>
        </is>
      </c>
      <c r="B390" s="1" t="n">
        <v>44678</v>
      </c>
      <c r="C390" s="1" t="n">
        <v>45911</v>
      </c>
      <c r="D390" t="inlineStr">
        <is>
          <t>SÖDERMANLANDS LÄN</t>
        </is>
      </c>
      <c r="E390" t="inlineStr">
        <is>
          <t>KATRINEHOLM</t>
        </is>
      </c>
      <c r="G390" t="n">
        <v>4.5</v>
      </c>
      <c r="H390" t="n">
        <v>0</v>
      </c>
      <c r="I390" t="n">
        <v>0</v>
      </c>
      <c r="J390" t="n">
        <v>0</v>
      </c>
      <c r="K390" t="n">
        <v>0</v>
      </c>
      <c r="L390" t="n">
        <v>0</v>
      </c>
      <c r="M390" t="n">
        <v>0</v>
      </c>
      <c r="N390" t="n">
        <v>0</v>
      </c>
      <c r="O390" t="n">
        <v>0</v>
      </c>
      <c r="P390" t="n">
        <v>0</v>
      </c>
      <c r="Q390" t="n">
        <v>0</v>
      </c>
      <c r="R390" s="2" t="inlineStr"/>
    </row>
    <row r="391" ht="15" customHeight="1">
      <c r="A391" t="inlineStr">
        <is>
          <t>A 38872-2024</t>
        </is>
      </c>
      <c r="B391" s="1" t="n">
        <v>45547</v>
      </c>
      <c r="C391" s="1" t="n">
        <v>45911</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12633-2022</t>
        </is>
      </c>
      <c r="B392" s="1" t="n">
        <v>44638</v>
      </c>
      <c r="C392" s="1" t="n">
        <v>45911</v>
      </c>
      <c r="D392" t="inlineStr">
        <is>
          <t>SÖDERMANLANDS LÄN</t>
        </is>
      </c>
      <c r="E392" t="inlineStr">
        <is>
          <t>KATRINEHOLM</t>
        </is>
      </c>
      <c r="G392" t="n">
        <v>6.4</v>
      </c>
      <c r="H392" t="n">
        <v>0</v>
      </c>
      <c r="I392" t="n">
        <v>0</v>
      </c>
      <c r="J392" t="n">
        <v>0</v>
      </c>
      <c r="K392" t="n">
        <v>0</v>
      </c>
      <c r="L392" t="n">
        <v>0</v>
      </c>
      <c r="M392" t="n">
        <v>0</v>
      </c>
      <c r="N392" t="n">
        <v>0</v>
      </c>
      <c r="O392" t="n">
        <v>0</v>
      </c>
      <c r="P392" t="n">
        <v>0</v>
      </c>
      <c r="Q392" t="n">
        <v>0</v>
      </c>
      <c r="R392" s="2" t="inlineStr"/>
    </row>
    <row r="393" ht="15" customHeight="1">
      <c r="A393" t="inlineStr">
        <is>
          <t>A 69600-2020</t>
        </is>
      </c>
      <c r="B393" s="1" t="n">
        <v>44195</v>
      </c>
      <c r="C393" s="1" t="n">
        <v>45911</v>
      </c>
      <c r="D393" t="inlineStr">
        <is>
          <t>SÖDERMANLANDS LÄN</t>
        </is>
      </c>
      <c r="E393" t="inlineStr">
        <is>
          <t>KATRINEHOLM</t>
        </is>
      </c>
      <c r="G393" t="n">
        <v>11.3</v>
      </c>
      <c r="H393" t="n">
        <v>0</v>
      </c>
      <c r="I393" t="n">
        <v>0</v>
      </c>
      <c r="J393" t="n">
        <v>0</v>
      </c>
      <c r="K393" t="n">
        <v>0</v>
      </c>
      <c r="L393" t="n">
        <v>0</v>
      </c>
      <c r="M393" t="n">
        <v>0</v>
      </c>
      <c r="N393" t="n">
        <v>0</v>
      </c>
      <c r="O393" t="n">
        <v>0</v>
      </c>
      <c r="P393" t="n">
        <v>0</v>
      </c>
      <c r="Q393" t="n">
        <v>0</v>
      </c>
      <c r="R393" s="2" t="inlineStr"/>
    </row>
    <row r="394" ht="15" customHeight="1">
      <c r="A394" t="inlineStr">
        <is>
          <t>A 9932-2023</t>
        </is>
      </c>
      <c r="B394" s="1" t="n">
        <v>44985.46709490741</v>
      </c>
      <c r="C394" s="1" t="n">
        <v>45911</v>
      </c>
      <c r="D394" t="inlineStr">
        <is>
          <t>SÖDERMANLANDS LÄN</t>
        </is>
      </c>
      <c r="E394" t="inlineStr">
        <is>
          <t>KATRINEHOLM</t>
        </is>
      </c>
      <c r="G394" t="n">
        <v>0.3</v>
      </c>
      <c r="H394" t="n">
        <v>0</v>
      </c>
      <c r="I394" t="n">
        <v>0</v>
      </c>
      <c r="J394" t="n">
        <v>0</v>
      </c>
      <c r="K394" t="n">
        <v>0</v>
      </c>
      <c r="L394" t="n">
        <v>0</v>
      </c>
      <c r="M394" t="n">
        <v>0</v>
      </c>
      <c r="N394" t="n">
        <v>0</v>
      </c>
      <c r="O394" t="n">
        <v>0</v>
      </c>
      <c r="P394" t="n">
        <v>0</v>
      </c>
      <c r="Q394" t="n">
        <v>0</v>
      </c>
      <c r="R394" s="2" t="inlineStr"/>
    </row>
    <row r="395" ht="15" customHeight="1">
      <c r="A395" t="inlineStr">
        <is>
          <t>A 22295-2024</t>
        </is>
      </c>
      <c r="B395" s="1" t="n">
        <v>45446.56141203704</v>
      </c>
      <c r="C395" s="1" t="n">
        <v>45911</v>
      </c>
      <c r="D395" t="inlineStr">
        <is>
          <t>SÖDERMANLANDS LÄN</t>
        </is>
      </c>
      <c r="E395" t="inlineStr">
        <is>
          <t>KATRINEHOLM</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29189-2025</t>
        </is>
      </c>
      <c r="B396" s="1" t="n">
        <v>45822</v>
      </c>
      <c r="C396" s="1" t="n">
        <v>45911</v>
      </c>
      <c r="D396" t="inlineStr">
        <is>
          <t>SÖDERMANLANDS LÄN</t>
        </is>
      </c>
      <c r="E396" t="inlineStr">
        <is>
          <t>KATRINEHOLM</t>
        </is>
      </c>
      <c r="G396" t="n">
        <v>3.5</v>
      </c>
      <c r="H396" t="n">
        <v>0</v>
      </c>
      <c r="I396" t="n">
        <v>0</v>
      </c>
      <c r="J396" t="n">
        <v>0</v>
      </c>
      <c r="K396" t="n">
        <v>0</v>
      </c>
      <c r="L396" t="n">
        <v>0</v>
      </c>
      <c r="M396" t="n">
        <v>0</v>
      </c>
      <c r="N396" t="n">
        <v>0</v>
      </c>
      <c r="O396" t="n">
        <v>0</v>
      </c>
      <c r="P396" t="n">
        <v>0</v>
      </c>
      <c r="Q396" t="n">
        <v>0</v>
      </c>
      <c r="R396" s="2" t="inlineStr"/>
    </row>
    <row r="397" ht="15" customHeight="1">
      <c r="A397" t="inlineStr">
        <is>
          <t>A 61674-2020</t>
        </is>
      </c>
      <c r="B397" s="1" t="n">
        <v>44158</v>
      </c>
      <c r="C397" s="1" t="n">
        <v>45911</v>
      </c>
      <c r="D397" t="inlineStr">
        <is>
          <t>SÖDERMANLANDS LÄN</t>
        </is>
      </c>
      <c r="E397" t="inlineStr">
        <is>
          <t>KATRINEHOLM</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9192-2023</t>
        </is>
      </c>
      <c r="B398" s="1" t="n">
        <v>44980</v>
      </c>
      <c r="C398" s="1" t="n">
        <v>45911</v>
      </c>
      <c r="D398" t="inlineStr">
        <is>
          <t>SÖDERMANLANDS LÄN</t>
        </is>
      </c>
      <c r="E398" t="inlineStr">
        <is>
          <t>KATRINEHOLM</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15399-2022</t>
        </is>
      </c>
      <c r="B399" s="1" t="n">
        <v>44659</v>
      </c>
      <c r="C399" s="1" t="n">
        <v>45911</v>
      </c>
      <c r="D399" t="inlineStr">
        <is>
          <t>SÖDERMANLANDS LÄN</t>
        </is>
      </c>
      <c r="E399" t="inlineStr">
        <is>
          <t>KATRINEHOLM</t>
        </is>
      </c>
      <c r="G399" t="n">
        <v>5.6</v>
      </c>
      <c r="H399" t="n">
        <v>0</v>
      </c>
      <c r="I399" t="n">
        <v>0</v>
      </c>
      <c r="J399" t="n">
        <v>0</v>
      </c>
      <c r="K399" t="n">
        <v>0</v>
      </c>
      <c r="L399" t="n">
        <v>0</v>
      </c>
      <c r="M399" t="n">
        <v>0</v>
      </c>
      <c r="N399" t="n">
        <v>0</v>
      </c>
      <c r="O399" t="n">
        <v>0</v>
      </c>
      <c r="P399" t="n">
        <v>0</v>
      </c>
      <c r="Q399" t="n">
        <v>0</v>
      </c>
      <c r="R399" s="2" t="inlineStr"/>
    </row>
    <row r="400" ht="15" customHeight="1">
      <c r="A400" t="inlineStr">
        <is>
          <t>A 11872-2023</t>
        </is>
      </c>
      <c r="B400" s="1" t="n">
        <v>44995</v>
      </c>
      <c r="C400" s="1" t="n">
        <v>45911</v>
      </c>
      <c r="D400" t="inlineStr">
        <is>
          <t>SÖDERMANLANDS LÄN</t>
        </is>
      </c>
      <c r="E400" t="inlineStr">
        <is>
          <t>KATRINEHOLM</t>
        </is>
      </c>
      <c r="F400" t="inlineStr">
        <is>
          <t>Kommuner</t>
        </is>
      </c>
      <c r="G400" t="n">
        <v>0.9</v>
      </c>
      <c r="H400" t="n">
        <v>0</v>
      </c>
      <c r="I400" t="n">
        <v>0</v>
      </c>
      <c r="J400" t="n">
        <v>0</v>
      </c>
      <c r="K400" t="n">
        <v>0</v>
      </c>
      <c r="L400" t="n">
        <v>0</v>
      </c>
      <c r="M400" t="n">
        <v>0</v>
      </c>
      <c r="N400" t="n">
        <v>0</v>
      </c>
      <c r="O400" t="n">
        <v>0</v>
      </c>
      <c r="P400" t="n">
        <v>0</v>
      </c>
      <c r="Q400" t="n">
        <v>0</v>
      </c>
      <c r="R400" s="2" t="inlineStr"/>
    </row>
    <row r="401" ht="15" customHeight="1">
      <c r="A401" t="inlineStr">
        <is>
          <t>A 46700-2023</t>
        </is>
      </c>
      <c r="B401" s="1" t="n">
        <v>45194</v>
      </c>
      <c r="C401" s="1" t="n">
        <v>45911</v>
      </c>
      <c r="D401" t="inlineStr">
        <is>
          <t>SÖDERMANLANDS LÄN</t>
        </is>
      </c>
      <c r="E401" t="inlineStr">
        <is>
          <t>KATRINEHOLM</t>
        </is>
      </c>
      <c r="G401" t="n">
        <v>3</v>
      </c>
      <c r="H401" t="n">
        <v>0</v>
      </c>
      <c r="I401" t="n">
        <v>0</v>
      </c>
      <c r="J401" t="n">
        <v>0</v>
      </c>
      <c r="K401" t="n">
        <v>0</v>
      </c>
      <c r="L401" t="n">
        <v>0</v>
      </c>
      <c r="M401" t="n">
        <v>0</v>
      </c>
      <c r="N401" t="n">
        <v>0</v>
      </c>
      <c r="O401" t="n">
        <v>0</v>
      </c>
      <c r="P401" t="n">
        <v>0</v>
      </c>
      <c r="Q401" t="n">
        <v>0</v>
      </c>
      <c r="R401" s="2" t="inlineStr"/>
    </row>
    <row r="402" ht="15" customHeight="1">
      <c r="A402" t="inlineStr">
        <is>
          <t>A 55590-2023</t>
        </is>
      </c>
      <c r="B402" s="1" t="n">
        <v>45238</v>
      </c>
      <c r="C402" s="1" t="n">
        <v>45911</v>
      </c>
      <c r="D402" t="inlineStr">
        <is>
          <t>SÖDERMANLANDS LÄN</t>
        </is>
      </c>
      <c r="E402" t="inlineStr">
        <is>
          <t>KATRINEHOLM</t>
        </is>
      </c>
      <c r="G402" t="n">
        <v>4.5</v>
      </c>
      <c r="H402" t="n">
        <v>0</v>
      </c>
      <c r="I402" t="n">
        <v>0</v>
      </c>
      <c r="J402" t="n">
        <v>0</v>
      </c>
      <c r="K402" t="n">
        <v>0</v>
      </c>
      <c r="L402" t="n">
        <v>0</v>
      </c>
      <c r="M402" t="n">
        <v>0</v>
      </c>
      <c r="N402" t="n">
        <v>0</v>
      </c>
      <c r="O402" t="n">
        <v>0</v>
      </c>
      <c r="P402" t="n">
        <v>0</v>
      </c>
      <c r="Q402" t="n">
        <v>0</v>
      </c>
      <c r="R402" s="2" t="inlineStr"/>
    </row>
    <row r="403" ht="15" customHeight="1">
      <c r="A403" t="inlineStr">
        <is>
          <t>A 49092-2024</t>
        </is>
      </c>
      <c r="B403" s="1" t="n">
        <v>45594.63619212963</v>
      </c>
      <c r="C403" s="1" t="n">
        <v>45911</v>
      </c>
      <c r="D403" t="inlineStr">
        <is>
          <t>SÖDERMANLANDS LÄN</t>
        </is>
      </c>
      <c r="E403" t="inlineStr">
        <is>
          <t>KATRINEHOLM</t>
        </is>
      </c>
      <c r="F403" t="inlineStr">
        <is>
          <t>Övriga Aktiebolag</t>
        </is>
      </c>
      <c r="G403" t="n">
        <v>0.4</v>
      </c>
      <c r="H403" t="n">
        <v>0</v>
      </c>
      <c r="I403" t="n">
        <v>0</v>
      </c>
      <c r="J403" t="n">
        <v>0</v>
      </c>
      <c r="K403" t="n">
        <v>0</v>
      </c>
      <c r="L403" t="n">
        <v>0</v>
      </c>
      <c r="M403" t="n">
        <v>0</v>
      </c>
      <c r="N403" t="n">
        <v>0</v>
      </c>
      <c r="O403" t="n">
        <v>0</v>
      </c>
      <c r="P403" t="n">
        <v>0</v>
      </c>
      <c r="Q403" t="n">
        <v>0</v>
      </c>
      <c r="R403" s="2" t="inlineStr"/>
    </row>
    <row r="404" ht="15" customHeight="1">
      <c r="A404" t="inlineStr">
        <is>
          <t>A 49095-2024</t>
        </is>
      </c>
      <c r="B404" s="1" t="n">
        <v>45594.63828703704</v>
      </c>
      <c r="C404" s="1" t="n">
        <v>45911</v>
      </c>
      <c r="D404" t="inlineStr">
        <is>
          <t>SÖDERMANLANDS LÄN</t>
        </is>
      </c>
      <c r="E404" t="inlineStr">
        <is>
          <t>KATRINEHOLM</t>
        </is>
      </c>
      <c r="F404" t="inlineStr">
        <is>
          <t>Övriga Aktiebolag</t>
        </is>
      </c>
      <c r="G404" t="n">
        <v>0.4</v>
      </c>
      <c r="H404" t="n">
        <v>0</v>
      </c>
      <c r="I404" t="n">
        <v>0</v>
      </c>
      <c r="J404" t="n">
        <v>0</v>
      </c>
      <c r="K404" t="n">
        <v>0</v>
      </c>
      <c r="L404" t="n">
        <v>0</v>
      </c>
      <c r="M404" t="n">
        <v>0</v>
      </c>
      <c r="N404" t="n">
        <v>0</v>
      </c>
      <c r="O404" t="n">
        <v>0</v>
      </c>
      <c r="P404" t="n">
        <v>0</v>
      </c>
      <c r="Q404" t="n">
        <v>0</v>
      </c>
      <c r="R404" s="2" t="inlineStr"/>
    </row>
    <row r="405" ht="15" customHeight="1">
      <c r="A405" t="inlineStr">
        <is>
          <t>A 15898-2022</t>
        </is>
      </c>
      <c r="B405" s="1" t="n">
        <v>44664.55688657407</v>
      </c>
      <c r="C405" s="1" t="n">
        <v>45911</v>
      </c>
      <c r="D405" t="inlineStr">
        <is>
          <t>SÖDERMANLANDS LÄN</t>
        </is>
      </c>
      <c r="E405" t="inlineStr">
        <is>
          <t>KATRINEHOLM</t>
        </is>
      </c>
      <c r="G405" t="n">
        <v>6.5</v>
      </c>
      <c r="H405" t="n">
        <v>0</v>
      </c>
      <c r="I405" t="n">
        <v>0</v>
      </c>
      <c r="J405" t="n">
        <v>0</v>
      </c>
      <c r="K405" t="n">
        <v>0</v>
      </c>
      <c r="L405" t="n">
        <v>0</v>
      </c>
      <c r="M405" t="n">
        <v>0</v>
      </c>
      <c r="N405" t="n">
        <v>0</v>
      </c>
      <c r="O405" t="n">
        <v>0</v>
      </c>
      <c r="P405" t="n">
        <v>0</v>
      </c>
      <c r="Q405" t="n">
        <v>0</v>
      </c>
      <c r="R405" s="2" t="inlineStr"/>
    </row>
    <row r="406" ht="15" customHeight="1">
      <c r="A406" t="inlineStr">
        <is>
          <t>A 15910-2022</t>
        </is>
      </c>
      <c r="B406" s="1" t="n">
        <v>44664</v>
      </c>
      <c r="C406" s="1" t="n">
        <v>45911</v>
      </c>
      <c r="D406" t="inlineStr">
        <is>
          <t>SÖDERMANLANDS LÄN</t>
        </is>
      </c>
      <c r="E406" t="inlineStr">
        <is>
          <t>KATRINEHOLM</t>
        </is>
      </c>
      <c r="G406" t="n">
        <v>5.6</v>
      </c>
      <c r="H406" t="n">
        <v>0</v>
      </c>
      <c r="I406" t="n">
        <v>0</v>
      </c>
      <c r="J406" t="n">
        <v>0</v>
      </c>
      <c r="K406" t="n">
        <v>0</v>
      </c>
      <c r="L406" t="n">
        <v>0</v>
      </c>
      <c r="M406" t="n">
        <v>0</v>
      </c>
      <c r="N406" t="n">
        <v>0</v>
      </c>
      <c r="O406" t="n">
        <v>0</v>
      </c>
      <c r="P406" t="n">
        <v>0</v>
      </c>
      <c r="Q406" t="n">
        <v>0</v>
      </c>
      <c r="R406" s="2" t="inlineStr"/>
    </row>
    <row r="407" ht="15" customHeight="1">
      <c r="A407" t="inlineStr">
        <is>
          <t>A 7254-2021</t>
        </is>
      </c>
      <c r="B407" s="1" t="n">
        <v>44238</v>
      </c>
      <c r="C407" s="1" t="n">
        <v>45911</v>
      </c>
      <c r="D407" t="inlineStr">
        <is>
          <t>SÖDERMANLANDS LÄN</t>
        </is>
      </c>
      <c r="E407" t="inlineStr">
        <is>
          <t>KATRINEHOLM</t>
        </is>
      </c>
      <c r="G407" t="n">
        <v>3.6</v>
      </c>
      <c r="H407" t="n">
        <v>0</v>
      </c>
      <c r="I407" t="n">
        <v>0</v>
      </c>
      <c r="J407" t="n">
        <v>0</v>
      </c>
      <c r="K407" t="n">
        <v>0</v>
      </c>
      <c r="L407" t="n">
        <v>0</v>
      </c>
      <c r="M407" t="n">
        <v>0</v>
      </c>
      <c r="N407" t="n">
        <v>0</v>
      </c>
      <c r="O407" t="n">
        <v>0</v>
      </c>
      <c r="P407" t="n">
        <v>0</v>
      </c>
      <c r="Q407" t="n">
        <v>0</v>
      </c>
      <c r="R407" s="2" t="inlineStr"/>
    </row>
    <row r="408" ht="15" customHeight="1">
      <c r="A408" t="inlineStr">
        <is>
          <t>A 32818-2023</t>
        </is>
      </c>
      <c r="B408" s="1" t="n">
        <v>45124.55633101852</v>
      </c>
      <c r="C408" s="1" t="n">
        <v>45911</v>
      </c>
      <c r="D408" t="inlineStr">
        <is>
          <t>SÖDERMANLANDS LÄN</t>
        </is>
      </c>
      <c r="E408" t="inlineStr">
        <is>
          <t>KATRINEHOLM</t>
        </is>
      </c>
      <c r="G408" t="n">
        <v>3.4</v>
      </c>
      <c r="H408" t="n">
        <v>0</v>
      </c>
      <c r="I408" t="n">
        <v>0</v>
      </c>
      <c r="J408" t="n">
        <v>0</v>
      </c>
      <c r="K408" t="n">
        <v>0</v>
      </c>
      <c r="L408" t="n">
        <v>0</v>
      </c>
      <c r="M408" t="n">
        <v>0</v>
      </c>
      <c r="N408" t="n">
        <v>0</v>
      </c>
      <c r="O408" t="n">
        <v>0</v>
      </c>
      <c r="P408" t="n">
        <v>0</v>
      </c>
      <c r="Q408" t="n">
        <v>0</v>
      </c>
      <c r="R408" s="2" t="inlineStr"/>
    </row>
    <row r="409" ht="15" customHeight="1">
      <c r="A409" t="inlineStr">
        <is>
          <t>A 30050-2025</t>
        </is>
      </c>
      <c r="B409" s="1" t="n">
        <v>45826.59151620371</v>
      </c>
      <c r="C409" s="1" t="n">
        <v>45911</v>
      </c>
      <c r="D409" t="inlineStr">
        <is>
          <t>SÖDERMANLANDS LÄN</t>
        </is>
      </c>
      <c r="E409" t="inlineStr">
        <is>
          <t>KATRINEHOLM</t>
        </is>
      </c>
      <c r="G409" t="n">
        <v>7.9</v>
      </c>
      <c r="H409" t="n">
        <v>0</v>
      </c>
      <c r="I409" t="n">
        <v>0</v>
      </c>
      <c r="J409" t="n">
        <v>0</v>
      </c>
      <c r="K409" t="n">
        <v>0</v>
      </c>
      <c r="L409" t="n">
        <v>0</v>
      </c>
      <c r="M409" t="n">
        <v>0</v>
      </c>
      <c r="N409" t="n">
        <v>0</v>
      </c>
      <c r="O409" t="n">
        <v>0</v>
      </c>
      <c r="P409" t="n">
        <v>0</v>
      </c>
      <c r="Q409" t="n">
        <v>0</v>
      </c>
      <c r="R409" s="2" t="inlineStr"/>
    </row>
    <row r="410" ht="15" customHeight="1">
      <c r="A410" t="inlineStr">
        <is>
          <t>A 65077-2020</t>
        </is>
      </c>
      <c r="B410" s="1" t="n">
        <v>44172</v>
      </c>
      <c r="C410" s="1" t="n">
        <v>45911</v>
      </c>
      <c r="D410" t="inlineStr">
        <is>
          <t>SÖDERMANLANDS LÄN</t>
        </is>
      </c>
      <c r="E410" t="inlineStr">
        <is>
          <t>KATRINEHOLM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20214-2025</t>
        </is>
      </c>
      <c r="B411" s="1" t="n">
        <v>45772.63540509259</v>
      </c>
      <c r="C411" s="1" t="n">
        <v>45911</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36-2023</t>
        </is>
      </c>
      <c r="B412" s="1" t="n">
        <v>44928.36578703704</v>
      </c>
      <c r="C412" s="1" t="n">
        <v>45911</v>
      </c>
      <c r="D412" t="inlineStr">
        <is>
          <t>SÖDERMANLANDS LÄN</t>
        </is>
      </c>
      <c r="E412" t="inlineStr">
        <is>
          <t>KATRINEHOLM</t>
        </is>
      </c>
      <c r="G412" t="n">
        <v>3.7</v>
      </c>
      <c r="H412" t="n">
        <v>0</v>
      </c>
      <c r="I412" t="n">
        <v>0</v>
      </c>
      <c r="J412" t="n">
        <v>0</v>
      </c>
      <c r="K412" t="n">
        <v>0</v>
      </c>
      <c r="L412" t="n">
        <v>0</v>
      </c>
      <c r="M412" t="n">
        <v>0</v>
      </c>
      <c r="N412" t="n">
        <v>0</v>
      </c>
      <c r="O412" t="n">
        <v>0</v>
      </c>
      <c r="P412" t="n">
        <v>0</v>
      </c>
      <c r="Q412" t="n">
        <v>0</v>
      </c>
      <c r="R412" s="2" t="inlineStr"/>
    </row>
    <row r="413" ht="15" customHeight="1">
      <c r="A413" t="inlineStr">
        <is>
          <t>A 22272-2022</t>
        </is>
      </c>
      <c r="B413" s="1" t="n">
        <v>44712</v>
      </c>
      <c r="C413" s="1" t="n">
        <v>45911</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30070-2025</t>
        </is>
      </c>
      <c r="B414" s="1" t="n">
        <v>45826.63324074074</v>
      </c>
      <c r="C414" s="1" t="n">
        <v>45911</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10341-2022</t>
        </is>
      </c>
      <c r="B415" s="1" t="n">
        <v>44623</v>
      </c>
      <c r="C415" s="1" t="n">
        <v>45911</v>
      </c>
      <c r="D415" t="inlineStr">
        <is>
          <t>SÖDERMANLANDS LÄN</t>
        </is>
      </c>
      <c r="E415" t="inlineStr">
        <is>
          <t>KATRINEHOLM</t>
        </is>
      </c>
      <c r="G415" t="n">
        <v>2.3</v>
      </c>
      <c r="H415" t="n">
        <v>0</v>
      </c>
      <c r="I415" t="n">
        <v>0</v>
      </c>
      <c r="J415" t="n">
        <v>0</v>
      </c>
      <c r="K415" t="n">
        <v>0</v>
      </c>
      <c r="L415" t="n">
        <v>0</v>
      </c>
      <c r="M415" t="n">
        <v>0</v>
      </c>
      <c r="N415" t="n">
        <v>0</v>
      </c>
      <c r="O415" t="n">
        <v>0</v>
      </c>
      <c r="P415" t="n">
        <v>0</v>
      </c>
      <c r="Q415" t="n">
        <v>0</v>
      </c>
      <c r="R415" s="2" t="inlineStr"/>
    </row>
    <row r="416" ht="15" customHeight="1">
      <c r="A416" t="inlineStr">
        <is>
          <t>A 27334-2023</t>
        </is>
      </c>
      <c r="B416" s="1" t="n">
        <v>45096</v>
      </c>
      <c r="C416" s="1" t="n">
        <v>45911</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12835-2024</t>
        </is>
      </c>
      <c r="B417" s="1" t="n">
        <v>45384</v>
      </c>
      <c r="C417" s="1" t="n">
        <v>45911</v>
      </c>
      <c r="D417" t="inlineStr">
        <is>
          <t>SÖDERMANLANDS LÄN</t>
        </is>
      </c>
      <c r="E417" t="inlineStr">
        <is>
          <t>KATRINEHOLM</t>
        </is>
      </c>
      <c r="F417" t="inlineStr">
        <is>
          <t>Allmännings- och besparingsskogar</t>
        </is>
      </c>
      <c r="G417" t="n">
        <v>0.5</v>
      </c>
      <c r="H417" t="n">
        <v>0</v>
      </c>
      <c r="I417" t="n">
        <v>0</v>
      </c>
      <c r="J417" t="n">
        <v>0</v>
      </c>
      <c r="K417" t="n">
        <v>0</v>
      </c>
      <c r="L417" t="n">
        <v>0</v>
      </c>
      <c r="M417" t="n">
        <v>0</v>
      </c>
      <c r="N417" t="n">
        <v>0</v>
      </c>
      <c r="O417" t="n">
        <v>0</v>
      </c>
      <c r="P417" t="n">
        <v>0</v>
      </c>
      <c r="Q417" t="n">
        <v>0</v>
      </c>
      <c r="R417" s="2" t="inlineStr"/>
    </row>
    <row r="418" ht="15" customHeight="1">
      <c r="A418" t="inlineStr">
        <is>
          <t>A 25716-2022</t>
        </is>
      </c>
      <c r="B418" s="1" t="n">
        <v>44733.39600694444</v>
      </c>
      <c r="C418" s="1" t="n">
        <v>45911</v>
      </c>
      <c r="D418" t="inlineStr">
        <is>
          <t>SÖDERMANLANDS LÄN</t>
        </is>
      </c>
      <c r="E418" t="inlineStr">
        <is>
          <t>KATRINEHOLM</t>
        </is>
      </c>
      <c r="G418" t="n">
        <v>3.4</v>
      </c>
      <c r="H418" t="n">
        <v>0</v>
      </c>
      <c r="I418" t="n">
        <v>0</v>
      </c>
      <c r="J418" t="n">
        <v>0</v>
      </c>
      <c r="K418" t="n">
        <v>0</v>
      </c>
      <c r="L418" t="n">
        <v>0</v>
      </c>
      <c r="M418" t="n">
        <v>0</v>
      </c>
      <c r="N418" t="n">
        <v>0</v>
      </c>
      <c r="O418" t="n">
        <v>0</v>
      </c>
      <c r="P418" t="n">
        <v>0</v>
      </c>
      <c r="Q418" t="n">
        <v>0</v>
      </c>
      <c r="R418" s="2" t="inlineStr"/>
    </row>
    <row r="419" ht="15" customHeight="1">
      <c r="A419" t="inlineStr">
        <is>
          <t>A 6807-2023</t>
        </is>
      </c>
      <c r="B419" s="1" t="n">
        <v>44964</v>
      </c>
      <c r="C419" s="1" t="n">
        <v>45911</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30287-2025</t>
        </is>
      </c>
      <c r="B420" s="1" t="n">
        <v>45827</v>
      </c>
      <c r="C420" s="1" t="n">
        <v>45911</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9668-2023</t>
        </is>
      </c>
      <c r="B421" s="1" t="n">
        <v>44984.41238425926</v>
      </c>
      <c r="C421" s="1" t="n">
        <v>45911</v>
      </c>
      <c r="D421" t="inlineStr">
        <is>
          <t>SÖDERMANLANDS LÄN</t>
        </is>
      </c>
      <c r="E421" t="inlineStr">
        <is>
          <t>KATRINEHOLM</t>
        </is>
      </c>
      <c r="G421" t="n">
        <v>4.8</v>
      </c>
      <c r="H421" t="n">
        <v>0</v>
      </c>
      <c r="I421" t="n">
        <v>0</v>
      </c>
      <c r="J421" t="n">
        <v>0</v>
      </c>
      <c r="K421" t="n">
        <v>0</v>
      </c>
      <c r="L421" t="n">
        <v>0</v>
      </c>
      <c r="M421" t="n">
        <v>0</v>
      </c>
      <c r="N421" t="n">
        <v>0</v>
      </c>
      <c r="O421" t="n">
        <v>0</v>
      </c>
      <c r="P421" t="n">
        <v>0</v>
      </c>
      <c r="Q421" t="n">
        <v>0</v>
      </c>
      <c r="R421" s="2" t="inlineStr"/>
    </row>
    <row r="422" ht="15" customHeight="1">
      <c r="A422" t="inlineStr">
        <is>
          <t>A 30350-2025</t>
        </is>
      </c>
      <c r="B422" s="1" t="n">
        <v>45827.53319444445</v>
      </c>
      <c r="C422" s="1" t="n">
        <v>45911</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30352-2025</t>
        </is>
      </c>
      <c r="B423" s="1" t="n">
        <v>45827</v>
      </c>
      <c r="C423" s="1" t="n">
        <v>45911</v>
      </c>
      <c r="D423" t="inlineStr">
        <is>
          <t>SÖDERMANLANDS LÄN</t>
        </is>
      </c>
      <c r="E423" t="inlineStr">
        <is>
          <t>KATRINEHOLM</t>
        </is>
      </c>
      <c r="G423" t="n">
        <v>1.6</v>
      </c>
      <c r="H423" t="n">
        <v>0</v>
      </c>
      <c r="I423" t="n">
        <v>0</v>
      </c>
      <c r="J423" t="n">
        <v>0</v>
      </c>
      <c r="K423" t="n">
        <v>0</v>
      </c>
      <c r="L423" t="n">
        <v>0</v>
      </c>
      <c r="M423" t="n">
        <v>0</v>
      </c>
      <c r="N423" t="n">
        <v>0</v>
      </c>
      <c r="O423" t="n">
        <v>0</v>
      </c>
      <c r="P423" t="n">
        <v>0</v>
      </c>
      <c r="Q423" t="n">
        <v>0</v>
      </c>
      <c r="R423" s="2" t="inlineStr"/>
    </row>
    <row r="424" ht="15" customHeight="1">
      <c r="A424" t="inlineStr">
        <is>
          <t>A 40186-2023</t>
        </is>
      </c>
      <c r="B424" s="1" t="n">
        <v>45169</v>
      </c>
      <c r="C424" s="1" t="n">
        <v>45911</v>
      </c>
      <c r="D424" t="inlineStr">
        <is>
          <t>SÖDERMANLANDS LÄN</t>
        </is>
      </c>
      <c r="E424" t="inlineStr">
        <is>
          <t>KATRINEHOLM</t>
        </is>
      </c>
      <c r="G424" t="n">
        <v>2.1</v>
      </c>
      <c r="H424" t="n">
        <v>0</v>
      </c>
      <c r="I424" t="n">
        <v>0</v>
      </c>
      <c r="J424" t="n">
        <v>0</v>
      </c>
      <c r="K424" t="n">
        <v>0</v>
      </c>
      <c r="L424" t="n">
        <v>0</v>
      </c>
      <c r="M424" t="n">
        <v>0</v>
      </c>
      <c r="N424" t="n">
        <v>0</v>
      </c>
      <c r="O424" t="n">
        <v>0</v>
      </c>
      <c r="P424" t="n">
        <v>0</v>
      </c>
      <c r="Q424" t="n">
        <v>0</v>
      </c>
      <c r="R424" s="2" t="inlineStr"/>
    </row>
    <row r="425" ht="15" customHeight="1">
      <c r="A425" t="inlineStr">
        <is>
          <t>A 47886-2023</t>
        </is>
      </c>
      <c r="B425" s="1" t="n">
        <v>45204</v>
      </c>
      <c r="C425" s="1" t="n">
        <v>45911</v>
      </c>
      <c r="D425" t="inlineStr">
        <is>
          <t>SÖDERMANLANDS LÄN</t>
        </is>
      </c>
      <c r="E425" t="inlineStr">
        <is>
          <t>KATRINEHOLM</t>
        </is>
      </c>
      <c r="G425" t="n">
        <v>22</v>
      </c>
      <c r="H425" t="n">
        <v>0</v>
      </c>
      <c r="I425" t="n">
        <v>0</v>
      </c>
      <c r="J425" t="n">
        <v>0</v>
      </c>
      <c r="K425" t="n">
        <v>0</v>
      </c>
      <c r="L425" t="n">
        <v>0</v>
      </c>
      <c r="M425" t="n">
        <v>0</v>
      </c>
      <c r="N425" t="n">
        <v>0</v>
      </c>
      <c r="O425" t="n">
        <v>0</v>
      </c>
      <c r="P425" t="n">
        <v>0</v>
      </c>
      <c r="Q425" t="n">
        <v>0</v>
      </c>
      <c r="R425" s="2" t="inlineStr"/>
    </row>
    <row r="426" ht="15" customHeight="1">
      <c r="A426" t="inlineStr">
        <is>
          <t>A 9044-2022</t>
        </is>
      </c>
      <c r="B426" s="1" t="n">
        <v>44602</v>
      </c>
      <c r="C426" s="1" t="n">
        <v>45911</v>
      </c>
      <c r="D426" t="inlineStr">
        <is>
          <t>SÖDERMANLANDS LÄN</t>
        </is>
      </c>
      <c r="E426" t="inlineStr">
        <is>
          <t>KATRINEHOLM</t>
        </is>
      </c>
      <c r="G426" t="n">
        <v>5.8</v>
      </c>
      <c r="H426" t="n">
        <v>0</v>
      </c>
      <c r="I426" t="n">
        <v>0</v>
      </c>
      <c r="J426" t="n">
        <v>0</v>
      </c>
      <c r="K426" t="n">
        <v>0</v>
      </c>
      <c r="L426" t="n">
        <v>0</v>
      </c>
      <c r="M426" t="n">
        <v>0</v>
      </c>
      <c r="N426" t="n">
        <v>0</v>
      </c>
      <c r="O426" t="n">
        <v>0</v>
      </c>
      <c r="P426" t="n">
        <v>0</v>
      </c>
      <c r="Q426" t="n">
        <v>0</v>
      </c>
      <c r="R426" s="2" t="inlineStr"/>
    </row>
    <row r="427" ht="15" customHeight="1">
      <c r="A427" t="inlineStr">
        <is>
          <t>A 36590-2025</t>
        </is>
      </c>
      <c r="B427" s="1" t="n">
        <v>45870</v>
      </c>
      <c r="C427" s="1" t="n">
        <v>45911</v>
      </c>
      <c r="D427" t="inlineStr">
        <is>
          <t>SÖDERMANLANDS LÄN</t>
        </is>
      </c>
      <c r="E427" t="inlineStr">
        <is>
          <t>KATRINEHOLM</t>
        </is>
      </c>
      <c r="G427" t="n">
        <v>2</v>
      </c>
      <c r="H427" t="n">
        <v>0</v>
      </c>
      <c r="I427" t="n">
        <v>0</v>
      </c>
      <c r="J427" t="n">
        <v>0</v>
      </c>
      <c r="K427" t="n">
        <v>0</v>
      </c>
      <c r="L427" t="n">
        <v>0</v>
      </c>
      <c r="M427" t="n">
        <v>0</v>
      </c>
      <c r="N427" t="n">
        <v>0</v>
      </c>
      <c r="O427" t="n">
        <v>0</v>
      </c>
      <c r="P427" t="n">
        <v>0</v>
      </c>
      <c r="Q427" t="n">
        <v>0</v>
      </c>
      <c r="R427" s="2" t="inlineStr"/>
    </row>
    <row r="428" ht="15" customHeight="1">
      <c r="A428" t="inlineStr">
        <is>
          <t>A 36562-2023</t>
        </is>
      </c>
      <c r="B428" s="1" t="n">
        <v>45153</v>
      </c>
      <c r="C428" s="1" t="n">
        <v>45911</v>
      </c>
      <c r="D428" t="inlineStr">
        <is>
          <t>SÖDERMANLANDS LÄN</t>
        </is>
      </c>
      <c r="E428" t="inlineStr">
        <is>
          <t>KATRINEHOLM</t>
        </is>
      </c>
      <c r="G428" t="n">
        <v>5.8</v>
      </c>
      <c r="H428" t="n">
        <v>0</v>
      </c>
      <c r="I428" t="n">
        <v>0</v>
      </c>
      <c r="J428" t="n">
        <v>0</v>
      </c>
      <c r="K428" t="n">
        <v>0</v>
      </c>
      <c r="L428" t="n">
        <v>0</v>
      </c>
      <c r="M428" t="n">
        <v>0</v>
      </c>
      <c r="N428" t="n">
        <v>0</v>
      </c>
      <c r="O428" t="n">
        <v>0</v>
      </c>
      <c r="P428" t="n">
        <v>0</v>
      </c>
      <c r="Q428" t="n">
        <v>0</v>
      </c>
      <c r="R428" s="2" t="inlineStr"/>
    </row>
    <row r="429" ht="15" customHeight="1">
      <c r="A429" t="inlineStr">
        <is>
          <t>A 30386-2025</t>
        </is>
      </c>
      <c r="B429" s="1" t="n">
        <v>45827</v>
      </c>
      <c r="C429" s="1" t="n">
        <v>45911</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34539-2022</t>
        </is>
      </c>
      <c r="B430" s="1" t="n">
        <v>44793.50563657407</v>
      </c>
      <c r="C430" s="1" t="n">
        <v>45911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30402-2025</t>
        </is>
      </c>
      <c r="B431" s="1" t="n">
        <v>45827</v>
      </c>
      <c r="C431" s="1" t="n">
        <v>45911</v>
      </c>
      <c r="D431" t="inlineStr">
        <is>
          <t>SÖDERMANLANDS LÄN</t>
        </is>
      </c>
      <c r="E431" t="inlineStr">
        <is>
          <t>KATRINEHOLM</t>
        </is>
      </c>
      <c r="G431" t="n">
        <v>7.1</v>
      </c>
      <c r="H431" t="n">
        <v>0</v>
      </c>
      <c r="I431" t="n">
        <v>0</v>
      </c>
      <c r="J431" t="n">
        <v>0</v>
      </c>
      <c r="K431" t="n">
        <v>0</v>
      </c>
      <c r="L431" t="n">
        <v>0</v>
      </c>
      <c r="M431" t="n">
        <v>0</v>
      </c>
      <c r="N431" t="n">
        <v>0</v>
      </c>
      <c r="O431" t="n">
        <v>0</v>
      </c>
      <c r="P431" t="n">
        <v>0</v>
      </c>
      <c r="Q431" t="n">
        <v>0</v>
      </c>
      <c r="R431" s="2" t="inlineStr"/>
    </row>
    <row r="432" ht="15" customHeight="1">
      <c r="A432" t="inlineStr">
        <is>
          <t>A 41205-2021</t>
        </is>
      </c>
      <c r="B432" s="1" t="n">
        <v>44424.38577546296</v>
      </c>
      <c r="C432" s="1" t="n">
        <v>45911</v>
      </c>
      <c r="D432" t="inlineStr">
        <is>
          <t>SÖDERMANLANDS LÄN</t>
        </is>
      </c>
      <c r="E432" t="inlineStr">
        <is>
          <t>KATRINEHOLM</t>
        </is>
      </c>
      <c r="G432" t="n">
        <v>1.6</v>
      </c>
      <c r="H432" t="n">
        <v>0</v>
      </c>
      <c r="I432" t="n">
        <v>0</v>
      </c>
      <c r="J432" t="n">
        <v>0</v>
      </c>
      <c r="K432" t="n">
        <v>0</v>
      </c>
      <c r="L432" t="n">
        <v>0</v>
      </c>
      <c r="M432" t="n">
        <v>0</v>
      </c>
      <c r="N432" t="n">
        <v>0</v>
      </c>
      <c r="O432" t="n">
        <v>0</v>
      </c>
      <c r="P432" t="n">
        <v>0</v>
      </c>
      <c r="Q432" t="n">
        <v>0</v>
      </c>
      <c r="R432" s="2" t="inlineStr"/>
    </row>
    <row r="433" ht="15" customHeight="1">
      <c r="A433" t="inlineStr">
        <is>
          <t>A 24748-2024</t>
        </is>
      </c>
      <c r="B433" s="1" t="n">
        <v>45460.66567129629</v>
      </c>
      <c r="C433" s="1" t="n">
        <v>45911</v>
      </c>
      <c r="D433" t="inlineStr">
        <is>
          <t>SÖDERMANLANDS LÄN</t>
        </is>
      </c>
      <c r="E433" t="inlineStr">
        <is>
          <t>KATRINEHOLM</t>
        </is>
      </c>
      <c r="G433" t="n">
        <v>3.3</v>
      </c>
      <c r="H433" t="n">
        <v>0</v>
      </c>
      <c r="I433" t="n">
        <v>0</v>
      </c>
      <c r="J433" t="n">
        <v>0</v>
      </c>
      <c r="K433" t="n">
        <v>0</v>
      </c>
      <c r="L433" t="n">
        <v>0</v>
      </c>
      <c r="M433" t="n">
        <v>0</v>
      </c>
      <c r="N433" t="n">
        <v>0</v>
      </c>
      <c r="O433" t="n">
        <v>0</v>
      </c>
      <c r="P433" t="n">
        <v>0</v>
      </c>
      <c r="Q433" t="n">
        <v>0</v>
      </c>
      <c r="R433" s="2" t="inlineStr"/>
    </row>
    <row r="434" ht="15" customHeight="1">
      <c r="A434" t="inlineStr">
        <is>
          <t>A 2298-2021</t>
        </is>
      </c>
      <c r="B434" s="1" t="n">
        <v>44212</v>
      </c>
      <c r="C434" s="1" t="n">
        <v>45911</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48091-2024</t>
        </is>
      </c>
      <c r="B435" s="1" t="n">
        <v>45590</v>
      </c>
      <c r="C435" s="1" t="n">
        <v>45911</v>
      </c>
      <c r="D435" t="inlineStr">
        <is>
          <t>SÖDERMANLANDS LÄN</t>
        </is>
      </c>
      <c r="E435" t="inlineStr">
        <is>
          <t>KATRINEHOLM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24097-2022</t>
        </is>
      </c>
      <c r="B436" s="1" t="n">
        <v>44725.39371527778</v>
      </c>
      <c r="C436" s="1" t="n">
        <v>45911</v>
      </c>
      <c r="D436" t="inlineStr">
        <is>
          <t>SÖDERMANLANDS LÄN</t>
        </is>
      </c>
      <c r="E436" t="inlineStr">
        <is>
          <t>KATRINEHOLM</t>
        </is>
      </c>
      <c r="G436" t="n">
        <v>6.5</v>
      </c>
      <c r="H436" t="n">
        <v>0</v>
      </c>
      <c r="I436" t="n">
        <v>0</v>
      </c>
      <c r="J436" t="n">
        <v>0</v>
      </c>
      <c r="K436" t="n">
        <v>0</v>
      </c>
      <c r="L436" t="n">
        <v>0</v>
      </c>
      <c r="M436" t="n">
        <v>0</v>
      </c>
      <c r="N436" t="n">
        <v>0</v>
      </c>
      <c r="O436" t="n">
        <v>0</v>
      </c>
      <c r="P436" t="n">
        <v>0</v>
      </c>
      <c r="Q436" t="n">
        <v>0</v>
      </c>
      <c r="R436" s="2" t="inlineStr"/>
    </row>
    <row r="437" ht="15" customHeight="1">
      <c r="A437" t="inlineStr">
        <is>
          <t>A 40402-2022</t>
        </is>
      </c>
      <c r="B437" s="1" t="n">
        <v>44823.44353009259</v>
      </c>
      <c r="C437" s="1" t="n">
        <v>45911</v>
      </c>
      <c r="D437" t="inlineStr">
        <is>
          <t>SÖDERMANLANDS LÄN</t>
        </is>
      </c>
      <c r="E437" t="inlineStr">
        <is>
          <t>KATRINEHOLM</t>
        </is>
      </c>
      <c r="G437" t="n">
        <v>1.6</v>
      </c>
      <c r="H437" t="n">
        <v>0</v>
      </c>
      <c r="I437" t="n">
        <v>0</v>
      </c>
      <c r="J437" t="n">
        <v>0</v>
      </c>
      <c r="K437" t="n">
        <v>0</v>
      </c>
      <c r="L437" t="n">
        <v>0</v>
      </c>
      <c r="M437" t="n">
        <v>0</v>
      </c>
      <c r="N437" t="n">
        <v>0</v>
      </c>
      <c r="O437" t="n">
        <v>0</v>
      </c>
      <c r="P437" t="n">
        <v>0</v>
      </c>
      <c r="Q437" t="n">
        <v>0</v>
      </c>
      <c r="R437" s="2" t="inlineStr"/>
    </row>
    <row r="438" ht="15" customHeight="1">
      <c r="A438" t="inlineStr">
        <is>
          <t>A 17792-2025</t>
        </is>
      </c>
      <c r="B438" s="1" t="n">
        <v>45758</v>
      </c>
      <c r="C438" s="1" t="n">
        <v>45911</v>
      </c>
      <c r="D438" t="inlineStr">
        <is>
          <t>SÖDERMANLANDS LÄN</t>
        </is>
      </c>
      <c r="E438" t="inlineStr">
        <is>
          <t>KATRINEHOLM</t>
        </is>
      </c>
      <c r="G438" t="n">
        <v>4.2</v>
      </c>
      <c r="H438" t="n">
        <v>0</v>
      </c>
      <c r="I438" t="n">
        <v>0</v>
      </c>
      <c r="J438" t="n">
        <v>0</v>
      </c>
      <c r="K438" t="n">
        <v>0</v>
      </c>
      <c r="L438" t="n">
        <v>0</v>
      </c>
      <c r="M438" t="n">
        <v>0</v>
      </c>
      <c r="N438" t="n">
        <v>0</v>
      </c>
      <c r="O438" t="n">
        <v>0</v>
      </c>
      <c r="P438" t="n">
        <v>0</v>
      </c>
      <c r="Q438" t="n">
        <v>0</v>
      </c>
      <c r="R438" s="2" t="inlineStr"/>
    </row>
    <row r="439" ht="15" customHeight="1">
      <c r="A439" t="inlineStr">
        <is>
          <t>A 17820-2025</t>
        </is>
      </c>
      <c r="B439" s="1" t="n">
        <v>45758</v>
      </c>
      <c r="C439" s="1" t="n">
        <v>45911</v>
      </c>
      <c r="D439" t="inlineStr">
        <is>
          <t>SÖDERMANLANDS LÄN</t>
        </is>
      </c>
      <c r="E439" t="inlineStr">
        <is>
          <t>KATRINEHOLM</t>
        </is>
      </c>
      <c r="G439" t="n">
        <v>5.9</v>
      </c>
      <c r="H439" t="n">
        <v>0</v>
      </c>
      <c r="I439" t="n">
        <v>0</v>
      </c>
      <c r="J439" t="n">
        <v>0</v>
      </c>
      <c r="K439" t="n">
        <v>0</v>
      </c>
      <c r="L439" t="n">
        <v>0</v>
      </c>
      <c r="M439" t="n">
        <v>0</v>
      </c>
      <c r="N439" t="n">
        <v>0</v>
      </c>
      <c r="O439" t="n">
        <v>0</v>
      </c>
      <c r="P439" t="n">
        <v>0</v>
      </c>
      <c r="Q439" t="n">
        <v>0</v>
      </c>
      <c r="R439" s="2" t="inlineStr"/>
    </row>
    <row r="440" ht="15" customHeight="1">
      <c r="A440" t="inlineStr">
        <is>
          <t>A 46670-2021</t>
        </is>
      </c>
      <c r="B440" s="1" t="n">
        <v>44445</v>
      </c>
      <c r="C440" s="1" t="n">
        <v>45911</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30387-2022</t>
        </is>
      </c>
      <c r="B441" s="1" t="n">
        <v>44760</v>
      </c>
      <c r="C441" s="1" t="n">
        <v>45911</v>
      </c>
      <c r="D441" t="inlineStr">
        <is>
          <t>SÖDERMANLANDS LÄN</t>
        </is>
      </c>
      <c r="E441" t="inlineStr">
        <is>
          <t>KATRINEHOLM</t>
        </is>
      </c>
      <c r="G441" t="n">
        <v>1.9</v>
      </c>
      <c r="H441" t="n">
        <v>0</v>
      </c>
      <c r="I441" t="n">
        <v>0</v>
      </c>
      <c r="J441" t="n">
        <v>0</v>
      </c>
      <c r="K441" t="n">
        <v>0</v>
      </c>
      <c r="L441" t="n">
        <v>0</v>
      </c>
      <c r="M441" t="n">
        <v>0</v>
      </c>
      <c r="N441" t="n">
        <v>0</v>
      </c>
      <c r="O441" t="n">
        <v>0</v>
      </c>
      <c r="P441" t="n">
        <v>0</v>
      </c>
      <c r="Q441" t="n">
        <v>0</v>
      </c>
      <c r="R441" s="2" t="inlineStr"/>
    </row>
    <row r="442" ht="15" customHeight="1">
      <c r="A442" t="inlineStr">
        <is>
          <t>A 62954-2023</t>
        </is>
      </c>
      <c r="B442" s="1" t="n">
        <v>45272.55362268518</v>
      </c>
      <c r="C442" s="1" t="n">
        <v>45911</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20212-2025</t>
        </is>
      </c>
      <c r="B443" s="1" t="n">
        <v>45772.63049768518</v>
      </c>
      <c r="C443" s="1" t="n">
        <v>45911</v>
      </c>
      <c r="D443" t="inlineStr">
        <is>
          <t>SÖDERMANLANDS LÄN</t>
        </is>
      </c>
      <c r="E443" t="inlineStr">
        <is>
          <t>KATRINEHOLM</t>
        </is>
      </c>
      <c r="G443" t="n">
        <v>1.4</v>
      </c>
      <c r="H443" t="n">
        <v>0</v>
      </c>
      <c r="I443" t="n">
        <v>0</v>
      </c>
      <c r="J443" t="n">
        <v>0</v>
      </c>
      <c r="K443" t="n">
        <v>0</v>
      </c>
      <c r="L443" t="n">
        <v>0</v>
      </c>
      <c r="M443" t="n">
        <v>0</v>
      </c>
      <c r="N443" t="n">
        <v>0</v>
      </c>
      <c r="O443" t="n">
        <v>0</v>
      </c>
      <c r="P443" t="n">
        <v>0</v>
      </c>
      <c r="Q443" t="n">
        <v>0</v>
      </c>
      <c r="R443" s="2" t="inlineStr"/>
    </row>
    <row r="444" ht="15" customHeight="1">
      <c r="A444" t="inlineStr">
        <is>
          <t>A 58651-2023</t>
        </is>
      </c>
      <c r="B444" s="1" t="n">
        <v>45247</v>
      </c>
      <c r="C444" s="1" t="n">
        <v>45911</v>
      </c>
      <c r="D444" t="inlineStr">
        <is>
          <t>SÖDERMANLANDS LÄN</t>
        </is>
      </c>
      <c r="E444" t="inlineStr">
        <is>
          <t>KATRINEHOLM</t>
        </is>
      </c>
      <c r="G444" t="n">
        <v>2.7</v>
      </c>
      <c r="H444" t="n">
        <v>0</v>
      </c>
      <c r="I444" t="n">
        <v>0</v>
      </c>
      <c r="J444" t="n">
        <v>0</v>
      </c>
      <c r="K444" t="n">
        <v>0</v>
      </c>
      <c r="L444" t="n">
        <v>0</v>
      </c>
      <c r="M444" t="n">
        <v>0</v>
      </c>
      <c r="N444" t="n">
        <v>0</v>
      </c>
      <c r="O444" t="n">
        <v>0</v>
      </c>
      <c r="P444" t="n">
        <v>0</v>
      </c>
      <c r="Q444" t="n">
        <v>0</v>
      </c>
      <c r="R444" s="2" t="inlineStr"/>
    </row>
    <row r="445" ht="15" customHeight="1">
      <c r="A445" t="inlineStr">
        <is>
          <t>A 12238-2021</t>
        </is>
      </c>
      <c r="B445" s="1" t="n">
        <v>44266</v>
      </c>
      <c r="C445" s="1" t="n">
        <v>45911</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11543-2025</t>
        </is>
      </c>
      <c r="B446" s="1" t="n">
        <v>45727.34248842593</v>
      </c>
      <c r="C446" s="1" t="n">
        <v>45911</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6446-2022</t>
        </is>
      </c>
      <c r="B447" s="1" t="n">
        <v>44600</v>
      </c>
      <c r="C447" s="1" t="n">
        <v>45911</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39052-2023</t>
        </is>
      </c>
      <c r="B448" s="1" t="n">
        <v>45163</v>
      </c>
      <c r="C448" s="1" t="n">
        <v>45911</v>
      </c>
      <c r="D448" t="inlineStr">
        <is>
          <t>SÖDERMANLANDS LÄN</t>
        </is>
      </c>
      <c r="E448" t="inlineStr">
        <is>
          <t>KATRINEHOLM</t>
        </is>
      </c>
      <c r="G448" t="n">
        <v>3</v>
      </c>
      <c r="H448" t="n">
        <v>0</v>
      </c>
      <c r="I448" t="n">
        <v>0</v>
      </c>
      <c r="J448" t="n">
        <v>0</v>
      </c>
      <c r="K448" t="n">
        <v>0</v>
      </c>
      <c r="L448" t="n">
        <v>0</v>
      </c>
      <c r="M448" t="n">
        <v>0</v>
      </c>
      <c r="N448" t="n">
        <v>0</v>
      </c>
      <c r="O448" t="n">
        <v>0</v>
      </c>
      <c r="P448" t="n">
        <v>0</v>
      </c>
      <c r="Q448" t="n">
        <v>0</v>
      </c>
      <c r="R448" s="2" t="inlineStr"/>
    </row>
    <row r="449" ht="15" customHeight="1">
      <c r="A449" t="inlineStr">
        <is>
          <t>A 8922-2024</t>
        </is>
      </c>
      <c r="B449" s="1" t="n">
        <v>45357.38601851852</v>
      </c>
      <c r="C449" s="1" t="n">
        <v>45911</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51923-2023</t>
        </is>
      </c>
      <c r="B450" s="1" t="n">
        <v>45223</v>
      </c>
      <c r="C450" s="1" t="n">
        <v>45911</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31376-2025</t>
        </is>
      </c>
      <c r="B451" s="1" t="n">
        <v>45833</v>
      </c>
      <c r="C451" s="1" t="n">
        <v>45911</v>
      </c>
      <c r="D451" t="inlineStr">
        <is>
          <t>SÖDERMANLANDS LÄN</t>
        </is>
      </c>
      <c r="E451" t="inlineStr">
        <is>
          <t>KATRINEHOLM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48160-2022</t>
        </is>
      </c>
      <c r="B452" s="1" t="n">
        <v>44853</v>
      </c>
      <c r="C452" s="1" t="n">
        <v>45911</v>
      </c>
      <c r="D452" t="inlineStr">
        <is>
          <t>SÖDERMANLANDS LÄN</t>
        </is>
      </c>
      <c r="E452" t="inlineStr">
        <is>
          <t>KATRINEHOLM</t>
        </is>
      </c>
      <c r="F452" t="inlineStr">
        <is>
          <t>Övriga statliga verk och myndigheter</t>
        </is>
      </c>
      <c r="G452" t="n">
        <v>2.2</v>
      </c>
      <c r="H452" t="n">
        <v>0</v>
      </c>
      <c r="I452" t="n">
        <v>0</v>
      </c>
      <c r="J452" t="n">
        <v>0</v>
      </c>
      <c r="K452" t="n">
        <v>0</v>
      </c>
      <c r="L452" t="n">
        <v>0</v>
      </c>
      <c r="M452" t="n">
        <v>0</v>
      </c>
      <c r="N452" t="n">
        <v>0</v>
      </c>
      <c r="O452" t="n">
        <v>0</v>
      </c>
      <c r="P452" t="n">
        <v>0</v>
      </c>
      <c r="Q452" t="n">
        <v>0</v>
      </c>
      <c r="R452" s="2" t="inlineStr"/>
    </row>
    <row r="453" ht="15" customHeight="1">
      <c r="A453" t="inlineStr">
        <is>
          <t>A 28317-2024</t>
        </is>
      </c>
      <c r="B453" s="1" t="n">
        <v>45477</v>
      </c>
      <c r="C453" s="1" t="n">
        <v>45911</v>
      </c>
      <c r="D453" t="inlineStr">
        <is>
          <t>SÖDERMANLANDS LÄN</t>
        </is>
      </c>
      <c r="E453" t="inlineStr">
        <is>
          <t>KATRINEHOLM</t>
        </is>
      </c>
      <c r="G453" t="n">
        <v>1.5</v>
      </c>
      <c r="H453" t="n">
        <v>0</v>
      </c>
      <c r="I453" t="n">
        <v>0</v>
      </c>
      <c r="J453" t="n">
        <v>0</v>
      </c>
      <c r="K453" t="n">
        <v>0</v>
      </c>
      <c r="L453" t="n">
        <v>0</v>
      </c>
      <c r="M453" t="n">
        <v>0</v>
      </c>
      <c r="N453" t="n">
        <v>0</v>
      </c>
      <c r="O453" t="n">
        <v>0</v>
      </c>
      <c r="P453" t="n">
        <v>0</v>
      </c>
      <c r="Q453" t="n">
        <v>0</v>
      </c>
      <c r="R453" s="2" t="inlineStr"/>
    </row>
    <row r="454" ht="15" customHeight="1">
      <c r="A454" t="inlineStr">
        <is>
          <t>A 18386-2025</t>
        </is>
      </c>
      <c r="B454" s="1" t="n">
        <v>45762</v>
      </c>
      <c r="C454" s="1" t="n">
        <v>45911</v>
      </c>
      <c r="D454" t="inlineStr">
        <is>
          <t>SÖDERMANLANDS LÄN</t>
        </is>
      </c>
      <c r="E454" t="inlineStr">
        <is>
          <t>KATRINEHOLM</t>
        </is>
      </c>
      <c r="G454" t="n">
        <v>0.5</v>
      </c>
      <c r="H454" t="n">
        <v>0</v>
      </c>
      <c r="I454" t="n">
        <v>0</v>
      </c>
      <c r="J454" t="n">
        <v>0</v>
      </c>
      <c r="K454" t="n">
        <v>0</v>
      </c>
      <c r="L454" t="n">
        <v>0</v>
      </c>
      <c r="M454" t="n">
        <v>0</v>
      </c>
      <c r="N454" t="n">
        <v>0</v>
      </c>
      <c r="O454" t="n">
        <v>0</v>
      </c>
      <c r="P454" t="n">
        <v>0</v>
      </c>
      <c r="Q454" t="n">
        <v>0</v>
      </c>
      <c r="R454" s="2" t="inlineStr"/>
    </row>
    <row r="455" ht="15" customHeight="1">
      <c r="A455" t="inlineStr">
        <is>
          <t>A 31392-2025</t>
        </is>
      </c>
      <c r="B455" s="1" t="n">
        <v>45833</v>
      </c>
      <c r="C455" s="1" t="n">
        <v>45911</v>
      </c>
      <c r="D455" t="inlineStr">
        <is>
          <t>SÖDERMANLANDS LÄN</t>
        </is>
      </c>
      <c r="E455" t="inlineStr">
        <is>
          <t>KATRINEHOLM</t>
        </is>
      </c>
      <c r="G455" t="n">
        <v>5</v>
      </c>
      <c r="H455" t="n">
        <v>0</v>
      </c>
      <c r="I455" t="n">
        <v>0</v>
      </c>
      <c r="J455" t="n">
        <v>0</v>
      </c>
      <c r="K455" t="n">
        <v>0</v>
      </c>
      <c r="L455" t="n">
        <v>0</v>
      </c>
      <c r="M455" t="n">
        <v>0</v>
      </c>
      <c r="N455" t="n">
        <v>0</v>
      </c>
      <c r="O455" t="n">
        <v>0</v>
      </c>
      <c r="P455" t="n">
        <v>0</v>
      </c>
      <c r="Q455" t="n">
        <v>0</v>
      </c>
      <c r="R455" s="2" t="inlineStr"/>
    </row>
    <row r="456" ht="15" customHeight="1">
      <c r="A456" t="inlineStr">
        <is>
          <t>A 66393-2021</t>
        </is>
      </c>
      <c r="B456" s="1" t="n">
        <v>44518</v>
      </c>
      <c r="C456" s="1" t="n">
        <v>45911</v>
      </c>
      <c r="D456" t="inlineStr">
        <is>
          <t>SÖDERMANLANDS LÄN</t>
        </is>
      </c>
      <c r="E456" t="inlineStr">
        <is>
          <t>KATRINEHOLM</t>
        </is>
      </c>
      <c r="F456" t="inlineStr">
        <is>
          <t>Holmen skog AB</t>
        </is>
      </c>
      <c r="G456" t="n">
        <v>0.4</v>
      </c>
      <c r="H456" t="n">
        <v>0</v>
      </c>
      <c r="I456" t="n">
        <v>0</v>
      </c>
      <c r="J456" t="n">
        <v>0</v>
      </c>
      <c r="K456" t="n">
        <v>0</v>
      </c>
      <c r="L456" t="n">
        <v>0</v>
      </c>
      <c r="M456" t="n">
        <v>0</v>
      </c>
      <c r="N456" t="n">
        <v>0</v>
      </c>
      <c r="O456" t="n">
        <v>0</v>
      </c>
      <c r="P456" t="n">
        <v>0</v>
      </c>
      <c r="Q456" t="n">
        <v>0</v>
      </c>
      <c r="R456" s="2" t="inlineStr"/>
    </row>
    <row r="457" ht="15" customHeight="1">
      <c r="A457" t="inlineStr">
        <is>
          <t>A 3125-2024</t>
        </is>
      </c>
      <c r="B457" s="1" t="n">
        <v>45316</v>
      </c>
      <c r="C457" s="1" t="n">
        <v>45911</v>
      </c>
      <c r="D457" t="inlineStr">
        <is>
          <t>SÖDERMANLANDS LÄN</t>
        </is>
      </c>
      <c r="E457" t="inlineStr">
        <is>
          <t>KATRINEHOLM</t>
        </is>
      </c>
      <c r="G457" t="n">
        <v>3.4</v>
      </c>
      <c r="H457" t="n">
        <v>0</v>
      </c>
      <c r="I457" t="n">
        <v>0</v>
      </c>
      <c r="J457" t="n">
        <v>0</v>
      </c>
      <c r="K457" t="n">
        <v>0</v>
      </c>
      <c r="L457" t="n">
        <v>0</v>
      </c>
      <c r="M457" t="n">
        <v>0</v>
      </c>
      <c r="N457" t="n">
        <v>0</v>
      </c>
      <c r="O457" t="n">
        <v>0</v>
      </c>
      <c r="P457" t="n">
        <v>0</v>
      </c>
      <c r="Q457" t="n">
        <v>0</v>
      </c>
      <c r="R457" s="2" t="inlineStr"/>
    </row>
    <row r="458" ht="15" customHeight="1">
      <c r="A458" t="inlineStr">
        <is>
          <t>A 35183-2022</t>
        </is>
      </c>
      <c r="B458" s="1" t="n">
        <v>44797</v>
      </c>
      <c r="C458" s="1" t="n">
        <v>45911</v>
      </c>
      <c r="D458" t="inlineStr">
        <is>
          <t>SÖDERMANLANDS LÄN</t>
        </is>
      </c>
      <c r="E458" t="inlineStr">
        <is>
          <t>KATRINEHOLM</t>
        </is>
      </c>
      <c r="G458" t="n">
        <v>4.6</v>
      </c>
      <c r="H458" t="n">
        <v>0</v>
      </c>
      <c r="I458" t="n">
        <v>0</v>
      </c>
      <c r="J458" t="n">
        <v>0</v>
      </c>
      <c r="K458" t="n">
        <v>0</v>
      </c>
      <c r="L458" t="n">
        <v>0</v>
      </c>
      <c r="M458" t="n">
        <v>0</v>
      </c>
      <c r="N458" t="n">
        <v>0</v>
      </c>
      <c r="O458" t="n">
        <v>0</v>
      </c>
      <c r="P458" t="n">
        <v>0</v>
      </c>
      <c r="Q458" t="n">
        <v>0</v>
      </c>
      <c r="R458" s="2" t="inlineStr"/>
    </row>
    <row r="459" ht="15" customHeight="1">
      <c r="A459" t="inlineStr">
        <is>
          <t>A 47134-2022</t>
        </is>
      </c>
      <c r="B459" s="1" t="n">
        <v>44851</v>
      </c>
      <c r="C459" s="1" t="n">
        <v>45911</v>
      </c>
      <c r="D459" t="inlineStr">
        <is>
          <t>SÖDERMANLANDS LÄN</t>
        </is>
      </c>
      <c r="E459" t="inlineStr">
        <is>
          <t>KATRINEHOLM</t>
        </is>
      </c>
      <c r="F459" t="inlineStr">
        <is>
          <t>Övriga statliga verk och myndigheter</t>
        </is>
      </c>
      <c r="G459" t="n">
        <v>1.5</v>
      </c>
      <c r="H459" t="n">
        <v>0</v>
      </c>
      <c r="I459" t="n">
        <v>0</v>
      </c>
      <c r="J459" t="n">
        <v>0</v>
      </c>
      <c r="K459" t="n">
        <v>0</v>
      </c>
      <c r="L459" t="n">
        <v>0</v>
      </c>
      <c r="M459" t="n">
        <v>0</v>
      </c>
      <c r="N459" t="n">
        <v>0</v>
      </c>
      <c r="O459" t="n">
        <v>0</v>
      </c>
      <c r="P459" t="n">
        <v>0</v>
      </c>
      <c r="Q459" t="n">
        <v>0</v>
      </c>
      <c r="R459" s="2" t="inlineStr"/>
    </row>
    <row r="460" ht="15" customHeight="1">
      <c r="A460" t="inlineStr">
        <is>
          <t>A 31386-2025</t>
        </is>
      </c>
      <c r="B460" s="1" t="n">
        <v>45833.45259259259</v>
      </c>
      <c r="C460" s="1" t="n">
        <v>45911</v>
      </c>
      <c r="D460" t="inlineStr">
        <is>
          <t>SÖDERMANLANDS LÄN</t>
        </is>
      </c>
      <c r="E460" t="inlineStr">
        <is>
          <t>KATRINEHOLM</t>
        </is>
      </c>
      <c r="F460" t="inlineStr">
        <is>
          <t>Övriga Aktiebolag</t>
        </is>
      </c>
      <c r="G460" t="n">
        <v>2.2</v>
      </c>
      <c r="H460" t="n">
        <v>0</v>
      </c>
      <c r="I460" t="n">
        <v>0</v>
      </c>
      <c r="J460" t="n">
        <v>0</v>
      </c>
      <c r="K460" t="n">
        <v>0</v>
      </c>
      <c r="L460" t="n">
        <v>0</v>
      </c>
      <c r="M460" t="n">
        <v>0</v>
      </c>
      <c r="N460" t="n">
        <v>0</v>
      </c>
      <c r="O460" t="n">
        <v>0</v>
      </c>
      <c r="P460" t="n">
        <v>0</v>
      </c>
      <c r="Q460" t="n">
        <v>0</v>
      </c>
      <c r="R460" s="2" t="inlineStr"/>
    </row>
    <row r="461" ht="15" customHeight="1">
      <c r="A461" t="inlineStr">
        <is>
          <t>A 1143-2024</t>
        </is>
      </c>
      <c r="B461" s="1" t="n">
        <v>45302</v>
      </c>
      <c r="C461" s="1" t="n">
        <v>45911</v>
      </c>
      <c r="D461" t="inlineStr">
        <is>
          <t>SÖDERMANLANDS LÄN</t>
        </is>
      </c>
      <c r="E461" t="inlineStr">
        <is>
          <t>KATRINEHOLM</t>
        </is>
      </c>
      <c r="G461" t="n">
        <v>1.7</v>
      </c>
      <c r="H461" t="n">
        <v>0</v>
      </c>
      <c r="I461" t="n">
        <v>0</v>
      </c>
      <c r="J461" t="n">
        <v>0</v>
      </c>
      <c r="K461" t="n">
        <v>0</v>
      </c>
      <c r="L461" t="n">
        <v>0</v>
      </c>
      <c r="M461" t="n">
        <v>0</v>
      </c>
      <c r="N461" t="n">
        <v>0</v>
      </c>
      <c r="O461" t="n">
        <v>0</v>
      </c>
      <c r="P461" t="n">
        <v>0</v>
      </c>
      <c r="Q461" t="n">
        <v>0</v>
      </c>
      <c r="R461" s="2" t="inlineStr"/>
    </row>
    <row r="462" ht="15" customHeight="1">
      <c r="A462" t="inlineStr">
        <is>
          <t>A 42519-2024</t>
        </is>
      </c>
      <c r="B462" s="1" t="n">
        <v>45565</v>
      </c>
      <c r="C462" s="1" t="n">
        <v>45911</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37043-2025</t>
        </is>
      </c>
      <c r="B463" s="1" t="n">
        <v>45875.3396412037</v>
      </c>
      <c r="C463" s="1" t="n">
        <v>45911</v>
      </c>
      <c r="D463" t="inlineStr">
        <is>
          <t>SÖDERMANLANDS LÄN</t>
        </is>
      </c>
      <c r="E463" t="inlineStr">
        <is>
          <t>KATRINEHOLM</t>
        </is>
      </c>
      <c r="G463" t="n">
        <v>2.2</v>
      </c>
      <c r="H463" t="n">
        <v>0</v>
      </c>
      <c r="I463" t="n">
        <v>0</v>
      </c>
      <c r="J463" t="n">
        <v>0</v>
      </c>
      <c r="K463" t="n">
        <v>0</v>
      </c>
      <c r="L463" t="n">
        <v>0</v>
      </c>
      <c r="M463" t="n">
        <v>0</v>
      </c>
      <c r="N463" t="n">
        <v>0</v>
      </c>
      <c r="O463" t="n">
        <v>0</v>
      </c>
      <c r="P463" t="n">
        <v>0</v>
      </c>
      <c r="Q463" t="n">
        <v>0</v>
      </c>
      <c r="R463" s="2" t="inlineStr"/>
    </row>
    <row r="464" ht="15" customHeight="1">
      <c r="A464" t="inlineStr">
        <is>
          <t>A 3982-2024</t>
        </is>
      </c>
      <c r="B464" s="1" t="n">
        <v>45322</v>
      </c>
      <c r="C464" s="1" t="n">
        <v>45911</v>
      </c>
      <c r="D464" t="inlineStr">
        <is>
          <t>SÖDERMANLANDS LÄN</t>
        </is>
      </c>
      <c r="E464" t="inlineStr">
        <is>
          <t>KATRINEHOLM</t>
        </is>
      </c>
      <c r="G464" t="n">
        <v>3.7</v>
      </c>
      <c r="H464" t="n">
        <v>0</v>
      </c>
      <c r="I464" t="n">
        <v>0</v>
      </c>
      <c r="J464" t="n">
        <v>0</v>
      </c>
      <c r="K464" t="n">
        <v>0</v>
      </c>
      <c r="L464" t="n">
        <v>0</v>
      </c>
      <c r="M464" t="n">
        <v>0</v>
      </c>
      <c r="N464" t="n">
        <v>0</v>
      </c>
      <c r="O464" t="n">
        <v>0</v>
      </c>
      <c r="P464" t="n">
        <v>0</v>
      </c>
      <c r="Q464" t="n">
        <v>0</v>
      </c>
      <c r="R464" s="2" t="inlineStr"/>
    </row>
    <row r="465" ht="15" customHeight="1">
      <c r="A465" t="inlineStr">
        <is>
          <t>A 57263-2022</t>
        </is>
      </c>
      <c r="B465" s="1" t="n">
        <v>44895</v>
      </c>
      <c r="C465" s="1" t="n">
        <v>45911</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20826-2022</t>
        </is>
      </c>
      <c r="B466" s="1" t="n">
        <v>44701.44754629629</v>
      </c>
      <c r="C466" s="1" t="n">
        <v>45911</v>
      </c>
      <c r="D466" t="inlineStr">
        <is>
          <t>SÖDERMANLANDS LÄN</t>
        </is>
      </c>
      <c r="E466" t="inlineStr">
        <is>
          <t>KATRINEHOLM</t>
        </is>
      </c>
      <c r="G466" t="n">
        <v>6.8</v>
      </c>
      <c r="H466" t="n">
        <v>0</v>
      </c>
      <c r="I466" t="n">
        <v>0</v>
      </c>
      <c r="J466" t="n">
        <v>0</v>
      </c>
      <c r="K466" t="n">
        <v>0</v>
      </c>
      <c r="L466" t="n">
        <v>0</v>
      </c>
      <c r="M466" t="n">
        <v>0</v>
      </c>
      <c r="N466" t="n">
        <v>0</v>
      </c>
      <c r="O466" t="n">
        <v>0</v>
      </c>
      <c r="P466" t="n">
        <v>0</v>
      </c>
      <c r="Q466" t="n">
        <v>0</v>
      </c>
      <c r="R466" s="2" t="inlineStr"/>
    </row>
    <row r="467" ht="15" customHeight="1">
      <c r="A467" t="inlineStr">
        <is>
          <t>A 20846-2022</t>
        </is>
      </c>
      <c r="B467" s="1" t="n">
        <v>44701.4744212963</v>
      </c>
      <c r="C467" s="1" t="n">
        <v>45911</v>
      </c>
      <c r="D467" t="inlineStr">
        <is>
          <t>SÖDERMANLANDS LÄN</t>
        </is>
      </c>
      <c r="E467" t="inlineStr">
        <is>
          <t>KATRINEHOLM</t>
        </is>
      </c>
      <c r="G467" t="n">
        <v>0.8</v>
      </c>
      <c r="H467" t="n">
        <v>0</v>
      </c>
      <c r="I467" t="n">
        <v>0</v>
      </c>
      <c r="J467" t="n">
        <v>0</v>
      </c>
      <c r="K467" t="n">
        <v>0</v>
      </c>
      <c r="L467" t="n">
        <v>0</v>
      </c>
      <c r="M467" t="n">
        <v>0</v>
      </c>
      <c r="N467" t="n">
        <v>0</v>
      </c>
      <c r="O467" t="n">
        <v>0</v>
      </c>
      <c r="P467" t="n">
        <v>0</v>
      </c>
      <c r="Q467" t="n">
        <v>0</v>
      </c>
      <c r="R467" s="2" t="inlineStr"/>
    </row>
    <row r="468" ht="15" customHeight="1">
      <c r="A468" t="inlineStr">
        <is>
          <t>A 28427-2024</t>
        </is>
      </c>
      <c r="B468" s="1" t="n">
        <v>45477.64910879629</v>
      </c>
      <c r="C468" s="1" t="n">
        <v>45911</v>
      </c>
      <c r="D468" t="inlineStr">
        <is>
          <t>SÖDERMANLANDS LÄN</t>
        </is>
      </c>
      <c r="E468" t="inlineStr">
        <is>
          <t>KATRINEHOLM</t>
        </is>
      </c>
      <c r="G468" t="n">
        <v>5.9</v>
      </c>
      <c r="H468" t="n">
        <v>0</v>
      </c>
      <c r="I468" t="n">
        <v>0</v>
      </c>
      <c r="J468" t="n">
        <v>0</v>
      </c>
      <c r="K468" t="n">
        <v>0</v>
      </c>
      <c r="L468" t="n">
        <v>0</v>
      </c>
      <c r="M468" t="n">
        <v>0</v>
      </c>
      <c r="N468" t="n">
        <v>0</v>
      </c>
      <c r="O468" t="n">
        <v>0</v>
      </c>
      <c r="P468" t="n">
        <v>0</v>
      </c>
      <c r="Q468" t="n">
        <v>0</v>
      </c>
      <c r="R468" s="2" t="inlineStr"/>
    </row>
    <row r="469" ht="15" customHeight="1">
      <c r="A469" t="inlineStr">
        <is>
          <t>A 28431-2024</t>
        </is>
      </c>
      <c r="B469" s="1" t="n">
        <v>45477.65216435185</v>
      </c>
      <c r="C469" s="1" t="n">
        <v>45911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62418-2023</t>
        </is>
      </c>
      <c r="B470" s="1" t="n">
        <v>45268</v>
      </c>
      <c r="C470" s="1" t="n">
        <v>45911</v>
      </c>
      <c r="D470" t="inlineStr">
        <is>
          <t>SÖDERMANLANDS LÄN</t>
        </is>
      </c>
      <c r="E470" t="inlineStr">
        <is>
          <t>KATRINEHOLM</t>
        </is>
      </c>
      <c r="G470" t="n">
        <v>3</v>
      </c>
      <c r="H470" t="n">
        <v>0</v>
      </c>
      <c r="I470" t="n">
        <v>0</v>
      </c>
      <c r="J470" t="n">
        <v>0</v>
      </c>
      <c r="K470" t="n">
        <v>0</v>
      </c>
      <c r="L470" t="n">
        <v>0</v>
      </c>
      <c r="M470" t="n">
        <v>0</v>
      </c>
      <c r="N470" t="n">
        <v>0</v>
      </c>
      <c r="O470" t="n">
        <v>0</v>
      </c>
      <c r="P470" t="n">
        <v>0</v>
      </c>
      <c r="Q470" t="n">
        <v>0</v>
      </c>
      <c r="R470" s="2" t="inlineStr"/>
    </row>
    <row r="471" ht="15" customHeight="1">
      <c r="A471" t="inlineStr">
        <is>
          <t>A 49078-2024</t>
        </is>
      </c>
      <c r="B471" s="1" t="n">
        <v>45594.62556712963</v>
      </c>
      <c r="C471" s="1" t="n">
        <v>45911</v>
      </c>
      <c r="D471" t="inlineStr">
        <is>
          <t>SÖDERMANLANDS LÄN</t>
        </is>
      </c>
      <c r="E471" t="inlineStr">
        <is>
          <t>KATRINEHOLM</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51440-2024</t>
        </is>
      </c>
      <c r="B472" s="1" t="n">
        <v>45604</v>
      </c>
      <c r="C472" s="1" t="n">
        <v>45911</v>
      </c>
      <c r="D472" t="inlineStr">
        <is>
          <t>SÖDERMANLANDS LÄN</t>
        </is>
      </c>
      <c r="E472" t="inlineStr">
        <is>
          <t>KATRINEHOLM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47879-2023</t>
        </is>
      </c>
      <c r="B473" s="1" t="n">
        <v>45204</v>
      </c>
      <c r="C473" s="1" t="n">
        <v>45911</v>
      </c>
      <c r="D473" t="inlineStr">
        <is>
          <t>SÖDERMANLANDS LÄN</t>
        </is>
      </c>
      <c r="E473" t="inlineStr">
        <is>
          <t>KATRINEHOLM</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12975-2022</t>
        </is>
      </c>
      <c r="B474" s="1" t="n">
        <v>44643</v>
      </c>
      <c r="C474" s="1" t="n">
        <v>45911</v>
      </c>
      <c r="D474" t="inlineStr">
        <is>
          <t>SÖDERMANLANDS LÄN</t>
        </is>
      </c>
      <c r="E474" t="inlineStr">
        <is>
          <t>KATRINEHOLM</t>
        </is>
      </c>
      <c r="G474" t="n">
        <v>2.4</v>
      </c>
      <c r="H474" t="n">
        <v>0</v>
      </c>
      <c r="I474" t="n">
        <v>0</v>
      </c>
      <c r="J474" t="n">
        <v>0</v>
      </c>
      <c r="K474" t="n">
        <v>0</v>
      </c>
      <c r="L474" t="n">
        <v>0</v>
      </c>
      <c r="M474" t="n">
        <v>0</v>
      </c>
      <c r="N474" t="n">
        <v>0</v>
      </c>
      <c r="O474" t="n">
        <v>0</v>
      </c>
      <c r="P474" t="n">
        <v>0</v>
      </c>
      <c r="Q474" t="n">
        <v>0</v>
      </c>
      <c r="R474" s="2" t="inlineStr"/>
    </row>
    <row r="475" ht="15" customHeight="1">
      <c r="A475" t="inlineStr">
        <is>
          <t>A 51260-2021</t>
        </is>
      </c>
      <c r="B475" s="1" t="n">
        <v>44461</v>
      </c>
      <c r="C475" s="1" t="n">
        <v>45911</v>
      </c>
      <c r="D475" t="inlineStr">
        <is>
          <t>SÖDERMANLANDS LÄN</t>
        </is>
      </c>
      <c r="E475" t="inlineStr">
        <is>
          <t>KATRINEHOLM</t>
        </is>
      </c>
      <c r="G475" t="n">
        <v>0.7</v>
      </c>
      <c r="H475" t="n">
        <v>0</v>
      </c>
      <c r="I475" t="n">
        <v>0</v>
      </c>
      <c r="J475" t="n">
        <v>0</v>
      </c>
      <c r="K475" t="n">
        <v>0</v>
      </c>
      <c r="L475" t="n">
        <v>0</v>
      </c>
      <c r="M475" t="n">
        <v>0</v>
      </c>
      <c r="N475" t="n">
        <v>0</v>
      </c>
      <c r="O475" t="n">
        <v>0</v>
      </c>
      <c r="P475" t="n">
        <v>0</v>
      </c>
      <c r="Q475" t="n">
        <v>0</v>
      </c>
      <c r="R475" s="2" t="inlineStr"/>
    </row>
    <row r="476" ht="15" customHeight="1">
      <c r="A476" t="inlineStr">
        <is>
          <t>A 53843-2023</t>
        </is>
      </c>
      <c r="B476" s="1" t="n">
        <v>45230</v>
      </c>
      <c r="C476" s="1" t="n">
        <v>45911</v>
      </c>
      <c r="D476" t="inlineStr">
        <is>
          <t>SÖDERMANLANDS LÄN</t>
        </is>
      </c>
      <c r="E476" t="inlineStr">
        <is>
          <t>KATRINEHOLM</t>
        </is>
      </c>
      <c r="G476" t="n">
        <v>14.2</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45911</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7191-2023</t>
        </is>
      </c>
      <c r="B478" s="1" t="n">
        <v>44965</v>
      </c>
      <c r="C478" s="1" t="n">
        <v>45911</v>
      </c>
      <c r="D478" t="inlineStr">
        <is>
          <t>SÖDERMANLANDS LÄN</t>
        </is>
      </c>
      <c r="E478" t="inlineStr">
        <is>
          <t>KATRINEHOLM</t>
        </is>
      </c>
      <c r="G478" t="n">
        <v>14.1</v>
      </c>
      <c r="H478" t="n">
        <v>0</v>
      </c>
      <c r="I478" t="n">
        <v>0</v>
      </c>
      <c r="J478" t="n">
        <v>0</v>
      </c>
      <c r="K478" t="n">
        <v>0</v>
      </c>
      <c r="L478" t="n">
        <v>0</v>
      </c>
      <c r="M478" t="n">
        <v>0</v>
      </c>
      <c r="N478" t="n">
        <v>0</v>
      </c>
      <c r="O478" t="n">
        <v>0</v>
      </c>
      <c r="P478" t="n">
        <v>0</v>
      </c>
      <c r="Q478" t="n">
        <v>0</v>
      </c>
      <c r="R478" s="2" t="inlineStr"/>
    </row>
    <row r="479" ht="15" customHeight="1">
      <c r="A479" t="inlineStr">
        <is>
          <t>A 66540-2021</t>
        </is>
      </c>
      <c r="B479" s="1" t="n">
        <v>44519</v>
      </c>
      <c r="C479" s="1" t="n">
        <v>45911</v>
      </c>
      <c r="D479" t="inlineStr">
        <is>
          <t>SÖDERMANLANDS LÄN</t>
        </is>
      </c>
      <c r="E479" t="inlineStr">
        <is>
          <t>KATRINEHOLM</t>
        </is>
      </c>
      <c r="F479" t="inlineStr">
        <is>
          <t>Holmen skog AB</t>
        </is>
      </c>
      <c r="G479" t="n">
        <v>0.4</v>
      </c>
      <c r="H479" t="n">
        <v>0</v>
      </c>
      <c r="I479" t="n">
        <v>0</v>
      </c>
      <c r="J479" t="n">
        <v>0</v>
      </c>
      <c r="K479" t="n">
        <v>0</v>
      </c>
      <c r="L479" t="n">
        <v>0</v>
      </c>
      <c r="M479" t="n">
        <v>0</v>
      </c>
      <c r="N479" t="n">
        <v>0</v>
      </c>
      <c r="O479" t="n">
        <v>0</v>
      </c>
      <c r="P479" t="n">
        <v>0</v>
      </c>
      <c r="Q479" t="n">
        <v>0</v>
      </c>
      <c r="R479" s="2" t="inlineStr"/>
    </row>
    <row r="480" ht="15" customHeight="1">
      <c r="A480" t="inlineStr">
        <is>
          <t>A 48763-2024</t>
        </is>
      </c>
      <c r="B480" s="1" t="n">
        <v>45593.60288194445</v>
      </c>
      <c r="C480" s="1" t="n">
        <v>45911</v>
      </c>
      <c r="D480" t="inlineStr">
        <is>
          <t>SÖDERMANLANDS LÄN</t>
        </is>
      </c>
      <c r="E480" t="inlineStr">
        <is>
          <t>KATRINEHOLM</t>
        </is>
      </c>
      <c r="G480" t="n">
        <v>1.3</v>
      </c>
      <c r="H480" t="n">
        <v>0</v>
      </c>
      <c r="I480" t="n">
        <v>0</v>
      </c>
      <c r="J480" t="n">
        <v>0</v>
      </c>
      <c r="K480" t="n">
        <v>0</v>
      </c>
      <c r="L480" t="n">
        <v>0</v>
      </c>
      <c r="M480" t="n">
        <v>0</v>
      </c>
      <c r="N480" t="n">
        <v>0</v>
      </c>
      <c r="O480" t="n">
        <v>0</v>
      </c>
      <c r="P480" t="n">
        <v>0</v>
      </c>
      <c r="Q480" t="n">
        <v>0</v>
      </c>
      <c r="R480" s="2" t="inlineStr"/>
    </row>
    <row r="481" ht="15" customHeight="1">
      <c r="A481" t="inlineStr">
        <is>
          <t>A 14478-2023</t>
        </is>
      </c>
      <c r="B481" s="1" t="n">
        <v>45012.66421296296</v>
      </c>
      <c r="C481" s="1" t="n">
        <v>45911</v>
      </c>
      <c r="D481" t="inlineStr">
        <is>
          <t>SÖDERMANLANDS LÄN</t>
        </is>
      </c>
      <c r="E481" t="inlineStr">
        <is>
          <t>KATRINEHOLM</t>
        </is>
      </c>
      <c r="G481" t="n">
        <v>3.9</v>
      </c>
      <c r="H481" t="n">
        <v>0</v>
      </c>
      <c r="I481" t="n">
        <v>0</v>
      </c>
      <c r="J481" t="n">
        <v>0</v>
      </c>
      <c r="K481" t="n">
        <v>0</v>
      </c>
      <c r="L481" t="n">
        <v>0</v>
      </c>
      <c r="M481" t="n">
        <v>0</v>
      </c>
      <c r="N481" t="n">
        <v>0</v>
      </c>
      <c r="O481" t="n">
        <v>0</v>
      </c>
      <c r="P481" t="n">
        <v>0</v>
      </c>
      <c r="Q481" t="n">
        <v>0</v>
      </c>
      <c r="R481" s="2" t="inlineStr"/>
    </row>
    <row r="482" ht="15" customHeight="1">
      <c r="A482" t="inlineStr">
        <is>
          <t>A 20921-2023</t>
        </is>
      </c>
      <c r="B482" s="1" t="n">
        <v>45061</v>
      </c>
      <c r="C482" s="1" t="n">
        <v>45911</v>
      </c>
      <c r="D482" t="inlineStr">
        <is>
          <t>SÖDERMANLANDS LÄN</t>
        </is>
      </c>
      <c r="E482" t="inlineStr">
        <is>
          <t>KATRINEHOLM</t>
        </is>
      </c>
      <c r="G482" t="n">
        <v>8.9</v>
      </c>
      <c r="H482" t="n">
        <v>0</v>
      </c>
      <c r="I482" t="n">
        <v>0</v>
      </c>
      <c r="J482" t="n">
        <v>0</v>
      </c>
      <c r="K482" t="n">
        <v>0</v>
      </c>
      <c r="L482" t="n">
        <v>0</v>
      </c>
      <c r="M482" t="n">
        <v>0</v>
      </c>
      <c r="N482" t="n">
        <v>0</v>
      </c>
      <c r="O482" t="n">
        <v>0</v>
      </c>
      <c r="P482" t="n">
        <v>0</v>
      </c>
      <c r="Q482" t="n">
        <v>0</v>
      </c>
      <c r="R482" s="2" t="inlineStr"/>
    </row>
    <row r="483" ht="15" customHeight="1">
      <c r="A483" t="inlineStr">
        <is>
          <t>A 12930-2023</t>
        </is>
      </c>
      <c r="B483" s="1" t="n">
        <v>45001</v>
      </c>
      <c r="C483" s="1" t="n">
        <v>45911</v>
      </c>
      <c r="D483" t="inlineStr">
        <is>
          <t>SÖDERMANLANDS LÄN</t>
        </is>
      </c>
      <c r="E483" t="inlineStr">
        <is>
          <t>KATRINEHOLM</t>
        </is>
      </c>
      <c r="G483" t="n">
        <v>0.7</v>
      </c>
      <c r="H483" t="n">
        <v>0</v>
      </c>
      <c r="I483" t="n">
        <v>0</v>
      </c>
      <c r="J483" t="n">
        <v>0</v>
      </c>
      <c r="K483" t="n">
        <v>0</v>
      </c>
      <c r="L483" t="n">
        <v>0</v>
      </c>
      <c r="M483" t="n">
        <v>0</v>
      </c>
      <c r="N483" t="n">
        <v>0</v>
      </c>
      <c r="O483" t="n">
        <v>0</v>
      </c>
      <c r="P483" t="n">
        <v>0</v>
      </c>
      <c r="Q483" t="n">
        <v>0</v>
      </c>
      <c r="R483" s="2" t="inlineStr"/>
    </row>
    <row r="484" ht="15" customHeight="1">
      <c r="A484" t="inlineStr">
        <is>
          <t>A 12938-2023</t>
        </is>
      </c>
      <c r="B484" s="1" t="n">
        <v>45001</v>
      </c>
      <c r="C484" s="1" t="n">
        <v>45911</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31990-2025</t>
        </is>
      </c>
      <c r="B485" s="1" t="n">
        <v>45835.36697916667</v>
      </c>
      <c r="C485" s="1" t="n">
        <v>45911</v>
      </c>
      <c r="D485" t="inlineStr">
        <is>
          <t>SÖDERMANLANDS LÄN</t>
        </is>
      </c>
      <c r="E485" t="inlineStr">
        <is>
          <t>KATRINEHOLM</t>
        </is>
      </c>
      <c r="G485" t="n">
        <v>0.5</v>
      </c>
      <c r="H485" t="n">
        <v>0</v>
      </c>
      <c r="I485" t="n">
        <v>0</v>
      </c>
      <c r="J485" t="n">
        <v>0</v>
      </c>
      <c r="K485" t="n">
        <v>0</v>
      </c>
      <c r="L485" t="n">
        <v>0</v>
      </c>
      <c r="M485" t="n">
        <v>0</v>
      </c>
      <c r="N485" t="n">
        <v>0</v>
      </c>
      <c r="O485" t="n">
        <v>0</v>
      </c>
      <c r="P485" t="n">
        <v>0</v>
      </c>
      <c r="Q485" t="n">
        <v>0</v>
      </c>
      <c r="R485" s="2" t="inlineStr"/>
    </row>
    <row r="486" ht="15" customHeight="1">
      <c r="A486" t="inlineStr">
        <is>
          <t>A 12559-2023</t>
        </is>
      </c>
      <c r="B486" s="1" t="n">
        <v>45000.36373842593</v>
      </c>
      <c r="C486" s="1" t="n">
        <v>45911</v>
      </c>
      <c r="D486" t="inlineStr">
        <is>
          <t>SÖDERMANLANDS LÄN</t>
        </is>
      </c>
      <c r="E486" t="inlineStr">
        <is>
          <t>KATRINEHOLM</t>
        </is>
      </c>
      <c r="G486" t="n">
        <v>0.8</v>
      </c>
      <c r="H486" t="n">
        <v>0</v>
      </c>
      <c r="I486" t="n">
        <v>0</v>
      </c>
      <c r="J486" t="n">
        <v>0</v>
      </c>
      <c r="K486" t="n">
        <v>0</v>
      </c>
      <c r="L486" t="n">
        <v>0</v>
      </c>
      <c r="M486" t="n">
        <v>0</v>
      </c>
      <c r="N486" t="n">
        <v>0</v>
      </c>
      <c r="O486" t="n">
        <v>0</v>
      </c>
      <c r="P486" t="n">
        <v>0</v>
      </c>
      <c r="Q486" t="n">
        <v>0</v>
      </c>
      <c r="R486" s="2" t="inlineStr"/>
    </row>
    <row r="487" ht="15" customHeight="1">
      <c r="A487" t="inlineStr">
        <is>
          <t>A 7704-2023</t>
        </is>
      </c>
      <c r="B487" s="1" t="n">
        <v>44968</v>
      </c>
      <c r="C487" s="1" t="n">
        <v>45911</v>
      </c>
      <c r="D487" t="inlineStr">
        <is>
          <t>SÖDERMANLANDS LÄN</t>
        </is>
      </c>
      <c r="E487" t="inlineStr">
        <is>
          <t>KATRINEHOLM</t>
        </is>
      </c>
      <c r="G487" t="n">
        <v>7.3</v>
      </c>
      <c r="H487" t="n">
        <v>0</v>
      </c>
      <c r="I487" t="n">
        <v>0</v>
      </c>
      <c r="J487" t="n">
        <v>0</v>
      </c>
      <c r="K487" t="n">
        <v>0</v>
      </c>
      <c r="L487" t="n">
        <v>0</v>
      </c>
      <c r="M487" t="n">
        <v>0</v>
      </c>
      <c r="N487" t="n">
        <v>0</v>
      </c>
      <c r="O487" t="n">
        <v>0</v>
      </c>
      <c r="P487" t="n">
        <v>0</v>
      </c>
      <c r="Q487" t="n">
        <v>0</v>
      </c>
      <c r="R487" s="2" t="inlineStr"/>
    </row>
    <row r="488" ht="15" customHeight="1">
      <c r="A488" t="inlineStr">
        <is>
          <t>A 49122-2024</t>
        </is>
      </c>
      <c r="B488" s="1" t="n">
        <v>45594</v>
      </c>
      <c r="C488" s="1" t="n">
        <v>45911</v>
      </c>
      <c r="D488" t="inlineStr">
        <is>
          <t>SÖDERMANLANDS LÄN</t>
        </is>
      </c>
      <c r="E488" t="inlineStr">
        <is>
          <t>KATRINEHOLM</t>
        </is>
      </c>
      <c r="G488" t="n">
        <v>19.4</v>
      </c>
      <c r="H488" t="n">
        <v>0</v>
      </c>
      <c r="I488" t="n">
        <v>0</v>
      </c>
      <c r="J488" t="n">
        <v>0</v>
      </c>
      <c r="K488" t="n">
        <v>0</v>
      </c>
      <c r="L488" t="n">
        <v>0</v>
      </c>
      <c r="M488" t="n">
        <v>0</v>
      </c>
      <c r="N488" t="n">
        <v>0</v>
      </c>
      <c r="O488" t="n">
        <v>0</v>
      </c>
      <c r="P488" t="n">
        <v>0</v>
      </c>
      <c r="Q488" t="n">
        <v>0</v>
      </c>
      <c r="R488" s="2" t="inlineStr"/>
    </row>
    <row r="489" ht="15" customHeight="1">
      <c r="A489" t="inlineStr">
        <is>
          <t>A 12937-2023</t>
        </is>
      </c>
      <c r="B489" s="1" t="n">
        <v>45001</v>
      </c>
      <c r="C489" s="1" t="n">
        <v>45911</v>
      </c>
      <c r="D489" t="inlineStr">
        <is>
          <t>SÖDERMANLANDS LÄN</t>
        </is>
      </c>
      <c r="E489" t="inlineStr">
        <is>
          <t>KATRINEHOLM</t>
        </is>
      </c>
      <c r="G489" t="n">
        <v>0.9</v>
      </c>
      <c r="H489" t="n">
        <v>0</v>
      </c>
      <c r="I489" t="n">
        <v>0</v>
      </c>
      <c r="J489" t="n">
        <v>0</v>
      </c>
      <c r="K489" t="n">
        <v>0</v>
      </c>
      <c r="L489" t="n">
        <v>0</v>
      </c>
      <c r="M489" t="n">
        <v>0</v>
      </c>
      <c r="N489" t="n">
        <v>0</v>
      </c>
      <c r="O489" t="n">
        <v>0</v>
      </c>
      <c r="P489" t="n">
        <v>0</v>
      </c>
      <c r="Q489" t="n">
        <v>0</v>
      </c>
      <c r="R489" s="2" t="inlineStr"/>
    </row>
    <row r="490" ht="15" customHeight="1">
      <c r="A490" t="inlineStr">
        <is>
          <t>A 8394-2024</t>
        </is>
      </c>
      <c r="B490" s="1" t="n">
        <v>45352</v>
      </c>
      <c r="C490" s="1" t="n">
        <v>45911</v>
      </c>
      <c r="D490" t="inlineStr">
        <is>
          <t>SÖDERMANLANDS LÄN</t>
        </is>
      </c>
      <c r="E490" t="inlineStr">
        <is>
          <t>KATRINEHOLM</t>
        </is>
      </c>
      <c r="G490" t="n">
        <v>4</v>
      </c>
      <c r="H490" t="n">
        <v>0</v>
      </c>
      <c r="I490" t="n">
        <v>0</v>
      </c>
      <c r="J490" t="n">
        <v>0</v>
      </c>
      <c r="K490" t="n">
        <v>0</v>
      </c>
      <c r="L490" t="n">
        <v>0</v>
      </c>
      <c r="M490" t="n">
        <v>0</v>
      </c>
      <c r="N490" t="n">
        <v>0</v>
      </c>
      <c r="O490" t="n">
        <v>0</v>
      </c>
      <c r="P490" t="n">
        <v>0</v>
      </c>
      <c r="Q490" t="n">
        <v>0</v>
      </c>
      <c r="R490" s="2" t="inlineStr"/>
    </row>
    <row r="491" ht="15" customHeight="1">
      <c r="A491" t="inlineStr">
        <is>
          <t>A 11127-2023</t>
        </is>
      </c>
      <c r="B491" s="1" t="n">
        <v>44987</v>
      </c>
      <c r="C491" s="1" t="n">
        <v>45911</v>
      </c>
      <c r="D491" t="inlineStr">
        <is>
          <t>SÖDERMANLANDS LÄN</t>
        </is>
      </c>
      <c r="E491" t="inlineStr">
        <is>
          <t>KATRINEHOLM</t>
        </is>
      </c>
      <c r="G491" t="n">
        <v>4.3</v>
      </c>
      <c r="H491" t="n">
        <v>0</v>
      </c>
      <c r="I491" t="n">
        <v>0</v>
      </c>
      <c r="J491" t="n">
        <v>0</v>
      </c>
      <c r="K491" t="n">
        <v>0</v>
      </c>
      <c r="L491" t="n">
        <v>0</v>
      </c>
      <c r="M491" t="n">
        <v>0</v>
      </c>
      <c r="N491" t="n">
        <v>0</v>
      </c>
      <c r="O491" t="n">
        <v>0</v>
      </c>
      <c r="P491" t="n">
        <v>0</v>
      </c>
      <c r="Q491" t="n">
        <v>0</v>
      </c>
      <c r="R491" s="2" t="inlineStr"/>
    </row>
    <row r="492" ht="15" customHeight="1">
      <c r="A492" t="inlineStr">
        <is>
          <t>A 13658-2023</t>
        </is>
      </c>
      <c r="B492" s="1" t="n">
        <v>45006</v>
      </c>
      <c r="C492" s="1" t="n">
        <v>45911</v>
      </c>
      <c r="D492" t="inlineStr">
        <is>
          <t>SÖDERMANLANDS LÄN</t>
        </is>
      </c>
      <c r="E492" t="inlineStr">
        <is>
          <t>KATRINEHOLM</t>
        </is>
      </c>
      <c r="F492" t="inlineStr">
        <is>
          <t>Kyrkan</t>
        </is>
      </c>
      <c r="G492" t="n">
        <v>24.3</v>
      </c>
      <c r="H492" t="n">
        <v>0</v>
      </c>
      <c r="I492" t="n">
        <v>0</v>
      </c>
      <c r="J492" t="n">
        <v>0</v>
      </c>
      <c r="K492" t="n">
        <v>0</v>
      </c>
      <c r="L492" t="n">
        <v>0</v>
      </c>
      <c r="M492" t="n">
        <v>0</v>
      </c>
      <c r="N492" t="n">
        <v>0</v>
      </c>
      <c r="O492" t="n">
        <v>0</v>
      </c>
      <c r="P492" t="n">
        <v>0</v>
      </c>
      <c r="Q492" t="n">
        <v>0</v>
      </c>
      <c r="R492" s="2" t="inlineStr"/>
    </row>
    <row r="493" ht="15" customHeight="1">
      <c r="A493" t="inlineStr">
        <is>
          <t>A 61385-2023</t>
        </is>
      </c>
      <c r="B493" s="1" t="n">
        <v>45264.64241898148</v>
      </c>
      <c r="C493" s="1" t="n">
        <v>45911</v>
      </c>
      <c r="D493" t="inlineStr">
        <is>
          <t>SÖDERMANLANDS LÄN</t>
        </is>
      </c>
      <c r="E493" t="inlineStr">
        <is>
          <t>KATRINEHOLM</t>
        </is>
      </c>
      <c r="G493" t="n">
        <v>0.4</v>
      </c>
      <c r="H493" t="n">
        <v>0</v>
      </c>
      <c r="I493" t="n">
        <v>0</v>
      </c>
      <c r="J493" t="n">
        <v>0</v>
      </c>
      <c r="K493" t="n">
        <v>0</v>
      </c>
      <c r="L493" t="n">
        <v>0</v>
      </c>
      <c r="M493" t="n">
        <v>0</v>
      </c>
      <c r="N493" t="n">
        <v>0</v>
      </c>
      <c r="O493" t="n">
        <v>0</v>
      </c>
      <c r="P493" t="n">
        <v>0</v>
      </c>
      <c r="Q493" t="n">
        <v>0</v>
      </c>
      <c r="R493" s="2" t="inlineStr"/>
    </row>
    <row r="494" ht="15" customHeight="1">
      <c r="A494" t="inlineStr">
        <is>
          <t>A 55825-2022</t>
        </is>
      </c>
      <c r="B494" s="1" t="n">
        <v>44886</v>
      </c>
      <c r="C494" s="1" t="n">
        <v>45911</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55856-2022</t>
        </is>
      </c>
      <c r="B495" s="1" t="n">
        <v>44888</v>
      </c>
      <c r="C495" s="1" t="n">
        <v>45911</v>
      </c>
      <c r="D495" t="inlineStr">
        <is>
          <t>SÖDERMANLANDS LÄN</t>
        </is>
      </c>
      <c r="E495" t="inlineStr">
        <is>
          <t>KATRINEHOLM</t>
        </is>
      </c>
      <c r="G495" t="n">
        <v>5.6</v>
      </c>
      <c r="H495" t="n">
        <v>0</v>
      </c>
      <c r="I495" t="n">
        <v>0</v>
      </c>
      <c r="J495" t="n">
        <v>0</v>
      </c>
      <c r="K495" t="n">
        <v>0</v>
      </c>
      <c r="L495" t="n">
        <v>0</v>
      </c>
      <c r="M495" t="n">
        <v>0</v>
      </c>
      <c r="N495" t="n">
        <v>0</v>
      </c>
      <c r="O495" t="n">
        <v>0</v>
      </c>
      <c r="P495" t="n">
        <v>0</v>
      </c>
      <c r="Q495" t="n">
        <v>0</v>
      </c>
      <c r="R495" s="2" t="inlineStr"/>
    </row>
    <row r="496" ht="15" customHeight="1">
      <c r="A496" t="inlineStr">
        <is>
          <t>A 43513-2023</t>
        </is>
      </c>
      <c r="B496" s="1" t="n">
        <v>45184</v>
      </c>
      <c r="C496" s="1" t="n">
        <v>45911</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37827-2025</t>
        </is>
      </c>
      <c r="B497" s="1" t="n">
        <v>45881.40907407407</v>
      </c>
      <c r="C497" s="1" t="n">
        <v>45911</v>
      </c>
      <c r="D497" t="inlineStr">
        <is>
          <t>SÖDERMANLANDS LÄN</t>
        </is>
      </c>
      <c r="E497" t="inlineStr">
        <is>
          <t>KATRINEHOLM</t>
        </is>
      </c>
      <c r="F497" t="inlineStr">
        <is>
          <t>Övriga Aktiebolag</t>
        </is>
      </c>
      <c r="G497" t="n">
        <v>2</v>
      </c>
      <c r="H497" t="n">
        <v>0</v>
      </c>
      <c r="I497" t="n">
        <v>0</v>
      </c>
      <c r="J497" t="n">
        <v>0</v>
      </c>
      <c r="K497" t="n">
        <v>0</v>
      </c>
      <c r="L497" t="n">
        <v>0</v>
      </c>
      <c r="M497" t="n">
        <v>0</v>
      </c>
      <c r="N497" t="n">
        <v>0</v>
      </c>
      <c r="O497" t="n">
        <v>0</v>
      </c>
      <c r="P497" t="n">
        <v>0</v>
      </c>
      <c r="Q497" t="n">
        <v>0</v>
      </c>
      <c r="R497" s="2" t="inlineStr"/>
    </row>
    <row r="498" ht="15" customHeight="1">
      <c r="A498" t="inlineStr">
        <is>
          <t>A 33077-2025</t>
        </is>
      </c>
      <c r="B498" s="1" t="n">
        <v>45840.45864583334</v>
      </c>
      <c r="C498" s="1" t="n">
        <v>45911</v>
      </c>
      <c r="D498" t="inlineStr">
        <is>
          <t>SÖDERMANLANDS LÄN</t>
        </is>
      </c>
      <c r="E498" t="inlineStr">
        <is>
          <t>KATRINEHOLM</t>
        </is>
      </c>
      <c r="G498" t="n">
        <v>7</v>
      </c>
      <c r="H498" t="n">
        <v>0</v>
      </c>
      <c r="I498" t="n">
        <v>0</v>
      </c>
      <c r="J498" t="n">
        <v>0</v>
      </c>
      <c r="K498" t="n">
        <v>0</v>
      </c>
      <c r="L498" t="n">
        <v>0</v>
      </c>
      <c r="M498" t="n">
        <v>0</v>
      </c>
      <c r="N498" t="n">
        <v>0</v>
      </c>
      <c r="O498" t="n">
        <v>0</v>
      </c>
      <c r="P498" t="n">
        <v>0</v>
      </c>
      <c r="Q498" t="n">
        <v>0</v>
      </c>
      <c r="R498" s="2" t="inlineStr"/>
    </row>
    <row r="499" ht="15" customHeight="1">
      <c r="A499" t="inlineStr">
        <is>
          <t>A 8951-2024</t>
        </is>
      </c>
      <c r="B499" s="1" t="n">
        <v>45357.44695601852</v>
      </c>
      <c r="C499" s="1" t="n">
        <v>45911</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8955-2024</t>
        </is>
      </c>
      <c r="B500" s="1" t="n">
        <v>45357.44873842593</v>
      </c>
      <c r="C500" s="1" t="n">
        <v>45911</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15945-2024</t>
        </is>
      </c>
      <c r="B501" s="1" t="n">
        <v>45405.48912037037</v>
      </c>
      <c r="C501" s="1" t="n">
        <v>45911</v>
      </c>
      <c r="D501" t="inlineStr">
        <is>
          <t>SÖDERMANLANDS LÄN</t>
        </is>
      </c>
      <c r="E501" t="inlineStr">
        <is>
          <t>KATRINEHOLM</t>
        </is>
      </c>
      <c r="G501" t="n">
        <v>1.8</v>
      </c>
      <c r="H501" t="n">
        <v>0</v>
      </c>
      <c r="I501" t="n">
        <v>0</v>
      </c>
      <c r="J501" t="n">
        <v>0</v>
      </c>
      <c r="K501" t="n">
        <v>0</v>
      </c>
      <c r="L501" t="n">
        <v>0</v>
      </c>
      <c r="M501" t="n">
        <v>0</v>
      </c>
      <c r="N501" t="n">
        <v>0</v>
      </c>
      <c r="O501" t="n">
        <v>0</v>
      </c>
      <c r="P501" t="n">
        <v>0</v>
      </c>
      <c r="Q501" t="n">
        <v>0</v>
      </c>
      <c r="R501" s="2" t="inlineStr"/>
    </row>
    <row r="502" ht="15" customHeight="1">
      <c r="A502" t="inlineStr">
        <is>
          <t>A 48838-2020</t>
        </is>
      </c>
      <c r="B502" s="1" t="n">
        <v>44099</v>
      </c>
      <c r="C502" s="1" t="n">
        <v>45911</v>
      </c>
      <c r="D502" t="inlineStr">
        <is>
          <t>SÖDERMANLANDS LÄN</t>
        </is>
      </c>
      <c r="E502" t="inlineStr">
        <is>
          <t>KATRINEHOLM</t>
        </is>
      </c>
      <c r="G502" t="n">
        <v>6.8</v>
      </c>
      <c r="H502" t="n">
        <v>0</v>
      </c>
      <c r="I502" t="n">
        <v>0</v>
      </c>
      <c r="J502" t="n">
        <v>0</v>
      </c>
      <c r="K502" t="n">
        <v>0</v>
      </c>
      <c r="L502" t="n">
        <v>0</v>
      </c>
      <c r="M502" t="n">
        <v>0</v>
      </c>
      <c r="N502" t="n">
        <v>0</v>
      </c>
      <c r="O502" t="n">
        <v>0</v>
      </c>
      <c r="P502" t="n">
        <v>0</v>
      </c>
      <c r="Q502" t="n">
        <v>0</v>
      </c>
      <c r="R502" s="2" t="inlineStr"/>
    </row>
    <row r="503" ht="15" customHeight="1">
      <c r="A503" t="inlineStr">
        <is>
          <t>A 4655-2024</t>
        </is>
      </c>
      <c r="B503" s="1" t="n">
        <v>45328</v>
      </c>
      <c r="C503" s="1" t="n">
        <v>45911</v>
      </c>
      <c r="D503" t="inlineStr">
        <is>
          <t>SÖDERMANLANDS LÄN</t>
        </is>
      </c>
      <c r="E503" t="inlineStr">
        <is>
          <t>KATRINEHOLM</t>
        </is>
      </c>
      <c r="G503" t="n">
        <v>17.7</v>
      </c>
      <c r="H503" t="n">
        <v>0</v>
      </c>
      <c r="I503" t="n">
        <v>0</v>
      </c>
      <c r="J503" t="n">
        <v>0</v>
      </c>
      <c r="K503" t="n">
        <v>0</v>
      </c>
      <c r="L503" t="n">
        <v>0</v>
      </c>
      <c r="M503" t="n">
        <v>0</v>
      </c>
      <c r="N503" t="n">
        <v>0</v>
      </c>
      <c r="O503" t="n">
        <v>0</v>
      </c>
      <c r="P503" t="n">
        <v>0</v>
      </c>
      <c r="Q503" t="n">
        <v>0</v>
      </c>
      <c r="R503" s="2" t="inlineStr"/>
    </row>
    <row r="504" ht="15" customHeight="1">
      <c r="A504" t="inlineStr">
        <is>
          <t>A 53387-2023</t>
        </is>
      </c>
      <c r="B504" s="1" t="n">
        <v>45229</v>
      </c>
      <c r="C504" s="1" t="n">
        <v>45911</v>
      </c>
      <c r="D504" t="inlineStr">
        <is>
          <t>SÖDERMANLANDS LÄN</t>
        </is>
      </c>
      <c r="E504" t="inlineStr">
        <is>
          <t>KATRINEHOLM</t>
        </is>
      </c>
      <c r="F504" t="inlineStr">
        <is>
          <t>Kyrkan</t>
        </is>
      </c>
      <c r="G504" t="n">
        <v>7.4</v>
      </c>
      <c r="H504" t="n">
        <v>0</v>
      </c>
      <c r="I504" t="n">
        <v>0</v>
      </c>
      <c r="J504" t="n">
        <v>0</v>
      </c>
      <c r="K504" t="n">
        <v>0</v>
      </c>
      <c r="L504" t="n">
        <v>0</v>
      </c>
      <c r="M504" t="n">
        <v>0</v>
      </c>
      <c r="N504" t="n">
        <v>0</v>
      </c>
      <c r="O504" t="n">
        <v>0</v>
      </c>
      <c r="P504" t="n">
        <v>0</v>
      </c>
      <c r="Q504" t="n">
        <v>0</v>
      </c>
      <c r="R504" s="2" t="inlineStr"/>
    </row>
    <row r="505" ht="15" customHeight="1">
      <c r="A505" t="inlineStr">
        <is>
          <t>A 49112-2024</t>
        </is>
      </c>
      <c r="B505" s="1" t="n">
        <v>45594.65637731482</v>
      </c>
      <c r="C505" s="1" t="n">
        <v>45911</v>
      </c>
      <c r="D505" t="inlineStr">
        <is>
          <t>SÖDERMANLANDS LÄN</t>
        </is>
      </c>
      <c r="E505" t="inlineStr">
        <is>
          <t>KATRINEHOLM</t>
        </is>
      </c>
      <c r="G505" t="n">
        <v>3.6</v>
      </c>
      <c r="H505" t="n">
        <v>0</v>
      </c>
      <c r="I505" t="n">
        <v>0</v>
      </c>
      <c r="J505" t="n">
        <v>0</v>
      </c>
      <c r="K505" t="n">
        <v>0</v>
      </c>
      <c r="L505" t="n">
        <v>0</v>
      </c>
      <c r="M505" t="n">
        <v>0</v>
      </c>
      <c r="N505" t="n">
        <v>0</v>
      </c>
      <c r="O505" t="n">
        <v>0</v>
      </c>
      <c r="P505" t="n">
        <v>0</v>
      </c>
      <c r="Q505" t="n">
        <v>0</v>
      </c>
      <c r="R505" s="2" t="inlineStr"/>
    </row>
    <row r="506" ht="15" customHeight="1">
      <c r="A506" t="inlineStr">
        <is>
          <t>A 27345-2023</t>
        </is>
      </c>
      <c r="B506" s="1" t="n">
        <v>45096</v>
      </c>
      <c r="C506" s="1" t="n">
        <v>45911</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42590-2022</t>
        </is>
      </c>
      <c r="B507" s="1" t="n">
        <v>44831</v>
      </c>
      <c r="C507" s="1" t="n">
        <v>45911</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33096-2025</t>
        </is>
      </c>
      <c r="B508" s="1" t="n">
        <v>45840.47563657408</v>
      </c>
      <c r="C508" s="1" t="n">
        <v>45911</v>
      </c>
      <c r="D508" t="inlineStr">
        <is>
          <t>SÖDERMANLANDS LÄN</t>
        </is>
      </c>
      <c r="E508" t="inlineStr">
        <is>
          <t>KATRINEHOLM</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33101-2025</t>
        </is>
      </c>
      <c r="B509" s="1" t="n">
        <v>45840.47953703703</v>
      </c>
      <c r="C509" s="1" t="n">
        <v>45911</v>
      </c>
      <c r="D509" t="inlineStr">
        <is>
          <t>SÖDERMANLANDS LÄN</t>
        </is>
      </c>
      <c r="E509" t="inlineStr">
        <is>
          <t>KATRINEHOLM</t>
        </is>
      </c>
      <c r="G509" t="n">
        <v>4.4</v>
      </c>
      <c r="H509" t="n">
        <v>0</v>
      </c>
      <c r="I509" t="n">
        <v>0</v>
      </c>
      <c r="J509" t="n">
        <v>0</v>
      </c>
      <c r="K509" t="n">
        <v>0</v>
      </c>
      <c r="L509" t="n">
        <v>0</v>
      </c>
      <c r="M509" t="n">
        <v>0</v>
      </c>
      <c r="N509" t="n">
        <v>0</v>
      </c>
      <c r="O509" t="n">
        <v>0</v>
      </c>
      <c r="P509" t="n">
        <v>0</v>
      </c>
      <c r="Q509" t="n">
        <v>0</v>
      </c>
      <c r="R509" s="2" t="inlineStr"/>
    </row>
    <row r="510" ht="15" customHeight="1">
      <c r="A510" t="inlineStr">
        <is>
          <t>A 1151-2025</t>
        </is>
      </c>
      <c r="B510" s="1" t="n">
        <v>45666</v>
      </c>
      <c r="C510" s="1" t="n">
        <v>45911</v>
      </c>
      <c r="D510" t="inlineStr">
        <is>
          <t>SÖDERMANLANDS LÄN</t>
        </is>
      </c>
      <c r="E510" t="inlineStr">
        <is>
          <t>KATRINEHOLM</t>
        </is>
      </c>
      <c r="G510" t="n">
        <v>1.9</v>
      </c>
      <c r="H510" t="n">
        <v>0</v>
      </c>
      <c r="I510" t="n">
        <v>0</v>
      </c>
      <c r="J510" t="n">
        <v>0</v>
      </c>
      <c r="K510" t="n">
        <v>0</v>
      </c>
      <c r="L510" t="n">
        <v>0</v>
      </c>
      <c r="M510" t="n">
        <v>0</v>
      </c>
      <c r="N510" t="n">
        <v>0</v>
      </c>
      <c r="O510" t="n">
        <v>0</v>
      </c>
      <c r="P510" t="n">
        <v>0</v>
      </c>
      <c r="Q510" t="n">
        <v>0</v>
      </c>
      <c r="R510" s="2" t="inlineStr"/>
    </row>
    <row r="511" ht="15" customHeight="1">
      <c r="A511" t="inlineStr">
        <is>
          <t>A 33090-2025</t>
        </is>
      </c>
      <c r="B511" s="1" t="n">
        <v>45840.46840277778</v>
      </c>
      <c r="C511" s="1" t="n">
        <v>45911</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6808-2023</t>
        </is>
      </c>
      <c r="B512" s="1" t="n">
        <v>44964</v>
      </c>
      <c r="C512" s="1" t="n">
        <v>45911</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33084-2025</t>
        </is>
      </c>
      <c r="B513" s="1" t="n">
        <v>45840.46559027778</v>
      </c>
      <c r="C513" s="1" t="n">
        <v>45911</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33129-2025</t>
        </is>
      </c>
      <c r="B514" s="1" t="n">
        <v>45840.50141203704</v>
      </c>
      <c r="C514" s="1" t="n">
        <v>45911</v>
      </c>
      <c r="D514" t="inlineStr">
        <is>
          <t>SÖDERMANLANDS LÄN</t>
        </is>
      </c>
      <c r="E514" t="inlineStr">
        <is>
          <t>KATRINEHOLM</t>
        </is>
      </c>
      <c r="G514" t="n">
        <v>2.6</v>
      </c>
      <c r="H514" t="n">
        <v>0</v>
      </c>
      <c r="I514" t="n">
        <v>0</v>
      </c>
      <c r="J514" t="n">
        <v>0</v>
      </c>
      <c r="K514" t="n">
        <v>0</v>
      </c>
      <c r="L514" t="n">
        <v>0</v>
      </c>
      <c r="M514" t="n">
        <v>0</v>
      </c>
      <c r="N514" t="n">
        <v>0</v>
      </c>
      <c r="O514" t="n">
        <v>0</v>
      </c>
      <c r="P514" t="n">
        <v>0</v>
      </c>
      <c r="Q514" t="n">
        <v>0</v>
      </c>
      <c r="R514" s="2" t="inlineStr"/>
    </row>
    <row r="515" ht="15" customHeight="1">
      <c r="A515" t="inlineStr">
        <is>
          <t>A 38883-2024</t>
        </is>
      </c>
      <c r="B515" s="1" t="n">
        <v>45547</v>
      </c>
      <c r="C515" s="1" t="n">
        <v>45911</v>
      </c>
      <c r="D515" t="inlineStr">
        <is>
          <t>SÖDERMANLANDS LÄN</t>
        </is>
      </c>
      <c r="E515" t="inlineStr">
        <is>
          <t>KATRINEHOLM</t>
        </is>
      </c>
      <c r="G515" t="n">
        <v>3.1</v>
      </c>
      <c r="H515" t="n">
        <v>0</v>
      </c>
      <c r="I515" t="n">
        <v>0</v>
      </c>
      <c r="J515" t="n">
        <v>0</v>
      </c>
      <c r="K515" t="n">
        <v>0</v>
      </c>
      <c r="L515" t="n">
        <v>0</v>
      </c>
      <c r="M515" t="n">
        <v>0</v>
      </c>
      <c r="N515" t="n">
        <v>0</v>
      </c>
      <c r="O515" t="n">
        <v>0</v>
      </c>
      <c r="P515" t="n">
        <v>0</v>
      </c>
      <c r="Q515" t="n">
        <v>0</v>
      </c>
      <c r="R515" s="2" t="inlineStr"/>
    </row>
    <row r="516" ht="15" customHeight="1">
      <c r="A516" t="inlineStr">
        <is>
          <t>A 61394-2024</t>
        </is>
      </c>
      <c r="B516" s="1" t="n">
        <v>45646.42061342593</v>
      </c>
      <c r="C516" s="1" t="n">
        <v>45911</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4667-2024</t>
        </is>
      </c>
      <c r="B517" s="1" t="n">
        <v>45328.47</v>
      </c>
      <c r="C517" s="1" t="n">
        <v>45911</v>
      </c>
      <c r="D517" t="inlineStr">
        <is>
          <t>SÖDERMANLANDS LÄN</t>
        </is>
      </c>
      <c r="E517" t="inlineStr">
        <is>
          <t>KATRINEHOLM</t>
        </is>
      </c>
      <c r="F517" t="inlineStr">
        <is>
          <t>Övriga Aktiebolag</t>
        </is>
      </c>
      <c r="G517" t="n">
        <v>10.2</v>
      </c>
      <c r="H517" t="n">
        <v>0</v>
      </c>
      <c r="I517" t="n">
        <v>0</v>
      </c>
      <c r="J517" t="n">
        <v>0</v>
      </c>
      <c r="K517" t="n">
        <v>0</v>
      </c>
      <c r="L517" t="n">
        <v>0</v>
      </c>
      <c r="M517" t="n">
        <v>0</v>
      </c>
      <c r="N517" t="n">
        <v>0</v>
      </c>
      <c r="O517" t="n">
        <v>0</v>
      </c>
      <c r="P517" t="n">
        <v>0</v>
      </c>
      <c r="Q517" t="n">
        <v>0</v>
      </c>
      <c r="R517" s="2" t="inlineStr"/>
    </row>
    <row r="518" ht="15" customHeight="1">
      <c r="A518" t="inlineStr">
        <is>
          <t>A 39704-2023</t>
        </is>
      </c>
      <c r="B518" s="1" t="n">
        <v>45167</v>
      </c>
      <c r="C518" s="1" t="n">
        <v>45911</v>
      </c>
      <c r="D518" t="inlineStr">
        <is>
          <t>SÖDERMANLANDS LÄN</t>
        </is>
      </c>
      <c r="E518" t="inlineStr">
        <is>
          <t>KATRINEHOLM</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16087-2023</t>
        </is>
      </c>
      <c r="B519" s="1" t="n">
        <v>45026</v>
      </c>
      <c r="C519" s="1" t="n">
        <v>45911</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33577-2025</t>
        </is>
      </c>
      <c r="B520" s="1" t="n">
        <v>45841.59056712963</v>
      </c>
      <c r="C520" s="1" t="n">
        <v>45911</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61867-2020</t>
        </is>
      </c>
      <c r="B521" s="1" t="n">
        <v>44159</v>
      </c>
      <c r="C521" s="1" t="n">
        <v>45911</v>
      </c>
      <c r="D521" t="inlineStr">
        <is>
          <t>SÖDERMANLANDS LÄN</t>
        </is>
      </c>
      <c r="E521" t="inlineStr">
        <is>
          <t>KATRINEHOLM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28652-2024</t>
        </is>
      </c>
      <c r="B522" s="1" t="n">
        <v>45478</v>
      </c>
      <c r="C522" s="1" t="n">
        <v>45911</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33469-2025</t>
        </is>
      </c>
      <c r="B523" s="1" t="n">
        <v>45841.48686342593</v>
      </c>
      <c r="C523" s="1" t="n">
        <v>45911</v>
      </c>
      <c r="D523" t="inlineStr">
        <is>
          <t>SÖDERMANLANDS LÄN</t>
        </is>
      </c>
      <c r="E523" t="inlineStr">
        <is>
          <t>KATRINEHOLM</t>
        </is>
      </c>
      <c r="G523" t="n">
        <v>2.1</v>
      </c>
      <c r="H523" t="n">
        <v>0</v>
      </c>
      <c r="I523" t="n">
        <v>0</v>
      </c>
      <c r="J523" t="n">
        <v>0</v>
      </c>
      <c r="K523" t="n">
        <v>0</v>
      </c>
      <c r="L523" t="n">
        <v>0</v>
      </c>
      <c r="M523" t="n">
        <v>0</v>
      </c>
      <c r="N523" t="n">
        <v>0</v>
      </c>
      <c r="O523" t="n">
        <v>0</v>
      </c>
      <c r="P523" t="n">
        <v>0</v>
      </c>
      <c r="Q523" t="n">
        <v>0</v>
      </c>
      <c r="R523" s="2" t="inlineStr"/>
    </row>
    <row r="524" ht="15" customHeight="1">
      <c r="A524" t="inlineStr">
        <is>
          <t>A 42791-2023</t>
        </is>
      </c>
      <c r="B524" s="1" t="n">
        <v>45181.92876157408</v>
      </c>
      <c r="C524" s="1" t="n">
        <v>45911</v>
      </c>
      <c r="D524" t="inlineStr">
        <is>
          <t>SÖDERMANLANDS LÄN</t>
        </is>
      </c>
      <c r="E524" t="inlineStr">
        <is>
          <t>KATRINEHOLM</t>
        </is>
      </c>
      <c r="G524" t="n">
        <v>4.1</v>
      </c>
      <c r="H524" t="n">
        <v>0</v>
      </c>
      <c r="I524" t="n">
        <v>0</v>
      </c>
      <c r="J524" t="n">
        <v>0</v>
      </c>
      <c r="K524" t="n">
        <v>0</v>
      </c>
      <c r="L524" t="n">
        <v>0</v>
      </c>
      <c r="M524" t="n">
        <v>0</v>
      </c>
      <c r="N524" t="n">
        <v>0</v>
      </c>
      <c r="O524" t="n">
        <v>0</v>
      </c>
      <c r="P524" t="n">
        <v>0</v>
      </c>
      <c r="Q524" t="n">
        <v>0</v>
      </c>
      <c r="R524" s="2" t="inlineStr"/>
    </row>
    <row r="525" ht="15" customHeight="1">
      <c r="A525" t="inlineStr">
        <is>
          <t>A 42792-2023</t>
        </is>
      </c>
      <c r="B525" s="1" t="n">
        <v>45181.95491898148</v>
      </c>
      <c r="C525" s="1" t="n">
        <v>45911</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33812-2025</t>
        </is>
      </c>
      <c r="B526" s="1" t="n">
        <v>45842</v>
      </c>
      <c r="C526" s="1" t="n">
        <v>45911</v>
      </c>
      <c r="D526" t="inlineStr">
        <is>
          <t>SÖDERMANLANDS LÄN</t>
        </is>
      </c>
      <c r="E526" t="inlineStr">
        <is>
          <t>KATRINEHOLM</t>
        </is>
      </c>
      <c r="G526" t="n">
        <v>1.5</v>
      </c>
      <c r="H526" t="n">
        <v>0</v>
      </c>
      <c r="I526" t="n">
        <v>0</v>
      </c>
      <c r="J526" t="n">
        <v>0</v>
      </c>
      <c r="K526" t="n">
        <v>0</v>
      </c>
      <c r="L526" t="n">
        <v>0</v>
      </c>
      <c r="M526" t="n">
        <v>0</v>
      </c>
      <c r="N526" t="n">
        <v>0</v>
      </c>
      <c r="O526" t="n">
        <v>0</v>
      </c>
      <c r="P526" t="n">
        <v>0</v>
      </c>
      <c r="Q526" t="n">
        <v>0</v>
      </c>
      <c r="R526" s="2" t="inlineStr"/>
    </row>
    <row r="527" ht="15" customHeight="1">
      <c r="A527" t="inlineStr">
        <is>
          <t>A 33815-2025</t>
        </is>
      </c>
      <c r="B527" s="1" t="n">
        <v>45842</v>
      </c>
      <c r="C527" s="1" t="n">
        <v>45911</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18339-2023</t>
        </is>
      </c>
      <c r="B528" s="1" t="n">
        <v>45041</v>
      </c>
      <c r="C528" s="1" t="n">
        <v>45911</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58522-2024</t>
        </is>
      </c>
      <c r="B529" s="1" t="n">
        <v>45635.43770833333</v>
      </c>
      <c r="C529" s="1" t="n">
        <v>45911</v>
      </c>
      <c r="D529" t="inlineStr">
        <is>
          <t>SÖDERMANLANDS LÄN</t>
        </is>
      </c>
      <c r="E529" t="inlineStr">
        <is>
          <t>KATRINEHOLM</t>
        </is>
      </c>
      <c r="G529" t="n">
        <v>2</v>
      </c>
      <c r="H529" t="n">
        <v>0</v>
      </c>
      <c r="I529" t="n">
        <v>0</v>
      </c>
      <c r="J529" t="n">
        <v>0</v>
      </c>
      <c r="K529" t="n">
        <v>0</v>
      </c>
      <c r="L529" t="n">
        <v>0</v>
      </c>
      <c r="M529" t="n">
        <v>0</v>
      </c>
      <c r="N529" t="n">
        <v>0</v>
      </c>
      <c r="O529" t="n">
        <v>0</v>
      </c>
      <c r="P529" t="n">
        <v>0</v>
      </c>
      <c r="Q529" t="n">
        <v>0</v>
      </c>
      <c r="R529" s="2" t="inlineStr"/>
    </row>
    <row r="530" ht="15" customHeight="1">
      <c r="A530" t="inlineStr">
        <is>
          <t>A 31740-2022</t>
        </is>
      </c>
      <c r="B530" s="1" t="n">
        <v>44776</v>
      </c>
      <c r="C530" s="1" t="n">
        <v>45911</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6762-2025</t>
        </is>
      </c>
      <c r="B531" s="1" t="n">
        <v>45700</v>
      </c>
      <c r="C531" s="1" t="n">
        <v>45911</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48619-2020</t>
        </is>
      </c>
      <c r="B532" s="1" t="n">
        <v>44103</v>
      </c>
      <c r="C532" s="1" t="n">
        <v>45911</v>
      </c>
      <c r="D532" t="inlineStr">
        <is>
          <t>SÖDERMANLANDS LÄN</t>
        </is>
      </c>
      <c r="E532" t="inlineStr">
        <is>
          <t>KATRINEHOLM</t>
        </is>
      </c>
      <c r="F532" t="inlineStr">
        <is>
          <t>Övriga statliga verk och myndigheter</t>
        </is>
      </c>
      <c r="G532" t="n">
        <v>0.9</v>
      </c>
      <c r="H532" t="n">
        <v>0</v>
      </c>
      <c r="I532" t="n">
        <v>0</v>
      </c>
      <c r="J532" t="n">
        <v>0</v>
      </c>
      <c r="K532" t="n">
        <v>0</v>
      </c>
      <c r="L532" t="n">
        <v>0</v>
      </c>
      <c r="M532" t="n">
        <v>0</v>
      </c>
      <c r="N532" t="n">
        <v>0</v>
      </c>
      <c r="O532" t="n">
        <v>0</v>
      </c>
      <c r="P532" t="n">
        <v>0</v>
      </c>
      <c r="Q532" t="n">
        <v>0</v>
      </c>
      <c r="R532" s="2" t="inlineStr"/>
    </row>
    <row r="533" ht="15" customHeight="1">
      <c r="A533" t="inlineStr">
        <is>
          <t>A 4679-2023</t>
        </is>
      </c>
      <c r="B533" s="1" t="n">
        <v>44957.44885416667</v>
      </c>
      <c r="C533" s="1" t="n">
        <v>45911</v>
      </c>
      <c r="D533" t="inlineStr">
        <is>
          <t>SÖDERMANLANDS LÄN</t>
        </is>
      </c>
      <c r="E533" t="inlineStr">
        <is>
          <t>KATRINEHOLM</t>
        </is>
      </c>
      <c r="G533" t="n">
        <v>5.3</v>
      </c>
      <c r="H533" t="n">
        <v>0</v>
      </c>
      <c r="I533" t="n">
        <v>0</v>
      </c>
      <c r="J533" t="n">
        <v>0</v>
      </c>
      <c r="K533" t="n">
        <v>0</v>
      </c>
      <c r="L533" t="n">
        <v>0</v>
      </c>
      <c r="M533" t="n">
        <v>0</v>
      </c>
      <c r="N533" t="n">
        <v>0</v>
      </c>
      <c r="O533" t="n">
        <v>0</v>
      </c>
      <c r="P533" t="n">
        <v>0</v>
      </c>
      <c r="Q533" t="n">
        <v>0</v>
      </c>
      <c r="R533" s="2" t="inlineStr"/>
    </row>
    <row r="534" ht="15" customHeight="1">
      <c r="A534" t="inlineStr">
        <is>
          <t>A 20213-2025</t>
        </is>
      </c>
      <c r="B534" s="1" t="n">
        <v>45772.63453703704</v>
      </c>
      <c r="C534" s="1" t="n">
        <v>45911</v>
      </c>
      <c r="D534" t="inlineStr">
        <is>
          <t>SÖDERMANLANDS LÄN</t>
        </is>
      </c>
      <c r="E534" t="inlineStr">
        <is>
          <t>KATRINEHOLM</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47889-2023</t>
        </is>
      </c>
      <c r="B535" s="1" t="n">
        <v>45204</v>
      </c>
      <c r="C535" s="1" t="n">
        <v>45911</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6087-2021</t>
        </is>
      </c>
      <c r="B536" s="1" t="n">
        <v>44232</v>
      </c>
      <c r="C536" s="1" t="n">
        <v>45911</v>
      </c>
      <c r="D536" t="inlineStr">
        <is>
          <t>SÖDERMANLANDS LÄN</t>
        </is>
      </c>
      <c r="E536" t="inlineStr">
        <is>
          <t>KATRINEHOLM</t>
        </is>
      </c>
      <c r="G536" t="n">
        <v>2.6</v>
      </c>
      <c r="H536" t="n">
        <v>0</v>
      </c>
      <c r="I536" t="n">
        <v>0</v>
      </c>
      <c r="J536" t="n">
        <v>0</v>
      </c>
      <c r="K536" t="n">
        <v>0</v>
      </c>
      <c r="L536" t="n">
        <v>0</v>
      </c>
      <c r="M536" t="n">
        <v>0</v>
      </c>
      <c r="N536" t="n">
        <v>0</v>
      </c>
      <c r="O536" t="n">
        <v>0</v>
      </c>
      <c r="P536" t="n">
        <v>0</v>
      </c>
      <c r="Q536" t="n">
        <v>0</v>
      </c>
      <c r="R536" s="2" t="inlineStr"/>
    </row>
    <row r="537" ht="15" customHeight="1">
      <c r="A537" t="inlineStr">
        <is>
          <t>A 34732-2022</t>
        </is>
      </c>
      <c r="B537" s="1" t="n">
        <v>44795</v>
      </c>
      <c r="C537" s="1" t="n">
        <v>45911</v>
      </c>
      <c r="D537" t="inlineStr">
        <is>
          <t>SÖDERMANLANDS LÄN</t>
        </is>
      </c>
      <c r="E537" t="inlineStr">
        <is>
          <t>KATRINEHOLM</t>
        </is>
      </c>
      <c r="G537" t="n">
        <v>3</v>
      </c>
      <c r="H537" t="n">
        <v>0</v>
      </c>
      <c r="I537" t="n">
        <v>0</v>
      </c>
      <c r="J537" t="n">
        <v>0</v>
      </c>
      <c r="K537" t="n">
        <v>0</v>
      </c>
      <c r="L537" t="n">
        <v>0</v>
      </c>
      <c r="M537" t="n">
        <v>0</v>
      </c>
      <c r="N537" t="n">
        <v>0</v>
      </c>
      <c r="O537" t="n">
        <v>0</v>
      </c>
      <c r="P537" t="n">
        <v>0</v>
      </c>
      <c r="Q537" t="n">
        <v>0</v>
      </c>
      <c r="R537" s="2" t="inlineStr"/>
    </row>
    <row r="538" ht="15" customHeight="1">
      <c r="A538" t="inlineStr">
        <is>
          <t>A 48528-2021</t>
        </is>
      </c>
      <c r="B538" s="1" t="n">
        <v>44449</v>
      </c>
      <c r="C538" s="1" t="n">
        <v>45911</v>
      </c>
      <c r="D538" t="inlineStr">
        <is>
          <t>SÖDERMANLANDS LÄN</t>
        </is>
      </c>
      <c r="E538" t="inlineStr">
        <is>
          <t>KATRINEHOLM</t>
        </is>
      </c>
      <c r="G538" t="n">
        <v>0.7</v>
      </c>
      <c r="H538" t="n">
        <v>0</v>
      </c>
      <c r="I538" t="n">
        <v>0</v>
      </c>
      <c r="J538" t="n">
        <v>0</v>
      </c>
      <c r="K538" t="n">
        <v>0</v>
      </c>
      <c r="L538" t="n">
        <v>0</v>
      </c>
      <c r="M538" t="n">
        <v>0</v>
      </c>
      <c r="N538" t="n">
        <v>0</v>
      </c>
      <c r="O538" t="n">
        <v>0</v>
      </c>
      <c r="P538" t="n">
        <v>0</v>
      </c>
      <c r="Q538" t="n">
        <v>0</v>
      </c>
      <c r="R538" s="2" t="inlineStr"/>
    </row>
    <row r="539" ht="15" customHeight="1">
      <c r="A539" t="inlineStr">
        <is>
          <t>A 48398-2022</t>
        </is>
      </c>
      <c r="B539" s="1" t="n">
        <v>44858.60809027778</v>
      </c>
      <c r="C539" s="1" t="n">
        <v>45911</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38708-2025</t>
        </is>
      </c>
      <c r="B540" s="1" t="n">
        <v>45885</v>
      </c>
      <c r="C540" s="1" t="n">
        <v>45911</v>
      </c>
      <c r="D540" t="inlineStr">
        <is>
          <t>SÖDERMANLANDS LÄN</t>
        </is>
      </c>
      <c r="E540" t="inlineStr">
        <is>
          <t>KATRINEHOLM</t>
        </is>
      </c>
      <c r="G540" t="n">
        <v>1.9</v>
      </c>
      <c r="H540" t="n">
        <v>0</v>
      </c>
      <c r="I540" t="n">
        <v>0</v>
      </c>
      <c r="J540" t="n">
        <v>0</v>
      </c>
      <c r="K540" t="n">
        <v>0</v>
      </c>
      <c r="L540" t="n">
        <v>0</v>
      </c>
      <c r="M540" t="n">
        <v>0</v>
      </c>
      <c r="N540" t="n">
        <v>0</v>
      </c>
      <c r="O540" t="n">
        <v>0</v>
      </c>
      <c r="P540" t="n">
        <v>0</v>
      </c>
      <c r="Q540" t="n">
        <v>0</v>
      </c>
      <c r="R540" s="2" t="inlineStr"/>
    </row>
    <row r="541" ht="15" customHeight="1">
      <c r="A541" t="inlineStr">
        <is>
          <t>A 32166-2022</t>
        </is>
      </c>
      <c r="B541" s="1" t="n">
        <v>44781</v>
      </c>
      <c r="C541" s="1" t="n">
        <v>45911</v>
      </c>
      <c r="D541" t="inlineStr">
        <is>
          <t>SÖDERMANLANDS LÄN</t>
        </is>
      </c>
      <c r="E541" t="inlineStr">
        <is>
          <t>KATRINEHOLM</t>
        </is>
      </c>
      <c r="F541" t="inlineStr">
        <is>
          <t>Kommuner</t>
        </is>
      </c>
      <c r="G541" t="n">
        <v>0.5</v>
      </c>
      <c r="H541" t="n">
        <v>0</v>
      </c>
      <c r="I541" t="n">
        <v>0</v>
      </c>
      <c r="J541" t="n">
        <v>0</v>
      </c>
      <c r="K541" t="n">
        <v>0</v>
      </c>
      <c r="L541" t="n">
        <v>0</v>
      </c>
      <c r="M541" t="n">
        <v>0</v>
      </c>
      <c r="N541" t="n">
        <v>0</v>
      </c>
      <c r="O541" t="n">
        <v>0</v>
      </c>
      <c r="P541" t="n">
        <v>0</v>
      </c>
      <c r="Q541" t="n">
        <v>0</v>
      </c>
      <c r="R541" s="2" t="inlineStr"/>
    </row>
    <row r="542" ht="15" customHeight="1">
      <c r="A542" t="inlineStr">
        <is>
          <t>A 32169-2022</t>
        </is>
      </c>
      <c r="B542" s="1" t="n">
        <v>44781</v>
      </c>
      <c r="C542" s="1" t="n">
        <v>45911</v>
      </c>
      <c r="D542" t="inlineStr">
        <is>
          <t>SÖDERMANLANDS LÄN</t>
        </is>
      </c>
      <c r="E542" t="inlineStr">
        <is>
          <t>KATRINEHOLM</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35864-2023</t>
        </is>
      </c>
      <c r="B543" s="1" t="n">
        <v>45147</v>
      </c>
      <c r="C543" s="1" t="n">
        <v>45911</v>
      </c>
      <c r="D543" t="inlineStr">
        <is>
          <t>SÖDERMANLANDS LÄN</t>
        </is>
      </c>
      <c r="E543" t="inlineStr">
        <is>
          <t>KATRINEHOLM</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6753-2022</t>
        </is>
      </c>
      <c r="B544" s="1" t="n">
        <v>44602</v>
      </c>
      <c r="C544" s="1" t="n">
        <v>45911</v>
      </c>
      <c r="D544" t="inlineStr">
        <is>
          <t>SÖDERMANLANDS LÄN</t>
        </is>
      </c>
      <c r="E544" t="inlineStr">
        <is>
          <t>KATRINEHOLM</t>
        </is>
      </c>
      <c r="G544" t="n">
        <v>4.3</v>
      </c>
      <c r="H544" t="n">
        <v>0</v>
      </c>
      <c r="I544" t="n">
        <v>0</v>
      </c>
      <c r="J544" t="n">
        <v>0</v>
      </c>
      <c r="K544" t="n">
        <v>0</v>
      </c>
      <c r="L544" t="n">
        <v>0</v>
      </c>
      <c r="M544" t="n">
        <v>0</v>
      </c>
      <c r="N544" t="n">
        <v>0</v>
      </c>
      <c r="O544" t="n">
        <v>0</v>
      </c>
      <c r="P544" t="n">
        <v>0</v>
      </c>
      <c r="Q544" t="n">
        <v>0</v>
      </c>
      <c r="R544" s="2" t="inlineStr"/>
    </row>
    <row r="545" ht="15" customHeight="1">
      <c r="A545" t="inlineStr">
        <is>
          <t>A 15184-2023</t>
        </is>
      </c>
      <c r="B545" s="1" t="n">
        <v>45016</v>
      </c>
      <c r="C545" s="1" t="n">
        <v>45911</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44637-2023</t>
        </is>
      </c>
      <c r="B546" s="1" t="n">
        <v>45189</v>
      </c>
      <c r="C546" s="1" t="n">
        <v>45911</v>
      </c>
      <c r="D546" t="inlineStr">
        <is>
          <t>SÖDERMANLANDS LÄN</t>
        </is>
      </c>
      <c r="E546" t="inlineStr">
        <is>
          <t>KATRINEHOLM</t>
        </is>
      </c>
      <c r="G546" t="n">
        <v>5.1</v>
      </c>
      <c r="H546" t="n">
        <v>0</v>
      </c>
      <c r="I546" t="n">
        <v>0</v>
      </c>
      <c r="J546" t="n">
        <v>0</v>
      </c>
      <c r="K546" t="n">
        <v>0</v>
      </c>
      <c r="L546" t="n">
        <v>0</v>
      </c>
      <c r="M546" t="n">
        <v>0</v>
      </c>
      <c r="N546" t="n">
        <v>0</v>
      </c>
      <c r="O546" t="n">
        <v>0</v>
      </c>
      <c r="P546" t="n">
        <v>0</v>
      </c>
      <c r="Q546" t="n">
        <v>0</v>
      </c>
      <c r="R546" s="2" t="inlineStr"/>
    </row>
    <row r="547" ht="15" customHeight="1">
      <c r="A547" t="inlineStr">
        <is>
          <t>A 38826-2021</t>
        </is>
      </c>
      <c r="B547" s="1" t="n">
        <v>44411</v>
      </c>
      <c r="C547" s="1" t="n">
        <v>45911</v>
      </c>
      <c r="D547" t="inlineStr">
        <is>
          <t>SÖDERMANLANDS LÄN</t>
        </is>
      </c>
      <c r="E547" t="inlineStr">
        <is>
          <t>KATRINEHOLM</t>
        </is>
      </c>
      <c r="G547" t="n">
        <v>3.1</v>
      </c>
      <c r="H547" t="n">
        <v>0</v>
      </c>
      <c r="I547" t="n">
        <v>0</v>
      </c>
      <c r="J547" t="n">
        <v>0</v>
      </c>
      <c r="K547" t="n">
        <v>0</v>
      </c>
      <c r="L547" t="n">
        <v>0</v>
      </c>
      <c r="M547" t="n">
        <v>0</v>
      </c>
      <c r="N547" t="n">
        <v>0</v>
      </c>
      <c r="O547" t="n">
        <v>0</v>
      </c>
      <c r="P547" t="n">
        <v>0</v>
      </c>
      <c r="Q547" t="n">
        <v>0</v>
      </c>
      <c r="R547" s="2" t="inlineStr"/>
    </row>
    <row r="548" ht="15" customHeight="1">
      <c r="A548" t="inlineStr">
        <is>
          <t>A 2297-2021</t>
        </is>
      </c>
      <c r="B548" s="1" t="n">
        <v>44212</v>
      </c>
      <c r="C548" s="1" t="n">
        <v>45911</v>
      </c>
      <c r="D548" t="inlineStr">
        <is>
          <t>SÖDERMANLANDS LÄN</t>
        </is>
      </c>
      <c r="E548" t="inlineStr">
        <is>
          <t>KATRINEHOLM</t>
        </is>
      </c>
      <c r="G548" t="n">
        <v>14.4</v>
      </c>
      <c r="H548" t="n">
        <v>0</v>
      </c>
      <c r="I548" t="n">
        <v>0</v>
      </c>
      <c r="J548" t="n">
        <v>0</v>
      </c>
      <c r="K548" t="n">
        <v>0</v>
      </c>
      <c r="L548" t="n">
        <v>0</v>
      </c>
      <c r="M548" t="n">
        <v>0</v>
      </c>
      <c r="N548" t="n">
        <v>0</v>
      </c>
      <c r="O548" t="n">
        <v>0</v>
      </c>
      <c r="P548" t="n">
        <v>0</v>
      </c>
      <c r="Q548" t="n">
        <v>0</v>
      </c>
      <c r="R548" s="2" t="inlineStr"/>
    </row>
    <row r="549" ht="15" customHeight="1">
      <c r="A549" t="inlineStr">
        <is>
          <t>A 9388-2021</t>
        </is>
      </c>
      <c r="B549" s="1" t="n">
        <v>44250</v>
      </c>
      <c r="C549" s="1" t="n">
        <v>45911</v>
      </c>
      <c r="D549" t="inlineStr">
        <is>
          <t>SÖDERMANLANDS LÄN</t>
        </is>
      </c>
      <c r="E549" t="inlineStr">
        <is>
          <t>KATRINEHOLM</t>
        </is>
      </c>
      <c r="G549" t="n">
        <v>5.4</v>
      </c>
      <c r="H549" t="n">
        <v>0</v>
      </c>
      <c r="I549" t="n">
        <v>0</v>
      </c>
      <c r="J549" t="n">
        <v>0</v>
      </c>
      <c r="K549" t="n">
        <v>0</v>
      </c>
      <c r="L549" t="n">
        <v>0</v>
      </c>
      <c r="M549" t="n">
        <v>0</v>
      </c>
      <c r="N549" t="n">
        <v>0</v>
      </c>
      <c r="O549" t="n">
        <v>0</v>
      </c>
      <c r="P549" t="n">
        <v>0</v>
      </c>
      <c r="Q549" t="n">
        <v>0</v>
      </c>
      <c r="R549" s="2" t="inlineStr"/>
    </row>
    <row r="550" ht="15" customHeight="1">
      <c r="A550" t="inlineStr">
        <is>
          <t>A 29830-2023</t>
        </is>
      </c>
      <c r="B550" s="1" t="n">
        <v>45107</v>
      </c>
      <c r="C550" s="1" t="n">
        <v>45911</v>
      </c>
      <c r="D550" t="inlineStr">
        <is>
          <t>SÖDERMANLANDS LÄN</t>
        </is>
      </c>
      <c r="E550" t="inlineStr">
        <is>
          <t>KATRINEHOLM</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65358-2020</t>
        </is>
      </c>
      <c r="B551" s="1" t="n">
        <v>44173</v>
      </c>
      <c r="C551" s="1" t="n">
        <v>45911</v>
      </c>
      <c r="D551" t="inlineStr">
        <is>
          <t>SÖDERMANLANDS LÄN</t>
        </is>
      </c>
      <c r="E551" t="inlineStr">
        <is>
          <t>KATRINEHOLM</t>
        </is>
      </c>
      <c r="G551" t="n">
        <v>1</v>
      </c>
      <c r="H551" t="n">
        <v>0</v>
      </c>
      <c r="I551" t="n">
        <v>0</v>
      </c>
      <c r="J551" t="n">
        <v>0</v>
      </c>
      <c r="K551" t="n">
        <v>0</v>
      </c>
      <c r="L551" t="n">
        <v>0</v>
      </c>
      <c r="M551" t="n">
        <v>0</v>
      </c>
      <c r="N551" t="n">
        <v>0</v>
      </c>
      <c r="O551" t="n">
        <v>0</v>
      </c>
      <c r="P551" t="n">
        <v>0</v>
      </c>
      <c r="Q551" t="n">
        <v>0</v>
      </c>
      <c r="R551" s="2" t="inlineStr"/>
    </row>
    <row r="552" ht="15" customHeight="1">
      <c r="A552" t="inlineStr">
        <is>
          <t>A 62424-2020</t>
        </is>
      </c>
      <c r="B552" s="1" t="n">
        <v>44160</v>
      </c>
      <c r="C552" s="1" t="n">
        <v>45911</v>
      </c>
      <c r="D552" t="inlineStr">
        <is>
          <t>SÖDERMANLANDS LÄN</t>
        </is>
      </c>
      <c r="E552" t="inlineStr">
        <is>
          <t>KATRINEHOLM</t>
        </is>
      </c>
      <c r="G552" t="n">
        <v>2.4</v>
      </c>
      <c r="H552" t="n">
        <v>0</v>
      </c>
      <c r="I552" t="n">
        <v>0</v>
      </c>
      <c r="J552" t="n">
        <v>0</v>
      </c>
      <c r="K552" t="n">
        <v>0</v>
      </c>
      <c r="L552" t="n">
        <v>0</v>
      </c>
      <c r="M552" t="n">
        <v>0</v>
      </c>
      <c r="N552" t="n">
        <v>0</v>
      </c>
      <c r="O552" t="n">
        <v>0</v>
      </c>
      <c r="P552" t="n">
        <v>0</v>
      </c>
      <c r="Q552" t="n">
        <v>0</v>
      </c>
      <c r="R552" s="2" t="inlineStr"/>
    </row>
    <row r="553" ht="15" customHeight="1">
      <c r="A553" t="inlineStr">
        <is>
          <t>A 19098-2022</t>
        </is>
      </c>
      <c r="B553" s="1" t="n">
        <v>44691.52616898148</v>
      </c>
      <c r="C553" s="1" t="n">
        <v>45911</v>
      </c>
      <c r="D553" t="inlineStr">
        <is>
          <t>SÖDERMANLANDS LÄN</t>
        </is>
      </c>
      <c r="E553" t="inlineStr">
        <is>
          <t>KATRINEHOLM</t>
        </is>
      </c>
      <c r="G553" t="n">
        <v>5.5</v>
      </c>
      <c r="H553" t="n">
        <v>0</v>
      </c>
      <c r="I553" t="n">
        <v>0</v>
      </c>
      <c r="J553" t="n">
        <v>0</v>
      </c>
      <c r="K553" t="n">
        <v>0</v>
      </c>
      <c r="L553" t="n">
        <v>0</v>
      </c>
      <c r="M553" t="n">
        <v>0</v>
      </c>
      <c r="N553" t="n">
        <v>0</v>
      </c>
      <c r="O553" t="n">
        <v>0</v>
      </c>
      <c r="P553" t="n">
        <v>0</v>
      </c>
      <c r="Q553" t="n">
        <v>0</v>
      </c>
      <c r="R553" s="2" t="inlineStr"/>
    </row>
    <row r="554" ht="15" customHeight="1">
      <c r="A554" t="inlineStr">
        <is>
          <t>A 39055-2022</t>
        </is>
      </c>
      <c r="B554" s="1" t="n">
        <v>44817</v>
      </c>
      <c r="C554" s="1" t="n">
        <v>45911</v>
      </c>
      <c r="D554" t="inlineStr">
        <is>
          <t>SÖDERMANLANDS LÄN</t>
        </is>
      </c>
      <c r="E554" t="inlineStr">
        <is>
          <t>KATRINEHOLM</t>
        </is>
      </c>
      <c r="F554" t="inlineStr">
        <is>
          <t>Övriga Aktiebolag</t>
        </is>
      </c>
      <c r="G554" t="n">
        <v>0.6</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44601.78850694445</v>
      </c>
      <c r="C555" s="1" t="n">
        <v>45911</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35160-2025</t>
        </is>
      </c>
      <c r="B556" s="1" t="n">
        <v>45852.70430555556</v>
      </c>
      <c r="C556" s="1" t="n">
        <v>45911</v>
      </c>
      <c r="D556" t="inlineStr">
        <is>
          <t>SÖDERMANLANDS LÄN</t>
        </is>
      </c>
      <c r="E556" t="inlineStr">
        <is>
          <t>KATRINEHOLM</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72984-2021</t>
        </is>
      </c>
      <c r="B557" s="1" t="n">
        <v>44549.74741898148</v>
      </c>
      <c r="C557" s="1" t="n">
        <v>45911</v>
      </c>
      <c r="D557" t="inlineStr">
        <is>
          <t>SÖDERMANLANDS LÄN</t>
        </is>
      </c>
      <c r="E557" t="inlineStr">
        <is>
          <t>KATRINEHOLM</t>
        </is>
      </c>
      <c r="G557" t="n">
        <v>4.9</v>
      </c>
      <c r="H557" t="n">
        <v>0</v>
      </c>
      <c r="I557" t="n">
        <v>0</v>
      </c>
      <c r="J557" t="n">
        <v>0</v>
      </c>
      <c r="K557" t="n">
        <v>0</v>
      </c>
      <c r="L557" t="n">
        <v>0</v>
      </c>
      <c r="M557" t="n">
        <v>0</v>
      </c>
      <c r="N557" t="n">
        <v>0</v>
      </c>
      <c r="O557" t="n">
        <v>0</v>
      </c>
      <c r="P557" t="n">
        <v>0</v>
      </c>
      <c r="Q557" t="n">
        <v>0</v>
      </c>
      <c r="R557" s="2" t="inlineStr"/>
    </row>
    <row r="558" ht="15" customHeight="1">
      <c r="A558" t="inlineStr">
        <is>
          <t>A 35156-2025</t>
        </is>
      </c>
      <c r="B558" s="1" t="n">
        <v>45852</v>
      </c>
      <c r="C558" s="1" t="n">
        <v>45911</v>
      </c>
      <c r="D558" t="inlineStr">
        <is>
          <t>SÖDERMANLANDS LÄN</t>
        </is>
      </c>
      <c r="E558" t="inlineStr">
        <is>
          <t>KATRINEHOLM</t>
        </is>
      </c>
      <c r="G558" t="n">
        <v>5.7</v>
      </c>
      <c r="H558" t="n">
        <v>0</v>
      </c>
      <c r="I558" t="n">
        <v>0</v>
      </c>
      <c r="J558" t="n">
        <v>0</v>
      </c>
      <c r="K558" t="n">
        <v>0</v>
      </c>
      <c r="L558" t="n">
        <v>0</v>
      </c>
      <c r="M558" t="n">
        <v>0</v>
      </c>
      <c r="N558" t="n">
        <v>0</v>
      </c>
      <c r="O558" t="n">
        <v>0</v>
      </c>
      <c r="P558" t="n">
        <v>0</v>
      </c>
      <c r="Q558" t="n">
        <v>0</v>
      </c>
      <c r="R558" s="2" t="inlineStr"/>
    </row>
    <row r="559" ht="15" customHeight="1">
      <c r="A559" t="inlineStr">
        <is>
          <t>A 35228-2025</t>
        </is>
      </c>
      <c r="B559" s="1" t="n">
        <v>45853</v>
      </c>
      <c r="C559" s="1" t="n">
        <v>45911</v>
      </c>
      <c r="D559" t="inlineStr">
        <is>
          <t>SÖDERMANLANDS LÄN</t>
        </is>
      </c>
      <c r="E559" t="inlineStr">
        <is>
          <t>KATRINEHOLM</t>
        </is>
      </c>
      <c r="G559" t="n">
        <v>1.1</v>
      </c>
      <c r="H559" t="n">
        <v>0</v>
      </c>
      <c r="I559" t="n">
        <v>0</v>
      </c>
      <c r="J559" t="n">
        <v>0</v>
      </c>
      <c r="K559" t="n">
        <v>0</v>
      </c>
      <c r="L559" t="n">
        <v>0</v>
      </c>
      <c r="M559" t="n">
        <v>0</v>
      </c>
      <c r="N559" t="n">
        <v>0</v>
      </c>
      <c r="O559" t="n">
        <v>0</v>
      </c>
      <c r="P559" t="n">
        <v>0</v>
      </c>
      <c r="Q559" t="n">
        <v>0</v>
      </c>
      <c r="R559" s="2" t="inlineStr"/>
    </row>
    <row r="560" ht="15" customHeight="1">
      <c r="A560" t="inlineStr">
        <is>
          <t>A 44783-2020</t>
        </is>
      </c>
      <c r="B560" s="1" t="n">
        <v>44085</v>
      </c>
      <c r="C560" s="1" t="n">
        <v>45911</v>
      </c>
      <c r="D560" t="inlineStr">
        <is>
          <t>SÖDERMANLANDS LÄN</t>
        </is>
      </c>
      <c r="E560" t="inlineStr">
        <is>
          <t>KATRINEHOLM</t>
        </is>
      </c>
      <c r="G560" t="n">
        <v>1.3</v>
      </c>
      <c r="H560" t="n">
        <v>0</v>
      </c>
      <c r="I560" t="n">
        <v>0</v>
      </c>
      <c r="J560" t="n">
        <v>0</v>
      </c>
      <c r="K560" t="n">
        <v>0</v>
      </c>
      <c r="L560" t="n">
        <v>0</v>
      </c>
      <c r="M560" t="n">
        <v>0</v>
      </c>
      <c r="N560" t="n">
        <v>0</v>
      </c>
      <c r="O560" t="n">
        <v>0</v>
      </c>
      <c r="P560" t="n">
        <v>0</v>
      </c>
      <c r="Q560" t="n">
        <v>0</v>
      </c>
      <c r="R560" s="2" t="inlineStr"/>
    </row>
    <row r="561" ht="15" customHeight="1">
      <c r="A561" t="inlineStr">
        <is>
          <t>A 46257-2021</t>
        </is>
      </c>
      <c r="B561" s="1" t="n">
        <v>44442</v>
      </c>
      <c r="C561" s="1" t="n">
        <v>45911</v>
      </c>
      <c r="D561" t="inlineStr">
        <is>
          <t>SÖDERMANLANDS LÄN</t>
        </is>
      </c>
      <c r="E561" t="inlineStr">
        <is>
          <t>KATRINEHOLM</t>
        </is>
      </c>
      <c r="G561" t="n">
        <v>2.3</v>
      </c>
      <c r="H561" t="n">
        <v>0</v>
      </c>
      <c r="I561" t="n">
        <v>0</v>
      </c>
      <c r="J561" t="n">
        <v>0</v>
      </c>
      <c r="K561" t="n">
        <v>0</v>
      </c>
      <c r="L561" t="n">
        <v>0</v>
      </c>
      <c r="M561" t="n">
        <v>0</v>
      </c>
      <c r="N561" t="n">
        <v>0</v>
      </c>
      <c r="O561" t="n">
        <v>0</v>
      </c>
      <c r="P561" t="n">
        <v>0</v>
      </c>
      <c r="Q561" t="n">
        <v>0</v>
      </c>
      <c r="R561" s="2" t="inlineStr"/>
    </row>
    <row r="562" ht="15" customHeight="1">
      <c r="A562" t="inlineStr">
        <is>
          <t>A 35152-2025</t>
        </is>
      </c>
      <c r="B562" s="1" t="n">
        <v>45852</v>
      </c>
      <c r="C562" s="1" t="n">
        <v>45911</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35165-2025</t>
        </is>
      </c>
      <c r="B563" s="1" t="n">
        <v>45852.72320601852</v>
      </c>
      <c r="C563" s="1" t="n">
        <v>45911</v>
      </c>
      <c r="D563" t="inlineStr">
        <is>
          <t>SÖDERMANLANDS LÄN</t>
        </is>
      </c>
      <c r="E563" t="inlineStr">
        <is>
          <t>KATRINEHOLM</t>
        </is>
      </c>
      <c r="F563" t="inlineStr">
        <is>
          <t>Övriga Aktiebolag</t>
        </is>
      </c>
      <c r="G563" t="n">
        <v>20.7</v>
      </c>
      <c r="H563" t="n">
        <v>0</v>
      </c>
      <c r="I563" t="n">
        <v>0</v>
      </c>
      <c r="J563" t="n">
        <v>0</v>
      </c>
      <c r="K563" t="n">
        <v>0</v>
      </c>
      <c r="L563" t="n">
        <v>0</v>
      </c>
      <c r="M563" t="n">
        <v>0</v>
      </c>
      <c r="N563" t="n">
        <v>0</v>
      </c>
      <c r="O563" t="n">
        <v>0</v>
      </c>
      <c r="P563" t="n">
        <v>0</v>
      </c>
      <c r="Q563" t="n">
        <v>0</v>
      </c>
      <c r="R563" s="2" t="inlineStr"/>
    </row>
    <row r="564" ht="15" customHeight="1">
      <c r="A564" t="inlineStr">
        <is>
          <t>A 52769-2023</t>
        </is>
      </c>
      <c r="B564" s="1" t="n">
        <v>45226</v>
      </c>
      <c r="C564" s="1" t="n">
        <v>45911</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55136-2020</t>
        </is>
      </c>
      <c r="B565" s="1" t="n">
        <v>44130</v>
      </c>
      <c r="C565" s="1" t="n">
        <v>45911</v>
      </c>
      <c r="D565" t="inlineStr">
        <is>
          <t>SÖDERMANLANDS LÄN</t>
        </is>
      </c>
      <c r="E565" t="inlineStr">
        <is>
          <t>KATRINEHOLM</t>
        </is>
      </c>
      <c r="G565" t="n">
        <v>1.3</v>
      </c>
      <c r="H565" t="n">
        <v>0</v>
      </c>
      <c r="I565" t="n">
        <v>0</v>
      </c>
      <c r="J565" t="n">
        <v>0</v>
      </c>
      <c r="K565" t="n">
        <v>0</v>
      </c>
      <c r="L565" t="n">
        <v>0</v>
      </c>
      <c r="M565" t="n">
        <v>0</v>
      </c>
      <c r="N565" t="n">
        <v>0</v>
      </c>
      <c r="O565" t="n">
        <v>0</v>
      </c>
      <c r="P565" t="n">
        <v>0</v>
      </c>
      <c r="Q565" t="n">
        <v>0</v>
      </c>
      <c r="R565" s="2" t="inlineStr"/>
    </row>
    <row r="566" ht="15" customHeight="1">
      <c r="A566" t="inlineStr">
        <is>
          <t>A 4758-2025</t>
        </is>
      </c>
      <c r="B566" s="1" t="n">
        <v>45688</v>
      </c>
      <c r="C566" s="1" t="n">
        <v>45911</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27852-2023</t>
        </is>
      </c>
      <c r="B567" s="1" t="n">
        <v>45098</v>
      </c>
      <c r="C567" s="1" t="n">
        <v>45911</v>
      </c>
      <c r="D567" t="inlineStr">
        <is>
          <t>SÖDERMANLANDS LÄN</t>
        </is>
      </c>
      <c r="E567" t="inlineStr">
        <is>
          <t>KATRINEHOLM</t>
        </is>
      </c>
      <c r="G567" t="n">
        <v>7.4</v>
      </c>
      <c r="H567" t="n">
        <v>0</v>
      </c>
      <c r="I567" t="n">
        <v>0</v>
      </c>
      <c r="J567" t="n">
        <v>0</v>
      </c>
      <c r="K567" t="n">
        <v>0</v>
      </c>
      <c r="L567" t="n">
        <v>0</v>
      </c>
      <c r="M567" t="n">
        <v>0</v>
      </c>
      <c r="N567" t="n">
        <v>0</v>
      </c>
      <c r="O567" t="n">
        <v>0</v>
      </c>
      <c r="P567" t="n">
        <v>0</v>
      </c>
      <c r="Q567" t="n">
        <v>0</v>
      </c>
      <c r="R567" s="2" t="inlineStr"/>
    </row>
    <row r="568" ht="15" customHeight="1">
      <c r="A568" t="inlineStr">
        <is>
          <t>A 39645-2025</t>
        </is>
      </c>
      <c r="B568" s="1" t="n">
        <v>45890</v>
      </c>
      <c r="C568" s="1" t="n">
        <v>45911</v>
      </c>
      <c r="D568" t="inlineStr">
        <is>
          <t>SÖDERMANLANDS LÄN</t>
        </is>
      </c>
      <c r="E568" t="inlineStr">
        <is>
          <t>KATRINEHOLM</t>
        </is>
      </c>
      <c r="G568" t="n">
        <v>0.2</v>
      </c>
      <c r="H568" t="n">
        <v>0</v>
      </c>
      <c r="I568" t="n">
        <v>0</v>
      </c>
      <c r="J568" t="n">
        <v>0</v>
      </c>
      <c r="K568" t="n">
        <v>0</v>
      </c>
      <c r="L568" t="n">
        <v>0</v>
      </c>
      <c r="M568" t="n">
        <v>0</v>
      </c>
      <c r="N568" t="n">
        <v>0</v>
      </c>
      <c r="O568" t="n">
        <v>0</v>
      </c>
      <c r="P568" t="n">
        <v>0</v>
      </c>
      <c r="Q568" t="n">
        <v>0</v>
      </c>
      <c r="R568" s="2" t="inlineStr"/>
    </row>
    <row r="569" ht="15" customHeight="1">
      <c r="A569" t="inlineStr">
        <is>
          <t>A 39663-2025</t>
        </is>
      </c>
      <c r="B569" s="1" t="n">
        <v>45890</v>
      </c>
      <c r="C569" s="1" t="n">
        <v>45911</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39668-2025</t>
        </is>
      </c>
      <c r="B570" s="1" t="n">
        <v>45890</v>
      </c>
      <c r="C570" s="1" t="n">
        <v>45911</v>
      </c>
      <c r="D570" t="inlineStr">
        <is>
          <t>SÖDERMANLANDS LÄN</t>
        </is>
      </c>
      <c r="E570" t="inlineStr">
        <is>
          <t>KATRINEHOLM</t>
        </is>
      </c>
      <c r="G570" t="n">
        <v>2.9</v>
      </c>
      <c r="H570" t="n">
        <v>0</v>
      </c>
      <c r="I570" t="n">
        <v>0</v>
      </c>
      <c r="J570" t="n">
        <v>0</v>
      </c>
      <c r="K570" t="n">
        <v>0</v>
      </c>
      <c r="L570" t="n">
        <v>0</v>
      </c>
      <c r="M570" t="n">
        <v>0</v>
      </c>
      <c r="N570" t="n">
        <v>0</v>
      </c>
      <c r="O570" t="n">
        <v>0</v>
      </c>
      <c r="P570" t="n">
        <v>0</v>
      </c>
      <c r="Q570" t="n">
        <v>0</v>
      </c>
      <c r="R570" s="2" t="inlineStr"/>
    </row>
    <row r="571" ht="15" customHeight="1">
      <c r="A571" t="inlineStr">
        <is>
          <t>A 28304-2024</t>
        </is>
      </c>
      <c r="B571" s="1" t="n">
        <v>45477</v>
      </c>
      <c r="C571" s="1" t="n">
        <v>45911</v>
      </c>
      <c r="D571" t="inlineStr">
        <is>
          <t>SÖDERMANLANDS LÄN</t>
        </is>
      </c>
      <c r="E571" t="inlineStr">
        <is>
          <t>KATRINEHOLM</t>
        </is>
      </c>
      <c r="G571" t="n">
        <v>3.8</v>
      </c>
      <c r="H571" t="n">
        <v>0</v>
      </c>
      <c r="I571" t="n">
        <v>0</v>
      </c>
      <c r="J571" t="n">
        <v>0</v>
      </c>
      <c r="K571" t="n">
        <v>0</v>
      </c>
      <c r="L571" t="n">
        <v>0</v>
      </c>
      <c r="M571" t="n">
        <v>0</v>
      </c>
      <c r="N571" t="n">
        <v>0</v>
      </c>
      <c r="O571" t="n">
        <v>0</v>
      </c>
      <c r="P571" t="n">
        <v>0</v>
      </c>
      <c r="Q571" t="n">
        <v>0</v>
      </c>
      <c r="R571" s="2" t="inlineStr"/>
    </row>
    <row r="572" ht="15" customHeight="1">
      <c r="A572" t="inlineStr">
        <is>
          <t>A 57947-2020</t>
        </is>
      </c>
      <c r="B572" s="1" t="n">
        <v>44142</v>
      </c>
      <c r="C572" s="1" t="n">
        <v>45911</v>
      </c>
      <c r="D572" t="inlineStr">
        <is>
          <t>SÖDERMANLANDS LÄN</t>
        </is>
      </c>
      <c r="E572" t="inlineStr">
        <is>
          <t>KATRINEHOLM</t>
        </is>
      </c>
      <c r="G572" t="n">
        <v>9.6</v>
      </c>
      <c r="H572" t="n">
        <v>0</v>
      </c>
      <c r="I572" t="n">
        <v>0</v>
      </c>
      <c r="J572" t="n">
        <v>0</v>
      </c>
      <c r="K572" t="n">
        <v>0</v>
      </c>
      <c r="L572" t="n">
        <v>0</v>
      </c>
      <c r="M572" t="n">
        <v>0</v>
      </c>
      <c r="N572" t="n">
        <v>0</v>
      </c>
      <c r="O572" t="n">
        <v>0</v>
      </c>
      <c r="P572" t="n">
        <v>0</v>
      </c>
      <c r="Q572" t="n">
        <v>0</v>
      </c>
      <c r="R572" s="2" t="inlineStr"/>
    </row>
    <row r="573" ht="15" customHeight="1">
      <c r="A573" t="inlineStr">
        <is>
          <t>A 39847-2025</t>
        </is>
      </c>
      <c r="B573" s="1" t="n">
        <v>45891.58381944444</v>
      </c>
      <c r="C573" s="1" t="n">
        <v>45911</v>
      </c>
      <c r="D573" t="inlineStr">
        <is>
          <t>SÖDERMANLANDS LÄN</t>
        </is>
      </c>
      <c r="E573" t="inlineStr">
        <is>
          <t>KATRINEHOLM</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61911-2021</t>
        </is>
      </c>
      <c r="B574" s="1" t="n">
        <v>44502.35746527778</v>
      </c>
      <c r="C574" s="1" t="n">
        <v>45911</v>
      </c>
      <c r="D574" t="inlineStr">
        <is>
          <t>SÖDERMANLANDS LÄN</t>
        </is>
      </c>
      <c r="E574" t="inlineStr">
        <is>
          <t>KATRINEHOLM</t>
        </is>
      </c>
      <c r="G574" t="n">
        <v>3.8</v>
      </c>
      <c r="H574" t="n">
        <v>0</v>
      </c>
      <c r="I574" t="n">
        <v>0</v>
      </c>
      <c r="J574" t="n">
        <v>0</v>
      </c>
      <c r="K574" t="n">
        <v>0</v>
      </c>
      <c r="L574" t="n">
        <v>0</v>
      </c>
      <c r="M574" t="n">
        <v>0</v>
      </c>
      <c r="N574" t="n">
        <v>0</v>
      </c>
      <c r="O574" t="n">
        <v>0</v>
      </c>
      <c r="P574" t="n">
        <v>0</v>
      </c>
      <c r="Q574" t="n">
        <v>0</v>
      </c>
      <c r="R574" s="2" t="inlineStr"/>
    </row>
    <row r="575" ht="15" customHeight="1">
      <c r="A575" t="inlineStr">
        <is>
          <t>A 35149-2025</t>
        </is>
      </c>
      <c r="B575" s="1" t="n">
        <v>45852</v>
      </c>
      <c r="C575" s="1" t="n">
        <v>45911</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35161-2025</t>
        </is>
      </c>
      <c r="B576" s="1" t="n">
        <v>45852.70716435185</v>
      </c>
      <c r="C576" s="1" t="n">
        <v>45911</v>
      </c>
      <c r="D576" t="inlineStr">
        <is>
          <t>SÖDERMANLANDS LÄN</t>
        </is>
      </c>
      <c r="E576" t="inlineStr">
        <is>
          <t>KATRINEHOLM</t>
        </is>
      </c>
      <c r="F576" t="inlineStr">
        <is>
          <t>Övriga Aktiebolag</t>
        </is>
      </c>
      <c r="G576" t="n">
        <v>1.5</v>
      </c>
      <c r="H576" t="n">
        <v>0</v>
      </c>
      <c r="I576" t="n">
        <v>0</v>
      </c>
      <c r="J576" t="n">
        <v>0</v>
      </c>
      <c r="K576" t="n">
        <v>0</v>
      </c>
      <c r="L576" t="n">
        <v>0</v>
      </c>
      <c r="M576" t="n">
        <v>0</v>
      </c>
      <c r="N576" t="n">
        <v>0</v>
      </c>
      <c r="O576" t="n">
        <v>0</v>
      </c>
      <c r="P576" t="n">
        <v>0</v>
      </c>
      <c r="Q576" t="n">
        <v>0</v>
      </c>
      <c r="R576" s="2" t="inlineStr"/>
    </row>
    <row r="577" ht="15" customHeight="1">
      <c r="A577" t="inlineStr">
        <is>
          <t>A 42945-2023</t>
        </is>
      </c>
      <c r="B577" s="1" t="n">
        <v>45182.5793287037</v>
      </c>
      <c r="C577" s="1" t="n">
        <v>45911</v>
      </c>
      <c r="D577" t="inlineStr">
        <is>
          <t>SÖDERMANLANDS LÄN</t>
        </is>
      </c>
      <c r="E577" t="inlineStr">
        <is>
          <t>KATRINEHOLM</t>
        </is>
      </c>
      <c r="F577" t="inlineStr">
        <is>
          <t>Övriga Aktiebolag</t>
        </is>
      </c>
      <c r="G577" t="n">
        <v>2.2</v>
      </c>
      <c r="H577" t="n">
        <v>0</v>
      </c>
      <c r="I577" t="n">
        <v>0</v>
      </c>
      <c r="J577" t="n">
        <v>0</v>
      </c>
      <c r="K577" t="n">
        <v>0</v>
      </c>
      <c r="L577" t="n">
        <v>0</v>
      </c>
      <c r="M577" t="n">
        <v>0</v>
      </c>
      <c r="N577" t="n">
        <v>0</v>
      </c>
      <c r="O577" t="n">
        <v>0</v>
      </c>
      <c r="P577" t="n">
        <v>0</v>
      </c>
      <c r="Q577" t="n">
        <v>0</v>
      </c>
      <c r="R577" s="2" t="inlineStr"/>
    </row>
    <row r="578" ht="15" customHeight="1">
      <c r="A578" t="inlineStr">
        <is>
          <t>A 42962-2023</t>
        </is>
      </c>
      <c r="B578" s="1" t="n">
        <v>45182</v>
      </c>
      <c r="C578" s="1" t="n">
        <v>45911</v>
      </c>
      <c r="D578" t="inlineStr">
        <is>
          <t>SÖDERMANLANDS LÄN</t>
        </is>
      </c>
      <c r="E578" t="inlineStr">
        <is>
          <t>KATRINEHOLM</t>
        </is>
      </c>
      <c r="F578" t="inlineStr">
        <is>
          <t>Övriga Aktiebolag</t>
        </is>
      </c>
      <c r="G578" t="n">
        <v>10.6</v>
      </c>
      <c r="H578" t="n">
        <v>0</v>
      </c>
      <c r="I578" t="n">
        <v>0</v>
      </c>
      <c r="J578" t="n">
        <v>0</v>
      </c>
      <c r="K578" t="n">
        <v>0</v>
      </c>
      <c r="L578" t="n">
        <v>0</v>
      </c>
      <c r="M578" t="n">
        <v>0</v>
      </c>
      <c r="N578" t="n">
        <v>0</v>
      </c>
      <c r="O578" t="n">
        <v>0</v>
      </c>
      <c r="P578" t="n">
        <v>0</v>
      </c>
      <c r="Q578" t="n">
        <v>0</v>
      </c>
      <c r="R578" s="2" t="inlineStr"/>
    </row>
    <row r="579" ht="15" customHeight="1">
      <c r="A579" t="inlineStr">
        <is>
          <t>A 35084-2025</t>
        </is>
      </c>
      <c r="B579" s="1" t="n">
        <v>45852</v>
      </c>
      <c r="C579" s="1" t="n">
        <v>45911</v>
      </c>
      <c r="D579" t="inlineStr">
        <is>
          <t>SÖDERMANLANDS LÄN</t>
        </is>
      </c>
      <c r="E579" t="inlineStr">
        <is>
          <t>KATRINEHOLM</t>
        </is>
      </c>
      <c r="G579" t="n">
        <v>3.2</v>
      </c>
      <c r="H579" t="n">
        <v>0</v>
      </c>
      <c r="I579" t="n">
        <v>0</v>
      </c>
      <c r="J579" t="n">
        <v>0</v>
      </c>
      <c r="K579" t="n">
        <v>0</v>
      </c>
      <c r="L579" t="n">
        <v>0</v>
      </c>
      <c r="M579" t="n">
        <v>0</v>
      </c>
      <c r="N579" t="n">
        <v>0</v>
      </c>
      <c r="O579" t="n">
        <v>0</v>
      </c>
      <c r="P579" t="n">
        <v>0</v>
      </c>
      <c r="Q579" t="n">
        <v>0</v>
      </c>
      <c r="R579" s="2" t="inlineStr"/>
    </row>
    <row r="580" ht="15" customHeight="1">
      <c r="A580" t="inlineStr">
        <is>
          <t>A 35145-2025</t>
        </is>
      </c>
      <c r="B580" s="1" t="n">
        <v>45852</v>
      </c>
      <c r="C580" s="1" t="n">
        <v>45911</v>
      </c>
      <c r="D580" t="inlineStr">
        <is>
          <t>SÖDERMANLANDS LÄN</t>
        </is>
      </c>
      <c r="E580" t="inlineStr">
        <is>
          <t>KATRINEHOLM</t>
        </is>
      </c>
      <c r="G580" t="n">
        <v>3.1</v>
      </c>
      <c r="H580" t="n">
        <v>0</v>
      </c>
      <c r="I580" t="n">
        <v>0</v>
      </c>
      <c r="J580" t="n">
        <v>0</v>
      </c>
      <c r="K580" t="n">
        <v>0</v>
      </c>
      <c r="L580" t="n">
        <v>0</v>
      </c>
      <c r="M580" t="n">
        <v>0</v>
      </c>
      <c r="N580" t="n">
        <v>0</v>
      </c>
      <c r="O580" t="n">
        <v>0</v>
      </c>
      <c r="P580" t="n">
        <v>0</v>
      </c>
      <c r="Q580" t="n">
        <v>0</v>
      </c>
      <c r="R580" s="2" t="inlineStr"/>
    </row>
    <row r="581" ht="15" customHeight="1">
      <c r="A581" t="inlineStr">
        <is>
          <t>A 34439-2025</t>
        </is>
      </c>
      <c r="B581" s="1" t="n">
        <v>45845</v>
      </c>
      <c r="C581" s="1" t="n">
        <v>45911</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2325-2023</t>
        </is>
      </c>
      <c r="B582" s="1" t="n">
        <v>44942</v>
      </c>
      <c r="C582" s="1" t="n">
        <v>45911</v>
      </c>
      <c r="D582" t="inlineStr">
        <is>
          <t>SÖDERMANLANDS LÄN</t>
        </is>
      </c>
      <c r="E582" t="inlineStr">
        <is>
          <t>KATRINEHOLM</t>
        </is>
      </c>
      <c r="G582" t="n">
        <v>5.6</v>
      </c>
      <c r="H582" t="n">
        <v>0</v>
      </c>
      <c r="I582" t="n">
        <v>0</v>
      </c>
      <c r="J582" t="n">
        <v>0</v>
      </c>
      <c r="K582" t="n">
        <v>0</v>
      </c>
      <c r="L582" t="n">
        <v>0</v>
      </c>
      <c r="M582" t="n">
        <v>0</v>
      </c>
      <c r="N582" t="n">
        <v>0</v>
      </c>
      <c r="O582" t="n">
        <v>0</v>
      </c>
      <c r="P582" t="n">
        <v>0</v>
      </c>
      <c r="Q582" t="n">
        <v>0</v>
      </c>
      <c r="R582" s="2" t="inlineStr"/>
    </row>
    <row r="583" ht="15" customHeight="1">
      <c r="A583" t="inlineStr">
        <is>
          <t>A 44915-2022</t>
        </is>
      </c>
      <c r="B583" s="1" t="n">
        <v>44840</v>
      </c>
      <c r="C583" s="1" t="n">
        <v>45911</v>
      </c>
      <c r="D583" t="inlineStr">
        <is>
          <t>SÖDERMANLANDS LÄN</t>
        </is>
      </c>
      <c r="E583" t="inlineStr">
        <is>
          <t>KATRINEHOLM</t>
        </is>
      </c>
      <c r="G583" t="n">
        <v>6.3</v>
      </c>
      <c r="H583" t="n">
        <v>0</v>
      </c>
      <c r="I583" t="n">
        <v>0</v>
      </c>
      <c r="J583" t="n">
        <v>0</v>
      </c>
      <c r="K583" t="n">
        <v>0</v>
      </c>
      <c r="L583" t="n">
        <v>0</v>
      </c>
      <c r="M583" t="n">
        <v>0</v>
      </c>
      <c r="N583" t="n">
        <v>0</v>
      </c>
      <c r="O583" t="n">
        <v>0</v>
      </c>
      <c r="P583" t="n">
        <v>0</v>
      </c>
      <c r="Q583" t="n">
        <v>0</v>
      </c>
      <c r="R583" s="2" t="inlineStr"/>
    </row>
    <row r="584" ht="15" customHeight="1">
      <c r="A584" t="inlineStr">
        <is>
          <t>A 35157-2025</t>
        </is>
      </c>
      <c r="B584" s="1" t="n">
        <v>45852</v>
      </c>
      <c r="C584" s="1" t="n">
        <v>45911</v>
      </c>
      <c r="D584" t="inlineStr">
        <is>
          <t>SÖDERMANLANDS LÄN</t>
        </is>
      </c>
      <c r="E584" t="inlineStr">
        <is>
          <t>KATRINEHOLM</t>
        </is>
      </c>
      <c r="G584" t="n">
        <v>3.7</v>
      </c>
      <c r="H584" t="n">
        <v>0</v>
      </c>
      <c r="I584" t="n">
        <v>0</v>
      </c>
      <c r="J584" t="n">
        <v>0</v>
      </c>
      <c r="K584" t="n">
        <v>0</v>
      </c>
      <c r="L584" t="n">
        <v>0</v>
      </c>
      <c r="M584" t="n">
        <v>0</v>
      </c>
      <c r="N584" t="n">
        <v>0</v>
      </c>
      <c r="O584" t="n">
        <v>0</v>
      </c>
      <c r="P584" t="n">
        <v>0</v>
      </c>
      <c r="Q584" t="n">
        <v>0</v>
      </c>
      <c r="R584" s="2" t="inlineStr"/>
    </row>
    <row r="585" ht="15" customHeight="1">
      <c r="A585" t="inlineStr">
        <is>
          <t>A 35158-2025</t>
        </is>
      </c>
      <c r="B585" s="1" t="n">
        <v>45852</v>
      </c>
      <c r="C585" s="1" t="n">
        <v>45911</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46011-2021</t>
        </is>
      </c>
      <c r="B586" s="1" t="n">
        <v>44441.88092592593</v>
      </c>
      <c r="C586" s="1" t="n">
        <v>45911</v>
      </c>
      <c r="D586" t="inlineStr">
        <is>
          <t>SÖDERMANLANDS LÄN</t>
        </is>
      </c>
      <c r="E586" t="inlineStr">
        <is>
          <t>KATRINEHOLM</t>
        </is>
      </c>
      <c r="G586" t="n">
        <v>4.7</v>
      </c>
      <c r="H586" t="n">
        <v>0</v>
      </c>
      <c r="I586" t="n">
        <v>0</v>
      </c>
      <c r="J586" t="n">
        <v>0</v>
      </c>
      <c r="K586" t="n">
        <v>0</v>
      </c>
      <c r="L586" t="n">
        <v>0</v>
      </c>
      <c r="M586" t="n">
        <v>0</v>
      </c>
      <c r="N586" t="n">
        <v>0</v>
      </c>
      <c r="O586" t="n">
        <v>0</v>
      </c>
      <c r="P586" t="n">
        <v>0</v>
      </c>
      <c r="Q586" t="n">
        <v>0</v>
      </c>
      <c r="R586" s="2" t="inlineStr"/>
    </row>
    <row r="587" ht="15" customHeight="1">
      <c r="A587" t="inlineStr">
        <is>
          <t>A 39737-2025</t>
        </is>
      </c>
      <c r="B587" s="1" t="n">
        <v>45891</v>
      </c>
      <c r="C587" s="1" t="n">
        <v>45911</v>
      </c>
      <c r="D587" t="inlineStr">
        <is>
          <t>SÖDERMANLANDS LÄN</t>
        </is>
      </c>
      <c r="E587" t="inlineStr">
        <is>
          <t>KATRINEHOLM</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62140-2022</t>
        </is>
      </c>
      <c r="B588" s="1" t="n">
        <v>44922</v>
      </c>
      <c r="C588" s="1" t="n">
        <v>45911</v>
      </c>
      <c r="D588" t="inlineStr">
        <is>
          <t>SÖDERMANLANDS LÄN</t>
        </is>
      </c>
      <c r="E588" t="inlineStr">
        <is>
          <t>KATRINEHOLM</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5953-2021</t>
        </is>
      </c>
      <c r="B589" s="1" t="n">
        <v>44231</v>
      </c>
      <c r="C589" s="1" t="n">
        <v>45911</v>
      </c>
      <c r="D589" t="inlineStr">
        <is>
          <t>SÖDERMANLANDS LÄN</t>
        </is>
      </c>
      <c r="E589" t="inlineStr">
        <is>
          <t>KATRINEHOLM</t>
        </is>
      </c>
      <c r="G589" t="n">
        <v>3.1</v>
      </c>
      <c r="H589" t="n">
        <v>0</v>
      </c>
      <c r="I589" t="n">
        <v>0</v>
      </c>
      <c r="J589" t="n">
        <v>0</v>
      </c>
      <c r="K589" t="n">
        <v>0</v>
      </c>
      <c r="L589" t="n">
        <v>0</v>
      </c>
      <c r="M589" t="n">
        <v>0</v>
      </c>
      <c r="N589" t="n">
        <v>0</v>
      </c>
      <c r="O589" t="n">
        <v>0</v>
      </c>
      <c r="P589" t="n">
        <v>0</v>
      </c>
      <c r="Q589" t="n">
        <v>0</v>
      </c>
      <c r="R589" s="2" t="inlineStr"/>
    </row>
    <row r="590" ht="15" customHeight="1">
      <c r="A590" t="inlineStr">
        <is>
          <t>A 33934-2022</t>
        </is>
      </c>
      <c r="B590" s="1" t="n">
        <v>44790</v>
      </c>
      <c r="C590" s="1" t="n">
        <v>45911</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13171-2024</t>
        </is>
      </c>
      <c r="B591" s="1" t="n">
        <v>45386</v>
      </c>
      <c r="C591" s="1" t="n">
        <v>45911</v>
      </c>
      <c r="D591" t="inlineStr">
        <is>
          <t>SÖDERMANLANDS LÄN</t>
        </is>
      </c>
      <c r="E591" t="inlineStr">
        <is>
          <t>KATRINEHOLM</t>
        </is>
      </c>
      <c r="G591" t="n">
        <v>1</v>
      </c>
      <c r="H591" t="n">
        <v>0</v>
      </c>
      <c r="I591" t="n">
        <v>0</v>
      </c>
      <c r="J591" t="n">
        <v>0</v>
      </c>
      <c r="K591" t="n">
        <v>0</v>
      </c>
      <c r="L591" t="n">
        <v>0</v>
      </c>
      <c r="M591" t="n">
        <v>0</v>
      </c>
      <c r="N591" t="n">
        <v>0</v>
      </c>
      <c r="O591" t="n">
        <v>0</v>
      </c>
      <c r="P591" t="n">
        <v>0</v>
      </c>
      <c r="Q591" t="n">
        <v>0</v>
      </c>
      <c r="R591" s="2" t="inlineStr"/>
    </row>
    <row r="592" ht="15" customHeight="1">
      <c r="A592" t="inlineStr">
        <is>
          <t>A 59384-2022</t>
        </is>
      </c>
      <c r="B592" s="1" t="n">
        <v>44905</v>
      </c>
      <c r="C592" s="1" t="n">
        <v>45911</v>
      </c>
      <c r="D592" t="inlineStr">
        <is>
          <t>SÖDERMANLANDS LÄN</t>
        </is>
      </c>
      <c r="E592" t="inlineStr">
        <is>
          <t>KATRINEHOLM</t>
        </is>
      </c>
      <c r="G592" t="n">
        <v>0.6</v>
      </c>
      <c r="H592" t="n">
        <v>0</v>
      </c>
      <c r="I592" t="n">
        <v>0</v>
      </c>
      <c r="J592" t="n">
        <v>0</v>
      </c>
      <c r="K592" t="n">
        <v>0</v>
      </c>
      <c r="L592" t="n">
        <v>0</v>
      </c>
      <c r="M592" t="n">
        <v>0</v>
      </c>
      <c r="N592" t="n">
        <v>0</v>
      </c>
      <c r="O592" t="n">
        <v>0</v>
      </c>
      <c r="P592" t="n">
        <v>0</v>
      </c>
      <c r="Q592" t="n">
        <v>0</v>
      </c>
      <c r="R592" s="2" t="inlineStr"/>
    </row>
    <row r="593" ht="15" customHeight="1">
      <c r="A593" t="inlineStr">
        <is>
          <t>A 13086-2023</t>
        </is>
      </c>
      <c r="B593" s="1" t="n">
        <v>45002.42188657408</v>
      </c>
      <c r="C593" s="1" t="n">
        <v>45911</v>
      </c>
      <c r="D593" t="inlineStr">
        <is>
          <t>SÖDERMANLANDS LÄN</t>
        </is>
      </c>
      <c r="E593" t="inlineStr">
        <is>
          <t>KATRINEHOLM</t>
        </is>
      </c>
      <c r="G593" t="n">
        <v>2.2</v>
      </c>
      <c r="H593" t="n">
        <v>0</v>
      </c>
      <c r="I593" t="n">
        <v>0</v>
      </c>
      <c r="J593" t="n">
        <v>0</v>
      </c>
      <c r="K593" t="n">
        <v>0</v>
      </c>
      <c r="L593" t="n">
        <v>0</v>
      </c>
      <c r="M593" t="n">
        <v>0</v>
      </c>
      <c r="N593" t="n">
        <v>0</v>
      </c>
      <c r="O593" t="n">
        <v>0</v>
      </c>
      <c r="P593" t="n">
        <v>0</v>
      </c>
      <c r="Q593" t="n">
        <v>0</v>
      </c>
      <c r="R593" s="2" t="inlineStr"/>
    </row>
    <row r="594" ht="15" customHeight="1">
      <c r="A594" t="inlineStr">
        <is>
          <t>A 19670-2022</t>
        </is>
      </c>
      <c r="B594" s="1" t="n">
        <v>44694</v>
      </c>
      <c r="C594" s="1" t="n">
        <v>45911</v>
      </c>
      <c r="D594" t="inlineStr">
        <is>
          <t>SÖDERMANLANDS LÄN</t>
        </is>
      </c>
      <c r="E594" t="inlineStr">
        <is>
          <t>KATRINEHOLM</t>
        </is>
      </c>
      <c r="G594" t="n">
        <v>13.6</v>
      </c>
      <c r="H594" t="n">
        <v>0</v>
      </c>
      <c r="I594" t="n">
        <v>0</v>
      </c>
      <c r="J594" t="n">
        <v>0</v>
      </c>
      <c r="K594" t="n">
        <v>0</v>
      </c>
      <c r="L594" t="n">
        <v>0</v>
      </c>
      <c r="M594" t="n">
        <v>0</v>
      </c>
      <c r="N594" t="n">
        <v>0</v>
      </c>
      <c r="O594" t="n">
        <v>0</v>
      </c>
      <c r="P594" t="n">
        <v>0</v>
      </c>
      <c r="Q594" t="n">
        <v>0</v>
      </c>
      <c r="R594" s="2" t="inlineStr"/>
    </row>
    <row r="595" ht="15" customHeight="1">
      <c r="A595" t="inlineStr">
        <is>
          <t>A 19107-2022</t>
        </is>
      </c>
      <c r="B595" s="1" t="n">
        <v>44691.54077546296</v>
      </c>
      <c r="C595" s="1" t="n">
        <v>45911</v>
      </c>
      <c r="D595" t="inlineStr">
        <is>
          <t>SÖDERMANLANDS LÄN</t>
        </is>
      </c>
      <c r="E595" t="inlineStr">
        <is>
          <t>KATRINEHOLM</t>
        </is>
      </c>
      <c r="G595" t="n">
        <v>1</v>
      </c>
      <c r="H595" t="n">
        <v>0</v>
      </c>
      <c r="I595" t="n">
        <v>0</v>
      </c>
      <c r="J595" t="n">
        <v>0</v>
      </c>
      <c r="K595" t="n">
        <v>0</v>
      </c>
      <c r="L595" t="n">
        <v>0</v>
      </c>
      <c r="M595" t="n">
        <v>0</v>
      </c>
      <c r="N595" t="n">
        <v>0</v>
      </c>
      <c r="O595" t="n">
        <v>0</v>
      </c>
      <c r="P595" t="n">
        <v>0</v>
      </c>
      <c r="Q595" t="n">
        <v>0</v>
      </c>
      <c r="R595" s="2" t="inlineStr"/>
    </row>
    <row r="596" ht="15" customHeight="1">
      <c r="A596" t="inlineStr">
        <is>
          <t>A 48097-2023</t>
        </is>
      </c>
      <c r="B596" s="1" t="n">
        <v>45205.31987268518</v>
      </c>
      <c r="C596" s="1" t="n">
        <v>45911</v>
      </c>
      <c r="D596" t="inlineStr">
        <is>
          <t>SÖDERMANLANDS LÄN</t>
        </is>
      </c>
      <c r="E596" t="inlineStr">
        <is>
          <t>KATRINEHOLM</t>
        </is>
      </c>
      <c r="G596" t="n">
        <v>2.3</v>
      </c>
      <c r="H596" t="n">
        <v>0</v>
      </c>
      <c r="I596" t="n">
        <v>0</v>
      </c>
      <c r="J596" t="n">
        <v>0</v>
      </c>
      <c r="K596" t="n">
        <v>0</v>
      </c>
      <c r="L596" t="n">
        <v>0</v>
      </c>
      <c r="M596" t="n">
        <v>0</v>
      </c>
      <c r="N596" t="n">
        <v>0</v>
      </c>
      <c r="O596" t="n">
        <v>0</v>
      </c>
      <c r="P596" t="n">
        <v>0</v>
      </c>
      <c r="Q596" t="n">
        <v>0</v>
      </c>
      <c r="R596" s="2" t="inlineStr"/>
    </row>
    <row r="597" ht="15" customHeight="1">
      <c r="A597" t="inlineStr">
        <is>
          <t>A 57693-2020</t>
        </is>
      </c>
      <c r="B597" s="1" t="n">
        <v>44140</v>
      </c>
      <c r="C597" s="1" t="n">
        <v>45911</v>
      </c>
      <c r="D597" t="inlineStr">
        <is>
          <t>SÖDERMANLANDS LÄN</t>
        </is>
      </c>
      <c r="E597" t="inlineStr">
        <is>
          <t>KATRINEHOLM</t>
        </is>
      </c>
      <c r="G597" t="n">
        <v>2.3</v>
      </c>
      <c r="H597" t="n">
        <v>0</v>
      </c>
      <c r="I597" t="n">
        <v>0</v>
      </c>
      <c r="J597" t="n">
        <v>0</v>
      </c>
      <c r="K597" t="n">
        <v>0</v>
      </c>
      <c r="L597" t="n">
        <v>0</v>
      </c>
      <c r="M597" t="n">
        <v>0</v>
      </c>
      <c r="N597" t="n">
        <v>0</v>
      </c>
      <c r="O597" t="n">
        <v>0</v>
      </c>
      <c r="P597" t="n">
        <v>0</v>
      </c>
      <c r="Q597" t="n">
        <v>0</v>
      </c>
      <c r="R597" s="2" t="inlineStr"/>
    </row>
    <row r="598" ht="15" customHeight="1">
      <c r="A598" t="inlineStr">
        <is>
          <t>A 30333-2023</t>
        </is>
      </c>
      <c r="B598" s="1" t="n">
        <v>45111</v>
      </c>
      <c r="C598" s="1" t="n">
        <v>45911</v>
      </c>
      <c r="D598" t="inlineStr">
        <is>
          <t>SÖDERMANLANDS LÄN</t>
        </is>
      </c>
      <c r="E598" t="inlineStr">
        <is>
          <t>KATRINEHOLM</t>
        </is>
      </c>
      <c r="G598" t="n">
        <v>1.2</v>
      </c>
      <c r="H598" t="n">
        <v>0</v>
      </c>
      <c r="I598" t="n">
        <v>0</v>
      </c>
      <c r="J598" t="n">
        <v>0</v>
      </c>
      <c r="K598" t="n">
        <v>0</v>
      </c>
      <c r="L598" t="n">
        <v>0</v>
      </c>
      <c r="M598" t="n">
        <v>0</v>
      </c>
      <c r="N598" t="n">
        <v>0</v>
      </c>
      <c r="O598" t="n">
        <v>0</v>
      </c>
      <c r="P598" t="n">
        <v>0</v>
      </c>
      <c r="Q598" t="n">
        <v>0</v>
      </c>
      <c r="R598" s="2" t="inlineStr"/>
    </row>
    <row r="599" ht="15" customHeight="1">
      <c r="A599" t="inlineStr">
        <is>
          <t>A 6175-2023</t>
        </is>
      </c>
      <c r="B599" s="1" t="n">
        <v>44964</v>
      </c>
      <c r="C599" s="1" t="n">
        <v>45911</v>
      </c>
      <c r="D599" t="inlineStr">
        <is>
          <t>SÖDERMANLANDS LÄN</t>
        </is>
      </c>
      <c r="E599" t="inlineStr">
        <is>
          <t>KATRINEHOLM</t>
        </is>
      </c>
      <c r="G599" t="n">
        <v>11.2</v>
      </c>
      <c r="H599" t="n">
        <v>0</v>
      </c>
      <c r="I599" t="n">
        <v>0</v>
      </c>
      <c r="J599" t="n">
        <v>0</v>
      </c>
      <c r="K599" t="n">
        <v>0</v>
      </c>
      <c r="L599" t="n">
        <v>0</v>
      </c>
      <c r="M599" t="n">
        <v>0</v>
      </c>
      <c r="N599" t="n">
        <v>0</v>
      </c>
      <c r="O599" t="n">
        <v>0</v>
      </c>
      <c r="P599" t="n">
        <v>0</v>
      </c>
      <c r="Q599" t="n">
        <v>0</v>
      </c>
      <c r="R599" s="2" t="inlineStr"/>
    </row>
    <row r="600" ht="15" customHeight="1">
      <c r="A600" t="inlineStr">
        <is>
          <t>A 57648-2020</t>
        </is>
      </c>
      <c r="B600" s="1" t="n">
        <v>44140.69324074074</v>
      </c>
      <c r="C600" s="1" t="n">
        <v>45911</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11875-2023</t>
        </is>
      </c>
      <c r="B601" s="1" t="n">
        <v>44995</v>
      </c>
      <c r="C601" s="1" t="n">
        <v>45911</v>
      </c>
      <c r="D601" t="inlineStr">
        <is>
          <t>SÖDERMANLANDS LÄN</t>
        </is>
      </c>
      <c r="E601" t="inlineStr">
        <is>
          <t>KATRINEHOLM</t>
        </is>
      </c>
      <c r="F601" t="inlineStr">
        <is>
          <t>Kommuner</t>
        </is>
      </c>
      <c r="G601" t="n">
        <v>1.1</v>
      </c>
      <c r="H601" t="n">
        <v>0</v>
      </c>
      <c r="I601" t="n">
        <v>0</v>
      </c>
      <c r="J601" t="n">
        <v>0</v>
      </c>
      <c r="K601" t="n">
        <v>0</v>
      </c>
      <c r="L601" t="n">
        <v>0</v>
      </c>
      <c r="M601" t="n">
        <v>0</v>
      </c>
      <c r="N601" t="n">
        <v>0</v>
      </c>
      <c r="O601" t="n">
        <v>0</v>
      </c>
      <c r="P601" t="n">
        <v>0</v>
      </c>
      <c r="Q601" t="n">
        <v>0</v>
      </c>
      <c r="R601" s="2" t="inlineStr"/>
    </row>
    <row r="602" ht="15" customHeight="1">
      <c r="A602" t="inlineStr">
        <is>
          <t>A 6796-2022</t>
        </is>
      </c>
      <c r="B602" s="1" t="n">
        <v>44602</v>
      </c>
      <c r="C602" s="1" t="n">
        <v>45911</v>
      </c>
      <c r="D602" t="inlineStr">
        <is>
          <t>SÖDERMANLANDS LÄN</t>
        </is>
      </c>
      <c r="E602" t="inlineStr">
        <is>
          <t>KATRINEHOLM</t>
        </is>
      </c>
      <c r="G602" t="n">
        <v>1.2</v>
      </c>
      <c r="H602" t="n">
        <v>0</v>
      </c>
      <c r="I602" t="n">
        <v>0</v>
      </c>
      <c r="J602" t="n">
        <v>0</v>
      </c>
      <c r="K602" t="n">
        <v>0</v>
      </c>
      <c r="L602" t="n">
        <v>0</v>
      </c>
      <c r="M602" t="n">
        <v>0</v>
      </c>
      <c r="N602" t="n">
        <v>0</v>
      </c>
      <c r="O602" t="n">
        <v>0</v>
      </c>
      <c r="P602" t="n">
        <v>0</v>
      </c>
      <c r="Q602" t="n">
        <v>0</v>
      </c>
      <c r="R602" s="2" t="inlineStr"/>
    </row>
    <row r="603" ht="15" customHeight="1">
      <c r="A603" t="inlineStr">
        <is>
          <t>A 45793-2022</t>
        </is>
      </c>
      <c r="B603" s="1" t="n">
        <v>44844</v>
      </c>
      <c r="C603" s="1" t="n">
        <v>45911</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41074-2025</t>
        </is>
      </c>
      <c r="B604" s="1" t="n">
        <v>45898.42240740741</v>
      </c>
      <c r="C604" s="1" t="n">
        <v>45911</v>
      </c>
      <c r="D604" t="inlineStr">
        <is>
          <t>SÖDERMANLANDS LÄN</t>
        </is>
      </c>
      <c r="E604" t="inlineStr">
        <is>
          <t>KATRINEHOLM</t>
        </is>
      </c>
      <c r="F604" t="inlineStr">
        <is>
          <t>Allmännings- och besparingsskogar</t>
        </is>
      </c>
      <c r="G604" t="n">
        <v>4.8</v>
      </c>
      <c r="H604" t="n">
        <v>0</v>
      </c>
      <c r="I604" t="n">
        <v>0</v>
      </c>
      <c r="J604" t="n">
        <v>0</v>
      </c>
      <c r="K604" t="n">
        <v>0</v>
      </c>
      <c r="L604" t="n">
        <v>0</v>
      </c>
      <c r="M604" t="n">
        <v>0</v>
      </c>
      <c r="N604" t="n">
        <v>0</v>
      </c>
      <c r="O604" t="n">
        <v>0</v>
      </c>
      <c r="P604" t="n">
        <v>0</v>
      </c>
      <c r="Q604" t="n">
        <v>0</v>
      </c>
      <c r="R604" s="2" t="inlineStr"/>
    </row>
    <row r="605" ht="15" customHeight="1">
      <c r="A605" t="inlineStr">
        <is>
          <t>A 13612-2023</t>
        </is>
      </c>
      <c r="B605" s="1" t="n">
        <v>45006</v>
      </c>
      <c r="C605" s="1" t="n">
        <v>45911</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40393-2022</t>
        </is>
      </c>
      <c r="B606" s="1" t="n">
        <v>44823</v>
      </c>
      <c r="C606" s="1" t="n">
        <v>45911</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48685-2022</t>
        </is>
      </c>
      <c r="B607" s="1" t="n">
        <v>44859</v>
      </c>
      <c r="C607" s="1" t="n">
        <v>45911</v>
      </c>
      <c r="D607" t="inlineStr">
        <is>
          <t>SÖDERMANLANDS LÄN</t>
        </is>
      </c>
      <c r="E607" t="inlineStr">
        <is>
          <t>KATRINEHOLM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36133-2021</t>
        </is>
      </c>
      <c r="B608" s="1" t="n">
        <v>44386</v>
      </c>
      <c r="C608" s="1" t="n">
        <v>45911</v>
      </c>
      <c r="D608" t="inlineStr">
        <is>
          <t>SÖDERMANLANDS LÄN</t>
        </is>
      </c>
      <c r="E608" t="inlineStr">
        <is>
          <t>KATRINEHOLM</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49700-2022</t>
        </is>
      </c>
      <c r="B609" s="1" t="n">
        <v>44862</v>
      </c>
      <c r="C609" s="1" t="n">
        <v>45911</v>
      </c>
      <c r="D609" t="inlineStr">
        <is>
          <t>SÖDERMANLANDS LÄN</t>
        </is>
      </c>
      <c r="E609" t="inlineStr">
        <is>
          <t>KATRINEHOLM</t>
        </is>
      </c>
      <c r="G609" t="n">
        <v>19.5</v>
      </c>
      <c r="H609" t="n">
        <v>0</v>
      </c>
      <c r="I609" t="n">
        <v>0</v>
      </c>
      <c r="J609" t="n">
        <v>0</v>
      </c>
      <c r="K609" t="n">
        <v>0</v>
      </c>
      <c r="L609" t="n">
        <v>0</v>
      </c>
      <c r="M609" t="n">
        <v>0</v>
      </c>
      <c r="N609" t="n">
        <v>0</v>
      </c>
      <c r="O609" t="n">
        <v>0</v>
      </c>
      <c r="P609" t="n">
        <v>0</v>
      </c>
      <c r="Q609" t="n">
        <v>0</v>
      </c>
      <c r="R609" s="2" t="inlineStr"/>
    </row>
    <row r="610" ht="15" customHeight="1">
      <c r="A610" t="inlineStr">
        <is>
          <t>A 55079-2020</t>
        </is>
      </c>
      <c r="B610" s="1" t="n">
        <v>44130.46172453704</v>
      </c>
      <c r="C610" s="1" t="n">
        <v>45911</v>
      </c>
      <c r="D610" t="inlineStr">
        <is>
          <t>SÖDERMANLANDS LÄN</t>
        </is>
      </c>
      <c r="E610" t="inlineStr">
        <is>
          <t>KATRINEHOLM</t>
        </is>
      </c>
      <c r="G610" t="n">
        <v>2.7</v>
      </c>
      <c r="H610" t="n">
        <v>0</v>
      </c>
      <c r="I610" t="n">
        <v>0</v>
      </c>
      <c r="J610" t="n">
        <v>0</v>
      </c>
      <c r="K610" t="n">
        <v>0</v>
      </c>
      <c r="L610" t="n">
        <v>0</v>
      </c>
      <c r="M610" t="n">
        <v>0</v>
      </c>
      <c r="N610" t="n">
        <v>0</v>
      </c>
      <c r="O610" t="n">
        <v>0</v>
      </c>
      <c r="P610" t="n">
        <v>0</v>
      </c>
      <c r="Q610" t="n">
        <v>0</v>
      </c>
      <c r="R610" s="2" t="inlineStr"/>
    </row>
    <row r="611" ht="15" customHeight="1">
      <c r="A611" t="inlineStr">
        <is>
          <t>A 30276-2023</t>
        </is>
      </c>
      <c r="B611" s="1" t="n">
        <v>45110</v>
      </c>
      <c r="C611" s="1" t="n">
        <v>45911</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39068-2022</t>
        </is>
      </c>
      <c r="B612" s="1" t="n">
        <v>44816</v>
      </c>
      <c r="C612" s="1" t="n">
        <v>45911</v>
      </c>
      <c r="D612" t="inlineStr">
        <is>
          <t>SÖDERMANLANDS LÄN</t>
        </is>
      </c>
      <c r="E612" t="inlineStr">
        <is>
          <t>KATRINEHOLM</t>
        </is>
      </c>
      <c r="G612" t="n">
        <v>3.6</v>
      </c>
      <c r="H612" t="n">
        <v>0</v>
      </c>
      <c r="I612" t="n">
        <v>0</v>
      </c>
      <c r="J612" t="n">
        <v>0</v>
      </c>
      <c r="K612" t="n">
        <v>0</v>
      </c>
      <c r="L612" t="n">
        <v>0</v>
      </c>
      <c r="M612" t="n">
        <v>0</v>
      </c>
      <c r="N612" t="n">
        <v>0</v>
      </c>
      <c r="O612" t="n">
        <v>0</v>
      </c>
      <c r="P612" t="n">
        <v>0</v>
      </c>
      <c r="Q612" t="n">
        <v>0</v>
      </c>
      <c r="R612" s="2" t="inlineStr"/>
    </row>
    <row r="613" ht="15" customHeight="1">
      <c r="A613" t="inlineStr">
        <is>
          <t>A 8765-2023</t>
        </is>
      </c>
      <c r="B613" s="1" t="n">
        <v>44978.52131944444</v>
      </c>
      <c r="C613" s="1" t="n">
        <v>45911</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57154-2023</t>
        </is>
      </c>
      <c r="B614" s="1" t="n">
        <v>45245</v>
      </c>
      <c r="C614" s="1" t="n">
        <v>45911</v>
      </c>
      <c r="D614" t="inlineStr">
        <is>
          <t>SÖDERMANLANDS LÄN</t>
        </is>
      </c>
      <c r="E614" t="inlineStr">
        <is>
          <t>KATRINEHOLM</t>
        </is>
      </c>
      <c r="F614" t="inlineStr">
        <is>
          <t>Allmännings- och besparingsskogar</t>
        </is>
      </c>
      <c r="G614" t="n">
        <v>9.300000000000001</v>
      </c>
      <c r="H614" t="n">
        <v>0</v>
      </c>
      <c r="I614" t="n">
        <v>0</v>
      </c>
      <c r="J614" t="n">
        <v>0</v>
      </c>
      <c r="K614" t="n">
        <v>0</v>
      </c>
      <c r="L614" t="n">
        <v>0</v>
      </c>
      <c r="M614" t="n">
        <v>0</v>
      </c>
      <c r="N614" t="n">
        <v>0</v>
      </c>
      <c r="O614" t="n">
        <v>0</v>
      </c>
      <c r="P614" t="n">
        <v>0</v>
      </c>
      <c r="Q614" t="n">
        <v>0</v>
      </c>
      <c r="R614" s="2" t="inlineStr"/>
    </row>
    <row r="615" ht="15" customHeight="1">
      <c r="A615" t="inlineStr">
        <is>
          <t>A 41648-2025</t>
        </is>
      </c>
      <c r="B615" s="1" t="n">
        <v>45902.32601851852</v>
      </c>
      <c r="C615" s="1" t="n">
        <v>45911</v>
      </c>
      <c r="D615" t="inlineStr">
        <is>
          <t>SÖDERMANLANDS LÄN</t>
        </is>
      </c>
      <c r="E615" t="inlineStr">
        <is>
          <t>KATRINEHOLM</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57265-2022</t>
        </is>
      </c>
      <c r="B616" s="1" t="n">
        <v>44895</v>
      </c>
      <c r="C616" s="1" t="n">
        <v>45911</v>
      </c>
      <c r="D616" t="inlineStr">
        <is>
          <t>SÖDERMANLANDS LÄN</t>
        </is>
      </c>
      <c r="E616" t="inlineStr">
        <is>
          <t>KATRINEHOLM</t>
        </is>
      </c>
      <c r="G616" t="n">
        <v>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45911</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51530-2023</t>
        </is>
      </c>
      <c r="B618" s="1" t="n">
        <v>45222</v>
      </c>
      <c r="C618" s="1" t="n">
        <v>45911</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50316-2023</t>
        </is>
      </c>
      <c r="B619" s="1" t="n">
        <v>45209</v>
      </c>
      <c r="C619" s="1" t="n">
        <v>45911</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41548-2025</t>
        </is>
      </c>
      <c r="B620" s="1" t="n">
        <v>45901</v>
      </c>
      <c r="C620" s="1" t="n">
        <v>45911</v>
      </c>
      <c r="D620" t="inlineStr">
        <is>
          <t>SÖDERMANLANDS LÄN</t>
        </is>
      </c>
      <c r="E620" t="inlineStr">
        <is>
          <t>KATRINEHOLM</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34176-2025</t>
        </is>
      </c>
      <c r="B621" s="1" t="n">
        <v>45845</v>
      </c>
      <c r="C621" s="1" t="n">
        <v>45911</v>
      </c>
      <c r="D621" t="inlineStr">
        <is>
          <t>SÖDERMANLANDS LÄN</t>
        </is>
      </c>
      <c r="E621" t="inlineStr">
        <is>
          <t>KATRINEHOLM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23916-2023</t>
        </is>
      </c>
      <c r="B622" s="1" t="n">
        <v>45075</v>
      </c>
      <c r="C622" s="1" t="n">
        <v>45911</v>
      </c>
      <c r="D622" t="inlineStr">
        <is>
          <t>SÖDERMANLANDS LÄN</t>
        </is>
      </c>
      <c r="E622" t="inlineStr">
        <is>
          <t>KATRINEHOLM</t>
        </is>
      </c>
      <c r="G622" t="n">
        <v>8</v>
      </c>
      <c r="H622" t="n">
        <v>0</v>
      </c>
      <c r="I622" t="n">
        <v>0</v>
      </c>
      <c r="J622" t="n">
        <v>0</v>
      </c>
      <c r="K622" t="n">
        <v>0</v>
      </c>
      <c r="L622" t="n">
        <v>0</v>
      </c>
      <c r="M622" t="n">
        <v>0</v>
      </c>
      <c r="N622" t="n">
        <v>0</v>
      </c>
      <c r="O622" t="n">
        <v>0</v>
      </c>
      <c r="P622" t="n">
        <v>0</v>
      </c>
      <c r="Q622" t="n">
        <v>0</v>
      </c>
      <c r="R622" s="2" t="inlineStr"/>
    </row>
    <row r="623" ht="15" customHeight="1">
      <c r="A623" t="inlineStr">
        <is>
          <t>A 52857-2021</t>
        </is>
      </c>
      <c r="B623" s="1" t="n">
        <v>44466</v>
      </c>
      <c r="C623" s="1" t="n">
        <v>45911</v>
      </c>
      <c r="D623" t="inlineStr">
        <is>
          <t>SÖDERMANLANDS LÄN</t>
        </is>
      </c>
      <c r="E623" t="inlineStr">
        <is>
          <t>KATRINEHOLM</t>
        </is>
      </c>
      <c r="G623" t="n">
        <v>0.8</v>
      </c>
      <c r="H623" t="n">
        <v>0</v>
      </c>
      <c r="I623" t="n">
        <v>0</v>
      </c>
      <c r="J623" t="n">
        <v>0</v>
      </c>
      <c r="K623" t="n">
        <v>0</v>
      </c>
      <c r="L623" t="n">
        <v>0</v>
      </c>
      <c r="M623" t="n">
        <v>0</v>
      </c>
      <c r="N623" t="n">
        <v>0</v>
      </c>
      <c r="O623" t="n">
        <v>0</v>
      </c>
      <c r="P623" t="n">
        <v>0</v>
      </c>
      <c r="Q623" t="n">
        <v>0</v>
      </c>
      <c r="R623" s="2" t="inlineStr"/>
    </row>
    <row r="624" ht="15" customHeight="1">
      <c r="A624" t="inlineStr">
        <is>
          <t>A 38879-2024</t>
        </is>
      </c>
      <c r="B624" s="1" t="n">
        <v>45547</v>
      </c>
      <c r="C624" s="1" t="n">
        <v>45911</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41498-2025</t>
        </is>
      </c>
      <c r="B625" s="1" t="n">
        <v>45901.49755787037</v>
      </c>
      <c r="C625" s="1" t="n">
        <v>45911</v>
      </c>
      <c r="D625" t="inlineStr">
        <is>
          <t>SÖDERMANLANDS LÄN</t>
        </is>
      </c>
      <c r="E625" t="inlineStr">
        <is>
          <t>KATRINEHOLM</t>
        </is>
      </c>
      <c r="G625" t="n">
        <v>1.6</v>
      </c>
      <c r="H625" t="n">
        <v>0</v>
      </c>
      <c r="I625" t="n">
        <v>0</v>
      </c>
      <c r="J625" t="n">
        <v>0</v>
      </c>
      <c r="K625" t="n">
        <v>0</v>
      </c>
      <c r="L625" t="n">
        <v>0</v>
      </c>
      <c r="M625" t="n">
        <v>0</v>
      </c>
      <c r="N625" t="n">
        <v>0</v>
      </c>
      <c r="O625" t="n">
        <v>0</v>
      </c>
      <c r="P625" t="n">
        <v>0</v>
      </c>
      <c r="Q625" t="n">
        <v>0</v>
      </c>
      <c r="R625" s="2" t="inlineStr"/>
    </row>
    <row r="626" ht="15" customHeight="1">
      <c r="A626" t="inlineStr">
        <is>
          <t>A 60160-2022</t>
        </is>
      </c>
      <c r="B626" s="1" t="n">
        <v>44909</v>
      </c>
      <c r="C626" s="1" t="n">
        <v>45911</v>
      </c>
      <c r="D626" t="inlineStr">
        <is>
          <t>SÖDERMANLANDS LÄN</t>
        </is>
      </c>
      <c r="E626" t="inlineStr">
        <is>
          <t>KATRINEHOLM</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64657-2020</t>
        </is>
      </c>
      <c r="B627" s="1" t="n">
        <v>44169</v>
      </c>
      <c r="C627" s="1" t="n">
        <v>45911</v>
      </c>
      <c r="D627" t="inlineStr">
        <is>
          <t>SÖDERMANLANDS LÄN</t>
        </is>
      </c>
      <c r="E627" t="inlineStr">
        <is>
          <t>KATRINEHOLM</t>
        </is>
      </c>
      <c r="F627" t="inlineStr">
        <is>
          <t>Kyrkan</t>
        </is>
      </c>
      <c r="G627" t="n">
        <v>7.6</v>
      </c>
      <c r="H627" t="n">
        <v>0</v>
      </c>
      <c r="I627" t="n">
        <v>0</v>
      </c>
      <c r="J627" t="n">
        <v>0</v>
      </c>
      <c r="K627" t="n">
        <v>0</v>
      </c>
      <c r="L627" t="n">
        <v>0</v>
      </c>
      <c r="M627" t="n">
        <v>0</v>
      </c>
      <c r="N627" t="n">
        <v>0</v>
      </c>
      <c r="O627" t="n">
        <v>0</v>
      </c>
      <c r="P627" t="n">
        <v>0</v>
      </c>
      <c r="Q627" t="n">
        <v>0</v>
      </c>
      <c r="R627" s="2" t="inlineStr"/>
    </row>
    <row r="628" ht="15" customHeight="1">
      <c r="A628" t="inlineStr">
        <is>
          <t>A 19442-2023</t>
        </is>
      </c>
      <c r="B628" s="1" t="n">
        <v>45050</v>
      </c>
      <c r="C628" s="1" t="n">
        <v>45911</v>
      </c>
      <c r="D628" t="inlineStr">
        <is>
          <t>SÖDERMANLANDS LÄN</t>
        </is>
      </c>
      <c r="E628" t="inlineStr">
        <is>
          <t>KATRINEHOLM</t>
        </is>
      </c>
      <c r="F628" t="inlineStr">
        <is>
          <t>Holmen skog AB</t>
        </is>
      </c>
      <c r="G628" t="n">
        <v>0.7</v>
      </c>
      <c r="H628" t="n">
        <v>0</v>
      </c>
      <c r="I628" t="n">
        <v>0</v>
      </c>
      <c r="J628" t="n">
        <v>0</v>
      </c>
      <c r="K628" t="n">
        <v>0</v>
      </c>
      <c r="L628" t="n">
        <v>0</v>
      </c>
      <c r="M628" t="n">
        <v>0</v>
      </c>
      <c r="N628" t="n">
        <v>0</v>
      </c>
      <c r="O628" t="n">
        <v>0</v>
      </c>
      <c r="P628" t="n">
        <v>0</v>
      </c>
      <c r="Q628" t="n">
        <v>0</v>
      </c>
      <c r="R628" s="2" t="inlineStr"/>
    </row>
    <row r="629" ht="15" customHeight="1">
      <c r="A629" t="inlineStr">
        <is>
          <t>A 9437-2022</t>
        </is>
      </c>
      <c r="B629" s="1" t="n">
        <v>44616.69246527777</v>
      </c>
      <c r="C629" s="1" t="n">
        <v>45911</v>
      </c>
      <c r="D629" t="inlineStr">
        <is>
          <t>SÖDERMANLANDS LÄN</t>
        </is>
      </c>
      <c r="E629" t="inlineStr">
        <is>
          <t>KATRINEHOLM</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25362-2023</t>
        </is>
      </c>
      <c r="B630" s="1" t="n">
        <v>45088.83430555555</v>
      </c>
      <c r="C630" s="1" t="n">
        <v>45911</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50840-2022</t>
        </is>
      </c>
      <c r="B631" s="1" t="n">
        <v>44862</v>
      </c>
      <c r="C631" s="1" t="n">
        <v>45911</v>
      </c>
      <c r="D631" t="inlineStr">
        <is>
          <t>SÖDERMANLANDS LÄN</t>
        </is>
      </c>
      <c r="E631" t="inlineStr">
        <is>
          <t>KATRINEHOLM</t>
        </is>
      </c>
      <c r="G631" t="n">
        <v>4.2</v>
      </c>
      <c r="H631" t="n">
        <v>0</v>
      </c>
      <c r="I631" t="n">
        <v>0</v>
      </c>
      <c r="J631" t="n">
        <v>0</v>
      </c>
      <c r="K631" t="n">
        <v>0</v>
      </c>
      <c r="L631" t="n">
        <v>0</v>
      </c>
      <c r="M631" t="n">
        <v>0</v>
      </c>
      <c r="N631" t="n">
        <v>0</v>
      </c>
      <c r="O631" t="n">
        <v>0</v>
      </c>
      <c r="P631" t="n">
        <v>0</v>
      </c>
      <c r="Q631" t="n">
        <v>0</v>
      </c>
      <c r="R631" s="2" t="inlineStr"/>
    </row>
    <row r="632" ht="15" customHeight="1">
      <c r="A632" t="inlineStr">
        <is>
          <t>A 4662-2023</t>
        </is>
      </c>
      <c r="B632" s="1" t="n">
        <v>44957</v>
      </c>
      <c r="C632" s="1" t="n">
        <v>45911</v>
      </c>
      <c r="D632" t="inlineStr">
        <is>
          <t>SÖDERMANLANDS LÄN</t>
        </is>
      </c>
      <c r="E632" t="inlineStr">
        <is>
          <t>KATRINEHOLM</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19685-2022</t>
        </is>
      </c>
      <c r="B633" s="1" t="n">
        <v>44694</v>
      </c>
      <c r="C633" s="1" t="n">
        <v>45911</v>
      </c>
      <c r="D633" t="inlineStr">
        <is>
          <t>SÖDERMANLANDS LÄN</t>
        </is>
      </c>
      <c r="E633" t="inlineStr">
        <is>
          <t>KATRINEHOLM</t>
        </is>
      </c>
      <c r="G633" t="n">
        <v>1.7</v>
      </c>
      <c r="H633" t="n">
        <v>0</v>
      </c>
      <c r="I633" t="n">
        <v>0</v>
      </c>
      <c r="J633" t="n">
        <v>0</v>
      </c>
      <c r="K633" t="n">
        <v>0</v>
      </c>
      <c r="L633" t="n">
        <v>0</v>
      </c>
      <c r="M633" t="n">
        <v>0</v>
      </c>
      <c r="N633" t="n">
        <v>0</v>
      </c>
      <c r="O633" t="n">
        <v>0</v>
      </c>
      <c r="P633" t="n">
        <v>0</v>
      </c>
      <c r="Q633" t="n">
        <v>0</v>
      </c>
      <c r="R633" s="2" t="inlineStr"/>
    </row>
    <row r="634" ht="15" customHeight="1">
      <c r="A634" t="inlineStr">
        <is>
          <t>A 3060-2022</t>
        </is>
      </c>
      <c r="B634" s="1" t="n">
        <v>44582.40109953703</v>
      </c>
      <c r="C634" s="1" t="n">
        <v>45911</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62419-2023</t>
        </is>
      </c>
      <c r="B635" s="1" t="n">
        <v>45268</v>
      </c>
      <c r="C635" s="1" t="n">
        <v>45911</v>
      </c>
      <c r="D635" t="inlineStr">
        <is>
          <t>SÖDERMANLANDS LÄN</t>
        </is>
      </c>
      <c r="E635" t="inlineStr">
        <is>
          <t>KATRINEHOLM</t>
        </is>
      </c>
      <c r="G635" t="n">
        <v>9</v>
      </c>
      <c r="H635" t="n">
        <v>0</v>
      </c>
      <c r="I635" t="n">
        <v>0</v>
      </c>
      <c r="J635" t="n">
        <v>0</v>
      </c>
      <c r="K635" t="n">
        <v>0</v>
      </c>
      <c r="L635" t="n">
        <v>0</v>
      </c>
      <c r="M635" t="n">
        <v>0</v>
      </c>
      <c r="N635" t="n">
        <v>0</v>
      </c>
      <c r="O635" t="n">
        <v>0</v>
      </c>
      <c r="P635" t="n">
        <v>0</v>
      </c>
      <c r="Q635" t="n">
        <v>0</v>
      </c>
      <c r="R635" s="2" t="inlineStr"/>
    </row>
    <row r="636" ht="15" customHeight="1">
      <c r="A636" t="inlineStr">
        <is>
          <t>A 6611-2023</t>
        </is>
      </c>
      <c r="B636" s="1" t="n">
        <v>44963</v>
      </c>
      <c r="C636" s="1" t="n">
        <v>45911</v>
      </c>
      <c r="D636" t="inlineStr">
        <is>
          <t>SÖDERMANLANDS LÄN</t>
        </is>
      </c>
      <c r="E636" t="inlineStr">
        <is>
          <t>KATRINEHOLM</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39897-2023</t>
        </is>
      </c>
      <c r="B637" s="1" t="n">
        <v>45168</v>
      </c>
      <c r="C637" s="1" t="n">
        <v>45911</v>
      </c>
      <c r="D637" t="inlineStr">
        <is>
          <t>SÖDERMANLANDS LÄN</t>
        </is>
      </c>
      <c r="E637" t="inlineStr">
        <is>
          <t>KATRINEHOLM</t>
        </is>
      </c>
      <c r="G637" t="n">
        <v>15.6</v>
      </c>
      <c r="H637" t="n">
        <v>0</v>
      </c>
      <c r="I637" t="n">
        <v>0</v>
      </c>
      <c r="J637" t="n">
        <v>0</v>
      </c>
      <c r="K637" t="n">
        <v>0</v>
      </c>
      <c r="L637" t="n">
        <v>0</v>
      </c>
      <c r="M637" t="n">
        <v>0</v>
      </c>
      <c r="N637" t="n">
        <v>0</v>
      </c>
      <c r="O637" t="n">
        <v>0</v>
      </c>
      <c r="P637" t="n">
        <v>0</v>
      </c>
      <c r="Q637" t="n">
        <v>0</v>
      </c>
      <c r="R637" s="2" t="inlineStr"/>
    </row>
    <row r="638" ht="15" customHeight="1">
      <c r="A638" t="inlineStr">
        <is>
          <t>A 23207-2023</t>
        </is>
      </c>
      <c r="B638" s="1" t="n">
        <v>45071</v>
      </c>
      <c r="C638" s="1" t="n">
        <v>45911</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42025-2022</t>
        </is>
      </c>
      <c r="B639" s="1" t="n">
        <v>44830.47399305556</v>
      </c>
      <c r="C639" s="1" t="n">
        <v>45911</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41633-2025</t>
        </is>
      </c>
      <c r="B640" s="1" t="n">
        <v>45901</v>
      </c>
      <c r="C640" s="1" t="n">
        <v>45911</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50804-2023</t>
        </is>
      </c>
      <c r="B641" s="1" t="n">
        <v>45211</v>
      </c>
      <c r="C641" s="1" t="n">
        <v>45911</v>
      </c>
      <c r="D641" t="inlineStr">
        <is>
          <t>SÖDERMANLANDS LÄN</t>
        </is>
      </c>
      <c r="E641" t="inlineStr">
        <is>
          <t>KATRINEHOLM</t>
        </is>
      </c>
      <c r="G641" t="n">
        <v>4</v>
      </c>
      <c r="H641" t="n">
        <v>0</v>
      </c>
      <c r="I641" t="n">
        <v>0</v>
      </c>
      <c r="J641" t="n">
        <v>0</v>
      </c>
      <c r="K641" t="n">
        <v>0</v>
      </c>
      <c r="L641" t="n">
        <v>0</v>
      </c>
      <c r="M641" t="n">
        <v>0</v>
      </c>
      <c r="N641" t="n">
        <v>0</v>
      </c>
      <c r="O641" t="n">
        <v>0</v>
      </c>
      <c r="P641" t="n">
        <v>0</v>
      </c>
      <c r="Q641" t="n">
        <v>0</v>
      </c>
      <c r="R641" s="2" t="inlineStr"/>
    </row>
    <row r="642" ht="15" customHeight="1">
      <c r="A642" t="inlineStr">
        <is>
          <t>A 20533-2023</t>
        </is>
      </c>
      <c r="B642" s="1" t="n">
        <v>45057</v>
      </c>
      <c r="C642" s="1" t="n">
        <v>45911</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c r="T642">
        <f>HYPERLINK("https://klasma.github.io/Logging_0483/kartor/A 20533-2023 karta.png", "A 20533-2023")</f>
        <v/>
      </c>
      <c r="V642">
        <f>HYPERLINK("https://klasma.github.io/Logging_0483/klagomål/A 20533-2023 FSC-klagomål.docx", "A 20533-2023")</f>
        <v/>
      </c>
      <c r="W642">
        <f>HYPERLINK("https://klasma.github.io/Logging_0483/klagomålsmail/A 20533-2023 FSC-klagomål mail.docx", "A 20533-2023")</f>
        <v/>
      </c>
      <c r="X642">
        <f>HYPERLINK("https://klasma.github.io/Logging_0483/tillsyn/A 20533-2023 tillsynsbegäran.docx", "A 20533-2023")</f>
        <v/>
      </c>
      <c r="Y642">
        <f>HYPERLINK("https://klasma.github.io/Logging_0483/tillsynsmail/A 20533-2023 tillsynsbegäran mail.docx", "A 20533-2023")</f>
        <v/>
      </c>
      <c r="Z642">
        <f>HYPERLINK("https://klasma.github.io/Logging_0483/fåglar/A 20533-2023 prioriterade fågelarter.docx", "A 20533-2023")</f>
        <v/>
      </c>
    </row>
    <row r="643" ht="15" customHeight="1">
      <c r="A643" t="inlineStr">
        <is>
          <t>A 42686-2025</t>
        </is>
      </c>
      <c r="B643" s="1" t="n">
        <v>45908.35550925926</v>
      </c>
      <c r="C643" s="1" t="n">
        <v>45911</v>
      </c>
      <c r="D643" t="inlineStr">
        <is>
          <t>SÖDERMANLANDS LÄN</t>
        </is>
      </c>
      <c r="E643" t="inlineStr">
        <is>
          <t>KATRINEHOLM</t>
        </is>
      </c>
      <c r="G643" t="n">
        <v>0.9</v>
      </c>
      <c r="H643" t="n">
        <v>0</v>
      </c>
      <c r="I643" t="n">
        <v>0</v>
      </c>
      <c r="J643" t="n">
        <v>0</v>
      </c>
      <c r="K643" t="n">
        <v>0</v>
      </c>
      <c r="L643" t="n">
        <v>0</v>
      </c>
      <c r="M643" t="n">
        <v>0</v>
      </c>
      <c r="N643" t="n">
        <v>0</v>
      </c>
      <c r="O643" t="n">
        <v>0</v>
      </c>
      <c r="P643" t="n">
        <v>0</v>
      </c>
      <c r="Q643" t="n">
        <v>0</v>
      </c>
      <c r="R643" s="2" t="inlineStr"/>
    </row>
    <row r="644" ht="15" customHeight="1">
      <c r="A644" t="inlineStr">
        <is>
          <t>A 8791-2023</t>
        </is>
      </c>
      <c r="B644" s="1" t="n">
        <v>44978</v>
      </c>
      <c r="C644" s="1" t="n">
        <v>45911</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48253-2022</t>
        </is>
      </c>
      <c r="B645" s="1" t="n">
        <v>44858</v>
      </c>
      <c r="C645" s="1" t="n">
        <v>45911</v>
      </c>
      <c r="D645" t="inlineStr">
        <is>
          <t>SÖDERMANLANDS LÄN</t>
        </is>
      </c>
      <c r="E645" t="inlineStr">
        <is>
          <t>KATRINEHOLM</t>
        </is>
      </c>
      <c r="G645" t="n">
        <v>4.7</v>
      </c>
      <c r="H645" t="n">
        <v>0</v>
      </c>
      <c r="I645" t="n">
        <v>0</v>
      </c>
      <c r="J645" t="n">
        <v>0</v>
      </c>
      <c r="K645" t="n">
        <v>0</v>
      </c>
      <c r="L645" t="n">
        <v>0</v>
      </c>
      <c r="M645" t="n">
        <v>0</v>
      </c>
      <c r="N645" t="n">
        <v>0</v>
      </c>
      <c r="O645" t="n">
        <v>0</v>
      </c>
      <c r="P645" t="n">
        <v>0</v>
      </c>
      <c r="Q645" t="n">
        <v>0</v>
      </c>
      <c r="R645" s="2" t="inlineStr"/>
    </row>
    <row r="646" ht="15" customHeight="1">
      <c r="A646" t="inlineStr">
        <is>
          <t>A 42474-2025</t>
        </is>
      </c>
      <c r="B646" s="1" t="n">
        <v>45905.46659722222</v>
      </c>
      <c r="C646" s="1" t="n">
        <v>45911</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43499-2021</t>
        </is>
      </c>
      <c r="B647" s="1" t="n">
        <v>44433</v>
      </c>
      <c r="C647" s="1" t="n">
        <v>45911</v>
      </c>
      <c r="D647" t="inlineStr">
        <is>
          <t>SÖDERMANLANDS LÄN</t>
        </is>
      </c>
      <c r="E647" t="inlineStr">
        <is>
          <t>KATRINEHOLM</t>
        </is>
      </c>
      <c r="F647" t="inlineStr">
        <is>
          <t>Övriga Aktiebolag</t>
        </is>
      </c>
      <c r="G647" t="n">
        <v>1.4</v>
      </c>
      <c r="H647" t="n">
        <v>0</v>
      </c>
      <c r="I647" t="n">
        <v>0</v>
      </c>
      <c r="J647" t="n">
        <v>0</v>
      </c>
      <c r="K647" t="n">
        <v>0</v>
      </c>
      <c r="L647" t="n">
        <v>0</v>
      </c>
      <c r="M647" t="n">
        <v>0</v>
      </c>
      <c r="N647" t="n">
        <v>0</v>
      </c>
      <c r="O647" t="n">
        <v>0</v>
      </c>
      <c r="P647" t="n">
        <v>0</v>
      </c>
      <c r="Q647" t="n">
        <v>0</v>
      </c>
      <c r="R647" s="2" t="inlineStr"/>
    </row>
    <row r="648" ht="15" customHeight="1">
      <c r="A648" t="inlineStr">
        <is>
          <t>A 53996-2023</t>
        </is>
      </c>
      <c r="B648" s="1" t="n">
        <v>45231</v>
      </c>
      <c r="C648" s="1" t="n">
        <v>45911</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33790-2024</t>
        </is>
      </c>
      <c r="B649" s="1" t="n">
        <v>45520.59179398148</v>
      </c>
      <c r="C649" s="1" t="n">
        <v>45911</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53809-2021</t>
        </is>
      </c>
      <c r="B650" s="1" t="n">
        <v>44467</v>
      </c>
      <c r="C650" s="1" t="n">
        <v>45911</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31719-2024</t>
        </is>
      </c>
      <c r="B651" s="1" t="n">
        <v>45509</v>
      </c>
      <c r="C651" s="1" t="n">
        <v>45911</v>
      </c>
      <c r="D651" t="inlineStr">
        <is>
          <t>SÖDERMANLANDS LÄN</t>
        </is>
      </c>
      <c r="E651" t="inlineStr">
        <is>
          <t>KATRINEHOLM</t>
        </is>
      </c>
      <c r="F651" t="inlineStr">
        <is>
          <t>Kyrkan</t>
        </is>
      </c>
      <c r="G651" t="n">
        <v>11.9</v>
      </c>
      <c r="H651" t="n">
        <v>0</v>
      </c>
      <c r="I651" t="n">
        <v>0</v>
      </c>
      <c r="J651" t="n">
        <v>0</v>
      </c>
      <c r="K651" t="n">
        <v>0</v>
      </c>
      <c r="L651" t="n">
        <v>0</v>
      </c>
      <c r="M651" t="n">
        <v>0</v>
      </c>
      <c r="N651" t="n">
        <v>0</v>
      </c>
      <c r="O651" t="n">
        <v>0</v>
      </c>
      <c r="P651" t="n">
        <v>0</v>
      </c>
      <c r="Q651" t="n">
        <v>0</v>
      </c>
      <c r="R651" s="2" t="inlineStr"/>
    </row>
    <row r="652" ht="15" customHeight="1">
      <c r="A652" t="inlineStr">
        <is>
          <t>A 42799-2025</t>
        </is>
      </c>
      <c r="B652" s="1" t="n">
        <v>45907</v>
      </c>
      <c r="C652" s="1" t="n">
        <v>45911</v>
      </c>
      <c r="D652" t="inlineStr">
        <is>
          <t>SÖDERMANLANDS LÄN</t>
        </is>
      </c>
      <c r="E652" t="inlineStr">
        <is>
          <t>KATRINEHOLM</t>
        </is>
      </c>
      <c r="G652" t="n">
        <v>3.9</v>
      </c>
      <c r="H652" t="n">
        <v>0</v>
      </c>
      <c r="I652" t="n">
        <v>0</v>
      </c>
      <c r="J652" t="n">
        <v>0</v>
      </c>
      <c r="K652" t="n">
        <v>0</v>
      </c>
      <c r="L652" t="n">
        <v>0</v>
      </c>
      <c r="M652" t="n">
        <v>0</v>
      </c>
      <c r="N652" t="n">
        <v>0</v>
      </c>
      <c r="O652" t="n">
        <v>0</v>
      </c>
      <c r="P652" t="n">
        <v>0</v>
      </c>
      <c r="Q652" t="n">
        <v>0</v>
      </c>
      <c r="R652" s="2" t="inlineStr"/>
    </row>
    <row r="653" ht="15" customHeight="1">
      <c r="A653" t="inlineStr">
        <is>
          <t>A 47456-2022</t>
        </is>
      </c>
      <c r="B653" s="1" t="n">
        <v>44852</v>
      </c>
      <c r="C653" s="1" t="n">
        <v>45911</v>
      </c>
      <c r="D653" t="inlineStr">
        <is>
          <t>SÖDERMANLANDS LÄN</t>
        </is>
      </c>
      <c r="E653" t="inlineStr">
        <is>
          <t>KATRINEHOLM</t>
        </is>
      </c>
      <c r="G653" t="n">
        <v>3.7</v>
      </c>
      <c r="H653" t="n">
        <v>0</v>
      </c>
      <c r="I653" t="n">
        <v>0</v>
      </c>
      <c r="J653" t="n">
        <v>0</v>
      </c>
      <c r="K653" t="n">
        <v>0</v>
      </c>
      <c r="L653" t="n">
        <v>0</v>
      </c>
      <c r="M653" t="n">
        <v>0</v>
      </c>
      <c r="N653" t="n">
        <v>0</v>
      </c>
      <c r="O653" t="n">
        <v>0</v>
      </c>
      <c r="P653" t="n">
        <v>0</v>
      </c>
      <c r="Q653" t="n">
        <v>0</v>
      </c>
      <c r="R653" s="2" t="inlineStr"/>
    </row>
    <row r="654" ht="15" customHeight="1">
      <c r="A654" t="inlineStr">
        <is>
          <t>A 23347-2023</t>
        </is>
      </c>
      <c r="B654" s="1" t="n">
        <v>45076</v>
      </c>
      <c r="C654" s="1" t="n">
        <v>45911</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74354-2021</t>
        </is>
      </c>
      <c r="B655" s="1" t="n">
        <v>44559.57041666667</v>
      </c>
      <c r="C655" s="1" t="n">
        <v>45911</v>
      </c>
      <c r="D655" t="inlineStr">
        <is>
          <t>SÖDERMANLANDS LÄN</t>
        </is>
      </c>
      <c r="E655" t="inlineStr">
        <is>
          <t>KATRINEHOLM</t>
        </is>
      </c>
      <c r="G655" t="n">
        <v>0.7</v>
      </c>
      <c r="H655" t="n">
        <v>0</v>
      </c>
      <c r="I655" t="n">
        <v>0</v>
      </c>
      <c r="J655" t="n">
        <v>0</v>
      </c>
      <c r="K655" t="n">
        <v>0</v>
      </c>
      <c r="L655" t="n">
        <v>0</v>
      </c>
      <c r="M655" t="n">
        <v>0</v>
      </c>
      <c r="N655" t="n">
        <v>0</v>
      </c>
      <c r="O655" t="n">
        <v>0</v>
      </c>
      <c r="P655" t="n">
        <v>0</v>
      </c>
      <c r="Q655" t="n">
        <v>0</v>
      </c>
      <c r="R655" s="2" t="inlineStr"/>
    </row>
    <row r="656" ht="15" customHeight="1">
      <c r="A656" t="inlineStr">
        <is>
          <t>A 44024-2021</t>
        </is>
      </c>
      <c r="B656" s="1" t="n">
        <v>44434</v>
      </c>
      <c r="C656" s="1" t="n">
        <v>45911</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52348-2021</t>
        </is>
      </c>
      <c r="B657" s="1" t="n">
        <v>44464.49756944444</v>
      </c>
      <c r="C657" s="1" t="n">
        <v>45911</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13175-2024</t>
        </is>
      </c>
      <c r="B658" s="1" t="n">
        <v>45386</v>
      </c>
      <c r="C658" s="1" t="n">
        <v>45911</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40744-2022</t>
        </is>
      </c>
      <c r="B659" s="1" t="n">
        <v>44824.55655092592</v>
      </c>
      <c r="C659" s="1" t="n">
        <v>45911</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56628-2021</t>
        </is>
      </c>
      <c r="B660" s="1" t="n">
        <v>44480</v>
      </c>
      <c r="C660" s="1" t="n">
        <v>45911</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45438-2021</t>
        </is>
      </c>
      <c r="B661" s="1" t="n">
        <v>44440</v>
      </c>
      <c r="C661" s="1" t="n">
        <v>45911</v>
      </c>
      <c r="D661" t="inlineStr">
        <is>
          <t>SÖDERMANLANDS LÄN</t>
        </is>
      </c>
      <c r="E661" t="inlineStr">
        <is>
          <t>KATRINEHOLM</t>
        </is>
      </c>
      <c r="F661" t="inlineStr">
        <is>
          <t>Kommuner</t>
        </is>
      </c>
      <c r="G661" t="n">
        <v>1.5</v>
      </c>
      <c r="H661" t="n">
        <v>0</v>
      </c>
      <c r="I661" t="n">
        <v>0</v>
      </c>
      <c r="J661" t="n">
        <v>0</v>
      </c>
      <c r="K661" t="n">
        <v>0</v>
      </c>
      <c r="L661" t="n">
        <v>0</v>
      </c>
      <c r="M661" t="n">
        <v>0</v>
      </c>
      <c r="N661" t="n">
        <v>0</v>
      </c>
      <c r="O661" t="n">
        <v>0</v>
      </c>
      <c r="P661" t="n">
        <v>0</v>
      </c>
      <c r="Q661" t="n">
        <v>0</v>
      </c>
      <c r="R661" s="2" t="inlineStr"/>
    </row>
    <row r="662" ht="15" customHeight="1">
      <c r="A662" t="inlineStr">
        <is>
          <t>A 52134-2020</t>
        </is>
      </c>
      <c r="B662" s="1" t="n">
        <v>44110</v>
      </c>
      <c r="C662" s="1" t="n">
        <v>45911</v>
      </c>
      <c r="D662" t="inlineStr">
        <is>
          <t>SÖDERMANLANDS LÄN</t>
        </is>
      </c>
      <c r="E662" t="inlineStr">
        <is>
          <t>KATRINEHOLM</t>
        </is>
      </c>
      <c r="G662" t="n">
        <v>2.2</v>
      </c>
      <c r="H662" t="n">
        <v>0</v>
      </c>
      <c r="I662" t="n">
        <v>0</v>
      </c>
      <c r="J662" t="n">
        <v>0</v>
      </c>
      <c r="K662" t="n">
        <v>0</v>
      </c>
      <c r="L662" t="n">
        <v>0</v>
      </c>
      <c r="M662" t="n">
        <v>0</v>
      </c>
      <c r="N662" t="n">
        <v>0</v>
      </c>
      <c r="O662" t="n">
        <v>0</v>
      </c>
      <c r="P662" t="n">
        <v>0</v>
      </c>
      <c r="Q662" t="n">
        <v>0</v>
      </c>
      <c r="R662" s="2" t="inlineStr"/>
    </row>
    <row r="663" ht="15" customHeight="1">
      <c r="A663" t="inlineStr">
        <is>
          <t>A 8761-2023</t>
        </is>
      </c>
      <c r="B663" s="1" t="n">
        <v>44978.49685185185</v>
      </c>
      <c r="C663" s="1" t="n">
        <v>45911</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8778-2023</t>
        </is>
      </c>
      <c r="B664" s="1" t="n">
        <v>44978.5737037037</v>
      </c>
      <c r="C664" s="1" t="n">
        <v>45911</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50061-2022</t>
        </is>
      </c>
      <c r="B665" s="1" t="n">
        <v>44865</v>
      </c>
      <c r="C665" s="1" t="n">
        <v>45911</v>
      </c>
      <c r="D665" t="inlineStr">
        <is>
          <t>SÖDERMANLANDS LÄN</t>
        </is>
      </c>
      <c r="E665" t="inlineStr">
        <is>
          <t>KATRINEHOLM</t>
        </is>
      </c>
      <c r="G665" t="n">
        <v>4.9</v>
      </c>
      <c r="H665" t="n">
        <v>0</v>
      </c>
      <c r="I665" t="n">
        <v>0</v>
      </c>
      <c r="J665" t="n">
        <v>0</v>
      </c>
      <c r="K665" t="n">
        <v>0</v>
      </c>
      <c r="L665" t="n">
        <v>0</v>
      </c>
      <c r="M665" t="n">
        <v>0</v>
      </c>
      <c r="N665" t="n">
        <v>0</v>
      </c>
      <c r="O665" t="n">
        <v>0</v>
      </c>
      <c r="P665" t="n">
        <v>0</v>
      </c>
      <c r="Q665" t="n">
        <v>0</v>
      </c>
      <c r="R665" s="2" t="inlineStr"/>
    </row>
    <row r="666" ht="15" customHeight="1">
      <c r="A666" t="inlineStr">
        <is>
          <t>A 10446-2024</t>
        </is>
      </c>
      <c r="B666" s="1" t="n">
        <v>45366</v>
      </c>
      <c r="C666" s="1" t="n">
        <v>45911</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8457-2023</t>
        </is>
      </c>
      <c r="B667" s="1" t="n">
        <v>44977</v>
      </c>
      <c r="C667" s="1" t="n">
        <v>45911</v>
      </c>
      <c r="D667" t="inlineStr">
        <is>
          <t>SÖDERMANLANDS LÄN</t>
        </is>
      </c>
      <c r="E667" t="inlineStr">
        <is>
          <t>KATRINEHOLM</t>
        </is>
      </c>
      <c r="F667" t="inlineStr">
        <is>
          <t>Allmännings- och besparingsskogar</t>
        </is>
      </c>
      <c r="G667" t="n">
        <v>16.1</v>
      </c>
      <c r="H667" t="n">
        <v>0</v>
      </c>
      <c r="I667" t="n">
        <v>0</v>
      </c>
      <c r="J667" t="n">
        <v>0</v>
      </c>
      <c r="K667" t="n">
        <v>0</v>
      </c>
      <c r="L667" t="n">
        <v>0</v>
      </c>
      <c r="M667" t="n">
        <v>0</v>
      </c>
      <c r="N667" t="n">
        <v>0</v>
      </c>
      <c r="O667" t="n">
        <v>0</v>
      </c>
      <c r="P667" t="n">
        <v>0</v>
      </c>
      <c r="Q667" t="n">
        <v>0</v>
      </c>
      <c r="R667" s="2" t="inlineStr"/>
    </row>
    <row r="668" ht="15" customHeight="1">
      <c r="A668" t="inlineStr">
        <is>
          <t>A 7056-2022</t>
        </is>
      </c>
      <c r="B668" s="1" t="n">
        <v>44603</v>
      </c>
      <c r="C668" s="1" t="n">
        <v>45911</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41632-2025</t>
        </is>
      </c>
      <c r="B669" s="1" t="n">
        <v>45901</v>
      </c>
      <c r="C669" s="1" t="n">
        <v>45911</v>
      </c>
      <c r="D669" t="inlineStr">
        <is>
          <t>SÖDERMANLANDS LÄN</t>
        </is>
      </c>
      <c r="E669" t="inlineStr">
        <is>
          <t>KATRINEHOLM</t>
        </is>
      </c>
      <c r="G669" t="n">
        <v>0.8</v>
      </c>
      <c r="H669" t="n">
        <v>0</v>
      </c>
      <c r="I669" t="n">
        <v>0</v>
      </c>
      <c r="J669" t="n">
        <v>0</v>
      </c>
      <c r="K669" t="n">
        <v>0</v>
      </c>
      <c r="L669" t="n">
        <v>0</v>
      </c>
      <c r="M669" t="n">
        <v>0</v>
      </c>
      <c r="N669" t="n">
        <v>0</v>
      </c>
      <c r="O669" t="n">
        <v>0</v>
      </c>
      <c r="P669" t="n">
        <v>0</v>
      </c>
      <c r="Q669" t="n">
        <v>0</v>
      </c>
      <c r="R669" s="2" t="inlineStr"/>
    </row>
    <row r="670" ht="15" customHeight="1">
      <c r="A670" t="inlineStr">
        <is>
          <t>A 32786-2022</t>
        </is>
      </c>
      <c r="B670" s="1" t="n">
        <v>44784</v>
      </c>
      <c r="C670" s="1" t="n">
        <v>45911</v>
      </c>
      <c r="D670" t="inlineStr">
        <is>
          <t>SÖDERMANLANDS LÄN</t>
        </is>
      </c>
      <c r="E670" t="inlineStr">
        <is>
          <t>KATRINEHOLM</t>
        </is>
      </c>
      <c r="G670" t="n">
        <v>7</v>
      </c>
      <c r="H670" t="n">
        <v>0</v>
      </c>
      <c r="I670" t="n">
        <v>0</v>
      </c>
      <c r="J670" t="n">
        <v>0</v>
      </c>
      <c r="K670" t="n">
        <v>0</v>
      </c>
      <c r="L670" t="n">
        <v>0</v>
      </c>
      <c r="M670" t="n">
        <v>0</v>
      </c>
      <c r="N670" t="n">
        <v>0</v>
      </c>
      <c r="O670" t="n">
        <v>0</v>
      </c>
      <c r="P670" t="n">
        <v>0</v>
      </c>
      <c r="Q670" t="n">
        <v>0</v>
      </c>
      <c r="R670" s="2" t="inlineStr"/>
    </row>
    <row r="671" ht="15" customHeight="1">
      <c r="A671" t="inlineStr">
        <is>
          <t>A 7223-2022</t>
        </is>
      </c>
      <c r="B671" s="1" t="n">
        <v>44603</v>
      </c>
      <c r="C671" s="1" t="n">
        <v>45911</v>
      </c>
      <c r="D671" t="inlineStr">
        <is>
          <t>SÖDERMANLANDS LÄN</t>
        </is>
      </c>
      <c r="E671" t="inlineStr">
        <is>
          <t>KATRINEHOLM</t>
        </is>
      </c>
      <c r="G671" t="n">
        <v>0.8</v>
      </c>
      <c r="H671" t="n">
        <v>0</v>
      </c>
      <c r="I671" t="n">
        <v>0</v>
      </c>
      <c r="J671" t="n">
        <v>0</v>
      </c>
      <c r="K671" t="n">
        <v>0</v>
      </c>
      <c r="L671" t="n">
        <v>0</v>
      </c>
      <c r="M671" t="n">
        <v>0</v>
      </c>
      <c r="N671" t="n">
        <v>0</v>
      </c>
      <c r="O671" t="n">
        <v>0</v>
      </c>
      <c r="P671" t="n">
        <v>0</v>
      </c>
      <c r="Q671" t="n">
        <v>0</v>
      </c>
      <c r="R671" s="2" t="inlineStr"/>
    </row>
    <row r="672" ht="15" customHeight="1">
      <c r="A672" t="inlineStr">
        <is>
          <t>A 7459-2022</t>
        </is>
      </c>
      <c r="B672" s="1" t="n">
        <v>44607.35009259259</v>
      </c>
      <c r="C672" s="1" t="n">
        <v>45911</v>
      </c>
      <c r="D672" t="inlineStr">
        <is>
          <t>SÖDERMANLANDS LÄN</t>
        </is>
      </c>
      <c r="E672" t="inlineStr">
        <is>
          <t>KATRINEHOLM</t>
        </is>
      </c>
      <c r="G672" t="n">
        <v>2</v>
      </c>
      <c r="H672" t="n">
        <v>0</v>
      </c>
      <c r="I672" t="n">
        <v>0</v>
      </c>
      <c r="J672" t="n">
        <v>0</v>
      </c>
      <c r="K672" t="n">
        <v>0</v>
      </c>
      <c r="L672" t="n">
        <v>0</v>
      </c>
      <c r="M672" t="n">
        <v>0</v>
      </c>
      <c r="N672" t="n">
        <v>0</v>
      </c>
      <c r="O672" t="n">
        <v>0</v>
      </c>
      <c r="P672" t="n">
        <v>0</v>
      </c>
      <c r="Q672" t="n">
        <v>0</v>
      </c>
      <c r="R672" s="2" t="inlineStr"/>
    </row>
    <row r="673" ht="15" customHeight="1">
      <c r="A673" t="inlineStr">
        <is>
          <t>A 27375-2024</t>
        </is>
      </c>
      <c r="B673" s="1" t="n">
        <v>45473.87645833333</v>
      </c>
      <c r="C673" s="1" t="n">
        <v>45911</v>
      </c>
      <c r="D673" t="inlineStr">
        <is>
          <t>SÖDERMANLANDS LÄN</t>
        </is>
      </c>
      <c r="E673" t="inlineStr">
        <is>
          <t>KATRINEHOLM</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61167-2020</t>
        </is>
      </c>
      <c r="B674" s="1" t="n">
        <v>44155</v>
      </c>
      <c r="C674" s="1" t="n">
        <v>45911</v>
      </c>
      <c r="D674" t="inlineStr">
        <is>
          <t>SÖDERMANLANDS LÄN</t>
        </is>
      </c>
      <c r="E674" t="inlineStr">
        <is>
          <t>KATRINEHOLM</t>
        </is>
      </c>
      <c r="G674" t="n">
        <v>3.8</v>
      </c>
      <c r="H674" t="n">
        <v>0</v>
      </c>
      <c r="I674" t="n">
        <v>0</v>
      </c>
      <c r="J674" t="n">
        <v>0</v>
      </c>
      <c r="K674" t="n">
        <v>0</v>
      </c>
      <c r="L674" t="n">
        <v>0</v>
      </c>
      <c r="M674" t="n">
        <v>0</v>
      </c>
      <c r="N674" t="n">
        <v>0</v>
      </c>
      <c r="O674" t="n">
        <v>0</v>
      </c>
      <c r="P674" t="n">
        <v>0</v>
      </c>
      <c r="Q674" t="n">
        <v>0</v>
      </c>
      <c r="R674" s="2" t="inlineStr"/>
    </row>
    <row r="675" ht="15" customHeight="1">
      <c r="A675" t="inlineStr">
        <is>
          <t>A 53860-2021</t>
        </is>
      </c>
      <c r="B675" s="1" t="n">
        <v>44467</v>
      </c>
      <c r="C675" s="1" t="n">
        <v>45911</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57687-2020</t>
        </is>
      </c>
      <c r="B676" s="1" t="n">
        <v>44140</v>
      </c>
      <c r="C676" s="1" t="n">
        <v>45911</v>
      </c>
      <c r="D676" t="inlineStr">
        <is>
          <t>SÖDERMANLANDS LÄN</t>
        </is>
      </c>
      <c r="E676" t="inlineStr">
        <is>
          <t>KATRINEHOLM</t>
        </is>
      </c>
      <c r="G676" t="n">
        <v>0.7</v>
      </c>
      <c r="H676" t="n">
        <v>0</v>
      </c>
      <c r="I676" t="n">
        <v>0</v>
      </c>
      <c r="J676" t="n">
        <v>0</v>
      </c>
      <c r="K676" t="n">
        <v>0</v>
      </c>
      <c r="L676" t="n">
        <v>0</v>
      </c>
      <c r="M676" t="n">
        <v>0</v>
      </c>
      <c r="N676" t="n">
        <v>0</v>
      </c>
      <c r="O676" t="n">
        <v>0</v>
      </c>
      <c r="P676" t="n">
        <v>0</v>
      </c>
      <c r="Q676" t="n">
        <v>0</v>
      </c>
      <c r="R676" s="2" t="inlineStr"/>
    </row>
    <row r="677" ht="15" customHeight="1">
      <c r="A677" t="inlineStr">
        <is>
          <t>A 20768-2022</t>
        </is>
      </c>
      <c r="B677" s="1" t="n">
        <v>44701.36431712963</v>
      </c>
      <c r="C677" s="1" t="n">
        <v>45911</v>
      </c>
      <c r="D677" t="inlineStr">
        <is>
          <t>SÖDERMANLANDS LÄN</t>
        </is>
      </c>
      <c r="E677" t="inlineStr">
        <is>
          <t>KATRINEHOLM</t>
        </is>
      </c>
      <c r="G677" t="n">
        <v>3.5</v>
      </c>
      <c r="H677" t="n">
        <v>0</v>
      </c>
      <c r="I677" t="n">
        <v>0</v>
      </c>
      <c r="J677" t="n">
        <v>0</v>
      </c>
      <c r="K677" t="n">
        <v>0</v>
      </c>
      <c r="L677" t="n">
        <v>0</v>
      </c>
      <c r="M677" t="n">
        <v>0</v>
      </c>
      <c r="N677" t="n">
        <v>0</v>
      </c>
      <c r="O677" t="n">
        <v>0</v>
      </c>
      <c r="P677" t="n">
        <v>0</v>
      </c>
      <c r="Q677" t="n">
        <v>0</v>
      </c>
      <c r="R677" s="2" t="inlineStr"/>
    </row>
    <row r="678" ht="15" customHeight="1">
      <c r="A678" t="inlineStr">
        <is>
          <t>A 23842-2023</t>
        </is>
      </c>
      <c r="B678" s="1" t="n">
        <v>45075</v>
      </c>
      <c r="C678" s="1" t="n">
        <v>45911</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34263-2023</t>
        </is>
      </c>
      <c r="B679" s="1" t="n">
        <v>45138.60248842592</v>
      </c>
      <c r="C679" s="1" t="n">
        <v>45911</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59308-2020</t>
        </is>
      </c>
      <c r="B680" s="1" t="n">
        <v>44147</v>
      </c>
      <c r="C680" s="1" t="n">
        <v>45911</v>
      </c>
      <c r="D680" t="inlineStr">
        <is>
          <t>SÖDERMANLANDS LÄN</t>
        </is>
      </c>
      <c r="E680" t="inlineStr">
        <is>
          <t>KATRINEHOLM</t>
        </is>
      </c>
      <c r="G680" t="n">
        <v>2</v>
      </c>
      <c r="H680" t="n">
        <v>0</v>
      </c>
      <c r="I680" t="n">
        <v>0</v>
      </c>
      <c r="J680" t="n">
        <v>0</v>
      </c>
      <c r="K680" t="n">
        <v>0</v>
      </c>
      <c r="L680" t="n">
        <v>0</v>
      </c>
      <c r="M680" t="n">
        <v>0</v>
      </c>
      <c r="N680" t="n">
        <v>0</v>
      </c>
      <c r="O680" t="n">
        <v>0</v>
      </c>
      <c r="P680" t="n">
        <v>0</v>
      </c>
      <c r="Q680" t="n">
        <v>0</v>
      </c>
      <c r="R680" s="2" t="inlineStr"/>
    </row>
    <row r="681" ht="15" customHeight="1">
      <c r="A681" t="inlineStr">
        <is>
          <t>A 46899-2022</t>
        </is>
      </c>
      <c r="B681" s="1" t="n">
        <v>44848</v>
      </c>
      <c r="C681" s="1" t="n">
        <v>45911</v>
      </c>
      <c r="D681" t="inlineStr">
        <is>
          <t>SÖDERMANLANDS LÄN</t>
        </is>
      </c>
      <c r="E681" t="inlineStr">
        <is>
          <t>KATRINEHOLM</t>
        </is>
      </c>
      <c r="G681" t="n">
        <v>2</v>
      </c>
      <c r="H681" t="n">
        <v>0</v>
      </c>
      <c r="I681" t="n">
        <v>0</v>
      </c>
      <c r="J681" t="n">
        <v>0</v>
      </c>
      <c r="K681" t="n">
        <v>0</v>
      </c>
      <c r="L681" t="n">
        <v>0</v>
      </c>
      <c r="M681" t="n">
        <v>0</v>
      </c>
      <c r="N681" t="n">
        <v>0</v>
      </c>
      <c r="O681" t="n">
        <v>0</v>
      </c>
      <c r="P681" t="n">
        <v>0</v>
      </c>
      <c r="Q681" t="n">
        <v>0</v>
      </c>
      <c r="R681" s="2" t="inlineStr"/>
    </row>
    <row r="682" ht="15" customHeight="1">
      <c r="A682" t="inlineStr">
        <is>
          <t>A 15284-2023</t>
        </is>
      </c>
      <c r="B682" s="1" t="n">
        <v>45019</v>
      </c>
      <c r="C682" s="1" t="n">
        <v>45911</v>
      </c>
      <c r="D682" t="inlineStr">
        <is>
          <t>SÖDERMANLANDS LÄN</t>
        </is>
      </c>
      <c r="E682" t="inlineStr">
        <is>
          <t>KATRINEHOLM</t>
        </is>
      </c>
      <c r="F682" t="inlineStr">
        <is>
          <t>Allmännings- och besparingsskogar</t>
        </is>
      </c>
      <c r="G682" t="n">
        <v>17.4</v>
      </c>
      <c r="H682" t="n">
        <v>0</v>
      </c>
      <c r="I682" t="n">
        <v>0</v>
      </c>
      <c r="J682" t="n">
        <v>0</v>
      </c>
      <c r="K682" t="n">
        <v>0</v>
      </c>
      <c r="L682" t="n">
        <v>0</v>
      </c>
      <c r="M682" t="n">
        <v>0</v>
      </c>
      <c r="N682" t="n">
        <v>0</v>
      </c>
      <c r="O682" t="n">
        <v>0</v>
      </c>
      <c r="P682" t="n">
        <v>0</v>
      </c>
      <c r="Q682" t="n">
        <v>0</v>
      </c>
      <c r="R682" s="2" t="inlineStr"/>
    </row>
    <row r="683" ht="15" customHeight="1">
      <c r="A683" t="inlineStr">
        <is>
          <t>A 55296-2022</t>
        </is>
      </c>
      <c r="B683" s="1" t="n">
        <v>44887</v>
      </c>
      <c r="C683" s="1" t="n">
        <v>45911</v>
      </c>
      <c r="D683" t="inlineStr">
        <is>
          <t>SÖDERMANLANDS LÄN</t>
        </is>
      </c>
      <c r="E683" t="inlineStr">
        <is>
          <t>KATRINEHOLM</t>
        </is>
      </c>
      <c r="G683" t="n">
        <v>1.4</v>
      </c>
      <c r="H683" t="n">
        <v>0</v>
      </c>
      <c r="I683" t="n">
        <v>0</v>
      </c>
      <c r="J683" t="n">
        <v>0</v>
      </c>
      <c r="K683" t="n">
        <v>0</v>
      </c>
      <c r="L683" t="n">
        <v>0</v>
      </c>
      <c r="M683" t="n">
        <v>0</v>
      </c>
      <c r="N683" t="n">
        <v>0</v>
      </c>
      <c r="O683" t="n">
        <v>0</v>
      </c>
      <c r="P683" t="n">
        <v>0</v>
      </c>
      <c r="Q683" t="n">
        <v>0</v>
      </c>
      <c r="R683" s="2" t="inlineStr"/>
    </row>
    <row r="684" ht="15" customHeight="1">
      <c r="A684" t="inlineStr">
        <is>
          <t>A 51613-2022</t>
        </is>
      </c>
      <c r="B684" s="1" t="n">
        <v>44871</v>
      </c>
      <c r="C684" s="1" t="n">
        <v>45911</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57524-2021</t>
        </is>
      </c>
      <c r="B685" s="1" t="n">
        <v>44483</v>
      </c>
      <c r="C685" s="1" t="n">
        <v>45911</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37834-2023</t>
        </is>
      </c>
      <c r="B686" s="1" t="n">
        <v>45160</v>
      </c>
      <c r="C686" s="1" t="n">
        <v>45911</v>
      </c>
      <c r="D686" t="inlineStr">
        <is>
          <t>SÖDERMANLANDS LÄN</t>
        </is>
      </c>
      <c r="E686" t="inlineStr">
        <is>
          <t>KATRINEHOLM</t>
        </is>
      </c>
      <c r="F686" t="inlineStr">
        <is>
          <t>Kyrkan</t>
        </is>
      </c>
      <c r="G686" t="n">
        <v>2.8</v>
      </c>
      <c r="H686" t="n">
        <v>0</v>
      </c>
      <c r="I686" t="n">
        <v>0</v>
      </c>
      <c r="J686" t="n">
        <v>0</v>
      </c>
      <c r="K686" t="n">
        <v>0</v>
      </c>
      <c r="L686" t="n">
        <v>0</v>
      </c>
      <c r="M686" t="n">
        <v>0</v>
      </c>
      <c r="N686" t="n">
        <v>0</v>
      </c>
      <c r="O686" t="n">
        <v>0</v>
      </c>
      <c r="P686" t="n">
        <v>0</v>
      </c>
      <c r="Q686" t="n">
        <v>0</v>
      </c>
      <c r="R686" s="2" t="inlineStr"/>
    </row>
    <row r="687" ht="15" customHeight="1">
      <c r="A687" t="inlineStr">
        <is>
          <t>A 931-2023</t>
        </is>
      </c>
      <c r="B687" s="1" t="n">
        <v>44932.74261574074</v>
      </c>
      <c r="C687" s="1" t="n">
        <v>45911</v>
      </c>
      <c r="D687" t="inlineStr">
        <is>
          <t>SÖDERMANLANDS LÄN</t>
        </is>
      </c>
      <c r="E687" t="inlineStr">
        <is>
          <t>KATRINEHOLM</t>
        </is>
      </c>
      <c r="G687" t="n">
        <v>4</v>
      </c>
      <c r="H687" t="n">
        <v>0</v>
      </c>
      <c r="I687" t="n">
        <v>0</v>
      </c>
      <c r="J687" t="n">
        <v>0</v>
      </c>
      <c r="K687" t="n">
        <v>0</v>
      </c>
      <c r="L687" t="n">
        <v>0</v>
      </c>
      <c r="M687" t="n">
        <v>0</v>
      </c>
      <c r="N687" t="n">
        <v>0</v>
      </c>
      <c r="O687" t="n">
        <v>0</v>
      </c>
      <c r="P687" t="n">
        <v>0</v>
      </c>
      <c r="Q687" t="n">
        <v>0</v>
      </c>
      <c r="R687" s="2" t="inlineStr"/>
    </row>
    <row r="688" ht="15" customHeight="1">
      <c r="A688" t="inlineStr">
        <is>
          <t>A 55171-2023</t>
        </is>
      </c>
      <c r="B688" s="1" t="n">
        <v>45231</v>
      </c>
      <c r="C688" s="1" t="n">
        <v>45911</v>
      </c>
      <c r="D688" t="inlineStr">
        <is>
          <t>SÖDERMANLANDS LÄN</t>
        </is>
      </c>
      <c r="E688" t="inlineStr">
        <is>
          <t>KATRINEHOLM</t>
        </is>
      </c>
      <c r="G688" t="n">
        <v>4.2</v>
      </c>
      <c r="H688" t="n">
        <v>0</v>
      </c>
      <c r="I688" t="n">
        <v>0</v>
      </c>
      <c r="J688" t="n">
        <v>0</v>
      </c>
      <c r="K688" t="n">
        <v>0</v>
      </c>
      <c r="L688" t="n">
        <v>0</v>
      </c>
      <c r="M688" t="n">
        <v>0</v>
      </c>
      <c r="N688" t="n">
        <v>0</v>
      </c>
      <c r="O688" t="n">
        <v>0</v>
      </c>
      <c r="P688" t="n">
        <v>0</v>
      </c>
      <c r="Q688" t="n">
        <v>0</v>
      </c>
      <c r="R688" s="2" t="inlineStr"/>
    </row>
    <row r="689" ht="15" customHeight="1">
      <c r="A689" t="inlineStr">
        <is>
          <t>A 8475-2023</t>
        </is>
      </c>
      <c r="B689" s="1" t="n">
        <v>44977</v>
      </c>
      <c r="C689" s="1" t="n">
        <v>45911</v>
      </c>
      <c r="D689" t="inlineStr">
        <is>
          <t>SÖDERMANLANDS LÄN</t>
        </is>
      </c>
      <c r="E689" t="inlineStr">
        <is>
          <t>KATRINEHOLM</t>
        </is>
      </c>
      <c r="F689" t="inlineStr">
        <is>
          <t>Allmännings- och besparingsskogar</t>
        </is>
      </c>
      <c r="G689" t="n">
        <v>8.1</v>
      </c>
      <c r="H689" t="n">
        <v>0</v>
      </c>
      <c r="I689" t="n">
        <v>0</v>
      </c>
      <c r="J689" t="n">
        <v>0</v>
      </c>
      <c r="K689" t="n">
        <v>0</v>
      </c>
      <c r="L689" t="n">
        <v>0</v>
      </c>
      <c r="M689" t="n">
        <v>0</v>
      </c>
      <c r="N689" t="n">
        <v>0</v>
      </c>
      <c r="O689" t="n">
        <v>0</v>
      </c>
      <c r="P689" t="n">
        <v>0</v>
      </c>
      <c r="Q689" t="n">
        <v>0</v>
      </c>
      <c r="R689" s="2" t="inlineStr"/>
    </row>
    <row r="690" ht="15" customHeight="1">
      <c r="A690" t="inlineStr">
        <is>
          <t>A 32890-2024</t>
        </is>
      </c>
      <c r="B690" s="1" t="n">
        <v>45516</v>
      </c>
      <c r="C690" s="1" t="n">
        <v>45911</v>
      </c>
      <c r="D690" t="inlineStr">
        <is>
          <t>SÖDERMANLANDS LÄN</t>
        </is>
      </c>
      <c r="E690" t="inlineStr">
        <is>
          <t>KATRINEHOLM</t>
        </is>
      </c>
      <c r="G690" t="n">
        <v>2.6</v>
      </c>
      <c r="H690" t="n">
        <v>0</v>
      </c>
      <c r="I690" t="n">
        <v>0</v>
      </c>
      <c r="J690" t="n">
        <v>0</v>
      </c>
      <c r="K690" t="n">
        <v>0</v>
      </c>
      <c r="L690" t="n">
        <v>0</v>
      </c>
      <c r="M690" t="n">
        <v>0</v>
      </c>
      <c r="N690" t="n">
        <v>0</v>
      </c>
      <c r="O690" t="n">
        <v>0</v>
      </c>
      <c r="P690" t="n">
        <v>0</v>
      </c>
      <c r="Q690" t="n">
        <v>0</v>
      </c>
      <c r="R690" s="2" t="inlineStr"/>
    </row>
    <row r="691" ht="15" customHeight="1">
      <c r="A691" t="inlineStr">
        <is>
          <t>A 2320-2023</t>
        </is>
      </c>
      <c r="B691" s="1" t="n">
        <v>44942.58850694444</v>
      </c>
      <c r="C691" s="1" t="n">
        <v>45911</v>
      </c>
      <c r="D691" t="inlineStr">
        <is>
          <t>SÖDERMANLANDS LÄN</t>
        </is>
      </c>
      <c r="E691" t="inlineStr">
        <is>
          <t>KATRINEHOLM</t>
        </is>
      </c>
      <c r="G691" t="n">
        <v>1.9</v>
      </c>
      <c r="H691" t="n">
        <v>0</v>
      </c>
      <c r="I691" t="n">
        <v>0</v>
      </c>
      <c r="J691" t="n">
        <v>0</v>
      </c>
      <c r="K691" t="n">
        <v>0</v>
      </c>
      <c r="L691" t="n">
        <v>0</v>
      </c>
      <c r="M691" t="n">
        <v>0</v>
      </c>
      <c r="N691" t="n">
        <v>0</v>
      </c>
      <c r="O691" t="n">
        <v>0</v>
      </c>
      <c r="P691" t="n">
        <v>0</v>
      </c>
      <c r="Q691" t="n">
        <v>0</v>
      </c>
      <c r="R691" s="2" t="inlineStr"/>
    </row>
    <row r="692" ht="15" customHeight="1">
      <c r="A692" t="inlineStr">
        <is>
          <t>A 59898-2022</t>
        </is>
      </c>
      <c r="B692" s="1" t="n">
        <v>44908</v>
      </c>
      <c r="C692" s="1" t="n">
        <v>45911</v>
      </c>
      <c r="D692" t="inlineStr">
        <is>
          <t>SÖDERMANLANDS LÄN</t>
        </is>
      </c>
      <c r="E692" t="inlineStr">
        <is>
          <t>KATRINEHOLM</t>
        </is>
      </c>
      <c r="G692" t="n">
        <v>4.8</v>
      </c>
      <c r="H692" t="n">
        <v>0</v>
      </c>
      <c r="I692" t="n">
        <v>0</v>
      </c>
      <c r="J692" t="n">
        <v>0</v>
      </c>
      <c r="K692" t="n">
        <v>0</v>
      </c>
      <c r="L692" t="n">
        <v>0</v>
      </c>
      <c r="M692" t="n">
        <v>0</v>
      </c>
      <c r="N692" t="n">
        <v>0</v>
      </c>
      <c r="O692" t="n">
        <v>0</v>
      </c>
      <c r="P692" t="n">
        <v>0</v>
      </c>
      <c r="Q692" t="n">
        <v>0</v>
      </c>
      <c r="R692" s="2" t="inlineStr"/>
    </row>
    <row r="693" ht="15" customHeight="1">
      <c r="A693" t="inlineStr">
        <is>
          <t>A 53393-2023</t>
        </is>
      </c>
      <c r="B693" s="1" t="n">
        <v>45229</v>
      </c>
      <c r="C693" s="1" t="n">
        <v>45911</v>
      </c>
      <c r="D693" t="inlineStr">
        <is>
          <t>SÖDERMANLANDS LÄN</t>
        </is>
      </c>
      <c r="E693" t="inlineStr">
        <is>
          <t>KATRINEHOLM</t>
        </is>
      </c>
      <c r="F693" t="inlineStr">
        <is>
          <t>Kyrkan</t>
        </is>
      </c>
      <c r="G693" t="n">
        <v>5.6</v>
      </c>
      <c r="H693" t="n">
        <v>0</v>
      </c>
      <c r="I693" t="n">
        <v>0</v>
      </c>
      <c r="J693" t="n">
        <v>0</v>
      </c>
      <c r="K693" t="n">
        <v>0</v>
      </c>
      <c r="L693" t="n">
        <v>0</v>
      </c>
      <c r="M693" t="n">
        <v>0</v>
      </c>
      <c r="N693" t="n">
        <v>0</v>
      </c>
      <c r="O693" t="n">
        <v>0</v>
      </c>
      <c r="P693" t="n">
        <v>0</v>
      </c>
      <c r="Q693" t="n">
        <v>0</v>
      </c>
      <c r="R693" s="2" t="inlineStr"/>
    </row>
    <row r="694" ht="15" customHeight="1">
      <c r="A694" t="inlineStr">
        <is>
          <t>A 20326-2023</t>
        </is>
      </c>
      <c r="B694" s="1" t="n">
        <v>45056.46821759259</v>
      </c>
      <c r="C694" s="1" t="n">
        <v>45911</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45911</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45246-2023</t>
        </is>
      </c>
      <c r="B696" s="1" t="n">
        <v>45191</v>
      </c>
      <c r="C696" s="1" t="n">
        <v>45911</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2735-2025</t>
        </is>
      </c>
      <c r="B697" s="1" t="n">
        <v>45677</v>
      </c>
      <c r="C697" s="1" t="n">
        <v>45911</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49914-2023</t>
        </is>
      </c>
      <c r="B698" s="1" t="n">
        <v>45214</v>
      </c>
      <c r="C698" s="1" t="n">
        <v>45911</v>
      </c>
      <c r="D698" t="inlineStr">
        <is>
          <t>SÖDERMANLANDS LÄN</t>
        </is>
      </c>
      <c r="E698" t="inlineStr">
        <is>
          <t>KATRINEHOLM</t>
        </is>
      </c>
      <c r="G698" t="n">
        <v>1.4</v>
      </c>
      <c r="H698" t="n">
        <v>0</v>
      </c>
      <c r="I698" t="n">
        <v>0</v>
      </c>
      <c r="J698" t="n">
        <v>0</v>
      </c>
      <c r="K698" t="n">
        <v>0</v>
      </c>
      <c r="L698" t="n">
        <v>0</v>
      </c>
      <c r="M698" t="n">
        <v>0</v>
      </c>
      <c r="N698" t="n">
        <v>0</v>
      </c>
      <c r="O698" t="n">
        <v>0</v>
      </c>
      <c r="P698" t="n">
        <v>0</v>
      </c>
      <c r="Q698" t="n">
        <v>0</v>
      </c>
      <c r="R698" s="2" t="inlineStr"/>
    </row>
    <row r="699" ht="15" customHeight="1">
      <c r="A699" t="inlineStr">
        <is>
          <t>A 17335-2023</t>
        </is>
      </c>
      <c r="B699" s="1" t="n">
        <v>45033</v>
      </c>
      <c r="C699" s="1" t="n">
        <v>45911</v>
      </c>
      <c r="D699" t="inlineStr">
        <is>
          <t>SÖDERMANLANDS LÄN</t>
        </is>
      </c>
      <c r="E699" t="inlineStr">
        <is>
          <t>KATRINEHOLM</t>
        </is>
      </c>
      <c r="G699" t="n">
        <v>3.3</v>
      </c>
      <c r="H699" t="n">
        <v>0</v>
      </c>
      <c r="I699" t="n">
        <v>0</v>
      </c>
      <c r="J699" t="n">
        <v>0</v>
      </c>
      <c r="K699" t="n">
        <v>0</v>
      </c>
      <c r="L699" t="n">
        <v>0</v>
      </c>
      <c r="M699" t="n">
        <v>0</v>
      </c>
      <c r="N699" t="n">
        <v>0</v>
      </c>
      <c r="O699" t="n">
        <v>0</v>
      </c>
      <c r="P699" t="n">
        <v>0</v>
      </c>
      <c r="Q699" t="n">
        <v>0</v>
      </c>
      <c r="R699" s="2" t="inlineStr"/>
    </row>
    <row r="700" ht="15" customHeight="1">
      <c r="A700" t="inlineStr">
        <is>
          <t>A 23031-2024</t>
        </is>
      </c>
      <c r="B700" s="1" t="n">
        <v>45450.38120370371</v>
      </c>
      <c r="C700" s="1" t="n">
        <v>45911</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16605-2025</t>
        </is>
      </c>
      <c r="B701" s="1" t="n">
        <v>45753.61614583333</v>
      </c>
      <c r="C701" s="1" t="n">
        <v>45911</v>
      </c>
      <c r="D701" t="inlineStr">
        <is>
          <t>SÖDERMANLANDS LÄN</t>
        </is>
      </c>
      <c r="E701" t="inlineStr">
        <is>
          <t>KATRINEHOLM</t>
        </is>
      </c>
      <c r="G701" t="n">
        <v>5.2</v>
      </c>
      <c r="H701" t="n">
        <v>0</v>
      </c>
      <c r="I701" t="n">
        <v>0</v>
      </c>
      <c r="J701" t="n">
        <v>0</v>
      </c>
      <c r="K701" t="n">
        <v>0</v>
      </c>
      <c r="L701" t="n">
        <v>0</v>
      </c>
      <c r="M701" t="n">
        <v>0</v>
      </c>
      <c r="N701" t="n">
        <v>0</v>
      </c>
      <c r="O701" t="n">
        <v>0</v>
      </c>
      <c r="P701" t="n">
        <v>0</v>
      </c>
      <c r="Q701" t="n">
        <v>0</v>
      </c>
      <c r="R701" s="2" t="inlineStr"/>
    </row>
    <row r="702" ht="15" customHeight="1">
      <c r="A702" t="inlineStr">
        <is>
          <t>A 22506-2023</t>
        </is>
      </c>
      <c r="B702" s="1" t="n">
        <v>45071.37393518518</v>
      </c>
      <c r="C702" s="1" t="n">
        <v>45911</v>
      </c>
      <c r="D702" t="inlineStr">
        <is>
          <t>SÖDERMANLANDS LÄN</t>
        </is>
      </c>
      <c r="E702" t="inlineStr">
        <is>
          <t>KATRINEHOLM</t>
        </is>
      </c>
      <c r="F702" t="inlineStr">
        <is>
          <t>Kyrkan</t>
        </is>
      </c>
      <c r="G702" t="n">
        <v>5.9</v>
      </c>
      <c r="H702" t="n">
        <v>0</v>
      </c>
      <c r="I702" t="n">
        <v>0</v>
      </c>
      <c r="J702" t="n">
        <v>0</v>
      </c>
      <c r="K702" t="n">
        <v>0</v>
      </c>
      <c r="L702" t="n">
        <v>0</v>
      </c>
      <c r="M702" t="n">
        <v>0</v>
      </c>
      <c r="N702" t="n">
        <v>0</v>
      </c>
      <c r="O702" t="n">
        <v>0</v>
      </c>
      <c r="P702" t="n">
        <v>0</v>
      </c>
      <c r="Q702" t="n">
        <v>0</v>
      </c>
      <c r="R702" s="2" t="inlineStr"/>
    </row>
    <row r="703" ht="15" customHeight="1">
      <c r="A703" t="inlineStr">
        <is>
          <t>A 12888-2025</t>
        </is>
      </c>
      <c r="B703" s="1" t="n">
        <v>45733</v>
      </c>
      <c r="C703" s="1" t="n">
        <v>45911</v>
      </c>
      <c r="D703" t="inlineStr">
        <is>
          <t>SÖDERMANLANDS LÄN</t>
        </is>
      </c>
      <c r="E703" t="inlineStr">
        <is>
          <t>KATRINEHOLM</t>
        </is>
      </c>
      <c r="G703" t="n">
        <v>1.6</v>
      </c>
      <c r="H703" t="n">
        <v>0</v>
      </c>
      <c r="I703" t="n">
        <v>0</v>
      </c>
      <c r="J703" t="n">
        <v>0</v>
      </c>
      <c r="K703" t="n">
        <v>0</v>
      </c>
      <c r="L703" t="n">
        <v>0</v>
      </c>
      <c r="M703" t="n">
        <v>0</v>
      </c>
      <c r="N703" t="n">
        <v>0</v>
      </c>
      <c r="O703" t="n">
        <v>0</v>
      </c>
      <c r="P703" t="n">
        <v>0</v>
      </c>
      <c r="Q703" t="n">
        <v>0</v>
      </c>
      <c r="R703" s="2" t="inlineStr"/>
    </row>
    <row r="704" ht="15" customHeight="1">
      <c r="A704" t="inlineStr">
        <is>
          <t>A 33141-2023</t>
        </is>
      </c>
      <c r="B704" s="1" t="n">
        <v>45126.65491898148</v>
      </c>
      <c r="C704" s="1" t="n">
        <v>45911</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22345-2023</t>
        </is>
      </c>
      <c r="B705" s="1" t="n">
        <v>45070</v>
      </c>
      <c r="C705" s="1" t="n">
        <v>45911</v>
      </c>
      <c r="D705" t="inlineStr">
        <is>
          <t>SÖDERMANLANDS LÄN</t>
        </is>
      </c>
      <c r="E705" t="inlineStr">
        <is>
          <t>KATRINEHOLM</t>
        </is>
      </c>
      <c r="F705" t="inlineStr">
        <is>
          <t>Holmen skog AB</t>
        </is>
      </c>
      <c r="G705" t="n">
        <v>2</v>
      </c>
      <c r="H705" t="n">
        <v>0</v>
      </c>
      <c r="I705" t="n">
        <v>0</v>
      </c>
      <c r="J705" t="n">
        <v>0</v>
      </c>
      <c r="K705" t="n">
        <v>0</v>
      </c>
      <c r="L705" t="n">
        <v>0</v>
      </c>
      <c r="M705" t="n">
        <v>0</v>
      </c>
      <c r="N705" t="n">
        <v>0</v>
      </c>
      <c r="O705" t="n">
        <v>0</v>
      </c>
      <c r="P705" t="n">
        <v>0</v>
      </c>
      <c r="Q705" t="n">
        <v>0</v>
      </c>
      <c r="R705" s="2" t="inlineStr"/>
    </row>
    <row r="706" ht="15" customHeight="1">
      <c r="A706" t="inlineStr">
        <is>
          <t>A 58528-2024</t>
        </is>
      </c>
      <c r="B706" s="1" t="n">
        <v>45635.44527777778</v>
      </c>
      <c r="C706" s="1" t="n">
        <v>45911</v>
      </c>
      <c r="D706" t="inlineStr">
        <is>
          <t>SÖDERMANLANDS LÄN</t>
        </is>
      </c>
      <c r="E706" t="inlineStr">
        <is>
          <t>KATRINEHOLM</t>
        </is>
      </c>
      <c r="G706" t="n">
        <v>2.4</v>
      </c>
      <c r="H706" t="n">
        <v>0</v>
      </c>
      <c r="I706" t="n">
        <v>0</v>
      </c>
      <c r="J706" t="n">
        <v>0</v>
      </c>
      <c r="K706" t="n">
        <v>0</v>
      </c>
      <c r="L706" t="n">
        <v>0</v>
      </c>
      <c r="M706" t="n">
        <v>0</v>
      </c>
      <c r="N706" t="n">
        <v>0</v>
      </c>
      <c r="O706" t="n">
        <v>0</v>
      </c>
      <c r="P706" t="n">
        <v>0</v>
      </c>
      <c r="Q706" t="n">
        <v>0</v>
      </c>
      <c r="R706" s="2" t="inlineStr"/>
    </row>
    <row r="707" ht="15" customHeight="1">
      <c r="A707" t="inlineStr">
        <is>
          <t>A 9899-2023</t>
        </is>
      </c>
      <c r="B707" s="1" t="n">
        <v>44985</v>
      </c>
      <c r="C707" s="1" t="n">
        <v>45911</v>
      </c>
      <c r="D707" t="inlineStr">
        <is>
          <t>SÖDERMANLANDS LÄN</t>
        </is>
      </c>
      <c r="E707" t="inlineStr">
        <is>
          <t>KATRINEHOLM</t>
        </is>
      </c>
      <c r="F707" t="inlineStr">
        <is>
          <t>Allmännings- och besparingsskogar</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48877-2022</t>
        </is>
      </c>
      <c r="B708" s="1" t="n">
        <v>44859</v>
      </c>
      <c r="C708" s="1" t="n">
        <v>45911</v>
      </c>
      <c r="D708" t="inlineStr">
        <is>
          <t>SÖDERMANLANDS LÄN</t>
        </is>
      </c>
      <c r="E708" t="inlineStr">
        <is>
          <t>KATRINEHOLM</t>
        </is>
      </c>
      <c r="G708" t="n">
        <v>1</v>
      </c>
      <c r="H708" t="n">
        <v>0</v>
      </c>
      <c r="I708" t="n">
        <v>0</v>
      </c>
      <c r="J708" t="n">
        <v>0</v>
      </c>
      <c r="K708" t="n">
        <v>0</v>
      </c>
      <c r="L708" t="n">
        <v>0</v>
      </c>
      <c r="M708" t="n">
        <v>0</v>
      </c>
      <c r="N708" t="n">
        <v>0</v>
      </c>
      <c r="O708" t="n">
        <v>0</v>
      </c>
      <c r="P708" t="n">
        <v>0</v>
      </c>
      <c r="Q708" t="n">
        <v>0</v>
      </c>
      <c r="R708" s="2" t="inlineStr"/>
    </row>
    <row r="709" ht="15" customHeight="1">
      <c r="A709" t="inlineStr">
        <is>
          <t>A 8288-2023</t>
        </is>
      </c>
      <c r="B709" s="1" t="n">
        <v>44974</v>
      </c>
      <c r="C709" s="1" t="n">
        <v>45911</v>
      </c>
      <c r="D709" t="inlineStr">
        <is>
          <t>SÖDERMANLANDS LÄN</t>
        </is>
      </c>
      <c r="E709" t="inlineStr">
        <is>
          <t>KATRINEHOLM</t>
        </is>
      </c>
      <c r="F709" t="inlineStr">
        <is>
          <t>Allmännings- och besparingsskogar</t>
        </is>
      </c>
      <c r="G709" t="n">
        <v>5.6</v>
      </c>
      <c r="H709" t="n">
        <v>0</v>
      </c>
      <c r="I709" t="n">
        <v>0</v>
      </c>
      <c r="J709" t="n">
        <v>0</v>
      </c>
      <c r="K709" t="n">
        <v>0</v>
      </c>
      <c r="L709" t="n">
        <v>0</v>
      </c>
      <c r="M709" t="n">
        <v>0</v>
      </c>
      <c r="N709" t="n">
        <v>0</v>
      </c>
      <c r="O709" t="n">
        <v>0</v>
      </c>
      <c r="P709" t="n">
        <v>0</v>
      </c>
      <c r="Q709" t="n">
        <v>0</v>
      </c>
      <c r="R709" s="2" t="inlineStr"/>
    </row>
    <row r="710" ht="15" customHeight="1">
      <c r="A710" t="inlineStr">
        <is>
          <t>A 19868-2022</t>
        </is>
      </c>
      <c r="B710" s="1" t="n">
        <v>44696</v>
      </c>
      <c r="C710" s="1" t="n">
        <v>45911</v>
      </c>
      <c r="D710" t="inlineStr">
        <is>
          <t>SÖDERMANLANDS LÄN</t>
        </is>
      </c>
      <c r="E710" t="inlineStr">
        <is>
          <t>KATRINEHOLM</t>
        </is>
      </c>
      <c r="G710" t="n">
        <v>13</v>
      </c>
      <c r="H710" t="n">
        <v>0</v>
      </c>
      <c r="I710" t="n">
        <v>0</v>
      </c>
      <c r="J710" t="n">
        <v>0</v>
      </c>
      <c r="K710" t="n">
        <v>0</v>
      </c>
      <c r="L710" t="n">
        <v>0</v>
      </c>
      <c r="M710" t="n">
        <v>0</v>
      </c>
      <c r="N710" t="n">
        <v>0</v>
      </c>
      <c r="O710" t="n">
        <v>0</v>
      </c>
      <c r="P710" t="n">
        <v>0</v>
      </c>
      <c r="Q710" t="n">
        <v>0</v>
      </c>
      <c r="R710" s="2" t="inlineStr"/>
    </row>
    <row r="711" ht="15" customHeight="1">
      <c r="A711" t="inlineStr">
        <is>
          <t>A 3317-2023</t>
        </is>
      </c>
      <c r="B711" s="1" t="n">
        <v>44945</v>
      </c>
      <c r="C711" s="1" t="n">
        <v>45911</v>
      </c>
      <c r="D711" t="inlineStr">
        <is>
          <t>SÖDERMANLANDS LÄN</t>
        </is>
      </c>
      <c r="E711" t="inlineStr">
        <is>
          <t>KATRINEHOLM</t>
        </is>
      </c>
      <c r="G711" t="n">
        <v>3.2</v>
      </c>
      <c r="H711" t="n">
        <v>0</v>
      </c>
      <c r="I711" t="n">
        <v>0</v>
      </c>
      <c r="J711" t="n">
        <v>0</v>
      </c>
      <c r="K711" t="n">
        <v>0</v>
      </c>
      <c r="L711" t="n">
        <v>0</v>
      </c>
      <c r="M711" t="n">
        <v>0</v>
      </c>
      <c r="N711" t="n">
        <v>0</v>
      </c>
      <c r="O711" t="n">
        <v>0</v>
      </c>
      <c r="P711" t="n">
        <v>0</v>
      </c>
      <c r="Q711" t="n">
        <v>0</v>
      </c>
      <c r="R711" s="2" t="inlineStr"/>
    </row>
    <row r="712" ht="15" customHeight="1">
      <c r="A712" t="inlineStr">
        <is>
          <t>A 37185-2023</t>
        </is>
      </c>
      <c r="B712" s="1" t="n">
        <v>45154</v>
      </c>
      <c r="C712" s="1" t="n">
        <v>45911</v>
      </c>
      <c r="D712" t="inlineStr">
        <is>
          <t>SÖDERMANLANDS LÄN</t>
        </is>
      </c>
      <c r="E712" t="inlineStr">
        <is>
          <t>KATRINEHOLM</t>
        </is>
      </c>
      <c r="G712" t="n">
        <v>3</v>
      </c>
      <c r="H712" t="n">
        <v>0</v>
      </c>
      <c r="I712" t="n">
        <v>0</v>
      </c>
      <c r="J712" t="n">
        <v>0</v>
      </c>
      <c r="K712" t="n">
        <v>0</v>
      </c>
      <c r="L712" t="n">
        <v>0</v>
      </c>
      <c r="M712" t="n">
        <v>0</v>
      </c>
      <c r="N712" t="n">
        <v>0</v>
      </c>
      <c r="O712" t="n">
        <v>0</v>
      </c>
      <c r="P712" t="n">
        <v>0</v>
      </c>
      <c r="Q712" t="n">
        <v>0</v>
      </c>
      <c r="R712" s="2" t="inlineStr"/>
    </row>
    <row r="713" ht="15" customHeight="1">
      <c r="A713" t="inlineStr">
        <is>
          <t>A 51848-2022</t>
        </is>
      </c>
      <c r="B713" s="1" t="n">
        <v>44872.57752314815</v>
      </c>
      <c r="C713" s="1" t="n">
        <v>45911</v>
      </c>
      <c r="D713" t="inlineStr">
        <is>
          <t>SÖDERMANLANDS LÄN</t>
        </is>
      </c>
      <c r="E713" t="inlineStr">
        <is>
          <t>KATRINEHOLM</t>
        </is>
      </c>
      <c r="G713" t="n">
        <v>1.8</v>
      </c>
      <c r="H713" t="n">
        <v>0</v>
      </c>
      <c r="I713" t="n">
        <v>0</v>
      </c>
      <c r="J713" t="n">
        <v>0</v>
      </c>
      <c r="K713" t="n">
        <v>0</v>
      </c>
      <c r="L713" t="n">
        <v>0</v>
      </c>
      <c r="M713" t="n">
        <v>0</v>
      </c>
      <c r="N713" t="n">
        <v>0</v>
      </c>
      <c r="O713" t="n">
        <v>0</v>
      </c>
      <c r="P713" t="n">
        <v>0</v>
      </c>
      <c r="Q713" t="n">
        <v>0</v>
      </c>
      <c r="R713" s="2" t="inlineStr"/>
    </row>
    <row r="714" ht="15" customHeight="1">
      <c r="A714" t="inlineStr">
        <is>
          <t>A 63188-2021</t>
        </is>
      </c>
      <c r="B714" s="1" t="n">
        <v>44507.56865740741</v>
      </c>
      <c r="C714" s="1" t="n">
        <v>45911</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49218-2023</t>
        </is>
      </c>
      <c r="B715" s="1" t="n">
        <v>45205</v>
      </c>
      <c r="C715" s="1" t="n">
        <v>45911</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63677-2020</t>
        </is>
      </c>
      <c r="B716" s="1" t="n">
        <v>44166</v>
      </c>
      <c r="C716" s="1" t="n">
        <v>45911</v>
      </c>
      <c r="D716" t="inlineStr">
        <is>
          <t>SÖDERMANLANDS LÄN</t>
        </is>
      </c>
      <c r="E716" t="inlineStr">
        <is>
          <t>KATRINEHOLM</t>
        </is>
      </c>
      <c r="F716" t="inlineStr">
        <is>
          <t>Holmen skog AB</t>
        </is>
      </c>
      <c r="G716" t="n">
        <v>2</v>
      </c>
      <c r="H716" t="n">
        <v>0</v>
      </c>
      <c r="I716" t="n">
        <v>0</v>
      </c>
      <c r="J716" t="n">
        <v>0</v>
      </c>
      <c r="K716" t="n">
        <v>0</v>
      </c>
      <c r="L716" t="n">
        <v>0</v>
      </c>
      <c r="M716" t="n">
        <v>0</v>
      </c>
      <c r="N716" t="n">
        <v>0</v>
      </c>
      <c r="O716" t="n">
        <v>0</v>
      </c>
      <c r="P716" t="n">
        <v>0</v>
      </c>
      <c r="Q716" t="n">
        <v>0</v>
      </c>
      <c r="R716" s="2" t="inlineStr"/>
    </row>
    <row r="717" ht="15" customHeight="1">
      <c r="A717" t="inlineStr">
        <is>
          <t>A 29843-2023</t>
        </is>
      </c>
      <c r="B717" s="1" t="n">
        <v>45107</v>
      </c>
      <c r="C717" s="1" t="n">
        <v>45911</v>
      </c>
      <c r="D717" t="inlineStr">
        <is>
          <t>SÖDERMANLANDS LÄN</t>
        </is>
      </c>
      <c r="E717" t="inlineStr">
        <is>
          <t>KATRINEHOLM</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49341-2024</t>
        </is>
      </c>
      <c r="B718" s="1" t="n">
        <v>45595</v>
      </c>
      <c r="C718" s="1" t="n">
        <v>45911</v>
      </c>
      <c r="D718" t="inlineStr">
        <is>
          <t>SÖDERMANLANDS LÄN</t>
        </is>
      </c>
      <c r="E718" t="inlineStr">
        <is>
          <t>KATRINEHOLM</t>
        </is>
      </c>
      <c r="G718" t="n">
        <v>10</v>
      </c>
      <c r="H718" t="n">
        <v>0</v>
      </c>
      <c r="I718" t="n">
        <v>0</v>
      </c>
      <c r="J718" t="n">
        <v>0</v>
      </c>
      <c r="K718" t="n">
        <v>0</v>
      </c>
      <c r="L718" t="n">
        <v>0</v>
      </c>
      <c r="M718" t="n">
        <v>0</v>
      </c>
      <c r="N718" t="n">
        <v>0</v>
      </c>
      <c r="O718" t="n">
        <v>0</v>
      </c>
      <c r="P718" t="n">
        <v>0</v>
      </c>
      <c r="Q718" t="n">
        <v>0</v>
      </c>
      <c r="R718" s="2" t="inlineStr"/>
    </row>
    <row r="719" ht="15" customHeight="1">
      <c r="A719" t="inlineStr">
        <is>
          <t>A 5834-2025</t>
        </is>
      </c>
      <c r="B719" s="1" t="n">
        <v>45694</v>
      </c>
      <c r="C719" s="1" t="n">
        <v>45911</v>
      </c>
      <c r="D719" t="inlineStr">
        <is>
          <t>SÖDERMANLANDS LÄN</t>
        </is>
      </c>
      <c r="E719" t="inlineStr">
        <is>
          <t>KATRINEHOLM</t>
        </is>
      </c>
      <c r="G719" t="n">
        <v>3.3</v>
      </c>
      <c r="H719" t="n">
        <v>0</v>
      </c>
      <c r="I719" t="n">
        <v>0</v>
      </c>
      <c r="J719" t="n">
        <v>0</v>
      </c>
      <c r="K719" t="n">
        <v>0</v>
      </c>
      <c r="L719" t="n">
        <v>0</v>
      </c>
      <c r="M719" t="n">
        <v>0</v>
      </c>
      <c r="N719" t="n">
        <v>0</v>
      </c>
      <c r="O719" t="n">
        <v>0</v>
      </c>
      <c r="P719" t="n">
        <v>0</v>
      </c>
      <c r="Q719" t="n">
        <v>0</v>
      </c>
      <c r="R719" s="2" t="inlineStr"/>
    </row>
    <row r="720" ht="15" customHeight="1">
      <c r="A720" t="inlineStr">
        <is>
          <t>A 45530-2023</t>
        </is>
      </c>
      <c r="B720" s="1" t="n">
        <v>45188</v>
      </c>
      <c r="C720" s="1" t="n">
        <v>45911</v>
      </c>
      <c r="D720" t="inlineStr">
        <is>
          <t>SÖDERMANLANDS LÄN</t>
        </is>
      </c>
      <c r="E720" t="inlineStr">
        <is>
          <t>KATRINEHOLM</t>
        </is>
      </c>
      <c r="F720" t="inlineStr">
        <is>
          <t>Allmännings- och besparingsskogar</t>
        </is>
      </c>
      <c r="G720" t="n">
        <v>37</v>
      </c>
      <c r="H720" t="n">
        <v>0</v>
      </c>
      <c r="I720" t="n">
        <v>0</v>
      </c>
      <c r="J720" t="n">
        <v>0</v>
      </c>
      <c r="K720" t="n">
        <v>0</v>
      </c>
      <c r="L720" t="n">
        <v>0</v>
      </c>
      <c r="M720" t="n">
        <v>0</v>
      </c>
      <c r="N720" t="n">
        <v>0</v>
      </c>
      <c r="O720" t="n">
        <v>0</v>
      </c>
      <c r="P720" t="n">
        <v>0</v>
      </c>
      <c r="Q720" t="n">
        <v>0</v>
      </c>
      <c r="R720" s="2" t="inlineStr"/>
    </row>
    <row r="721" ht="15" customHeight="1">
      <c r="A721" t="inlineStr">
        <is>
          <t>A 34981-2023</t>
        </is>
      </c>
      <c r="B721" s="1" t="n">
        <v>45142</v>
      </c>
      <c r="C721" s="1" t="n">
        <v>45911</v>
      </c>
      <c r="D721" t="inlineStr">
        <is>
          <t>SÖDERMANLANDS LÄN</t>
        </is>
      </c>
      <c r="E721" t="inlineStr">
        <is>
          <t>KATRINEHOLM</t>
        </is>
      </c>
      <c r="G721" t="n">
        <v>10</v>
      </c>
      <c r="H721" t="n">
        <v>0</v>
      </c>
      <c r="I721" t="n">
        <v>0</v>
      </c>
      <c r="J721" t="n">
        <v>0</v>
      </c>
      <c r="K721" t="n">
        <v>0</v>
      </c>
      <c r="L721" t="n">
        <v>0</v>
      </c>
      <c r="M721" t="n">
        <v>0</v>
      </c>
      <c r="N721" t="n">
        <v>0</v>
      </c>
      <c r="O721" t="n">
        <v>0</v>
      </c>
      <c r="P721" t="n">
        <v>0</v>
      </c>
      <c r="Q721" t="n">
        <v>0</v>
      </c>
      <c r="R721" s="2" t="inlineStr"/>
    </row>
    <row r="722" ht="15" customHeight="1">
      <c r="A722" t="inlineStr">
        <is>
          <t>A 73412-2021</t>
        </is>
      </c>
      <c r="B722" s="1" t="n">
        <v>44551</v>
      </c>
      <c r="C722" s="1" t="n">
        <v>45911</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53750-2022</t>
        </is>
      </c>
      <c r="B723" s="1" t="n">
        <v>44875</v>
      </c>
      <c r="C723" s="1" t="n">
        <v>45911</v>
      </c>
      <c r="D723" t="inlineStr">
        <is>
          <t>SÖDERMANLANDS LÄN</t>
        </is>
      </c>
      <c r="E723" t="inlineStr">
        <is>
          <t>KATRINEHOLM</t>
        </is>
      </c>
      <c r="F723" t="inlineStr">
        <is>
          <t>Övriga Aktiebolag</t>
        </is>
      </c>
      <c r="G723" t="n">
        <v>12.6</v>
      </c>
      <c r="H723" t="n">
        <v>0</v>
      </c>
      <c r="I723" t="n">
        <v>0</v>
      </c>
      <c r="J723" t="n">
        <v>0</v>
      </c>
      <c r="K723" t="n">
        <v>0</v>
      </c>
      <c r="L723" t="n">
        <v>0</v>
      </c>
      <c r="M723" t="n">
        <v>0</v>
      </c>
      <c r="N723" t="n">
        <v>0</v>
      </c>
      <c r="O723" t="n">
        <v>0</v>
      </c>
      <c r="P723" t="n">
        <v>0</v>
      </c>
      <c r="Q723" t="n">
        <v>0</v>
      </c>
      <c r="R723" s="2" t="inlineStr"/>
    </row>
    <row r="724" ht="15" customHeight="1">
      <c r="A724" t="inlineStr">
        <is>
          <t>A 14245-2024</t>
        </is>
      </c>
      <c r="B724" s="1" t="n">
        <v>45393</v>
      </c>
      <c r="C724" s="1" t="n">
        <v>45911</v>
      </c>
      <c r="D724" t="inlineStr">
        <is>
          <t>SÖDERMANLANDS LÄN</t>
        </is>
      </c>
      <c r="E724" t="inlineStr">
        <is>
          <t>KATRINEHOLM</t>
        </is>
      </c>
      <c r="F724" t="inlineStr">
        <is>
          <t>Sveaskog</t>
        </is>
      </c>
      <c r="G724" t="n">
        <v>0.5</v>
      </c>
      <c r="H724" t="n">
        <v>0</v>
      </c>
      <c r="I724" t="n">
        <v>0</v>
      </c>
      <c r="J724" t="n">
        <v>0</v>
      </c>
      <c r="K724" t="n">
        <v>0</v>
      </c>
      <c r="L724" t="n">
        <v>0</v>
      </c>
      <c r="M724" t="n">
        <v>0</v>
      </c>
      <c r="N724" t="n">
        <v>0</v>
      </c>
      <c r="O724" t="n">
        <v>0</v>
      </c>
      <c r="P724" t="n">
        <v>0</v>
      </c>
      <c r="Q724" t="n">
        <v>0</v>
      </c>
      <c r="R724" s="2" t="inlineStr"/>
    </row>
    <row r="725" ht="15" customHeight="1">
      <c r="A725" t="inlineStr">
        <is>
          <t>A 11104-2023</t>
        </is>
      </c>
      <c r="B725" s="1" t="n">
        <v>44992</v>
      </c>
      <c r="C725" s="1" t="n">
        <v>45911</v>
      </c>
      <c r="D725" t="inlineStr">
        <is>
          <t>SÖDERMANLANDS LÄN</t>
        </is>
      </c>
      <c r="E725" t="inlineStr">
        <is>
          <t>KATRINEHOLM</t>
        </is>
      </c>
      <c r="F725" t="inlineStr">
        <is>
          <t>Allmännings- och besparingsskogar</t>
        </is>
      </c>
      <c r="G725" t="n">
        <v>7.8</v>
      </c>
      <c r="H725" t="n">
        <v>0</v>
      </c>
      <c r="I725" t="n">
        <v>0</v>
      </c>
      <c r="J725" t="n">
        <v>0</v>
      </c>
      <c r="K725" t="n">
        <v>0</v>
      </c>
      <c r="L725" t="n">
        <v>0</v>
      </c>
      <c r="M725" t="n">
        <v>0</v>
      </c>
      <c r="N725" t="n">
        <v>0</v>
      </c>
      <c r="O725" t="n">
        <v>0</v>
      </c>
      <c r="P725" t="n">
        <v>0</v>
      </c>
      <c r="Q725" t="n">
        <v>0</v>
      </c>
      <c r="R725" s="2" t="inlineStr"/>
    </row>
    <row r="726" ht="15" customHeight="1">
      <c r="A726" t="inlineStr">
        <is>
          <t>A 55169-2022</t>
        </is>
      </c>
      <c r="B726" s="1" t="n">
        <v>44886</v>
      </c>
      <c r="C726" s="1" t="n">
        <v>45911</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1329-2025</t>
        </is>
      </c>
      <c r="B727" s="1" t="n">
        <v>45667</v>
      </c>
      <c r="C727" s="1" t="n">
        <v>45911</v>
      </c>
      <c r="D727" t="inlineStr">
        <is>
          <t>SÖDERMANLANDS LÄN</t>
        </is>
      </c>
      <c r="E727" t="inlineStr">
        <is>
          <t>KATRINEHOLM</t>
        </is>
      </c>
      <c r="G727" t="n">
        <v>2.7</v>
      </c>
      <c r="H727" t="n">
        <v>0</v>
      </c>
      <c r="I727" t="n">
        <v>0</v>
      </c>
      <c r="J727" t="n">
        <v>0</v>
      </c>
      <c r="K727" t="n">
        <v>0</v>
      </c>
      <c r="L727" t="n">
        <v>0</v>
      </c>
      <c r="M727" t="n">
        <v>0</v>
      </c>
      <c r="N727" t="n">
        <v>0</v>
      </c>
      <c r="O727" t="n">
        <v>0</v>
      </c>
      <c r="P727" t="n">
        <v>0</v>
      </c>
      <c r="Q727" t="n">
        <v>0</v>
      </c>
      <c r="R727" s="2" t="inlineStr"/>
    </row>
    <row r="728" ht="15" customHeight="1">
      <c r="A728" t="inlineStr">
        <is>
          <t>A 61398-2024</t>
        </is>
      </c>
      <c r="B728" s="1" t="n">
        <v>45646.42608796297</v>
      </c>
      <c r="C728" s="1" t="n">
        <v>45911</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4387-2024</t>
        </is>
      </c>
      <c r="B729" s="1" t="n">
        <v>45327.35068287037</v>
      </c>
      <c r="C729" s="1" t="n">
        <v>45911</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4872-2024</t>
        </is>
      </c>
      <c r="B730" s="1" t="n">
        <v>45329</v>
      </c>
      <c r="C730" s="1" t="n">
        <v>45911</v>
      </c>
      <c r="D730" t="inlineStr">
        <is>
          <t>SÖDERMANLANDS LÄN</t>
        </is>
      </c>
      <c r="E730" t="inlineStr">
        <is>
          <t>KATRINEHOLM</t>
        </is>
      </c>
      <c r="G730" t="n">
        <v>0.5</v>
      </c>
      <c r="H730" t="n">
        <v>0</v>
      </c>
      <c r="I730" t="n">
        <v>0</v>
      </c>
      <c r="J730" t="n">
        <v>0</v>
      </c>
      <c r="K730" t="n">
        <v>0</v>
      </c>
      <c r="L730" t="n">
        <v>0</v>
      </c>
      <c r="M730" t="n">
        <v>0</v>
      </c>
      <c r="N730" t="n">
        <v>0</v>
      </c>
      <c r="O730" t="n">
        <v>0</v>
      </c>
      <c r="P730" t="n">
        <v>0</v>
      </c>
      <c r="Q730" t="n">
        <v>0</v>
      </c>
      <c r="R730" s="2" t="inlineStr"/>
    </row>
    <row r="731" ht="15" customHeight="1">
      <c r="A731" t="inlineStr">
        <is>
          <t>A 29702-2021</t>
        </is>
      </c>
      <c r="B731" s="1" t="n">
        <v>44362</v>
      </c>
      <c r="C731" s="1" t="n">
        <v>45911</v>
      </c>
      <c r="D731" t="inlineStr">
        <is>
          <t>SÖDERMANLANDS LÄN</t>
        </is>
      </c>
      <c r="E731" t="inlineStr">
        <is>
          <t>KATRINEHOLM</t>
        </is>
      </c>
      <c r="F731" t="inlineStr">
        <is>
          <t>Holmen skog AB</t>
        </is>
      </c>
      <c r="G731" t="n">
        <v>0.3</v>
      </c>
      <c r="H731" t="n">
        <v>0</v>
      </c>
      <c r="I731" t="n">
        <v>0</v>
      </c>
      <c r="J731" t="n">
        <v>0</v>
      </c>
      <c r="K731" t="n">
        <v>0</v>
      </c>
      <c r="L731" t="n">
        <v>0</v>
      </c>
      <c r="M731" t="n">
        <v>0</v>
      </c>
      <c r="N731" t="n">
        <v>0</v>
      </c>
      <c r="O731" t="n">
        <v>0</v>
      </c>
      <c r="P731" t="n">
        <v>0</v>
      </c>
      <c r="Q731" t="n">
        <v>0</v>
      </c>
      <c r="R731" s="2" t="inlineStr"/>
    </row>
    <row r="732" ht="15" customHeight="1">
      <c r="A732" t="inlineStr">
        <is>
          <t>A 24287-2024</t>
        </is>
      </c>
      <c r="B732" s="1" t="n">
        <v>45457</v>
      </c>
      <c r="C732" s="1" t="n">
        <v>45911</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8518-2023</t>
        </is>
      </c>
      <c r="B733" s="1" t="n">
        <v>44977</v>
      </c>
      <c r="C733" s="1" t="n">
        <v>45911</v>
      </c>
      <c r="D733" t="inlineStr">
        <is>
          <t>SÖDERMANLANDS LÄN</t>
        </is>
      </c>
      <c r="E733" t="inlineStr">
        <is>
          <t>KATRINEHOLM</t>
        </is>
      </c>
      <c r="F733" t="inlineStr">
        <is>
          <t>Allmännings- och besparingsskogar</t>
        </is>
      </c>
      <c r="G733" t="n">
        <v>35.3</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45911</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3986-2024</t>
        </is>
      </c>
      <c r="B735" s="1" t="n">
        <v>45322</v>
      </c>
      <c r="C735" s="1" t="n">
        <v>45911</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10996-2022</t>
        </is>
      </c>
      <c r="B736" s="1" t="n">
        <v>44628</v>
      </c>
      <c r="C736" s="1" t="n">
        <v>45911</v>
      </c>
      <c r="D736" t="inlineStr">
        <is>
          <t>SÖDERMANLANDS LÄN</t>
        </is>
      </c>
      <c r="E736" t="inlineStr">
        <is>
          <t>KATRINEHOLM</t>
        </is>
      </c>
      <c r="G736" t="n">
        <v>0.3</v>
      </c>
      <c r="H736" t="n">
        <v>0</v>
      </c>
      <c r="I736" t="n">
        <v>0</v>
      </c>
      <c r="J736" t="n">
        <v>0</v>
      </c>
      <c r="K736" t="n">
        <v>0</v>
      </c>
      <c r="L736" t="n">
        <v>0</v>
      </c>
      <c r="M736" t="n">
        <v>0</v>
      </c>
      <c r="N736" t="n">
        <v>0</v>
      </c>
      <c r="O736" t="n">
        <v>0</v>
      </c>
      <c r="P736" t="n">
        <v>0</v>
      </c>
      <c r="Q736" t="n">
        <v>0</v>
      </c>
      <c r="R736" s="2" t="inlineStr"/>
    </row>
    <row r="737" ht="15" customHeight="1">
      <c r="A737" t="inlineStr">
        <is>
          <t>A 42451-2023</t>
        </is>
      </c>
      <c r="B737" s="1" t="n">
        <v>45180</v>
      </c>
      <c r="C737" s="1" t="n">
        <v>45911</v>
      </c>
      <c r="D737" t="inlineStr">
        <is>
          <t>SÖDERMANLANDS LÄN</t>
        </is>
      </c>
      <c r="E737" t="inlineStr">
        <is>
          <t>KATRINEHOLM</t>
        </is>
      </c>
      <c r="G737" t="n">
        <v>3.8</v>
      </c>
      <c r="H737" t="n">
        <v>0</v>
      </c>
      <c r="I737" t="n">
        <v>0</v>
      </c>
      <c r="J737" t="n">
        <v>0</v>
      </c>
      <c r="K737" t="n">
        <v>0</v>
      </c>
      <c r="L737" t="n">
        <v>0</v>
      </c>
      <c r="M737" t="n">
        <v>0</v>
      </c>
      <c r="N737" t="n">
        <v>0</v>
      </c>
      <c r="O737" t="n">
        <v>0</v>
      </c>
      <c r="P737" t="n">
        <v>0</v>
      </c>
      <c r="Q737" t="n">
        <v>0</v>
      </c>
      <c r="R737" s="2" t="inlineStr"/>
    </row>
    <row r="738" ht="15" customHeight="1">
      <c r="A738" t="inlineStr">
        <is>
          <t>A 948-2023</t>
        </is>
      </c>
      <c r="B738" s="1" t="n">
        <v>44934</v>
      </c>
      <c r="C738" s="1" t="n">
        <v>45911</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37542-2022</t>
        </is>
      </c>
      <c r="B739" s="1" t="n">
        <v>44809</v>
      </c>
      <c r="C739" s="1" t="n">
        <v>45911</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41229-2022</t>
        </is>
      </c>
      <c r="B740" s="1" t="n">
        <v>44825</v>
      </c>
      <c r="C740" s="1" t="n">
        <v>45911</v>
      </c>
      <c r="D740" t="inlineStr">
        <is>
          <t>SÖDERMANLANDS LÄN</t>
        </is>
      </c>
      <c r="E740" t="inlineStr">
        <is>
          <t>KATRINEHOLM</t>
        </is>
      </c>
      <c r="G740" t="n">
        <v>3.8</v>
      </c>
      <c r="H740" t="n">
        <v>0</v>
      </c>
      <c r="I740" t="n">
        <v>0</v>
      </c>
      <c r="J740" t="n">
        <v>0</v>
      </c>
      <c r="K740" t="n">
        <v>0</v>
      </c>
      <c r="L740" t="n">
        <v>0</v>
      </c>
      <c r="M740" t="n">
        <v>0</v>
      </c>
      <c r="N740" t="n">
        <v>0</v>
      </c>
      <c r="O740" t="n">
        <v>0</v>
      </c>
      <c r="P740" t="n">
        <v>0</v>
      </c>
      <c r="Q740" t="n">
        <v>0</v>
      </c>
      <c r="R740" s="2" t="inlineStr"/>
    </row>
    <row r="741" ht="15" customHeight="1">
      <c r="A741" t="inlineStr">
        <is>
          <t>A 13113-2023</t>
        </is>
      </c>
      <c r="B741" s="1" t="n">
        <v>45002</v>
      </c>
      <c r="C741" s="1" t="n">
        <v>45911</v>
      </c>
      <c r="D741" t="inlineStr">
        <is>
          <t>SÖDERMANLANDS LÄN</t>
        </is>
      </c>
      <c r="E741" t="inlineStr">
        <is>
          <t>KATRINEHOLM</t>
        </is>
      </c>
      <c r="F741" t="inlineStr">
        <is>
          <t>Allmännings- och besparingsskogar</t>
        </is>
      </c>
      <c r="G741" t="n">
        <v>3.6</v>
      </c>
      <c r="H741" t="n">
        <v>0</v>
      </c>
      <c r="I741" t="n">
        <v>0</v>
      </c>
      <c r="J741" t="n">
        <v>0</v>
      </c>
      <c r="K741" t="n">
        <v>0</v>
      </c>
      <c r="L741" t="n">
        <v>0</v>
      </c>
      <c r="M741" t="n">
        <v>0</v>
      </c>
      <c r="N741" t="n">
        <v>0</v>
      </c>
      <c r="O741" t="n">
        <v>0</v>
      </c>
      <c r="P741" t="n">
        <v>0</v>
      </c>
      <c r="Q741" t="n">
        <v>0</v>
      </c>
      <c r="R741" s="2" t="inlineStr"/>
    </row>
    <row r="742" ht="15" customHeight="1">
      <c r="A742" t="inlineStr">
        <is>
          <t>A 64652-2023</t>
        </is>
      </c>
      <c r="B742" s="1" t="n">
        <v>45281</v>
      </c>
      <c r="C742" s="1" t="n">
        <v>45911</v>
      </c>
      <c r="D742" t="inlineStr">
        <is>
          <t>SÖDERMANLANDS LÄN</t>
        </is>
      </c>
      <c r="E742" t="inlineStr">
        <is>
          <t>KATRINEHOLM</t>
        </is>
      </c>
      <c r="F742" t="inlineStr">
        <is>
          <t>Övriga Aktiebolag</t>
        </is>
      </c>
      <c r="G742" t="n">
        <v>2.2</v>
      </c>
      <c r="H742" t="n">
        <v>0</v>
      </c>
      <c r="I742" t="n">
        <v>0</v>
      </c>
      <c r="J742" t="n">
        <v>0</v>
      </c>
      <c r="K742" t="n">
        <v>0</v>
      </c>
      <c r="L742" t="n">
        <v>0</v>
      </c>
      <c r="M742" t="n">
        <v>0</v>
      </c>
      <c r="N742" t="n">
        <v>0</v>
      </c>
      <c r="O742" t="n">
        <v>0</v>
      </c>
      <c r="P742" t="n">
        <v>0</v>
      </c>
      <c r="Q742" t="n">
        <v>0</v>
      </c>
      <c r="R742" s="2" t="inlineStr"/>
    </row>
    <row r="743" ht="15" customHeight="1">
      <c r="A743" t="inlineStr">
        <is>
          <t>A 6606-2022</t>
        </is>
      </c>
      <c r="B743" s="1" t="n">
        <v>44601</v>
      </c>
      <c r="C743" s="1" t="n">
        <v>45911</v>
      </c>
      <c r="D743" t="inlineStr">
        <is>
          <t>SÖDERMANLANDS LÄN</t>
        </is>
      </c>
      <c r="E743" t="inlineStr">
        <is>
          <t>KATRINEHOLM</t>
        </is>
      </c>
      <c r="G743" t="n">
        <v>1.6</v>
      </c>
      <c r="H743" t="n">
        <v>0</v>
      </c>
      <c r="I743" t="n">
        <v>0</v>
      </c>
      <c r="J743" t="n">
        <v>0</v>
      </c>
      <c r="K743" t="n">
        <v>0</v>
      </c>
      <c r="L743" t="n">
        <v>0</v>
      </c>
      <c r="M743" t="n">
        <v>0</v>
      </c>
      <c r="N743" t="n">
        <v>0</v>
      </c>
      <c r="O743" t="n">
        <v>0</v>
      </c>
      <c r="P743" t="n">
        <v>0</v>
      </c>
      <c r="Q743" t="n">
        <v>0</v>
      </c>
      <c r="R743" s="2" t="inlineStr"/>
    </row>
    <row r="744" ht="15" customHeight="1">
      <c r="A744" t="inlineStr">
        <is>
          <t>A 27646-2023</t>
        </is>
      </c>
      <c r="B744" s="1" t="n">
        <v>45097</v>
      </c>
      <c r="C744" s="1" t="n">
        <v>45911</v>
      </c>
      <c r="D744" t="inlineStr">
        <is>
          <t>SÖDERMANLANDS LÄN</t>
        </is>
      </c>
      <c r="E744" t="inlineStr">
        <is>
          <t>KATRINEHOLM</t>
        </is>
      </c>
      <c r="G744" t="n">
        <v>2.4</v>
      </c>
      <c r="H744" t="n">
        <v>0</v>
      </c>
      <c r="I744" t="n">
        <v>0</v>
      </c>
      <c r="J744" t="n">
        <v>0</v>
      </c>
      <c r="K744" t="n">
        <v>0</v>
      </c>
      <c r="L744" t="n">
        <v>0</v>
      </c>
      <c r="M744" t="n">
        <v>0</v>
      </c>
      <c r="N744" t="n">
        <v>0</v>
      </c>
      <c r="O744" t="n">
        <v>0</v>
      </c>
      <c r="P744" t="n">
        <v>0</v>
      </c>
      <c r="Q744" t="n">
        <v>0</v>
      </c>
      <c r="R744" s="2" t="inlineStr"/>
    </row>
    <row r="745" ht="15" customHeight="1">
      <c r="A745" t="inlineStr">
        <is>
          <t>A 15235-2023</t>
        </is>
      </c>
      <c r="B745" s="1" t="n">
        <v>45019</v>
      </c>
      <c r="C745" s="1" t="n">
        <v>45911</v>
      </c>
      <c r="D745" t="inlineStr">
        <is>
          <t>SÖDERMANLANDS LÄN</t>
        </is>
      </c>
      <c r="E745" t="inlineStr">
        <is>
          <t>KATRINEHOLM</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25433-2024</t>
        </is>
      </c>
      <c r="B746" s="1" t="n">
        <v>45463</v>
      </c>
      <c r="C746" s="1" t="n">
        <v>45911</v>
      </c>
      <c r="D746" t="inlineStr">
        <is>
          <t>SÖDERMANLANDS LÄN</t>
        </is>
      </c>
      <c r="E746" t="inlineStr">
        <is>
          <t>KATRINEHOLM</t>
        </is>
      </c>
      <c r="G746" t="n">
        <v>1.1</v>
      </c>
      <c r="H746" t="n">
        <v>0</v>
      </c>
      <c r="I746" t="n">
        <v>0</v>
      </c>
      <c r="J746" t="n">
        <v>0</v>
      </c>
      <c r="K746" t="n">
        <v>0</v>
      </c>
      <c r="L746" t="n">
        <v>0</v>
      </c>
      <c r="M746" t="n">
        <v>0</v>
      </c>
      <c r="N746" t="n">
        <v>0</v>
      </c>
      <c r="O746" t="n">
        <v>0</v>
      </c>
      <c r="P746" t="n">
        <v>0</v>
      </c>
      <c r="Q746" t="n">
        <v>0</v>
      </c>
      <c r="R746" s="2" t="inlineStr"/>
    </row>
    <row r="747" ht="15" customHeight="1">
      <c r="A747" t="inlineStr">
        <is>
          <t>A 22304-2024</t>
        </is>
      </c>
      <c r="B747" s="1" t="n">
        <v>45446.56626157407</v>
      </c>
      <c r="C747" s="1" t="n">
        <v>45911</v>
      </c>
      <c r="D747" t="inlineStr">
        <is>
          <t>SÖDERMANLANDS LÄN</t>
        </is>
      </c>
      <c r="E747" t="inlineStr">
        <is>
          <t>KATRINEHOLM</t>
        </is>
      </c>
      <c r="F747" t="inlineStr">
        <is>
          <t>Kommuner</t>
        </is>
      </c>
      <c r="G747" t="n">
        <v>0.7</v>
      </c>
      <c r="H747" t="n">
        <v>0</v>
      </c>
      <c r="I747" t="n">
        <v>0</v>
      </c>
      <c r="J747" t="n">
        <v>0</v>
      </c>
      <c r="K747" t="n">
        <v>0</v>
      </c>
      <c r="L747" t="n">
        <v>0</v>
      </c>
      <c r="M747" t="n">
        <v>0</v>
      </c>
      <c r="N747" t="n">
        <v>0</v>
      </c>
      <c r="O747" t="n">
        <v>0</v>
      </c>
      <c r="P747" t="n">
        <v>0</v>
      </c>
      <c r="Q747" t="n">
        <v>0</v>
      </c>
      <c r="R747" s="2" t="inlineStr"/>
    </row>
    <row r="748" ht="15" customHeight="1">
      <c r="A748" t="inlineStr">
        <is>
          <t>A 14224-2024</t>
        </is>
      </c>
      <c r="B748" s="1" t="n">
        <v>45393</v>
      </c>
      <c r="C748" s="1" t="n">
        <v>45911</v>
      </c>
      <c r="D748" t="inlineStr">
        <is>
          <t>SÖDERMANLANDS LÄN</t>
        </is>
      </c>
      <c r="E748" t="inlineStr">
        <is>
          <t>KATRINEHOLM</t>
        </is>
      </c>
      <c r="F748" t="inlineStr">
        <is>
          <t>Sveaskog</t>
        </is>
      </c>
      <c r="G748" t="n">
        <v>7.6</v>
      </c>
      <c r="H748" t="n">
        <v>0</v>
      </c>
      <c r="I748" t="n">
        <v>0</v>
      </c>
      <c r="J748" t="n">
        <v>0</v>
      </c>
      <c r="K748" t="n">
        <v>0</v>
      </c>
      <c r="L748" t="n">
        <v>0</v>
      </c>
      <c r="M748" t="n">
        <v>0</v>
      </c>
      <c r="N748" t="n">
        <v>0</v>
      </c>
      <c r="O748" t="n">
        <v>0</v>
      </c>
      <c r="P748" t="n">
        <v>0</v>
      </c>
      <c r="Q748" t="n">
        <v>0</v>
      </c>
      <c r="R748" s="2" t="inlineStr"/>
    </row>
    <row r="749" ht="15" customHeight="1">
      <c r="A749" t="inlineStr">
        <is>
          <t>A 23341-2023</t>
        </is>
      </c>
      <c r="B749" s="1" t="n">
        <v>45076</v>
      </c>
      <c r="C749" s="1" t="n">
        <v>45911</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51404-2023</t>
        </is>
      </c>
      <c r="B750" s="1" t="n">
        <v>45214</v>
      </c>
      <c r="C750" s="1" t="n">
        <v>45911</v>
      </c>
      <c r="D750" t="inlineStr">
        <is>
          <t>SÖDERMANLANDS LÄN</t>
        </is>
      </c>
      <c r="E750" t="inlineStr">
        <is>
          <t>KATRINEHOLM</t>
        </is>
      </c>
      <c r="G750" t="n">
        <v>9</v>
      </c>
      <c r="H750" t="n">
        <v>0</v>
      </c>
      <c r="I750" t="n">
        <v>0</v>
      </c>
      <c r="J750" t="n">
        <v>0</v>
      </c>
      <c r="K750" t="n">
        <v>0</v>
      </c>
      <c r="L750" t="n">
        <v>0</v>
      </c>
      <c r="M750" t="n">
        <v>0</v>
      </c>
      <c r="N750" t="n">
        <v>0</v>
      </c>
      <c r="O750" t="n">
        <v>0</v>
      </c>
      <c r="P750" t="n">
        <v>0</v>
      </c>
      <c r="Q750" t="n">
        <v>0</v>
      </c>
      <c r="R750" s="2" t="inlineStr"/>
    </row>
    <row r="751" ht="15" customHeight="1">
      <c r="A751" t="inlineStr">
        <is>
          <t>A 41946-2022</t>
        </is>
      </c>
      <c r="B751" s="1" t="n">
        <v>44830.38502314815</v>
      </c>
      <c r="C751" s="1" t="n">
        <v>45911</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3115-2024</t>
        </is>
      </c>
      <c r="B752" s="1" t="n">
        <v>45316.49630787037</v>
      </c>
      <c r="C752" s="1" t="n">
        <v>45911</v>
      </c>
      <c r="D752" t="inlineStr">
        <is>
          <t>SÖDERMANLANDS LÄN</t>
        </is>
      </c>
      <c r="E752" t="inlineStr">
        <is>
          <t>KATRINEHOLM</t>
        </is>
      </c>
      <c r="G752" t="n">
        <v>0.6</v>
      </c>
      <c r="H752" t="n">
        <v>0</v>
      </c>
      <c r="I752" t="n">
        <v>0</v>
      </c>
      <c r="J752" t="n">
        <v>0</v>
      </c>
      <c r="K752" t="n">
        <v>0</v>
      </c>
      <c r="L752" t="n">
        <v>0</v>
      </c>
      <c r="M752" t="n">
        <v>0</v>
      </c>
      <c r="N752" t="n">
        <v>0</v>
      </c>
      <c r="O752" t="n">
        <v>0</v>
      </c>
      <c r="P752" t="n">
        <v>0</v>
      </c>
      <c r="Q752" t="n">
        <v>0</v>
      </c>
      <c r="R752" s="2" t="inlineStr"/>
    </row>
    <row r="753" ht="15" customHeight="1">
      <c r="A753" t="inlineStr">
        <is>
          <t>A 46833-2020</t>
        </is>
      </c>
      <c r="B753" s="1" t="n">
        <v>44089</v>
      </c>
      <c r="C753" s="1" t="n">
        <v>45911</v>
      </c>
      <c r="D753" t="inlineStr">
        <is>
          <t>SÖDERMANLANDS LÄN</t>
        </is>
      </c>
      <c r="E753" t="inlineStr">
        <is>
          <t>KATRINEHOLM</t>
        </is>
      </c>
      <c r="G753" t="n">
        <v>1.5</v>
      </c>
      <c r="H753" t="n">
        <v>0</v>
      </c>
      <c r="I753" t="n">
        <v>0</v>
      </c>
      <c r="J753" t="n">
        <v>0</v>
      </c>
      <c r="K753" t="n">
        <v>0</v>
      </c>
      <c r="L753" t="n">
        <v>0</v>
      </c>
      <c r="M753" t="n">
        <v>0</v>
      </c>
      <c r="N753" t="n">
        <v>0</v>
      </c>
      <c r="O753" t="n">
        <v>0</v>
      </c>
      <c r="P753" t="n">
        <v>0</v>
      </c>
      <c r="Q753" t="n">
        <v>0</v>
      </c>
      <c r="R753" s="2" t="inlineStr"/>
    </row>
    <row r="754" ht="15" customHeight="1">
      <c r="A754" t="inlineStr">
        <is>
          <t>A 61431-2024</t>
        </is>
      </c>
      <c r="B754" s="1" t="n">
        <v>45646.45950231481</v>
      </c>
      <c r="C754" s="1" t="n">
        <v>45911</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57645-2020</t>
        </is>
      </c>
      <c r="B755" s="1" t="n">
        <v>44140.68782407408</v>
      </c>
      <c r="C755" s="1" t="n">
        <v>45911</v>
      </c>
      <c r="D755" t="inlineStr">
        <is>
          <t>SÖDERMANLANDS LÄN</t>
        </is>
      </c>
      <c r="E755" t="inlineStr">
        <is>
          <t>KATRINEHOLM</t>
        </is>
      </c>
      <c r="G755" t="n">
        <v>17</v>
      </c>
      <c r="H755" t="n">
        <v>0</v>
      </c>
      <c r="I755" t="n">
        <v>0</v>
      </c>
      <c r="J755" t="n">
        <v>0</v>
      </c>
      <c r="K755" t="n">
        <v>0</v>
      </c>
      <c r="L755" t="n">
        <v>0</v>
      </c>
      <c r="M755" t="n">
        <v>0</v>
      </c>
      <c r="N755" t="n">
        <v>0</v>
      </c>
      <c r="O755" t="n">
        <v>0</v>
      </c>
      <c r="P755" t="n">
        <v>0</v>
      </c>
      <c r="Q755" t="n">
        <v>0</v>
      </c>
      <c r="R755" s="2" t="inlineStr"/>
    </row>
    <row r="756" ht="15" customHeight="1">
      <c r="A756" t="inlineStr">
        <is>
          <t>A 44659-2023</t>
        </is>
      </c>
      <c r="B756" s="1" t="n">
        <v>45189</v>
      </c>
      <c r="C756" s="1" t="n">
        <v>45911</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51446-2023</t>
        </is>
      </c>
      <c r="B757" s="1" t="n">
        <v>45220.48068287037</v>
      </c>
      <c r="C757" s="1" t="n">
        <v>45911</v>
      </c>
      <c r="D757" t="inlineStr">
        <is>
          <t>SÖDERMANLANDS LÄN</t>
        </is>
      </c>
      <c r="E757" t="inlineStr">
        <is>
          <t>KATRINEHOLM</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27955-2023</t>
        </is>
      </c>
      <c r="B758" s="1" t="n">
        <v>45098</v>
      </c>
      <c r="C758" s="1" t="n">
        <v>45911</v>
      </c>
      <c r="D758" t="inlineStr">
        <is>
          <t>SÖDERMANLANDS LÄN</t>
        </is>
      </c>
      <c r="E758" t="inlineStr">
        <is>
          <t>KATRINEHOLM</t>
        </is>
      </c>
      <c r="G758" t="n">
        <v>5.9</v>
      </c>
      <c r="H758" t="n">
        <v>0</v>
      </c>
      <c r="I758" t="n">
        <v>0</v>
      </c>
      <c r="J758" t="n">
        <v>0</v>
      </c>
      <c r="K758" t="n">
        <v>0</v>
      </c>
      <c r="L758" t="n">
        <v>0</v>
      </c>
      <c r="M758" t="n">
        <v>0</v>
      </c>
      <c r="N758" t="n">
        <v>0</v>
      </c>
      <c r="O758" t="n">
        <v>0</v>
      </c>
      <c r="P758" t="n">
        <v>0</v>
      </c>
      <c r="Q758" t="n">
        <v>0</v>
      </c>
      <c r="R758" s="2" t="inlineStr"/>
    </row>
    <row r="759" ht="15" customHeight="1">
      <c r="A759" t="inlineStr">
        <is>
          <t>A 4669-2023</t>
        </is>
      </c>
      <c r="B759" s="1" t="n">
        <v>44957</v>
      </c>
      <c r="C759" s="1" t="n">
        <v>45911</v>
      </c>
      <c r="D759" t="inlineStr">
        <is>
          <t>SÖDERMANLANDS LÄN</t>
        </is>
      </c>
      <c r="E759" t="inlineStr">
        <is>
          <t>KATRINEHOLM</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4724-2023</t>
        </is>
      </c>
      <c r="B760" s="1" t="n">
        <v>44957</v>
      </c>
      <c r="C760" s="1" t="n">
        <v>45911</v>
      </c>
      <c r="D760" t="inlineStr">
        <is>
          <t>SÖDERMANLANDS LÄN</t>
        </is>
      </c>
      <c r="E760" t="inlineStr">
        <is>
          <t>KATRINEHOLM</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7197-2023</t>
        </is>
      </c>
      <c r="B761" s="1" t="n">
        <v>44965</v>
      </c>
      <c r="C761" s="1" t="n">
        <v>45911</v>
      </c>
      <c r="D761" t="inlineStr">
        <is>
          <t>SÖDERMANLANDS LÄN</t>
        </is>
      </c>
      <c r="E761" t="inlineStr">
        <is>
          <t>KATRINEHOLM</t>
        </is>
      </c>
      <c r="G761" t="n">
        <v>5.3</v>
      </c>
      <c r="H761" t="n">
        <v>0</v>
      </c>
      <c r="I761" t="n">
        <v>0</v>
      </c>
      <c r="J761" t="n">
        <v>0</v>
      </c>
      <c r="K761" t="n">
        <v>0</v>
      </c>
      <c r="L761" t="n">
        <v>0</v>
      </c>
      <c r="M761" t="n">
        <v>0</v>
      </c>
      <c r="N761" t="n">
        <v>0</v>
      </c>
      <c r="O761" t="n">
        <v>0</v>
      </c>
      <c r="P761" t="n">
        <v>0</v>
      </c>
      <c r="Q761" t="n">
        <v>0</v>
      </c>
      <c r="R761" s="2" t="inlineStr"/>
    </row>
    <row r="762" ht="15" customHeight="1">
      <c r="A762" t="inlineStr">
        <is>
          <t>A 6092-2025</t>
        </is>
      </c>
      <c r="B762" s="1" t="n">
        <v>45697</v>
      </c>
      <c r="C762" s="1" t="n">
        <v>45911</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5327-2025</t>
        </is>
      </c>
      <c r="B763" s="1" t="n">
        <v>45692</v>
      </c>
      <c r="C763" s="1" t="n">
        <v>45911</v>
      </c>
      <c r="D763" t="inlineStr">
        <is>
          <t>SÖDERMANLANDS LÄN</t>
        </is>
      </c>
      <c r="E763" t="inlineStr">
        <is>
          <t>KATRINEHOLM</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12929-2023</t>
        </is>
      </c>
      <c r="B764" s="1" t="n">
        <v>45001</v>
      </c>
      <c r="C764" s="1" t="n">
        <v>45911</v>
      </c>
      <c r="D764" t="inlineStr">
        <is>
          <t>SÖDERMANLANDS LÄN</t>
        </is>
      </c>
      <c r="E764" t="inlineStr">
        <is>
          <t>KATRINEHOLM</t>
        </is>
      </c>
      <c r="G764" t="n">
        <v>3.1</v>
      </c>
      <c r="H764" t="n">
        <v>0</v>
      </c>
      <c r="I764" t="n">
        <v>0</v>
      </c>
      <c r="J764" t="n">
        <v>0</v>
      </c>
      <c r="K764" t="n">
        <v>0</v>
      </c>
      <c r="L764" t="n">
        <v>0</v>
      </c>
      <c r="M764" t="n">
        <v>0</v>
      </c>
      <c r="N764" t="n">
        <v>0</v>
      </c>
      <c r="O764" t="n">
        <v>0</v>
      </c>
      <c r="P764" t="n">
        <v>0</v>
      </c>
      <c r="Q764" t="n">
        <v>0</v>
      </c>
      <c r="R764" s="2" t="inlineStr"/>
    </row>
    <row r="765" ht="15" customHeight="1">
      <c r="A765" t="inlineStr">
        <is>
          <t>A 12932-2023</t>
        </is>
      </c>
      <c r="B765" s="1" t="n">
        <v>45001</v>
      </c>
      <c r="C765" s="1" t="n">
        <v>45911</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50626-2024</t>
        </is>
      </c>
      <c r="B766" s="1" t="n">
        <v>45601</v>
      </c>
      <c r="C766" s="1" t="n">
        <v>45911</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7398-2024</t>
        </is>
      </c>
      <c r="B767" s="1" t="n">
        <v>45345</v>
      </c>
      <c r="C767" s="1" t="n">
        <v>45911</v>
      </c>
      <c r="D767" t="inlineStr">
        <is>
          <t>SÖDERMANLANDS LÄN</t>
        </is>
      </c>
      <c r="E767" t="inlineStr">
        <is>
          <t>KATRINEHOLM</t>
        </is>
      </c>
      <c r="G767" t="n">
        <v>4.4</v>
      </c>
      <c r="H767" t="n">
        <v>0</v>
      </c>
      <c r="I767" t="n">
        <v>0</v>
      </c>
      <c r="J767" t="n">
        <v>0</v>
      </c>
      <c r="K767" t="n">
        <v>0</v>
      </c>
      <c r="L767" t="n">
        <v>0</v>
      </c>
      <c r="M767" t="n">
        <v>0</v>
      </c>
      <c r="N767" t="n">
        <v>0</v>
      </c>
      <c r="O767" t="n">
        <v>0</v>
      </c>
      <c r="P767" t="n">
        <v>0</v>
      </c>
      <c r="Q767" t="n">
        <v>0</v>
      </c>
      <c r="R767" s="2" t="inlineStr"/>
    </row>
    <row r="768" ht="15" customHeight="1">
      <c r="A768" t="inlineStr">
        <is>
          <t>A 14629-2023</t>
        </is>
      </c>
      <c r="B768" s="1" t="n">
        <v>45013</v>
      </c>
      <c r="C768" s="1" t="n">
        <v>45911</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49116-2024</t>
        </is>
      </c>
      <c r="B769" s="1" t="n">
        <v>45594.6605787037</v>
      </c>
      <c r="C769" s="1" t="n">
        <v>45911</v>
      </c>
      <c r="D769" t="inlineStr">
        <is>
          <t>SÖDERMANLANDS LÄN</t>
        </is>
      </c>
      <c r="E769" t="inlineStr">
        <is>
          <t>KATRINEHOLM</t>
        </is>
      </c>
      <c r="G769" t="n">
        <v>0.9</v>
      </c>
      <c r="H769" t="n">
        <v>0</v>
      </c>
      <c r="I769" t="n">
        <v>0</v>
      </c>
      <c r="J769" t="n">
        <v>0</v>
      </c>
      <c r="K769" t="n">
        <v>0</v>
      </c>
      <c r="L769" t="n">
        <v>0</v>
      </c>
      <c r="M769" t="n">
        <v>0</v>
      </c>
      <c r="N769" t="n">
        <v>0</v>
      </c>
      <c r="O769" t="n">
        <v>0</v>
      </c>
      <c r="P769" t="n">
        <v>0</v>
      </c>
      <c r="Q769" t="n">
        <v>0</v>
      </c>
      <c r="R769" s="2" t="inlineStr"/>
    </row>
    <row r="770" ht="15" customHeight="1">
      <c r="A770" t="inlineStr">
        <is>
          <t>A 2683-2025</t>
        </is>
      </c>
      <c r="B770" s="1" t="n">
        <v>45677</v>
      </c>
      <c r="C770" s="1" t="n">
        <v>45911</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61410-2024</t>
        </is>
      </c>
      <c r="B771" s="1" t="n">
        <v>45646.43950231482</v>
      </c>
      <c r="C771" s="1" t="n">
        <v>45911</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3315-2023</t>
        </is>
      </c>
      <c r="B772" s="1" t="n">
        <v>44945</v>
      </c>
      <c r="C772" s="1" t="n">
        <v>45911</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7867-2024</t>
        </is>
      </c>
      <c r="B773" s="1" t="n">
        <v>45350.32991898148</v>
      </c>
      <c r="C773" s="1" t="n">
        <v>45911</v>
      </c>
      <c r="D773" t="inlineStr">
        <is>
          <t>SÖDERMANLANDS LÄN</t>
        </is>
      </c>
      <c r="E773" t="inlineStr">
        <is>
          <t>KATRINEHOLM</t>
        </is>
      </c>
      <c r="F773" t="inlineStr">
        <is>
          <t>Kyrkan</t>
        </is>
      </c>
      <c r="G773" t="n">
        <v>3.3</v>
      </c>
      <c r="H773" t="n">
        <v>0</v>
      </c>
      <c r="I773" t="n">
        <v>0</v>
      </c>
      <c r="J773" t="n">
        <v>0</v>
      </c>
      <c r="K773" t="n">
        <v>0</v>
      </c>
      <c r="L773" t="n">
        <v>0</v>
      </c>
      <c r="M773" t="n">
        <v>0</v>
      </c>
      <c r="N773" t="n">
        <v>0</v>
      </c>
      <c r="O773" t="n">
        <v>0</v>
      </c>
      <c r="P773" t="n">
        <v>0</v>
      </c>
      <c r="Q773" t="n">
        <v>0</v>
      </c>
      <c r="R773" s="2" t="inlineStr"/>
    </row>
    <row r="774" ht="15" customHeight="1">
      <c r="A774" t="inlineStr">
        <is>
          <t>A 38869-2024</t>
        </is>
      </c>
      <c r="B774" s="1" t="n">
        <v>45547</v>
      </c>
      <c r="C774" s="1" t="n">
        <v>45911</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39010-2021</t>
        </is>
      </c>
      <c r="B775" s="1" t="n">
        <v>44412</v>
      </c>
      <c r="C775" s="1" t="n">
        <v>45911</v>
      </c>
      <c r="D775" t="inlineStr">
        <is>
          <t>SÖDERMANLANDS LÄN</t>
        </is>
      </c>
      <c r="E775" t="inlineStr">
        <is>
          <t>KATRINEHOLM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1091-2025</t>
        </is>
      </c>
      <c r="B776" s="1" t="n">
        <v>45666</v>
      </c>
      <c r="C776" s="1" t="n">
        <v>45911</v>
      </c>
      <c r="D776" t="inlineStr">
        <is>
          <t>SÖDERMANLANDS LÄN</t>
        </is>
      </c>
      <c r="E776" t="inlineStr">
        <is>
          <t>KATRINEHOLM</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6311-2025</t>
        </is>
      </c>
      <c r="B777" s="1" t="n">
        <v>45698</v>
      </c>
      <c r="C777" s="1" t="n">
        <v>45911</v>
      </c>
      <c r="D777" t="inlineStr">
        <is>
          <t>SÖDERMANLANDS LÄN</t>
        </is>
      </c>
      <c r="E777" t="inlineStr">
        <is>
          <t>KATRINEHOLM</t>
        </is>
      </c>
      <c r="G777" t="n">
        <v>0.3</v>
      </c>
      <c r="H777" t="n">
        <v>0</v>
      </c>
      <c r="I777" t="n">
        <v>0</v>
      </c>
      <c r="J777" t="n">
        <v>0</v>
      </c>
      <c r="K777" t="n">
        <v>0</v>
      </c>
      <c r="L777" t="n">
        <v>0</v>
      </c>
      <c r="M777" t="n">
        <v>0</v>
      </c>
      <c r="N777" t="n">
        <v>0</v>
      </c>
      <c r="O777" t="n">
        <v>0</v>
      </c>
      <c r="P777" t="n">
        <v>0</v>
      </c>
      <c r="Q777" t="n">
        <v>0</v>
      </c>
      <c r="R777" s="2" t="inlineStr"/>
    </row>
    <row r="778" ht="15" customHeight="1">
      <c r="A778" t="inlineStr">
        <is>
          <t>A 23838-2021</t>
        </is>
      </c>
      <c r="B778" s="1" t="n">
        <v>44335</v>
      </c>
      <c r="C778" s="1" t="n">
        <v>45911</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c r="A779" t="inlineStr">
        <is>
          <t>A 32943-2024</t>
        </is>
      </c>
      <c r="B779" s="1" t="n">
        <v>45517</v>
      </c>
      <c r="C779" s="1" t="n">
        <v>45911</v>
      </c>
      <c r="D779" t="inlineStr">
        <is>
          <t>SÖDERMANLANDS LÄN</t>
        </is>
      </c>
      <c r="E779" t="inlineStr">
        <is>
          <t>KATRINEHOLM</t>
        </is>
      </c>
      <c r="G779" t="n">
        <v>1.8</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2025-09-11T08:52:16Z</dcterms:created>
  <dcterms:modified xmlns:dcterms="http://purl.org/dc/terms/" xmlns:xsi="http://www.w3.org/2001/XMLSchema-instance" xsi:type="dcterms:W3CDTF">2025-09-11T08:52:16Z</dcterms:modified>
</cp:coreProperties>
</file>