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45928</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45928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45928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45928</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45928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45928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45928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45928</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45928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45928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45928</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45928</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45928</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45928</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45928</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45928</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45928</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45928</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14858-2023</t>
        </is>
      </c>
      <c r="B25" s="1" t="n">
        <v>45014</v>
      </c>
      <c r="C25" s="1" t="n">
        <v>45928</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45928</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45928</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24718-2025</t>
        </is>
      </c>
      <c r="B28" s="1" t="n">
        <v>45799</v>
      </c>
      <c r="C28" s="1" t="n">
        <v>45928</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45928</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45928</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45928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45928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45928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45928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45928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11890-2023</t>
        </is>
      </c>
      <c r="B36" s="1" t="n">
        <v>44995</v>
      </c>
      <c r="C36" s="1" t="n">
        <v>45928</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23568-2023</t>
        </is>
      </c>
      <c r="B37" s="1" t="n">
        <v>45077</v>
      </c>
      <c r="C37" s="1" t="n">
        <v>45928</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56074-2022</t>
        </is>
      </c>
      <c r="B38" s="1" t="n">
        <v>44889</v>
      </c>
      <c r="C38" s="1" t="n">
        <v>45928</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57519-2021</t>
        </is>
      </c>
      <c r="B39" s="1" t="n">
        <v>44483</v>
      </c>
      <c r="C39" s="1" t="n">
        <v>45928</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45928</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42055-2025</t>
        </is>
      </c>
      <c r="B41" s="1" t="n">
        <v>45903</v>
      </c>
      <c r="C41" s="1" t="n">
        <v>45928</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6076-2022</t>
        </is>
      </c>
      <c r="B42" s="1" t="n">
        <v>44599</v>
      </c>
      <c r="C42" s="1" t="n">
        <v>45928</v>
      </c>
      <c r="D42" t="inlineStr">
        <is>
          <t>SÖDERMANLANDS LÄN</t>
        </is>
      </c>
      <c r="E42" t="inlineStr">
        <is>
          <t>KATRINEHOLM</t>
        </is>
      </c>
      <c r="G42" t="n">
        <v>3.3</v>
      </c>
      <c r="H42" t="n">
        <v>0</v>
      </c>
      <c r="I42" t="n">
        <v>1</v>
      </c>
      <c r="J42" t="n">
        <v>0</v>
      </c>
      <c r="K42" t="n">
        <v>0</v>
      </c>
      <c r="L42" t="n">
        <v>0</v>
      </c>
      <c r="M42" t="n">
        <v>0</v>
      </c>
      <c r="N42" t="n">
        <v>0</v>
      </c>
      <c r="O42" t="n">
        <v>0</v>
      </c>
      <c r="P42" t="n">
        <v>0</v>
      </c>
      <c r="Q42" t="n">
        <v>1</v>
      </c>
      <c r="R42" s="2" t="inlineStr">
        <is>
          <t>Svart trolldruva</t>
        </is>
      </c>
      <c r="S42">
        <f>HYPERLINK("https://klasma.github.io/Logging_0483/artfynd/A 6076-2022 artfynd.xlsx", "A 6076-2022")</f>
        <v/>
      </c>
      <c r="T42">
        <f>HYPERLINK("https://klasma.github.io/Logging_0483/kartor/A 6076-2022 karta.png", "A 6076-2022")</f>
        <v/>
      </c>
      <c r="V42">
        <f>HYPERLINK("https://klasma.github.io/Logging_0483/klagomål/A 6076-2022 FSC-klagomål.docx", "A 6076-2022")</f>
        <v/>
      </c>
      <c r="W42">
        <f>HYPERLINK("https://klasma.github.io/Logging_0483/klagomålsmail/A 6076-2022 FSC-klagomål mail.docx", "A 6076-2022")</f>
        <v/>
      </c>
      <c r="X42">
        <f>HYPERLINK("https://klasma.github.io/Logging_0483/tillsyn/A 6076-2022 tillsynsbegäran.docx", "A 6076-2022")</f>
        <v/>
      </c>
      <c r="Y42">
        <f>HYPERLINK("https://klasma.github.io/Logging_0483/tillsynsmail/A 6076-2022 tillsynsbegäran mail.docx", "A 6076-2022")</f>
        <v/>
      </c>
    </row>
    <row r="43" ht="15" customHeight="1">
      <c r="A43" t="inlineStr">
        <is>
          <t>A 41980-2025</t>
        </is>
      </c>
      <c r="B43" s="1" t="n">
        <v>45903</v>
      </c>
      <c r="C43" s="1" t="n">
        <v>45928</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42745-2022</t>
        </is>
      </c>
      <c r="B44" s="1" t="n">
        <v>44831</v>
      </c>
      <c r="C44" s="1" t="n">
        <v>45928</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44632-2023</t>
        </is>
      </c>
      <c r="B45" s="1" t="n">
        <v>45184</v>
      </c>
      <c r="C45" s="1" t="n">
        <v>45928</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16458-2022</t>
        </is>
      </c>
      <c r="B46" s="1" t="n">
        <v>44671</v>
      </c>
      <c r="C46" s="1" t="n">
        <v>45928</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12238-2023</t>
        </is>
      </c>
      <c r="B47" s="1" t="n">
        <v>44995</v>
      </c>
      <c r="C47" s="1" t="n">
        <v>45928</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11890-2023</t>
        </is>
      </c>
      <c r="B48" s="1" t="n">
        <v>44995</v>
      </c>
      <c r="C48" s="1" t="n">
        <v>45928</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28985-2022</t>
        </is>
      </c>
      <c r="B49" s="1" t="n">
        <v>44749</v>
      </c>
      <c r="C49" s="1" t="n">
        <v>45928</v>
      </c>
      <c r="D49" t="inlineStr">
        <is>
          <t>SÖDERMANLANDS LÄN</t>
        </is>
      </c>
      <c r="E49" t="inlineStr">
        <is>
          <t>KATRINEHOLM</t>
        </is>
      </c>
      <c r="G49" t="n">
        <v>6.4</v>
      </c>
      <c r="H49" t="n">
        <v>0</v>
      </c>
      <c r="I49" t="n">
        <v>0</v>
      </c>
      <c r="J49" t="n">
        <v>1</v>
      </c>
      <c r="K49" t="n">
        <v>0</v>
      </c>
      <c r="L49" t="n">
        <v>0</v>
      </c>
      <c r="M49" t="n">
        <v>0</v>
      </c>
      <c r="N49" t="n">
        <v>0</v>
      </c>
      <c r="O49" t="n">
        <v>1</v>
      </c>
      <c r="P49" t="n">
        <v>0</v>
      </c>
      <c r="Q49" t="n">
        <v>1</v>
      </c>
      <c r="R49" s="2" t="inlineStr">
        <is>
          <t>Igelkott</t>
        </is>
      </c>
      <c r="S49">
        <f>HYPERLINK("https://klasma.github.io/Logging_0483/artfynd/A 28985-2022 artfynd.xlsx", "A 28985-2022")</f>
        <v/>
      </c>
      <c r="T49">
        <f>HYPERLINK("https://klasma.github.io/Logging_0483/kartor/A 28985-2022 karta.png", "A 28985-2022")</f>
        <v/>
      </c>
      <c r="V49">
        <f>HYPERLINK("https://klasma.github.io/Logging_0483/klagomål/A 28985-2022 FSC-klagomål.docx", "A 28985-2022")</f>
        <v/>
      </c>
      <c r="W49">
        <f>HYPERLINK("https://klasma.github.io/Logging_0483/klagomålsmail/A 28985-2022 FSC-klagomål mail.docx", "A 28985-2022")</f>
        <v/>
      </c>
      <c r="X49">
        <f>HYPERLINK("https://klasma.github.io/Logging_0483/tillsyn/A 28985-2022 tillsynsbegäran.docx", "A 28985-2022")</f>
        <v/>
      </c>
      <c r="Y49">
        <f>HYPERLINK("https://klasma.github.io/Logging_0483/tillsynsmail/A 28985-2022 tillsynsbegäran mail.docx", "A 28985-2022")</f>
        <v/>
      </c>
    </row>
    <row r="50" ht="15" customHeight="1">
      <c r="A50" t="inlineStr">
        <is>
          <t>A 33801-2023</t>
        </is>
      </c>
      <c r="B50" s="1" t="n">
        <v>45133</v>
      </c>
      <c r="C50" s="1" t="n">
        <v>45928</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45928</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36220-2022</t>
        </is>
      </c>
      <c r="B52" s="1" t="n">
        <v>44803</v>
      </c>
      <c r="C52" s="1" t="n">
        <v>45928</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22474-2025</t>
        </is>
      </c>
      <c r="B53" s="1" t="n">
        <v>45786.62152777778</v>
      </c>
      <c r="C53" s="1" t="n">
        <v>45928</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27926-2025</t>
        </is>
      </c>
      <c r="B54" s="1" t="n">
        <v>45814</v>
      </c>
      <c r="C54" s="1" t="n">
        <v>45928</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53990-2023</t>
        </is>
      </c>
      <c r="B55" s="1" t="n">
        <v>45231</v>
      </c>
      <c r="C55" s="1" t="n">
        <v>45928</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35163-2025</t>
        </is>
      </c>
      <c r="B56" s="1" t="n">
        <v>45852.71136574074</v>
      </c>
      <c r="C56" s="1" t="n">
        <v>45928</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53154-2023</t>
        </is>
      </c>
      <c r="B57" s="1" t="n">
        <v>45229</v>
      </c>
      <c r="C57" s="1" t="n">
        <v>45928</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36856-2021</t>
        </is>
      </c>
      <c r="B58" s="1" t="n">
        <v>44393</v>
      </c>
      <c r="C58" s="1" t="n">
        <v>45928</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45928</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45928</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45928</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45928</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45928</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45928</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45928</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45928</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45928</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45928</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45928</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45928</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45928</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17430-2021</t>
        </is>
      </c>
      <c r="B72" s="1" t="n">
        <v>44299.40710648148</v>
      </c>
      <c r="C72" s="1" t="n">
        <v>45928</v>
      </c>
      <c r="D72" t="inlineStr">
        <is>
          <t>SÖDERMANLANDS LÄN</t>
        </is>
      </c>
      <c r="E72" t="inlineStr">
        <is>
          <t>KATRINEHOLM</t>
        </is>
      </c>
      <c r="G72" t="n">
        <v>1.2</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45928</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45928</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45928</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45928</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45928</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45928</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45928</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45928</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45928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45928</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45928</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45928</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45928</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45928</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45928</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45928</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45928</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45928</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45928</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45928</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45928</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45928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45928</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45928</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45928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45928</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45928</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45928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45928</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45928</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45928</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45928</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45928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45928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45928</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45928</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45928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45928</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45928</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45928</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45928</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45928</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45928</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45928</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45928</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45928</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45928</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45928</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45928</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45928</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45928</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45928</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45928</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45928</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45928</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45928</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45928</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45928</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45928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45928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45928</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45928</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45928</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45928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45928</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45928</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45928</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45928</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45928</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45928</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45928</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45928</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45928</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45928</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45928</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45928</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45928</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45928</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45928</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45928</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45928</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7240-2021</t>
        </is>
      </c>
      <c r="B157" s="1" t="n">
        <v>44238</v>
      </c>
      <c r="C157" s="1" t="n">
        <v>45928</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45928</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38835-2021</t>
        </is>
      </c>
      <c r="B159" s="1" t="n">
        <v>44411</v>
      </c>
      <c r="C159" s="1" t="n">
        <v>45928</v>
      </c>
      <c r="D159" t="inlineStr">
        <is>
          <t>SÖDERMANLANDS LÄN</t>
        </is>
      </c>
      <c r="E159" t="inlineStr">
        <is>
          <t>KATRINEHOLM</t>
        </is>
      </c>
      <c r="G159" t="n">
        <v>10.2</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45928</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45928</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45928</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45928</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32733-2021</t>
        </is>
      </c>
      <c r="B164" s="1" t="n">
        <v>44375</v>
      </c>
      <c r="C164" s="1" t="n">
        <v>45928</v>
      </c>
      <c r="D164" t="inlineStr">
        <is>
          <t>SÖDERMANLANDS LÄN</t>
        </is>
      </c>
      <c r="E164" t="inlineStr">
        <is>
          <t>KATRINEHOLM</t>
        </is>
      </c>
      <c r="G164" t="n">
        <v>9</v>
      </c>
      <c r="H164" t="n">
        <v>0</v>
      </c>
      <c r="I164" t="n">
        <v>0</v>
      </c>
      <c r="J164" t="n">
        <v>0</v>
      </c>
      <c r="K164" t="n">
        <v>0</v>
      </c>
      <c r="L164" t="n">
        <v>0</v>
      </c>
      <c r="M164" t="n">
        <v>0</v>
      </c>
      <c r="N164" t="n">
        <v>0</v>
      </c>
      <c r="O164" t="n">
        <v>0</v>
      </c>
      <c r="P164" t="n">
        <v>0</v>
      </c>
      <c r="Q164" t="n">
        <v>0</v>
      </c>
      <c r="R164" s="2" t="inlineStr"/>
      <c r="U164">
        <f>HYPERLINK("https://klasma.github.io/Logging_0483/knärot/A 32733-2021 karta knärot.png", "A 32733-2021")</f>
        <v/>
      </c>
      <c r="V164">
        <f>HYPERLINK("https://klasma.github.io/Logging_0483/klagomål/A 32733-2021 FSC-klagomål.docx", "A 32733-2021")</f>
        <v/>
      </c>
      <c r="W164">
        <f>HYPERLINK("https://klasma.github.io/Logging_0483/klagomålsmail/A 32733-2021 FSC-klagomål mail.docx", "A 32733-2021")</f>
        <v/>
      </c>
      <c r="X164">
        <f>HYPERLINK("https://klasma.github.io/Logging_0483/tillsyn/A 32733-2021 tillsynsbegäran.docx", "A 32733-2021")</f>
        <v/>
      </c>
      <c r="Y164">
        <f>HYPERLINK("https://klasma.github.io/Logging_0483/tillsynsmail/A 32733-2021 tillsynsbegäran mail.docx", "A 32733-2021")</f>
        <v/>
      </c>
    </row>
    <row r="165" ht="15" customHeight="1">
      <c r="A165" t="inlineStr">
        <is>
          <t>A 57745-2020</t>
        </is>
      </c>
      <c r="B165" s="1" t="n">
        <v>44141</v>
      </c>
      <c r="C165" s="1" t="n">
        <v>45928</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45928</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24098-2022</t>
        </is>
      </c>
      <c r="B167" s="1" t="n">
        <v>44725</v>
      </c>
      <c r="C167" s="1" t="n">
        <v>45928</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45928</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45928</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45928</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45928</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41642-2022</t>
        </is>
      </c>
      <c r="B172" s="1" t="n">
        <v>44827</v>
      </c>
      <c r="C172" s="1" t="n">
        <v>45928</v>
      </c>
      <c r="D172" t="inlineStr">
        <is>
          <t>SÖDERMANLANDS LÄN</t>
        </is>
      </c>
      <c r="E172" t="inlineStr">
        <is>
          <t>KATRINEHOLM</t>
        </is>
      </c>
      <c r="G172" t="n">
        <v>2.4</v>
      </c>
      <c r="H172" t="n">
        <v>0</v>
      </c>
      <c r="I172" t="n">
        <v>0</v>
      </c>
      <c r="J172" t="n">
        <v>0</v>
      </c>
      <c r="K172" t="n">
        <v>0</v>
      </c>
      <c r="L172" t="n">
        <v>0</v>
      </c>
      <c r="M172" t="n">
        <v>0</v>
      </c>
      <c r="N172" t="n">
        <v>0</v>
      </c>
      <c r="O172" t="n">
        <v>0</v>
      </c>
      <c r="P172" t="n">
        <v>0</v>
      </c>
      <c r="Q172" t="n">
        <v>0</v>
      </c>
      <c r="R172" s="2" t="inlineStr"/>
    </row>
    <row r="173" ht="15" customHeight="1">
      <c r="A173" t="inlineStr">
        <is>
          <t>A 12760-2021</t>
        </is>
      </c>
      <c r="B173" s="1" t="n">
        <v>44270</v>
      </c>
      <c r="C173" s="1" t="n">
        <v>45928</v>
      </c>
      <c r="D173" t="inlineStr">
        <is>
          <t>SÖDERMANLANDS LÄN</t>
        </is>
      </c>
      <c r="E173" t="inlineStr">
        <is>
          <t>KATRINEHOLM</t>
        </is>
      </c>
      <c r="F173" t="inlineStr">
        <is>
          <t>Kyrkan</t>
        </is>
      </c>
      <c r="G173" t="n">
        <v>1.2</v>
      </c>
      <c r="H173" t="n">
        <v>0</v>
      </c>
      <c r="I173" t="n">
        <v>0</v>
      </c>
      <c r="J173" t="n">
        <v>0</v>
      </c>
      <c r="K173" t="n">
        <v>0</v>
      </c>
      <c r="L173" t="n">
        <v>0</v>
      </c>
      <c r="M173" t="n">
        <v>0</v>
      </c>
      <c r="N173" t="n">
        <v>0</v>
      </c>
      <c r="O173" t="n">
        <v>0</v>
      </c>
      <c r="P173" t="n">
        <v>0</v>
      </c>
      <c r="Q173" t="n">
        <v>0</v>
      </c>
      <c r="R173" s="2" t="inlineStr"/>
    </row>
    <row r="174" ht="15" customHeight="1">
      <c r="A174" t="inlineStr">
        <is>
          <t>A 12068-2021</t>
        </is>
      </c>
      <c r="B174" s="1" t="n">
        <v>44266</v>
      </c>
      <c r="C174" s="1" t="n">
        <v>45928</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45928</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45928</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64633-2020</t>
        </is>
      </c>
      <c r="B177" s="1" t="n">
        <v>44169</v>
      </c>
      <c r="C177" s="1" t="n">
        <v>45928</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45928</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45928</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45928</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45928</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45928</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45928</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45928</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45928</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45928</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45928</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6091-2025</t>
        </is>
      </c>
      <c r="B188" s="1" t="n">
        <v>45697</v>
      </c>
      <c r="C188" s="1" t="n">
        <v>45928</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6093-2025</t>
        </is>
      </c>
      <c r="B189" s="1" t="n">
        <v>45697</v>
      </c>
      <c r="C189" s="1" t="n">
        <v>45928</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41966-2023</t>
        </is>
      </c>
      <c r="B190" s="1" t="n">
        <v>45177</v>
      </c>
      <c r="C190" s="1" t="n">
        <v>45928</v>
      </c>
      <c r="D190" t="inlineStr">
        <is>
          <t>SÖDERMANLANDS LÄN</t>
        </is>
      </c>
      <c r="E190" t="inlineStr">
        <is>
          <t>KATRINEHOLM</t>
        </is>
      </c>
      <c r="G190" t="n">
        <v>36.9</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45928</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12658-2022</t>
        </is>
      </c>
      <c r="B192" s="1" t="n">
        <v>44641</v>
      </c>
      <c r="C192" s="1" t="n">
        <v>45928</v>
      </c>
      <c r="D192" t="inlineStr">
        <is>
          <t>SÖDERMANLANDS LÄN</t>
        </is>
      </c>
      <c r="E192" t="inlineStr">
        <is>
          <t>KATRINEHOLM</t>
        </is>
      </c>
      <c r="G192" t="n">
        <v>1.4</v>
      </c>
      <c r="H192" t="n">
        <v>0</v>
      </c>
      <c r="I192" t="n">
        <v>0</v>
      </c>
      <c r="J192" t="n">
        <v>0</v>
      </c>
      <c r="K192" t="n">
        <v>0</v>
      </c>
      <c r="L192" t="n">
        <v>0</v>
      </c>
      <c r="M192" t="n">
        <v>0</v>
      </c>
      <c r="N192" t="n">
        <v>0</v>
      </c>
      <c r="O192" t="n">
        <v>0</v>
      </c>
      <c r="P192" t="n">
        <v>0</v>
      </c>
      <c r="Q192" t="n">
        <v>0</v>
      </c>
      <c r="R192" s="2" t="inlineStr"/>
    </row>
    <row r="193" ht="15" customHeight="1">
      <c r="A193" t="inlineStr">
        <is>
          <t>A 46412-2022</t>
        </is>
      </c>
      <c r="B193" s="1" t="n">
        <v>44848.42216435185</v>
      </c>
      <c r="C193" s="1" t="n">
        <v>45928</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4767-2021</t>
        </is>
      </c>
      <c r="B194" s="1" t="n">
        <v>44225</v>
      </c>
      <c r="C194" s="1" t="n">
        <v>45928</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45928</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45928</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56572-2021</t>
        </is>
      </c>
      <c r="B197" s="1" t="n">
        <v>44480</v>
      </c>
      <c r="C197" s="1" t="n">
        <v>45928</v>
      </c>
      <c r="D197" t="inlineStr">
        <is>
          <t>SÖDERMANLANDS LÄN</t>
        </is>
      </c>
      <c r="E197" t="inlineStr">
        <is>
          <t>KATRINEHOLM</t>
        </is>
      </c>
      <c r="F197" t="inlineStr">
        <is>
          <t>Holmen skog AB</t>
        </is>
      </c>
      <c r="G197" t="n">
        <v>0.5</v>
      </c>
      <c r="H197" t="n">
        <v>0</v>
      </c>
      <c r="I197" t="n">
        <v>0</v>
      </c>
      <c r="J197" t="n">
        <v>0</v>
      </c>
      <c r="K197" t="n">
        <v>0</v>
      </c>
      <c r="L197" t="n">
        <v>0</v>
      </c>
      <c r="M197" t="n">
        <v>0</v>
      </c>
      <c r="N197" t="n">
        <v>0</v>
      </c>
      <c r="O197" t="n">
        <v>0</v>
      </c>
      <c r="P197" t="n">
        <v>0</v>
      </c>
      <c r="Q197" t="n">
        <v>0</v>
      </c>
      <c r="R197" s="2" t="inlineStr"/>
    </row>
    <row r="198" ht="15" customHeight="1">
      <c r="A198" t="inlineStr">
        <is>
          <t>A 36964-2021</t>
        </is>
      </c>
      <c r="B198" s="1" t="n">
        <v>44393</v>
      </c>
      <c r="C198" s="1" t="n">
        <v>45928</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30981-2022</t>
        </is>
      </c>
      <c r="B199" s="1" t="n">
        <v>44768</v>
      </c>
      <c r="C199" s="1" t="n">
        <v>45928</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45928</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45928</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3090-2025</t>
        </is>
      </c>
      <c r="B202" s="1" t="n">
        <v>45678</v>
      </c>
      <c r="C202" s="1" t="n">
        <v>45928</v>
      </c>
      <c r="D202" t="inlineStr">
        <is>
          <t>SÖDERMANLANDS LÄN</t>
        </is>
      </c>
      <c r="E202" t="inlineStr">
        <is>
          <t>KATRINEHOLM</t>
        </is>
      </c>
      <c r="F202" t="inlineStr">
        <is>
          <t>Kyrkan</t>
        </is>
      </c>
      <c r="G202" t="n">
        <v>6.9</v>
      </c>
      <c r="H202" t="n">
        <v>0</v>
      </c>
      <c r="I202" t="n">
        <v>0</v>
      </c>
      <c r="J202" t="n">
        <v>0</v>
      </c>
      <c r="K202" t="n">
        <v>0</v>
      </c>
      <c r="L202" t="n">
        <v>0</v>
      </c>
      <c r="M202" t="n">
        <v>0</v>
      </c>
      <c r="N202" t="n">
        <v>0</v>
      </c>
      <c r="O202" t="n">
        <v>0</v>
      </c>
      <c r="P202" t="n">
        <v>0</v>
      </c>
      <c r="Q202" t="n">
        <v>0</v>
      </c>
      <c r="R202" s="2" t="inlineStr"/>
    </row>
    <row r="203" ht="15" customHeight="1">
      <c r="A203" t="inlineStr">
        <is>
          <t>A 48682-2022</t>
        </is>
      </c>
      <c r="B203" s="1" t="n">
        <v>44859</v>
      </c>
      <c r="C203" s="1" t="n">
        <v>45928</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45928</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17246-2024</t>
        </is>
      </c>
      <c r="B205" s="1" t="n">
        <v>45414</v>
      </c>
      <c r="C205" s="1" t="n">
        <v>45928</v>
      </c>
      <c r="D205" t="inlineStr">
        <is>
          <t>SÖDERMANLANDS LÄN</t>
        </is>
      </c>
      <c r="E205" t="inlineStr">
        <is>
          <t>KATRINEHOLM</t>
        </is>
      </c>
      <c r="F205" t="inlineStr">
        <is>
          <t>Allmännings- och besparingsskogar</t>
        </is>
      </c>
      <c r="G205" t="n">
        <v>13.7</v>
      </c>
      <c r="H205" t="n">
        <v>0</v>
      </c>
      <c r="I205" t="n">
        <v>0</v>
      </c>
      <c r="J205" t="n">
        <v>0</v>
      </c>
      <c r="K205" t="n">
        <v>0</v>
      </c>
      <c r="L205" t="n">
        <v>0</v>
      </c>
      <c r="M205" t="n">
        <v>0</v>
      </c>
      <c r="N205" t="n">
        <v>0</v>
      </c>
      <c r="O205" t="n">
        <v>0</v>
      </c>
      <c r="P205" t="n">
        <v>0</v>
      </c>
      <c r="Q205" t="n">
        <v>0</v>
      </c>
      <c r="R205" s="2" t="inlineStr"/>
    </row>
    <row r="206" ht="15" customHeight="1">
      <c r="A206" t="inlineStr">
        <is>
          <t>A 20460-2025</t>
        </is>
      </c>
      <c r="B206" s="1" t="n">
        <v>45775.52854166667</v>
      </c>
      <c r="C206" s="1" t="n">
        <v>45928</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9419-2022</t>
        </is>
      </c>
      <c r="B207" s="1" t="n">
        <v>44616</v>
      </c>
      <c r="C207" s="1" t="n">
        <v>45928</v>
      </c>
      <c r="D207" t="inlineStr">
        <is>
          <t>SÖDERMANLANDS LÄN</t>
        </is>
      </c>
      <c r="E207" t="inlineStr">
        <is>
          <t>KATRINEHOLM</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45928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42735-2022</t>
        </is>
      </c>
      <c r="B209" s="1" t="n">
        <v>44832</v>
      </c>
      <c r="C209" s="1" t="n">
        <v>45928</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21576-2022</t>
        </is>
      </c>
      <c r="B210" s="1" t="n">
        <v>44706</v>
      </c>
      <c r="C210" s="1" t="n">
        <v>45928</v>
      </c>
      <c r="D210" t="inlineStr">
        <is>
          <t>SÖDERMANLANDS LÄN</t>
        </is>
      </c>
      <c r="E210" t="inlineStr">
        <is>
          <t>KATRINEHOLM</t>
        </is>
      </c>
      <c r="G210" t="n">
        <v>4.2</v>
      </c>
      <c r="H210" t="n">
        <v>0</v>
      </c>
      <c r="I210" t="n">
        <v>0</v>
      </c>
      <c r="J210" t="n">
        <v>0</v>
      </c>
      <c r="K210" t="n">
        <v>0</v>
      </c>
      <c r="L210" t="n">
        <v>0</v>
      </c>
      <c r="M210" t="n">
        <v>0</v>
      </c>
      <c r="N210" t="n">
        <v>0</v>
      </c>
      <c r="O210" t="n">
        <v>0</v>
      </c>
      <c r="P210" t="n">
        <v>0</v>
      </c>
      <c r="Q210" t="n">
        <v>0</v>
      </c>
      <c r="R210" s="2" t="inlineStr"/>
    </row>
    <row r="211" ht="15" customHeight="1">
      <c r="A211" t="inlineStr">
        <is>
          <t>A 43967-2022</t>
        </is>
      </c>
      <c r="B211" s="1" t="n">
        <v>44837</v>
      </c>
      <c r="C211" s="1" t="n">
        <v>45928</v>
      </c>
      <c r="D211" t="inlineStr">
        <is>
          <t>SÖDERMANLANDS LÄN</t>
        </is>
      </c>
      <c r="E211" t="inlineStr">
        <is>
          <t>KATRINEHOLM</t>
        </is>
      </c>
      <c r="G211" t="n">
        <v>6.2</v>
      </c>
      <c r="H211" t="n">
        <v>0</v>
      </c>
      <c r="I211" t="n">
        <v>0</v>
      </c>
      <c r="J211" t="n">
        <v>0</v>
      </c>
      <c r="K211" t="n">
        <v>0</v>
      </c>
      <c r="L211" t="n">
        <v>0</v>
      </c>
      <c r="M211" t="n">
        <v>0</v>
      </c>
      <c r="N211" t="n">
        <v>0</v>
      </c>
      <c r="O211" t="n">
        <v>0</v>
      </c>
      <c r="P211" t="n">
        <v>0</v>
      </c>
      <c r="Q211" t="n">
        <v>0</v>
      </c>
      <c r="R211" s="2" t="inlineStr"/>
    </row>
    <row r="212" ht="15" customHeight="1">
      <c r="A212" t="inlineStr">
        <is>
          <t>A 66801-2021</t>
        </is>
      </c>
      <c r="B212" s="1" t="n">
        <v>44522</v>
      </c>
      <c r="C212" s="1" t="n">
        <v>45928</v>
      </c>
      <c r="D212" t="inlineStr">
        <is>
          <t>SÖDERMANLANDS LÄN</t>
        </is>
      </c>
      <c r="E212" t="inlineStr">
        <is>
          <t>KATRINEHOLM</t>
        </is>
      </c>
      <c r="F212" t="inlineStr">
        <is>
          <t>Holmen skog AB</t>
        </is>
      </c>
      <c r="G212" t="n">
        <v>0.2</v>
      </c>
      <c r="H212" t="n">
        <v>0</v>
      </c>
      <c r="I212" t="n">
        <v>0</v>
      </c>
      <c r="J212" t="n">
        <v>0</v>
      </c>
      <c r="K212" t="n">
        <v>0</v>
      </c>
      <c r="L212" t="n">
        <v>0</v>
      </c>
      <c r="M212" t="n">
        <v>0</v>
      </c>
      <c r="N212" t="n">
        <v>0</v>
      </c>
      <c r="O212" t="n">
        <v>0</v>
      </c>
      <c r="P212" t="n">
        <v>0</v>
      </c>
      <c r="Q212" t="n">
        <v>0</v>
      </c>
      <c r="R212" s="2" t="inlineStr"/>
    </row>
    <row r="213" ht="15" customHeight="1">
      <c r="A213" t="inlineStr">
        <is>
          <t>A 44012-2022</t>
        </is>
      </c>
      <c r="B213" s="1" t="n">
        <v>44838</v>
      </c>
      <c r="C213" s="1" t="n">
        <v>45928</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45928</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45928</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42015-2022</t>
        </is>
      </c>
      <c r="B216" s="1" t="n">
        <v>44830.4649074074</v>
      </c>
      <c r="C216" s="1" t="n">
        <v>45928</v>
      </c>
      <c r="D216" t="inlineStr">
        <is>
          <t>SÖDERMANLANDS LÄN</t>
        </is>
      </c>
      <c r="E216" t="inlineStr">
        <is>
          <t>KATRINEHOLM</t>
        </is>
      </c>
      <c r="G216" t="n">
        <v>3.8</v>
      </c>
      <c r="H216" t="n">
        <v>0</v>
      </c>
      <c r="I216" t="n">
        <v>0</v>
      </c>
      <c r="J216" t="n">
        <v>0</v>
      </c>
      <c r="K216" t="n">
        <v>0</v>
      </c>
      <c r="L216" t="n">
        <v>0</v>
      </c>
      <c r="M216" t="n">
        <v>0</v>
      </c>
      <c r="N216" t="n">
        <v>0</v>
      </c>
      <c r="O216" t="n">
        <v>0</v>
      </c>
      <c r="P216" t="n">
        <v>0</v>
      </c>
      <c r="Q216" t="n">
        <v>0</v>
      </c>
      <c r="R216" s="2" t="inlineStr"/>
    </row>
    <row r="217" ht="15" customHeight="1">
      <c r="A217" t="inlineStr">
        <is>
          <t>A 42020-2022</t>
        </is>
      </c>
      <c r="B217" s="1" t="n">
        <v>44830.46849537037</v>
      </c>
      <c r="C217" s="1" t="n">
        <v>45928</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45038-2022</t>
        </is>
      </c>
      <c r="B218" s="1" t="n">
        <v>44840</v>
      </c>
      <c r="C218" s="1" t="n">
        <v>45928</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55846-2022</t>
        </is>
      </c>
      <c r="B219" s="1" t="n">
        <v>44888</v>
      </c>
      <c r="C219" s="1" t="n">
        <v>45928</v>
      </c>
      <c r="D219" t="inlineStr">
        <is>
          <t>SÖDERMANLANDS LÄN</t>
        </is>
      </c>
      <c r="E219" t="inlineStr">
        <is>
          <t>KATRINEHOLM</t>
        </is>
      </c>
      <c r="G219" t="n">
        <v>6.5</v>
      </c>
      <c r="H219" t="n">
        <v>0</v>
      </c>
      <c r="I219" t="n">
        <v>0</v>
      </c>
      <c r="J219" t="n">
        <v>0</v>
      </c>
      <c r="K219" t="n">
        <v>0</v>
      </c>
      <c r="L219" t="n">
        <v>0</v>
      </c>
      <c r="M219" t="n">
        <v>0</v>
      </c>
      <c r="N219" t="n">
        <v>0</v>
      </c>
      <c r="O219" t="n">
        <v>0</v>
      </c>
      <c r="P219" t="n">
        <v>0</v>
      </c>
      <c r="Q219" t="n">
        <v>0</v>
      </c>
      <c r="R219" s="2" t="inlineStr"/>
    </row>
    <row r="220" ht="15" customHeight="1">
      <c r="A220" t="inlineStr">
        <is>
          <t>A 51835-2022</t>
        </is>
      </c>
      <c r="B220" s="1" t="n">
        <v>44872.57288194444</v>
      </c>
      <c r="C220" s="1" t="n">
        <v>45928</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53722-2023</t>
        </is>
      </c>
      <c r="B221" s="1" t="n">
        <v>45230</v>
      </c>
      <c r="C221" s="1" t="n">
        <v>45928</v>
      </c>
      <c r="D221" t="inlineStr">
        <is>
          <t>SÖDERMANLANDS LÄN</t>
        </is>
      </c>
      <c r="E221" t="inlineStr">
        <is>
          <t>KATRINEHOLM</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38607-2021</t>
        </is>
      </c>
      <c r="B222" s="1" t="n">
        <v>44409.41428240741</v>
      </c>
      <c r="C222" s="1" t="n">
        <v>45928</v>
      </c>
      <c r="D222" t="inlineStr">
        <is>
          <t>SÖDERMANLANDS LÄN</t>
        </is>
      </c>
      <c r="E222" t="inlineStr">
        <is>
          <t>KATRINEHOLM</t>
        </is>
      </c>
      <c r="G222" t="n">
        <v>2.9</v>
      </c>
      <c r="H222" t="n">
        <v>0</v>
      </c>
      <c r="I222" t="n">
        <v>0</v>
      </c>
      <c r="J222" t="n">
        <v>0</v>
      </c>
      <c r="K222" t="n">
        <v>0</v>
      </c>
      <c r="L222" t="n">
        <v>0</v>
      </c>
      <c r="M222" t="n">
        <v>0</v>
      </c>
      <c r="N222" t="n">
        <v>0</v>
      </c>
      <c r="O222" t="n">
        <v>0</v>
      </c>
      <c r="P222" t="n">
        <v>0</v>
      </c>
      <c r="Q222" t="n">
        <v>0</v>
      </c>
      <c r="R222" s="2" t="inlineStr"/>
    </row>
    <row r="223" ht="15" customHeight="1">
      <c r="A223" t="inlineStr">
        <is>
          <t>A 38606-2021</t>
        </is>
      </c>
      <c r="B223" s="1" t="n">
        <v>44409.40363425926</v>
      </c>
      <c r="C223" s="1" t="n">
        <v>45928</v>
      </c>
      <c r="D223" t="inlineStr">
        <is>
          <t>SÖDERMANLANDS LÄN</t>
        </is>
      </c>
      <c r="E223" t="inlineStr">
        <is>
          <t>KATRINEHOLM</t>
        </is>
      </c>
      <c r="G223" t="n">
        <v>2.2</v>
      </c>
      <c r="H223" t="n">
        <v>0</v>
      </c>
      <c r="I223" t="n">
        <v>0</v>
      </c>
      <c r="J223" t="n">
        <v>0</v>
      </c>
      <c r="K223" t="n">
        <v>0</v>
      </c>
      <c r="L223" t="n">
        <v>0</v>
      </c>
      <c r="M223" t="n">
        <v>0</v>
      </c>
      <c r="N223" t="n">
        <v>0</v>
      </c>
      <c r="O223" t="n">
        <v>0</v>
      </c>
      <c r="P223" t="n">
        <v>0</v>
      </c>
      <c r="Q223" t="n">
        <v>0</v>
      </c>
      <c r="R223" s="2" t="inlineStr"/>
    </row>
    <row r="224" ht="15" customHeight="1">
      <c r="A224" t="inlineStr">
        <is>
          <t>A 35088-2022</t>
        </is>
      </c>
      <c r="B224" s="1" t="n">
        <v>44797</v>
      </c>
      <c r="C224" s="1" t="n">
        <v>45928</v>
      </c>
      <c r="D224" t="inlineStr">
        <is>
          <t>SÖDERMANLANDS LÄN</t>
        </is>
      </c>
      <c r="E224" t="inlineStr">
        <is>
          <t>KATRINEHOLM</t>
        </is>
      </c>
      <c r="G224" t="n">
        <v>2.8</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45928</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45928</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4655-2024</t>
        </is>
      </c>
      <c r="B227" s="1" t="n">
        <v>45328</v>
      </c>
      <c r="C227" s="1" t="n">
        <v>45928</v>
      </c>
      <c r="D227" t="inlineStr">
        <is>
          <t>SÖDERMANLANDS LÄN</t>
        </is>
      </c>
      <c r="E227" t="inlineStr">
        <is>
          <t>KATRINEHOLM</t>
        </is>
      </c>
      <c r="G227" t="n">
        <v>17.7</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45928</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56661-2021</t>
        </is>
      </c>
      <c r="B229" s="1" t="n">
        <v>44481.24327546296</v>
      </c>
      <c r="C229" s="1" t="n">
        <v>45928</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28394-2023</t>
        </is>
      </c>
      <c r="B230" s="1" t="n">
        <v>45100</v>
      </c>
      <c r="C230" s="1" t="n">
        <v>45928</v>
      </c>
      <c r="D230" t="inlineStr">
        <is>
          <t>SÖDERMANLANDS LÄN</t>
        </is>
      </c>
      <c r="E230" t="inlineStr">
        <is>
          <t>KATRINEHOLM</t>
        </is>
      </c>
      <c r="G230" t="n">
        <v>4.2</v>
      </c>
      <c r="H230" t="n">
        <v>0</v>
      </c>
      <c r="I230" t="n">
        <v>0</v>
      </c>
      <c r="J230" t="n">
        <v>0</v>
      </c>
      <c r="K230" t="n">
        <v>0</v>
      </c>
      <c r="L230" t="n">
        <v>0</v>
      </c>
      <c r="M230" t="n">
        <v>0</v>
      </c>
      <c r="N230" t="n">
        <v>0</v>
      </c>
      <c r="O230" t="n">
        <v>0</v>
      </c>
      <c r="P230" t="n">
        <v>0</v>
      </c>
      <c r="Q230" t="n">
        <v>0</v>
      </c>
      <c r="R230" s="2" t="inlineStr"/>
    </row>
    <row r="231" ht="15" customHeight="1">
      <c r="A231" t="inlineStr">
        <is>
          <t>A 4122-2023</t>
        </is>
      </c>
      <c r="B231" s="1" t="n">
        <v>44952</v>
      </c>
      <c r="C231" s="1" t="n">
        <v>45928</v>
      </c>
      <c r="D231" t="inlineStr">
        <is>
          <t>SÖDERMANLANDS LÄN</t>
        </is>
      </c>
      <c r="E231" t="inlineStr">
        <is>
          <t>KATRINEHOLM</t>
        </is>
      </c>
      <c r="G231" t="n">
        <v>9</v>
      </c>
      <c r="H231" t="n">
        <v>0</v>
      </c>
      <c r="I231" t="n">
        <v>0</v>
      </c>
      <c r="J231" t="n">
        <v>0</v>
      </c>
      <c r="K231" t="n">
        <v>0</v>
      </c>
      <c r="L231" t="n">
        <v>0</v>
      </c>
      <c r="M231" t="n">
        <v>0</v>
      </c>
      <c r="N231" t="n">
        <v>0</v>
      </c>
      <c r="O231" t="n">
        <v>0</v>
      </c>
      <c r="P231" t="n">
        <v>0</v>
      </c>
      <c r="Q231" t="n">
        <v>0</v>
      </c>
      <c r="R231" s="2" t="inlineStr"/>
    </row>
    <row r="232" ht="15" customHeight="1">
      <c r="A232" t="inlineStr">
        <is>
          <t>A 53387-2023</t>
        </is>
      </c>
      <c r="B232" s="1" t="n">
        <v>45229</v>
      </c>
      <c r="C232" s="1" t="n">
        <v>45928</v>
      </c>
      <c r="D232" t="inlineStr">
        <is>
          <t>SÖDERMANLANDS LÄN</t>
        </is>
      </c>
      <c r="E232" t="inlineStr">
        <is>
          <t>KATRINEHOLM</t>
        </is>
      </c>
      <c r="F232" t="inlineStr">
        <is>
          <t>Kyrkan</t>
        </is>
      </c>
      <c r="G232" t="n">
        <v>7.4</v>
      </c>
      <c r="H232" t="n">
        <v>0</v>
      </c>
      <c r="I232" t="n">
        <v>0</v>
      </c>
      <c r="J232" t="n">
        <v>0</v>
      </c>
      <c r="K232" t="n">
        <v>0</v>
      </c>
      <c r="L232" t="n">
        <v>0</v>
      </c>
      <c r="M232" t="n">
        <v>0</v>
      </c>
      <c r="N232" t="n">
        <v>0</v>
      </c>
      <c r="O232" t="n">
        <v>0</v>
      </c>
      <c r="P232" t="n">
        <v>0</v>
      </c>
      <c r="Q232" t="n">
        <v>0</v>
      </c>
      <c r="R232" s="2" t="inlineStr"/>
    </row>
    <row r="233" ht="15" customHeight="1">
      <c r="A233" t="inlineStr">
        <is>
          <t>A 39847-2025</t>
        </is>
      </c>
      <c r="B233" s="1" t="n">
        <v>45891.58381944444</v>
      </c>
      <c r="C233" s="1" t="n">
        <v>45928</v>
      </c>
      <c r="D233" t="inlineStr">
        <is>
          <t>SÖDERMANLANDS LÄN</t>
        </is>
      </c>
      <c r="E233" t="inlineStr">
        <is>
          <t>KATRINEHOLM</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35149-2025</t>
        </is>
      </c>
      <c r="B234" s="1" t="n">
        <v>45852</v>
      </c>
      <c r="C234" s="1" t="n">
        <v>45928</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35161-2025</t>
        </is>
      </c>
      <c r="B235" s="1" t="n">
        <v>45852.70716435185</v>
      </c>
      <c r="C235" s="1" t="n">
        <v>45928</v>
      </c>
      <c r="D235" t="inlineStr">
        <is>
          <t>SÖDERMANLANDS LÄN</t>
        </is>
      </c>
      <c r="E235" t="inlineStr">
        <is>
          <t>KATRINEHOLM</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35084-2025</t>
        </is>
      </c>
      <c r="B236" s="1" t="n">
        <v>45852</v>
      </c>
      <c r="C236" s="1" t="n">
        <v>45928</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35145-2025</t>
        </is>
      </c>
      <c r="B237" s="1" t="n">
        <v>45852</v>
      </c>
      <c r="C237" s="1" t="n">
        <v>45928</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34439-2025</t>
        </is>
      </c>
      <c r="B238" s="1" t="n">
        <v>45845</v>
      </c>
      <c r="C238" s="1" t="n">
        <v>45928</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35157-2025</t>
        </is>
      </c>
      <c r="B239" s="1" t="n">
        <v>45852</v>
      </c>
      <c r="C239" s="1" t="n">
        <v>45928</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35158-2025</t>
        </is>
      </c>
      <c r="B240" s="1" t="n">
        <v>45852</v>
      </c>
      <c r="C240" s="1" t="n">
        <v>45928</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55795-2023</t>
        </is>
      </c>
      <c r="B241" s="1" t="n">
        <v>45239.54861111111</v>
      </c>
      <c r="C241" s="1" t="n">
        <v>45928</v>
      </c>
      <c r="D241" t="inlineStr">
        <is>
          <t>SÖDERMANLANDS LÄN</t>
        </is>
      </c>
      <c r="E241" t="inlineStr">
        <is>
          <t>KATRINEHOLM</t>
        </is>
      </c>
      <c r="G241" t="n">
        <v>7</v>
      </c>
      <c r="H241" t="n">
        <v>0</v>
      </c>
      <c r="I241" t="n">
        <v>0</v>
      </c>
      <c r="J241" t="n">
        <v>0</v>
      </c>
      <c r="K241" t="n">
        <v>0</v>
      </c>
      <c r="L241" t="n">
        <v>0</v>
      </c>
      <c r="M241" t="n">
        <v>0</v>
      </c>
      <c r="N241" t="n">
        <v>0</v>
      </c>
      <c r="O241" t="n">
        <v>0</v>
      </c>
      <c r="P241" t="n">
        <v>0</v>
      </c>
      <c r="Q241" t="n">
        <v>0</v>
      </c>
      <c r="R241" s="2" t="inlineStr"/>
    </row>
    <row r="242" ht="15" customHeight="1">
      <c r="A242" t="inlineStr">
        <is>
          <t>A 24284-2024</t>
        </is>
      </c>
      <c r="B242" s="1" t="n">
        <v>45457</v>
      </c>
      <c r="C242" s="1" t="n">
        <v>45928</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39737-2025</t>
        </is>
      </c>
      <c r="B243" s="1" t="n">
        <v>45891</v>
      </c>
      <c r="C243" s="1" t="n">
        <v>45928</v>
      </c>
      <c r="D243" t="inlineStr">
        <is>
          <t>SÖDERMANLANDS LÄN</t>
        </is>
      </c>
      <c r="E243" t="inlineStr">
        <is>
          <t>KATRINEHOLM</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9932-2023</t>
        </is>
      </c>
      <c r="B244" s="1" t="n">
        <v>44985.46709490741</v>
      </c>
      <c r="C244" s="1" t="n">
        <v>45928</v>
      </c>
      <c r="D244" t="inlineStr">
        <is>
          <t>SÖDERMANLANDS LÄN</t>
        </is>
      </c>
      <c r="E244" t="inlineStr">
        <is>
          <t>KATRINEHOLM</t>
        </is>
      </c>
      <c r="G244" t="n">
        <v>0.3</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45928</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29502-2023</t>
        </is>
      </c>
      <c r="B246" s="1" t="n">
        <v>45106</v>
      </c>
      <c r="C246" s="1" t="n">
        <v>45928</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61674-2020</t>
        </is>
      </c>
      <c r="B247" s="1" t="n">
        <v>44158</v>
      </c>
      <c r="C247" s="1" t="n">
        <v>45928</v>
      </c>
      <c r="D247" t="inlineStr">
        <is>
          <t>SÖDERMANLANDS LÄN</t>
        </is>
      </c>
      <c r="E247" t="inlineStr">
        <is>
          <t>KATRINEHOLM</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42111-2022</t>
        </is>
      </c>
      <c r="B248" s="1" t="n">
        <v>44830</v>
      </c>
      <c r="C248" s="1" t="n">
        <v>45928</v>
      </c>
      <c r="D248" t="inlineStr">
        <is>
          <t>SÖDERMANLANDS LÄN</t>
        </is>
      </c>
      <c r="E248" t="inlineStr">
        <is>
          <t>KATRINEHOLM</t>
        </is>
      </c>
      <c r="G248" t="n">
        <v>2.5</v>
      </c>
      <c r="H248" t="n">
        <v>0</v>
      </c>
      <c r="I248" t="n">
        <v>0</v>
      </c>
      <c r="J248" t="n">
        <v>0</v>
      </c>
      <c r="K248" t="n">
        <v>0</v>
      </c>
      <c r="L248" t="n">
        <v>0</v>
      </c>
      <c r="M248" t="n">
        <v>0</v>
      </c>
      <c r="N248" t="n">
        <v>0</v>
      </c>
      <c r="O248" t="n">
        <v>0</v>
      </c>
      <c r="P248" t="n">
        <v>0</v>
      </c>
      <c r="Q248" t="n">
        <v>0</v>
      </c>
      <c r="R248" s="2" t="inlineStr"/>
    </row>
    <row r="249" ht="15" customHeight="1">
      <c r="A249" t="inlineStr">
        <is>
          <t>A 9192-2023</t>
        </is>
      </c>
      <c r="B249" s="1" t="n">
        <v>44980</v>
      </c>
      <c r="C249" s="1" t="n">
        <v>45928</v>
      </c>
      <c r="D249" t="inlineStr">
        <is>
          <t>SÖDERMANLANDS LÄN</t>
        </is>
      </c>
      <c r="E249" t="inlineStr">
        <is>
          <t>KATRINEHOLM</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15399-2022</t>
        </is>
      </c>
      <c r="B250" s="1" t="n">
        <v>44659</v>
      </c>
      <c r="C250" s="1" t="n">
        <v>45928</v>
      </c>
      <c r="D250" t="inlineStr">
        <is>
          <t>SÖDERMANLANDS LÄN</t>
        </is>
      </c>
      <c r="E250" t="inlineStr">
        <is>
          <t>KATRINEHOLM</t>
        </is>
      </c>
      <c r="G250" t="n">
        <v>5.6</v>
      </c>
      <c r="H250" t="n">
        <v>0</v>
      </c>
      <c r="I250" t="n">
        <v>0</v>
      </c>
      <c r="J250" t="n">
        <v>0</v>
      </c>
      <c r="K250" t="n">
        <v>0</v>
      </c>
      <c r="L250" t="n">
        <v>0</v>
      </c>
      <c r="M250" t="n">
        <v>0</v>
      </c>
      <c r="N250" t="n">
        <v>0</v>
      </c>
      <c r="O250" t="n">
        <v>0</v>
      </c>
      <c r="P250" t="n">
        <v>0</v>
      </c>
      <c r="Q250" t="n">
        <v>0</v>
      </c>
      <c r="R250" s="2" t="inlineStr"/>
    </row>
    <row r="251" ht="15" customHeight="1">
      <c r="A251" t="inlineStr">
        <is>
          <t>A 11872-2023</t>
        </is>
      </c>
      <c r="B251" s="1" t="n">
        <v>44995</v>
      </c>
      <c r="C251" s="1" t="n">
        <v>45928</v>
      </c>
      <c r="D251" t="inlineStr">
        <is>
          <t>SÖDERMANLANDS LÄN</t>
        </is>
      </c>
      <c r="E251" t="inlineStr">
        <is>
          <t>KATRINEHOLM</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38883-2024</t>
        </is>
      </c>
      <c r="B252" s="1" t="n">
        <v>45547</v>
      </c>
      <c r="C252" s="1" t="n">
        <v>45928</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49092-2024</t>
        </is>
      </c>
      <c r="B253" s="1" t="n">
        <v>45594.63619212963</v>
      </c>
      <c r="C253" s="1" t="n">
        <v>45928</v>
      </c>
      <c r="D253" t="inlineStr">
        <is>
          <t>SÖDERMANLANDS LÄN</t>
        </is>
      </c>
      <c r="E253" t="inlineStr">
        <is>
          <t>KATRINEHOLM</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49095-2024</t>
        </is>
      </c>
      <c r="B254" s="1" t="n">
        <v>45594.63828703704</v>
      </c>
      <c r="C254" s="1" t="n">
        <v>45928</v>
      </c>
      <c r="D254" t="inlineStr">
        <is>
          <t>SÖDERMANLANDS LÄN</t>
        </is>
      </c>
      <c r="E254" t="inlineStr">
        <is>
          <t>KATRINEHOLM</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36767-2022</t>
        </is>
      </c>
      <c r="B255" s="1" t="n">
        <v>44805</v>
      </c>
      <c r="C255" s="1" t="n">
        <v>45928</v>
      </c>
      <c r="D255" t="inlineStr">
        <is>
          <t>SÖDERMANLANDS LÄN</t>
        </is>
      </c>
      <c r="E255" t="inlineStr">
        <is>
          <t>KATRINEHOLM</t>
        </is>
      </c>
      <c r="G255" t="n">
        <v>1.1</v>
      </c>
      <c r="H255" t="n">
        <v>0</v>
      </c>
      <c r="I255" t="n">
        <v>0</v>
      </c>
      <c r="J255" t="n">
        <v>0</v>
      </c>
      <c r="K255" t="n">
        <v>0</v>
      </c>
      <c r="L255" t="n">
        <v>0</v>
      </c>
      <c r="M255" t="n">
        <v>0</v>
      </c>
      <c r="N255" t="n">
        <v>0</v>
      </c>
      <c r="O255" t="n">
        <v>0</v>
      </c>
      <c r="P255" t="n">
        <v>0</v>
      </c>
      <c r="Q255" t="n">
        <v>0</v>
      </c>
      <c r="R255" s="2" t="inlineStr"/>
    </row>
    <row r="256" ht="15" customHeight="1">
      <c r="A256" t="inlineStr">
        <is>
          <t>A 4667-2024</t>
        </is>
      </c>
      <c r="B256" s="1" t="n">
        <v>45328.47</v>
      </c>
      <c r="C256" s="1" t="n">
        <v>45928</v>
      </c>
      <c r="D256" t="inlineStr">
        <is>
          <t>SÖDERMANLANDS LÄN</t>
        </is>
      </c>
      <c r="E256" t="inlineStr">
        <is>
          <t>KATRINEHOLM</t>
        </is>
      </c>
      <c r="F256" t="inlineStr">
        <is>
          <t>Övriga Aktiebolag</t>
        </is>
      </c>
      <c r="G256" t="n">
        <v>10.2</v>
      </c>
      <c r="H256" t="n">
        <v>0</v>
      </c>
      <c r="I256" t="n">
        <v>0</v>
      </c>
      <c r="J256" t="n">
        <v>0</v>
      </c>
      <c r="K256" t="n">
        <v>0</v>
      </c>
      <c r="L256" t="n">
        <v>0</v>
      </c>
      <c r="M256" t="n">
        <v>0</v>
      </c>
      <c r="N256" t="n">
        <v>0</v>
      </c>
      <c r="O256" t="n">
        <v>0</v>
      </c>
      <c r="P256" t="n">
        <v>0</v>
      </c>
      <c r="Q256" t="n">
        <v>0</v>
      </c>
      <c r="R256" s="2" t="inlineStr"/>
    </row>
    <row r="257" ht="15" customHeight="1">
      <c r="A257" t="inlineStr">
        <is>
          <t>A 7254-2021</t>
        </is>
      </c>
      <c r="B257" s="1" t="n">
        <v>44238</v>
      </c>
      <c r="C257" s="1" t="n">
        <v>45928</v>
      </c>
      <c r="D257" t="inlineStr">
        <is>
          <t>SÖDERMANLANDS LÄN</t>
        </is>
      </c>
      <c r="E257" t="inlineStr">
        <is>
          <t>KATRINEHOLM</t>
        </is>
      </c>
      <c r="G257" t="n">
        <v>3.6</v>
      </c>
      <c r="H257" t="n">
        <v>0</v>
      </c>
      <c r="I257" t="n">
        <v>0</v>
      </c>
      <c r="J257" t="n">
        <v>0</v>
      </c>
      <c r="K257" t="n">
        <v>0</v>
      </c>
      <c r="L257" t="n">
        <v>0</v>
      </c>
      <c r="M257" t="n">
        <v>0</v>
      </c>
      <c r="N257" t="n">
        <v>0</v>
      </c>
      <c r="O257" t="n">
        <v>0</v>
      </c>
      <c r="P257" t="n">
        <v>0</v>
      </c>
      <c r="Q257" t="n">
        <v>0</v>
      </c>
      <c r="R257" s="2" t="inlineStr"/>
    </row>
    <row r="258" ht="15" customHeight="1">
      <c r="A258" t="inlineStr">
        <is>
          <t>A 39704-2023</t>
        </is>
      </c>
      <c r="B258" s="1" t="n">
        <v>45167</v>
      </c>
      <c r="C258" s="1" t="n">
        <v>45928</v>
      </c>
      <c r="D258" t="inlineStr">
        <is>
          <t>SÖDERMANLANDS LÄN</t>
        </is>
      </c>
      <c r="E258" t="inlineStr">
        <is>
          <t>KATRINEHOLM</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16087-2023</t>
        </is>
      </c>
      <c r="B259" s="1" t="n">
        <v>45026</v>
      </c>
      <c r="C259" s="1" t="n">
        <v>45928</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61867-2020</t>
        </is>
      </c>
      <c r="B260" s="1" t="n">
        <v>44159</v>
      </c>
      <c r="C260" s="1" t="n">
        <v>45928</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33712-2022</t>
        </is>
      </c>
      <c r="B261" s="1" t="n">
        <v>44789</v>
      </c>
      <c r="C261" s="1" t="n">
        <v>45928</v>
      </c>
      <c r="D261" t="inlineStr">
        <is>
          <t>SÖDERMANLANDS LÄN</t>
        </is>
      </c>
      <c r="E261" t="inlineStr">
        <is>
          <t>KATRINEHOLM</t>
        </is>
      </c>
      <c r="G261" t="n">
        <v>4.3</v>
      </c>
      <c r="H261" t="n">
        <v>0</v>
      </c>
      <c r="I261" t="n">
        <v>0</v>
      </c>
      <c r="J261" t="n">
        <v>0</v>
      </c>
      <c r="K261" t="n">
        <v>0</v>
      </c>
      <c r="L261" t="n">
        <v>0</v>
      </c>
      <c r="M261" t="n">
        <v>0</v>
      </c>
      <c r="N261" t="n">
        <v>0</v>
      </c>
      <c r="O261" t="n">
        <v>0</v>
      </c>
      <c r="P261" t="n">
        <v>0</v>
      </c>
      <c r="Q261" t="n">
        <v>0</v>
      </c>
      <c r="R261" s="2" t="inlineStr"/>
    </row>
    <row r="262" ht="15" customHeight="1">
      <c r="A262" t="inlineStr">
        <is>
          <t>A 55034-2021</t>
        </is>
      </c>
      <c r="B262" s="1" t="n">
        <v>44474</v>
      </c>
      <c r="C262" s="1" t="n">
        <v>45928</v>
      </c>
      <c r="D262" t="inlineStr">
        <is>
          <t>SÖDERMANLANDS LÄN</t>
        </is>
      </c>
      <c r="E262" t="inlineStr">
        <is>
          <t>KATRINEHOLM</t>
        </is>
      </c>
      <c r="G262" t="n">
        <v>5</v>
      </c>
      <c r="H262" t="n">
        <v>0</v>
      </c>
      <c r="I262" t="n">
        <v>0</v>
      </c>
      <c r="J262" t="n">
        <v>0</v>
      </c>
      <c r="K262" t="n">
        <v>0</v>
      </c>
      <c r="L262" t="n">
        <v>0</v>
      </c>
      <c r="M262" t="n">
        <v>0</v>
      </c>
      <c r="N262" t="n">
        <v>0</v>
      </c>
      <c r="O262" t="n">
        <v>0</v>
      </c>
      <c r="P262" t="n">
        <v>0</v>
      </c>
      <c r="Q262" t="n">
        <v>0</v>
      </c>
      <c r="R262" s="2" t="inlineStr"/>
    </row>
    <row r="263" ht="15" customHeight="1">
      <c r="A263" t="inlineStr">
        <is>
          <t>A 33717-2022</t>
        </is>
      </c>
      <c r="B263" s="1" t="n">
        <v>44789</v>
      </c>
      <c r="C263" s="1" t="n">
        <v>45928</v>
      </c>
      <c r="D263" t="inlineStr">
        <is>
          <t>SÖDERMANLANDS LÄN</t>
        </is>
      </c>
      <c r="E263" t="inlineStr">
        <is>
          <t>KATRINEHOLM</t>
        </is>
      </c>
      <c r="G263" t="n">
        <v>4.4</v>
      </c>
      <c r="H263" t="n">
        <v>0</v>
      </c>
      <c r="I263" t="n">
        <v>0</v>
      </c>
      <c r="J263" t="n">
        <v>0</v>
      </c>
      <c r="K263" t="n">
        <v>0</v>
      </c>
      <c r="L263" t="n">
        <v>0</v>
      </c>
      <c r="M263" t="n">
        <v>0</v>
      </c>
      <c r="N263" t="n">
        <v>0</v>
      </c>
      <c r="O263" t="n">
        <v>0</v>
      </c>
      <c r="P263" t="n">
        <v>0</v>
      </c>
      <c r="Q263" t="n">
        <v>0</v>
      </c>
      <c r="R263" s="2" t="inlineStr"/>
    </row>
    <row r="264" ht="15" customHeight="1">
      <c r="A264" t="inlineStr">
        <is>
          <t>A 65077-2020</t>
        </is>
      </c>
      <c r="B264" s="1" t="n">
        <v>44172</v>
      </c>
      <c r="C264" s="1" t="n">
        <v>45928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28652-2024</t>
        </is>
      </c>
      <c r="B265" s="1" t="n">
        <v>45478</v>
      </c>
      <c r="C265" s="1" t="n">
        <v>45928</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36-2023</t>
        </is>
      </c>
      <c r="B266" s="1" t="n">
        <v>44928.36578703704</v>
      </c>
      <c r="C266" s="1" t="n">
        <v>45928</v>
      </c>
      <c r="D266" t="inlineStr">
        <is>
          <t>SÖDERMANLANDS LÄN</t>
        </is>
      </c>
      <c r="E266" t="inlineStr">
        <is>
          <t>KATRINEHOLM</t>
        </is>
      </c>
      <c r="G266" t="n">
        <v>3.7</v>
      </c>
      <c r="H266" t="n">
        <v>0</v>
      </c>
      <c r="I266" t="n">
        <v>0</v>
      </c>
      <c r="J266" t="n">
        <v>0</v>
      </c>
      <c r="K266" t="n">
        <v>0</v>
      </c>
      <c r="L266" t="n">
        <v>0</v>
      </c>
      <c r="M266" t="n">
        <v>0</v>
      </c>
      <c r="N266" t="n">
        <v>0</v>
      </c>
      <c r="O266" t="n">
        <v>0</v>
      </c>
      <c r="P266" t="n">
        <v>0</v>
      </c>
      <c r="Q266" t="n">
        <v>0</v>
      </c>
      <c r="R266" s="2" t="inlineStr"/>
    </row>
    <row r="267" ht="15" customHeight="1">
      <c r="A267" t="inlineStr">
        <is>
          <t>A 33752-2023</t>
        </is>
      </c>
      <c r="B267" s="1" t="n">
        <v>45120</v>
      </c>
      <c r="C267" s="1" t="n">
        <v>45928</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45376-2022</t>
        </is>
      </c>
      <c r="B268" s="1" t="n">
        <v>44844</v>
      </c>
      <c r="C268" s="1" t="n">
        <v>45928</v>
      </c>
      <c r="D268" t="inlineStr">
        <is>
          <t>SÖDERMANLANDS LÄN</t>
        </is>
      </c>
      <c r="E268" t="inlineStr">
        <is>
          <t>KATRINEHOLM</t>
        </is>
      </c>
      <c r="G268" t="n">
        <v>4.7</v>
      </c>
      <c r="H268" t="n">
        <v>0</v>
      </c>
      <c r="I268" t="n">
        <v>0</v>
      </c>
      <c r="J268" t="n">
        <v>0</v>
      </c>
      <c r="K268" t="n">
        <v>0</v>
      </c>
      <c r="L268" t="n">
        <v>0</v>
      </c>
      <c r="M268" t="n">
        <v>0</v>
      </c>
      <c r="N268" t="n">
        <v>0</v>
      </c>
      <c r="O268" t="n">
        <v>0</v>
      </c>
      <c r="P268" t="n">
        <v>0</v>
      </c>
      <c r="Q268" t="n">
        <v>0</v>
      </c>
      <c r="R268" s="2" t="inlineStr"/>
    </row>
    <row r="269" ht="15" customHeight="1">
      <c r="A269" t="inlineStr">
        <is>
          <t>A 55122-2022</t>
        </is>
      </c>
      <c r="B269" s="1" t="n">
        <v>44886.65092592593</v>
      </c>
      <c r="C269" s="1" t="n">
        <v>45928</v>
      </c>
      <c r="D269" t="inlineStr">
        <is>
          <t>SÖDERMANLANDS LÄN</t>
        </is>
      </c>
      <c r="E269" t="inlineStr">
        <is>
          <t>KATRINEHOLM</t>
        </is>
      </c>
      <c r="G269" t="n">
        <v>6.5</v>
      </c>
      <c r="H269" t="n">
        <v>0</v>
      </c>
      <c r="I269" t="n">
        <v>0</v>
      </c>
      <c r="J269" t="n">
        <v>0</v>
      </c>
      <c r="K269" t="n">
        <v>0</v>
      </c>
      <c r="L269" t="n">
        <v>0</v>
      </c>
      <c r="M269" t="n">
        <v>0</v>
      </c>
      <c r="N269" t="n">
        <v>0</v>
      </c>
      <c r="O269" t="n">
        <v>0</v>
      </c>
      <c r="P269" t="n">
        <v>0</v>
      </c>
      <c r="Q269" t="n">
        <v>0</v>
      </c>
      <c r="R269" s="2" t="inlineStr"/>
    </row>
    <row r="270" ht="15" customHeight="1">
      <c r="A270" t="inlineStr">
        <is>
          <t>A 17746-2024</t>
        </is>
      </c>
      <c r="B270" s="1" t="n">
        <v>45415</v>
      </c>
      <c r="C270" s="1" t="n">
        <v>45928</v>
      </c>
      <c r="D270" t="inlineStr">
        <is>
          <t>SÖDERMANLANDS LÄN</t>
        </is>
      </c>
      <c r="E270" t="inlineStr">
        <is>
          <t>KATRINEHOLM</t>
        </is>
      </c>
      <c r="G270" t="n">
        <v>7.8</v>
      </c>
      <c r="H270" t="n">
        <v>0</v>
      </c>
      <c r="I270" t="n">
        <v>0</v>
      </c>
      <c r="J270" t="n">
        <v>0</v>
      </c>
      <c r="K270" t="n">
        <v>0</v>
      </c>
      <c r="L270" t="n">
        <v>0</v>
      </c>
      <c r="M270" t="n">
        <v>0</v>
      </c>
      <c r="N270" t="n">
        <v>0</v>
      </c>
      <c r="O270" t="n">
        <v>0</v>
      </c>
      <c r="P270" t="n">
        <v>0</v>
      </c>
      <c r="Q270" t="n">
        <v>0</v>
      </c>
      <c r="R270" s="2" t="inlineStr"/>
    </row>
    <row r="271" ht="15" customHeight="1">
      <c r="A271" t="inlineStr">
        <is>
          <t>A 10341-2022</t>
        </is>
      </c>
      <c r="B271" s="1" t="n">
        <v>44623</v>
      </c>
      <c r="C271" s="1" t="n">
        <v>45928</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24179-2024</t>
        </is>
      </c>
      <c r="B272" s="1" t="n">
        <v>45456.83059027778</v>
      </c>
      <c r="C272" s="1" t="n">
        <v>45928</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51264-2021</t>
        </is>
      </c>
      <c r="B273" s="1" t="n">
        <v>44461</v>
      </c>
      <c r="C273" s="1" t="n">
        <v>45928</v>
      </c>
      <c r="D273" t="inlineStr">
        <is>
          <t>SÖDERMANLANDS LÄN</t>
        </is>
      </c>
      <c r="E273" t="inlineStr">
        <is>
          <t>KATRINEHOLM</t>
        </is>
      </c>
      <c r="G273" t="n">
        <v>3.1</v>
      </c>
      <c r="H273" t="n">
        <v>0</v>
      </c>
      <c r="I273" t="n">
        <v>0</v>
      </c>
      <c r="J273" t="n">
        <v>0</v>
      </c>
      <c r="K273" t="n">
        <v>0</v>
      </c>
      <c r="L273" t="n">
        <v>0</v>
      </c>
      <c r="M273" t="n">
        <v>0</v>
      </c>
      <c r="N273" t="n">
        <v>0</v>
      </c>
      <c r="O273" t="n">
        <v>0</v>
      </c>
      <c r="P273" t="n">
        <v>0</v>
      </c>
      <c r="Q273" t="n">
        <v>0</v>
      </c>
      <c r="R273" s="2" t="inlineStr"/>
    </row>
    <row r="274" ht="15" customHeight="1">
      <c r="A274" t="inlineStr">
        <is>
          <t>A 42791-2023</t>
        </is>
      </c>
      <c r="B274" s="1" t="n">
        <v>45181.92876157408</v>
      </c>
      <c r="C274" s="1" t="n">
        <v>45928</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42792-2023</t>
        </is>
      </c>
      <c r="B275" s="1" t="n">
        <v>45181.95491898148</v>
      </c>
      <c r="C275" s="1" t="n">
        <v>45928</v>
      </c>
      <c r="D275" t="inlineStr">
        <is>
          <t>SÖDERMANLANDS LÄN</t>
        </is>
      </c>
      <c r="E275" t="inlineStr">
        <is>
          <t>KATRINEHOLM</t>
        </is>
      </c>
      <c r="G275" t="n">
        <v>1.3</v>
      </c>
      <c r="H275" t="n">
        <v>0</v>
      </c>
      <c r="I275" t="n">
        <v>0</v>
      </c>
      <c r="J275" t="n">
        <v>0</v>
      </c>
      <c r="K275" t="n">
        <v>0</v>
      </c>
      <c r="L275" t="n">
        <v>0</v>
      </c>
      <c r="M275" t="n">
        <v>0</v>
      </c>
      <c r="N275" t="n">
        <v>0</v>
      </c>
      <c r="O275" t="n">
        <v>0</v>
      </c>
      <c r="P275" t="n">
        <v>0</v>
      </c>
      <c r="Q275" t="n">
        <v>0</v>
      </c>
      <c r="R275" s="2" t="inlineStr"/>
    </row>
    <row r="276" ht="15" customHeight="1">
      <c r="A276" t="inlineStr">
        <is>
          <t>A 41648-2025</t>
        </is>
      </c>
      <c r="B276" s="1" t="n">
        <v>45902.32601851852</v>
      </c>
      <c r="C276" s="1" t="n">
        <v>45928</v>
      </c>
      <c r="D276" t="inlineStr">
        <is>
          <t>SÖDERMANLANDS LÄN</t>
        </is>
      </c>
      <c r="E276" t="inlineStr">
        <is>
          <t>KATRINEHOLM</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12835-2024</t>
        </is>
      </c>
      <c r="B277" s="1" t="n">
        <v>45384</v>
      </c>
      <c r="C277" s="1" t="n">
        <v>45928</v>
      </c>
      <c r="D277" t="inlineStr">
        <is>
          <t>SÖDERMANLANDS LÄN</t>
        </is>
      </c>
      <c r="E277" t="inlineStr">
        <is>
          <t>KATRINEHOLM</t>
        </is>
      </c>
      <c r="F277" t="inlineStr">
        <is>
          <t>Allmännings- och besparingsskogar</t>
        </is>
      </c>
      <c r="G277" t="n">
        <v>0.5</v>
      </c>
      <c r="H277" t="n">
        <v>0</v>
      </c>
      <c r="I277" t="n">
        <v>0</v>
      </c>
      <c r="J277" t="n">
        <v>0</v>
      </c>
      <c r="K277" t="n">
        <v>0</v>
      </c>
      <c r="L277" t="n">
        <v>0</v>
      </c>
      <c r="M277" t="n">
        <v>0</v>
      </c>
      <c r="N277" t="n">
        <v>0</v>
      </c>
      <c r="O277" t="n">
        <v>0</v>
      </c>
      <c r="P277" t="n">
        <v>0</v>
      </c>
      <c r="Q277" t="n">
        <v>0</v>
      </c>
      <c r="R277" s="2" t="inlineStr"/>
    </row>
    <row r="278" ht="15" customHeight="1">
      <c r="A278" t="inlineStr">
        <is>
          <t>A 41548-2025</t>
        </is>
      </c>
      <c r="B278" s="1" t="n">
        <v>45901</v>
      </c>
      <c r="C278" s="1" t="n">
        <v>45928</v>
      </c>
      <c r="D278" t="inlineStr">
        <is>
          <t>SÖDERMANLANDS LÄN</t>
        </is>
      </c>
      <c r="E278" t="inlineStr">
        <is>
          <t>KATRINEHOLM</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34176-2025</t>
        </is>
      </c>
      <c r="B279" s="1" t="n">
        <v>45845</v>
      </c>
      <c r="C279" s="1" t="n">
        <v>45928</v>
      </c>
      <c r="D279" t="inlineStr">
        <is>
          <t>SÖDERMANLANDS LÄN</t>
        </is>
      </c>
      <c r="E279" t="inlineStr">
        <is>
          <t>KATRINEHOLM</t>
        </is>
      </c>
      <c r="G279" t="n">
        <v>0.5</v>
      </c>
      <c r="H279" t="n">
        <v>0</v>
      </c>
      <c r="I279" t="n">
        <v>0</v>
      </c>
      <c r="J279" t="n">
        <v>0</v>
      </c>
      <c r="K279" t="n">
        <v>0</v>
      </c>
      <c r="L279" t="n">
        <v>0</v>
      </c>
      <c r="M279" t="n">
        <v>0</v>
      </c>
      <c r="N279" t="n">
        <v>0</v>
      </c>
      <c r="O279" t="n">
        <v>0</v>
      </c>
      <c r="P279" t="n">
        <v>0</v>
      </c>
      <c r="Q279" t="n">
        <v>0</v>
      </c>
      <c r="R279" s="2" t="inlineStr"/>
    </row>
    <row r="280" ht="15" customHeight="1">
      <c r="A280" t="inlineStr">
        <is>
          <t>A 31740-2022</t>
        </is>
      </c>
      <c r="B280" s="1" t="n">
        <v>44776</v>
      </c>
      <c r="C280" s="1" t="n">
        <v>45928</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51128-2021</t>
        </is>
      </c>
      <c r="B281" s="1" t="n">
        <v>44460</v>
      </c>
      <c r="C281" s="1" t="n">
        <v>45928</v>
      </c>
      <c r="D281" t="inlineStr">
        <is>
          <t>SÖDERMANLANDS LÄN</t>
        </is>
      </c>
      <c r="E281" t="inlineStr">
        <is>
          <t>KATRINEHOLM</t>
        </is>
      </c>
      <c r="G281" t="n">
        <v>7.8</v>
      </c>
      <c r="H281" t="n">
        <v>0</v>
      </c>
      <c r="I281" t="n">
        <v>0</v>
      </c>
      <c r="J281" t="n">
        <v>0</v>
      </c>
      <c r="K281" t="n">
        <v>0</v>
      </c>
      <c r="L281" t="n">
        <v>0</v>
      </c>
      <c r="M281" t="n">
        <v>0</v>
      </c>
      <c r="N281" t="n">
        <v>0</v>
      </c>
      <c r="O281" t="n">
        <v>0</v>
      </c>
      <c r="P281" t="n">
        <v>0</v>
      </c>
      <c r="Q281" t="n">
        <v>0</v>
      </c>
      <c r="R281" s="2" t="inlineStr"/>
    </row>
    <row r="282" ht="15" customHeight="1">
      <c r="A282" t="inlineStr">
        <is>
          <t>A 25716-2022</t>
        </is>
      </c>
      <c r="B282" s="1" t="n">
        <v>44733.39600694444</v>
      </c>
      <c r="C282" s="1" t="n">
        <v>45928</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6807-2023</t>
        </is>
      </c>
      <c r="B283" s="1" t="n">
        <v>44964</v>
      </c>
      <c r="C283" s="1" t="n">
        <v>45928</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48619-2020</t>
        </is>
      </c>
      <c r="B284" s="1" t="n">
        <v>44103</v>
      </c>
      <c r="C284" s="1" t="n">
        <v>45928</v>
      </c>
      <c r="D284" t="inlineStr">
        <is>
          <t>SÖDERMANLANDS LÄN</t>
        </is>
      </c>
      <c r="E284" t="inlineStr">
        <is>
          <t>KATRINEHOLM</t>
        </is>
      </c>
      <c r="F284" t="inlineStr">
        <is>
          <t>Övriga statliga verk och myndigheter</t>
        </is>
      </c>
      <c r="G284" t="n">
        <v>0.9</v>
      </c>
      <c r="H284" t="n">
        <v>0</v>
      </c>
      <c r="I284" t="n">
        <v>0</v>
      </c>
      <c r="J284" t="n">
        <v>0</v>
      </c>
      <c r="K284" t="n">
        <v>0</v>
      </c>
      <c r="L284" t="n">
        <v>0</v>
      </c>
      <c r="M284" t="n">
        <v>0</v>
      </c>
      <c r="N284" t="n">
        <v>0</v>
      </c>
      <c r="O284" t="n">
        <v>0</v>
      </c>
      <c r="P284" t="n">
        <v>0</v>
      </c>
      <c r="Q284" t="n">
        <v>0</v>
      </c>
      <c r="R284" s="2" t="inlineStr"/>
    </row>
    <row r="285" ht="15" customHeight="1">
      <c r="A285" t="inlineStr">
        <is>
          <t>A 41498-2025</t>
        </is>
      </c>
      <c r="B285" s="1" t="n">
        <v>45901.49755787037</v>
      </c>
      <c r="C285" s="1" t="n">
        <v>45928</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9668-2023</t>
        </is>
      </c>
      <c r="B286" s="1" t="n">
        <v>44984.41238425926</v>
      </c>
      <c r="C286" s="1" t="n">
        <v>45928</v>
      </c>
      <c r="D286" t="inlineStr">
        <is>
          <t>SÖDERMANLANDS LÄN</t>
        </is>
      </c>
      <c r="E286" t="inlineStr">
        <is>
          <t>KATRINEHOLM</t>
        </is>
      </c>
      <c r="G286" t="n">
        <v>4.8</v>
      </c>
      <c r="H286" t="n">
        <v>0</v>
      </c>
      <c r="I286" t="n">
        <v>0</v>
      </c>
      <c r="J286" t="n">
        <v>0</v>
      </c>
      <c r="K286" t="n">
        <v>0</v>
      </c>
      <c r="L286" t="n">
        <v>0</v>
      </c>
      <c r="M286" t="n">
        <v>0</v>
      </c>
      <c r="N286" t="n">
        <v>0</v>
      </c>
      <c r="O286" t="n">
        <v>0</v>
      </c>
      <c r="P286" t="n">
        <v>0</v>
      </c>
      <c r="Q286" t="n">
        <v>0</v>
      </c>
      <c r="R286" s="2" t="inlineStr"/>
    </row>
    <row r="287" ht="15" customHeight="1">
      <c r="A287" t="inlineStr">
        <is>
          <t>A 4679-2023</t>
        </is>
      </c>
      <c r="B287" s="1" t="n">
        <v>44957.44885416667</v>
      </c>
      <c r="C287" s="1" t="n">
        <v>45928</v>
      </c>
      <c r="D287" t="inlineStr">
        <is>
          <t>SÖDERMANLANDS LÄN</t>
        </is>
      </c>
      <c r="E287" t="inlineStr">
        <is>
          <t>KATRINEHOLM</t>
        </is>
      </c>
      <c r="G287" t="n">
        <v>5.3</v>
      </c>
      <c r="H287" t="n">
        <v>0</v>
      </c>
      <c r="I287" t="n">
        <v>0</v>
      </c>
      <c r="J287" t="n">
        <v>0</v>
      </c>
      <c r="K287" t="n">
        <v>0</v>
      </c>
      <c r="L287" t="n">
        <v>0</v>
      </c>
      <c r="M287" t="n">
        <v>0</v>
      </c>
      <c r="N287" t="n">
        <v>0</v>
      </c>
      <c r="O287" t="n">
        <v>0</v>
      </c>
      <c r="P287" t="n">
        <v>0</v>
      </c>
      <c r="Q287" t="n">
        <v>0</v>
      </c>
      <c r="R287" s="2" t="inlineStr"/>
    </row>
    <row r="288" ht="15" customHeight="1">
      <c r="A288" t="inlineStr">
        <is>
          <t>A 9044-2022</t>
        </is>
      </c>
      <c r="B288" s="1" t="n">
        <v>44602</v>
      </c>
      <c r="C288" s="1" t="n">
        <v>45928</v>
      </c>
      <c r="D288" t="inlineStr">
        <is>
          <t>SÖDERMANLANDS LÄN</t>
        </is>
      </c>
      <c r="E288" t="inlineStr">
        <is>
          <t>KATRINEHOLM</t>
        </is>
      </c>
      <c r="G288" t="n">
        <v>5.8</v>
      </c>
      <c r="H288" t="n">
        <v>0</v>
      </c>
      <c r="I288" t="n">
        <v>0</v>
      </c>
      <c r="J288" t="n">
        <v>0</v>
      </c>
      <c r="K288" t="n">
        <v>0</v>
      </c>
      <c r="L288" t="n">
        <v>0</v>
      </c>
      <c r="M288" t="n">
        <v>0</v>
      </c>
      <c r="N288" t="n">
        <v>0</v>
      </c>
      <c r="O288" t="n">
        <v>0</v>
      </c>
      <c r="P288" t="n">
        <v>0</v>
      </c>
      <c r="Q288" t="n">
        <v>0</v>
      </c>
      <c r="R288" s="2" t="inlineStr"/>
    </row>
    <row r="289" ht="15" customHeight="1">
      <c r="A289" t="inlineStr">
        <is>
          <t>A 3980-2024</t>
        </is>
      </c>
      <c r="B289" s="1" t="n">
        <v>45322</v>
      </c>
      <c r="C289" s="1" t="n">
        <v>45928</v>
      </c>
      <c r="D289" t="inlineStr">
        <is>
          <t>SÖDERMANLANDS LÄN</t>
        </is>
      </c>
      <c r="E289" t="inlineStr">
        <is>
          <t>KATRINEHOLM</t>
        </is>
      </c>
      <c r="G289" t="n">
        <v>0.4</v>
      </c>
      <c r="H289" t="n">
        <v>0</v>
      </c>
      <c r="I289" t="n">
        <v>0</v>
      </c>
      <c r="J289" t="n">
        <v>0</v>
      </c>
      <c r="K289" t="n">
        <v>0</v>
      </c>
      <c r="L289" t="n">
        <v>0</v>
      </c>
      <c r="M289" t="n">
        <v>0</v>
      </c>
      <c r="N289" t="n">
        <v>0</v>
      </c>
      <c r="O289" t="n">
        <v>0</v>
      </c>
      <c r="P289" t="n">
        <v>0</v>
      </c>
      <c r="Q289" t="n">
        <v>0</v>
      </c>
      <c r="R289" s="2" t="inlineStr"/>
    </row>
    <row r="290" ht="15" customHeight="1">
      <c r="A290" t="inlineStr">
        <is>
          <t>A 64713-2023</t>
        </is>
      </c>
      <c r="B290" s="1" t="n">
        <v>45281</v>
      </c>
      <c r="C290" s="1" t="n">
        <v>45928</v>
      </c>
      <c r="D290" t="inlineStr">
        <is>
          <t>SÖDERMANLANDS LÄN</t>
        </is>
      </c>
      <c r="E290" t="inlineStr">
        <is>
          <t>KATRINEHOLM</t>
        </is>
      </c>
      <c r="G290" t="n">
        <v>4.9</v>
      </c>
      <c r="H290" t="n">
        <v>0</v>
      </c>
      <c r="I290" t="n">
        <v>0</v>
      </c>
      <c r="J290" t="n">
        <v>0</v>
      </c>
      <c r="K290" t="n">
        <v>0</v>
      </c>
      <c r="L290" t="n">
        <v>0</v>
      </c>
      <c r="M290" t="n">
        <v>0</v>
      </c>
      <c r="N290" t="n">
        <v>0</v>
      </c>
      <c r="O290" t="n">
        <v>0</v>
      </c>
      <c r="P290" t="n">
        <v>0</v>
      </c>
      <c r="Q290" t="n">
        <v>0</v>
      </c>
      <c r="R290" s="2" t="inlineStr"/>
    </row>
    <row r="291" ht="15" customHeight="1">
      <c r="A291" t="inlineStr">
        <is>
          <t>A 6087-2021</t>
        </is>
      </c>
      <c r="B291" s="1" t="n">
        <v>44232</v>
      </c>
      <c r="C291" s="1" t="n">
        <v>45928</v>
      </c>
      <c r="D291" t="inlineStr">
        <is>
          <t>SÖDERMANLANDS LÄN</t>
        </is>
      </c>
      <c r="E291" t="inlineStr">
        <is>
          <t>KATRINEHOLM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48528-2021</t>
        </is>
      </c>
      <c r="B292" s="1" t="n">
        <v>44449</v>
      </c>
      <c r="C292" s="1" t="n">
        <v>45928</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60677-2021</t>
        </is>
      </c>
      <c r="B293" s="1" t="n">
        <v>44495</v>
      </c>
      <c r="C293" s="1" t="n">
        <v>45928</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48398-2022</t>
        </is>
      </c>
      <c r="B294" s="1" t="n">
        <v>44858.60809027778</v>
      </c>
      <c r="C294" s="1" t="n">
        <v>45928</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43088-2022</t>
        </is>
      </c>
      <c r="B295" s="1" t="n">
        <v>44833</v>
      </c>
      <c r="C295" s="1" t="n">
        <v>45928</v>
      </c>
      <c r="D295" t="inlineStr">
        <is>
          <t>SÖDERMANLANDS LÄN</t>
        </is>
      </c>
      <c r="E295" t="inlineStr">
        <is>
          <t>KATRINEHOLM</t>
        </is>
      </c>
      <c r="G295" t="n">
        <v>6.6</v>
      </c>
      <c r="H295" t="n">
        <v>0</v>
      </c>
      <c r="I295" t="n">
        <v>0</v>
      </c>
      <c r="J295" t="n">
        <v>0</v>
      </c>
      <c r="K295" t="n">
        <v>0</v>
      </c>
      <c r="L295" t="n">
        <v>0</v>
      </c>
      <c r="M295" t="n">
        <v>0</v>
      </c>
      <c r="N295" t="n">
        <v>0</v>
      </c>
      <c r="O295" t="n">
        <v>0</v>
      </c>
      <c r="P295" t="n">
        <v>0</v>
      </c>
      <c r="Q295" t="n">
        <v>0</v>
      </c>
      <c r="R295" s="2" t="inlineStr"/>
    </row>
    <row r="296" ht="15" customHeight="1">
      <c r="A296" t="inlineStr">
        <is>
          <t>A 64605-2023</t>
        </is>
      </c>
      <c r="B296" s="1" t="n">
        <v>45281</v>
      </c>
      <c r="C296" s="1" t="n">
        <v>45928</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6753-2022</t>
        </is>
      </c>
      <c r="B297" s="1" t="n">
        <v>44602</v>
      </c>
      <c r="C297" s="1" t="n">
        <v>45928</v>
      </c>
      <c r="D297" t="inlineStr">
        <is>
          <t>SÖDERMANLANDS LÄN</t>
        </is>
      </c>
      <c r="E297" t="inlineStr">
        <is>
          <t>KATRINEHOLM</t>
        </is>
      </c>
      <c r="G297" t="n">
        <v>4.3</v>
      </c>
      <c r="H297" t="n">
        <v>0</v>
      </c>
      <c r="I297" t="n">
        <v>0</v>
      </c>
      <c r="J297" t="n">
        <v>0</v>
      </c>
      <c r="K297" t="n">
        <v>0</v>
      </c>
      <c r="L297" t="n">
        <v>0</v>
      </c>
      <c r="M297" t="n">
        <v>0</v>
      </c>
      <c r="N297" t="n">
        <v>0</v>
      </c>
      <c r="O297" t="n">
        <v>0</v>
      </c>
      <c r="P297" t="n">
        <v>0</v>
      </c>
      <c r="Q297" t="n">
        <v>0</v>
      </c>
      <c r="R297" s="2" t="inlineStr"/>
    </row>
    <row r="298" ht="15" customHeight="1">
      <c r="A298" t="inlineStr">
        <is>
          <t>A 15184-2023</t>
        </is>
      </c>
      <c r="B298" s="1" t="n">
        <v>45016</v>
      </c>
      <c r="C298" s="1" t="n">
        <v>45928</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42686-2025</t>
        </is>
      </c>
      <c r="B299" s="1" t="n">
        <v>45908.35550925926</v>
      </c>
      <c r="C299" s="1" t="n">
        <v>45928</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38826-2021</t>
        </is>
      </c>
      <c r="B300" s="1" t="n">
        <v>44411</v>
      </c>
      <c r="C300" s="1" t="n">
        <v>45928</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48091-2024</t>
        </is>
      </c>
      <c r="B301" s="1" t="n">
        <v>45590</v>
      </c>
      <c r="C301" s="1" t="n">
        <v>45928</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24097-2022</t>
        </is>
      </c>
      <c r="B302" s="1" t="n">
        <v>44725.39371527778</v>
      </c>
      <c r="C302" s="1" t="n">
        <v>45928</v>
      </c>
      <c r="D302" t="inlineStr">
        <is>
          <t>SÖDERMANLANDS LÄN</t>
        </is>
      </c>
      <c r="E302" t="inlineStr">
        <is>
          <t>KATRINEHOLM</t>
        </is>
      </c>
      <c r="G302" t="n">
        <v>6.5</v>
      </c>
      <c r="H302" t="n">
        <v>0</v>
      </c>
      <c r="I302" t="n">
        <v>0</v>
      </c>
      <c r="J302" t="n">
        <v>0</v>
      </c>
      <c r="K302" t="n">
        <v>0</v>
      </c>
      <c r="L302" t="n">
        <v>0</v>
      </c>
      <c r="M302" t="n">
        <v>0</v>
      </c>
      <c r="N302" t="n">
        <v>0</v>
      </c>
      <c r="O302" t="n">
        <v>0</v>
      </c>
      <c r="P302" t="n">
        <v>0</v>
      </c>
      <c r="Q302" t="n">
        <v>0</v>
      </c>
      <c r="R302" s="2" t="inlineStr"/>
    </row>
    <row r="303" ht="15" customHeight="1">
      <c r="A303" t="inlineStr">
        <is>
          <t>A 42474-2025</t>
        </is>
      </c>
      <c r="B303" s="1" t="n">
        <v>45905.46659722222</v>
      </c>
      <c r="C303" s="1" t="n">
        <v>45928</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46670-2021</t>
        </is>
      </c>
      <c r="B304" s="1" t="n">
        <v>44445</v>
      </c>
      <c r="C304" s="1" t="n">
        <v>45928</v>
      </c>
      <c r="D304" t="inlineStr">
        <is>
          <t>SÖDERMANLANDS LÄN</t>
        </is>
      </c>
      <c r="E304" t="inlineStr">
        <is>
          <t>KATRINEHOLM</t>
        </is>
      </c>
      <c r="G304" t="n">
        <v>4.4</v>
      </c>
      <c r="H304" t="n">
        <v>0</v>
      </c>
      <c r="I304" t="n">
        <v>0</v>
      </c>
      <c r="J304" t="n">
        <v>0</v>
      </c>
      <c r="K304" t="n">
        <v>0</v>
      </c>
      <c r="L304" t="n">
        <v>0</v>
      </c>
      <c r="M304" t="n">
        <v>0</v>
      </c>
      <c r="N304" t="n">
        <v>0</v>
      </c>
      <c r="O304" t="n">
        <v>0</v>
      </c>
      <c r="P304" t="n">
        <v>0</v>
      </c>
      <c r="Q304" t="n">
        <v>0</v>
      </c>
      <c r="R304" s="2" t="inlineStr"/>
    </row>
    <row r="305" ht="15" customHeight="1">
      <c r="A305" t="inlineStr">
        <is>
          <t>A 2297-2021</t>
        </is>
      </c>
      <c r="B305" s="1" t="n">
        <v>44212</v>
      </c>
      <c r="C305" s="1" t="n">
        <v>45928</v>
      </c>
      <c r="D305" t="inlineStr">
        <is>
          <t>SÖDERMANLANDS LÄN</t>
        </is>
      </c>
      <c r="E305" t="inlineStr">
        <is>
          <t>KATRINEHOLM</t>
        </is>
      </c>
      <c r="G305" t="n">
        <v>14.4</v>
      </c>
      <c r="H305" t="n">
        <v>0</v>
      </c>
      <c r="I305" t="n">
        <v>0</v>
      </c>
      <c r="J305" t="n">
        <v>0</v>
      </c>
      <c r="K305" t="n">
        <v>0</v>
      </c>
      <c r="L305" t="n">
        <v>0</v>
      </c>
      <c r="M305" t="n">
        <v>0</v>
      </c>
      <c r="N305" t="n">
        <v>0</v>
      </c>
      <c r="O305" t="n">
        <v>0</v>
      </c>
      <c r="P305" t="n">
        <v>0</v>
      </c>
      <c r="Q305" t="n">
        <v>0</v>
      </c>
      <c r="R305" s="2" t="inlineStr"/>
    </row>
    <row r="306" ht="15" customHeight="1">
      <c r="A306" t="inlineStr">
        <is>
          <t>A 9388-2021</t>
        </is>
      </c>
      <c r="B306" s="1" t="n">
        <v>44250</v>
      </c>
      <c r="C306" s="1" t="n">
        <v>45928</v>
      </c>
      <c r="D306" t="inlineStr">
        <is>
          <t>SÖDERMANLANDS LÄN</t>
        </is>
      </c>
      <c r="E306" t="inlineStr">
        <is>
          <t>KATRINEHOLM</t>
        </is>
      </c>
      <c r="G306" t="n">
        <v>5.4</v>
      </c>
      <c r="H306" t="n">
        <v>0</v>
      </c>
      <c r="I306" t="n">
        <v>0</v>
      </c>
      <c r="J306" t="n">
        <v>0</v>
      </c>
      <c r="K306" t="n">
        <v>0</v>
      </c>
      <c r="L306" t="n">
        <v>0</v>
      </c>
      <c r="M306" t="n">
        <v>0</v>
      </c>
      <c r="N306" t="n">
        <v>0</v>
      </c>
      <c r="O306" t="n">
        <v>0</v>
      </c>
      <c r="P306" t="n">
        <v>0</v>
      </c>
      <c r="Q306" t="n">
        <v>0</v>
      </c>
      <c r="R306" s="2" t="inlineStr"/>
    </row>
    <row r="307" ht="15" customHeight="1">
      <c r="A307" t="inlineStr">
        <is>
          <t>A 42799-2025</t>
        </is>
      </c>
      <c r="B307" s="1" t="n">
        <v>45907</v>
      </c>
      <c r="C307" s="1" t="n">
        <v>45928</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62954-2023</t>
        </is>
      </c>
      <c r="B308" s="1" t="n">
        <v>45272.55362268518</v>
      </c>
      <c r="C308" s="1" t="n">
        <v>45928</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44024-2021</t>
        </is>
      </c>
      <c r="B309" s="1" t="n">
        <v>44434</v>
      </c>
      <c r="C309" s="1" t="n">
        <v>45928</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28582-2024</t>
        </is>
      </c>
      <c r="B310" s="1" t="n">
        <v>45478.40751157407</v>
      </c>
      <c r="C310" s="1" t="n">
        <v>45928</v>
      </c>
      <c r="D310" t="inlineStr">
        <is>
          <t>SÖDERMANLANDS LÄN</t>
        </is>
      </c>
      <c r="E310" t="inlineStr">
        <is>
          <t>KATRINEHOLM</t>
        </is>
      </c>
      <c r="F310" t="inlineStr">
        <is>
          <t>Övriga Aktiebolag</t>
        </is>
      </c>
      <c r="G310" t="n">
        <v>4</v>
      </c>
      <c r="H310" t="n">
        <v>0</v>
      </c>
      <c r="I310" t="n">
        <v>0</v>
      </c>
      <c r="J310" t="n">
        <v>0</v>
      </c>
      <c r="K310" t="n">
        <v>0</v>
      </c>
      <c r="L310" t="n">
        <v>0</v>
      </c>
      <c r="M310" t="n">
        <v>0</v>
      </c>
      <c r="N310" t="n">
        <v>0</v>
      </c>
      <c r="O310" t="n">
        <v>0</v>
      </c>
      <c r="P310" t="n">
        <v>0</v>
      </c>
      <c r="Q310" t="n">
        <v>0</v>
      </c>
      <c r="R310" s="2" t="inlineStr"/>
    </row>
    <row r="311" ht="15" customHeight="1">
      <c r="A311" t="inlineStr">
        <is>
          <t>A 26081-2024</t>
        </is>
      </c>
      <c r="B311" s="1" t="n">
        <v>45462</v>
      </c>
      <c r="C311" s="1" t="n">
        <v>45928</v>
      </c>
      <c r="D311" t="inlineStr">
        <is>
          <t>SÖDERMANLANDS LÄN</t>
        </is>
      </c>
      <c r="E311" t="inlineStr">
        <is>
          <t>KATRINEHOLM</t>
        </is>
      </c>
      <c r="G311" t="n">
        <v>4.1</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45928</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30242-2023</t>
        </is>
      </c>
      <c r="B313" s="1" t="n">
        <v>45099</v>
      </c>
      <c r="C313" s="1" t="n">
        <v>45928</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58651-2023</t>
        </is>
      </c>
      <c r="B314" s="1" t="n">
        <v>45247</v>
      </c>
      <c r="C314" s="1" t="n">
        <v>45928</v>
      </c>
      <c r="D314" t="inlineStr">
        <is>
          <t>SÖDERMANLANDS LÄN</t>
        </is>
      </c>
      <c r="E314" t="inlineStr">
        <is>
          <t>KATRINEHOLM</t>
        </is>
      </c>
      <c r="G314" t="n">
        <v>2.7</v>
      </c>
      <c r="H314" t="n">
        <v>0</v>
      </c>
      <c r="I314" t="n">
        <v>0</v>
      </c>
      <c r="J314" t="n">
        <v>0</v>
      </c>
      <c r="K314" t="n">
        <v>0</v>
      </c>
      <c r="L314" t="n">
        <v>0</v>
      </c>
      <c r="M314" t="n">
        <v>0</v>
      </c>
      <c r="N314" t="n">
        <v>0</v>
      </c>
      <c r="O314" t="n">
        <v>0</v>
      </c>
      <c r="P314" t="n">
        <v>0</v>
      </c>
      <c r="Q314" t="n">
        <v>0</v>
      </c>
      <c r="R314" s="2" t="inlineStr"/>
    </row>
    <row r="315" ht="15" customHeight="1">
      <c r="A315" t="inlineStr">
        <is>
          <t>A 12238-2021</t>
        </is>
      </c>
      <c r="B315" s="1" t="n">
        <v>44266</v>
      </c>
      <c r="C315" s="1" t="n">
        <v>45928</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65358-2020</t>
        </is>
      </c>
      <c r="B316" s="1" t="n">
        <v>44173</v>
      </c>
      <c r="C316" s="1" t="n">
        <v>45928</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45928</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19098-2022</t>
        </is>
      </c>
      <c r="B318" s="1" t="n">
        <v>44691.52616898148</v>
      </c>
      <c r="C318" s="1" t="n">
        <v>45928</v>
      </c>
      <c r="D318" t="inlineStr">
        <is>
          <t>SÖDERMANLANDS LÄN</t>
        </is>
      </c>
      <c r="E318" t="inlineStr">
        <is>
          <t>KATRINEHOLM</t>
        </is>
      </c>
      <c r="G318" t="n">
        <v>5.5</v>
      </c>
      <c r="H318" t="n">
        <v>0</v>
      </c>
      <c r="I318" t="n">
        <v>0</v>
      </c>
      <c r="J318" t="n">
        <v>0</v>
      </c>
      <c r="K318" t="n">
        <v>0</v>
      </c>
      <c r="L318" t="n">
        <v>0</v>
      </c>
      <c r="M318" t="n">
        <v>0</v>
      </c>
      <c r="N318" t="n">
        <v>0</v>
      </c>
      <c r="O318" t="n">
        <v>0</v>
      </c>
      <c r="P318" t="n">
        <v>0</v>
      </c>
      <c r="Q318" t="n">
        <v>0</v>
      </c>
      <c r="R318" s="2" t="inlineStr"/>
    </row>
    <row r="319" ht="15" customHeight="1">
      <c r="A319" t="inlineStr">
        <is>
          <t>A 6628-2022</t>
        </is>
      </c>
      <c r="B319" s="1" t="n">
        <v>44601.78850694445</v>
      </c>
      <c r="C319" s="1" t="n">
        <v>45928</v>
      </c>
      <c r="D319" t="inlineStr">
        <is>
          <t>SÖDERMANLANDS LÄN</t>
        </is>
      </c>
      <c r="E319" t="inlineStr">
        <is>
          <t>KATRINEHOLM</t>
        </is>
      </c>
      <c r="G319" t="n">
        <v>0.6</v>
      </c>
      <c r="H319" t="n">
        <v>0</v>
      </c>
      <c r="I319" t="n">
        <v>0</v>
      </c>
      <c r="J319" t="n">
        <v>0</v>
      </c>
      <c r="K319" t="n">
        <v>0</v>
      </c>
      <c r="L319" t="n">
        <v>0</v>
      </c>
      <c r="M319" t="n">
        <v>0</v>
      </c>
      <c r="N319" t="n">
        <v>0</v>
      </c>
      <c r="O319" t="n">
        <v>0</v>
      </c>
      <c r="P319" t="n">
        <v>0</v>
      </c>
      <c r="Q319" t="n">
        <v>0</v>
      </c>
      <c r="R319" s="2" t="inlineStr"/>
    </row>
    <row r="320" ht="15" customHeight="1">
      <c r="A320" t="inlineStr">
        <is>
          <t>A 72984-2021</t>
        </is>
      </c>
      <c r="B320" s="1" t="n">
        <v>44549.74741898148</v>
      </c>
      <c r="C320" s="1" t="n">
        <v>45928</v>
      </c>
      <c r="D320" t="inlineStr">
        <is>
          <t>SÖDERMANLANDS LÄN</t>
        </is>
      </c>
      <c r="E320" t="inlineStr">
        <is>
          <t>KATRINEHOLM</t>
        </is>
      </c>
      <c r="G320" t="n">
        <v>4.9</v>
      </c>
      <c r="H320" t="n">
        <v>0</v>
      </c>
      <c r="I320" t="n">
        <v>0</v>
      </c>
      <c r="J320" t="n">
        <v>0</v>
      </c>
      <c r="K320" t="n">
        <v>0</v>
      </c>
      <c r="L320" t="n">
        <v>0</v>
      </c>
      <c r="M320" t="n">
        <v>0</v>
      </c>
      <c r="N320" t="n">
        <v>0</v>
      </c>
      <c r="O320" t="n">
        <v>0</v>
      </c>
      <c r="P320" t="n">
        <v>0</v>
      </c>
      <c r="Q320" t="n">
        <v>0</v>
      </c>
      <c r="R320" s="2" t="inlineStr"/>
    </row>
    <row r="321" ht="15" customHeight="1">
      <c r="A321" t="inlineStr">
        <is>
          <t>A 6446-2022</t>
        </is>
      </c>
      <c r="B321" s="1" t="n">
        <v>44600</v>
      </c>
      <c r="C321" s="1" t="n">
        <v>45928</v>
      </c>
      <c r="D321" t="inlineStr">
        <is>
          <t>SÖDERMANLANDS LÄN</t>
        </is>
      </c>
      <c r="E321" t="inlineStr">
        <is>
          <t>KATRINEHOLM</t>
        </is>
      </c>
      <c r="G321" t="n">
        <v>1.5</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45928</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69117-2021</t>
        </is>
      </c>
      <c r="B323" s="1" t="n">
        <v>44530.82445601852</v>
      </c>
      <c r="C323" s="1" t="n">
        <v>45928</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38308-2021</t>
        </is>
      </c>
      <c r="B324" s="1" t="n">
        <v>44406</v>
      </c>
      <c r="C324" s="1" t="n">
        <v>45928</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55172-2022</t>
        </is>
      </c>
      <c r="B325" s="1" t="n">
        <v>44886</v>
      </c>
      <c r="C325" s="1" t="n">
        <v>45928</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55136-2020</t>
        </is>
      </c>
      <c r="B326" s="1" t="n">
        <v>44130</v>
      </c>
      <c r="C326" s="1" t="n">
        <v>45928</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67337-2021</t>
        </is>
      </c>
      <c r="B327" s="1" t="n">
        <v>44523</v>
      </c>
      <c r="C327" s="1" t="n">
        <v>45928</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29394-2024</t>
        </is>
      </c>
      <c r="B328" s="1" t="n">
        <v>45483</v>
      </c>
      <c r="C328" s="1" t="n">
        <v>45928</v>
      </c>
      <c r="D328" t="inlineStr">
        <is>
          <t>SÖDERMANLANDS LÄN</t>
        </is>
      </c>
      <c r="E328" t="inlineStr">
        <is>
          <t>KATRINEHOLM</t>
        </is>
      </c>
      <c r="G328" t="n">
        <v>0.9</v>
      </c>
      <c r="H328" t="n">
        <v>0</v>
      </c>
      <c r="I328" t="n">
        <v>0</v>
      </c>
      <c r="J328" t="n">
        <v>0</v>
      </c>
      <c r="K328" t="n">
        <v>0</v>
      </c>
      <c r="L328" t="n">
        <v>0</v>
      </c>
      <c r="M328" t="n">
        <v>0</v>
      </c>
      <c r="N328" t="n">
        <v>0</v>
      </c>
      <c r="O328" t="n">
        <v>0</v>
      </c>
      <c r="P328" t="n">
        <v>0</v>
      </c>
      <c r="Q328" t="n">
        <v>0</v>
      </c>
      <c r="R328" s="2" t="inlineStr"/>
    </row>
    <row r="329" ht="15" customHeight="1">
      <c r="A329" t="inlineStr">
        <is>
          <t>A 57947-2020</t>
        </is>
      </c>
      <c r="B329" s="1" t="n">
        <v>44142</v>
      </c>
      <c r="C329" s="1" t="n">
        <v>45928</v>
      </c>
      <c r="D329" t="inlineStr">
        <is>
          <t>SÖDERMANLANDS LÄN</t>
        </is>
      </c>
      <c r="E329" t="inlineStr">
        <is>
          <t>KATRINEHOLM</t>
        </is>
      </c>
      <c r="G329" t="n">
        <v>9.6</v>
      </c>
      <c r="H329" t="n">
        <v>0</v>
      </c>
      <c r="I329" t="n">
        <v>0</v>
      </c>
      <c r="J329" t="n">
        <v>0</v>
      </c>
      <c r="K329" t="n">
        <v>0</v>
      </c>
      <c r="L329" t="n">
        <v>0</v>
      </c>
      <c r="M329" t="n">
        <v>0</v>
      </c>
      <c r="N329" t="n">
        <v>0</v>
      </c>
      <c r="O329" t="n">
        <v>0</v>
      </c>
      <c r="P329" t="n">
        <v>0</v>
      </c>
      <c r="Q329" t="n">
        <v>0</v>
      </c>
      <c r="R329" s="2" t="inlineStr"/>
    </row>
    <row r="330" ht="15" customHeight="1">
      <c r="A330" t="inlineStr">
        <is>
          <t>A 50032-2022</t>
        </is>
      </c>
      <c r="B330" s="1" t="n">
        <v>44860</v>
      </c>
      <c r="C330" s="1" t="n">
        <v>45928</v>
      </c>
      <c r="D330" t="inlineStr">
        <is>
          <t>SÖDERMANLANDS LÄN</t>
        </is>
      </c>
      <c r="E330" t="inlineStr">
        <is>
          <t>KATRINEHOLM</t>
        </is>
      </c>
      <c r="G330" t="n">
        <v>7.5</v>
      </c>
      <c r="H330" t="n">
        <v>0</v>
      </c>
      <c r="I330" t="n">
        <v>0</v>
      </c>
      <c r="J330" t="n">
        <v>0</v>
      </c>
      <c r="K330" t="n">
        <v>0</v>
      </c>
      <c r="L330" t="n">
        <v>0</v>
      </c>
      <c r="M330" t="n">
        <v>0</v>
      </c>
      <c r="N330" t="n">
        <v>0</v>
      </c>
      <c r="O330" t="n">
        <v>0</v>
      </c>
      <c r="P330" t="n">
        <v>0</v>
      </c>
      <c r="Q330" t="n">
        <v>0</v>
      </c>
      <c r="R330" s="2" t="inlineStr"/>
    </row>
    <row r="331" ht="15" customHeight="1">
      <c r="A331" t="inlineStr">
        <is>
          <t>A 26713-2024</t>
        </is>
      </c>
      <c r="B331" s="1" t="n">
        <v>45470</v>
      </c>
      <c r="C331" s="1" t="n">
        <v>45928</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43837-2022</t>
        </is>
      </c>
      <c r="B332" s="1" t="n">
        <v>44838</v>
      </c>
      <c r="C332" s="1" t="n">
        <v>45928</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57510-2021</t>
        </is>
      </c>
      <c r="B333" s="1" t="n">
        <v>44483</v>
      </c>
      <c r="C333" s="1" t="n">
        <v>45928</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2325-2023</t>
        </is>
      </c>
      <c r="B334" s="1" t="n">
        <v>44942</v>
      </c>
      <c r="C334" s="1" t="n">
        <v>45928</v>
      </c>
      <c r="D334" t="inlineStr">
        <is>
          <t>SÖDERMANLANDS LÄN</t>
        </is>
      </c>
      <c r="E334" t="inlineStr">
        <is>
          <t>KATRINEHOLM</t>
        </is>
      </c>
      <c r="G334" t="n">
        <v>5.6</v>
      </c>
      <c r="H334" t="n">
        <v>0</v>
      </c>
      <c r="I334" t="n">
        <v>0</v>
      </c>
      <c r="J334" t="n">
        <v>0</v>
      </c>
      <c r="K334" t="n">
        <v>0</v>
      </c>
      <c r="L334" t="n">
        <v>0</v>
      </c>
      <c r="M334" t="n">
        <v>0</v>
      </c>
      <c r="N334" t="n">
        <v>0</v>
      </c>
      <c r="O334" t="n">
        <v>0</v>
      </c>
      <c r="P334" t="n">
        <v>0</v>
      </c>
      <c r="Q334" t="n">
        <v>0</v>
      </c>
      <c r="R334" s="2" t="inlineStr"/>
    </row>
    <row r="335" ht="15" customHeight="1">
      <c r="A335" t="inlineStr">
        <is>
          <t>A 46011-2021</t>
        </is>
      </c>
      <c r="B335" s="1" t="n">
        <v>44441.88092592593</v>
      </c>
      <c r="C335" s="1" t="n">
        <v>45928</v>
      </c>
      <c r="D335" t="inlineStr">
        <is>
          <t>SÖDERMANLANDS LÄN</t>
        </is>
      </c>
      <c r="E335" t="inlineStr">
        <is>
          <t>KATRINEHOLM</t>
        </is>
      </c>
      <c r="G335" t="n">
        <v>4.7</v>
      </c>
      <c r="H335" t="n">
        <v>0</v>
      </c>
      <c r="I335" t="n">
        <v>0</v>
      </c>
      <c r="J335" t="n">
        <v>0</v>
      </c>
      <c r="K335" t="n">
        <v>0</v>
      </c>
      <c r="L335" t="n">
        <v>0</v>
      </c>
      <c r="M335" t="n">
        <v>0</v>
      </c>
      <c r="N335" t="n">
        <v>0</v>
      </c>
      <c r="O335" t="n">
        <v>0</v>
      </c>
      <c r="P335" t="n">
        <v>0</v>
      </c>
      <c r="Q335" t="n">
        <v>0</v>
      </c>
      <c r="R335" s="2" t="inlineStr"/>
    </row>
    <row r="336" ht="15" customHeight="1">
      <c r="A336" t="inlineStr">
        <is>
          <t>A 51923-2023</t>
        </is>
      </c>
      <c r="B336" s="1" t="n">
        <v>45223</v>
      </c>
      <c r="C336" s="1" t="n">
        <v>45928</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62140-2022</t>
        </is>
      </c>
      <c r="B337" s="1" t="n">
        <v>44922</v>
      </c>
      <c r="C337" s="1" t="n">
        <v>45928</v>
      </c>
      <c r="D337" t="inlineStr">
        <is>
          <t>SÖDERMANLANDS LÄN</t>
        </is>
      </c>
      <c r="E337" t="inlineStr">
        <is>
          <t>KATRINEHOLM</t>
        </is>
      </c>
      <c r="F337" t="inlineStr">
        <is>
          <t>Övriga Aktiebolag</t>
        </is>
      </c>
      <c r="G337" t="n">
        <v>2.4</v>
      </c>
      <c r="H337" t="n">
        <v>0</v>
      </c>
      <c r="I337" t="n">
        <v>0</v>
      </c>
      <c r="J337" t="n">
        <v>0</v>
      </c>
      <c r="K337" t="n">
        <v>0</v>
      </c>
      <c r="L337" t="n">
        <v>0</v>
      </c>
      <c r="M337" t="n">
        <v>0</v>
      </c>
      <c r="N337" t="n">
        <v>0</v>
      </c>
      <c r="O337" t="n">
        <v>0</v>
      </c>
      <c r="P337" t="n">
        <v>0</v>
      </c>
      <c r="Q337" t="n">
        <v>0</v>
      </c>
      <c r="R337" s="2" t="inlineStr"/>
    </row>
    <row r="338" ht="15" customHeight="1">
      <c r="A338" t="inlineStr">
        <is>
          <t>A 55732-2023</t>
        </is>
      </c>
      <c r="B338" s="1" t="n">
        <v>45239</v>
      </c>
      <c r="C338" s="1" t="n">
        <v>45928</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40159-2023</t>
        </is>
      </c>
      <c r="B339" s="1" t="n">
        <v>45169</v>
      </c>
      <c r="C339" s="1" t="n">
        <v>45928</v>
      </c>
      <c r="D339" t="inlineStr">
        <is>
          <t>SÖDERMANLANDS LÄN</t>
        </is>
      </c>
      <c r="E339" t="inlineStr">
        <is>
          <t>KATRINEHOLM</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33934-2022</t>
        </is>
      </c>
      <c r="B340" s="1" t="n">
        <v>44790</v>
      </c>
      <c r="C340" s="1" t="n">
        <v>45928</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36590-2025</t>
        </is>
      </c>
      <c r="B341" s="1" t="n">
        <v>45870</v>
      </c>
      <c r="C341" s="1" t="n">
        <v>45928</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13171-2024</t>
        </is>
      </c>
      <c r="B342" s="1" t="n">
        <v>45386</v>
      </c>
      <c r="C342" s="1" t="n">
        <v>45928</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26684-2025</t>
        </is>
      </c>
      <c r="B343" s="1" t="n">
        <v>45810</v>
      </c>
      <c r="C343" s="1" t="n">
        <v>45928</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59384-2022</t>
        </is>
      </c>
      <c r="B344" s="1" t="n">
        <v>44905</v>
      </c>
      <c r="C344" s="1" t="n">
        <v>45928</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59887-2020</t>
        </is>
      </c>
      <c r="B345" s="1" t="n">
        <v>44151</v>
      </c>
      <c r="C345" s="1" t="n">
        <v>45928</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41793-2025</t>
        </is>
      </c>
      <c r="B346" s="1" t="n">
        <v>45902</v>
      </c>
      <c r="C346" s="1" t="n">
        <v>45928</v>
      </c>
      <c r="D346" t="inlineStr">
        <is>
          <t>SÖDERMANLANDS LÄN</t>
        </is>
      </c>
      <c r="E346" t="inlineStr">
        <is>
          <t>KATRINEHOLM</t>
        </is>
      </c>
      <c r="G346" t="n">
        <v>1.1</v>
      </c>
      <c r="H346" t="n">
        <v>0</v>
      </c>
      <c r="I346" t="n">
        <v>0</v>
      </c>
      <c r="J346" t="n">
        <v>0</v>
      </c>
      <c r="K346" t="n">
        <v>0</v>
      </c>
      <c r="L346" t="n">
        <v>0</v>
      </c>
      <c r="M346" t="n">
        <v>0</v>
      </c>
      <c r="N346" t="n">
        <v>0</v>
      </c>
      <c r="O346" t="n">
        <v>0</v>
      </c>
      <c r="P346" t="n">
        <v>0</v>
      </c>
      <c r="Q346" t="n">
        <v>0</v>
      </c>
      <c r="R346" s="2" t="inlineStr"/>
    </row>
    <row r="347" ht="15" customHeight="1">
      <c r="A347" t="inlineStr">
        <is>
          <t>A 28675-2024</t>
        </is>
      </c>
      <c r="B347" s="1" t="n">
        <v>45478</v>
      </c>
      <c r="C347" s="1" t="n">
        <v>45928</v>
      </c>
      <c r="D347" t="inlineStr">
        <is>
          <t>SÖDERMANLANDS LÄN</t>
        </is>
      </c>
      <c r="E347" t="inlineStr">
        <is>
          <t>KATRINEHOLM</t>
        </is>
      </c>
      <c r="F347" t="inlineStr">
        <is>
          <t>Övriga Aktiebolag</t>
        </is>
      </c>
      <c r="G347" t="n">
        <v>3.5</v>
      </c>
      <c r="H347" t="n">
        <v>0</v>
      </c>
      <c r="I347" t="n">
        <v>0</v>
      </c>
      <c r="J347" t="n">
        <v>0</v>
      </c>
      <c r="K347" t="n">
        <v>0</v>
      </c>
      <c r="L347" t="n">
        <v>0</v>
      </c>
      <c r="M347" t="n">
        <v>0</v>
      </c>
      <c r="N347" t="n">
        <v>0</v>
      </c>
      <c r="O347" t="n">
        <v>0</v>
      </c>
      <c r="P347" t="n">
        <v>0</v>
      </c>
      <c r="Q347" t="n">
        <v>0</v>
      </c>
      <c r="R347" s="2" t="inlineStr"/>
    </row>
    <row r="348" ht="15" customHeight="1">
      <c r="A348" t="inlineStr">
        <is>
          <t>A 27875-2024</t>
        </is>
      </c>
      <c r="B348" s="1" t="n">
        <v>45475</v>
      </c>
      <c r="C348" s="1" t="n">
        <v>45928</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27376-2024</t>
        </is>
      </c>
      <c r="B349" s="1" t="n">
        <v>45473.88313657408</v>
      </c>
      <c r="C349" s="1" t="n">
        <v>45928</v>
      </c>
      <c r="D349" t="inlineStr">
        <is>
          <t>SÖDERMANLANDS LÄN</t>
        </is>
      </c>
      <c r="E349" t="inlineStr">
        <is>
          <t>KATRINEHOLM</t>
        </is>
      </c>
      <c r="F349" t="inlineStr">
        <is>
          <t>Kommuner</t>
        </is>
      </c>
      <c r="G349" t="n">
        <v>2.8</v>
      </c>
      <c r="H349" t="n">
        <v>0</v>
      </c>
      <c r="I349" t="n">
        <v>0</v>
      </c>
      <c r="J349" t="n">
        <v>0</v>
      </c>
      <c r="K349" t="n">
        <v>0</v>
      </c>
      <c r="L349" t="n">
        <v>0</v>
      </c>
      <c r="M349" t="n">
        <v>0</v>
      </c>
      <c r="N349" t="n">
        <v>0</v>
      </c>
      <c r="O349" t="n">
        <v>0</v>
      </c>
      <c r="P349" t="n">
        <v>0</v>
      </c>
      <c r="Q349" t="n">
        <v>0</v>
      </c>
      <c r="R349" s="2" t="inlineStr"/>
    </row>
    <row r="350" ht="15" customHeight="1">
      <c r="A350" t="inlineStr">
        <is>
          <t>A 28995-2024</t>
        </is>
      </c>
      <c r="B350" s="1" t="n">
        <v>45481.49899305555</v>
      </c>
      <c r="C350" s="1" t="n">
        <v>45928</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44989-2022</t>
        </is>
      </c>
      <c r="B351" s="1" t="n">
        <v>44840</v>
      </c>
      <c r="C351" s="1" t="n">
        <v>45928</v>
      </c>
      <c r="D351" t="inlineStr">
        <is>
          <t>SÖDERMANLANDS LÄN</t>
        </is>
      </c>
      <c r="E351" t="inlineStr">
        <is>
          <t>KATRINEHOLM</t>
        </is>
      </c>
      <c r="G351" t="n">
        <v>6</v>
      </c>
      <c r="H351" t="n">
        <v>0</v>
      </c>
      <c r="I351" t="n">
        <v>0</v>
      </c>
      <c r="J351" t="n">
        <v>0</v>
      </c>
      <c r="K351" t="n">
        <v>0</v>
      </c>
      <c r="L351" t="n">
        <v>0</v>
      </c>
      <c r="M351" t="n">
        <v>0</v>
      </c>
      <c r="N351" t="n">
        <v>0</v>
      </c>
      <c r="O351" t="n">
        <v>0</v>
      </c>
      <c r="P351" t="n">
        <v>0</v>
      </c>
      <c r="Q351" t="n">
        <v>0</v>
      </c>
      <c r="R351" s="2" t="inlineStr"/>
    </row>
    <row r="352" ht="15" customHeight="1">
      <c r="A352" t="inlineStr">
        <is>
          <t>A 48259-2022</t>
        </is>
      </c>
      <c r="B352" s="1" t="n">
        <v>44858</v>
      </c>
      <c r="C352" s="1" t="n">
        <v>45928</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28992-2024</t>
        </is>
      </c>
      <c r="B353" s="1" t="n">
        <v>45481.49289351852</v>
      </c>
      <c r="C353" s="1" t="n">
        <v>45928</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13086-2023</t>
        </is>
      </c>
      <c r="B354" s="1" t="n">
        <v>45002.42188657408</v>
      </c>
      <c r="C354" s="1" t="n">
        <v>45928</v>
      </c>
      <c r="D354" t="inlineStr">
        <is>
          <t>SÖDERMANLANDS LÄN</t>
        </is>
      </c>
      <c r="E354" t="inlineStr">
        <is>
          <t>KATRINEHOLM</t>
        </is>
      </c>
      <c r="G354" t="n">
        <v>2.2</v>
      </c>
      <c r="H354" t="n">
        <v>0</v>
      </c>
      <c r="I354" t="n">
        <v>0</v>
      </c>
      <c r="J354" t="n">
        <v>0</v>
      </c>
      <c r="K354" t="n">
        <v>0</v>
      </c>
      <c r="L354" t="n">
        <v>0</v>
      </c>
      <c r="M354" t="n">
        <v>0</v>
      </c>
      <c r="N354" t="n">
        <v>0</v>
      </c>
      <c r="O354" t="n">
        <v>0</v>
      </c>
      <c r="P354" t="n">
        <v>0</v>
      </c>
      <c r="Q354" t="n">
        <v>0</v>
      </c>
      <c r="R354" s="2" t="inlineStr"/>
    </row>
    <row r="355" ht="15" customHeight="1">
      <c r="A355" t="inlineStr">
        <is>
          <t>A 7322-2023</t>
        </is>
      </c>
      <c r="B355" s="1" t="n">
        <v>44970</v>
      </c>
      <c r="C355" s="1" t="n">
        <v>45928</v>
      </c>
      <c r="D355" t="inlineStr">
        <is>
          <t>SÖDERMANLANDS LÄN</t>
        </is>
      </c>
      <c r="E355" t="inlineStr">
        <is>
          <t>KATRINEHOLM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2093-2025</t>
        </is>
      </c>
      <c r="B356" s="1" t="n">
        <v>45672</v>
      </c>
      <c r="C356" s="1" t="n">
        <v>45928</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19670-2022</t>
        </is>
      </c>
      <c r="B357" s="1" t="n">
        <v>44694</v>
      </c>
      <c r="C357" s="1" t="n">
        <v>45928</v>
      </c>
      <c r="D357" t="inlineStr">
        <is>
          <t>SÖDERMANLANDS LÄN</t>
        </is>
      </c>
      <c r="E357" t="inlineStr">
        <is>
          <t>KATRINEHOLM</t>
        </is>
      </c>
      <c r="G357" t="n">
        <v>13.6</v>
      </c>
      <c r="H357" t="n">
        <v>0</v>
      </c>
      <c r="I357" t="n">
        <v>0</v>
      </c>
      <c r="J357" t="n">
        <v>0</v>
      </c>
      <c r="K357" t="n">
        <v>0</v>
      </c>
      <c r="L357" t="n">
        <v>0</v>
      </c>
      <c r="M357" t="n">
        <v>0</v>
      </c>
      <c r="N357" t="n">
        <v>0</v>
      </c>
      <c r="O357" t="n">
        <v>0</v>
      </c>
      <c r="P357" t="n">
        <v>0</v>
      </c>
      <c r="Q357" t="n">
        <v>0</v>
      </c>
      <c r="R357" s="2" t="inlineStr"/>
    </row>
    <row r="358" ht="15" customHeight="1">
      <c r="A358" t="inlineStr">
        <is>
          <t>A 27886-2024</t>
        </is>
      </c>
      <c r="B358" s="1" t="n">
        <v>45475</v>
      </c>
      <c r="C358" s="1" t="n">
        <v>45928</v>
      </c>
      <c r="D358" t="inlineStr">
        <is>
          <t>SÖDERMANLANDS LÄN</t>
        </is>
      </c>
      <c r="E358" t="inlineStr">
        <is>
          <t>KATRINEHOLM</t>
        </is>
      </c>
      <c r="G358" t="n">
        <v>10.3</v>
      </c>
      <c r="H358" t="n">
        <v>0</v>
      </c>
      <c r="I358" t="n">
        <v>0</v>
      </c>
      <c r="J358" t="n">
        <v>0</v>
      </c>
      <c r="K358" t="n">
        <v>0</v>
      </c>
      <c r="L358" t="n">
        <v>0</v>
      </c>
      <c r="M358" t="n">
        <v>0</v>
      </c>
      <c r="N358" t="n">
        <v>0</v>
      </c>
      <c r="O358" t="n">
        <v>0</v>
      </c>
      <c r="P358" t="n">
        <v>0</v>
      </c>
      <c r="Q358" t="n">
        <v>0</v>
      </c>
      <c r="R358" s="2" t="inlineStr"/>
    </row>
    <row r="359" ht="15" customHeight="1">
      <c r="A359" t="inlineStr">
        <is>
          <t>A 18386-2025</t>
        </is>
      </c>
      <c r="B359" s="1" t="n">
        <v>45762</v>
      </c>
      <c r="C359" s="1" t="n">
        <v>45928</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19107-2022</t>
        </is>
      </c>
      <c r="B360" s="1" t="n">
        <v>44691.54077546296</v>
      </c>
      <c r="C360" s="1" t="n">
        <v>45928</v>
      </c>
      <c r="D360" t="inlineStr">
        <is>
          <t>SÖDERMANLANDS LÄN</t>
        </is>
      </c>
      <c r="E360" t="inlineStr">
        <is>
          <t>KATRINEHOLM</t>
        </is>
      </c>
      <c r="G360" t="n">
        <v>1</v>
      </c>
      <c r="H360" t="n">
        <v>0</v>
      </c>
      <c r="I360" t="n">
        <v>0</v>
      </c>
      <c r="J360" t="n">
        <v>0</v>
      </c>
      <c r="K360" t="n">
        <v>0</v>
      </c>
      <c r="L360" t="n">
        <v>0</v>
      </c>
      <c r="M360" t="n">
        <v>0</v>
      </c>
      <c r="N360" t="n">
        <v>0</v>
      </c>
      <c r="O360" t="n">
        <v>0</v>
      </c>
      <c r="P360" t="n">
        <v>0</v>
      </c>
      <c r="Q360" t="n">
        <v>0</v>
      </c>
      <c r="R360" s="2" t="inlineStr"/>
    </row>
    <row r="361" ht="15" customHeight="1">
      <c r="A361" t="inlineStr">
        <is>
          <t>A 25363-2023</t>
        </is>
      </c>
      <c r="B361" s="1" t="n">
        <v>45088.83840277778</v>
      </c>
      <c r="C361" s="1" t="n">
        <v>45928</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57693-2020</t>
        </is>
      </c>
      <c r="B362" s="1" t="n">
        <v>44140</v>
      </c>
      <c r="C362" s="1" t="n">
        <v>45928</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30333-2023</t>
        </is>
      </c>
      <c r="B363" s="1" t="n">
        <v>45111</v>
      </c>
      <c r="C363" s="1" t="n">
        <v>45928</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6175-2023</t>
        </is>
      </c>
      <c r="B364" s="1" t="n">
        <v>44964</v>
      </c>
      <c r="C364" s="1" t="n">
        <v>45928</v>
      </c>
      <c r="D364" t="inlineStr">
        <is>
          <t>SÖDERMANLANDS LÄN</t>
        </is>
      </c>
      <c r="E364" t="inlineStr">
        <is>
          <t>KATRINEHOLM</t>
        </is>
      </c>
      <c r="G364" t="n">
        <v>11.2</v>
      </c>
      <c r="H364" t="n">
        <v>0</v>
      </c>
      <c r="I364" t="n">
        <v>0</v>
      </c>
      <c r="J364" t="n">
        <v>0</v>
      </c>
      <c r="K364" t="n">
        <v>0</v>
      </c>
      <c r="L364" t="n">
        <v>0</v>
      </c>
      <c r="M364" t="n">
        <v>0</v>
      </c>
      <c r="N364" t="n">
        <v>0</v>
      </c>
      <c r="O364" t="n">
        <v>0</v>
      </c>
      <c r="P364" t="n">
        <v>0</v>
      </c>
      <c r="Q364" t="n">
        <v>0</v>
      </c>
      <c r="R364" s="2" t="inlineStr"/>
    </row>
    <row r="365" ht="15" customHeight="1">
      <c r="A365" t="inlineStr">
        <is>
          <t>A 6722-2022</t>
        </is>
      </c>
      <c r="B365" s="1" t="n">
        <v>44602</v>
      </c>
      <c r="C365" s="1" t="n">
        <v>45928</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3125-2024</t>
        </is>
      </c>
      <c r="B366" s="1" t="n">
        <v>45316</v>
      </c>
      <c r="C366" s="1" t="n">
        <v>45928</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35183-2022</t>
        </is>
      </c>
      <c r="B367" s="1" t="n">
        <v>44797</v>
      </c>
      <c r="C367" s="1" t="n">
        <v>45928</v>
      </c>
      <c r="D367" t="inlineStr">
        <is>
          <t>SÖDERMANLANDS LÄN</t>
        </is>
      </c>
      <c r="E367" t="inlineStr">
        <is>
          <t>KATRINEHOLM</t>
        </is>
      </c>
      <c r="G367" t="n">
        <v>4.6</v>
      </c>
      <c r="H367" t="n">
        <v>0</v>
      </c>
      <c r="I367" t="n">
        <v>0</v>
      </c>
      <c r="J367" t="n">
        <v>0</v>
      </c>
      <c r="K367" t="n">
        <v>0</v>
      </c>
      <c r="L367" t="n">
        <v>0</v>
      </c>
      <c r="M367" t="n">
        <v>0</v>
      </c>
      <c r="N367" t="n">
        <v>0</v>
      </c>
      <c r="O367" t="n">
        <v>0</v>
      </c>
      <c r="P367" t="n">
        <v>0</v>
      </c>
      <c r="Q367" t="n">
        <v>0</v>
      </c>
      <c r="R367" s="2" t="inlineStr"/>
    </row>
    <row r="368" ht="15" customHeight="1">
      <c r="A368" t="inlineStr">
        <is>
          <t>A 11875-2023</t>
        </is>
      </c>
      <c r="B368" s="1" t="n">
        <v>44995</v>
      </c>
      <c r="C368" s="1" t="n">
        <v>45928</v>
      </c>
      <c r="D368" t="inlineStr">
        <is>
          <t>SÖDERMANLANDS LÄN</t>
        </is>
      </c>
      <c r="E368" t="inlineStr">
        <is>
          <t>KATRINEHOLM</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6763-2022</t>
        </is>
      </c>
      <c r="B369" s="1" t="n">
        <v>44602</v>
      </c>
      <c r="C369" s="1" t="n">
        <v>45928</v>
      </c>
      <c r="D369" t="inlineStr">
        <is>
          <t>SÖDERMANLANDS LÄN</t>
        </is>
      </c>
      <c r="E369" t="inlineStr">
        <is>
          <t>KATRINEHOLM</t>
        </is>
      </c>
      <c r="G369" t="n">
        <v>6.7</v>
      </c>
      <c r="H369" t="n">
        <v>0</v>
      </c>
      <c r="I369" t="n">
        <v>0</v>
      </c>
      <c r="J369" t="n">
        <v>0</v>
      </c>
      <c r="K369" t="n">
        <v>0</v>
      </c>
      <c r="L369" t="n">
        <v>0</v>
      </c>
      <c r="M369" t="n">
        <v>0</v>
      </c>
      <c r="N369" t="n">
        <v>0</v>
      </c>
      <c r="O369" t="n">
        <v>0</v>
      </c>
      <c r="P369" t="n">
        <v>0</v>
      </c>
      <c r="Q369" t="n">
        <v>0</v>
      </c>
      <c r="R369" s="2" t="inlineStr"/>
    </row>
    <row r="370" ht="15" customHeight="1">
      <c r="A370" t="inlineStr">
        <is>
          <t>A 6796-2022</t>
        </is>
      </c>
      <c r="B370" s="1" t="n">
        <v>44602</v>
      </c>
      <c r="C370" s="1" t="n">
        <v>45928</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5790-2022</t>
        </is>
      </c>
      <c r="B371" s="1" t="n">
        <v>44596.55368055555</v>
      </c>
      <c r="C371" s="1" t="n">
        <v>45928</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14313-2024</t>
        </is>
      </c>
      <c r="B372" s="1" t="n">
        <v>45393</v>
      </c>
      <c r="C372" s="1" t="n">
        <v>45928</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29397-2024</t>
        </is>
      </c>
      <c r="B373" s="1" t="n">
        <v>45483</v>
      </c>
      <c r="C373" s="1" t="n">
        <v>45928</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42519-2024</t>
        </is>
      </c>
      <c r="B374" s="1" t="n">
        <v>45565</v>
      </c>
      <c r="C374" s="1" t="n">
        <v>45928</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45928</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20826-2022</t>
        </is>
      </c>
      <c r="B376" s="1" t="n">
        <v>44701.44754629629</v>
      </c>
      <c r="C376" s="1" t="n">
        <v>45928</v>
      </c>
      <c r="D376" t="inlineStr">
        <is>
          <t>SÖDERMANLANDS LÄN</t>
        </is>
      </c>
      <c r="E376" t="inlineStr">
        <is>
          <t>KATRINEHOLM</t>
        </is>
      </c>
      <c r="G376" t="n">
        <v>6.8</v>
      </c>
      <c r="H376" t="n">
        <v>0</v>
      </c>
      <c r="I376" t="n">
        <v>0</v>
      </c>
      <c r="J376" t="n">
        <v>0</v>
      </c>
      <c r="K376" t="n">
        <v>0</v>
      </c>
      <c r="L376" t="n">
        <v>0</v>
      </c>
      <c r="M376" t="n">
        <v>0</v>
      </c>
      <c r="N376" t="n">
        <v>0</v>
      </c>
      <c r="O376" t="n">
        <v>0</v>
      </c>
      <c r="P376" t="n">
        <v>0</v>
      </c>
      <c r="Q376" t="n">
        <v>0</v>
      </c>
      <c r="R376" s="2" t="inlineStr"/>
    </row>
    <row r="377" ht="15" customHeight="1">
      <c r="A377" t="inlineStr">
        <is>
          <t>A 20846-2022</t>
        </is>
      </c>
      <c r="B377" s="1" t="n">
        <v>44701.4744212963</v>
      </c>
      <c r="C377" s="1" t="n">
        <v>45928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12227-2025</t>
        </is>
      </c>
      <c r="B378" s="1" t="n">
        <v>45729.56836805555</v>
      </c>
      <c r="C378" s="1" t="n">
        <v>45928</v>
      </c>
      <c r="D378" t="inlineStr">
        <is>
          <t>SÖDERMANLANDS LÄN</t>
        </is>
      </c>
      <c r="E378" t="inlineStr">
        <is>
          <t>KATRINEHOLM</t>
        </is>
      </c>
      <c r="G378" t="n">
        <v>7</v>
      </c>
      <c r="H378" t="n">
        <v>0</v>
      </c>
      <c r="I378" t="n">
        <v>0</v>
      </c>
      <c r="J378" t="n">
        <v>0</v>
      </c>
      <c r="K378" t="n">
        <v>0</v>
      </c>
      <c r="L378" t="n">
        <v>0</v>
      </c>
      <c r="M378" t="n">
        <v>0</v>
      </c>
      <c r="N378" t="n">
        <v>0</v>
      </c>
      <c r="O378" t="n">
        <v>0</v>
      </c>
      <c r="P378" t="n">
        <v>0</v>
      </c>
      <c r="Q378" t="n">
        <v>0</v>
      </c>
      <c r="R378" s="2" t="inlineStr"/>
    </row>
    <row r="379" ht="15" customHeight="1">
      <c r="A379" t="inlineStr">
        <is>
          <t>A 51218-2020</t>
        </is>
      </c>
      <c r="B379" s="1" t="n">
        <v>44112</v>
      </c>
      <c r="C379" s="1" t="n">
        <v>45928</v>
      </c>
      <c r="D379" t="inlineStr">
        <is>
          <t>SÖDERMANLANDS LÄN</t>
        </is>
      </c>
      <c r="E379" t="inlineStr">
        <is>
          <t>KATRINEHOLM</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33278-2024</t>
        </is>
      </c>
      <c r="B380" s="1" t="n">
        <v>45518</v>
      </c>
      <c r="C380" s="1" t="n">
        <v>45928</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55079-2020</t>
        </is>
      </c>
      <c r="B381" s="1" t="n">
        <v>44130.46172453704</v>
      </c>
      <c r="C381" s="1" t="n">
        <v>45928</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41633-2025</t>
        </is>
      </c>
      <c r="B382" s="1" t="n">
        <v>45901</v>
      </c>
      <c r="C382" s="1" t="n">
        <v>45928</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9714-2024</t>
        </is>
      </c>
      <c r="B383" s="1" t="n">
        <v>45362</v>
      </c>
      <c r="C383" s="1" t="n">
        <v>45928</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45928</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43975-2025</t>
        </is>
      </c>
      <c r="B385" s="1" t="n">
        <v>45915.41148148148</v>
      </c>
      <c r="C385" s="1" t="n">
        <v>45928</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8765-2023</t>
        </is>
      </c>
      <c r="B386" s="1" t="n">
        <v>44978.52131944444</v>
      </c>
      <c r="C386" s="1" t="n">
        <v>45928</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57154-2023</t>
        </is>
      </c>
      <c r="B387" s="1" t="n">
        <v>45245</v>
      </c>
      <c r="C387" s="1" t="n">
        <v>45928</v>
      </c>
      <c r="D387" t="inlineStr">
        <is>
          <t>SÖDERMANLANDS LÄN</t>
        </is>
      </c>
      <c r="E387" t="inlineStr">
        <is>
          <t>KATRINEHOLM</t>
        </is>
      </c>
      <c r="F387" t="inlineStr">
        <is>
          <t>Allmännings- och besparingsskogar</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24619-2024</t>
        </is>
      </c>
      <c r="B388" s="1" t="n">
        <v>45460</v>
      </c>
      <c r="C388" s="1" t="n">
        <v>45928</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9699-2024</t>
        </is>
      </c>
      <c r="B389" s="1" t="n">
        <v>45362</v>
      </c>
      <c r="C389" s="1" t="n">
        <v>45928</v>
      </c>
      <c r="D389" t="inlineStr">
        <is>
          <t>SÖDERMANLANDS LÄN</t>
        </is>
      </c>
      <c r="E389" t="inlineStr">
        <is>
          <t>KATRINEHOLM</t>
        </is>
      </c>
      <c r="G389" t="n">
        <v>7.7</v>
      </c>
      <c r="H389" t="n">
        <v>0</v>
      </c>
      <c r="I389" t="n">
        <v>0</v>
      </c>
      <c r="J389" t="n">
        <v>0</v>
      </c>
      <c r="K389" t="n">
        <v>0</v>
      </c>
      <c r="L389" t="n">
        <v>0</v>
      </c>
      <c r="M389" t="n">
        <v>0</v>
      </c>
      <c r="N389" t="n">
        <v>0</v>
      </c>
      <c r="O389" t="n">
        <v>0</v>
      </c>
      <c r="P389" t="n">
        <v>0</v>
      </c>
      <c r="Q389" t="n">
        <v>0</v>
      </c>
      <c r="R389" s="2" t="inlineStr"/>
    </row>
    <row r="390" ht="15" customHeight="1">
      <c r="A390" t="inlineStr">
        <is>
          <t>A 49078-2024</t>
        </is>
      </c>
      <c r="B390" s="1" t="n">
        <v>45594.62556712963</v>
      </c>
      <c r="C390" s="1" t="n">
        <v>45928</v>
      </c>
      <c r="D390" t="inlineStr">
        <is>
          <t>SÖDERMANLANDS LÄN</t>
        </is>
      </c>
      <c r="E390" t="inlineStr">
        <is>
          <t>KATRINEHOLM</t>
        </is>
      </c>
      <c r="F390" t="inlineStr">
        <is>
          <t>Övriga Aktiebolag</t>
        </is>
      </c>
      <c r="G390" t="n">
        <v>0.4</v>
      </c>
      <c r="H390" t="n">
        <v>0</v>
      </c>
      <c r="I390" t="n">
        <v>0</v>
      </c>
      <c r="J390" t="n">
        <v>0</v>
      </c>
      <c r="K390" t="n">
        <v>0</v>
      </c>
      <c r="L390" t="n">
        <v>0</v>
      </c>
      <c r="M390" t="n">
        <v>0</v>
      </c>
      <c r="N390" t="n">
        <v>0</v>
      </c>
      <c r="O390" t="n">
        <v>0</v>
      </c>
      <c r="P390" t="n">
        <v>0</v>
      </c>
      <c r="Q390" t="n">
        <v>0</v>
      </c>
      <c r="R390" s="2" t="inlineStr"/>
    </row>
    <row r="391" ht="15" customHeight="1">
      <c r="A391" t="inlineStr">
        <is>
          <t>A 51440-2024</t>
        </is>
      </c>
      <c r="B391" s="1" t="n">
        <v>45604</v>
      </c>
      <c r="C391" s="1" t="n">
        <v>45928</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21959-2022</t>
        </is>
      </c>
      <c r="B392" s="1" t="n">
        <v>44708</v>
      </c>
      <c r="C392" s="1" t="n">
        <v>45928</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51530-2023</t>
        </is>
      </c>
      <c r="B393" s="1" t="n">
        <v>45222</v>
      </c>
      <c r="C393" s="1" t="n">
        <v>45928</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47879-2023</t>
        </is>
      </c>
      <c r="B394" s="1" t="n">
        <v>45204</v>
      </c>
      <c r="C394" s="1" t="n">
        <v>45928</v>
      </c>
      <c r="D394" t="inlineStr">
        <is>
          <t>SÖDERMANLANDS LÄN</t>
        </is>
      </c>
      <c r="E394" t="inlineStr">
        <is>
          <t>KATRINEHOLM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50021-2023</t>
        </is>
      </c>
      <c r="B395" s="1" t="n">
        <v>45215</v>
      </c>
      <c r="C395" s="1" t="n">
        <v>45928</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45928</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51260-2021</t>
        </is>
      </c>
      <c r="B397" s="1" t="n">
        <v>44461</v>
      </c>
      <c r="C397" s="1" t="n">
        <v>45928</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23916-2023</t>
        </is>
      </c>
      <c r="B398" s="1" t="n">
        <v>45075</v>
      </c>
      <c r="C398" s="1" t="n">
        <v>45928</v>
      </c>
      <c r="D398" t="inlineStr">
        <is>
          <t>SÖDERMANLANDS LÄN</t>
        </is>
      </c>
      <c r="E398" t="inlineStr">
        <is>
          <t>KATRINEHOLM</t>
        </is>
      </c>
      <c r="G398" t="n">
        <v>8</v>
      </c>
      <c r="H398" t="n">
        <v>0</v>
      </c>
      <c r="I398" t="n">
        <v>0</v>
      </c>
      <c r="J398" t="n">
        <v>0</v>
      </c>
      <c r="K398" t="n">
        <v>0</v>
      </c>
      <c r="L398" t="n">
        <v>0</v>
      </c>
      <c r="M398" t="n">
        <v>0</v>
      </c>
      <c r="N398" t="n">
        <v>0</v>
      </c>
      <c r="O398" t="n">
        <v>0</v>
      </c>
      <c r="P398" t="n">
        <v>0</v>
      </c>
      <c r="Q398" t="n">
        <v>0</v>
      </c>
      <c r="R398" s="2" t="inlineStr"/>
    </row>
    <row r="399" ht="15" customHeight="1">
      <c r="A399" t="inlineStr">
        <is>
          <t>A 38879-2024</t>
        </is>
      </c>
      <c r="B399" s="1" t="n">
        <v>45547</v>
      </c>
      <c r="C399" s="1" t="n">
        <v>45928</v>
      </c>
      <c r="D399" t="inlineStr">
        <is>
          <t>SÖDERMANLANDS LÄN</t>
        </is>
      </c>
      <c r="E399" t="inlineStr">
        <is>
          <t>KATRINEHOLM</t>
        </is>
      </c>
      <c r="G399" t="n">
        <v>2.6</v>
      </c>
      <c r="H399" t="n">
        <v>0</v>
      </c>
      <c r="I399" t="n">
        <v>0</v>
      </c>
      <c r="J399" t="n">
        <v>0</v>
      </c>
      <c r="K399" t="n">
        <v>0</v>
      </c>
      <c r="L399" t="n">
        <v>0</v>
      </c>
      <c r="M399" t="n">
        <v>0</v>
      </c>
      <c r="N399" t="n">
        <v>0</v>
      </c>
      <c r="O399" t="n">
        <v>0</v>
      </c>
      <c r="P399" t="n">
        <v>0</v>
      </c>
      <c r="Q399" t="n">
        <v>0</v>
      </c>
      <c r="R399" s="2" t="inlineStr"/>
    </row>
    <row r="400" ht="15" customHeight="1">
      <c r="A400" t="inlineStr">
        <is>
          <t>A 37043-2025</t>
        </is>
      </c>
      <c r="B400" s="1" t="n">
        <v>45875.3396412037</v>
      </c>
      <c r="C400" s="1" t="n">
        <v>45928</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53843-2023</t>
        </is>
      </c>
      <c r="B401" s="1" t="n">
        <v>45230</v>
      </c>
      <c r="C401" s="1" t="n">
        <v>45928</v>
      </c>
      <c r="D401" t="inlineStr">
        <is>
          <t>SÖDERMANLANDS LÄN</t>
        </is>
      </c>
      <c r="E401" t="inlineStr">
        <is>
          <t>KATRINEHOLM</t>
        </is>
      </c>
      <c r="G401" t="n">
        <v>14.2</v>
      </c>
      <c r="H401" t="n">
        <v>0</v>
      </c>
      <c r="I401" t="n">
        <v>0</v>
      </c>
      <c r="J401" t="n">
        <v>0</v>
      </c>
      <c r="K401" t="n">
        <v>0</v>
      </c>
      <c r="L401" t="n">
        <v>0</v>
      </c>
      <c r="M401" t="n">
        <v>0</v>
      </c>
      <c r="N401" t="n">
        <v>0</v>
      </c>
      <c r="O401" t="n">
        <v>0</v>
      </c>
      <c r="P401" t="n">
        <v>0</v>
      </c>
      <c r="Q401" t="n">
        <v>0</v>
      </c>
      <c r="R401" s="2" t="inlineStr"/>
    </row>
    <row r="402" ht="15" customHeight="1">
      <c r="A402" t="inlineStr">
        <is>
          <t>A 59474-2021</t>
        </is>
      </c>
      <c r="B402" s="1" t="n">
        <v>44491</v>
      </c>
      <c r="C402" s="1" t="n">
        <v>45928</v>
      </c>
      <c r="D402" t="inlineStr">
        <is>
          <t>SÖDERMANLANDS LÄN</t>
        </is>
      </c>
      <c r="E402" t="inlineStr">
        <is>
          <t>KATRINEHOLM</t>
        </is>
      </c>
      <c r="G402" t="n">
        <v>2.7</v>
      </c>
      <c r="H402" t="n">
        <v>0</v>
      </c>
      <c r="I402" t="n">
        <v>0</v>
      </c>
      <c r="J402" t="n">
        <v>0</v>
      </c>
      <c r="K402" t="n">
        <v>0</v>
      </c>
      <c r="L402" t="n">
        <v>0</v>
      </c>
      <c r="M402" t="n">
        <v>0</v>
      </c>
      <c r="N402" t="n">
        <v>0</v>
      </c>
      <c r="O402" t="n">
        <v>0</v>
      </c>
      <c r="P402" t="n">
        <v>0</v>
      </c>
      <c r="Q402" t="n">
        <v>0</v>
      </c>
      <c r="R402" s="2" t="inlineStr"/>
    </row>
    <row r="403" ht="15" customHeight="1">
      <c r="A403" t="inlineStr">
        <is>
          <t>A 64657-2020</t>
        </is>
      </c>
      <c r="B403" s="1" t="n">
        <v>44169</v>
      </c>
      <c r="C403" s="1" t="n">
        <v>45928</v>
      </c>
      <c r="D403" t="inlineStr">
        <is>
          <t>SÖDERMANLANDS LÄN</t>
        </is>
      </c>
      <c r="E403" t="inlineStr">
        <is>
          <t>KATRINEHOLM</t>
        </is>
      </c>
      <c r="F403" t="inlineStr">
        <is>
          <t>Kyrkan</t>
        </is>
      </c>
      <c r="G403" t="n">
        <v>7.6</v>
      </c>
      <c r="H403" t="n">
        <v>0</v>
      </c>
      <c r="I403" t="n">
        <v>0</v>
      </c>
      <c r="J403" t="n">
        <v>0</v>
      </c>
      <c r="K403" t="n">
        <v>0</v>
      </c>
      <c r="L403" t="n">
        <v>0</v>
      </c>
      <c r="M403" t="n">
        <v>0</v>
      </c>
      <c r="N403" t="n">
        <v>0</v>
      </c>
      <c r="O403" t="n">
        <v>0</v>
      </c>
      <c r="P403" t="n">
        <v>0</v>
      </c>
      <c r="Q403" t="n">
        <v>0</v>
      </c>
      <c r="R403" s="2" t="inlineStr"/>
    </row>
    <row r="404" ht="15" customHeight="1">
      <c r="A404" t="inlineStr">
        <is>
          <t>A 48763-2024</t>
        </is>
      </c>
      <c r="B404" s="1" t="n">
        <v>45593.60288194445</v>
      </c>
      <c r="C404" s="1" t="n">
        <v>45928</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9437-2022</t>
        </is>
      </c>
      <c r="B405" s="1" t="n">
        <v>44616.69246527777</v>
      </c>
      <c r="C405" s="1" t="n">
        <v>45928</v>
      </c>
      <c r="D405" t="inlineStr">
        <is>
          <t>SÖDERMANLANDS LÄN</t>
        </is>
      </c>
      <c r="E405" t="inlineStr">
        <is>
          <t>KATRINEHOLM</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45928</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45928</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14478-2023</t>
        </is>
      </c>
      <c r="B408" s="1" t="n">
        <v>45012.66421296296</v>
      </c>
      <c r="C408" s="1" t="n">
        <v>45928</v>
      </c>
      <c r="D408" t="inlineStr">
        <is>
          <t>SÖDERMANLANDS LÄN</t>
        </is>
      </c>
      <c r="E408" t="inlineStr">
        <is>
          <t>KATRINEHOLM</t>
        </is>
      </c>
      <c r="G408" t="n">
        <v>3.9</v>
      </c>
      <c r="H408" t="n">
        <v>0</v>
      </c>
      <c r="I408" t="n">
        <v>0</v>
      </c>
      <c r="J408" t="n">
        <v>0</v>
      </c>
      <c r="K408" t="n">
        <v>0</v>
      </c>
      <c r="L408" t="n">
        <v>0</v>
      </c>
      <c r="M408" t="n">
        <v>0</v>
      </c>
      <c r="N408" t="n">
        <v>0</v>
      </c>
      <c r="O408" t="n">
        <v>0</v>
      </c>
      <c r="P408" t="n">
        <v>0</v>
      </c>
      <c r="Q408" t="n">
        <v>0</v>
      </c>
      <c r="R408" s="2" t="inlineStr"/>
    </row>
    <row r="409" ht="15" customHeight="1">
      <c r="A409" t="inlineStr">
        <is>
          <t>A 11635-2023</t>
        </is>
      </c>
      <c r="B409" s="1" t="n">
        <v>44994</v>
      </c>
      <c r="C409" s="1" t="n">
        <v>45928</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25362-2023</t>
        </is>
      </c>
      <c r="B410" s="1" t="n">
        <v>45088.83430555555</v>
      </c>
      <c r="C410" s="1" t="n">
        <v>45928</v>
      </c>
      <c r="D410" t="inlineStr">
        <is>
          <t>SÖDERMANLANDS LÄN</t>
        </is>
      </c>
      <c r="E410" t="inlineStr">
        <is>
          <t>KATRINEHOLM</t>
        </is>
      </c>
      <c r="G410" t="n">
        <v>1.5</v>
      </c>
      <c r="H410" t="n">
        <v>0</v>
      </c>
      <c r="I410" t="n">
        <v>0</v>
      </c>
      <c r="J410" t="n">
        <v>0</v>
      </c>
      <c r="K410" t="n">
        <v>0</v>
      </c>
      <c r="L410" t="n">
        <v>0</v>
      </c>
      <c r="M410" t="n">
        <v>0</v>
      </c>
      <c r="N410" t="n">
        <v>0</v>
      </c>
      <c r="O410" t="n">
        <v>0</v>
      </c>
      <c r="P410" t="n">
        <v>0</v>
      </c>
      <c r="Q410" t="n">
        <v>0</v>
      </c>
      <c r="R410" s="2" t="inlineStr"/>
    </row>
    <row r="411" ht="15" customHeight="1">
      <c r="A411" t="inlineStr">
        <is>
          <t>A 20921-2023</t>
        </is>
      </c>
      <c r="B411" s="1" t="n">
        <v>45061</v>
      </c>
      <c r="C411" s="1" t="n">
        <v>45928</v>
      </c>
      <c r="D411" t="inlineStr">
        <is>
          <t>SÖDERMANLANDS LÄN</t>
        </is>
      </c>
      <c r="E411" t="inlineStr">
        <is>
          <t>KATRINEHOLM</t>
        </is>
      </c>
      <c r="G411" t="n">
        <v>8.9</v>
      </c>
      <c r="H411" t="n">
        <v>0</v>
      </c>
      <c r="I411" t="n">
        <v>0</v>
      </c>
      <c r="J411" t="n">
        <v>0</v>
      </c>
      <c r="K411" t="n">
        <v>0</v>
      </c>
      <c r="L411" t="n">
        <v>0</v>
      </c>
      <c r="M411" t="n">
        <v>0</v>
      </c>
      <c r="N411" t="n">
        <v>0</v>
      </c>
      <c r="O411" t="n">
        <v>0</v>
      </c>
      <c r="P411" t="n">
        <v>0</v>
      </c>
      <c r="Q411" t="n">
        <v>0</v>
      </c>
      <c r="R411" s="2" t="inlineStr"/>
    </row>
    <row r="412" ht="15" customHeight="1">
      <c r="A412" t="inlineStr">
        <is>
          <t>A 65485-2020</t>
        </is>
      </c>
      <c r="B412" s="1" t="n">
        <v>44173</v>
      </c>
      <c r="C412" s="1" t="n">
        <v>45928</v>
      </c>
      <c r="D412" t="inlineStr">
        <is>
          <t>SÖDERMANLANDS LÄN</t>
        </is>
      </c>
      <c r="E412" t="inlineStr">
        <is>
          <t>KATRINEHOLM</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12930-2023</t>
        </is>
      </c>
      <c r="B413" s="1" t="n">
        <v>45001</v>
      </c>
      <c r="C413" s="1" t="n">
        <v>45928</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12938-2023</t>
        </is>
      </c>
      <c r="B414" s="1" t="n">
        <v>45001</v>
      </c>
      <c r="C414" s="1" t="n">
        <v>45928</v>
      </c>
      <c r="D414" t="inlineStr">
        <is>
          <t>SÖDERMANLANDS LÄN</t>
        </is>
      </c>
      <c r="E414" t="inlineStr">
        <is>
          <t>KATRINEHOLM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12559-2023</t>
        </is>
      </c>
      <c r="B415" s="1" t="n">
        <v>45000.36373842593</v>
      </c>
      <c r="C415" s="1" t="n">
        <v>45928</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7704-2023</t>
        </is>
      </c>
      <c r="B416" s="1" t="n">
        <v>44968</v>
      </c>
      <c r="C416" s="1" t="n">
        <v>45928</v>
      </c>
      <c r="D416" t="inlineStr">
        <is>
          <t>SÖDERMANLANDS LÄN</t>
        </is>
      </c>
      <c r="E416" t="inlineStr">
        <is>
          <t>KATRINEHOLM</t>
        </is>
      </c>
      <c r="G416" t="n">
        <v>7.3</v>
      </c>
      <c r="H416" t="n">
        <v>0</v>
      </c>
      <c r="I416" t="n">
        <v>0</v>
      </c>
      <c r="J416" t="n">
        <v>0</v>
      </c>
      <c r="K416" t="n">
        <v>0</v>
      </c>
      <c r="L416" t="n">
        <v>0</v>
      </c>
      <c r="M416" t="n">
        <v>0</v>
      </c>
      <c r="N416" t="n">
        <v>0</v>
      </c>
      <c r="O416" t="n">
        <v>0</v>
      </c>
      <c r="P416" t="n">
        <v>0</v>
      </c>
      <c r="Q416" t="n">
        <v>0</v>
      </c>
      <c r="R416" s="2" t="inlineStr"/>
    </row>
    <row r="417" ht="15" customHeight="1">
      <c r="A417" t="inlineStr">
        <is>
          <t>A 49122-2024</t>
        </is>
      </c>
      <c r="B417" s="1" t="n">
        <v>45594</v>
      </c>
      <c r="C417" s="1" t="n">
        <v>45928</v>
      </c>
      <c r="D417" t="inlineStr">
        <is>
          <t>SÖDERMANLANDS LÄN</t>
        </is>
      </c>
      <c r="E417" t="inlineStr">
        <is>
          <t>KATRINEHOLM</t>
        </is>
      </c>
      <c r="G417" t="n">
        <v>19.4</v>
      </c>
      <c r="H417" t="n">
        <v>0</v>
      </c>
      <c r="I417" t="n">
        <v>0</v>
      </c>
      <c r="J417" t="n">
        <v>0</v>
      </c>
      <c r="K417" t="n">
        <v>0</v>
      </c>
      <c r="L417" t="n">
        <v>0</v>
      </c>
      <c r="M417" t="n">
        <v>0</v>
      </c>
      <c r="N417" t="n">
        <v>0</v>
      </c>
      <c r="O417" t="n">
        <v>0</v>
      </c>
      <c r="P417" t="n">
        <v>0</v>
      </c>
      <c r="Q417" t="n">
        <v>0</v>
      </c>
      <c r="R417" s="2" t="inlineStr"/>
    </row>
    <row r="418" ht="15" customHeight="1">
      <c r="A418" t="inlineStr">
        <is>
          <t>A 12937-2023</t>
        </is>
      </c>
      <c r="B418" s="1" t="n">
        <v>45001</v>
      </c>
      <c r="C418" s="1" t="n">
        <v>45928</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10932-2023</t>
        </is>
      </c>
      <c r="B419" s="1" t="n">
        <v>44985</v>
      </c>
      <c r="C419" s="1" t="n">
        <v>45928</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11127-2023</t>
        </is>
      </c>
      <c r="B420" s="1" t="n">
        <v>44987</v>
      </c>
      <c r="C420" s="1" t="n">
        <v>45928</v>
      </c>
      <c r="D420" t="inlineStr">
        <is>
          <t>SÖDERMANLANDS LÄN</t>
        </is>
      </c>
      <c r="E420" t="inlineStr">
        <is>
          <t>KATRINEHOLM</t>
        </is>
      </c>
      <c r="G420" t="n">
        <v>4.3</v>
      </c>
      <c r="H420" t="n">
        <v>0</v>
      </c>
      <c r="I420" t="n">
        <v>0</v>
      </c>
      <c r="J420" t="n">
        <v>0</v>
      </c>
      <c r="K420" t="n">
        <v>0</v>
      </c>
      <c r="L420" t="n">
        <v>0</v>
      </c>
      <c r="M420" t="n">
        <v>0</v>
      </c>
      <c r="N420" t="n">
        <v>0</v>
      </c>
      <c r="O420" t="n">
        <v>0</v>
      </c>
      <c r="P420" t="n">
        <v>0</v>
      </c>
      <c r="Q420" t="n">
        <v>0</v>
      </c>
      <c r="R420" s="2" t="inlineStr"/>
    </row>
    <row r="421" ht="15" customHeight="1">
      <c r="A421" t="inlineStr">
        <is>
          <t>A 55038-2020</t>
        </is>
      </c>
      <c r="B421" s="1" t="n">
        <v>44130</v>
      </c>
      <c r="C421" s="1" t="n">
        <v>45928</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55074-2020</t>
        </is>
      </c>
      <c r="B422" s="1" t="n">
        <v>44130</v>
      </c>
      <c r="C422" s="1" t="n">
        <v>45928</v>
      </c>
      <c r="D422" t="inlineStr">
        <is>
          <t>SÖDERMANLANDS LÄN</t>
        </is>
      </c>
      <c r="E422" t="inlineStr">
        <is>
          <t>KATRINEHOLM</t>
        </is>
      </c>
      <c r="G422" t="n">
        <v>2.9</v>
      </c>
      <c r="H422" t="n">
        <v>0</v>
      </c>
      <c r="I422" t="n">
        <v>0</v>
      </c>
      <c r="J422" t="n">
        <v>0</v>
      </c>
      <c r="K422" t="n">
        <v>0</v>
      </c>
      <c r="L422" t="n">
        <v>0</v>
      </c>
      <c r="M422" t="n">
        <v>0</v>
      </c>
      <c r="N422" t="n">
        <v>0</v>
      </c>
      <c r="O422" t="n">
        <v>0</v>
      </c>
      <c r="P422" t="n">
        <v>0</v>
      </c>
      <c r="Q422" t="n">
        <v>0</v>
      </c>
      <c r="R422" s="2" t="inlineStr"/>
    </row>
    <row r="423" ht="15" customHeight="1">
      <c r="A423" t="inlineStr">
        <is>
          <t>A 4662-2023</t>
        </is>
      </c>
      <c r="B423" s="1" t="n">
        <v>44957</v>
      </c>
      <c r="C423" s="1" t="n">
        <v>45928</v>
      </c>
      <c r="D423" t="inlineStr">
        <is>
          <t>SÖDERMANLANDS LÄN</t>
        </is>
      </c>
      <c r="E423" t="inlineStr">
        <is>
          <t>KATRINEHOLM</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19685-2022</t>
        </is>
      </c>
      <c r="B424" s="1" t="n">
        <v>44694</v>
      </c>
      <c r="C424" s="1" t="n">
        <v>45928</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45928</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62419-2023</t>
        </is>
      </c>
      <c r="B426" s="1" t="n">
        <v>45268</v>
      </c>
      <c r="C426" s="1" t="n">
        <v>45928</v>
      </c>
      <c r="D426" t="inlineStr">
        <is>
          <t>SÖDERMANLANDS LÄN</t>
        </is>
      </c>
      <c r="E426" t="inlineStr">
        <is>
          <t>KATRINEHOLM</t>
        </is>
      </c>
      <c r="G426" t="n">
        <v>9</v>
      </c>
      <c r="H426" t="n">
        <v>0</v>
      </c>
      <c r="I426" t="n">
        <v>0</v>
      </c>
      <c r="J426" t="n">
        <v>0</v>
      </c>
      <c r="K426" t="n">
        <v>0</v>
      </c>
      <c r="L426" t="n">
        <v>0</v>
      </c>
      <c r="M426" t="n">
        <v>0</v>
      </c>
      <c r="N426" t="n">
        <v>0</v>
      </c>
      <c r="O426" t="n">
        <v>0</v>
      </c>
      <c r="P426" t="n">
        <v>0</v>
      </c>
      <c r="Q426" t="n">
        <v>0</v>
      </c>
      <c r="R426" s="2" t="inlineStr"/>
    </row>
    <row r="427" ht="15" customHeight="1">
      <c r="A427" t="inlineStr">
        <is>
          <t>A 8957-2024</t>
        </is>
      </c>
      <c r="B427" s="1" t="n">
        <v>45357.45089120371</v>
      </c>
      <c r="C427" s="1" t="n">
        <v>45928</v>
      </c>
      <c r="D427" t="inlineStr">
        <is>
          <t>SÖDERMANLANDS LÄN</t>
        </is>
      </c>
      <c r="E427" t="inlineStr">
        <is>
          <t>KATRINEHOLM</t>
        </is>
      </c>
      <c r="G427" t="n">
        <v>3.6</v>
      </c>
      <c r="H427" t="n">
        <v>0</v>
      </c>
      <c r="I427" t="n">
        <v>0</v>
      </c>
      <c r="J427" t="n">
        <v>0</v>
      </c>
      <c r="K427" t="n">
        <v>0</v>
      </c>
      <c r="L427" t="n">
        <v>0</v>
      </c>
      <c r="M427" t="n">
        <v>0</v>
      </c>
      <c r="N427" t="n">
        <v>0</v>
      </c>
      <c r="O427" t="n">
        <v>0</v>
      </c>
      <c r="P427" t="n">
        <v>0</v>
      </c>
      <c r="Q427" t="n">
        <v>0</v>
      </c>
      <c r="R427" s="2" t="inlineStr"/>
    </row>
    <row r="428" ht="15" customHeight="1">
      <c r="A428" t="inlineStr">
        <is>
          <t>A 27345-2023</t>
        </is>
      </c>
      <c r="B428" s="1" t="n">
        <v>45096</v>
      </c>
      <c r="C428" s="1" t="n">
        <v>45928</v>
      </c>
      <c r="D428" t="inlineStr">
        <is>
          <t>SÖDERMANLANDS LÄN</t>
        </is>
      </c>
      <c r="E428" t="inlineStr">
        <is>
          <t>KATRINEHOLM</t>
        </is>
      </c>
      <c r="G428" t="n">
        <v>1.4</v>
      </c>
      <c r="H428" t="n">
        <v>0</v>
      </c>
      <c r="I428" t="n">
        <v>0</v>
      </c>
      <c r="J428" t="n">
        <v>0</v>
      </c>
      <c r="K428" t="n">
        <v>0</v>
      </c>
      <c r="L428" t="n">
        <v>0</v>
      </c>
      <c r="M428" t="n">
        <v>0</v>
      </c>
      <c r="N428" t="n">
        <v>0</v>
      </c>
      <c r="O428" t="n">
        <v>0</v>
      </c>
      <c r="P428" t="n">
        <v>0</v>
      </c>
      <c r="Q428" t="n">
        <v>0</v>
      </c>
      <c r="R428" s="2" t="inlineStr"/>
    </row>
    <row r="429" ht="15" customHeight="1">
      <c r="A429" t="inlineStr">
        <is>
          <t>A 39897-2023</t>
        </is>
      </c>
      <c r="B429" s="1" t="n">
        <v>45168</v>
      </c>
      <c r="C429" s="1" t="n">
        <v>45928</v>
      </c>
      <c r="D429" t="inlineStr">
        <is>
          <t>SÖDERMANLANDS LÄN</t>
        </is>
      </c>
      <c r="E429" t="inlineStr">
        <is>
          <t>KATRINEHOLM</t>
        </is>
      </c>
      <c r="G429" t="n">
        <v>15.6</v>
      </c>
      <c r="H429" t="n">
        <v>0</v>
      </c>
      <c r="I429" t="n">
        <v>0</v>
      </c>
      <c r="J429" t="n">
        <v>0</v>
      </c>
      <c r="K429" t="n">
        <v>0</v>
      </c>
      <c r="L429" t="n">
        <v>0</v>
      </c>
      <c r="M429" t="n">
        <v>0</v>
      </c>
      <c r="N429" t="n">
        <v>0</v>
      </c>
      <c r="O429" t="n">
        <v>0</v>
      </c>
      <c r="P429" t="n">
        <v>0</v>
      </c>
      <c r="Q429" t="n">
        <v>0</v>
      </c>
      <c r="R429" s="2" t="inlineStr"/>
    </row>
    <row r="430" ht="15" customHeight="1">
      <c r="A430" t="inlineStr">
        <is>
          <t>A 1151-2025</t>
        </is>
      </c>
      <c r="B430" s="1" t="n">
        <v>45666</v>
      </c>
      <c r="C430" s="1" t="n">
        <v>45928</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23207-2023</t>
        </is>
      </c>
      <c r="B431" s="1" t="n">
        <v>45071</v>
      </c>
      <c r="C431" s="1" t="n">
        <v>45928</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6808-2023</t>
        </is>
      </c>
      <c r="B432" s="1" t="n">
        <v>44964</v>
      </c>
      <c r="C432" s="1" t="n">
        <v>45928</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61394-2024</t>
        </is>
      </c>
      <c r="B433" s="1" t="n">
        <v>45646.42061342593</v>
      </c>
      <c r="C433" s="1" t="n">
        <v>45928</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42025-2022</t>
        </is>
      </c>
      <c r="B434" s="1" t="n">
        <v>44830.47399305556</v>
      </c>
      <c r="C434" s="1" t="n">
        <v>45928</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42896-2024</t>
        </is>
      </c>
      <c r="B435" s="1" t="n">
        <v>45566.82973379629</v>
      </c>
      <c r="C435" s="1" t="n">
        <v>45928</v>
      </c>
      <c r="D435" t="inlineStr">
        <is>
          <t>SÖDERMANLANDS LÄN</t>
        </is>
      </c>
      <c r="E435" t="inlineStr">
        <is>
          <t>KATRINEHOLM</t>
        </is>
      </c>
      <c r="G435" t="n">
        <v>4.3</v>
      </c>
      <c r="H435" t="n">
        <v>0</v>
      </c>
      <c r="I435" t="n">
        <v>0</v>
      </c>
      <c r="J435" t="n">
        <v>0</v>
      </c>
      <c r="K435" t="n">
        <v>0</v>
      </c>
      <c r="L435" t="n">
        <v>0</v>
      </c>
      <c r="M435" t="n">
        <v>0</v>
      </c>
      <c r="N435" t="n">
        <v>0</v>
      </c>
      <c r="O435" t="n">
        <v>0</v>
      </c>
      <c r="P435" t="n">
        <v>0</v>
      </c>
      <c r="Q435" t="n">
        <v>0</v>
      </c>
      <c r="R435" s="2" t="inlineStr"/>
    </row>
    <row r="436" ht="15" customHeight="1">
      <c r="A436" t="inlineStr">
        <is>
          <t>A 7747-2024</t>
        </is>
      </c>
      <c r="B436" s="1" t="n">
        <v>45348</v>
      </c>
      <c r="C436" s="1" t="n">
        <v>45928</v>
      </c>
      <c r="D436" t="inlineStr">
        <is>
          <t>SÖDERMANLANDS LÄN</t>
        </is>
      </c>
      <c r="E436" t="inlineStr">
        <is>
          <t>KATRINEHOLM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7753-2024</t>
        </is>
      </c>
      <c r="B437" s="1" t="n">
        <v>45348</v>
      </c>
      <c r="C437" s="1" t="n">
        <v>45928</v>
      </c>
      <c r="D437" t="inlineStr">
        <is>
          <t>SÖDERMANLANDS LÄN</t>
        </is>
      </c>
      <c r="E437" t="inlineStr">
        <is>
          <t>KATRINEHOLM</t>
        </is>
      </c>
      <c r="G437" t="n">
        <v>13.4</v>
      </c>
      <c r="H437" t="n">
        <v>0</v>
      </c>
      <c r="I437" t="n">
        <v>0</v>
      </c>
      <c r="J437" t="n">
        <v>0</v>
      </c>
      <c r="K437" t="n">
        <v>0</v>
      </c>
      <c r="L437" t="n">
        <v>0</v>
      </c>
      <c r="M437" t="n">
        <v>0</v>
      </c>
      <c r="N437" t="n">
        <v>0</v>
      </c>
      <c r="O437" t="n">
        <v>0</v>
      </c>
      <c r="P437" t="n">
        <v>0</v>
      </c>
      <c r="Q437" t="n">
        <v>0</v>
      </c>
      <c r="R437" s="2" t="inlineStr"/>
    </row>
    <row r="438" ht="15" customHeight="1">
      <c r="A438" t="inlineStr">
        <is>
          <t>A 8791-2023</t>
        </is>
      </c>
      <c r="B438" s="1" t="n">
        <v>44978</v>
      </c>
      <c r="C438" s="1" t="n">
        <v>45928</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48253-2022</t>
        </is>
      </c>
      <c r="B439" s="1" t="n">
        <v>44858</v>
      </c>
      <c r="C439" s="1" t="n">
        <v>45928</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11543-2025</t>
        </is>
      </c>
      <c r="B440" s="1" t="n">
        <v>45727.34248842593</v>
      </c>
      <c r="C440" s="1" t="n">
        <v>45928</v>
      </c>
      <c r="D440" t="inlineStr">
        <is>
          <t>SÖDERMANLANDS LÄN</t>
        </is>
      </c>
      <c r="E440" t="inlineStr">
        <is>
          <t>KATRINEHOLM</t>
        </is>
      </c>
      <c r="G440" t="n">
        <v>3.6</v>
      </c>
      <c r="H440" t="n">
        <v>0</v>
      </c>
      <c r="I440" t="n">
        <v>0</v>
      </c>
      <c r="J440" t="n">
        <v>0</v>
      </c>
      <c r="K440" t="n">
        <v>0</v>
      </c>
      <c r="L440" t="n">
        <v>0</v>
      </c>
      <c r="M440" t="n">
        <v>0</v>
      </c>
      <c r="N440" t="n">
        <v>0</v>
      </c>
      <c r="O440" t="n">
        <v>0</v>
      </c>
      <c r="P440" t="n">
        <v>0</v>
      </c>
      <c r="Q440" t="n">
        <v>0</v>
      </c>
      <c r="R440" s="2" t="inlineStr"/>
    </row>
    <row r="441" ht="15" customHeight="1">
      <c r="A441" t="inlineStr">
        <is>
          <t>A 5935-2023</t>
        </is>
      </c>
      <c r="B441" s="1" t="n">
        <v>44963</v>
      </c>
      <c r="C441" s="1" t="n">
        <v>45928</v>
      </c>
      <c r="D441" t="inlineStr">
        <is>
          <t>SÖDERMANLANDS LÄN</t>
        </is>
      </c>
      <c r="E441" t="inlineStr">
        <is>
          <t>KATRINEHOLM</t>
        </is>
      </c>
      <c r="G441" t="n">
        <v>1.5</v>
      </c>
      <c r="H441" t="n">
        <v>0</v>
      </c>
      <c r="I441" t="n">
        <v>0</v>
      </c>
      <c r="J441" t="n">
        <v>0</v>
      </c>
      <c r="K441" t="n">
        <v>0</v>
      </c>
      <c r="L441" t="n">
        <v>0</v>
      </c>
      <c r="M441" t="n">
        <v>0</v>
      </c>
      <c r="N441" t="n">
        <v>0</v>
      </c>
      <c r="O441" t="n">
        <v>0</v>
      </c>
      <c r="P441" t="n">
        <v>0</v>
      </c>
      <c r="Q441" t="n">
        <v>0</v>
      </c>
      <c r="R441" s="2" t="inlineStr"/>
    </row>
    <row r="442" ht="15" customHeight="1">
      <c r="A442" t="inlineStr">
        <is>
          <t>A 53809-2021</t>
        </is>
      </c>
      <c r="B442" s="1" t="n">
        <v>44467</v>
      </c>
      <c r="C442" s="1" t="n">
        <v>45928</v>
      </c>
      <c r="D442" t="inlineStr">
        <is>
          <t>SÖDERMANLANDS LÄN</t>
        </is>
      </c>
      <c r="E442" t="inlineStr">
        <is>
          <t>KATRINEHOLM</t>
        </is>
      </c>
      <c r="G442" t="n">
        <v>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45928</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13175-2024</t>
        </is>
      </c>
      <c r="B444" s="1" t="n">
        <v>45386</v>
      </c>
      <c r="C444" s="1" t="n">
        <v>45928</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37827-2025</t>
        </is>
      </c>
      <c r="B445" s="1" t="n">
        <v>45881.40907407407</v>
      </c>
      <c r="C445" s="1" t="n">
        <v>45928</v>
      </c>
      <c r="D445" t="inlineStr">
        <is>
          <t>SÖDERMANLANDS LÄN</t>
        </is>
      </c>
      <c r="E445" t="inlineStr">
        <is>
          <t>KATRINEHOLM</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40744-2022</t>
        </is>
      </c>
      <c r="B446" s="1" t="n">
        <v>44824.55655092592</v>
      </c>
      <c r="C446" s="1" t="n">
        <v>45928</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10732-2022</t>
        </is>
      </c>
      <c r="B447" s="1" t="n">
        <v>44627.34033564815</v>
      </c>
      <c r="C447" s="1" t="n">
        <v>45928</v>
      </c>
      <c r="D447" t="inlineStr">
        <is>
          <t>SÖDERMANLANDS LÄN</t>
        </is>
      </c>
      <c r="E447" t="inlineStr">
        <is>
          <t>KATRINEHOLM</t>
        </is>
      </c>
      <c r="G447" t="n">
        <v>2.4</v>
      </c>
      <c r="H447" t="n">
        <v>0</v>
      </c>
      <c r="I447" t="n">
        <v>0</v>
      </c>
      <c r="J447" t="n">
        <v>0</v>
      </c>
      <c r="K447" t="n">
        <v>0</v>
      </c>
      <c r="L447" t="n">
        <v>0</v>
      </c>
      <c r="M447" t="n">
        <v>0</v>
      </c>
      <c r="N447" t="n">
        <v>0</v>
      </c>
      <c r="O447" t="n">
        <v>0</v>
      </c>
      <c r="P447" t="n">
        <v>0</v>
      </c>
      <c r="Q447" t="n">
        <v>0</v>
      </c>
      <c r="R447" s="2" t="inlineStr"/>
    </row>
    <row r="448" ht="15" customHeight="1">
      <c r="A448" t="inlineStr">
        <is>
          <t>A 8761-2023</t>
        </is>
      </c>
      <c r="B448" s="1" t="n">
        <v>44978.49685185185</v>
      </c>
      <c r="C448" s="1" t="n">
        <v>45928</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8778-2023</t>
        </is>
      </c>
      <c r="B449" s="1" t="n">
        <v>44978.5737037037</v>
      </c>
      <c r="C449" s="1" t="n">
        <v>45928</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8457-2023</t>
        </is>
      </c>
      <c r="B450" s="1" t="n">
        <v>44977</v>
      </c>
      <c r="C450" s="1" t="n">
        <v>45928</v>
      </c>
      <c r="D450" t="inlineStr">
        <is>
          <t>SÖDERMANLANDS LÄN</t>
        </is>
      </c>
      <c r="E450" t="inlineStr">
        <is>
          <t>KATRINEHOLM</t>
        </is>
      </c>
      <c r="F450" t="inlineStr">
        <is>
          <t>Allmännings- och besparingsskogar</t>
        </is>
      </c>
      <c r="G450" t="n">
        <v>16.1</v>
      </c>
      <c r="H450" t="n">
        <v>0</v>
      </c>
      <c r="I450" t="n">
        <v>0</v>
      </c>
      <c r="J450" t="n">
        <v>0</v>
      </c>
      <c r="K450" t="n">
        <v>0</v>
      </c>
      <c r="L450" t="n">
        <v>0</v>
      </c>
      <c r="M450" t="n">
        <v>0</v>
      </c>
      <c r="N450" t="n">
        <v>0</v>
      </c>
      <c r="O450" t="n">
        <v>0</v>
      </c>
      <c r="P450" t="n">
        <v>0</v>
      </c>
      <c r="Q450" t="n">
        <v>0</v>
      </c>
      <c r="R450" s="2" t="inlineStr"/>
    </row>
    <row r="451" ht="15" customHeight="1">
      <c r="A451" t="inlineStr">
        <is>
          <t>A 7056-2022</t>
        </is>
      </c>
      <c r="B451" s="1" t="n">
        <v>44603</v>
      </c>
      <c r="C451" s="1" t="n">
        <v>45928</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58958-2020</t>
        </is>
      </c>
      <c r="B452" s="1" t="n">
        <v>44146</v>
      </c>
      <c r="C452" s="1" t="n">
        <v>45928</v>
      </c>
      <c r="D452" t="inlineStr">
        <is>
          <t>SÖDERMANLANDS LÄN</t>
        </is>
      </c>
      <c r="E452" t="inlineStr">
        <is>
          <t>KATRINEHOLM</t>
        </is>
      </c>
      <c r="F452" t="inlineStr">
        <is>
          <t>Holmen skog AB</t>
        </is>
      </c>
      <c r="G452" t="n">
        <v>0.2</v>
      </c>
      <c r="H452" t="n">
        <v>0</v>
      </c>
      <c r="I452" t="n">
        <v>0</v>
      </c>
      <c r="J452" t="n">
        <v>0</v>
      </c>
      <c r="K452" t="n">
        <v>0</v>
      </c>
      <c r="L452" t="n">
        <v>0</v>
      </c>
      <c r="M452" t="n">
        <v>0</v>
      </c>
      <c r="N452" t="n">
        <v>0</v>
      </c>
      <c r="O452" t="n">
        <v>0</v>
      </c>
      <c r="P452" t="n">
        <v>0</v>
      </c>
      <c r="Q452" t="n">
        <v>0</v>
      </c>
      <c r="R452" s="2" t="inlineStr"/>
    </row>
    <row r="453" ht="15" customHeight="1">
      <c r="A453" t="inlineStr">
        <is>
          <t>A 18339-2023</t>
        </is>
      </c>
      <c r="B453" s="1" t="n">
        <v>45041</v>
      </c>
      <c r="C453" s="1" t="n">
        <v>45928</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58522-2024</t>
        </is>
      </c>
      <c r="B454" s="1" t="n">
        <v>45635.43770833333</v>
      </c>
      <c r="C454" s="1" t="n">
        <v>45928</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3939-2022</t>
        </is>
      </c>
      <c r="B455" s="1" t="n">
        <v>44587</v>
      </c>
      <c r="C455" s="1" t="n">
        <v>45928</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56074-2022</t>
        </is>
      </c>
      <c r="B456" s="1" t="n">
        <v>44889</v>
      </c>
      <c r="C456" s="1" t="n">
        <v>45928</v>
      </c>
      <c r="D456" t="inlineStr">
        <is>
          <t>SÖDERMANLANDS LÄN</t>
        </is>
      </c>
      <c r="E456" t="inlineStr">
        <is>
          <t>KATRINEHOLM</t>
        </is>
      </c>
      <c r="G456" t="n">
        <v>1</v>
      </c>
      <c r="H456" t="n">
        <v>0</v>
      </c>
      <c r="I456" t="n">
        <v>0</v>
      </c>
      <c r="J456" t="n">
        <v>0</v>
      </c>
      <c r="K456" t="n">
        <v>0</v>
      </c>
      <c r="L456" t="n">
        <v>0</v>
      </c>
      <c r="M456" t="n">
        <v>0</v>
      </c>
      <c r="N456" t="n">
        <v>0</v>
      </c>
      <c r="O456" t="n">
        <v>0</v>
      </c>
      <c r="P456" t="n">
        <v>0</v>
      </c>
      <c r="Q456" t="n">
        <v>0</v>
      </c>
      <c r="R456" s="2" t="inlineStr"/>
      <c r="T456">
        <f>HYPERLINK("https://klasma.github.io/Logging_0483/kartor/A 56074-2022 karta.png", "A 56074-2022")</f>
        <v/>
      </c>
      <c r="V456">
        <f>HYPERLINK("https://klasma.github.io/Logging_0483/klagomål/A 56074-2022 FSC-klagomål.docx", "A 56074-2022")</f>
        <v/>
      </c>
      <c r="W456">
        <f>HYPERLINK("https://klasma.github.io/Logging_0483/klagomålsmail/A 56074-2022 FSC-klagomål mail.docx", "A 56074-2022")</f>
        <v/>
      </c>
      <c r="X456">
        <f>HYPERLINK("https://klasma.github.io/Logging_0483/tillsyn/A 56074-2022 tillsynsbegäran.docx", "A 56074-2022")</f>
        <v/>
      </c>
      <c r="Y456">
        <f>HYPERLINK("https://klasma.github.io/Logging_0483/tillsynsmail/A 56074-2022 tillsynsbegäran mail.docx", "A 56074-2022")</f>
        <v/>
      </c>
    </row>
    <row r="457" ht="15" customHeight="1">
      <c r="A457" t="inlineStr">
        <is>
          <t>A 32786-2022</t>
        </is>
      </c>
      <c r="B457" s="1" t="n">
        <v>44784</v>
      </c>
      <c r="C457" s="1" t="n">
        <v>45928</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7223-2022</t>
        </is>
      </c>
      <c r="B458" s="1" t="n">
        <v>44603</v>
      </c>
      <c r="C458" s="1" t="n">
        <v>45928</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7459-2022</t>
        </is>
      </c>
      <c r="B459" s="1" t="n">
        <v>44607.35009259259</v>
      </c>
      <c r="C459" s="1" t="n">
        <v>45928</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27375-2024</t>
        </is>
      </c>
      <c r="B460" s="1" t="n">
        <v>45473.87645833333</v>
      </c>
      <c r="C460" s="1" t="n">
        <v>45928</v>
      </c>
      <c r="D460" t="inlineStr">
        <is>
          <t>SÖDERMANLANDS LÄN</t>
        </is>
      </c>
      <c r="E460" t="inlineStr">
        <is>
          <t>KATRINEHOLM</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61915-2021</t>
        </is>
      </c>
      <c r="B461" s="1" t="n">
        <v>44502.36780092592</v>
      </c>
      <c r="C461" s="1" t="n">
        <v>45928</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20768-2022</t>
        </is>
      </c>
      <c r="B462" s="1" t="n">
        <v>44701.36431712963</v>
      </c>
      <c r="C462" s="1" t="n">
        <v>45928</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47889-2023</t>
        </is>
      </c>
      <c r="B463" s="1" t="n">
        <v>45204</v>
      </c>
      <c r="C463" s="1" t="n">
        <v>45928</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15284-2023</t>
        </is>
      </c>
      <c r="B464" s="1" t="n">
        <v>45019</v>
      </c>
      <c r="C464" s="1" t="n">
        <v>45928</v>
      </c>
      <c r="D464" t="inlineStr">
        <is>
          <t>SÖDERMANLANDS LÄN</t>
        </is>
      </c>
      <c r="E464" t="inlineStr">
        <is>
          <t>KATRINEHOLM</t>
        </is>
      </c>
      <c r="F464" t="inlineStr">
        <is>
          <t>Allmännings- och besparingsskogar</t>
        </is>
      </c>
      <c r="G464" t="n">
        <v>17.4</v>
      </c>
      <c r="H464" t="n">
        <v>0</v>
      </c>
      <c r="I464" t="n">
        <v>0</v>
      </c>
      <c r="J464" t="n">
        <v>0</v>
      </c>
      <c r="K464" t="n">
        <v>0</v>
      </c>
      <c r="L464" t="n">
        <v>0</v>
      </c>
      <c r="M464" t="n">
        <v>0</v>
      </c>
      <c r="N464" t="n">
        <v>0</v>
      </c>
      <c r="O464" t="n">
        <v>0</v>
      </c>
      <c r="P464" t="n">
        <v>0</v>
      </c>
      <c r="Q464" t="n">
        <v>0</v>
      </c>
      <c r="R464" s="2" t="inlineStr"/>
    </row>
    <row r="465" ht="15" customHeight="1">
      <c r="A465" t="inlineStr">
        <is>
          <t>A 34732-2022</t>
        </is>
      </c>
      <c r="B465" s="1" t="n">
        <v>44795</v>
      </c>
      <c r="C465" s="1" t="n">
        <v>45928</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51613-2022</t>
        </is>
      </c>
      <c r="B466" s="1" t="n">
        <v>44871</v>
      </c>
      <c r="C466" s="1" t="n">
        <v>45928</v>
      </c>
      <c r="D466" t="inlineStr">
        <is>
          <t>SÖDERMANLANDS LÄN</t>
        </is>
      </c>
      <c r="E466" t="inlineStr">
        <is>
          <t>KATRINEHOLM</t>
        </is>
      </c>
      <c r="G466" t="n">
        <v>3</v>
      </c>
      <c r="H466" t="n">
        <v>0</v>
      </c>
      <c r="I466" t="n">
        <v>0</v>
      </c>
      <c r="J466" t="n">
        <v>0</v>
      </c>
      <c r="K466" t="n">
        <v>0</v>
      </c>
      <c r="L466" t="n">
        <v>0</v>
      </c>
      <c r="M466" t="n">
        <v>0</v>
      </c>
      <c r="N466" t="n">
        <v>0</v>
      </c>
      <c r="O466" t="n">
        <v>0</v>
      </c>
      <c r="P466" t="n">
        <v>0</v>
      </c>
      <c r="Q466" t="n">
        <v>0</v>
      </c>
      <c r="R466" s="2" t="inlineStr"/>
    </row>
    <row r="467" ht="15" customHeight="1">
      <c r="A467" t="inlineStr">
        <is>
          <t>A 37834-2023</t>
        </is>
      </c>
      <c r="B467" s="1" t="n">
        <v>45160</v>
      </c>
      <c r="C467" s="1" t="n">
        <v>45928</v>
      </c>
      <c r="D467" t="inlineStr">
        <is>
          <t>SÖDERMANLANDS LÄN</t>
        </is>
      </c>
      <c r="E467" t="inlineStr">
        <is>
          <t>KATRINEHOLM</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8917-2024</t>
        </is>
      </c>
      <c r="B468" s="1" t="n">
        <v>45357.37618055556</v>
      </c>
      <c r="C468" s="1" t="n">
        <v>45928</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8475-2023</t>
        </is>
      </c>
      <c r="B469" s="1" t="n">
        <v>44977</v>
      </c>
      <c r="C469" s="1" t="n">
        <v>45928</v>
      </c>
      <c r="D469" t="inlineStr">
        <is>
          <t>SÖDERMANLANDS LÄN</t>
        </is>
      </c>
      <c r="E469" t="inlineStr">
        <is>
          <t>KATRINEHOLM</t>
        </is>
      </c>
      <c r="F469" t="inlineStr">
        <is>
          <t>Allmännings- och besparingsskogar</t>
        </is>
      </c>
      <c r="G469" t="n">
        <v>8.1</v>
      </c>
      <c r="H469" t="n">
        <v>0</v>
      </c>
      <c r="I469" t="n">
        <v>0</v>
      </c>
      <c r="J469" t="n">
        <v>0</v>
      </c>
      <c r="K469" t="n">
        <v>0</v>
      </c>
      <c r="L469" t="n">
        <v>0</v>
      </c>
      <c r="M469" t="n">
        <v>0</v>
      </c>
      <c r="N469" t="n">
        <v>0</v>
      </c>
      <c r="O469" t="n">
        <v>0</v>
      </c>
      <c r="P469" t="n">
        <v>0</v>
      </c>
      <c r="Q469" t="n">
        <v>0</v>
      </c>
      <c r="R469" s="2" t="inlineStr"/>
    </row>
    <row r="470" ht="15" customHeight="1">
      <c r="A470" t="inlineStr">
        <is>
          <t>A 32890-2024</t>
        </is>
      </c>
      <c r="B470" s="1" t="n">
        <v>45516</v>
      </c>
      <c r="C470" s="1" t="n">
        <v>45928</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4656-2023</t>
        </is>
      </c>
      <c r="B471" s="1" t="n">
        <v>44957</v>
      </c>
      <c r="C471" s="1" t="n">
        <v>45928</v>
      </c>
      <c r="D471" t="inlineStr">
        <is>
          <t>SÖDERMANLANDS LÄN</t>
        </is>
      </c>
      <c r="E471" t="inlineStr">
        <is>
          <t>KATRINEHOLM</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32166-2022</t>
        </is>
      </c>
      <c r="B472" s="1" t="n">
        <v>44781</v>
      </c>
      <c r="C472" s="1" t="n">
        <v>45928</v>
      </c>
      <c r="D472" t="inlineStr">
        <is>
          <t>SÖDERMANLANDS LÄN</t>
        </is>
      </c>
      <c r="E472" t="inlineStr">
        <is>
          <t>KATRINEHOLM</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32169-2022</t>
        </is>
      </c>
      <c r="B473" s="1" t="n">
        <v>44781</v>
      </c>
      <c r="C473" s="1" t="n">
        <v>45928</v>
      </c>
      <c r="D473" t="inlineStr">
        <is>
          <t>SÖDERMANLANDS LÄN</t>
        </is>
      </c>
      <c r="E473" t="inlineStr">
        <is>
          <t>KATRINEHOLM</t>
        </is>
      </c>
      <c r="F473" t="inlineStr">
        <is>
          <t>Kommuner</t>
        </is>
      </c>
      <c r="G473" t="n">
        <v>0.9</v>
      </c>
      <c r="H473" t="n">
        <v>0</v>
      </c>
      <c r="I473" t="n">
        <v>0</v>
      </c>
      <c r="J473" t="n">
        <v>0</v>
      </c>
      <c r="K473" t="n">
        <v>0</v>
      </c>
      <c r="L473" t="n">
        <v>0</v>
      </c>
      <c r="M473" t="n">
        <v>0</v>
      </c>
      <c r="N473" t="n">
        <v>0</v>
      </c>
      <c r="O473" t="n">
        <v>0</v>
      </c>
      <c r="P473" t="n">
        <v>0</v>
      </c>
      <c r="Q473" t="n">
        <v>0</v>
      </c>
      <c r="R473" s="2" t="inlineStr"/>
    </row>
    <row r="474" ht="15" customHeight="1">
      <c r="A474" t="inlineStr">
        <is>
          <t>A 2320-2023</t>
        </is>
      </c>
      <c r="B474" s="1" t="n">
        <v>44942.58850694444</v>
      </c>
      <c r="C474" s="1" t="n">
        <v>45928</v>
      </c>
      <c r="D474" t="inlineStr">
        <is>
          <t>SÖDERMANLANDS LÄN</t>
        </is>
      </c>
      <c r="E474" t="inlineStr">
        <is>
          <t>KATRINEHOLM</t>
        </is>
      </c>
      <c r="G474" t="n">
        <v>1.9</v>
      </c>
      <c r="H474" t="n">
        <v>0</v>
      </c>
      <c r="I474" t="n">
        <v>0</v>
      </c>
      <c r="J474" t="n">
        <v>0</v>
      </c>
      <c r="K474" t="n">
        <v>0</v>
      </c>
      <c r="L474" t="n">
        <v>0</v>
      </c>
      <c r="M474" t="n">
        <v>0</v>
      </c>
      <c r="N474" t="n">
        <v>0</v>
      </c>
      <c r="O474" t="n">
        <v>0</v>
      </c>
      <c r="P474" t="n">
        <v>0</v>
      </c>
      <c r="Q474" t="n">
        <v>0</v>
      </c>
      <c r="R474" s="2" t="inlineStr"/>
    </row>
    <row r="475" ht="15" customHeight="1">
      <c r="A475" t="inlineStr">
        <is>
          <t>A 35864-2023</t>
        </is>
      </c>
      <c r="B475" s="1" t="n">
        <v>45147</v>
      </c>
      <c r="C475" s="1" t="n">
        <v>45928</v>
      </c>
      <c r="D475" t="inlineStr">
        <is>
          <t>SÖDERMANLANDS LÄN</t>
        </is>
      </c>
      <c r="E475" t="inlineStr">
        <is>
          <t>KATRINEHOLM</t>
        </is>
      </c>
      <c r="F475" t="inlineStr">
        <is>
          <t>Övriga Aktiebolag</t>
        </is>
      </c>
      <c r="G475" t="n">
        <v>4.7</v>
      </c>
      <c r="H475" t="n">
        <v>0</v>
      </c>
      <c r="I475" t="n">
        <v>0</v>
      </c>
      <c r="J475" t="n">
        <v>0</v>
      </c>
      <c r="K475" t="n">
        <v>0</v>
      </c>
      <c r="L475" t="n">
        <v>0</v>
      </c>
      <c r="M475" t="n">
        <v>0</v>
      </c>
      <c r="N475" t="n">
        <v>0</v>
      </c>
      <c r="O475" t="n">
        <v>0</v>
      </c>
      <c r="P475" t="n">
        <v>0</v>
      </c>
      <c r="Q475" t="n">
        <v>0</v>
      </c>
      <c r="R475" s="2" t="inlineStr"/>
    </row>
    <row r="476" ht="15" customHeight="1">
      <c r="A476" t="inlineStr">
        <is>
          <t>A 59898-2022</t>
        </is>
      </c>
      <c r="B476" s="1" t="n">
        <v>44908</v>
      </c>
      <c r="C476" s="1" t="n">
        <v>45928</v>
      </c>
      <c r="D476" t="inlineStr">
        <is>
          <t>SÖDERMANLANDS LÄN</t>
        </is>
      </c>
      <c r="E476" t="inlineStr">
        <is>
          <t>KATRINEHOLM</t>
        </is>
      </c>
      <c r="G476" t="n">
        <v>4.8</v>
      </c>
      <c r="H476" t="n">
        <v>0</v>
      </c>
      <c r="I476" t="n">
        <v>0</v>
      </c>
      <c r="J476" t="n">
        <v>0</v>
      </c>
      <c r="K476" t="n">
        <v>0</v>
      </c>
      <c r="L476" t="n">
        <v>0</v>
      </c>
      <c r="M476" t="n">
        <v>0</v>
      </c>
      <c r="N476" t="n">
        <v>0</v>
      </c>
      <c r="O476" t="n">
        <v>0</v>
      </c>
      <c r="P476" t="n">
        <v>0</v>
      </c>
      <c r="Q476" t="n">
        <v>0</v>
      </c>
      <c r="R476" s="2" t="inlineStr"/>
    </row>
    <row r="477" ht="15" customHeight="1">
      <c r="A477" t="inlineStr">
        <is>
          <t>A 20326-2023</t>
        </is>
      </c>
      <c r="B477" s="1" t="n">
        <v>45056.46821759259</v>
      </c>
      <c r="C477" s="1" t="n">
        <v>45928</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15392-2023</t>
        </is>
      </c>
      <c r="B478" s="1" t="n">
        <v>45016</v>
      </c>
      <c r="C478" s="1" t="n">
        <v>45928</v>
      </c>
      <c r="D478" t="inlineStr">
        <is>
          <t>SÖDERMANLANDS LÄN</t>
        </is>
      </c>
      <c r="E478" t="inlineStr">
        <is>
          <t>KATRINEHOLM</t>
        </is>
      </c>
      <c r="F478" t="inlineStr">
        <is>
          <t>Övriga Aktiebolag</t>
        </is>
      </c>
      <c r="G478" t="n">
        <v>2.7</v>
      </c>
      <c r="H478" t="n">
        <v>0</v>
      </c>
      <c r="I478" t="n">
        <v>0</v>
      </c>
      <c r="J478" t="n">
        <v>0</v>
      </c>
      <c r="K478" t="n">
        <v>0</v>
      </c>
      <c r="L478" t="n">
        <v>0</v>
      </c>
      <c r="M478" t="n">
        <v>0</v>
      </c>
      <c r="N478" t="n">
        <v>0</v>
      </c>
      <c r="O478" t="n">
        <v>0</v>
      </c>
      <c r="P478" t="n">
        <v>0</v>
      </c>
      <c r="Q478" t="n">
        <v>0</v>
      </c>
      <c r="R478" s="2" t="inlineStr"/>
    </row>
    <row r="479" ht="15" customHeight="1">
      <c r="A479" t="inlineStr">
        <is>
          <t>A 44637-2023</t>
        </is>
      </c>
      <c r="B479" s="1" t="n">
        <v>45189</v>
      </c>
      <c r="C479" s="1" t="n">
        <v>45928</v>
      </c>
      <c r="D479" t="inlineStr">
        <is>
          <t>SÖDERMANLANDS LÄN</t>
        </is>
      </c>
      <c r="E479" t="inlineStr">
        <is>
          <t>KATRINEHOLM</t>
        </is>
      </c>
      <c r="G479" t="n">
        <v>5.1</v>
      </c>
      <c r="H479" t="n">
        <v>0</v>
      </c>
      <c r="I479" t="n">
        <v>0</v>
      </c>
      <c r="J479" t="n">
        <v>0</v>
      </c>
      <c r="K479" t="n">
        <v>0</v>
      </c>
      <c r="L479" t="n">
        <v>0</v>
      </c>
      <c r="M479" t="n">
        <v>0</v>
      </c>
      <c r="N479" t="n">
        <v>0</v>
      </c>
      <c r="O479" t="n">
        <v>0</v>
      </c>
      <c r="P479" t="n">
        <v>0</v>
      </c>
      <c r="Q479" t="n">
        <v>0</v>
      </c>
      <c r="R479" s="2" t="inlineStr"/>
    </row>
    <row r="480" ht="15" customHeight="1">
      <c r="A480" t="inlineStr">
        <is>
          <t>A 59093-2024</t>
        </is>
      </c>
      <c r="B480" s="1" t="n">
        <v>45636</v>
      </c>
      <c r="C480" s="1" t="n">
        <v>45928</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45246-2023</t>
        </is>
      </c>
      <c r="B481" s="1" t="n">
        <v>45191</v>
      </c>
      <c r="C481" s="1" t="n">
        <v>45928</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2735-2025</t>
        </is>
      </c>
      <c r="B482" s="1" t="n">
        <v>45677</v>
      </c>
      <c r="C482" s="1" t="n">
        <v>45928</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49914-2023</t>
        </is>
      </c>
      <c r="B483" s="1" t="n">
        <v>45214</v>
      </c>
      <c r="C483" s="1" t="n">
        <v>45928</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17335-2023</t>
        </is>
      </c>
      <c r="B484" s="1" t="n">
        <v>45033</v>
      </c>
      <c r="C484" s="1" t="n">
        <v>45928</v>
      </c>
      <c r="D484" t="inlineStr">
        <is>
          <t>SÖDERMANLANDS LÄN</t>
        </is>
      </c>
      <c r="E484" t="inlineStr">
        <is>
          <t>KATRINEHOLM</t>
        </is>
      </c>
      <c r="G484" t="n">
        <v>3.3</v>
      </c>
      <c r="H484" t="n">
        <v>0</v>
      </c>
      <c r="I484" t="n">
        <v>0</v>
      </c>
      <c r="J484" t="n">
        <v>0</v>
      </c>
      <c r="K484" t="n">
        <v>0</v>
      </c>
      <c r="L484" t="n">
        <v>0</v>
      </c>
      <c r="M484" t="n">
        <v>0</v>
      </c>
      <c r="N484" t="n">
        <v>0</v>
      </c>
      <c r="O484" t="n">
        <v>0</v>
      </c>
      <c r="P484" t="n">
        <v>0</v>
      </c>
      <c r="Q484" t="n">
        <v>0</v>
      </c>
      <c r="R484" s="2" t="inlineStr"/>
    </row>
    <row r="485" ht="15" customHeight="1">
      <c r="A485" t="inlineStr">
        <is>
          <t>A 38872-2024</t>
        </is>
      </c>
      <c r="B485" s="1" t="n">
        <v>45547</v>
      </c>
      <c r="C485" s="1" t="n">
        <v>45928</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45928</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69600-2020</t>
        </is>
      </c>
      <c r="B487" s="1" t="n">
        <v>44195</v>
      </c>
      <c r="C487" s="1" t="n">
        <v>45928</v>
      </c>
      <c r="D487" t="inlineStr">
        <is>
          <t>SÖDERMANLANDS LÄN</t>
        </is>
      </c>
      <c r="E487" t="inlineStr">
        <is>
          <t>KATRINEHOLM</t>
        </is>
      </c>
      <c r="G487" t="n">
        <v>11.3</v>
      </c>
      <c r="H487" t="n">
        <v>0</v>
      </c>
      <c r="I487" t="n">
        <v>0</v>
      </c>
      <c r="J487" t="n">
        <v>0</v>
      </c>
      <c r="K487" t="n">
        <v>0</v>
      </c>
      <c r="L487" t="n">
        <v>0</v>
      </c>
      <c r="M487" t="n">
        <v>0</v>
      </c>
      <c r="N487" t="n">
        <v>0</v>
      </c>
      <c r="O487" t="n">
        <v>0</v>
      </c>
      <c r="P487" t="n">
        <v>0</v>
      </c>
      <c r="Q487" t="n">
        <v>0</v>
      </c>
      <c r="R487" s="2" t="inlineStr"/>
    </row>
    <row r="488" ht="15" customHeight="1">
      <c r="A488" t="inlineStr">
        <is>
          <t>A 64657-2020</t>
        </is>
      </c>
      <c r="B488" s="1" t="n">
        <v>44169</v>
      </c>
      <c r="C488" s="1" t="n">
        <v>45928</v>
      </c>
      <c r="D488" t="inlineStr">
        <is>
          <t>SÖDERMANLANDS LÄN</t>
        </is>
      </c>
      <c r="E488" t="inlineStr">
        <is>
          <t>KATRINEHOLM</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46257-2021</t>
        </is>
      </c>
      <c r="B489" s="1" t="n">
        <v>44442</v>
      </c>
      <c r="C489" s="1" t="n">
        <v>45928</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16605-2025</t>
        </is>
      </c>
      <c r="B490" s="1" t="n">
        <v>45753.61614583333</v>
      </c>
      <c r="C490" s="1" t="n">
        <v>45928</v>
      </c>
      <c r="D490" t="inlineStr">
        <is>
          <t>SÖDERMANLANDS LÄN</t>
        </is>
      </c>
      <c r="E490" t="inlineStr">
        <is>
          <t>KATRINEHOLM</t>
        </is>
      </c>
      <c r="G490" t="n">
        <v>5.2</v>
      </c>
      <c r="H490" t="n">
        <v>0</v>
      </c>
      <c r="I490" t="n">
        <v>0</v>
      </c>
      <c r="J490" t="n">
        <v>0</v>
      </c>
      <c r="K490" t="n">
        <v>0</v>
      </c>
      <c r="L490" t="n">
        <v>0</v>
      </c>
      <c r="M490" t="n">
        <v>0</v>
      </c>
      <c r="N490" t="n">
        <v>0</v>
      </c>
      <c r="O490" t="n">
        <v>0</v>
      </c>
      <c r="P490" t="n">
        <v>0</v>
      </c>
      <c r="Q490" t="n">
        <v>0</v>
      </c>
      <c r="R490" s="2" t="inlineStr"/>
    </row>
    <row r="491" ht="15" customHeight="1">
      <c r="A491" t="inlineStr">
        <is>
          <t>A 52769-2023</t>
        </is>
      </c>
      <c r="B491" s="1" t="n">
        <v>45226</v>
      </c>
      <c r="C491" s="1" t="n">
        <v>45928</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33141-2023</t>
        </is>
      </c>
      <c r="B492" s="1" t="n">
        <v>45126.65491898148</v>
      </c>
      <c r="C492" s="1" t="n">
        <v>45928</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4758-2025</t>
        </is>
      </c>
      <c r="B493" s="1" t="n">
        <v>45688</v>
      </c>
      <c r="C493" s="1" t="n">
        <v>45928</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58528-2024</t>
        </is>
      </c>
      <c r="B494" s="1" t="n">
        <v>45635.44527777778</v>
      </c>
      <c r="C494" s="1" t="n">
        <v>45928</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27852-2023</t>
        </is>
      </c>
      <c r="B495" s="1" t="n">
        <v>45098</v>
      </c>
      <c r="C495" s="1" t="n">
        <v>45928</v>
      </c>
      <c r="D495" t="inlineStr">
        <is>
          <t>SÖDERMANLANDS LÄN</t>
        </is>
      </c>
      <c r="E495" t="inlineStr">
        <is>
          <t>KATRINEHOLM</t>
        </is>
      </c>
      <c r="G495" t="n">
        <v>7.4</v>
      </c>
      <c r="H495" t="n">
        <v>0</v>
      </c>
      <c r="I495" t="n">
        <v>0</v>
      </c>
      <c r="J495" t="n">
        <v>0</v>
      </c>
      <c r="K495" t="n">
        <v>0</v>
      </c>
      <c r="L495" t="n">
        <v>0</v>
      </c>
      <c r="M495" t="n">
        <v>0</v>
      </c>
      <c r="N495" t="n">
        <v>0</v>
      </c>
      <c r="O495" t="n">
        <v>0</v>
      </c>
      <c r="P495" t="n">
        <v>0</v>
      </c>
      <c r="Q495" t="n">
        <v>0</v>
      </c>
      <c r="R495" s="2" t="inlineStr"/>
    </row>
    <row r="496" ht="15" customHeight="1">
      <c r="A496" t="inlineStr">
        <is>
          <t>A 9899-2023</t>
        </is>
      </c>
      <c r="B496" s="1" t="n">
        <v>44985</v>
      </c>
      <c r="C496" s="1" t="n">
        <v>45928</v>
      </c>
      <c r="D496" t="inlineStr">
        <is>
          <t>SÖDERMANLANDS LÄN</t>
        </is>
      </c>
      <c r="E496" t="inlineStr">
        <is>
          <t>KATRINEHOLM</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28304-2024</t>
        </is>
      </c>
      <c r="B497" s="1" t="n">
        <v>45477</v>
      </c>
      <c r="C497" s="1" t="n">
        <v>45928</v>
      </c>
      <c r="D497" t="inlineStr">
        <is>
          <t>SÖDERMANLANDS LÄN</t>
        </is>
      </c>
      <c r="E497" t="inlineStr">
        <is>
          <t>KATRINEHOLM</t>
        </is>
      </c>
      <c r="G497" t="n">
        <v>3.8</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44502.35746527778</v>
      </c>
      <c r="C498" s="1" t="n">
        <v>45928</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42945-2023</t>
        </is>
      </c>
      <c r="B499" s="1" t="n">
        <v>45182.5793287037</v>
      </c>
      <c r="C499" s="1" t="n">
        <v>45928</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42962-2023</t>
        </is>
      </c>
      <c r="B500" s="1" t="n">
        <v>45182</v>
      </c>
      <c r="C500" s="1" t="n">
        <v>45928</v>
      </c>
      <c r="D500" t="inlineStr">
        <is>
          <t>SÖDERMANLANDS LÄN</t>
        </is>
      </c>
      <c r="E500" t="inlineStr">
        <is>
          <t>KATRINEHOLM</t>
        </is>
      </c>
      <c r="F500" t="inlineStr">
        <is>
          <t>Övriga Aktiebolag</t>
        </is>
      </c>
      <c r="G500" t="n">
        <v>10.6</v>
      </c>
      <c r="H500" t="n">
        <v>0</v>
      </c>
      <c r="I500" t="n">
        <v>0</v>
      </c>
      <c r="J500" t="n">
        <v>0</v>
      </c>
      <c r="K500" t="n">
        <v>0</v>
      </c>
      <c r="L500" t="n">
        <v>0</v>
      </c>
      <c r="M500" t="n">
        <v>0</v>
      </c>
      <c r="N500" t="n">
        <v>0</v>
      </c>
      <c r="O500" t="n">
        <v>0</v>
      </c>
      <c r="P500" t="n">
        <v>0</v>
      </c>
      <c r="Q500" t="n">
        <v>0</v>
      </c>
      <c r="R500" s="2" t="inlineStr"/>
    </row>
    <row r="501" ht="15" customHeight="1">
      <c r="A501" t="inlineStr">
        <is>
          <t>A 8288-2023</t>
        </is>
      </c>
      <c r="B501" s="1" t="n">
        <v>44974</v>
      </c>
      <c r="C501" s="1" t="n">
        <v>45928</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3317-2023</t>
        </is>
      </c>
      <c r="B502" s="1" t="n">
        <v>44945</v>
      </c>
      <c r="C502" s="1" t="n">
        <v>45928</v>
      </c>
      <c r="D502" t="inlineStr">
        <is>
          <t>SÖDERMANLANDS LÄN</t>
        </is>
      </c>
      <c r="E502" t="inlineStr">
        <is>
          <t>KATRINEHOLM</t>
        </is>
      </c>
      <c r="G502" t="n">
        <v>3.2</v>
      </c>
      <c r="H502" t="n">
        <v>0</v>
      </c>
      <c r="I502" t="n">
        <v>0</v>
      </c>
      <c r="J502" t="n">
        <v>0</v>
      </c>
      <c r="K502" t="n">
        <v>0</v>
      </c>
      <c r="L502" t="n">
        <v>0</v>
      </c>
      <c r="M502" t="n">
        <v>0</v>
      </c>
      <c r="N502" t="n">
        <v>0</v>
      </c>
      <c r="O502" t="n">
        <v>0</v>
      </c>
      <c r="P502" t="n">
        <v>0</v>
      </c>
      <c r="Q502" t="n">
        <v>0</v>
      </c>
      <c r="R502" s="2" t="inlineStr"/>
    </row>
    <row r="503" ht="15" customHeight="1">
      <c r="A503" t="inlineStr">
        <is>
          <t>A 41074-2025</t>
        </is>
      </c>
      <c r="B503" s="1" t="n">
        <v>45898</v>
      </c>
      <c r="C503" s="1" t="n">
        <v>45928</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37185-2023</t>
        </is>
      </c>
      <c r="B504" s="1" t="n">
        <v>45154</v>
      </c>
      <c r="C504" s="1" t="n">
        <v>45928</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51848-2022</t>
        </is>
      </c>
      <c r="B505" s="1" t="n">
        <v>44872.57752314815</v>
      </c>
      <c r="C505" s="1" t="n">
        <v>45928</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35228-2025</t>
        </is>
      </c>
      <c r="B506" s="1" t="n">
        <v>45853</v>
      </c>
      <c r="C506" s="1" t="n">
        <v>45928</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44915-2022</t>
        </is>
      </c>
      <c r="B507" s="1" t="n">
        <v>44840</v>
      </c>
      <c r="C507" s="1" t="n">
        <v>45928</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46288-2025</t>
        </is>
      </c>
      <c r="B508" s="1" t="n">
        <v>45925.38545138889</v>
      </c>
      <c r="C508" s="1" t="n">
        <v>45928</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45928</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5953-2021</t>
        </is>
      </c>
      <c r="B510" s="1" t="n">
        <v>44231</v>
      </c>
      <c r="C510" s="1" t="n">
        <v>45928</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48097-2023</t>
        </is>
      </c>
      <c r="B511" s="1" t="n">
        <v>45205.31987268518</v>
      </c>
      <c r="C511" s="1" t="n">
        <v>45928</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57648-2020</t>
        </is>
      </c>
      <c r="B512" s="1" t="n">
        <v>44140.69324074074</v>
      </c>
      <c r="C512" s="1" t="n">
        <v>45928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45793-2022</t>
        </is>
      </c>
      <c r="B513" s="1" t="n">
        <v>44844</v>
      </c>
      <c r="C513" s="1" t="n">
        <v>45928</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40393-2022</t>
        </is>
      </c>
      <c r="B514" s="1" t="n">
        <v>44823</v>
      </c>
      <c r="C514" s="1" t="n">
        <v>45928</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48685-2022</t>
        </is>
      </c>
      <c r="B515" s="1" t="n">
        <v>44859</v>
      </c>
      <c r="C515" s="1" t="n">
        <v>45928</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36133-2021</t>
        </is>
      </c>
      <c r="B516" s="1" t="n">
        <v>44386</v>
      </c>
      <c r="C516" s="1" t="n">
        <v>45928</v>
      </c>
      <c r="D516" t="inlineStr">
        <is>
          <t>SÖDERMANLANDS LÄN</t>
        </is>
      </c>
      <c r="E516" t="inlineStr">
        <is>
          <t>KATRINEHOLM</t>
        </is>
      </c>
      <c r="F516" t="inlineStr">
        <is>
          <t>Övriga Aktiebolag</t>
        </is>
      </c>
      <c r="G516" t="n">
        <v>8.9</v>
      </c>
      <c r="H516" t="n">
        <v>0</v>
      </c>
      <c r="I516" t="n">
        <v>0</v>
      </c>
      <c r="J516" t="n">
        <v>0</v>
      </c>
      <c r="K516" t="n">
        <v>0</v>
      </c>
      <c r="L516" t="n">
        <v>0</v>
      </c>
      <c r="M516" t="n">
        <v>0</v>
      </c>
      <c r="N516" t="n">
        <v>0</v>
      </c>
      <c r="O516" t="n">
        <v>0</v>
      </c>
      <c r="P516" t="n">
        <v>0</v>
      </c>
      <c r="Q516" t="n">
        <v>0</v>
      </c>
      <c r="R516" s="2" t="inlineStr"/>
    </row>
    <row r="517" ht="15" customHeight="1">
      <c r="A517" t="inlineStr">
        <is>
          <t>A 49700-2022</t>
        </is>
      </c>
      <c r="B517" s="1" t="n">
        <v>44862</v>
      </c>
      <c r="C517" s="1" t="n">
        <v>45928</v>
      </c>
      <c r="D517" t="inlineStr">
        <is>
          <t>SÖDERMANLANDS LÄN</t>
        </is>
      </c>
      <c r="E517" t="inlineStr">
        <is>
          <t>KATRINEHOLM</t>
        </is>
      </c>
      <c r="G517" t="n">
        <v>19.5</v>
      </c>
      <c r="H517" t="n">
        <v>0</v>
      </c>
      <c r="I517" t="n">
        <v>0</v>
      </c>
      <c r="J517" t="n">
        <v>0</v>
      </c>
      <c r="K517" t="n">
        <v>0</v>
      </c>
      <c r="L517" t="n">
        <v>0</v>
      </c>
      <c r="M517" t="n">
        <v>0</v>
      </c>
      <c r="N517" t="n">
        <v>0</v>
      </c>
      <c r="O517" t="n">
        <v>0</v>
      </c>
      <c r="P517" t="n">
        <v>0</v>
      </c>
      <c r="Q517" t="n">
        <v>0</v>
      </c>
      <c r="R517" s="2" t="inlineStr"/>
    </row>
    <row r="518" ht="15" customHeight="1">
      <c r="A518" t="inlineStr">
        <is>
          <t>A 55169-2022</t>
        </is>
      </c>
      <c r="B518" s="1" t="n">
        <v>44886</v>
      </c>
      <c r="C518" s="1" t="n">
        <v>45928</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1329-2025</t>
        </is>
      </c>
      <c r="B519" s="1" t="n">
        <v>45667</v>
      </c>
      <c r="C519" s="1" t="n">
        <v>45928</v>
      </c>
      <c r="D519" t="inlineStr">
        <is>
          <t>SÖDERMANLANDS LÄN</t>
        </is>
      </c>
      <c r="E519" t="inlineStr">
        <is>
          <t>KATRINEHOLM</t>
        </is>
      </c>
      <c r="G519" t="n">
        <v>2.7</v>
      </c>
      <c r="H519" t="n">
        <v>0</v>
      </c>
      <c r="I519" t="n">
        <v>0</v>
      </c>
      <c r="J519" t="n">
        <v>0</v>
      </c>
      <c r="K519" t="n">
        <v>0</v>
      </c>
      <c r="L519" t="n">
        <v>0</v>
      </c>
      <c r="M519" t="n">
        <v>0</v>
      </c>
      <c r="N519" t="n">
        <v>0</v>
      </c>
      <c r="O519" t="n">
        <v>0</v>
      </c>
      <c r="P519" t="n">
        <v>0</v>
      </c>
      <c r="Q519" t="n">
        <v>0</v>
      </c>
      <c r="R519" s="2" t="inlineStr"/>
    </row>
    <row r="520" ht="15" customHeight="1">
      <c r="A520" t="inlineStr">
        <is>
          <t>A 61398-2024</t>
        </is>
      </c>
      <c r="B520" s="1" t="n">
        <v>45646.42608796297</v>
      </c>
      <c r="C520" s="1" t="n">
        <v>45928</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30276-2023</t>
        </is>
      </c>
      <c r="B521" s="1" t="n">
        <v>45110</v>
      </c>
      <c r="C521" s="1" t="n">
        <v>45928</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24287-2024</t>
        </is>
      </c>
      <c r="B522" s="1" t="n">
        <v>45457</v>
      </c>
      <c r="C522" s="1" t="n">
        <v>45928</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8518-2023</t>
        </is>
      </c>
      <c r="B523" s="1" t="n">
        <v>44977</v>
      </c>
      <c r="C523" s="1" t="n">
        <v>45928</v>
      </c>
      <c r="D523" t="inlineStr">
        <is>
          <t>SÖDERMANLANDS LÄN</t>
        </is>
      </c>
      <c r="E523" t="inlineStr">
        <is>
          <t>KATRINEHOLM</t>
        </is>
      </c>
      <c r="F523" t="inlineStr">
        <is>
          <t>Allmännings- och besparingsskogar</t>
        </is>
      </c>
      <c r="G523" t="n">
        <v>35.3</v>
      </c>
      <c r="H523" t="n">
        <v>0</v>
      </c>
      <c r="I523" t="n">
        <v>0</v>
      </c>
      <c r="J523" t="n">
        <v>0</v>
      </c>
      <c r="K523" t="n">
        <v>0</v>
      </c>
      <c r="L523" t="n">
        <v>0</v>
      </c>
      <c r="M523" t="n">
        <v>0</v>
      </c>
      <c r="N523" t="n">
        <v>0</v>
      </c>
      <c r="O523" t="n">
        <v>0</v>
      </c>
      <c r="P523" t="n">
        <v>0</v>
      </c>
      <c r="Q523" t="n">
        <v>0</v>
      </c>
      <c r="R523" s="2" t="inlineStr"/>
    </row>
    <row r="524" ht="15" customHeight="1">
      <c r="A524" t="inlineStr">
        <is>
          <t>A 48030-2022</t>
        </is>
      </c>
      <c r="B524" s="1" t="n">
        <v>44855</v>
      </c>
      <c r="C524" s="1" t="n">
        <v>45928</v>
      </c>
      <c r="D524" t="inlineStr">
        <is>
          <t>SÖDERMANLANDS LÄN</t>
        </is>
      </c>
      <c r="E524" t="inlineStr">
        <is>
          <t>KATRINEHOLM</t>
        </is>
      </c>
      <c r="F524" t="inlineStr">
        <is>
          <t>Allmännings- och besparingsskogar</t>
        </is>
      </c>
      <c r="G524" t="n">
        <v>1.5</v>
      </c>
      <c r="H524" t="n">
        <v>0</v>
      </c>
      <c r="I524" t="n">
        <v>0</v>
      </c>
      <c r="J524" t="n">
        <v>0</v>
      </c>
      <c r="K524" t="n">
        <v>0</v>
      </c>
      <c r="L524" t="n">
        <v>0</v>
      </c>
      <c r="M524" t="n">
        <v>0</v>
      </c>
      <c r="N524" t="n">
        <v>0</v>
      </c>
      <c r="O524" t="n">
        <v>0</v>
      </c>
      <c r="P524" t="n">
        <v>0</v>
      </c>
      <c r="Q524" t="n">
        <v>0</v>
      </c>
      <c r="R524" s="2" t="inlineStr"/>
    </row>
    <row r="525" ht="15" customHeight="1">
      <c r="A525" t="inlineStr">
        <is>
          <t>A 57265-2022</t>
        </is>
      </c>
      <c r="B525" s="1" t="n">
        <v>44895</v>
      </c>
      <c r="C525" s="1" t="n">
        <v>45928</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948-2023</t>
        </is>
      </c>
      <c r="B526" s="1" t="n">
        <v>44934</v>
      </c>
      <c r="C526" s="1" t="n">
        <v>45928</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37542-2022</t>
        </is>
      </c>
      <c r="B527" s="1" t="n">
        <v>44809</v>
      </c>
      <c r="C527" s="1" t="n">
        <v>45928</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41229-2022</t>
        </is>
      </c>
      <c r="B528" s="1" t="n">
        <v>44825</v>
      </c>
      <c r="C528" s="1" t="n">
        <v>45928</v>
      </c>
      <c r="D528" t="inlineStr">
        <is>
          <t>SÖDERMANLANDS LÄN</t>
        </is>
      </c>
      <c r="E528" t="inlineStr">
        <is>
          <t>KATRINEHOLM</t>
        </is>
      </c>
      <c r="G528" t="n">
        <v>3.8</v>
      </c>
      <c r="H528" t="n">
        <v>0</v>
      </c>
      <c r="I528" t="n">
        <v>0</v>
      </c>
      <c r="J528" t="n">
        <v>0</v>
      </c>
      <c r="K528" t="n">
        <v>0</v>
      </c>
      <c r="L528" t="n">
        <v>0</v>
      </c>
      <c r="M528" t="n">
        <v>0</v>
      </c>
      <c r="N528" t="n">
        <v>0</v>
      </c>
      <c r="O528" t="n">
        <v>0</v>
      </c>
      <c r="P528" t="n">
        <v>0</v>
      </c>
      <c r="Q528" t="n">
        <v>0</v>
      </c>
      <c r="R528" s="2" t="inlineStr"/>
    </row>
    <row r="529" ht="15" customHeight="1">
      <c r="A529" t="inlineStr">
        <is>
          <t>A 64652-2023</t>
        </is>
      </c>
      <c r="B529" s="1" t="n">
        <v>45281</v>
      </c>
      <c r="C529" s="1" t="n">
        <v>45928</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50316-2023</t>
        </is>
      </c>
      <c r="B530" s="1" t="n">
        <v>45209</v>
      </c>
      <c r="C530" s="1" t="n">
        <v>45928</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52857-2021</t>
        </is>
      </c>
      <c r="B531" s="1" t="n">
        <v>44466</v>
      </c>
      <c r="C531" s="1" t="n">
        <v>45928</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60160-2022</t>
        </is>
      </c>
      <c r="B532" s="1" t="n">
        <v>44909</v>
      </c>
      <c r="C532" s="1" t="n">
        <v>45928</v>
      </c>
      <c r="D532" t="inlineStr">
        <is>
          <t>SÖDERMANLANDS LÄN</t>
        </is>
      </c>
      <c r="E532" t="inlineStr">
        <is>
          <t>KATRINEHOLM</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19442-2023</t>
        </is>
      </c>
      <c r="B533" s="1" t="n">
        <v>45050</v>
      </c>
      <c r="C533" s="1" t="n">
        <v>45928</v>
      </c>
      <c r="D533" t="inlineStr">
        <is>
          <t>SÖDERMANLANDS LÄN</t>
        </is>
      </c>
      <c r="E533" t="inlineStr">
        <is>
          <t>KATRINEHOLM</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50840-2022</t>
        </is>
      </c>
      <c r="B534" s="1" t="n">
        <v>44862</v>
      </c>
      <c r="C534" s="1" t="n">
        <v>45928</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45928</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45928</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3115-2024</t>
        </is>
      </c>
      <c r="B537" s="1" t="n">
        <v>45316.49630787037</v>
      </c>
      <c r="C537" s="1" t="n">
        <v>45928</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44582.40109953703</v>
      </c>
      <c r="C538" s="1" t="n">
        <v>45928</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61431-2024</t>
        </is>
      </c>
      <c r="B539" s="1" t="n">
        <v>45646.45950231481</v>
      </c>
      <c r="C539" s="1" t="n">
        <v>45928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6611-2023</t>
        </is>
      </c>
      <c r="B540" s="1" t="n">
        <v>44963</v>
      </c>
      <c r="C540" s="1" t="n">
        <v>45928</v>
      </c>
      <c r="D540" t="inlineStr">
        <is>
          <t>SÖDERMANLANDS LÄN</t>
        </is>
      </c>
      <c r="E540" t="inlineStr">
        <is>
          <t>KATRINEHOLM</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57645-2020</t>
        </is>
      </c>
      <c r="B541" s="1" t="n">
        <v>44140.68782407408</v>
      </c>
      <c r="C541" s="1" t="n">
        <v>45928</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45928</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51446-2023</t>
        </is>
      </c>
      <c r="B543" s="1" t="n">
        <v>45220.48068287037</v>
      </c>
      <c r="C543" s="1" t="n">
        <v>45928</v>
      </c>
      <c r="D543" t="inlineStr">
        <is>
          <t>SÖDERMANLANDS LÄN</t>
        </is>
      </c>
      <c r="E543" t="inlineStr">
        <is>
          <t>KATRINEHOLM</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50804-2023</t>
        </is>
      </c>
      <c r="B544" s="1" t="n">
        <v>45211</v>
      </c>
      <c r="C544" s="1" t="n">
        <v>45928</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20533-2023</t>
        </is>
      </c>
      <c r="B545" s="1" t="n">
        <v>45057</v>
      </c>
      <c r="C545" s="1" t="n">
        <v>45928</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c r="T545">
        <f>HYPERLINK("https://klasma.github.io/Logging_0483/kartor/A 20533-2023 karta.png", "A 20533-2023")</f>
        <v/>
      </c>
      <c r="V545">
        <f>HYPERLINK("https://klasma.github.io/Logging_0483/klagomål/A 20533-2023 FSC-klagomål.docx", "A 20533-2023")</f>
        <v/>
      </c>
      <c r="W545">
        <f>HYPERLINK("https://klasma.github.io/Logging_0483/klagomålsmail/A 20533-2023 FSC-klagomål mail.docx", "A 20533-2023")</f>
        <v/>
      </c>
      <c r="X545">
        <f>HYPERLINK("https://klasma.github.io/Logging_0483/tillsyn/A 20533-2023 tillsynsbegäran.docx", "A 20533-2023")</f>
        <v/>
      </c>
      <c r="Y545">
        <f>HYPERLINK("https://klasma.github.io/Logging_0483/tillsynsmail/A 20533-2023 tillsynsbegäran mail.docx", "A 20533-2023")</f>
        <v/>
      </c>
      <c r="Z545">
        <f>HYPERLINK("https://klasma.github.io/Logging_0483/fåglar/A 20533-2023 prioriterade fågelarter.docx", "A 20533-2023")</f>
        <v/>
      </c>
    </row>
    <row r="546" ht="15" customHeight="1">
      <c r="A546" t="inlineStr">
        <is>
          <t>A 27955-2023</t>
        </is>
      </c>
      <c r="B546" s="1" t="n">
        <v>45098</v>
      </c>
      <c r="C546" s="1" t="n">
        <v>45928</v>
      </c>
      <c r="D546" t="inlineStr">
        <is>
          <t>SÖDERMANLANDS LÄN</t>
        </is>
      </c>
      <c r="E546" t="inlineStr">
        <is>
          <t>KATRINEHOLM</t>
        </is>
      </c>
      <c r="G546" t="n">
        <v>5.9</v>
      </c>
      <c r="H546" t="n">
        <v>0</v>
      </c>
      <c r="I546" t="n">
        <v>0</v>
      </c>
      <c r="J546" t="n">
        <v>0</v>
      </c>
      <c r="K546" t="n">
        <v>0</v>
      </c>
      <c r="L546" t="n">
        <v>0</v>
      </c>
      <c r="M546" t="n">
        <v>0</v>
      </c>
      <c r="N546" t="n">
        <v>0</v>
      </c>
      <c r="O546" t="n">
        <v>0</v>
      </c>
      <c r="P546" t="n">
        <v>0</v>
      </c>
      <c r="Q546" t="n">
        <v>0</v>
      </c>
      <c r="R546" s="2" t="inlineStr"/>
    </row>
    <row r="547" ht="15" customHeight="1">
      <c r="A547" t="inlineStr">
        <is>
          <t>A 4669-2023</t>
        </is>
      </c>
      <c r="B547" s="1" t="n">
        <v>44957</v>
      </c>
      <c r="C547" s="1" t="n">
        <v>45928</v>
      </c>
      <c r="D547" t="inlineStr">
        <is>
          <t>SÖDERMANLANDS LÄN</t>
        </is>
      </c>
      <c r="E547" t="inlineStr">
        <is>
          <t>KATRINEHOLM</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43499-2021</t>
        </is>
      </c>
      <c r="B548" s="1" t="n">
        <v>44433</v>
      </c>
      <c r="C548" s="1" t="n">
        <v>45928</v>
      </c>
      <c r="D548" t="inlineStr">
        <is>
          <t>SÖDERMANLANDS LÄN</t>
        </is>
      </c>
      <c r="E548" t="inlineStr">
        <is>
          <t>KATRINEHOLM</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53996-2023</t>
        </is>
      </c>
      <c r="B549" s="1" t="n">
        <v>45231</v>
      </c>
      <c r="C549" s="1" t="n">
        <v>45928</v>
      </c>
      <c r="D549" t="inlineStr">
        <is>
          <t>SÖDERMANLANDS LÄN</t>
        </is>
      </c>
      <c r="E549" t="inlineStr">
        <is>
          <t>KATRINEHOLM</t>
        </is>
      </c>
      <c r="G549" t="n">
        <v>4.9</v>
      </c>
      <c r="H549" t="n">
        <v>0</v>
      </c>
      <c r="I549" t="n">
        <v>0</v>
      </c>
      <c r="J549" t="n">
        <v>0</v>
      </c>
      <c r="K549" t="n">
        <v>0</v>
      </c>
      <c r="L549" t="n">
        <v>0</v>
      </c>
      <c r="M549" t="n">
        <v>0</v>
      </c>
      <c r="N549" t="n">
        <v>0</v>
      </c>
      <c r="O549" t="n">
        <v>0</v>
      </c>
      <c r="P549" t="n">
        <v>0</v>
      </c>
      <c r="Q549" t="n">
        <v>0</v>
      </c>
      <c r="R549" s="2" t="inlineStr"/>
    </row>
    <row r="550" ht="15" customHeight="1">
      <c r="A550" t="inlineStr">
        <is>
          <t>A 33790-2024</t>
        </is>
      </c>
      <c r="B550" s="1" t="n">
        <v>45520.59179398148</v>
      </c>
      <c r="C550" s="1" t="n">
        <v>45928</v>
      </c>
      <c r="D550" t="inlineStr">
        <is>
          <t>SÖDERMANLANDS LÄN</t>
        </is>
      </c>
      <c r="E550" t="inlineStr">
        <is>
          <t>KATRINEHOLM</t>
        </is>
      </c>
      <c r="G550" t="n">
        <v>14</v>
      </c>
      <c r="H550" t="n">
        <v>0</v>
      </c>
      <c r="I550" t="n">
        <v>0</v>
      </c>
      <c r="J550" t="n">
        <v>0</v>
      </c>
      <c r="K550" t="n">
        <v>0</v>
      </c>
      <c r="L550" t="n">
        <v>0</v>
      </c>
      <c r="M550" t="n">
        <v>0</v>
      </c>
      <c r="N550" t="n">
        <v>0</v>
      </c>
      <c r="O550" t="n">
        <v>0</v>
      </c>
      <c r="P550" t="n">
        <v>0</v>
      </c>
      <c r="Q550" t="n">
        <v>0</v>
      </c>
      <c r="R550" s="2" t="inlineStr"/>
    </row>
    <row r="551" ht="15" customHeight="1">
      <c r="A551" t="inlineStr">
        <is>
          <t>A 4724-2023</t>
        </is>
      </c>
      <c r="B551" s="1" t="n">
        <v>44957</v>
      </c>
      <c r="C551" s="1" t="n">
        <v>45928</v>
      </c>
      <c r="D551" t="inlineStr">
        <is>
          <t>SÖDERMANLANDS LÄN</t>
        </is>
      </c>
      <c r="E551" t="inlineStr">
        <is>
          <t>KATRINEHOLM</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47456-2022</t>
        </is>
      </c>
      <c r="B552" s="1" t="n">
        <v>44852</v>
      </c>
      <c r="C552" s="1" t="n">
        <v>45928</v>
      </c>
      <c r="D552" t="inlineStr">
        <is>
          <t>SÖDERMANLANDS LÄN</t>
        </is>
      </c>
      <c r="E552" t="inlineStr">
        <is>
          <t>KATRINEHOLM</t>
        </is>
      </c>
      <c r="G552" t="n">
        <v>3.7</v>
      </c>
      <c r="H552" t="n">
        <v>0</v>
      </c>
      <c r="I552" t="n">
        <v>0</v>
      </c>
      <c r="J552" t="n">
        <v>0</v>
      </c>
      <c r="K552" t="n">
        <v>0</v>
      </c>
      <c r="L552" t="n">
        <v>0</v>
      </c>
      <c r="M552" t="n">
        <v>0</v>
      </c>
      <c r="N552" t="n">
        <v>0</v>
      </c>
      <c r="O552" t="n">
        <v>0</v>
      </c>
      <c r="P552" t="n">
        <v>0</v>
      </c>
      <c r="Q552" t="n">
        <v>0</v>
      </c>
      <c r="R552" s="2" t="inlineStr"/>
    </row>
    <row r="553" ht="15" customHeight="1">
      <c r="A553" t="inlineStr">
        <is>
          <t>A 7197-2023</t>
        </is>
      </c>
      <c r="B553" s="1" t="n">
        <v>44965</v>
      </c>
      <c r="C553" s="1" t="n">
        <v>45928</v>
      </c>
      <c r="D553" t="inlineStr">
        <is>
          <t>SÖDERMANLANDS LÄN</t>
        </is>
      </c>
      <c r="E553" t="inlineStr">
        <is>
          <t>KATRINEHOLM</t>
        </is>
      </c>
      <c r="G553" t="n">
        <v>5.3</v>
      </c>
      <c r="H553" t="n">
        <v>0</v>
      </c>
      <c r="I553" t="n">
        <v>0</v>
      </c>
      <c r="J553" t="n">
        <v>0</v>
      </c>
      <c r="K553" t="n">
        <v>0</v>
      </c>
      <c r="L553" t="n">
        <v>0</v>
      </c>
      <c r="M553" t="n">
        <v>0</v>
      </c>
      <c r="N553" t="n">
        <v>0</v>
      </c>
      <c r="O553" t="n">
        <v>0</v>
      </c>
      <c r="P553" t="n">
        <v>0</v>
      </c>
      <c r="Q553" t="n">
        <v>0</v>
      </c>
      <c r="R553" s="2" t="inlineStr"/>
    </row>
    <row r="554" ht="15" customHeight="1">
      <c r="A554" t="inlineStr">
        <is>
          <t>A 23347-2023</t>
        </is>
      </c>
      <c r="B554" s="1" t="n">
        <v>45076</v>
      </c>
      <c r="C554" s="1" t="n">
        <v>45928</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6092-2025</t>
        </is>
      </c>
      <c r="B555" s="1" t="n">
        <v>45697</v>
      </c>
      <c r="C555" s="1" t="n">
        <v>45928</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5327-2025</t>
        </is>
      </c>
      <c r="B556" s="1" t="n">
        <v>45692</v>
      </c>
      <c r="C556" s="1" t="n">
        <v>45928</v>
      </c>
      <c r="D556" t="inlineStr">
        <is>
          <t>SÖDERMANLANDS LÄN</t>
        </is>
      </c>
      <c r="E556" t="inlineStr">
        <is>
          <t>KATRINEHOLM</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74354-2021</t>
        </is>
      </c>
      <c r="B557" s="1" t="n">
        <v>44559.57041666667</v>
      </c>
      <c r="C557" s="1" t="n">
        <v>45928</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12929-2023</t>
        </is>
      </c>
      <c r="B558" s="1" t="n">
        <v>45001</v>
      </c>
      <c r="C558" s="1" t="n">
        <v>45928</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12932-2023</t>
        </is>
      </c>
      <c r="B559" s="1" t="n">
        <v>45001</v>
      </c>
      <c r="C559" s="1" t="n">
        <v>45928</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52348-2021</t>
        </is>
      </c>
      <c r="B560" s="1" t="n">
        <v>44464.49756944444</v>
      </c>
      <c r="C560" s="1" t="n">
        <v>45928</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50626-2024</t>
        </is>
      </c>
      <c r="B561" s="1" t="n">
        <v>45601</v>
      </c>
      <c r="C561" s="1" t="n">
        <v>45928</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7398-2024</t>
        </is>
      </c>
      <c r="B562" s="1" t="n">
        <v>45345</v>
      </c>
      <c r="C562" s="1" t="n">
        <v>45928</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56628-2021</t>
        </is>
      </c>
      <c r="B563" s="1" t="n">
        <v>44480</v>
      </c>
      <c r="C563" s="1" t="n">
        <v>45928</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14629-2023</t>
        </is>
      </c>
      <c r="B564" s="1" t="n">
        <v>45013</v>
      </c>
      <c r="C564" s="1" t="n">
        <v>45928</v>
      </c>
      <c r="D564" t="inlineStr">
        <is>
          <t>SÖDERMANLANDS LÄN</t>
        </is>
      </c>
      <c r="E564" t="inlineStr">
        <is>
          <t>KATRINEHOLM</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45438-2021</t>
        </is>
      </c>
      <c r="B565" s="1" t="n">
        <v>44440</v>
      </c>
      <c r="C565" s="1" t="n">
        <v>45928</v>
      </c>
      <c r="D565" t="inlineStr">
        <is>
          <t>SÖDERMANLANDS LÄN</t>
        </is>
      </c>
      <c r="E565" t="inlineStr">
        <is>
          <t>KATRINEHOLM</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52134-2020</t>
        </is>
      </c>
      <c r="B566" s="1" t="n">
        <v>44110</v>
      </c>
      <c r="C566" s="1" t="n">
        <v>45928</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49116-2024</t>
        </is>
      </c>
      <c r="B567" s="1" t="n">
        <v>45594.6605787037</v>
      </c>
      <c r="C567" s="1" t="n">
        <v>45928</v>
      </c>
      <c r="D567" t="inlineStr">
        <is>
          <t>SÖDERMANLANDS LÄN</t>
        </is>
      </c>
      <c r="E567" t="inlineStr">
        <is>
          <t>KATRINEHOLM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50061-2022</t>
        </is>
      </c>
      <c r="B568" s="1" t="n">
        <v>44865</v>
      </c>
      <c r="C568" s="1" t="n">
        <v>45928</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10446-2024</t>
        </is>
      </c>
      <c r="B569" s="1" t="n">
        <v>45366</v>
      </c>
      <c r="C569" s="1" t="n">
        <v>45928</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61167-2020</t>
        </is>
      </c>
      <c r="B570" s="1" t="n">
        <v>44155</v>
      </c>
      <c r="C570" s="1" t="n">
        <v>45928</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53860-2021</t>
        </is>
      </c>
      <c r="B571" s="1" t="n">
        <v>44467</v>
      </c>
      <c r="C571" s="1" t="n">
        <v>45928</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57687-2020</t>
        </is>
      </c>
      <c r="B572" s="1" t="n">
        <v>44140</v>
      </c>
      <c r="C572" s="1" t="n">
        <v>45928</v>
      </c>
      <c r="D572" t="inlineStr">
        <is>
          <t>SÖDERMANLANDS LÄN</t>
        </is>
      </c>
      <c r="E572" t="inlineStr">
        <is>
          <t>KATRINEHOLM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23842-2023</t>
        </is>
      </c>
      <c r="B573" s="1" t="n">
        <v>45075</v>
      </c>
      <c r="C573" s="1" t="n">
        <v>45928</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2683-2025</t>
        </is>
      </c>
      <c r="B574" s="1" t="n">
        <v>45677</v>
      </c>
      <c r="C574" s="1" t="n">
        <v>45928</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34263-2023</t>
        </is>
      </c>
      <c r="B575" s="1" t="n">
        <v>45138.60248842592</v>
      </c>
      <c r="C575" s="1" t="n">
        <v>45928</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59308-2020</t>
        </is>
      </c>
      <c r="B576" s="1" t="n">
        <v>44147</v>
      </c>
      <c r="C576" s="1" t="n">
        <v>45928</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46899-2022</t>
        </is>
      </c>
      <c r="B577" s="1" t="n">
        <v>44848</v>
      </c>
      <c r="C577" s="1" t="n">
        <v>45928</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55296-2022</t>
        </is>
      </c>
      <c r="B578" s="1" t="n">
        <v>44887</v>
      </c>
      <c r="C578" s="1" t="n">
        <v>45928</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61410-2024</t>
        </is>
      </c>
      <c r="B579" s="1" t="n">
        <v>45646.43950231482</v>
      </c>
      <c r="C579" s="1" t="n">
        <v>45928</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3315-2023</t>
        </is>
      </c>
      <c r="B580" s="1" t="n">
        <v>44945</v>
      </c>
      <c r="C580" s="1" t="n">
        <v>45928</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7867-2024</t>
        </is>
      </c>
      <c r="B581" s="1" t="n">
        <v>45350.32991898148</v>
      </c>
      <c r="C581" s="1" t="n">
        <v>45928</v>
      </c>
      <c r="D581" t="inlineStr">
        <is>
          <t>SÖDERMANLANDS LÄN</t>
        </is>
      </c>
      <c r="E581" t="inlineStr">
        <is>
          <t>KATRINEHOLM</t>
        </is>
      </c>
      <c r="F581" t="inlineStr">
        <is>
          <t>Kyrkan</t>
        </is>
      </c>
      <c r="G581" t="n">
        <v>3.3</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45928</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39010-2021</t>
        </is>
      </c>
      <c r="B583" s="1" t="n">
        <v>44412</v>
      </c>
      <c r="C583" s="1" t="n">
        <v>45928</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1091-2025</t>
        </is>
      </c>
      <c r="B584" s="1" t="n">
        <v>45666</v>
      </c>
      <c r="C584" s="1" t="n">
        <v>45928</v>
      </c>
      <c r="D584" t="inlineStr">
        <is>
          <t>SÖDERMANLANDS LÄN</t>
        </is>
      </c>
      <c r="E584" t="inlineStr">
        <is>
          <t>KATRINEHOLM</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6311-2025</t>
        </is>
      </c>
      <c r="B585" s="1" t="n">
        <v>45698</v>
      </c>
      <c r="C585" s="1" t="n">
        <v>45928</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57524-2021</t>
        </is>
      </c>
      <c r="B586" s="1" t="n">
        <v>44483</v>
      </c>
      <c r="C586" s="1" t="n">
        <v>45928</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931-2023</t>
        </is>
      </c>
      <c r="B587" s="1" t="n">
        <v>44932.74261574074</v>
      </c>
      <c r="C587" s="1" t="n">
        <v>45928</v>
      </c>
      <c r="D587" t="inlineStr">
        <is>
          <t>SÖDERMANLANDS LÄN</t>
        </is>
      </c>
      <c r="E587" t="inlineStr">
        <is>
          <t>KATRINEHOLM</t>
        </is>
      </c>
      <c r="G587" t="n">
        <v>4</v>
      </c>
      <c r="H587" t="n">
        <v>0</v>
      </c>
      <c r="I587" t="n">
        <v>0</v>
      </c>
      <c r="J587" t="n">
        <v>0</v>
      </c>
      <c r="K587" t="n">
        <v>0</v>
      </c>
      <c r="L587" t="n">
        <v>0</v>
      </c>
      <c r="M587" t="n">
        <v>0</v>
      </c>
      <c r="N587" t="n">
        <v>0</v>
      </c>
      <c r="O587" t="n">
        <v>0</v>
      </c>
      <c r="P587" t="n">
        <v>0</v>
      </c>
      <c r="Q587" t="n">
        <v>0</v>
      </c>
      <c r="R587" s="2" t="inlineStr"/>
    </row>
    <row r="588" ht="15" customHeight="1">
      <c r="A588" t="inlineStr">
        <is>
          <t>A 55171-2023</t>
        </is>
      </c>
      <c r="B588" s="1" t="n">
        <v>45231</v>
      </c>
      <c r="C588" s="1" t="n">
        <v>45928</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53393-2023</t>
        </is>
      </c>
      <c r="B589" s="1" t="n">
        <v>45229</v>
      </c>
      <c r="C589" s="1" t="n">
        <v>45928</v>
      </c>
      <c r="D589" t="inlineStr">
        <is>
          <t>SÖDERMANLANDS LÄN</t>
        </is>
      </c>
      <c r="E589" t="inlineStr">
        <is>
          <t>KATRINEHOLM</t>
        </is>
      </c>
      <c r="F589" t="inlineStr">
        <is>
          <t>Kyrkan</t>
        </is>
      </c>
      <c r="G589" t="n">
        <v>5.6</v>
      </c>
      <c r="H589" t="n">
        <v>0</v>
      </c>
      <c r="I589" t="n">
        <v>0</v>
      </c>
      <c r="J589" t="n">
        <v>0</v>
      </c>
      <c r="K589" t="n">
        <v>0</v>
      </c>
      <c r="L589" t="n">
        <v>0</v>
      </c>
      <c r="M589" t="n">
        <v>0</v>
      </c>
      <c r="N589" t="n">
        <v>0</v>
      </c>
      <c r="O589" t="n">
        <v>0</v>
      </c>
      <c r="P589" t="n">
        <v>0</v>
      </c>
      <c r="Q589" t="n">
        <v>0</v>
      </c>
      <c r="R589" s="2" t="inlineStr"/>
    </row>
    <row r="590" ht="15" customHeight="1">
      <c r="A590" t="inlineStr">
        <is>
          <t>A 23838-2021</t>
        </is>
      </c>
      <c r="B590" s="1" t="n">
        <v>44335</v>
      </c>
      <c r="C590" s="1" t="n">
        <v>45928</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32943-2024</t>
        </is>
      </c>
      <c r="B591" s="1" t="n">
        <v>45517</v>
      </c>
      <c r="C591" s="1" t="n">
        <v>45928</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23031-2024</t>
        </is>
      </c>
      <c r="B592" s="1" t="n">
        <v>45450.38120370371</v>
      </c>
      <c r="C592" s="1" t="n">
        <v>45928</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22119-2025</t>
        </is>
      </c>
      <c r="B593" s="1" t="n">
        <v>45785</v>
      </c>
      <c r="C593" s="1" t="n">
        <v>45928</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22506-2023</t>
        </is>
      </c>
      <c r="B594" s="1" t="n">
        <v>45071.37393518518</v>
      </c>
      <c r="C594" s="1" t="n">
        <v>45928</v>
      </c>
      <c r="D594" t="inlineStr">
        <is>
          <t>SÖDERMANLANDS LÄN</t>
        </is>
      </c>
      <c r="E594" t="inlineStr">
        <is>
          <t>KATRINEHOLM</t>
        </is>
      </c>
      <c r="F594" t="inlineStr">
        <is>
          <t>Kyrkan</t>
        </is>
      </c>
      <c r="G594" t="n">
        <v>5.9</v>
      </c>
      <c r="H594" t="n">
        <v>0</v>
      </c>
      <c r="I594" t="n">
        <v>0</v>
      </c>
      <c r="J594" t="n">
        <v>0</v>
      </c>
      <c r="K594" t="n">
        <v>0</v>
      </c>
      <c r="L594" t="n">
        <v>0</v>
      </c>
      <c r="M594" t="n">
        <v>0</v>
      </c>
      <c r="N594" t="n">
        <v>0</v>
      </c>
      <c r="O594" t="n">
        <v>0</v>
      </c>
      <c r="P594" t="n">
        <v>0</v>
      </c>
      <c r="Q594" t="n">
        <v>0</v>
      </c>
      <c r="R594" s="2" t="inlineStr"/>
    </row>
    <row r="595" ht="15" customHeight="1">
      <c r="A595" t="inlineStr">
        <is>
          <t>A 12888-2025</t>
        </is>
      </c>
      <c r="B595" s="1" t="n">
        <v>45733</v>
      </c>
      <c r="C595" s="1" t="n">
        <v>45928</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22113-2025</t>
        </is>
      </c>
      <c r="B596" s="1" t="n">
        <v>45785</v>
      </c>
      <c r="C596" s="1" t="n">
        <v>45928</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22345-2023</t>
        </is>
      </c>
      <c r="B597" s="1" t="n">
        <v>45070</v>
      </c>
      <c r="C597" s="1" t="n">
        <v>45928</v>
      </c>
      <c r="D597" t="inlineStr">
        <is>
          <t>SÖDERMANLANDS LÄN</t>
        </is>
      </c>
      <c r="E597" t="inlineStr">
        <is>
          <t>KATRINEHOLM</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48877-2022</t>
        </is>
      </c>
      <c r="B598" s="1" t="n">
        <v>44859</v>
      </c>
      <c r="C598" s="1" t="n">
        <v>45928</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19868-2022</t>
        </is>
      </c>
      <c r="B599" s="1" t="n">
        <v>44696</v>
      </c>
      <c r="C599" s="1" t="n">
        <v>45928</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63188-2021</t>
        </is>
      </c>
      <c r="B600" s="1" t="n">
        <v>44507.56865740741</v>
      </c>
      <c r="C600" s="1" t="n">
        <v>45928</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24983-2024</t>
        </is>
      </c>
      <c r="B601" s="1" t="n">
        <v>45461</v>
      </c>
      <c r="C601" s="1" t="n">
        <v>45928</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22476-2025</t>
        </is>
      </c>
      <c r="B602" s="1" t="n">
        <v>45786</v>
      </c>
      <c r="C602" s="1" t="n">
        <v>45928</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22336-2025</t>
        </is>
      </c>
      <c r="B603" s="1" t="n">
        <v>45786.44217592593</v>
      </c>
      <c r="C603" s="1" t="n">
        <v>45928</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63677-2020</t>
        </is>
      </c>
      <c r="B604" s="1" t="n">
        <v>44166</v>
      </c>
      <c r="C604" s="1" t="n">
        <v>45928</v>
      </c>
      <c r="D604" t="inlineStr">
        <is>
          <t>SÖDERMANLANDS LÄN</t>
        </is>
      </c>
      <c r="E604" t="inlineStr">
        <is>
          <t>KATRINEHOLM</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29843-2023</t>
        </is>
      </c>
      <c r="B605" s="1" t="n">
        <v>45107</v>
      </c>
      <c r="C605" s="1" t="n">
        <v>45928</v>
      </c>
      <c r="D605" t="inlineStr">
        <is>
          <t>SÖDERMANLANDS LÄN</t>
        </is>
      </c>
      <c r="E605" t="inlineStr">
        <is>
          <t>KATRINEHOLM</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55031-2020</t>
        </is>
      </c>
      <c r="B606" s="1" t="n">
        <v>44130</v>
      </c>
      <c r="C606" s="1" t="n">
        <v>45928</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23050-2025</t>
        </is>
      </c>
      <c r="B607" s="1" t="n">
        <v>45790.69971064815</v>
      </c>
      <c r="C607" s="1" t="n">
        <v>45928</v>
      </c>
      <c r="D607" t="inlineStr">
        <is>
          <t>SÖDERMANLANDS LÄN</t>
        </is>
      </c>
      <c r="E607" t="inlineStr">
        <is>
          <t>KATRINEHOLM</t>
        </is>
      </c>
      <c r="G607" t="n">
        <v>3.7</v>
      </c>
      <c r="H607" t="n">
        <v>0</v>
      </c>
      <c r="I607" t="n">
        <v>0</v>
      </c>
      <c r="J607" t="n">
        <v>0</v>
      </c>
      <c r="K607" t="n">
        <v>0</v>
      </c>
      <c r="L607" t="n">
        <v>0</v>
      </c>
      <c r="M607" t="n">
        <v>0</v>
      </c>
      <c r="N607" t="n">
        <v>0</v>
      </c>
      <c r="O607" t="n">
        <v>0</v>
      </c>
      <c r="P607" t="n">
        <v>0</v>
      </c>
      <c r="Q607" t="n">
        <v>0</v>
      </c>
      <c r="R607" s="2" t="inlineStr"/>
    </row>
    <row r="608" ht="15" customHeight="1">
      <c r="A608" t="inlineStr">
        <is>
          <t>A 49341-2024</t>
        </is>
      </c>
      <c r="B608" s="1" t="n">
        <v>45595</v>
      </c>
      <c r="C608" s="1" t="n">
        <v>45928</v>
      </c>
      <c r="D608" t="inlineStr">
        <is>
          <t>SÖDERMANLANDS LÄN</t>
        </is>
      </c>
      <c r="E608" t="inlineStr">
        <is>
          <t>KATRINEHOLM</t>
        </is>
      </c>
      <c r="G608" t="n">
        <v>10</v>
      </c>
      <c r="H608" t="n">
        <v>0</v>
      </c>
      <c r="I608" t="n">
        <v>0</v>
      </c>
      <c r="J608" t="n">
        <v>0</v>
      </c>
      <c r="K608" t="n">
        <v>0</v>
      </c>
      <c r="L608" t="n">
        <v>0</v>
      </c>
      <c r="M608" t="n">
        <v>0</v>
      </c>
      <c r="N608" t="n">
        <v>0</v>
      </c>
      <c r="O608" t="n">
        <v>0</v>
      </c>
      <c r="P608" t="n">
        <v>0</v>
      </c>
      <c r="Q608" t="n">
        <v>0</v>
      </c>
      <c r="R608" s="2" t="inlineStr"/>
    </row>
    <row r="609" ht="15" customHeight="1">
      <c r="A609" t="inlineStr">
        <is>
          <t>A 5834-2025</t>
        </is>
      </c>
      <c r="B609" s="1" t="n">
        <v>45694</v>
      </c>
      <c r="C609" s="1" t="n">
        <v>45928</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45530-2023</t>
        </is>
      </c>
      <c r="B610" s="1" t="n">
        <v>45188</v>
      </c>
      <c r="C610" s="1" t="n">
        <v>45928</v>
      </c>
      <c r="D610" t="inlineStr">
        <is>
          <t>SÖDERMANLANDS LÄN</t>
        </is>
      </c>
      <c r="E610" t="inlineStr">
        <is>
          <t>KATRINEHOLM</t>
        </is>
      </c>
      <c r="F610" t="inlineStr">
        <is>
          <t>Allmännings- och besparingsskogar</t>
        </is>
      </c>
      <c r="G610" t="n">
        <v>37</v>
      </c>
      <c r="H610" t="n">
        <v>0</v>
      </c>
      <c r="I610" t="n">
        <v>0</v>
      </c>
      <c r="J610" t="n">
        <v>0</v>
      </c>
      <c r="K610" t="n">
        <v>0</v>
      </c>
      <c r="L610" t="n">
        <v>0</v>
      </c>
      <c r="M610" t="n">
        <v>0</v>
      </c>
      <c r="N610" t="n">
        <v>0</v>
      </c>
      <c r="O610" t="n">
        <v>0</v>
      </c>
      <c r="P610" t="n">
        <v>0</v>
      </c>
      <c r="Q610" t="n">
        <v>0</v>
      </c>
      <c r="R610" s="2" t="inlineStr"/>
    </row>
    <row r="611" ht="15" customHeight="1">
      <c r="A611" t="inlineStr">
        <is>
          <t>A 34981-2023</t>
        </is>
      </c>
      <c r="B611" s="1" t="n">
        <v>45142</v>
      </c>
      <c r="C611" s="1" t="n">
        <v>45928</v>
      </c>
      <c r="D611" t="inlineStr">
        <is>
          <t>SÖDERMANLANDS LÄN</t>
        </is>
      </c>
      <c r="E611" t="inlineStr">
        <is>
          <t>KATRINEHOLM</t>
        </is>
      </c>
      <c r="G611" t="n">
        <v>10</v>
      </c>
      <c r="H611" t="n">
        <v>0</v>
      </c>
      <c r="I611" t="n">
        <v>0</v>
      </c>
      <c r="J611" t="n">
        <v>0</v>
      </c>
      <c r="K611" t="n">
        <v>0</v>
      </c>
      <c r="L611" t="n">
        <v>0</v>
      </c>
      <c r="M611" t="n">
        <v>0</v>
      </c>
      <c r="N611" t="n">
        <v>0</v>
      </c>
      <c r="O611" t="n">
        <v>0</v>
      </c>
      <c r="P611" t="n">
        <v>0</v>
      </c>
      <c r="Q611" t="n">
        <v>0</v>
      </c>
      <c r="R611" s="2" t="inlineStr"/>
    </row>
    <row r="612" ht="15" customHeight="1">
      <c r="A612" t="inlineStr">
        <is>
          <t>A 73412-2021</t>
        </is>
      </c>
      <c r="B612" s="1" t="n">
        <v>44551</v>
      </c>
      <c r="C612" s="1" t="n">
        <v>45928</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53750-2022</t>
        </is>
      </c>
      <c r="B613" s="1" t="n">
        <v>44875</v>
      </c>
      <c r="C613" s="1" t="n">
        <v>45928</v>
      </c>
      <c r="D613" t="inlineStr">
        <is>
          <t>SÖDERMANLANDS LÄN</t>
        </is>
      </c>
      <c r="E613" t="inlineStr">
        <is>
          <t>KATRINEHOLM</t>
        </is>
      </c>
      <c r="F613" t="inlineStr">
        <is>
          <t>Övriga Aktiebolag</t>
        </is>
      </c>
      <c r="G613" t="n">
        <v>12.6</v>
      </c>
      <c r="H613" t="n">
        <v>0</v>
      </c>
      <c r="I613" t="n">
        <v>0</v>
      </c>
      <c r="J613" t="n">
        <v>0</v>
      </c>
      <c r="K613" t="n">
        <v>0</v>
      </c>
      <c r="L613" t="n">
        <v>0</v>
      </c>
      <c r="M613" t="n">
        <v>0</v>
      </c>
      <c r="N613" t="n">
        <v>0</v>
      </c>
      <c r="O613" t="n">
        <v>0</v>
      </c>
      <c r="P613" t="n">
        <v>0</v>
      </c>
      <c r="Q613" t="n">
        <v>0</v>
      </c>
      <c r="R613" s="2" t="inlineStr"/>
    </row>
    <row r="614" ht="15" customHeight="1">
      <c r="A614" t="inlineStr">
        <is>
          <t>A 14245-2024</t>
        </is>
      </c>
      <c r="B614" s="1" t="n">
        <v>45393</v>
      </c>
      <c r="C614" s="1" t="n">
        <v>45928</v>
      </c>
      <c r="D614" t="inlineStr">
        <is>
          <t>SÖDERMANLANDS LÄN</t>
        </is>
      </c>
      <c r="E614" t="inlineStr">
        <is>
          <t>KATRINEHOLM</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11104-2023</t>
        </is>
      </c>
      <c r="B615" s="1" t="n">
        <v>44992</v>
      </c>
      <c r="C615" s="1" t="n">
        <v>45928</v>
      </c>
      <c r="D615" t="inlineStr">
        <is>
          <t>SÖDERMANLANDS LÄN</t>
        </is>
      </c>
      <c r="E615" t="inlineStr">
        <is>
          <t>KATRINEHOLM</t>
        </is>
      </c>
      <c r="F615" t="inlineStr">
        <is>
          <t>Allmännings- och besparingsskogar</t>
        </is>
      </c>
      <c r="G615" t="n">
        <v>7.8</v>
      </c>
      <c r="H615" t="n">
        <v>0</v>
      </c>
      <c r="I615" t="n">
        <v>0</v>
      </c>
      <c r="J615" t="n">
        <v>0</v>
      </c>
      <c r="K615" t="n">
        <v>0</v>
      </c>
      <c r="L615" t="n">
        <v>0</v>
      </c>
      <c r="M615" t="n">
        <v>0</v>
      </c>
      <c r="N615" t="n">
        <v>0</v>
      </c>
      <c r="O615" t="n">
        <v>0</v>
      </c>
      <c r="P615" t="n">
        <v>0</v>
      </c>
      <c r="Q615" t="n">
        <v>0</v>
      </c>
      <c r="R615" s="2" t="inlineStr"/>
    </row>
    <row r="616" ht="15" customHeight="1">
      <c r="A616" t="inlineStr">
        <is>
          <t>A 4387-2024</t>
        </is>
      </c>
      <c r="B616" s="1" t="n">
        <v>45327.35068287037</v>
      </c>
      <c r="C616" s="1" t="n">
        <v>45928</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4872-2024</t>
        </is>
      </c>
      <c r="B617" s="1" t="n">
        <v>45329</v>
      </c>
      <c r="C617" s="1" t="n">
        <v>45928</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24902-2024</t>
        </is>
      </c>
      <c r="B618" s="1" t="n">
        <v>45461</v>
      </c>
      <c r="C618" s="1" t="n">
        <v>45928</v>
      </c>
      <c r="D618" t="inlineStr">
        <is>
          <t>SÖDERMANLANDS LÄN</t>
        </is>
      </c>
      <c r="E618" t="inlineStr">
        <is>
          <t>KATRINEHOLM</t>
        </is>
      </c>
      <c r="G618" t="n">
        <v>3.5</v>
      </c>
      <c r="H618" t="n">
        <v>0</v>
      </c>
      <c r="I618" t="n">
        <v>0</v>
      </c>
      <c r="J618" t="n">
        <v>0</v>
      </c>
      <c r="K618" t="n">
        <v>0</v>
      </c>
      <c r="L618" t="n">
        <v>0</v>
      </c>
      <c r="M618" t="n">
        <v>0</v>
      </c>
      <c r="N618" t="n">
        <v>0</v>
      </c>
      <c r="O618" t="n">
        <v>0</v>
      </c>
      <c r="P618" t="n">
        <v>0</v>
      </c>
      <c r="Q618" t="n">
        <v>0</v>
      </c>
      <c r="R618" s="2" t="inlineStr"/>
    </row>
    <row r="619" ht="15" customHeight="1">
      <c r="A619" t="inlineStr">
        <is>
          <t>A 29702-2021</t>
        </is>
      </c>
      <c r="B619" s="1" t="n">
        <v>44362</v>
      </c>
      <c r="C619" s="1" t="n">
        <v>45928</v>
      </c>
      <c r="D619" t="inlineStr">
        <is>
          <t>SÖDERMANLANDS LÄN</t>
        </is>
      </c>
      <c r="E619" t="inlineStr">
        <is>
          <t>KATRINEHOLM</t>
        </is>
      </c>
      <c r="F619" t="inlineStr">
        <is>
          <t>Holmen skog AB</t>
        </is>
      </c>
      <c r="G619" t="n">
        <v>0.3</v>
      </c>
      <c r="H619" t="n">
        <v>0</v>
      </c>
      <c r="I619" t="n">
        <v>0</v>
      </c>
      <c r="J619" t="n">
        <v>0</v>
      </c>
      <c r="K619" t="n">
        <v>0</v>
      </c>
      <c r="L619" t="n">
        <v>0</v>
      </c>
      <c r="M619" t="n">
        <v>0</v>
      </c>
      <c r="N619" t="n">
        <v>0</v>
      </c>
      <c r="O619" t="n">
        <v>0</v>
      </c>
      <c r="P619" t="n">
        <v>0</v>
      </c>
      <c r="Q619" t="n">
        <v>0</v>
      </c>
      <c r="R619" s="2" t="inlineStr"/>
    </row>
    <row r="620" ht="15" customHeight="1">
      <c r="A620" t="inlineStr">
        <is>
          <t>A 3986-2024</t>
        </is>
      </c>
      <c r="B620" s="1" t="n">
        <v>45322</v>
      </c>
      <c r="C620" s="1" t="n">
        <v>45928</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10996-2022</t>
        </is>
      </c>
      <c r="B621" s="1" t="n">
        <v>44628</v>
      </c>
      <c r="C621" s="1" t="n">
        <v>45928</v>
      </c>
      <c r="D621" t="inlineStr">
        <is>
          <t>SÖDERMANLANDS LÄN</t>
        </is>
      </c>
      <c r="E621" t="inlineStr">
        <is>
          <t>KATRINEHOLM</t>
        </is>
      </c>
      <c r="G621" t="n">
        <v>0.3</v>
      </c>
      <c r="H621" t="n">
        <v>0</v>
      </c>
      <c r="I621" t="n">
        <v>0</v>
      </c>
      <c r="J621" t="n">
        <v>0</v>
      </c>
      <c r="K621" t="n">
        <v>0</v>
      </c>
      <c r="L621" t="n">
        <v>0</v>
      </c>
      <c r="M621" t="n">
        <v>0</v>
      </c>
      <c r="N621" t="n">
        <v>0</v>
      </c>
      <c r="O621" t="n">
        <v>0</v>
      </c>
      <c r="P621" t="n">
        <v>0</v>
      </c>
      <c r="Q621" t="n">
        <v>0</v>
      </c>
      <c r="R621" s="2" t="inlineStr"/>
    </row>
    <row r="622" ht="15" customHeight="1">
      <c r="A622" t="inlineStr">
        <is>
          <t>A 42451-2023</t>
        </is>
      </c>
      <c r="B622" s="1" t="n">
        <v>45180</v>
      </c>
      <c r="C622" s="1" t="n">
        <v>45928</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13113-2023</t>
        </is>
      </c>
      <c r="B623" s="1" t="n">
        <v>45002</v>
      </c>
      <c r="C623" s="1" t="n">
        <v>45928</v>
      </c>
      <c r="D623" t="inlineStr">
        <is>
          <t>SÖDERMANLANDS LÄN</t>
        </is>
      </c>
      <c r="E623" t="inlineStr">
        <is>
          <t>KATRINEHOLM</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6606-2022</t>
        </is>
      </c>
      <c r="B624" s="1" t="n">
        <v>44601</v>
      </c>
      <c r="C624" s="1" t="n">
        <v>45928</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27646-2023</t>
        </is>
      </c>
      <c r="B625" s="1" t="n">
        <v>45097</v>
      </c>
      <c r="C625" s="1" t="n">
        <v>45928</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15235-2023</t>
        </is>
      </c>
      <c r="B626" s="1" t="n">
        <v>45019</v>
      </c>
      <c r="C626" s="1" t="n">
        <v>45928</v>
      </c>
      <c r="D626" t="inlineStr">
        <is>
          <t>SÖDERMANLANDS LÄN</t>
        </is>
      </c>
      <c r="E626" t="inlineStr">
        <is>
          <t>KATRINEHOLM</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25433-2024</t>
        </is>
      </c>
      <c r="B627" s="1" t="n">
        <v>45463</v>
      </c>
      <c r="C627" s="1" t="n">
        <v>45928</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2603-2025</t>
        </is>
      </c>
      <c r="B628" s="1" t="n">
        <v>45674</v>
      </c>
      <c r="C628" s="1" t="n">
        <v>45928</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22304-2024</t>
        </is>
      </c>
      <c r="B629" s="1" t="n">
        <v>45446.56626157407</v>
      </c>
      <c r="C629" s="1" t="n">
        <v>45928</v>
      </c>
      <c r="D629" t="inlineStr">
        <is>
          <t>SÖDERMANLANDS LÄN</t>
        </is>
      </c>
      <c r="E629" t="inlineStr">
        <is>
          <t>KATRINEHOLM</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14224-2024</t>
        </is>
      </c>
      <c r="B630" s="1" t="n">
        <v>45393</v>
      </c>
      <c r="C630" s="1" t="n">
        <v>45928</v>
      </c>
      <c r="D630" t="inlineStr">
        <is>
          <t>SÖDERMANLANDS LÄN</t>
        </is>
      </c>
      <c r="E630" t="inlineStr">
        <is>
          <t>KATRINEHOLM</t>
        </is>
      </c>
      <c r="F630" t="inlineStr">
        <is>
          <t>Sveaskog</t>
        </is>
      </c>
      <c r="G630" t="n">
        <v>7.6</v>
      </c>
      <c r="H630" t="n">
        <v>0</v>
      </c>
      <c r="I630" t="n">
        <v>0</v>
      </c>
      <c r="J630" t="n">
        <v>0</v>
      </c>
      <c r="K630" t="n">
        <v>0</v>
      </c>
      <c r="L630" t="n">
        <v>0</v>
      </c>
      <c r="M630" t="n">
        <v>0</v>
      </c>
      <c r="N630" t="n">
        <v>0</v>
      </c>
      <c r="O630" t="n">
        <v>0</v>
      </c>
      <c r="P630" t="n">
        <v>0</v>
      </c>
      <c r="Q630" t="n">
        <v>0</v>
      </c>
      <c r="R630" s="2" t="inlineStr"/>
    </row>
    <row r="631" ht="15" customHeight="1">
      <c r="A631" t="inlineStr">
        <is>
          <t>A 23341-2023</t>
        </is>
      </c>
      <c r="B631" s="1" t="n">
        <v>45076</v>
      </c>
      <c r="C631" s="1" t="n">
        <v>45928</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24566-2025</t>
        </is>
      </c>
      <c r="B632" s="1" t="n">
        <v>45798.46452546296</v>
      </c>
      <c r="C632" s="1" t="n">
        <v>45928</v>
      </c>
      <c r="D632" t="inlineStr">
        <is>
          <t>SÖDERMANLANDS LÄN</t>
        </is>
      </c>
      <c r="E632" t="inlineStr">
        <is>
          <t>KATRINEHOLM</t>
        </is>
      </c>
      <c r="G632" t="n">
        <v>6.3</v>
      </c>
      <c r="H632" t="n">
        <v>0</v>
      </c>
      <c r="I632" t="n">
        <v>0</v>
      </c>
      <c r="J632" t="n">
        <v>0</v>
      </c>
      <c r="K632" t="n">
        <v>0</v>
      </c>
      <c r="L632" t="n">
        <v>0</v>
      </c>
      <c r="M632" t="n">
        <v>0</v>
      </c>
      <c r="N632" t="n">
        <v>0</v>
      </c>
      <c r="O632" t="n">
        <v>0</v>
      </c>
      <c r="P632" t="n">
        <v>0</v>
      </c>
      <c r="Q632" t="n">
        <v>0</v>
      </c>
      <c r="R632" s="2" t="inlineStr"/>
    </row>
    <row r="633" ht="15" customHeight="1">
      <c r="A633" t="inlineStr">
        <is>
          <t>A 24605-2025</t>
        </is>
      </c>
      <c r="B633" s="1" t="n">
        <v>45798.57403935185</v>
      </c>
      <c r="C633" s="1" t="n">
        <v>45928</v>
      </c>
      <c r="D633" t="inlineStr">
        <is>
          <t>SÖDERMANLANDS LÄN</t>
        </is>
      </c>
      <c r="E633" t="inlineStr">
        <is>
          <t>KATRINEHOLM</t>
        </is>
      </c>
      <c r="G633" t="n">
        <v>7</v>
      </c>
      <c r="H633" t="n">
        <v>0</v>
      </c>
      <c r="I633" t="n">
        <v>0</v>
      </c>
      <c r="J633" t="n">
        <v>0</v>
      </c>
      <c r="K633" t="n">
        <v>0</v>
      </c>
      <c r="L633" t="n">
        <v>0</v>
      </c>
      <c r="M633" t="n">
        <v>0</v>
      </c>
      <c r="N633" t="n">
        <v>0</v>
      </c>
      <c r="O633" t="n">
        <v>0</v>
      </c>
      <c r="P633" t="n">
        <v>0</v>
      </c>
      <c r="Q633" t="n">
        <v>0</v>
      </c>
      <c r="R633" s="2" t="inlineStr"/>
    </row>
    <row r="634" ht="15" customHeight="1">
      <c r="A634" t="inlineStr">
        <is>
          <t>A 36366-2023</t>
        </is>
      </c>
      <c r="B634" s="1" t="n">
        <v>45152</v>
      </c>
      <c r="C634" s="1" t="n">
        <v>45928</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56086-2023</t>
        </is>
      </c>
      <c r="B635" s="1" t="n">
        <v>45240</v>
      </c>
      <c r="C635" s="1" t="n">
        <v>45928</v>
      </c>
      <c r="D635" t="inlineStr">
        <is>
          <t>SÖDERMANLANDS LÄN</t>
        </is>
      </c>
      <c r="E635" t="inlineStr">
        <is>
          <t>KATRINEHOLM</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36021-2023</t>
        </is>
      </c>
      <c r="B636" s="1" t="n">
        <v>45148</v>
      </c>
      <c r="C636" s="1" t="n">
        <v>45928</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61423-2024</t>
        </is>
      </c>
      <c r="B637" s="1" t="n">
        <v>45646.45209490741</v>
      </c>
      <c r="C637" s="1" t="n">
        <v>45928</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41727-2024</t>
        </is>
      </c>
      <c r="B638" s="1" t="n">
        <v>45560</v>
      </c>
      <c r="C638" s="1" t="n">
        <v>45928</v>
      </c>
      <c r="D638" t="inlineStr">
        <is>
          <t>SÖDERMANLANDS LÄN</t>
        </is>
      </c>
      <c r="E638" t="inlineStr">
        <is>
          <t>KATRINEHOLM</t>
        </is>
      </c>
      <c r="G638" t="n">
        <v>3.9</v>
      </c>
      <c r="H638" t="n">
        <v>0</v>
      </c>
      <c r="I638" t="n">
        <v>0</v>
      </c>
      <c r="J638" t="n">
        <v>0</v>
      </c>
      <c r="K638" t="n">
        <v>0</v>
      </c>
      <c r="L638" t="n">
        <v>0</v>
      </c>
      <c r="M638" t="n">
        <v>0</v>
      </c>
      <c r="N638" t="n">
        <v>0</v>
      </c>
      <c r="O638" t="n">
        <v>0</v>
      </c>
      <c r="P638" t="n">
        <v>0</v>
      </c>
      <c r="Q638" t="n">
        <v>0</v>
      </c>
      <c r="R638" s="2" t="inlineStr"/>
    </row>
    <row r="639" ht="15" customHeight="1">
      <c r="A639" t="inlineStr">
        <is>
          <t>A 24717-2025</t>
        </is>
      </c>
      <c r="B639" s="1" t="n">
        <v>45799.27168981481</v>
      </c>
      <c r="C639" s="1" t="n">
        <v>45928</v>
      </c>
      <c r="D639" t="inlineStr">
        <is>
          <t>SÖDERMANLANDS LÄN</t>
        </is>
      </c>
      <c r="E639" t="inlineStr">
        <is>
          <t>KATRINEHOLM</t>
        </is>
      </c>
      <c r="G639" t="n">
        <v>24.5</v>
      </c>
      <c r="H639" t="n">
        <v>0</v>
      </c>
      <c r="I639" t="n">
        <v>0</v>
      </c>
      <c r="J639" t="n">
        <v>0</v>
      </c>
      <c r="K639" t="n">
        <v>0</v>
      </c>
      <c r="L639" t="n">
        <v>0</v>
      </c>
      <c r="M639" t="n">
        <v>0</v>
      </c>
      <c r="N639" t="n">
        <v>0</v>
      </c>
      <c r="O639" t="n">
        <v>0</v>
      </c>
      <c r="P639" t="n">
        <v>0</v>
      </c>
      <c r="Q639" t="n">
        <v>0</v>
      </c>
      <c r="R639" s="2" t="inlineStr"/>
    </row>
    <row r="640" ht="15" customHeight="1">
      <c r="A640" t="inlineStr">
        <is>
          <t>A 53999-2023</t>
        </is>
      </c>
      <c r="B640" s="1" t="n">
        <v>45231</v>
      </c>
      <c r="C640" s="1" t="n">
        <v>45928</v>
      </c>
      <c r="D640" t="inlineStr">
        <is>
          <t>SÖDERMANLANDS LÄN</t>
        </is>
      </c>
      <c r="E640" t="inlineStr">
        <is>
          <t>KATRINEHOLM</t>
        </is>
      </c>
      <c r="G640" t="n">
        <v>5.4</v>
      </c>
      <c r="H640" t="n">
        <v>0</v>
      </c>
      <c r="I640" t="n">
        <v>0</v>
      </c>
      <c r="J640" t="n">
        <v>0</v>
      </c>
      <c r="K640" t="n">
        <v>0</v>
      </c>
      <c r="L640" t="n">
        <v>0</v>
      </c>
      <c r="M640" t="n">
        <v>0</v>
      </c>
      <c r="N640" t="n">
        <v>0</v>
      </c>
      <c r="O640" t="n">
        <v>0</v>
      </c>
      <c r="P640" t="n">
        <v>0</v>
      </c>
      <c r="Q640" t="n">
        <v>0</v>
      </c>
      <c r="R640" s="2" t="inlineStr"/>
    </row>
    <row r="641" ht="15" customHeight="1">
      <c r="A641" t="inlineStr">
        <is>
          <t>A 24719-2025</t>
        </is>
      </c>
      <c r="B641" s="1" t="n">
        <v>45799</v>
      </c>
      <c r="C641" s="1" t="n">
        <v>45928</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25786-2025</t>
        </is>
      </c>
      <c r="B642" s="1" t="n">
        <v>45804.37456018518</v>
      </c>
      <c r="C642" s="1" t="n">
        <v>45928</v>
      </c>
      <c r="D642" t="inlineStr">
        <is>
          <t>SÖDERMANLANDS LÄN</t>
        </is>
      </c>
      <c r="E642" t="inlineStr">
        <is>
          <t>KATRINEHOLM</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26154-2025</t>
        </is>
      </c>
      <c r="B643" s="1" t="n">
        <v>45805.43341435185</v>
      </c>
      <c r="C643" s="1" t="n">
        <v>45928</v>
      </c>
      <c r="D643" t="inlineStr">
        <is>
          <t>SÖDERMANLANDS LÄN</t>
        </is>
      </c>
      <c r="E643" t="inlineStr">
        <is>
          <t>KATRINEHOLM</t>
        </is>
      </c>
      <c r="G643" t="n">
        <v>4.5</v>
      </c>
      <c r="H643" t="n">
        <v>0</v>
      </c>
      <c r="I643" t="n">
        <v>0</v>
      </c>
      <c r="J643" t="n">
        <v>0</v>
      </c>
      <c r="K643" t="n">
        <v>0</v>
      </c>
      <c r="L643" t="n">
        <v>0</v>
      </c>
      <c r="M643" t="n">
        <v>0</v>
      </c>
      <c r="N643" t="n">
        <v>0</v>
      </c>
      <c r="O643" t="n">
        <v>0</v>
      </c>
      <c r="P643" t="n">
        <v>0</v>
      </c>
      <c r="Q643" t="n">
        <v>0</v>
      </c>
      <c r="R643" s="2" t="inlineStr"/>
    </row>
    <row r="644" ht="15" customHeight="1">
      <c r="A644" t="inlineStr">
        <is>
          <t>A 26156-2025</t>
        </is>
      </c>
      <c r="B644" s="1" t="n">
        <v>45805.43864583333</v>
      </c>
      <c r="C644" s="1" t="n">
        <v>45928</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28597-2024</t>
        </is>
      </c>
      <c r="B645" s="1" t="n">
        <v>45478</v>
      </c>
      <c r="C645" s="1" t="n">
        <v>45928</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29198-2023</t>
        </is>
      </c>
      <c r="B646" s="1" t="n">
        <v>45105</v>
      </c>
      <c r="C646" s="1" t="n">
        <v>45928</v>
      </c>
      <c r="D646" t="inlineStr">
        <is>
          <t>SÖDERMANLANDS LÄN</t>
        </is>
      </c>
      <c r="E646" t="inlineStr">
        <is>
          <t>KATRINEHOLM</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9992-2022</t>
        </is>
      </c>
      <c r="B647" s="1" t="n">
        <v>44621</v>
      </c>
      <c r="C647" s="1" t="n">
        <v>45928</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41267-2023</t>
        </is>
      </c>
      <c r="B648" s="1" t="n">
        <v>45174</v>
      </c>
      <c r="C648" s="1" t="n">
        <v>45928</v>
      </c>
      <c r="D648" t="inlineStr">
        <is>
          <t>SÖDERMANLANDS LÄN</t>
        </is>
      </c>
      <c r="E648" t="inlineStr">
        <is>
          <t>KATRINEHOLM</t>
        </is>
      </c>
      <c r="F648" t="inlineStr">
        <is>
          <t>Holmen skog AB</t>
        </is>
      </c>
      <c r="G648" t="n">
        <v>4.5</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45928</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45928</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29008-2024</t>
        </is>
      </c>
      <c r="B651" s="1" t="n">
        <v>45481</v>
      </c>
      <c r="C651" s="1" t="n">
        <v>45928</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9936-2023</t>
        </is>
      </c>
      <c r="B652" s="1" t="n">
        <v>44985.47086805556</v>
      </c>
      <c r="C652" s="1" t="n">
        <v>45928</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4645-2024</t>
        </is>
      </c>
      <c r="B653" s="1" t="n">
        <v>45328</v>
      </c>
      <c r="C653" s="1" t="n">
        <v>45928</v>
      </c>
      <c r="D653" t="inlineStr">
        <is>
          <t>SÖDERMANLANDS LÄN</t>
        </is>
      </c>
      <c r="E653" t="inlineStr">
        <is>
          <t>KATRINEHOLM</t>
        </is>
      </c>
      <c r="G653" t="n">
        <v>2.3</v>
      </c>
      <c r="H653" t="n">
        <v>0</v>
      </c>
      <c r="I653" t="n">
        <v>0</v>
      </c>
      <c r="J653" t="n">
        <v>0</v>
      </c>
      <c r="K653" t="n">
        <v>0</v>
      </c>
      <c r="L653" t="n">
        <v>0</v>
      </c>
      <c r="M653" t="n">
        <v>0</v>
      </c>
      <c r="N653" t="n">
        <v>0</v>
      </c>
      <c r="O653" t="n">
        <v>0</v>
      </c>
      <c r="P653" t="n">
        <v>0</v>
      </c>
      <c r="Q653" t="n">
        <v>0</v>
      </c>
      <c r="R653" s="2" t="inlineStr"/>
    </row>
    <row r="654" ht="15" customHeight="1">
      <c r="A654" t="inlineStr">
        <is>
          <t>A 27534-2025</t>
        </is>
      </c>
      <c r="B654" s="1" t="n">
        <v>45813</v>
      </c>
      <c r="C654" s="1" t="n">
        <v>45928</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27552-2025</t>
        </is>
      </c>
      <c r="B655" s="1" t="n">
        <v>45813</v>
      </c>
      <c r="C655" s="1" t="n">
        <v>45928</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36001-2024</t>
        </is>
      </c>
      <c r="B656" s="1" t="n">
        <v>45533.54609953704</v>
      </c>
      <c r="C656" s="1" t="n">
        <v>45928</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27636-2025</t>
        </is>
      </c>
      <c r="B657" s="1" t="n">
        <v>45813.57603009259</v>
      </c>
      <c r="C657" s="1" t="n">
        <v>45928</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24600-2025</t>
        </is>
      </c>
      <c r="B658" s="1" t="n">
        <v>45798.56348379629</v>
      </c>
      <c r="C658" s="1" t="n">
        <v>45928</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45928</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35608-2024</t>
        </is>
      </c>
      <c r="B660" s="1" t="n">
        <v>45531</v>
      </c>
      <c r="C660" s="1" t="n">
        <v>45928</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28931-2024</t>
        </is>
      </c>
      <c r="B661" s="1" t="n">
        <v>45479</v>
      </c>
      <c r="C661" s="1" t="n">
        <v>45928</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12633-2022</t>
        </is>
      </c>
      <c r="B662" s="1" t="n">
        <v>44638</v>
      </c>
      <c r="C662" s="1" t="n">
        <v>45928</v>
      </c>
      <c r="D662" t="inlineStr">
        <is>
          <t>SÖDERMANLANDS LÄN</t>
        </is>
      </c>
      <c r="E662" t="inlineStr">
        <is>
          <t>KATRINEHOLM</t>
        </is>
      </c>
      <c r="G662" t="n">
        <v>6.4</v>
      </c>
      <c r="H662" t="n">
        <v>0</v>
      </c>
      <c r="I662" t="n">
        <v>0</v>
      </c>
      <c r="J662" t="n">
        <v>0</v>
      </c>
      <c r="K662" t="n">
        <v>0</v>
      </c>
      <c r="L662" t="n">
        <v>0</v>
      </c>
      <c r="M662" t="n">
        <v>0</v>
      </c>
      <c r="N662" t="n">
        <v>0</v>
      </c>
      <c r="O662" t="n">
        <v>0</v>
      </c>
      <c r="P662" t="n">
        <v>0</v>
      </c>
      <c r="Q662" t="n">
        <v>0</v>
      </c>
      <c r="R662" s="2" t="inlineStr"/>
    </row>
    <row r="663" ht="15" customHeight="1">
      <c r="A663" t="inlineStr">
        <is>
          <t>A 29189-2025</t>
        </is>
      </c>
      <c r="B663" s="1" t="n">
        <v>45822</v>
      </c>
      <c r="C663" s="1" t="n">
        <v>45928</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6810-2023</t>
        </is>
      </c>
      <c r="B664" s="1" t="n">
        <v>44964</v>
      </c>
      <c r="C664" s="1" t="n">
        <v>45928</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32944-2023</t>
        </is>
      </c>
      <c r="B665" s="1" t="n">
        <v>45125</v>
      </c>
      <c r="C665" s="1" t="n">
        <v>45928</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29977-2023</t>
        </is>
      </c>
      <c r="B666" s="1" t="n">
        <v>45108</v>
      </c>
      <c r="C666" s="1" t="n">
        <v>45928</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30050-2025</t>
        </is>
      </c>
      <c r="B667" s="1" t="n">
        <v>45826.59151620371</v>
      </c>
      <c r="C667" s="1" t="n">
        <v>45928</v>
      </c>
      <c r="D667" t="inlineStr">
        <is>
          <t>SÖDERMANLANDS LÄN</t>
        </is>
      </c>
      <c r="E667" t="inlineStr">
        <is>
          <t>KATRINEHOLM</t>
        </is>
      </c>
      <c r="G667" t="n">
        <v>7.9</v>
      </c>
      <c r="H667" t="n">
        <v>0</v>
      </c>
      <c r="I667" t="n">
        <v>0</v>
      </c>
      <c r="J667" t="n">
        <v>0</v>
      </c>
      <c r="K667" t="n">
        <v>0</v>
      </c>
      <c r="L667" t="n">
        <v>0</v>
      </c>
      <c r="M667" t="n">
        <v>0</v>
      </c>
      <c r="N667" t="n">
        <v>0</v>
      </c>
      <c r="O667" t="n">
        <v>0</v>
      </c>
      <c r="P667" t="n">
        <v>0</v>
      </c>
      <c r="Q667" t="n">
        <v>0</v>
      </c>
      <c r="R667" s="2" t="inlineStr"/>
    </row>
    <row r="668" ht="15" customHeight="1">
      <c r="A668" t="inlineStr">
        <is>
          <t>A 5788-2022</t>
        </is>
      </c>
      <c r="B668" s="1" t="n">
        <v>44596.54990740741</v>
      </c>
      <c r="C668" s="1" t="n">
        <v>45928</v>
      </c>
      <c r="D668" t="inlineStr">
        <is>
          <t>SÖDERMANLANDS LÄN</t>
        </is>
      </c>
      <c r="E668" t="inlineStr">
        <is>
          <t>KATRINEHOLM</t>
        </is>
      </c>
      <c r="G668" t="n">
        <v>4.1</v>
      </c>
      <c r="H668" t="n">
        <v>0</v>
      </c>
      <c r="I668" t="n">
        <v>0</v>
      </c>
      <c r="J668" t="n">
        <v>0</v>
      </c>
      <c r="K668" t="n">
        <v>0</v>
      </c>
      <c r="L668" t="n">
        <v>0</v>
      </c>
      <c r="M668" t="n">
        <v>0</v>
      </c>
      <c r="N668" t="n">
        <v>0</v>
      </c>
      <c r="O668" t="n">
        <v>0</v>
      </c>
      <c r="P668" t="n">
        <v>0</v>
      </c>
      <c r="Q668" t="n">
        <v>0</v>
      </c>
      <c r="R668" s="2" t="inlineStr"/>
    </row>
    <row r="669" ht="15" customHeight="1">
      <c r="A669" t="inlineStr">
        <is>
          <t>A 20803-2024</t>
        </is>
      </c>
      <c r="B669" s="1" t="n">
        <v>45438</v>
      </c>
      <c r="C669" s="1" t="n">
        <v>45928</v>
      </c>
      <c r="D669" t="inlineStr">
        <is>
          <t>SÖDERMANLANDS LÄN</t>
        </is>
      </c>
      <c r="E669" t="inlineStr">
        <is>
          <t>KATRINEHOLM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5795-2022</t>
        </is>
      </c>
      <c r="B670" s="1" t="n">
        <v>44596</v>
      </c>
      <c r="C670" s="1" t="n">
        <v>45928</v>
      </c>
      <c r="D670" t="inlineStr">
        <is>
          <t>SÖDERMANLANDS LÄN</t>
        </is>
      </c>
      <c r="E670" t="inlineStr">
        <is>
          <t>KATRINEHOLM</t>
        </is>
      </c>
      <c r="G670" t="n">
        <v>8.1</v>
      </c>
      <c r="H670" t="n">
        <v>0</v>
      </c>
      <c r="I670" t="n">
        <v>0</v>
      </c>
      <c r="J670" t="n">
        <v>0</v>
      </c>
      <c r="K670" t="n">
        <v>0</v>
      </c>
      <c r="L670" t="n">
        <v>0</v>
      </c>
      <c r="M670" t="n">
        <v>0</v>
      </c>
      <c r="N670" t="n">
        <v>0</v>
      </c>
      <c r="O670" t="n">
        <v>0</v>
      </c>
      <c r="P670" t="n">
        <v>0</v>
      </c>
      <c r="Q670" t="n">
        <v>0</v>
      </c>
      <c r="R670" s="2" t="inlineStr"/>
    </row>
    <row r="671" ht="15" customHeight="1">
      <c r="A671" t="inlineStr">
        <is>
          <t>A 30070-2025</t>
        </is>
      </c>
      <c r="B671" s="1" t="n">
        <v>45826.63324074074</v>
      </c>
      <c r="C671" s="1" t="n">
        <v>45928</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3075-2022</t>
        </is>
      </c>
      <c r="B672" s="1" t="n">
        <v>44582</v>
      </c>
      <c r="C672" s="1" t="n">
        <v>45928</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30287-2025</t>
        </is>
      </c>
      <c r="B673" s="1" t="n">
        <v>45827</v>
      </c>
      <c r="C673" s="1" t="n">
        <v>45928</v>
      </c>
      <c r="D673" t="inlineStr">
        <is>
          <t>SÖDERMANLANDS LÄN</t>
        </is>
      </c>
      <c r="E673" t="inlineStr">
        <is>
          <t>KATRINEHOLM</t>
        </is>
      </c>
      <c r="G673" t="n">
        <v>10.2</v>
      </c>
      <c r="H673" t="n">
        <v>0</v>
      </c>
      <c r="I673" t="n">
        <v>0</v>
      </c>
      <c r="J673" t="n">
        <v>0</v>
      </c>
      <c r="K673" t="n">
        <v>0</v>
      </c>
      <c r="L673" t="n">
        <v>0</v>
      </c>
      <c r="M673" t="n">
        <v>0</v>
      </c>
      <c r="N673" t="n">
        <v>0</v>
      </c>
      <c r="O673" t="n">
        <v>0</v>
      </c>
      <c r="P673" t="n">
        <v>0</v>
      </c>
      <c r="Q673" t="n">
        <v>0</v>
      </c>
      <c r="R673" s="2" t="inlineStr"/>
    </row>
    <row r="674" ht="15" customHeight="1">
      <c r="A674" t="inlineStr">
        <is>
          <t>A 30350-2025</t>
        </is>
      </c>
      <c r="B674" s="1" t="n">
        <v>45827.53319444445</v>
      </c>
      <c r="C674" s="1" t="n">
        <v>45928</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30352-2025</t>
        </is>
      </c>
      <c r="B675" s="1" t="n">
        <v>45827</v>
      </c>
      <c r="C675" s="1" t="n">
        <v>45928</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30386-2025</t>
        </is>
      </c>
      <c r="B676" s="1" t="n">
        <v>45827</v>
      </c>
      <c r="C676" s="1" t="n">
        <v>45928</v>
      </c>
      <c r="D676" t="inlineStr">
        <is>
          <t>SÖDERMANLANDS LÄN</t>
        </is>
      </c>
      <c r="E676" t="inlineStr">
        <is>
          <t>KATRINEHOLM</t>
        </is>
      </c>
      <c r="G676" t="n">
        <v>5.6</v>
      </c>
      <c r="H676" t="n">
        <v>0</v>
      </c>
      <c r="I676" t="n">
        <v>0</v>
      </c>
      <c r="J676" t="n">
        <v>0</v>
      </c>
      <c r="K676" t="n">
        <v>0</v>
      </c>
      <c r="L676" t="n">
        <v>0</v>
      </c>
      <c r="M676" t="n">
        <v>0</v>
      </c>
      <c r="N676" t="n">
        <v>0</v>
      </c>
      <c r="O676" t="n">
        <v>0</v>
      </c>
      <c r="P676" t="n">
        <v>0</v>
      </c>
      <c r="Q676" t="n">
        <v>0</v>
      </c>
      <c r="R676" s="2" t="inlineStr"/>
    </row>
    <row r="677" ht="15" customHeight="1">
      <c r="A677" t="inlineStr">
        <is>
          <t>A 30402-2025</t>
        </is>
      </c>
      <c r="B677" s="1" t="n">
        <v>45827</v>
      </c>
      <c r="C677" s="1" t="n">
        <v>45928</v>
      </c>
      <c r="D677" t="inlineStr">
        <is>
          <t>SÖDERMANLANDS LÄN</t>
        </is>
      </c>
      <c r="E677" t="inlineStr">
        <is>
          <t>KATRINEHOLM</t>
        </is>
      </c>
      <c r="G677" t="n">
        <v>7.1</v>
      </c>
      <c r="H677" t="n">
        <v>0</v>
      </c>
      <c r="I677" t="n">
        <v>0</v>
      </c>
      <c r="J677" t="n">
        <v>0</v>
      </c>
      <c r="K677" t="n">
        <v>0</v>
      </c>
      <c r="L677" t="n">
        <v>0</v>
      </c>
      <c r="M677" t="n">
        <v>0</v>
      </c>
      <c r="N677" t="n">
        <v>0</v>
      </c>
      <c r="O677" t="n">
        <v>0</v>
      </c>
      <c r="P677" t="n">
        <v>0</v>
      </c>
      <c r="Q677" t="n">
        <v>0</v>
      </c>
      <c r="R677" s="2" t="inlineStr"/>
    </row>
    <row r="678" ht="15" customHeight="1">
      <c r="A678" t="inlineStr">
        <is>
          <t>A 73409-2021</t>
        </is>
      </c>
      <c r="B678" s="1" t="n">
        <v>44551</v>
      </c>
      <c r="C678" s="1" t="n">
        <v>45928</v>
      </c>
      <c r="D678" t="inlineStr">
        <is>
          <t>SÖDERMANLANDS LÄN</t>
        </is>
      </c>
      <c r="E678" t="inlineStr">
        <is>
          <t>KATRINEHOLM</t>
        </is>
      </c>
      <c r="G678" t="n">
        <v>1.7</v>
      </c>
      <c r="H678" t="n">
        <v>0</v>
      </c>
      <c r="I678" t="n">
        <v>0</v>
      </c>
      <c r="J678" t="n">
        <v>0</v>
      </c>
      <c r="K678" t="n">
        <v>0</v>
      </c>
      <c r="L678" t="n">
        <v>0</v>
      </c>
      <c r="M678" t="n">
        <v>0</v>
      </c>
      <c r="N678" t="n">
        <v>0</v>
      </c>
      <c r="O678" t="n">
        <v>0</v>
      </c>
      <c r="P678" t="n">
        <v>0</v>
      </c>
      <c r="Q678" t="n">
        <v>0</v>
      </c>
      <c r="R678" s="2" t="inlineStr"/>
    </row>
    <row r="679" ht="15" customHeight="1">
      <c r="A679" t="inlineStr">
        <is>
          <t>A 73415-2021</t>
        </is>
      </c>
      <c r="B679" s="1" t="n">
        <v>44551</v>
      </c>
      <c r="C679" s="1" t="n">
        <v>45928</v>
      </c>
      <c r="D679" t="inlineStr">
        <is>
          <t>SÖDERMANLANDS LÄN</t>
        </is>
      </c>
      <c r="E679" t="inlineStr">
        <is>
          <t>KATRINEHOLM</t>
        </is>
      </c>
      <c r="G679" t="n">
        <v>3.2</v>
      </c>
      <c r="H679" t="n">
        <v>0</v>
      </c>
      <c r="I679" t="n">
        <v>0</v>
      </c>
      <c r="J679" t="n">
        <v>0</v>
      </c>
      <c r="K679" t="n">
        <v>0</v>
      </c>
      <c r="L679" t="n">
        <v>0</v>
      </c>
      <c r="M679" t="n">
        <v>0</v>
      </c>
      <c r="N679" t="n">
        <v>0</v>
      </c>
      <c r="O679" t="n">
        <v>0</v>
      </c>
      <c r="P679" t="n">
        <v>0</v>
      </c>
      <c r="Q679" t="n">
        <v>0</v>
      </c>
      <c r="R679" s="2" t="inlineStr"/>
    </row>
    <row r="680" ht="15" customHeight="1">
      <c r="A680" t="inlineStr">
        <is>
          <t>A 57132-2020</t>
        </is>
      </c>
      <c r="B680" s="1" t="n">
        <v>44139</v>
      </c>
      <c r="C680" s="1" t="n">
        <v>45928</v>
      </c>
      <c r="D680" t="inlineStr">
        <is>
          <t>SÖDERMANLANDS LÄN</t>
        </is>
      </c>
      <c r="E680" t="inlineStr">
        <is>
          <t>KATRINEHOLM</t>
        </is>
      </c>
      <c r="G680" t="n">
        <v>4</v>
      </c>
      <c r="H680" t="n">
        <v>0</v>
      </c>
      <c r="I680" t="n">
        <v>0</v>
      </c>
      <c r="J680" t="n">
        <v>0</v>
      </c>
      <c r="K680" t="n">
        <v>0</v>
      </c>
      <c r="L680" t="n">
        <v>0</v>
      </c>
      <c r="M680" t="n">
        <v>0</v>
      </c>
      <c r="N680" t="n">
        <v>0</v>
      </c>
      <c r="O680" t="n">
        <v>0</v>
      </c>
      <c r="P680" t="n">
        <v>0</v>
      </c>
      <c r="Q680" t="n">
        <v>0</v>
      </c>
      <c r="R680" s="2" t="inlineStr"/>
    </row>
    <row r="681" ht="15" customHeight="1">
      <c r="A681" t="inlineStr">
        <is>
          <t>A 8087-2022</t>
        </is>
      </c>
      <c r="B681" s="1" t="n">
        <v>44609.53502314815</v>
      </c>
      <c r="C681" s="1" t="n">
        <v>45928</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50935-2023</t>
        </is>
      </c>
      <c r="B682" s="1" t="n">
        <v>45211</v>
      </c>
      <c r="C682" s="1" t="n">
        <v>45928</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31376-2025</t>
        </is>
      </c>
      <c r="B683" s="1" t="n">
        <v>45833</v>
      </c>
      <c r="C683" s="1" t="n">
        <v>45928</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6298-2024</t>
        </is>
      </c>
      <c r="B684" s="1" t="n">
        <v>45338.34245370371</v>
      </c>
      <c r="C684" s="1" t="n">
        <v>45928</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33001-2024</t>
        </is>
      </c>
      <c r="B685" s="1" t="n">
        <v>45517</v>
      </c>
      <c r="C685" s="1" t="n">
        <v>45928</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31392-2025</t>
        </is>
      </c>
      <c r="B686" s="1" t="n">
        <v>45833</v>
      </c>
      <c r="C686" s="1" t="n">
        <v>45928</v>
      </c>
      <c r="D686" t="inlineStr">
        <is>
          <t>SÖDERMANLANDS LÄN</t>
        </is>
      </c>
      <c r="E686" t="inlineStr">
        <is>
          <t>KATRINEHOLM</t>
        </is>
      </c>
      <c r="G686" t="n">
        <v>5</v>
      </c>
      <c r="H686" t="n">
        <v>0</v>
      </c>
      <c r="I686" t="n">
        <v>0</v>
      </c>
      <c r="J686" t="n">
        <v>0</v>
      </c>
      <c r="K686" t="n">
        <v>0</v>
      </c>
      <c r="L686" t="n">
        <v>0</v>
      </c>
      <c r="M686" t="n">
        <v>0</v>
      </c>
      <c r="N686" t="n">
        <v>0</v>
      </c>
      <c r="O686" t="n">
        <v>0</v>
      </c>
      <c r="P686" t="n">
        <v>0</v>
      </c>
      <c r="Q686" t="n">
        <v>0</v>
      </c>
      <c r="R686" s="2" t="inlineStr"/>
    </row>
    <row r="687" ht="15" customHeight="1">
      <c r="A687" t="inlineStr">
        <is>
          <t>A 31386-2025</t>
        </is>
      </c>
      <c r="B687" s="1" t="n">
        <v>45833.45259259259</v>
      </c>
      <c r="C687" s="1" t="n">
        <v>45928</v>
      </c>
      <c r="D687" t="inlineStr">
        <is>
          <t>SÖDERMANLANDS LÄN</t>
        </is>
      </c>
      <c r="E687" t="inlineStr">
        <is>
          <t>KATRINEHOLM</t>
        </is>
      </c>
      <c r="F687" t="inlineStr">
        <is>
          <t>Övriga Aktiebolag</t>
        </is>
      </c>
      <c r="G687" t="n">
        <v>2.2</v>
      </c>
      <c r="H687" t="n">
        <v>0</v>
      </c>
      <c r="I687" t="n">
        <v>0</v>
      </c>
      <c r="J687" t="n">
        <v>0</v>
      </c>
      <c r="K687" t="n">
        <v>0</v>
      </c>
      <c r="L687" t="n">
        <v>0</v>
      </c>
      <c r="M687" t="n">
        <v>0</v>
      </c>
      <c r="N687" t="n">
        <v>0</v>
      </c>
      <c r="O687" t="n">
        <v>0</v>
      </c>
      <c r="P687" t="n">
        <v>0</v>
      </c>
      <c r="Q687" t="n">
        <v>0</v>
      </c>
      <c r="R687" s="2" t="inlineStr"/>
    </row>
    <row r="688" ht="15" customHeight="1">
      <c r="A688" t="inlineStr">
        <is>
          <t>A 58175-2024</t>
        </is>
      </c>
      <c r="B688" s="1" t="n">
        <v>45632.46648148148</v>
      </c>
      <c r="C688" s="1" t="n">
        <v>45928</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45928</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31990-2025</t>
        </is>
      </c>
      <c r="B690" s="1" t="n">
        <v>45835.36697916667</v>
      </c>
      <c r="C690" s="1" t="n">
        <v>45928</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33077-2025</t>
        </is>
      </c>
      <c r="B691" s="1" t="n">
        <v>45840.45864583334</v>
      </c>
      <c r="C691" s="1" t="n">
        <v>45928</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33096-2025</t>
        </is>
      </c>
      <c r="B692" s="1" t="n">
        <v>45840.47563657408</v>
      </c>
      <c r="C692" s="1" t="n">
        <v>45928</v>
      </c>
      <c r="D692" t="inlineStr">
        <is>
          <t>SÖDERMANLANDS LÄN</t>
        </is>
      </c>
      <c r="E692" t="inlineStr">
        <is>
          <t>KATRINEHOLM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33101-2025</t>
        </is>
      </c>
      <c r="B693" s="1" t="n">
        <v>45840.47953703703</v>
      </c>
      <c r="C693" s="1" t="n">
        <v>45928</v>
      </c>
      <c r="D693" t="inlineStr">
        <is>
          <t>SÖDERMANLANDS LÄN</t>
        </is>
      </c>
      <c r="E693" t="inlineStr">
        <is>
          <t>KATRINEHOLM</t>
        </is>
      </c>
      <c r="G693" t="n">
        <v>4.4</v>
      </c>
      <c r="H693" t="n">
        <v>0</v>
      </c>
      <c r="I693" t="n">
        <v>0</v>
      </c>
      <c r="J693" t="n">
        <v>0</v>
      </c>
      <c r="K693" t="n">
        <v>0</v>
      </c>
      <c r="L693" t="n">
        <v>0</v>
      </c>
      <c r="M693" t="n">
        <v>0</v>
      </c>
      <c r="N693" t="n">
        <v>0</v>
      </c>
      <c r="O693" t="n">
        <v>0</v>
      </c>
      <c r="P693" t="n">
        <v>0</v>
      </c>
      <c r="Q693" t="n">
        <v>0</v>
      </c>
      <c r="R693" s="2" t="inlineStr"/>
    </row>
    <row r="694" ht="15" customHeight="1">
      <c r="A694" t="inlineStr">
        <is>
          <t>A 33090-2025</t>
        </is>
      </c>
      <c r="B694" s="1" t="n">
        <v>45840.46840277778</v>
      </c>
      <c r="C694" s="1" t="n">
        <v>45928</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33084-2025</t>
        </is>
      </c>
      <c r="B695" s="1" t="n">
        <v>45840.46559027778</v>
      </c>
      <c r="C695" s="1" t="n">
        <v>45928</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33129-2025</t>
        </is>
      </c>
      <c r="B696" s="1" t="n">
        <v>45840.50141203704</v>
      </c>
      <c r="C696" s="1" t="n">
        <v>45928</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33577-2025</t>
        </is>
      </c>
      <c r="B697" s="1" t="n">
        <v>45841.59056712963</v>
      </c>
      <c r="C697" s="1" t="n">
        <v>45928</v>
      </c>
      <c r="D697" t="inlineStr">
        <is>
          <t>SÖDERMANLANDS LÄN</t>
        </is>
      </c>
      <c r="E697" t="inlineStr">
        <is>
          <t>KATRINEHOLM</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57462-2020</t>
        </is>
      </c>
      <c r="B698" s="1" t="n">
        <v>44140</v>
      </c>
      <c r="C698" s="1" t="n">
        <v>45928</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23705-2023</t>
        </is>
      </c>
      <c r="B699" s="1" t="n">
        <v>45077</v>
      </c>
      <c r="C699" s="1" t="n">
        <v>45928</v>
      </c>
      <c r="D699" t="inlineStr">
        <is>
          <t>SÖDERMANLANDS LÄN</t>
        </is>
      </c>
      <c r="E699" t="inlineStr">
        <is>
          <t>KATRINEHOLM</t>
        </is>
      </c>
      <c r="F699" t="inlineStr">
        <is>
          <t>Kyrkan</t>
        </is>
      </c>
      <c r="G699" t="n">
        <v>11.9</v>
      </c>
      <c r="H699" t="n">
        <v>0</v>
      </c>
      <c r="I699" t="n">
        <v>0</v>
      </c>
      <c r="J699" t="n">
        <v>0</v>
      </c>
      <c r="K699" t="n">
        <v>0</v>
      </c>
      <c r="L699" t="n">
        <v>0</v>
      </c>
      <c r="M699" t="n">
        <v>0</v>
      </c>
      <c r="N699" t="n">
        <v>0</v>
      </c>
      <c r="O699" t="n">
        <v>0</v>
      </c>
      <c r="P699" t="n">
        <v>0</v>
      </c>
      <c r="Q699" t="n">
        <v>0</v>
      </c>
      <c r="R699" s="2" t="inlineStr"/>
    </row>
    <row r="700" ht="15" customHeight="1">
      <c r="A700" t="inlineStr">
        <is>
          <t>A 33469-2025</t>
        </is>
      </c>
      <c r="B700" s="1" t="n">
        <v>45841.48686342593</v>
      </c>
      <c r="C700" s="1" t="n">
        <v>45928</v>
      </c>
      <c r="D700" t="inlineStr">
        <is>
          <t>SÖDERMANLANDS LÄN</t>
        </is>
      </c>
      <c r="E700" t="inlineStr">
        <is>
          <t>KATRINEHOLM</t>
        </is>
      </c>
      <c r="G700" t="n">
        <v>2.1</v>
      </c>
      <c r="H700" t="n">
        <v>0</v>
      </c>
      <c r="I700" t="n">
        <v>0</v>
      </c>
      <c r="J700" t="n">
        <v>0</v>
      </c>
      <c r="K700" t="n">
        <v>0</v>
      </c>
      <c r="L700" t="n">
        <v>0</v>
      </c>
      <c r="M700" t="n">
        <v>0</v>
      </c>
      <c r="N700" t="n">
        <v>0</v>
      </c>
      <c r="O700" t="n">
        <v>0</v>
      </c>
      <c r="P700" t="n">
        <v>0</v>
      </c>
      <c r="Q700" t="n">
        <v>0</v>
      </c>
      <c r="R700" s="2" t="inlineStr"/>
    </row>
    <row r="701" ht="15" customHeight="1">
      <c r="A701" t="inlineStr">
        <is>
          <t>A 33812-2025</t>
        </is>
      </c>
      <c r="B701" s="1" t="n">
        <v>45842</v>
      </c>
      <c r="C701" s="1" t="n">
        <v>45928</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33815-2025</t>
        </is>
      </c>
      <c r="B702" s="1" t="n">
        <v>45842</v>
      </c>
      <c r="C702" s="1" t="n">
        <v>45928</v>
      </c>
      <c r="D702" t="inlineStr">
        <is>
          <t>SÖDERMANLANDS LÄN</t>
        </is>
      </c>
      <c r="E702" t="inlineStr">
        <is>
          <t>KATRINEHOLM</t>
        </is>
      </c>
      <c r="G702" t="n">
        <v>3.4</v>
      </c>
      <c r="H702" t="n">
        <v>0</v>
      </c>
      <c r="I702" t="n">
        <v>0</v>
      </c>
      <c r="J702" t="n">
        <v>0</v>
      </c>
      <c r="K702" t="n">
        <v>0</v>
      </c>
      <c r="L702" t="n">
        <v>0</v>
      </c>
      <c r="M702" t="n">
        <v>0</v>
      </c>
      <c r="N702" t="n">
        <v>0</v>
      </c>
      <c r="O702" t="n">
        <v>0</v>
      </c>
      <c r="P702" t="n">
        <v>0</v>
      </c>
      <c r="Q702" t="n">
        <v>0</v>
      </c>
      <c r="R702" s="2" t="inlineStr"/>
    </row>
    <row r="703" ht="15" customHeight="1">
      <c r="A703" t="inlineStr">
        <is>
          <t>A 6762-2025</t>
        </is>
      </c>
      <c r="B703" s="1" t="n">
        <v>45700</v>
      </c>
      <c r="C703" s="1" t="n">
        <v>45928</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20213-2025</t>
        </is>
      </c>
      <c r="B704" s="1" t="n">
        <v>45772.63453703704</v>
      </c>
      <c r="C704" s="1" t="n">
        <v>45928</v>
      </c>
      <c r="D704" t="inlineStr">
        <is>
          <t>SÖDERMANLANDS LÄN</t>
        </is>
      </c>
      <c r="E704" t="inlineStr">
        <is>
          <t>KATRINEHOLM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59749-2020</t>
        </is>
      </c>
      <c r="B705" s="1" t="n">
        <v>44151</v>
      </c>
      <c r="C705" s="1" t="n">
        <v>45928</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39120-2023</t>
        </is>
      </c>
      <c r="B706" s="1" t="n">
        <v>45165</v>
      </c>
      <c r="C706" s="1" t="n">
        <v>45928</v>
      </c>
      <c r="D706" t="inlineStr">
        <is>
          <t>SÖDERMANLANDS LÄN</t>
        </is>
      </c>
      <c r="E706" t="inlineStr">
        <is>
          <t>KATRINEHOLM</t>
        </is>
      </c>
      <c r="G706" t="n">
        <v>4.4</v>
      </c>
      <c r="H706" t="n">
        <v>0</v>
      </c>
      <c r="I706" t="n">
        <v>0</v>
      </c>
      <c r="J706" t="n">
        <v>0</v>
      </c>
      <c r="K706" t="n">
        <v>0</v>
      </c>
      <c r="L706" t="n">
        <v>0</v>
      </c>
      <c r="M706" t="n">
        <v>0</v>
      </c>
      <c r="N706" t="n">
        <v>0</v>
      </c>
      <c r="O706" t="n">
        <v>0</v>
      </c>
      <c r="P706" t="n">
        <v>0</v>
      </c>
      <c r="Q706" t="n">
        <v>0</v>
      </c>
      <c r="R706" s="2" t="inlineStr"/>
    </row>
    <row r="707" ht="15" customHeight="1">
      <c r="A707" t="inlineStr">
        <is>
          <t>A 7305-2024</t>
        </is>
      </c>
      <c r="B707" s="1" t="n">
        <v>45344</v>
      </c>
      <c r="C707" s="1" t="n">
        <v>45928</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38708-2025</t>
        </is>
      </c>
      <c r="B708" s="1" t="n">
        <v>45885</v>
      </c>
      <c r="C708" s="1" t="n">
        <v>45928</v>
      </c>
      <c r="D708" t="inlineStr">
        <is>
          <t>SÖDERMANLANDS LÄN</t>
        </is>
      </c>
      <c r="E708" t="inlineStr">
        <is>
          <t>KATRINEHOLM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51397-2023</t>
        </is>
      </c>
      <c r="B709" s="1" t="n">
        <v>45214</v>
      </c>
      <c r="C709" s="1" t="n">
        <v>45928</v>
      </c>
      <c r="D709" t="inlineStr">
        <is>
          <t>SÖDERMANLANDS LÄN</t>
        </is>
      </c>
      <c r="E709" t="inlineStr">
        <is>
          <t>KATRINEHOLM</t>
        </is>
      </c>
      <c r="G709" t="n">
        <v>4.9</v>
      </c>
      <c r="H709" t="n">
        <v>0</v>
      </c>
      <c r="I709" t="n">
        <v>0</v>
      </c>
      <c r="J709" t="n">
        <v>0</v>
      </c>
      <c r="K709" t="n">
        <v>0</v>
      </c>
      <c r="L709" t="n">
        <v>0</v>
      </c>
      <c r="M709" t="n">
        <v>0</v>
      </c>
      <c r="N709" t="n">
        <v>0</v>
      </c>
      <c r="O709" t="n">
        <v>0</v>
      </c>
      <c r="P709" t="n">
        <v>0</v>
      </c>
      <c r="Q709" t="n">
        <v>0</v>
      </c>
      <c r="R709" s="2" t="inlineStr"/>
    </row>
    <row r="710" ht="15" customHeight="1">
      <c r="A710" t="inlineStr">
        <is>
          <t>A 19452-2023</t>
        </is>
      </c>
      <c r="B710" s="1" t="n">
        <v>45050</v>
      </c>
      <c r="C710" s="1" t="n">
        <v>45928</v>
      </c>
      <c r="D710" t="inlineStr">
        <is>
          <t>SÖDERMANLANDS LÄN</t>
        </is>
      </c>
      <c r="E710" t="inlineStr">
        <is>
          <t>KATRINEHOLM</t>
        </is>
      </c>
      <c r="F710" t="inlineStr">
        <is>
          <t>Holmen skog AB</t>
        </is>
      </c>
      <c r="G710" t="n">
        <v>4.7</v>
      </c>
      <c r="H710" t="n">
        <v>0</v>
      </c>
      <c r="I710" t="n">
        <v>0</v>
      </c>
      <c r="J710" t="n">
        <v>0</v>
      </c>
      <c r="K710" t="n">
        <v>0</v>
      </c>
      <c r="L710" t="n">
        <v>0</v>
      </c>
      <c r="M710" t="n">
        <v>0</v>
      </c>
      <c r="N710" t="n">
        <v>0</v>
      </c>
      <c r="O710" t="n">
        <v>0</v>
      </c>
      <c r="P710" t="n">
        <v>0</v>
      </c>
      <c r="Q710" t="n">
        <v>0</v>
      </c>
      <c r="R710" s="2" t="inlineStr"/>
    </row>
    <row r="711" ht="15" customHeight="1">
      <c r="A711" t="inlineStr">
        <is>
          <t>A 52658-2023</t>
        </is>
      </c>
      <c r="B711" s="1" t="n">
        <v>45225</v>
      </c>
      <c r="C711" s="1" t="n">
        <v>45928</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35160-2025</t>
        </is>
      </c>
      <c r="B712" s="1" t="n">
        <v>45852.70430555556</v>
      </c>
      <c r="C712" s="1" t="n">
        <v>45928</v>
      </c>
      <c r="D712" t="inlineStr">
        <is>
          <t>SÖDERMANLANDS LÄN</t>
        </is>
      </c>
      <c r="E712" t="inlineStr">
        <is>
          <t>KATRINEHOLM</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35156-2025</t>
        </is>
      </c>
      <c r="B713" s="1" t="n">
        <v>45852</v>
      </c>
      <c r="C713" s="1" t="n">
        <v>45928</v>
      </c>
      <c r="D713" t="inlineStr">
        <is>
          <t>SÖDERMANLANDS LÄN</t>
        </is>
      </c>
      <c r="E713" t="inlineStr">
        <is>
          <t>KATRINEHOLM</t>
        </is>
      </c>
      <c r="G713" t="n">
        <v>5.7</v>
      </c>
      <c r="H713" t="n">
        <v>0</v>
      </c>
      <c r="I713" t="n">
        <v>0</v>
      </c>
      <c r="J713" t="n">
        <v>0</v>
      </c>
      <c r="K713" t="n">
        <v>0</v>
      </c>
      <c r="L713" t="n">
        <v>0</v>
      </c>
      <c r="M713" t="n">
        <v>0</v>
      </c>
      <c r="N713" t="n">
        <v>0</v>
      </c>
      <c r="O713" t="n">
        <v>0</v>
      </c>
      <c r="P713" t="n">
        <v>0</v>
      </c>
      <c r="Q713" t="n">
        <v>0</v>
      </c>
      <c r="R713" s="2" t="inlineStr"/>
    </row>
    <row r="714" ht="15" customHeight="1">
      <c r="A714" t="inlineStr">
        <is>
          <t>A 5320-2025</t>
        </is>
      </c>
      <c r="B714" s="1" t="n">
        <v>45692</v>
      </c>
      <c r="C714" s="1" t="n">
        <v>45928</v>
      </c>
      <c r="D714" t="inlineStr">
        <is>
          <t>SÖDERMANLANDS LÄN</t>
        </is>
      </c>
      <c r="E714" t="inlineStr">
        <is>
          <t>KATRINEHOLM</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35152-2025</t>
        </is>
      </c>
      <c r="B715" s="1" t="n">
        <v>45852</v>
      </c>
      <c r="C715" s="1" t="n">
        <v>45928</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35165-2025</t>
        </is>
      </c>
      <c r="B716" s="1" t="n">
        <v>45852.72320601852</v>
      </c>
      <c r="C716" s="1" t="n">
        <v>45928</v>
      </c>
      <c r="D716" t="inlineStr">
        <is>
          <t>SÖDERMANLANDS LÄN</t>
        </is>
      </c>
      <c r="E716" t="inlineStr">
        <is>
          <t>KATRINEHOLM</t>
        </is>
      </c>
      <c r="F716" t="inlineStr">
        <is>
          <t>Övriga Aktiebolag</t>
        </is>
      </c>
      <c r="G716" t="n">
        <v>20.7</v>
      </c>
      <c r="H716" t="n">
        <v>0</v>
      </c>
      <c r="I716" t="n">
        <v>0</v>
      </c>
      <c r="J716" t="n">
        <v>0</v>
      </c>
      <c r="K716" t="n">
        <v>0</v>
      </c>
      <c r="L716" t="n">
        <v>0</v>
      </c>
      <c r="M716" t="n">
        <v>0</v>
      </c>
      <c r="N716" t="n">
        <v>0</v>
      </c>
      <c r="O716" t="n">
        <v>0</v>
      </c>
      <c r="P716" t="n">
        <v>0</v>
      </c>
      <c r="Q716" t="n">
        <v>0</v>
      </c>
      <c r="R716" s="2" t="inlineStr"/>
    </row>
    <row r="717" ht="15" customHeight="1">
      <c r="A717" t="inlineStr">
        <is>
          <t>A 2606-2025</t>
        </is>
      </c>
      <c r="B717" s="1" t="n">
        <v>45674</v>
      </c>
      <c r="C717" s="1" t="n">
        <v>45928</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39645-2025</t>
        </is>
      </c>
      <c r="B718" s="1" t="n">
        <v>45890</v>
      </c>
      <c r="C718" s="1" t="n">
        <v>45928</v>
      </c>
      <c r="D718" t="inlineStr">
        <is>
          <t>SÖDERMANLANDS LÄN</t>
        </is>
      </c>
      <c r="E718" t="inlineStr">
        <is>
          <t>KATRINEHOLM</t>
        </is>
      </c>
      <c r="G718" t="n">
        <v>0.2</v>
      </c>
      <c r="H718" t="n">
        <v>0</v>
      </c>
      <c r="I718" t="n">
        <v>0</v>
      </c>
      <c r="J718" t="n">
        <v>0</v>
      </c>
      <c r="K718" t="n">
        <v>0</v>
      </c>
      <c r="L718" t="n">
        <v>0</v>
      </c>
      <c r="M718" t="n">
        <v>0</v>
      </c>
      <c r="N718" t="n">
        <v>0</v>
      </c>
      <c r="O718" t="n">
        <v>0</v>
      </c>
      <c r="P718" t="n">
        <v>0</v>
      </c>
      <c r="Q718" t="n">
        <v>0</v>
      </c>
      <c r="R718" s="2" t="inlineStr"/>
    </row>
    <row r="719" ht="15" customHeight="1">
      <c r="A719" t="inlineStr">
        <is>
          <t>A 39663-2025</t>
        </is>
      </c>
      <c r="B719" s="1" t="n">
        <v>45890</v>
      </c>
      <c r="C719" s="1" t="n">
        <v>45928</v>
      </c>
      <c r="D719" t="inlineStr">
        <is>
          <t>SÖDERMANLANDS LÄN</t>
        </is>
      </c>
      <c r="E719" t="inlineStr">
        <is>
          <t>KATRINEHOLM</t>
        </is>
      </c>
      <c r="G719" t="n">
        <v>0.5</v>
      </c>
      <c r="H719" t="n">
        <v>0</v>
      </c>
      <c r="I719" t="n">
        <v>0</v>
      </c>
      <c r="J719" t="n">
        <v>0</v>
      </c>
      <c r="K719" t="n">
        <v>0</v>
      </c>
      <c r="L719" t="n">
        <v>0</v>
      </c>
      <c r="M719" t="n">
        <v>0</v>
      </c>
      <c r="N719" t="n">
        <v>0</v>
      </c>
      <c r="O719" t="n">
        <v>0</v>
      </c>
      <c r="P719" t="n">
        <v>0</v>
      </c>
      <c r="Q719" t="n">
        <v>0</v>
      </c>
      <c r="R719" s="2" t="inlineStr"/>
    </row>
    <row r="720" ht="15" customHeight="1">
      <c r="A720" t="inlineStr">
        <is>
          <t>A 39668-2025</t>
        </is>
      </c>
      <c r="B720" s="1" t="n">
        <v>45890</v>
      </c>
      <c r="C720" s="1" t="n">
        <v>45928</v>
      </c>
      <c r="D720" t="inlineStr">
        <is>
          <t>SÖDERMANLANDS LÄN</t>
        </is>
      </c>
      <c r="E720" t="inlineStr">
        <is>
          <t>KATRINEHOLM</t>
        </is>
      </c>
      <c r="G720" t="n">
        <v>2.9</v>
      </c>
      <c r="H720" t="n">
        <v>0</v>
      </c>
      <c r="I720" t="n">
        <v>0</v>
      </c>
      <c r="J720" t="n">
        <v>0</v>
      </c>
      <c r="K720" t="n">
        <v>0</v>
      </c>
      <c r="L720" t="n">
        <v>0</v>
      </c>
      <c r="M720" t="n">
        <v>0</v>
      </c>
      <c r="N720" t="n">
        <v>0</v>
      </c>
      <c r="O720" t="n">
        <v>0</v>
      </c>
      <c r="P720" t="n">
        <v>0</v>
      </c>
      <c r="Q720" t="n">
        <v>0</v>
      </c>
      <c r="R720" s="2" t="inlineStr"/>
    </row>
    <row r="721" ht="15" customHeight="1">
      <c r="A721" t="inlineStr">
        <is>
          <t>A 39748-2022</t>
        </is>
      </c>
      <c r="B721" s="1" t="n">
        <v>44817</v>
      </c>
      <c r="C721" s="1" t="n">
        <v>45928</v>
      </c>
      <c r="D721" t="inlineStr">
        <is>
          <t>SÖDERMANLANDS LÄN</t>
        </is>
      </c>
      <c r="E721" t="inlineStr">
        <is>
          <t>KATRINEHOLM</t>
        </is>
      </c>
      <c r="G721" t="n">
        <v>10.2</v>
      </c>
      <c r="H721" t="n">
        <v>0</v>
      </c>
      <c r="I721" t="n">
        <v>0</v>
      </c>
      <c r="J721" t="n">
        <v>0</v>
      </c>
      <c r="K721" t="n">
        <v>0</v>
      </c>
      <c r="L721" t="n">
        <v>0</v>
      </c>
      <c r="M721" t="n">
        <v>0</v>
      </c>
      <c r="N721" t="n">
        <v>0</v>
      </c>
      <c r="O721" t="n">
        <v>0</v>
      </c>
      <c r="P721" t="n">
        <v>0</v>
      </c>
      <c r="Q721" t="n">
        <v>0</v>
      </c>
      <c r="R721" s="2" t="inlineStr"/>
    </row>
    <row r="722" ht="15" customHeight="1">
      <c r="A722" t="inlineStr">
        <is>
          <t>A 34731-2023</t>
        </is>
      </c>
      <c r="B722" s="1" t="n">
        <v>45141</v>
      </c>
      <c r="C722" s="1" t="n">
        <v>45928</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34739-2023</t>
        </is>
      </c>
      <c r="B723" s="1" t="n">
        <v>45141</v>
      </c>
      <c r="C723" s="1" t="n">
        <v>45928</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20480-2022</t>
        </is>
      </c>
      <c r="B724" s="1" t="n">
        <v>44699</v>
      </c>
      <c r="C724" s="1" t="n">
        <v>45928</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50017-2023</t>
        </is>
      </c>
      <c r="B725" s="1" t="n">
        <v>45215</v>
      </c>
      <c r="C725" s="1" t="n">
        <v>45928</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50018-2023</t>
        </is>
      </c>
      <c r="B726" s="1" t="n">
        <v>45215</v>
      </c>
      <c r="C726" s="1" t="n">
        <v>45928</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28508-2023</t>
        </is>
      </c>
      <c r="B727" s="1" t="n">
        <v>45103.46788194445</v>
      </c>
      <c r="C727" s="1" t="n">
        <v>45928</v>
      </c>
      <c r="D727" t="inlineStr">
        <is>
          <t>SÖDERMANLANDS LÄN</t>
        </is>
      </c>
      <c r="E727" t="inlineStr">
        <is>
          <t>KATRINEHOLM</t>
        </is>
      </c>
      <c r="F727" t="inlineStr">
        <is>
          <t>Kyrkan</t>
        </is>
      </c>
      <c r="G727" t="n">
        <v>20.5</v>
      </c>
      <c r="H727" t="n">
        <v>0</v>
      </c>
      <c r="I727" t="n">
        <v>0</v>
      </c>
      <c r="J727" t="n">
        <v>0</v>
      </c>
      <c r="K727" t="n">
        <v>0</v>
      </c>
      <c r="L727" t="n">
        <v>0</v>
      </c>
      <c r="M727" t="n">
        <v>0</v>
      </c>
      <c r="N727" t="n">
        <v>0</v>
      </c>
      <c r="O727" t="n">
        <v>0</v>
      </c>
      <c r="P727" t="n">
        <v>0</v>
      </c>
      <c r="Q727" t="n">
        <v>0</v>
      </c>
      <c r="R727" s="2" t="inlineStr"/>
    </row>
    <row r="728" ht="15" customHeight="1">
      <c r="A728" t="inlineStr">
        <is>
          <t>A 46075-2023</t>
        </is>
      </c>
      <c r="B728" s="1" t="n">
        <v>45196</v>
      </c>
      <c r="C728" s="1" t="n">
        <v>45928</v>
      </c>
      <c r="D728" t="inlineStr">
        <is>
          <t>SÖDERMANLANDS LÄN</t>
        </is>
      </c>
      <c r="E728" t="inlineStr">
        <is>
          <t>KATRINEHOLM</t>
        </is>
      </c>
      <c r="F728" t="inlineStr">
        <is>
          <t>Övriga Aktiebolag</t>
        </is>
      </c>
      <c r="G728" t="n">
        <v>9.5</v>
      </c>
      <c r="H728" t="n">
        <v>0</v>
      </c>
      <c r="I728" t="n">
        <v>0</v>
      </c>
      <c r="J728" t="n">
        <v>0</v>
      </c>
      <c r="K728" t="n">
        <v>0</v>
      </c>
      <c r="L728" t="n">
        <v>0</v>
      </c>
      <c r="M728" t="n">
        <v>0</v>
      </c>
      <c r="N728" t="n">
        <v>0</v>
      </c>
      <c r="O728" t="n">
        <v>0</v>
      </c>
      <c r="P728" t="n">
        <v>0</v>
      </c>
      <c r="Q728" t="n">
        <v>0</v>
      </c>
      <c r="R728" s="2" t="inlineStr"/>
    </row>
    <row r="729" ht="15" customHeight="1">
      <c r="A729" t="inlineStr">
        <is>
          <t>A 25823-2023</t>
        </is>
      </c>
      <c r="B729" s="1" t="n">
        <v>45090.55078703703</v>
      </c>
      <c r="C729" s="1" t="n">
        <v>45928</v>
      </c>
      <c r="D729" t="inlineStr">
        <is>
          <t>SÖDERMANLANDS LÄN</t>
        </is>
      </c>
      <c r="E729" t="inlineStr">
        <is>
          <t>KATRINEHOLM</t>
        </is>
      </c>
      <c r="F729" t="inlineStr">
        <is>
          <t>Kyrkan</t>
        </is>
      </c>
      <c r="G729" t="n">
        <v>10.2</v>
      </c>
      <c r="H729" t="n">
        <v>0</v>
      </c>
      <c r="I729" t="n">
        <v>0</v>
      </c>
      <c r="J729" t="n">
        <v>0</v>
      </c>
      <c r="K729" t="n">
        <v>0</v>
      </c>
      <c r="L729" t="n">
        <v>0</v>
      </c>
      <c r="M729" t="n">
        <v>0</v>
      </c>
      <c r="N729" t="n">
        <v>0</v>
      </c>
      <c r="O729" t="n">
        <v>0</v>
      </c>
      <c r="P729" t="n">
        <v>0</v>
      </c>
      <c r="Q729" t="n">
        <v>0</v>
      </c>
      <c r="R729" s="2" t="inlineStr"/>
    </row>
    <row r="730" ht="15" customHeight="1">
      <c r="A730" t="inlineStr">
        <is>
          <t>A 17360-2022</t>
        </is>
      </c>
      <c r="B730" s="1" t="n">
        <v>44678</v>
      </c>
      <c r="C730" s="1" t="n">
        <v>45928</v>
      </c>
      <c r="D730" t="inlineStr">
        <is>
          <t>SÖDERMANLANDS LÄN</t>
        </is>
      </c>
      <c r="E730" t="inlineStr">
        <is>
          <t>KATRINEHOLM</t>
        </is>
      </c>
      <c r="G730" t="n">
        <v>4.5</v>
      </c>
      <c r="H730" t="n">
        <v>0</v>
      </c>
      <c r="I730" t="n">
        <v>0</v>
      </c>
      <c r="J730" t="n">
        <v>0</v>
      </c>
      <c r="K730" t="n">
        <v>0</v>
      </c>
      <c r="L730" t="n">
        <v>0</v>
      </c>
      <c r="M730" t="n">
        <v>0</v>
      </c>
      <c r="N730" t="n">
        <v>0</v>
      </c>
      <c r="O730" t="n">
        <v>0</v>
      </c>
      <c r="P730" t="n">
        <v>0</v>
      </c>
      <c r="Q730" t="n">
        <v>0</v>
      </c>
      <c r="R730" s="2" t="inlineStr"/>
    </row>
    <row r="731" ht="15" customHeight="1">
      <c r="A731" t="inlineStr">
        <is>
          <t>A 22295-2024</t>
        </is>
      </c>
      <c r="B731" s="1" t="n">
        <v>45446.56141203704</v>
      </c>
      <c r="C731" s="1" t="n">
        <v>45928</v>
      </c>
      <c r="D731" t="inlineStr">
        <is>
          <t>SÖDERMANLANDS LÄN</t>
        </is>
      </c>
      <c r="E731" t="inlineStr">
        <is>
          <t>KATRINEHOLM</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46700-2023</t>
        </is>
      </c>
      <c r="B732" s="1" t="n">
        <v>45194</v>
      </c>
      <c r="C732" s="1" t="n">
        <v>45928</v>
      </c>
      <c r="D732" t="inlineStr">
        <is>
          <t>SÖDERMANLANDS LÄN</t>
        </is>
      </c>
      <c r="E732" t="inlineStr">
        <is>
          <t>KATRINEHOLM</t>
        </is>
      </c>
      <c r="G732" t="n">
        <v>3</v>
      </c>
      <c r="H732" t="n">
        <v>0</v>
      </c>
      <c r="I732" t="n">
        <v>0</v>
      </c>
      <c r="J732" t="n">
        <v>0</v>
      </c>
      <c r="K732" t="n">
        <v>0</v>
      </c>
      <c r="L732" t="n">
        <v>0</v>
      </c>
      <c r="M732" t="n">
        <v>0</v>
      </c>
      <c r="N732" t="n">
        <v>0</v>
      </c>
      <c r="O732" t="n">
        <v>0</v>
      </c>
      <c r="P732" t="n">
        <v>0</v>
      </c>
      <c r="Q732" t="n">
        <v>0</v>
      </c>
      <c r="R732" s="2" t="inlineStr"/>
    </row>
    <row r="733" ht="15" customHeight="1">
      <c r="A733" t="inlineStr">
        <is>
          <t>A 55590-2023</t>
        </is>
      </c>
      <c r="B733" s="1" t="n">
        <v>45238</v>
      </c>
      <c r="C733" s="1" t="n">
        <v>45928</v>
      </c>
      <c r="D733" t="inlineStr">
        <is>
          <t>SÖDERMANLANDS LÄN</t>
        </is>
      </c>
      <c r="E733" t="inlineStr">
        <is>
          <t>KATRINEHOLM</t>
        </is>
      </c>
      <c r="G733" t="n">
        <v>4.5</v>
      </c>
      <c r="H733" t="n">
        <v>0</v>
      </c>
      <c r="I733" t="n">
        <v>0</v>
      </c>
      <c r="J733" t="n">
        <v>0</v>
      </c>
      <c r="K733" t="n">
        <v>0</v>
      </c>
      <c r="L733" t="n">
        <v>0</v>
      </c>
      <c r="M733" t="n">
        <v>0</v>
      </c>
      <c r="N733" t="n">
        <v>0</v>
      </c>
      <c r="O733" t="n">
        <v>0</v>
      </c>
      <c r="P733" t="n">
        <v>0</v>
      </c>
      <c r="Q733" t="n">
        <v>0</v>
      </c>
      <c r="R733" s="2" t="inlineStr"/>
    </row>
    <row r="734" ht="15" customHeight="1">
      <c r="A734" t="inlineStr">
        <is>
          <t>A 15898-2022</t>
        </is>
      </c>
      <c r="B734" s="1" t="n">
        <v>44664.55688657407</v>
      </c>
      <c r="C734" s="1" t="n">
        <v>45928</v>
      </c>
      <c r="D734" t="inlineStr">
        <is>
          <t>SÖDERMANLANDS LÄN</t>
        </is>
      </c>
      <c r="E734" t="inlineStr">
        <is>
          <t>KATRINEHOLM</t>
        </is>
      </c>
      <c r="G734" t="n">
        <v>6.5</v>
      </c>
      <c r="H734" t="n">
        <v>0</v>
      </c>
      <c r="I734" t="n">
        <v>0</v>
      </c>
      <c r="J734" t="n">
        <v>0</v>
      </c>
      <c r="K734" t="n">
        <v>0</v>
      </c>
      <c r="L734" t="n">
        <v>0</v>
      </c>
      <c r="M734" t="n">
        <v>0</v>
      </c>
      <c r="N734" t="n">
        <v>0</v>
      </c>
      <c r="O734" t="n">
        <v>0</v>
      </c>
      <c r="P734" t="n">
        <v>0</v>
      </c>
      <c r="Q734" t="n">
        <v>0</v>
      </c>
      <c r="R734" s="2" t="inlineStr"/>
    </row>
    <row r="735" ht="15" customHeight="1">
      <c r="A735" t="inlineStr">
        <is>
          <t>A 15910-2022</t>
        </is>
      </c>
      <c r="B735" s="1" t="n">
        <v>44664</v>
      </c>
      <c r="C735" s="1" t="n">
        <v>45928</v>
      </c>
      <c r="D735" t="inlineStr">
        <is>
          <t>SÖDERMANLANDS LÄN</t>
        </is>
      </c>
      <c r="E735" t="inlineStr">
        <is>
          <t>KATRINEHOLM</t>
        </is>
      </c>
      <c r="G735" t="n">
        <v>5.6</v>
      </c>
      <c r="H735" t="n">
        <v>0</v>
      </c>
      <c r="I735" t="n">
        <v>0</v>
      </c>
      <c r="J735" t="n">
        <v>0</v>
      </c>
      <c r="K735" t="n">
        <v>0</v>
      </c>
      <c r="L735" t="n">
        <v>0</v>
      </c>
      <c r="M735" t="n">
        <v>0</v>
      </c>
      <c r="N735" t="n">
        <v>0</v>
      </c>
      <c r="O735" t="n">
        <v>0</v>
      </c>
      <c r="P735" t="n">
        <v>0</v>
      </c>
      <c r="Q735" t="n">
        <v>0</v>
      </c>
      <c r="R735" s="2" t="inlineStr"/>
    </row>
    <row r="736" ht="15" customHeight="1">
      <c r="A736" t="inlineStr">
        <is>
          <t>A 32818-2023</t>
        </is>
      </c>
      <c r="B736" s="1" t="n">
        <v>45124.55633101852</v>
      </c>
      <c r="C736" s="1" t="n">
        <v>45928</v>
      </c>
      <c r="D736" t="inlineStr">
        <is>
          <t>SÖDERMANLANDS LÄN</t>
        </is>
      </c>
      <c r="E736" t="inlineStr">
        <is>
          <t>KATRINEHOLM</t>
        </is>
      </c>
      <c r="G736" t="n">
        <v>3.4</v>
      </c>
      <c r="H736" t="n">
        <v>0</v>
      </c>
      <c r="I736" t="n">
        <v>0</v>
      </c>
      <c r="J736" t="n">
        <v>0</v>
      </c>
      <c r="K736" t="n">
        <v>0</v>
      </c>
      <c r="L736" t="n">
        <v>0</v>
      </c>
      <c r="M736" t="n">
        <v>0</v>
      </c>
      <c r="N736" t="n">
        <v>0</v>
      </c>
      <c r="O736" t="n">
        <v>0</v>
      </c>
      <c r="P736" t="n">
        <v>0</v>
      </c>
      <c r="Q736" t="n">
        <v>0</v>
      </c>
      <c r="R736" s="2" t="inlineStr"/>
    </row>
    <row r="737" ht="15" customHeight="1">
      <c r="A737" t="inlineStr">
        <is>
          <t>A 20214-2025</t>
        </is>
      </c>
      <c r="B737" s="1" t="n">
        <v>45772.63540509259</v>
      </c>
      <c r="C737" s="1" t="n">
        <v>45928</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22272-2022</t>
        </is>
      </c>
      <c r="B738" s="1" t="n">
        <v>44712</v>
      </c>
      <c r="C738" s="1" t="n">
        <v>45928</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27334-2023</t>
        </is>
      </c>
      <c r="B739" s="1" t="n">
        <v>45096</v>
      </c>
      <c r="C739" s="1" t="n">
        <v>45928</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40186-2023</t>
        </is>
      </c>
      <c r="B740" s="1" t="n">
        <v>45169</v>
      </c>
      <c r="C740" s="1" t="n">
        <v>45928</v>
      </c>
      <c r="D740" t="inlineStr">
        <is>
          <t>SÖDERMANLANDS LÄN</t>
        </is>
      </c>
      <c r="E740" t="inlineStr">
        <is>
          <t>KATRINEHOLM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47886-2023</t>
        </is>
      </c>
      <c r="B741" s="1" t="n">
        <v>45204</v>
      </c>
      <c r="C741" s="1" t="n">
        <v>45928</v>
      </c>
      <c r="D741" t="inlineStr">
        <is>
          <t>SÖDERMANLANDS LÄN</t>
        </is>
      </c>
      <c r="E741" t="inlineStr">
        <is>
          <t>KATRINEHOLM</t>
        </is>
      </c>
      <c r="G741" t="n">
        <v>22</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45928</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34539-2022</t>
        </is>
      </c>
      <c r="B743" s="1" t="n">
        <v>44793.50563657407</v>
      </c>
      <c r="C743" s="1" t="n">
        <v>45928</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41205-2021</t>
        </is>
      </c>
      <c r="B744" s="1" t="n">
        <v>44424.38577546296</v>
      </c>
      <c r="C744" s="1" t="n">
        <v>45928</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24748-2024</t>
        </is>
      </c>
      <c r="B745" s="1" t="n">
        <v>45460.66567129629</v>
      </c>
      <c r="C745" s="1" t="n">
        <v>45928</v>
      </c>
      <c r="D745" t="inlineStr">
        <is>
          <t>SÖDERMANLANDS LÄN</t>
        </is>
      </c>
      <c r="E745" t="inlineStr">
        <is>
          <t>KATRINEHOLM</t>
        </is>
      </c>
      <c r="G745" t="n">
        <v>3.3</v>
      </c>
      <c r="H745" t="n">
        <v>0</v>
      </c>
      <c r="I745" t="n">
        <v>0</v>
      </c>
      <c r="J745" t="n">
        <v>0</v>
      </c>
      <c r="K745" t="n">
        <v>0</v>
      </c>
      <c r="L745" t="n">
        <v>0</v>
      </c>
      <c r="M745" t="n">
        <v>0</v>
      </c>
      <c r="N745" t="n">
        <v>0</v>
      </c>
      <c r="O745" t="n">
        <v>0</v>
      </c>
      <c r="P745" t="n">
        <v>0</v>
      </c>
      <c r="Q745" t="n">
        <v>0</v>
      </c>
      <c r="R745" s="2" t="inlineStr"/>
    </row>
    <row r="746" ht="15" customHeight="1">
      <c r="A746" t="inlineStr">
        <is>
          <t>A 2298-2021</t>
        </is>
      </c>
      <c r="B746" s="1" t="n">
        <v>44212</v>
      </c>
      <c r="C746" s="1" t="n">
        <v>45928</v>
      </c>
      <c r="D746" t="inlineStr">
        <is>
          <t>SÖDERMANLANDS LÄN</t>
        </is>
      </c>
      <c r="E746" t="inlineStr">
        <is>
          <t>KATRINEHOLM</t>
        </is>
      </c>
      <c r="G746" t="n">
        <v>3.4</v>
      </c>
      <c r="H746" t="n">
        <v>0</v>
      </c>
      <c r="I746" t="n">
        <v>0</v>
      </c>
      <c r="J746" t="n">
        <v>0</v>
      </c>
      <c r="K746" t="n">
        <v>0</v>
      </c>
      <c r="L746" t="n">
        <v>0</v>
      </c>
      <c r="M746" t="n">
        <v>0</v>
      </c>
      <c r="N746" t="n">
        <v>0</v>
      </c>
      <c r="O746" t="n">
        <v>0</v>
      </c>
      <c r="P746" t="n">
        <v>0</v>
      </c>
      <c r="Q746" t="n">
        <v>0</v>
      </c>
      <c r="R746" s="2" t="inlineStr"/>
    </row>
    <row r="747" ht="15" customHeight="1">
      <c r="A747" t="inlineStr">
        <is>
          <t>A 40402-2022</t>
        </is>
      </c>
      <c r="B747" s="1" t="n">
        <v>44823.44353009259</v>
      </c>
      <c r="C747" s="1" t="n">
        <v>45928</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17792-2025</t>
        </is>
      </c>
      <c r="B748" s="1" t="n">
        <v>45758</v>
      </c>
      <c r="C748" s="1" t="n">
        <v>45928</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17820-2025</t>
        </is>
      </c>
      <c r="B749" s="1" t="n">
        <v>45758</v>
      </c>
      <c r="C749" s="1" t="n">
        <v>45928</v>
      </c>
      <c r="D749" t="inlineStr">
        <is>
          <t>SÖDERMANLANDS LÄN</t>
        </is>
      </c>
      <c r="E749" t="inlineStr">
        <is>
          <t>KATRINEHOLM</t>
        </is>
      </c>
      <c r="G749" t="n">
        <v>5.9</v>
      </c>
      <c r="H749" t="n">
        <v>0</v>
      </c>
      <c r="I749" t="n">
        <v>0</v>
      </c>
      <c r="J749" t="n">
        <v>0</v>
      </c>
      <c r="K749" t="n">
        <v>0</v>
      </c>
      <c r="L749" t="n">
        <v>0</v>
      </c>
      <c r="M749" t="n">
        <v>0</v>
      </c>
      <c r="N749" t="n">
        <v>0</v>
      </c>
      <c r="O749" t="n">
        <v>0</v>
      </c>
      <c r="P749" t="n">
        <v>0</v>
      </c>
      <c r="Q749" t="n">
        <v>0</v>
      </c>
      <c r="R749" s="2" t="inlineStr"/>
    </row>
    <row r="750" ht="15" customHeight="1">
      <c r="A750" t="inlineStr">
        <is>
          <t>A 30387-2022</t>
        </is>
      </c>
      <c r="B750" s="1" t="n">
        <v>44760</v>
      </c>
      <c r="C750" s="1" t="n">
        <v>45928</v>
      </c>
      <c r="D750" t="inlineStr">
        <is>
          <t>SÖDERMANLANDS LÄN</t>
        </is>
      </c>
      <c r="E750" t="inlineStr">
        <is>
          <t>KATRINEHOLM</t>
        </is>
      </c>
      <c r="G750" t="n">
        <v>1.9</v>
      </c>
      <c r="H750" t="n">
        <v>0</v>
      </c>
      <c r="I750" t="n">
        <v>0</v>
      </c>
      <c r="J750" t="n">
        <v>0</v>
      </c>
      <c r="K750" t="n">
        <v>0</v>
      </c>
      <c r="L750" t="n">
        <v>0</v>
      </c>
      <c r="M750" t="n">
        <v>0</v>
      </c>
      <c r="N750" t="n">
        <v>0</v>
      </c>
      <c r="O750" t="n">
        <v>0</v>
      </c>
      <c r="P750" t="n">
        <v>0</v>
      </c>
      <c r="Q750" t="n">
        <v>0</v>
      </c>
      <c r="R750" s="2" t="inlineStr"/>
    </row>
    <row r="751" ht="15" customHeight="1">
      <c r="A751" t="inlineStr">
        <is>
          <t>A 39052-2023</t>
        </is>
      </c>
      <c r="B751" s="1" t="n">
        <v>45163</v>
      </c>
      <c r="C751" s="1" t="n">
        <v>45928</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8922-2024</t>
        </is>
      </c>
      <c r="B752" s="1" t="n">
        <v>45357.38601851852</v>
      </c>
      <c r="C752" s="1" t="n">
        <v>45928</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48160-2022</t>
        </is>
      </c>
      <c r="B753" s="1" t="n">
        <v>44853</v>
      </c>
      <c r="C753" s="1" t="n">
        <v>45928</v>
      </c>
      <c r="D753" t="inlineStr">
        <is>
          <t>SÖDERMANLANDS LÄN</t>
        </is>
      </c>
      <c r="E753" t="inlineStr">
        <is>
          <t>KATRINEHOLM</t>
        </is>
      </c>
      <c r="F753" t="inlineStr">
        <is>
          <t>Övriga statliga verk och myndigheter</t>
        </is>
      </c>
      <c r="G753" t="n">
        <v>2.2</v>
      </c>
      <c r="H753" t="n">
        <v>0</v>
      </c>
      <c r="I753" t="n">
        <v>0</v>
      </c>
      <c r="J753" t="n">
        <v>0</v>
      </c>
      <c r="K753" t="n">
        <v>0</v>
      </c>
      <c r="L753" t="n">
        <v>0</v>
      </c>
      <c r="M753" t="n">
        <v>0</v>
      </c>
      <c r="N753" t="n">
        <v>0</v>
      </c>
      <c r="O753" t="n">
        <v>0</v>
      </c>
      <c r="P753" t="n">
        <v>0</v>
      </c>
      <c r="Q753" t="n">
        <v>0</v>
      </c>
      <c r="R753" s="2" t="inlineStr"/>
    </row>
    <row r="754" ht="15" customHeight="1">
      <c r="A754" t="inlineStr">
        <is>
          <t>A 28317-2024</t>
        </is>
      </c>
      <c r="B754" s="1" t="n">
        <v>45477</v>
      </c>
      <c r="C754" s="1" t="n">
        <v>45928</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66393-2021</t>
        </is>
      </c>
      <c r="B755" s="1" t="n">
        <v>44518</v>
      </c>
      <c r="C755" s="1" t="n">
        <v>45928</v>
      </c>
      <c r="D755" t="inlineStr">
        <is>
          <t>SÖDERMANLANDS LÄN</t>
        </is>
      </c>
      <c r="E755" t="inlineStr">
        <is>
          <t>KATRINEHOLM</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47134-2022</t>
        </is>
      </c>
      <c r="B756" s="1" t="n">
        <v>44851</v>
      </c>
      <c r="C756" s="1" t="n">
        <v>45928</v>
      </c>
      <c r="D756" t="inlineStr">
        <is>
          <t>SÖDERMANLANDS LÄN</t>
        </is>
      </c>
      <c r="E756" t="inlineStr">
        <is>
          <t>KATRINEHOLM</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1143-2024</t>
        </is>
      </c>
      <c r="B757" s="1" t="n">
        <v>45302</v>
      </c>
      <c r="C757" s="1" t="n">
        <v>45928</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3982-2024</t>
        </is>
      </c>
      <c r="B758" s="1" t="n">
        <v>45322</v>
      </c>
      <c r="C758" s="1" t="n">
        <v>45928</v>
      </c>
      <c r="D758" t="inlineStr">
        <is>
          <t>SÖDERMANLANDS LÄN</t>
        </is>
      </c>
      <c r="E758" t="inlineStr">
        <is>
          <t>KATRINEHOLM</t>
        </is>
      </c>
      <c r="G758" t="n">
        <v>3.7</v>
      </c>
      <c r="H758" t="n">
        <v>0</v>
      </c>
      <c r="I758" t="n">
        <v>0</v>
      </c>
      <c r="J758" t="n">
        <v>0</v>
      </c>
      <c r="K758" t="n">
        <v>0</v>
      </c>
      <c r="L758" t="n">
        <v>0</v>
      </c>
      <c r="M758" t="n">
        <v>0</v>
      </c>
      <c r="N758" t="n">
        <v>0</v>
      </c>
      <c r="O758" t="n">
        <v>0</v>
      </c>
      <c r="P758" t="n">
        <v>0</v>
      </c>
      <c r="Q758" t="n">
        <v>0</v>
      </c>
      <c r="R758" s="2" t="inlineStr"/>
    </row>
    <row r="759" ht="15" customHeight="1">
      <c r="A759" t="inlineStr">
        <is>
          <t>A 57263-2022</t>
        </is>
      </c>
      <c r="B759" s="1" t="n">
        <v>44895</v>
      </c>
      <c r="C759" s="1" t="n">
        <v>45928</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28427-2024</t>
        </is>
      </c>
      <c r="B760" s="1" t="n">
        <v>45477.64910879629</v>
      </c>
      <c r="C760" s="1" t="n">
        <v>45928</v>
      </c>
      <c r="D760" t="inlineStr">
        <is>
          <t>SÖDERMANLANDS LÄN</t>
        </is>
      </c>
      <c r="E760" t="inlineStr">
        <is>
          <t>KATRINEHOLM</t>
        </is>
      </c>
      <c r="G760" t="n">
        <v>5.9</v>
      </c>
      <c r="H760" t="n">
        <v>0</v>
      </c>
      <c r="I760" t="n">
        <v>0</v>
      </c>
      <c r="J760" t="n">
        <v>0</v>
      </c>
      <c r="K760" t="n">
        <v>0</v>
      </c>
      <c r="L760" t="n">
        <v>0</v>
      </c>
      <c r="M760" t="n">
        <v>0</v>
      </c>
      <c r="N760" t="n">
        <v>0</v>
      </c>
      <c r="O760" t="n">
        <v>0</v>
      </c>
      <c r="P760" t="n">
        <v>0</v>
      </c>
      <c r="Q760" t="n">
        <v>0</v>
      </c>
      <c r="R760" s="2" t="inlineStr"/>
    </row>
    <row r="761" ht="15" customHeight="1">
      <c r="A761" t="inlineStr">
        <is>
          <t>A 28431-2024</t>
        </is>
      </c>
      <c r="B761" s="1" t="n">
        <v>45477.65216435185</v>
      </c>
      <c r="C761" s="1" t="n">
        <v>45928</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62418-2023</t>
        </is>
      </c>
      <c r="B762" s="1" t="n">
        <v>45268</v>
      </c>
      <c r="C762" s="1" t="n">
        <v>45928</v>
      </c>
      <c r="D762" t="inlineStr">
        <is>
          <t>SÖDERMANLANDS LÄN</t>
        </is>
      </c>
      <c r="E762" t="inlineStr">
        <is>
          <t>KATRINEHOLM</t>
        </is>
      </c>
      <c r="G762" t="n">
        <v>3</v>
      </c>
      <c r="H762" t="n">
        <v>0</v>
      </c>
      <c r="I762" t="n">
        <v>0</v>
      </c>
      <c r="J762" t="n">
        <v>0</v>
      </c>
      <c r="K762" t="n">
        <v>0</v>
      </c>
      <c r="L762" t="n">
        <v>0</v>
      </c>
      <c r="M762" t="n">
        <v>0</v>
      </c>
      <c r="N762" t="n">
        <v>0</v>
      </c>
      <c r="O762" t="n">
        <v>0</v>
      </c>
      <c r="P762" t="n">
        <v>0</v>
      </c>
      <c r="Q762" t="n">
        <v>0</v>
      </c>
      <c r="R762" s="2" t="inlineStr"/>
    </row>
    <row r="763" ht="15" customHeight="1">
      <c r="A763" t="inlineStr">
        <is>
          <t>A 45142-2021</t>
        </is>
      </c>
      <c r="B763" s="1" t="n">
        <v>44439</v>
      </c>
      <c r="C763" s="1" t="n">
        <v>45928</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7191-2023</t>
        </is>
      </c>
      <c r="B764" s="1" t="n">
        <v>44965</v>
      </c>
      <c r="C764" s="1" t="n">
        <v>45928</v>
      </c>
      <c r="D764" t="inlineStr">
        <is>
          <t>SÖDERMANLANDS LÄN</t>
        </is>
      </c>
      <c r="E764" t="inlineStr">
        <is>
          <t>KATRINEHOLM</t>
        </is>
      </c>
      <c r="G764" t="n">
        <v>14.1</v>
      </c>
      <c r="H764" t="n">
        <v>0</v>
      </c>
      <c r="I764" t="n">
        <v>0</v>
      </c>
      <c r="J764" t="n">
        <v>0</v>
      </c>
      <c r="K764" t="n">
        <v>0</v>
      </c>
      <c r="L764" t="n">
        <v>0</v>
      </c>
      <c r="M764" t="n">
        <v>0</v>
      </c>
      <c r="N764" t="n">
        <v>0</v>
      </c>
      <c r="O764" t="n">
        <v>0</v>
      </c>
      <c r="P764" t="n">
        <v>0</v>
      </c>
      <c r="Q764" t="n">
        <v>0</v>
      </c>
      <c r="R764" s="2" t="inlineStr"/>
    </row>
    <row r="765" ht="15" customHeight="1">
      <c r="A765" t="inlineStr">
        <is>
          <t>A 66540-2021</t>
        </is>
      </c>
      <c r="B765" s="1" t="n">
        <v>44519</v>
      </c>
      <c r="C765" s="1" t="n">
        <v>45928</v>
      </c>
      <c r="D765" t="inlineStr">
        <is>
          <t>SÖDERMANLANDS LÄN</t>
        </is>
      </c>
      <c r="E765" t="inlineStr">
        <is>
          <t>KATRINEHOLM</t>
        </is>
      </c>
      <c r="F765" t="inlineStr">
        <is>
          <t>Holmen skog AB</t>
        </is>
      </c>
      <c r="G765" t="n">
        <v>0.4</v>
      </c>
      <c r="H765" t="n">
        <v>0</v>
      </c>
      <c r="I765" t="n">
        <v>0</v>
      </c>
      <c r="J765" t="n">
        <v>0</v>
      </c>
      <c r="K765" t="n">
        <v>0</v>
      </c>
      <c r="L765" t="n">
        <v>0</v>
      </c>
      <c r="M765" t="n">
        <v>0</v>
      </c>
      <c r="N765" t="n">
        <v>0</v>
      </c>
      <c r="O765" t="n">
        <v>0</v>
      </c>
      <c r="P765" t="n">
        <v>0</v>
      </c>
      <c r="Q765" t="n">
        <v>0</v>
      </c>
      <c r="R765" s="2" t="inlineStr"/>
    </row>
    <row r="766" ht="15" customHeight="1">
      <c r="A766" t="inlineStr">
        <is>
          <t>A 8394-2024</t>
        </is>
      </c>
      <c r="B766" s="1" t="n">
        <v>45352</v>
      </c>
      <c r="C766" s="1" t="n">
        <v>45928</v>
      </c>
      <c r="D766" t="inlineStr">
        <is>
          <t>SÖDERMANLANDS LÄN</t>
        </is>
      </c>
      <c r="E766" t="inlineStr">
        <is>
          <t>KATRINEHOLM</t>
        </is>
      </c>
      <c r="G766" t="n">
        <v>4</v>
      </c>
      <c r="H766" t="n">
        <v>0</v>
      </c>
      <c r="I766" t="n">
        <v>0</v>
      </c>
      <c r="J766" t="n">
        <v>0</v>
      </c>
      <c r="K766" t="n">
        <v>0</v>
      </c>
      <c r="L766" t="n">
        <v>0</v>
      </c>
      <c r="M766" t="n">
        <v>0</v>
      </c>
      <c r="N766" t="n">
        <v>0</v>
      </c>
      <c r="O766" t="n">
        <v>0</v>
      </c>
      <c r="P766" t="n">
        <v>0</v>
      </c>
      <c r="Q766" t="n">
        <v>0</v>
      </c>
      <c r="R766" s="2" t="inlineStr"/>
    </row>
    <row r="767" ht="15" customHeight="1">
      <c r="A767" t="inlineStr">
        <is>
          <t>A 13658-2023</t>
        </is>
      </c>
      <c r="B767" s="1" t="n">
        <v>45006</v>
      </c>
      <c r="C767" s="1" t="n">
        <v>45928</v>
      </c>
      <c r="D767" t="inlineStr">
        <is>
          <t>SÖDERMANLANDS LÄN</t>
        </is>
      </c>
      <c r="E767" t="inlineStr">
        <is>
          <t>KATRINEHOLM</t>
        </is>
      </c>
      <c r="F767" t="inlineStr">
        <is>
          <t>Kyrkan</t>
        </is>
      </c>
      <c r="G767" t="n">
        <v>24.3</v>
      </c>
      <c r="H767" t="n">
        <v>0</v>
      </c>
      <c r="I767" t="n">
        <v>0</v>
      </c>
      <c r="J767" t="n">
        <v>0</v>
      </c>
      <c r="K767" t="n">
        <v>0</v>
      </c>
      <c r="L767" t="n">
        <v>0</v>
      </c>
      <c r="M767" t="n">
        <v>0</v>
      </c>
      <c r="N767" t="n">
        <v>0</v>
      </c>
      <c r="O767" t="n">
        <v>0</v>
      </c>
      <c r="P767" t="n">
        <v>0</v>
      </c>
      <c r="Q767" t="n">
        <v>0</v>
      </c>
      <c r="R767" s="2" t="inlineStr"/>
    </row>
    <row r="768" ht="15" customHeight="1">
      <c r="A768" t="inlineStr">
        <is>
          <t>A 61385-2023</t>
        </is>
      </c>
      <c r="B768" s="1" t="n">
        <v>45264.64241898148</v>
      </c>
      <c r="C768" s="1" t="n">
        <v>45928</v>
      </c>
      <c r="D768" t="inlineStr">
        <is>
          <t>SÖDERMANLANDS LÄN</t>
        </is>
      </c>
      <c r="E768" t="inlineStr">
        <is>
          <t>KATRINEHOLM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55825-2022</t>
        </is>
      </c>
      <c r="B769" s="1" t="n">
        <v>44886</v>
      </c>
      <c r="C769" s="1" t="n">
        <v>45928</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55856-2022</t>
        </is>
      </c>
      <c r="B770" s="1" t="n">
        <v>44888</v>
      </c>
      <c r="C770" s="1" t="n">
        <v>45928</v>
      </c>
      <c r="D770" t="inlineStr">
        <is>
          <t>SÖDERMANLANDS LÄN</t>
        </is>
      </c>
      <c r="E770" t="inlineStr">
        <is>
          <t>KATRINEHOLM</t>
        </is>
      </c>
      <c r="G770" t="n">
        <v>5.6</v>
      </c>
      <c r="H770" t="n">
        <v>0</v>
      </c>
      <c r="I770" t="n">
        <v>0</v>
      </c>
      <c r="J770" t="n">
        <v>0</v>
      </c>
      <c r="K770" t="n">
        <v>0</v>
      </c>
      <c r="L770" t="n">
        <v>0</v>
      </c>
      <c r="M770" t="n">
        <v>0</v>
      </c>
      <c r="N770" t="n">
        <v>0</v>
      </c>
      <c r="O770" t="n">
        <v>0</v>
      </c>
      <c r="P770" t="n">
        <v>0</v>
      </c>
      <c r="Q770" t="n">
        <v>0</v>
      </c>
      <c r="R770" s="2" t="inlineStr"/>
    </row>
    <row r="771" ht="15" customHeight="1">
      <c r="A771" t="inlineStr">
        <is>
          <t>A 43513-2023</t>
        </is>
      </c>
      <c r="B771" s="1" t="n">
        <v>45184</v>
      </c>
      <c r="C771" s="1" t="n">
        <v>45928</v>
      </c>
      <c r="D771" t="inlineStr">
        <is>
          <t>SÖDERMANLANDS LÄN</t>
        </is>
      </c>
      <c r="E771" t="inlineStr">
        <is>
          <t>KATRINEHOLM</t>
        </is>
      </c>
      <c r="G771" t="n">
        <v>3.8</v>
      </c>
      <c r="H771" t="n">
        <v>0</v>
      </c>
      <c r="I771" t="n">
        <v>0</v>
      </c>
      <c r="J771" t="n">
        <v>0</v>
      </c>
      <c r="K771" t="n">
        <v>0</v>
      </c>
      <c r="L771" t="n">
        <v>0</v>
      </c>
      <c r="M771" t="n">
        <v>0</v>
      </c>
      <c r="N771" t="n">
        <v>0</v>
      </c>
      <c r="O771" t="n">
        <v>0</v>
      </c>
      <c r="P771" t="n">
        <v>0</v>
      </c>
      <c r="Q771" t="n">
        <v>0</v>
      </c>
      <c r="R771" s="2" t="inlineStr"/>
    </row>
    <row r="772" ht="15" customHeight="1">
      <c r="A772" t="inlineStr">
        <is>
          <t>A 8951-2024</t>
        </is>
      </c>
      <c r="B772" s="1" t="n">
        <v>45357.44695601852</v>
      </c>
      <c r="C772" s="1" t="n">
        <v>45928</v>
      </c>
      <c r="D772" t="inlineStr">
        <is>
          <t>SÖDERMANLANDS LÄN</t>
        </is>
      </c>
      <c r="E772" t="inlineStr">
        <is>
          <t>KATRINEHOLM</t>
        </is>
      </c>
      <c r="G772" t="n">
        <v>3.3</v>
      </c>
      <c r="H772" t="n">
        <v>0</v>
      </c>
      <c r="I772" t="n">
        <v>0</v>
      </c>
      <c r="J772" t="n">
        <v>0</v>
      </c>
      <c r="K772" t="n">
        <v>0</v>
      </c>
      <c r="L772" t="n">
        <v>0</v>
      </c>
      <c r="M772" t="n">
        <v>0</v>
      </c>
      <c r="N772" t="n">
        <v>0</v>
      </c>
      <c r="O772" t="n">
        <v>0</v>
      </c>
      <c r="P772" t="n">
        <v>0</v>
      </c>
      <c r="Q772" t="n">
        <v>0</v>
      </c>
      <c r="R772" s="2" t="inlineStr"/>
    </row>
    <row r="773" ht="15" customHeight="1">
      <c r="A773" t="inlineStr">
        <is>
          <t>A 8955-2024</t>
        </is>
      </c>
      <c r="B773" s="1" t="n">
        <v>45357.44873842593</v>
      </c>
      <c r="C773" s="1" t="n">
        <v>45928</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c r="A774" t="inlineStr">
        <is>
          <t>A 15945-2024</t>
        </is>
      </c>
      <c r="B774" s="1" t="n">
        <v>45405.48912037037</v>
      </c>
      <c r="C774" s="1" t="n">
        <v>45928</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2025-09-28T12:14:23Z</dcterms:created>
  <dcterms:modified xmlns:dcterms="http://purl.org/dc/terms/" xmlns:xsi="http://www.w3.org/2001/XMLSchema-instance" xsi:type="dcterms:W3CDTF">2025-09-28T12:14:24Z</dcterms:modified>
</cp:coreProperties>
</file>