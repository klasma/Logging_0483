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45663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45663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45663</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45663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45663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45663</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45663</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45663</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45663</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45663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45663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45663</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45663</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45663</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45663</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45663</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45663</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45663</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45663</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45663</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45663</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45663</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45663</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45663</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45663</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45663</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45663</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45663</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21540-2019</t>
        </is>
      </c>
      <c r="B30" s="1" t="n">
        <v>43580</v>
      </c>
      <c r="C30" s="1" t="n">
        <v>45663</v>
      </c>
      <c r="D30" t="inlineStr">
        <is>
          <t>SÖDERMANLANDS LÄN</t>
        </is>
      </c>
      <c r="E30" t="inlineStr">
        <is>
          <t>KATRINEHOLM</t>
        </is>
      </c>
      <c r="F30" t="inlineStr">
        <is>
          <t>Kommuner</t>
        </is>
      </c>
      <c r="G30" t="n">
        <v>2.8</v>
      </c>
      <c r="H30" t="n">
        <v>0</v>
      </c>
      <c r="I30" t="n">
        <v>0</v>
      </c>
      <c r="J30" t="n">
        <v>2</v>
      </c>
      <c r="K30" t="n">
        <v>0</v>
      </c>
      <c r="L30" t="n">
        <v>0</v>
      </c>
      <c r="M30" t="n">
        <v>0</v>
      </c>
      <c r="N30" t="n">
        <v>0</v>
      </c>
      <c r="O30" t="n">
        <v>2</v>
      </c>
      <c r="P30" t="n">
        <v>0</v>
      </c>
      <c r="Q30" t="n">
        <v>2</v>
      </c>
      <c r="R30" s="2" t="inlineStr">
        <is>
          <t>Svedjenäva
Svinrot</t>
        </is>
      </c>
      <c r="S30">
        <f>HYPERLINK("https://klasma.github.io/Logging_0483/artfynd/A 21540-2019 artfynd.xlsx", "A 21540-2019")</f>
        <v/>
      </c>
      <c r="T30">
        <f>HYPERLINK("https://klasma.github.io/Logging_0483/kartor/A 21540-2019 karta.png", "A 21540-2019")</f>
        <v/>
      </c>
      <c r="V30">
        <f>HYPERLINK("https://klasma.github.io/Logging_0483/klagomål/A 21540-2019 FSC-klagomål.docx", "A 21540-2019")</f>
        <v/>
      </c>
      <c r="W30">
        <f>HYPERLINK("https://klasma.github.io/Logging_0483/klagomålsmail/A 21540-2019 FSC-klagomål mail.docx", "A 21540-2019")</f>
        <v/>
      </c>
      <c r="X30">
        <f>HYPERLINK("https://klasma.github.io/Logging_0483/tillsyn/A 21540-2019 tillsynsbegäran.docx", "A 21540-2019")</f>
        <v/>
      </c>
      <c r="Y30">
        <f>HYPERLINK("https://klasma.github.io/Logging_0483/tillsynsmail/A 21540-2019 tillsynsbegäran mail.docx", "A 21540-2019")</f>
        <v/>
      </c>
    </row>
    <row r="31" ht="15" customHeight="1">
      <c r="A31" t="inlineStr">
        <is>
          <t>A 40257-2020</t>
        </is>
      </c>
      <c r="B31" s="1" t="n">
        <v>44068</v>
      </c>
      <c r="C31" s="1" t="n">
        <v>45663</v>
      </c>
      <c r="D31" t="inlineStr">
        <is>
          <t>SÖDERMANLANDS LÄN</t>
        </is>
      </c>
      <c r="E31" t="inlineStr">
        <is>
          <t>KATRINEHOLM</t>
        </is>
      </c>
      <c r="F31" t="inlineStr">
        <is>
          <t>Kommuner</t>
        </is>
      </c>
      <c r="G31" t="n">
        <v>3.6</v>
      </c>
      <c r="H31" t="n">
        <v>0</v>
      </c>
      <c r="I31" t="n">
        <v>2</v>
      </c>
      <c r="J31" t="n">
        <v>0</v>
      </c>
      <c r="K31" t="n">
        <v>0</v>
      </c>
      <c r="L31" t="n">
        <v>0</v>
      </c>
      <c r="M31" t="n">
        <v>0</v>
      </c>
      <c r="N31" t="n">
        <v>0</v>
      </c>
      <c r="O31" t="n">
        <v>0</v>
      </c>
      <c r="P31" t="n">
        <v>0</v>
      </c>
      <c r="Q31" t="n">
        <v>2</v>
      </c>
      <c r="R31" s="2" t="inlineStr">
        <is>
          <t>Mindre märgborre
Smal svampklubba</t>
        </is>
      </c>
      <c r="S31">
        <f>HYPERLINK("https://klasma.github.io/Logging_0483/artfynd/A 40257-2020 artfynd.xlsx", "A 40257-2020")</f>
        <v/>
      </c>
      <c r="T31">
        <f>HYPERLINK("https://klasma.github.io/Logging_0483/kartor/A 40257-2020 karta.png", "A 40257-2020")</f>
        <v/>
      </c>
      <c r="U31">
        <f>HYPERLINK("https://klasma.github.io/Logging_0483/knärot/A 40257-2020 karta knärot.png", "A 40257-2020")</f>
        <v/>
      </c>
      <c r="V31">
        <f>HYPERLINK("https://klasma.github.io/Logging_0483/klagomål/A 40257-2020 FSC-klagomål.docx", "A 40257-2020")</f>
        <v/>
      </c>
      <c r="W31">
        <f>HYPERLINK("https://klasma.github.io/Logging_0483/klagomålsmail/A 40257-2020 FSC-klagomål mail.docx", "A 40257-2020")</f>
        <v/>
      </c>
      <c r="X31">
        <f>HYPERLINK("https://klasma.github.io/Logging_0483/tillsyn/A 40257-2020 tillsynsbegäran.docx", "A 40257-2020")</f>
        <v/>
      </c>
      <c r="Y31">
        <f>HYPERLINK("https://klasma.github.io/Logging_0483/tillsynsmail/A 40257-2020 tillsynsbegäran mail.docx", "A 40257-2020")</f>
        <v/>
      </c>
    </row>
    <row r="32" ht="15" customHeight="1">
      <c r="A32" t="inlineStr">
        <is>
          <t>A 65111-2020</t>
        </is>
      </c>
      <c r="B32" s="1" t="n">
        <v>44168</v>
      </c>
      <c r="C32" s="1" t="n">
        <v>45663</v>
      </c>
      <c r="D32" t="inlineStr">
        <is>
          <t>SÖDERMANLANDS LÄN</t>
        </is>
      </c>
      <c r="E32" t="inlineStr">
        <is>
          <t>KATRINEHOLM</t>
        </is>
      </c>
      <c r="G32" t="n">
        <v>2</v>
      </c>
      <c r="H32" t="n">
        <v>2</v>
      </c>
      <c r="I32" t="n">
        <v>0</v>
      </c>
      <c r="J32" t="n">
        <v>1</v>
      </c>
      <c r="K32" t="n">
        <v>0</v>
      </c>
      <c r="L32" t="n">
        <v>0</v>
      </c>
      <c r="M32" t="n">
        <v>0</v>
      </c>
      <c r="N32" t="n">
        <v>0</v>
      </c>
      <c r="O32" t="n">
        <v>1</v>
      </c>
      <c r="P32" t="n">
        <v>0</v>
      </c>
      <c r="Q32" t="n">
        <v>2</v>
      </c>
      <c r="R32" s="2" t="inlineStr">
        <is>
          <t>Spillkråka
Blåsippa</t>
        </is>
      </c>
      <c r="S32">
        <f>HYPERLINK("https://klasma.github.io/Logging_0483/artfynd/A 65111-2020 artfynd.xlsx", "A 65111-2020")</f>
        <v/>
      </c>
      <c r="T32">
        <f>HYPERLINK("https://klasma.github.io/Logging_0483/kartor/A 65111-2020 karta.png", "A 65111-2020")</f>
        <v/>
      </c>
      <c r="V32">
        <f>HYPERLINK("https://klasma.github.io/Logging_0483/klagomål/A 65111-2020 FSC-klagomål.docx", "A 65111-2020")</f>
        <v/>
      </c>
      <c r="W32">
        <f>HYPERLINK("https://klasma.github.io/Logging_0483/klagomålsmail/A 65111-2020 FSC-klagomål mail.docx", "A 65111-2020")</f>
        <v/>
      </c>
      <c r="X32">
        <f>HYPERLINK("https://klasma.github.io/Logging_0483/tillsyn/A 65111-2020 tillsynsbegäran.docx", "A 65111-2020")</f>
        <v/>
      </c>
      <c r="Y32">
        <f>HYPERLINK("https://klasma.github.io/Logging_0483/tillsynsmail/A 65111-2020 tillsynsbegäran mail.docx", "A 65111-2020")</f>
        <v/>
      </c>
      <c r="Z32">
        <f>HYPERLINK("https://klasma.github.io/Logging_0483/fåglar/A 65111-2020 prioriterade fågelarter.docx", "A 65111-2020")</f>
        <v/>
      </c>
    </row>
    <row r="33" ht="15" customHeight="1">
      <c r="A33" t="inlineStr">
        <is>
          <t>A 56897-2021</t>
        </is>
      </c>
      <c r="B33" s="1" t="n">
        <v>44481</v>
      </c>
      <c r="C33" s="1" t="n">
        <v>45663</v>
      </c>
      <c r="D33" t="inlineStr">
        <is>
          <t>SÖDERMANLANDS LÄN</t>
        </is>
      </c>
      <c r="E33" t="inlineStr">
        <is>
          <t>KATRINEHOLM</t>
        </is>
      </c>
      <c r="F33" t="inlineStr">
        <is>
          <t>Kommuner</t>
        </is>
      </c>
      <c r="G33" t="n">
        <v>9.4</v>
      </c>
      <c r="H33" t="n">
        <v>2</v>
      </c>
      <c r="I33" t="n">
        <v>0</v>
      </c>
      <c r="J33" t="n">
        <v>0</v>
      </c>
      <c r="K33" t="n">
        <v>0</v>
      </c>
      <c r="L33" t="n">
        <v>0</v>
      </c>
      <c r="M33" t="n">
        <v>0</v>
      </c>
      <c r="N33" t="n">
        <v>0</v>
      </c>
      <c r="O33" t="n">
        <v>0</v>
      </c>
      <c r="P33" t="n">
        <v>0</v>
      </c>
      <c r="Q33" t="n">
        <v>2</v>
      </c>
      <c r="R33" s="2" t="inlineStr">
        <is>
          <t>Hökuggla
Blåsippa</t>
        </is>
      </c>
      <c r="S33">
        <f>HYPERLINK("https://klasma.github.io/Logging_0483/artfynd/A 56897-2021 artfynd.xlsx", "A 56897-2021")</f>
        <v/>
      </c>
      <c r="T33">
        <f>HYPERLINK("https://klasma.github.io/Logging_0483/kartor/A 56897-2021 karta.png", "A 56897-2021")</f>
        <v/>
      </c>
      <c r="V33">
        <f>HYPERLINK("https://klasma.github.io/Logging_0483/klagomål/A 56897-2021 FSC-klagomål.docx", "A 56897-2021")</f>
        <v/>
      </c>
      <c r="W33">
        <f>HYPERLINK("https://klasma.github.io/Logging_0483/klagomålsmail/A 56897-2021 FSC-klagomål mail.docx", "A 56897-2021")</f>
        <v/>
      </c>
      <c r="X33">
        <f>HYPERLINK("https://klasma.github.io/Logging_0483/tillsyn/A 56897-2021 tillsynsbegäran.docx", "A 56897-2021")</f>
        <v/>
      </c>
      <c r="Y33">
        <f>HYPERLINK("https://klasma.github.io/Logging_0483/tillsynsmail/A 56897-2021 tillsynsbegäran mail.docx", "A 56897-2021")</f>
        <v/>
      </c>
      <c r="Z33">
        <f>HYPERLINK("https://klasma.github.io/Logging_0483/fåglar/A 56897-2021 prioriterade fågelarter.docx", "A 56897-2021")</f>
        <v/>
      </c>
    </row>
    <row r="34" ht="15" customHeight="1">
      <c r="A34" t="inlineStr">
        <is>
          <t>A 61384-2021</t>
        </is>
      </c>
      <c r="B34" s="1" t="n">
        <v>44500</v>
      </c>
      <c r="C34" s="1" t="n">
        <v>45663</v>
      </c>
      <c r="D34" t="inlineStr">
        <is>
          <t>SÖDERMANLANDS LÄN</t>
        </is>
      </c>
      <c r="E34" t="inlineStr">
        <is>
          <t>KATRINEHOLM</t>
        </is>
      </c>
      <c r="G34" t="n">
        <v>5</v>
      </c>
      <c r="H34" t="n">
        <v>1</v>
      </c>
      <c r="I34" t="n">
        <v>0</v>
      </c>
      <c r="J34" t="n">
        <v>1</v>
      </c>
      <c r="K34" t="n">
        <v>1</v>
      </c>
      <c r="L34" t="n">
        <v>0</v>
      </c>
      <c r="M34" t="n">
        <v>0</v>
      </c>
      <c r="N34" t="n">
        <v>0</v>
      </c>
      <c r="O34" t="n">
        <v>2</v>
      </c>
      <c r="P34" t="n">
        <v>1</v>
      </c>
      <c r="Q34" t="n">
        <v>2</v>
      </c>
      <c r="R34" s="2" t="inlineStr">
        <is>
          <t>Knärot
Kungsspindling</t>
        </is>
      </c>
      <c r="S34">
        <f>HYPERLINK("https://klasma.github.io/Logging_0483/artfynd/A 61384-2021 artfynd.xlsx", "A 61384-2021")</f>
        <v/>
      </c>
      <c r="T34">
        <f>HYPERLINK("https://klasma.github.io/Logging_0483/kartor/A 61384-2021 karta.png", "A 61384-2021")</f>
        <v/>
      </c>
      <c r="U34">
        <f>HYPERLINK("https://klasma.github.io/Logging_0483/knärot/A 61384-2021 karta knärot.png", "A 61384-2021")</f>
        <v/>
      </c>
      <c r="V34">
        <f>HYPERLINK("https://klasma.github.io/Logging_0483/klagomål/A 61384-2021 FSC-klagomål.docx", "A 61384-2021")</f>
        <v/>
      </c>
      <c r="W34">
        <f>HYPERLINK("https://klasma.github.io/Logging_0483/klagomålsmail/A 61384-2021 FSC-klagomål mail.docx", "A 61384-2021")</f>
        <v/>
      </c>
      <c r="X34">
        <f>HYPERLINK("https://klasma.github.io/Logging_0483/tillsyn/A 61384-2021 tillsynsbegäran.docx", "A 61384-2021")</f>
        <v/>
      </c>
      <c r="Y34">
        <f>HYPERLINK("https://klasma.github.io/Logging_0483/tillsynsmail/A 61384-2021 tillsynsbegäran mail.docx", "A 61384-2021")</f>
        <v/>
      </c>
    </row>
    <row r="35" ht="15" customHeight="1">
      <c r="A35" t="inlineStr">
        <is>
          <t>A 70501-2021</t>
        </is>
      </c>
      <c r="B35" s="1" t="n">
        <v>44536</v>
      </c>
      <c r="C35" s="1" t="n">
        <v>45663</v>
      </c>
      <c r="D35" t="inlineStr">
        <is>
          <t>SÖDERMANLANDS LÄN</t>
        </is>
      </c>
      <c r="E35" t="inlineStr">
        <is>
          <t>KATRINEHOLM</t>
        </is>
      </c>
      <c r="G35" t="n">
        <v>5.8</v>
      </c>
      <c r="H35" t="n">
        <v>0</v>
      </c>
      <c r="I35" t="n">
        <v>1</v>
      </c>
      <c r="J35" t="n">
        <v>1</v>
      </c>
      <c r="K35" t="n">
        <v>0</v>
      </c>
      <c r="L35" t="n">
        <v>0</v>
      </c>
      <c r="M35" t="n">
        <v>0</v>
      </c>
      <c r="N35" t="n">
        <v>0</v>
      </c>
      <c r="O35" t="n">
        <v>1</v>
      </c>
      <c r="P35" t="n">
        <v>0</v>
      </c>
      <c r="Q35" t="n">
        <v>2</v>
      </c>
      <c r="R35" s="2" t="inlineStr">
        <is>
          <t>Tallticka
Grovticka</t>
        </is>
      </c>
      <c r="S35">
        <f>HYPERLINK("https://klasma.github.io/Logging_0483/artfynd/A 70501-2021 artfynd.xlsx", "A 70501-2021")</f>
        <v/>
      </c>
      <c r="T35">
        <f>HYPERLINK("https://klasma.github.io/Logging_0483/kartor/A 70501-2021 karta.png", "A 70501-2021")</f>
        <v/>
      </c>
      <c r="V35">
        <f>HYPERLINK("https://klasma.github.io/Logging_0483/klagomål/A 70501-2021 FSC-klagomål.docx", "A 70501-2021")</f>
        <v/>
      </c>
      <c r="W35">
        <f>HYPERLINK("https://klasma.github.io/Logging_0483/klagomålsmail/A 70501-2021 FSC-klagomål mail.docx", "A 70501-2021")</f>
        <v/>
      </c>
      <c r="X35">
        <f>HYPERLINK("https://klasma.github.io/Logging_0483/tillsyn/A 70501-2021 tillsynsbegäran.docx", "A 70501-2021")</f>
        <v/>
      </c>
      <c r="Y35">
        <f>HYPERLINK("https://klasma.github.io/Logging_0483/tillsynsmail/A 70501-2021 tillsynsbegäran mail.docx", "A 70501-2021")</f>
        <v/>
      </c>
    </row>
    <row r="36" ht="15" customHeight="1">
      <c r="A36" t="inlineStr">
        <is>
          <t>A 37537-2022</t>
        </is>
      </c>
      <c r="B36" s="1" t="n">
        <v>44809</v>
      </c>
      <c r="C36" s="1" t="n">
        <v>45663</v>
      </c>
      <c r="D36" t="inlineStr">
        <is>
          <t>SÖDERMANLANDS LÄN</t>
        </is>
      </c>
      <c r="E36" t="inlineStr">
        <is>
          <t>KATRINEHOLM</t>
        </is>
      </c>
      <c r="G36" t="n">
        <v>1.4</v>
      </c>
      <c r="H36" t="n">
        <v>0</v>
      </c>
      <c r="I36" t="n">
        <v>2</v>
      </c>
      <c r="J36" t="n">
        <v>0</v>
      </c>
      <c r="K36" t="n">
        <v>0</v>
      </c>
      <c r="L36" t="n">
        <v>0</v>
      </c>
      <c r="M36" t="n">
        <v>0</v>
      </c>
      <c r="N36" t="n">
        <v>0</v>
      </c>
      <c r="O36" t="n">
        <v>0</v>
      </c>
      <c r="P36" t="n">
        <v>0</v>
      </c>
      <c r="Q36" t="n">
        <v>2</v>
      </c>
      <c r="R36" s="2" t="inlineStr">
        <is>
          <t>Myskmadra
Svart trolldruva</t>
        </is>
      </c>
      <c r="S36">
        <f>HYPERLINK("https://klasma.github.io/Logging_0483/artfynd/A 37537-2022 artfynd.xlsx", "A 37537-2022")</f>
        <v/>
      </c>
      <c r="T36">
        <f>HYPERLINK("https://klasma.github.io/Logging_0483/kartor/A 37537-2022 karta.png", "A 37537-2022")</f>
        <v/>
      </c>
      <c r="V36">
        <f>HYPERLINK("https://klasma.github.io/Logging_0483/klagomål/A 37537-2022 FSC-klagomål.docx", "A 37537-2022")</f>
        <v/>
      </c>
      <c r="W36">
        <f>HYPERLINK("https://klasma.github.io/Logging_0483/klagomålsmail/A 37537-2022 FSC-klagomål mail.docx", "A 37537-2022")</f>
        <v/>
      </c>
      <c r="X36">
        <f>HYPERLINK("https://klasma.github.io/Logging_0483/tillsyn/A 37537-2022 tillsynsbegäran.docx", "A 37537-2022")</f>
        <v/>
      </c>
      <c r="Y36">
        <f>HYPERLINK("https://klasma.github.io/Logging_0483/tillsynsmail/A 37537-2022 tillsynsbegäran mail.docx", "A 37537-2022")</f>
        <v/>
      </c>
    </row>
    <row r="37" ht="15" customHeight="1">
      <c r="A37" t="inlineStr">
        <is>
          <t>A 1270-2023</t>
        </is>
      </c>
      <c r="B37" s="1" t="n">
        <v>44936</v>
      </c>
      <c r="C37" s="1" t="n">
        <v>45663</v>
      </c>
      <c r="D37" t="inlineStr">
        <is>
          <t>SÖDERMANLANDS LÄN</t>
        </is>
      </c>
      <c r="E37" t="inlineStr">
        <is>
          <t>KATRINEHOLM</t>
        </is>
      </c>
      <c r="G37" t="n">
        <v>5.9</v>
      </c>
      <c r="H37" t="n">
        <v>2</v>
      </c>
      <c r="I37" t="n">
        <v>0</v>
      </c>
      <c r="J37" t="n">
        <v>0</v>
      </c>
      <c r="K37" t="n">
        <v>0</v>
      </c>
      <c r="L37" t="n">
        <v>1</v>
      </c>
      <c r="M37" t="n">
        <v>0</v>
      </c>
      <c r="N37" t="n">
        <v>0</v>
      </c>
      <c r="O37" t="n">
        <v>1</v>
      </c>
      <c r="P37" t="n">
        <v>1</v>
      </c>
      <c r="Q37" t="n">
        <v>2</v>
      </c>
      <c r="R37" s="2" t="inlineStr">
        <is>
          <t>Grönfink
Mattlummer</t>
        </is>
      </c>
      <c r="S37">
        <f>HYPERLINK("https://klasma.github.io/Logging_0483/artfynd/A 1270-2023 artfynd.xlsx", "A 1270-2023")</f>
        <v/>
      </c>
      <c r="T37">
        <f>HYPERLINK("https://klasma.github.io/Logging_0483/kartor/A 1270-2023 karta.png", "A 1270-2023")</f>
        <v/>
      </c>
      <c r="V37">
        <f>HYPERLINK("https://klasma.github.io/Logging_0483/klagomål/A 1270-2023 FSC-klagomål.docx", "A 1270-2023")</f>
        <v/>
      </c>
      <c r="W37">
        <f>HYPERLINK("https://klasma.github.io/Logging_0483/klagomålsmail/A 1270-2023 FSC-klagomål mail.docx", "A 1270-2023")</f>
        <v/>
      </c>
      <c r="X37">
        <f>HYPERLINK("https://klasma.github.io/Logging_0483/tillsyn/A 1270-2023 tillsynsbegäran.docx", "A 1270-2023")</f>
        <v/>
      </c>
      <c r="Y37">
        <f>HYPERLINK("https://klasma.github.io/Logging_0483/tillsynsmail/A 1270-2023 tillsynsbegäran mail.docx", "A 1270-2023")</f>
        <v/>
      </c>
      <c r="Z37">
        <f>HYPERLINK("https://klasma.github.io/Logging_0483/fåglar/A 1270-2023 prioriterade fågelarter.docx", "A 1270-2023")</f>
        <v/>
      </c>
    </row>
    <row r="38" ht="15" customHeight="1">
      <c r="A38" t="inlineStr">
        <is>
          <t>A 14655-2023</t>
        </is>
      </c>
      <c r="B38" s="1" t="n">
        <v>45013</v>
      </c>
      <c r="C38" s="1" t="n">
        <v>45663</v>
      </c>
      <c r="D38" t="inlineStr">
        <is>
          <t>SÖDERMANLANDS LÄN</t>
        </is>
      </c>
      <c r="E38" t="inlineStr">
        <is>
          <t>KATRINEHOLM</t>
        </is>
      </c>
      <c r="G38" t="n">
        <v>4.4</v>
      </c>
      <c r="H38" t="n">
        <v>2</v>
      </c>
      <c r="I38" t="n">
        <v>0</v>
      </c>
      <c r="J38" t="n">
        <v>1</v>
      </c>
      <c r="K38" t="n">
        <v>0</v>
      </c>
      <c r="L38" t="n">
        <v>0</v>
      </c>
      <c r="M38" t="n">
        <v>0</v>
      </c>
      <c r="N38" t="n">
        <v>0</v>
      </c>
      <c r="O38" t="n">
        <v>1</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14858-2023</t>
        </is>
      </c>
      <c r="B39" s="1" t="n">
        <v>45014</v>
      </c>
      <c r="C39" s="1" t="n">
        <v>45663</v>
      </c>
      <c r="D39" t="inlineStr">
        <is>
          <t>SÖDERMANLANDS LÄN</t>
        </is>
      </c>
      <c r="E39" t="inlineStr">
        <is>
          <t>KATRINEHOLM</t>
        </is>
      </c>
      <c r="G39" t="n">
        <v>1</v>
      </c>
      <c r="H39" t="n">
        <v>2</v>
      </c>
      <c r="I39" t="n">
        <v>0</v>
      </c>
      <c r="J39" t="n">
        <v>1</v>
      </c>
      <c r="K39" t="n">
        <v>0</v>
      </c>
      <c r="L39" t="n">
        <v>0</v>
      </c>
      <c r="M39" t="n">
        <v>0</v>
      </c>
      <c r="N39" t="n">
        <v>0</v>
      </c>
      <c r="O39" t="n">
        <v>1</v>
      </c>
      <c r="P39" t="n">
        <v>0</v>
      </c>
      <c r="Q39" t="n">
        <v>2</v>
      </c>
      <c r="R39" s="2" t="inlineStr">
        <is>
          <t>Spillkråka
Blåsippa</t>
        </is>
      </c>
      <c r="S39">
        <f>HYPERLINK("https://klasma.github.io/Logging_0483/artfynd/A 14858-2023 artfynd.xlsx", "A 14858-2023")</f>
        <v/>
      </c>
      <c r="T39">
        <f>HYPERLINK("https://klasma.github.io/Logging_0483/kartor/A 14858-2023 karta.png", "A 14858-2023")</f>
        <v/>
      </c>
      <c r="V39">
        <f>HYPERLINK("https://klasma.github.io/Logging_0483/klagomål/A 14858-2023 FSC-klagomål.docx", "A 14858-2023")</f>
        <v/>
      </c>
      <c r="W39">
        <f>HYPERLINK("https://klasma.github.io/Logging_0483/klagomålsmail/A 14858-2023 FSC-klagomål mail.docx", "A 14858-2023")</f>
        <v/>
      </c>
      <c r="X39">
        <f>HYPERLINK("https://klasma.github.io/Logging_0483/tillsyn/A 14858-2023 tillsynsbegäran.docx", "A 14858-2023")</f>
        <v/>
      </c>
      <c r="Y39">
        <f>HYPERLINK("https://klasma.github.io/Logging_0483/tillsynsmail/A 14858-2023 tillsynsbegäran mail.docx", "A 14858-2023")</f>
        <v/>
      </c>
      <c r="Z39">
        <f>HYPERLINK("https://klasma.github.io/Logging_0483/fåglar/A 14858-2023 prioriterade fågelarter.docx", "A 14858-2023")</f>
        <v/>
      </c>
    </row>
    <row r="40" ht="15" customHeight="1">
      <c r="A40" t="inlineStr">
        <is>
          <t>A 37383-2023</t>
        </is>
      </c>
      <c r="B40" s="1" t="n">
        <v>45155</v>
      </c>
      <c r="C40" s="1" t="n">
        <v>45663</v>
      </c>
      <c r="D40" t="inlineStr">
        <is>
          <t>SÖDERMANLANDS LÄN</t>
        </is>
      </c>
      <c r="E40" t="inlineStr">
        <is>
          <t>KATRINEHOLM</t>
        </is>
      </c>
      <c r="G40" t="n">
        <v>10.1</v>
      </c>
      <c r="H40" t="n">
        <v>1</v>
      </c>
      <c r="I40" t="n">
        <v>1</v>
      </c>
      <c r="J40" t="n">
        <v>0</v>
      </c>
      <c r="K40" t="n">
        <v>0</v>
      </c>
      <c r="L40" t="n">
        <v>0</v>
      </c>
      <c r="M40" t="n">
        <v>0</v>
      </c>
      <c r="N40" t="n">
        <v>0</v>
      </c>
      <c r="O40" t="n">
        <v>0</v>
      </c>
      <c r="P40" t="n">
        <v>0</v>
      </c>
      <c r="Q40" t="n">
        <v>2</v>
      </c>
      <c r="R40" s="2" t="inlineStr">
        <is>
          <t>Svart trolldruva
Blåsippa</t>
        </is>
      </c>
      <c r="S40">
        <f>HYPERLINK("https://klasma.github.io/Logging_0483/artfynd/A 37383-2023 artfynd.xlsx", "A 37383-2023")</f>
        <v/>
      </c>
      <c r="T40">
        <f>HYPERLINK("https://klasma.github.io/Logging_0483/kartor/A 37383-2023 karta.png", "A 37383-2023")</f>
        <v/>
      </c>
      <c r="V40">
        <f>HYPERLINK("https://klasma.github.io/Logging_0483/klagomål/A 37383-2023 FSC-klagomål.docx", "A 37383-2023")</f>
        <v/>
      </c>
      <c r="W40">
        <f>HYPERLINK("https://klasma.github.io/Logging_0483/klagomålsmail/A 37383-2023 FSC-klagomål mail.docx", "A 37383-2023")</f>
        <v/>
      </c>
      <c r="X40">
        <f>HYPERLINK("https://klasma.github.io/Logging_0483/tillsyn/A 37383-2023 tillsynsbegäran.docx", "A 37383-2023")</f>
        <v/>
      </c>
      <c r="Y40">
        <f>HYPERLINK("https://klasma.github.io/Logging_0483/tillsynsmail/A 37383-2023 tillsynsbegäran mail.docx", "A 37383-2023")</f>
        <v/>
      </c>
    </row>
    <row r="41" ht="15" customHeight="1">
      <c r="A41" t="inlineStr">
        <is>
          <t>A 39893-2023</t>
        </is>
      </c>
      <c r="B41" s="1" t="n">
        <v>45168</v>
      </c>
      <c r="C41" s="1" t="n">
        <v>45663</v>
      </c>
      <c r="D41" t="inlineStr">
        <is>
          <t>SÖDERMANLANDS LÄN</t>
        </is>
      </c>
      <c r="E41" t="inlineStr">
        <is>
          <t>KATRINEHOLM</t>
        </is>
      </c>
      <c r="G41" t="n">
        <v>7.3</v>
      </c>
      <c r="H41" t="n">
        <v>0</v>
      </c>
      <c r="I41" t="n">
        <v>2</v>
      </c>
      <c r="J41" t="n">
        <v>0</v>
      </c>
      <c r="K41" t="n">
        <v>0</v>
      </c>
      <c r="L41" t="n">
        <v>0</v>
      </c>
      <c r="M41" t="n">
        <v>0</v>
      </c>
      <c r="N41" t="n">
        <v>0</v>
      </c>
      <c r="O41" t="n">
        <v>0</v>
      </c>
      <c r="P41" t="n">
        <v>0</v>
      </c>
      <c r="Q41" t="n">
        <v>2</v>
      </c>
      <c r="R41" s="2" t="inlineStr">
        <is>
          <t>Blomkålssvamp
Grovticka</t>
        </is>
      </c>
      <c r="S41">
        <f>HYPERLINK("https://klasma.github.io/Logging_0483/artfynd/A 39893-2023 artfynd.xlsx", "A 39893-2023")</f>
        <v/>
      </c>
      <c r="T41">
        <f>HYPERLINK("https://klasma.github.io/Logging_0483/kartor/A 39893-2023 karta.png", "A 39893-2023")</f>
        <v/>
      </c>
      <c r="V41">
        <f>HYPERLINK("https://klasma.github.io/Logging_0483/klagomål/A 39893-2023 FSC-klagomål.docx", "A 39893-2023")</f>
        <v/>
      </c>
      <c r="W41">
        <f>HYPERLINK("https://klasma.github.io/Logging_0483/klagomålsmail/A 39893-2023 FSC-klagomål mail.docx", "A 39893-2023")</f>
        <v/>
      </c>
      <c r="X41">
        <f>HYPERLINK("https://klasma.github.io/Logging_0483/tillsyn/A 39893-2023 tillsynsbegäran.docx", "A 39893-2023")</f>
        <v/>
      </c>
      <c r="Y41">
        <f>HYPERLINK("https://klasma.github.io/Logging_0483/tillsynsmail/A 39893-2023 tillsynsbegäran mail.docx", "A 39893-2023")</f>
        <v/>
      </c>
    </row>
    <row r="42" ht="15" customHeight="1">
      <c r="A42" t="inlineStr">
        <is>
          <t>A 4392-2024</t>
        </is>
      </c>
      <c r="B42" s="1" t="n">
        <v>45327</v>
      </c>
      <c r="C42" s="1" t="n">
        <v>45663</v>
      </c>
      <c r="D42" t="inlineStr">
        <is>
          <t>SÖDERMANLANDS LÄN</t>
        </is>
      </c>
      <c r="E42" t="inlineStr">
        <is>
          <t>KATRINEHOLM</t>
        </is>
      </c>
      <c r="G42" t="n">
        <v>2.3</v>
      </c>
      <c r="H42" t="n">
        <v>1</v>
      </c>
      <c r="I42" t="n">
        <v>0</v>
      </c>
      <c r="J42" t="n">
        <v>2</v>
      </c>
      <c r="K42" t="n">
        <v>0</v>
      </c>
      <c r="L42" t="n">
        <v>0</v>
      </c>
      <c r="M42" t="n">
        <v>0</v>
      </c>
      <c r="N42" t="n">
        <v>0</v>
      </c>
      <c r="O42" t="n">
        <v>2</v>
      </c>
      <c r="P42" t="n">
        <v>0</v>
      </c>
      <c r="Q42" t="n">
        <v>2</v>
      </c>
      <c r="R42" s="2" t="inlineStr">
        <is>
          <t>Spillkråka
Tallticka</t>
        </is>
      </c>
      <c r="S42">
        <f>HYPERLINK("https://klasma.github.io/Logging_0483/artfynd/A 4392-2024 artfynd.xlsx", "A 4392-2024")</f>
        <v/>
      </c>
      <c r="T42">
        <f>HYPERLINK("https://klasma.github.io/Logging_0483/kartor/A 4392-2024 karta.png", "A 4392-2024")</f>
        <v/>
      </c>
      <c r="V42">
        <f>HYPERLINK("https://klasma.github.io/Logging_0483/klagomål/A 4392-2024 FSC-klagomål.docx", "A 4392-2024")</f>
        <v/>
      </c>
      <c r="W42">
        <f>HYPERLINK("https://klasma.github.io/Logging_0483/klagomålsmail/A 4392-2024 FSC-klagomål mail.docx", "A 4392-2024")</f>
        <v/>
      </c>
      <c r="X42">
        <f>HYPERLINK("https://klasma.github.io/Logging_0483/tillsyn/A 4392-2024 tillsynsbegäran.docx", "A 4392-2024")</f>
        <v/>
      </c>
      <c r="Y42">
        <f>HYPERLINK("https://klasma.github.io/Logging_0483/tillsynsmail/A 4392-2024 tillsynsbegäran mail.docx", "A 4392-2024")</f>
        <v/>
      </c>
      <c r="Z42">
        <f>HYPERLINK("https://klasma.github.io/Logging_0483/fåglar/A 4392-2024 prioriterade fågelarter.docx", "A 4392-2024")</f>
        <v/>
      </c>
    </row>
    <row r="43" ht="15" customHeight="1">
      <c r="A43" t="inlineStr">
        <is>
          <t>A 4518-2024</t>
        </is>
      </c>
      <c r="B43" s="1" t="n">
        <v>45327</v>
      </c>
      <c r="C43" s="1" t="n">
        <v>45663</v>
      </c>
      <c r="D43" t="inlineStr">
        <is>
          <t>SÖDERMANLANDS LÄN</t>
        </is>
      </c>
      <c r="E43" t="inlineStr">
        <is>
          <t>KATRINEHOLM</t>
        </is>
      </c>
      <c r="G43" t="n">
        <v>2.5</v>
      </c>
      <c r="H43" t="n">
        <v>1</v>
      </c>
      <c r="I43" t="n">
        <v>0</v>
      </c>
      <c r="J43" t="n">
        <v>2</v>
      </c>
      <c r="K43" t="n">
        <v>0</v>
      </c>
      <c r="L43" t="n">
        <v>0</v>
      </c>
      <c r="M43" t="n">
        <v>0</v>
      </c>
      <c r="N43" t="n">
        <v>0</v>
      </c>
      <c r="O43" t="n">
        <v>2</v>
      </c>
      <c r="P43" t="n">
        <v>0</v>
      </c>
      <c r="Q43" t="n">
        <v>2</v>
      </c>
      <c r="R43" s="2" t="inlineStr">
        <is>
          <t>Spillkråka
Tallticka</t>
        </is>
      </c>
      <c r="S43">
        <f>HYPERLINK("https://klasma.github.io/Logging_0483/artfynd/A 4518-2024 artfynd.xlsx", "A 4518-2024")</f>
        <v/>
      </c>
      <c r="T43">
        <f>HYPERLINK("https://klasma.github.io/Logging_0483/kartor/A 4518-2024 karta.png", "A 4518-2024")</f>
        <v/>
      </c>
      <c r="V43">
        <f>HYPERLINK("https://klasma.github.io/Logging_0483/klagomål/A 4518-2024 FSC-klagomål.docx", "A 4518-2024")</f>
        <v/>
      </c>
      <c r="W43">
        <f>HYPERLINK("https://klasma.github.io/Logging_0483/klagomålsmail/A 4518-2024 FSC-klagomål mail.docx", "A 4518-2024")</f>
        <v/>
      </c>
      <c r="X43">
        <f>HYPERLINK("https://klasma.github.io/Logging_0483/tillsyn/A 4518-2024 tillsynsbegäran.docx", "A 4518-2024")</f>
        <v/>
      </c>
      <c r="Y43">
        <f>HYPERLINK("https://klasma.github.io/Logging_0483/tillsynsmail/A 4518-2024 tillsynsbegäran mail.docx", "A 4518-2024")</f>
        <v/>
      </c>
      <c r="Z43">
        <f>HYPERLINK("https://klasma.github.io/Logging_0483/fåglar/A 4518-2024 prioriterade fågelarter.docx", "A 4518-2024")</f>
        <v/>
      </c>
    </row>
    <row r="44" ht="15" customHeight="1">
      <c r="A44" t="inlineStr">
        <is>
          <t>A 47979-2024</t>
        </is>
      </c>
      <c r="B44" s="1" t="n">
        <v>45589</v>
      </c>
      <c r="C44" s="1" t="n">
        <v>45663</v>
      </c>
      <c r="D44" t="inlineStr">
        <is>
          <t>SÖDERMANLANDS LÄN</t>
        </is>
      </c>
      <c r="E44" t="inlineStr">
        <is>
          <t>KATRINEHOLM</t>
        </is>
      </c>
      <c r="G44" t="n">
        <v>4.7</v>
      </c>
      <c r="H44" t="n">
        <v>1</v>
      </c>
      <c r="I44" t="n">
        <v>1</v>
      </c>
      <c r="J44" t="n">
        <v>0</v>
      </c>
      <c r="K44" t="n">
        <v>0</v>
      </c>
      <c r="L44" t="n">
        <v>0</v>
      </c>
      <c r="M44" t="n">
        <v>0</v>
      </c>
      <c r="N44" t="n">
        <v>0</v>
      </c>
      <c r="O44" t="n">
        <v>0</v>
      </c>
      <c r="P44" t="n">
        <v>0</v>
      </c>
      <c r="Q44" t="n">
        <v>2</v>
      </c>
      <c r="R44" s="2" t="inlineStr">
        <is>
          <t>Grönpyrola
Blåsippa</t>
        </is>
      </c>
      <c r="S44">
        <f>HYPERLINK("https://klasma.github.io/Logging_0483/artfynd/A 47979-2024 artfynd.xlsx", "A 47979-2024")</f>
        <v/>
      </c>
      <c r="T44">
        <f>HYPERLINK("https://klasma.github.io/Logging_0483/kartor/A 47979-2024 karta.png", "A 47979-2024")</f>
        <v/>
      </c>
      <c r="V44">
        <f>HYPERLINK("https://klasma.github.io/Logging_0483/klagomål/A 47979-2024 FSC-klagomål.docx", "A 47979-2024")</f>
        <v/>
      </c>
      <c r="W44">
        <f>HYPERLINK("https://klasma.github.io/Logging_0483/klagomålsmail/A 47979-2024 FSC-klagomål mail.docx", "A 47979-2024")</f>
        <v/>
      </c>
      <c r="X44">
        <f>HYPERLINK("https://klasma.github.io/Logging_0483/tillsyn/A 47979-2024 tillsynsbegäran.docx", "A 47979-2024")</f>
        <v/>
      </c>
      <c r="Y44">
        <f>HYPERLINK("https://klasma.github.io/Logging_0483/tillsynsmail/A 47979-2024 tillsynsbegäran mail.docx", "A 47979-2024")</f>
        <v/>
      </c>
    </row>
    <row r="45" ht="15" customHeight="1">
      <c r="A45" t="inlineStr">
        <is>
          <t>A 49108-2024</t>
        </is>
      </c>
      <c r="B45" s="1" t="n">
        <v>45594</v>
      </c>
      <c r="C45" s="1" t="n">
        <v>45663</v>
      </c>
      <c r="D45" t="inlineStr">
        <is>
          <t>SÖDERMANLANDS LÄN</t>
        </is>
      </c>
      <c r="E45" t="inlineStr">
        <is>
          <t>KATRINEHOLM</t>
        </is>
      </c>
      <c r="G45" t="n">
        <v>3.6</v>
      </c>
      <c r="H45" t="n">
        <v>0</v>
      </c>
      <c r="I45" t="n">
        <v>1</v>
      </c>
      <c r="J45" t="n">
        <v>1</v>
      </c>
      <c r="K45" t="n">
        <v>0</v>
      </c>
      <c r="L45" t="n">
        <v>0</v>
      </c>
      <c r="M45" t="n">
        <v>0</v>
      </c>
      <c r="N45" t="n">
        <v>0</v>
      </c>
      <c r="O45" t="n">
        <v>1</v>
      </c>
      <c r="P45" t="n">
        <v>0</v>
      </c>
      <c r="Q45" t="n">
        <v>2</v>
      </c>
      <c r="R45" s="2" t="inlineStr">
        <is>
          <t>Motaggsvamp
Mindre märgborre</t>
        </is>
      </c>
      <c r="S45">
        <f>HYPERLINK("https://klasma.github.io/Logging_0483/artfynd/A 49108-2024 artfynd.xlsx", "A 49108-2024")</f>
        <v/>
      </c>
      <c r="T45">
        <f>HYPERLINK("https://klasma.github.io/Logging_0483/kartor/A 49108-2024 karta.png", "A 49108-2024")</f>
        <v/>
      </c>
      <c r="V45">
        <f>HYPERLINK("https://klasma.github.io/Logging_0483/klagomål/A 49108-2024 FSC-klagomål.docx", "A 49108-2024")</f>
        <v/>
      </c>
      <c r="W45">
        <f>HYPERLINK("https://klasma.github.io/Logging_0483/klagomålsmail/A 49108-2024 FSC-klagomål mail.docx", "A 49108-2024")</f>
        <v/>
      </c>
      <c r="X45">
        <f>HYPERLINK("https://klasma.github.io/Logging_0483/tillsyn/A 49108-2024 tillsynsbegäran.docx", "A 49108-2024")</f>
        <v/>
      </c>
      <c r="Y45">
        <f>HYPERLINK("https://klasma.github.io/Logging_0483/tillsynsmail/A 49108-2024 tillsynsbegäran mail.docx", "A 49108-2024")</f>
        <v/>
      </c>
    </row>
    <row r="46" ht="15" customHeight="1">
      <c r="A46" t="inlineStr">
        <is>
          <t>A 53471-2024</t>
        </is>
      </c>
      <c r="B46" s="1" t="n">
        <v>45614</v>
      </c>
      <c r="C46" s="1" t="n">
        <v>45663</v>
      </c>
      <c r="D46" t="inlineStr">
        <is>
          <t>SÖDERMANLANDS LÄN</t>
        </is>
      </c>
      <c r="E46" t="inlineStr">
        <is>
          <t>KATRINEHOLM</t>
        </is>
      </c>
      <c r="G46" t="n">
        <v>12.7</v>
      </c>
      <c r="H46" t="n">
        <v>1</v>
      </c>
      <c r="I46" t="n">
        <v>2</v>
      </c>
      <c r="J46" t="n">
        <v>0</v>
      </c>
      <c r="K46" t="n">
        <v>0</v>
      </c>
      <c r="L46" t="n">
        <v>0</v>
      </c>
      <c r="M46" t="n">
        <v>0</v>
      </c>
      <c r="N46" t="n">
        <v>0</v>
      </c>
      <c r="O46" t="n">
        <v>0</v>
      </c>
      <c r="P46" t="n">
        <v>0</v>
      </c>
      <c r="Q46" t="n">
        <v>2</v>
      </c>
      <c r="R46" s="2" t="inlineStr">
        <is>
          <t>Grönpyrola
Plattlummer</t>
        </is>
      </c>
      <c r="S46">
        <f>HYPERLINK("https://klasma.github.io/Logging_0483/artfynd/A 53471-2024 artfynd.xlsx", "A 53471-2024")</f>
        <v/>
      </c>
      <c r="T46">
        <f>HYPERLINK("https://klasma.github.io/Logging_0483/kartor/A 53471-2024 karta.png", "A 53471-2024")</f>
        <v/>
      </c>
      <c r="V46">
        <f>HYPERLINK("https://klasma.github.io/Logging_0483/klagomål/A 53471-2024 FSC-klagomål.docx", "A 53471-2024")</f>
        <v/>
      </c>
      <c r="W46">
        <f>HYPERLINK("https://klasma.github.io/Logging_0483/klagomålsmail/A 53471-2024 FSC-klagomål mail.docx", "A 53471-2024")</f>
        <v/>
      </c>
      <c r="X46">
        <f>HYPERLINK("https://klasma.github.io/Logging_0483/tillsyn/A 53471-2024 tillsynsbegäran.docx", "A 53471-2024")</f>
        <v/>
      </c>
      <c r="Y46">
        <f>HYPERLINK("https://klasma.github.io/Logging_0483/tillsynsmail/A 53471-2024 tillsynsbegäran mail.docx", "A 53471-2024")</f>
        <v/>
      </c>
    </row>
    <row r="47" ht="15" customHeight="1">
      <c r="A47" t="inlineStr">
        <is>
          <t>A 40824-2019</t>
        </is>
      </c>
      <c r="B47" s="1" t="n">
        <v>43697</v>
      </c>
      <c r="C47" s="1" t="n">
        <v>45663</v>
      </c>
      <c r="D47" t="inlineStr">
        <is>
          <t>SÖDERMANLANDS LÄN</t>
        </is>
      </c>
      <c r="E47" t="inlineStr">
        <is>
          <t>KATRINEHOLM</t>
        </is>
      </c>
      <c r="G47" t="n">
        <v>0.6</v>
      </c>
      <c r="H47" t="n">
        <v>0</v>
      </c>
      <c r="I47" t="n">
        <v>0</v>
      </c>
      <c r="J47" t="n">
        <v>1</v>
      </c>
      <c r="K47" t="n">
        <v>0</v>
      </c>
      <c r="L47" t="n">
        <v>0</v>
      </c>
      <c r="M47" t="n">
        <v>0</v>
      </c>
      <c r="N47" t="n">
        <v>0</v>
      </c>
      <c r="O47" t="n">
        <v>1</v>
      </c>
      <c r="P47" t="n">
        <v>0</v>
      </c>
      <c r="Q47" t="n">
        <v>1</v>
      </c>
      <c r="R47" s="2" t="inlineStr">
        <is>
          <t>Igelkott</t>
        </is>
      </c>
      <c r="S47">
        <f>HYPERLINK("https://klasma.github.io/Logging_0483/artfynd/A 40824-2019 artfynd.xlsx", "A 40824-2019")</f>
        <v/>
      </c>
      <c r="T47">
        <f>HYPERLINK("https://klasma.github.io/Logging_0483/kartor/A 40824-2019 karta.png", "A 40824-2019")</f>
        <v/>
      </c>
      <c r="V47">
        <f>HYPERLINK("https://klasma.github.io/Logging_0483/klagomål/A 40824-2019 FSC-klagomål.docx", "A 40824-2019")</f>
        <v/>
      </c>
      <c r="W47">
        <f>HYPERLINK("https://klasma.github.io/Logging_0483/klagomålsmail/A 40824-2019 FSC-klagomål mail.docx", "A 40824-2019")</f>
        <v/>
      </c>
      <c r="X47">
        <f>HYPERLINK("https://klasma.github.io/Logging_0483/tillsyn/A 40824-2019 tillsynsbegäran.docx", "A 40824-2019")</f>
        <v/>
      </c>
      <c r="Y47">
        <f>HYPERLINK("https://klasma.github.io/Logging_0483/tillsynsmail/A 40824-2019 tillsynsbegäran mail.docx", "A 40824-2019")</f>
        <v/>
      </c>
    </row>
    <row r="48" ht="15" customHeight="1">
      <c r="A48" t="inlineStr">
        <is>
          <t>A 51874-2019</t>
        </is>
      </c>
      <c r="B48" s="1" t="n">
        <v>43741</v>
      </c>
      <c r="C48" s="1" t="n">
        <v>45663</v>
      </c>
      <c r="D48" t="inlineStr">
        <is>
          <t>SÖDERMANLANDS LÄN</t>
        </is>
      </c>
      <c r="E48" t="inlineStr">
        <is>
          <t>KATRINEHOLM</t>
        </is>
      </c>
      <c r="G48" t="n">
        <v>19.9</v>
      </c>
      <c r="H48" t="n">
        <v>0</v>
      </c>
      <c r="I48" t="n">
        <v>0</v>
      </c>
      <c r="J48" t="n">
        <v>1</v>
      </c>
      <c r="K48" t="n">
        <v>0</v>
      </c>
      <c r="L48" t="n">
        <v>0</v>
      </c>
      <c r="M48" t="n">
        <v>0</v>
      </c>
      <c r="N48" t="n">
        <v>0</v>
      </c>
      <c r="O48" t="n">
        <v>1</v>
      </c>
      <c r="P48" t="n">
        <v>0</v>
      </c>
      <c r="Q48" t="n">
        <v>1</v>
      </c>
      <c r="R48" s="2" t="inlineStr">
        <is>
          <t>Svedjenäva</t>
        </is>
      </c>
      <c r="S48">
        <f>HYPERLINK("https://klasma.github.io/Logging_0483/artfynd/A 51874-2019 artfynd.xlsx", "A 51874-2019")</f>
        <v/>
      </c>
      <c r="T48">
        <f>HYPERLINK("https://klasma.github.io/Logging_0483/kartor/A 51874-2019 karta.png", "A 51874-2019")</f>
        <v/>
      </c>
      <c r="V48">
        <f>HYPERLINK("https://klasma.github.io/Logging_0483/klagomål/A 51874-2019 FSC-klagomål.docx", "A 51874-2019")</f>
        <v/>
      </c>
      <c r="W48">
        <f>HYPERLINK("https://klasma.github.io/Logging_0483/klagomålsmail/A 51874-2019 FSC-klagomål mail.docx", "A 51874-2019")</f>
        <v/>
      </c>
      <c r="X48">
        <f>HYPERLINK("https://klasma.github.io/Logging_0483/tillsyn/A 51874-2019 tillsynsbegäran.docx", "A 51874-2019")</f>
        <v/>
      </c>
      <c r="Y48">
        <f>HYPERLINK("https://klasma.github.io/Logging_0483/tillsynsmail/A 51874-2019 tillsynsbegäran mail.docx", "A 51874-2019")</f>
        <v/>
      </c>
    </row>
    <row r="49" ht="15" customHeight="1">
      <c r="A49" t="inlineStr">
        <is>
          <t>A 52557-2019</t>
        </is>
      </c>
      <c r="B49" s="1" t="n">
        <v>43745</v>
      </c>
      <c r="C49" s="1" t="n">
        <v>45663</v>
      </c>
      <c r="D49" t="inlineStr">
        <is>
          <t>SÖDERMANLANDS LÄN</t>
        </is>
      </c>
      <c r="E49" t="inlineStr">
        <is>
          <t>KATRINEHOLM</t>
        </is>
      </c>
      <c r="G49" t="n">
        <v>12.3</v>
      </c>
      <c r="H49" t="n">
        <v>1</v>
      </c>
      <c r="I49" t="n">
        <v>0</v>
      </c>
      <c r="J49" t="n">
        <v>0</v>
      </c>
      <c r="K49" t="n">
        <v>0</v>
      </c>
      <c r="L49" t="n">
        <v>0</v>
      </c>
      <c r="M49" t="n">
        <v>0</v>
      </c>
      <c r="N49" t="n">
        <v>0</v>
      </c>
      <c r="O49" t="n">
        <v>0</v>
      </c>
      <c r="P49" t="n">
        <v>0</v>
      </c>
      <c r="Q49" t="n">
        <v>1</v>
      </c>
      <c r="R49" s="2" t="inlineStr">
        <is>
          <t>Lopplummer</t>
        </is>
      </c>
      <c r="S49">
        <f>HYPERLINK("https://klasma.github.io/Logging_0483/artfynd/A 52557-2019 artfynd.xlsx", "A 52557-2019")</f>
        <v/>
      </c>
      <c r="T49">
        <f>HYPERLINK("https://klasma.github.io/Logging_0483/kartor/A 52557-2019 karta.png", "A 52557-2019")</f>
        <v/>
      </c>
      <c r="V49">
        <f>HYPERLINK("https://klasma.github.io/Logging_0483/klagomål/A 52557-2019 FSC-klagomål.docx", "A 52557-2019")</f>
        <v/>
      </c>
      <c r="W49">
        <f>HYPERLINK("https://klasma.github.io/Logging_0483/klagomålsmail/A 52557-2019 FSC-klagomål mail.docx", "A 52557-2019")</f>
        <v/>
      </c>
      <c r="X49">
        <f>HYPERLINK("https://klasma.github.io/Logging_0483/tillsyn/A 52557-2019 tillsynsbegäran.docx", "A 52557-2019")</f>
        <v/>
      </c>
      <c r="Y49">
        <f>HYPERLINK("https://klasma.github.io/Logging_0483/tillsynsmail/A 52557-2019 tillsynsbegäran mail.docx", "A 52557-2019")</f>
        <v/>
      </c>
    </row>
    <row r="50" ht="15" customHeight="1">
      <c r="A50" t="inlineStr">
        <is>
          <t>A 18283-2020</t>
        </is>
      </c>
      <c r="B50" s="1" t="n">
        <v>43928</v>
      </c>
      <c r="C50" s="1" t="n">
        <v>45663</v>
      </c>
      <c r="D50" t="inlineStr">
        <is>
          <t>SÖDERMANLANDS LÄN</t>
        </is>
      </c>
      <c r="E50" t="inlineStr">
        <is>
          <t>KATRINEHOLM</t>
        </is>
      </c>
      <c r="F50" t="inlineStr">
        <is>
          <t>Kommuner</t>
        </is>
      </c>
      <c r="G50" t="n">
        <v>8.1</v>
      </c>
      <c r="H50" t="n">
        <v>1</v>
      </c>
      <c r="I50" t="n">
        <v>0</v>
      </c>
      <c r="J50" t="n">
        <v>0</v>
      </c>
      <c r="K50" t="n">
        <v>1</v>
      </c>
      <c r="L50" t="n">
        <v>0</v>
      </c>
      <c r="M50" t="n">
        <v>0</v>
      </c>
      <c r="N50" t="n">
        <v>0</v>
      </c>
      <c r="O50" t="n">
        <v>1</v>
      </c>
      <c r="P50" t="n">
        <v>1</v>
      </c>
      <c r="Q50" t="n">
        <v>1</v>
      </c>
      <c r="R50" s="2" t="inlineStr">
        <is>
          <t>Knärot</t>
        </is>
      </c>
      <c r="S50">
        <f>HYPERLINK("https://klasma.github.io/Logging_0483/artfynd/A 18283-2020 artfynd.xlsx", "A 18283-2020")</f>
        <v/>
      </c>
      <c r="T50">
        <f>HYPERLINK("https://klasma.github.io/Logging_0483/kartor/A 18283-2020 karta.png", "A 18283-2020")</f>
        <v/>
      </c>
      <c r="U50">
        <f>HYPERLINK("https://klasma.github.io/Logging_0483/knärot/A 18283-2020 karta knärot.png", "A 18283-2020")</f>
        <v/>
      </c>
      <c r="V50">
        <f>HYPERLINK("https://klasma.github.io/Logging_0483/klagomål/A 18283-2020 FSC-klagomål.docx", "A 18283-2020")</f>
        <v/>
      </c>
      <c r="W50">
        <f>HYPERLINK("https://klasma.github.io/Logging_0483/klagomålsmail/A 18283-2020 FSC-klagomål mail.docx", "A 18283-2020")</f>
        <v/>
      </c>
      <c r="X50">
        <f>HYPERLINK("https://klasma.github.io/Logging_0483/tillsyn/A 18283-2020 tillsynsbegäran.docx", "A 18283-2020")</f>
        <v/>
      </c>
      <c r="Y50">
        <f>HYPERLINK("https://klasma.github.io/Logging_0483/tillsynsmail/A 18283-2020 tillsynsbegäran mail.docx", "A 18283-2020")</f>
        <v/>
      </c>
    </row>
    <row r="51" ht="15" customHeight="1">
      <c r="A51" t="inlineStr">
        <is>
          <t>A 21808-2020</t>
        </is>
      </c>
      <c r="B51" s="1" t="n">
        <v>43958</v>
      </c>
      <c r="C51" s="1" t="n">
        <v>45663</v>
      </c>
      <c r="D51" t="inlineStr">
        <is>
          <t>SÖDERMANLANDS LÄN</t>
        </is>
      </c>
      <c r="E51" t="inlineStr">
        <is>
          <t>KATRINEHOLM</t>
        </is>
      </c>
      <c r="G51" t="n">
        <v>3.5</v>
      </c>
      <c r="H51" t="n">
        <v>0</v>
      </c>
      <c r="I51" t="n">
        <v>1</v>
      </c>
      <c r="J51" t="n">
        <v>0</v>
      </c>
      <c r="K51" t="n">
        <v>0</v>
      </c>
      <c r="L51" t="n">
        <v>0</v>
      </c>
      <c r="M51" t="n">
        <v>0</v>
      </c>
      <c r="N51" t="n">
        <v>0</v>
      </c>
      <c r="O51" t="n">
        <v>0</v>
      </c>
      <c r="P51" t="n">
        <v>0</v>
      </c>
      <c r="Q51" t="n">
        <v>1</v>
      </c>
      <c r="R51" s="2" t="inlineStr">
        <is>
          <t>Blomkålssvamp</t>
        </is>
      </c>
      <c r="S51">
        <f>HYPERLINK("https://klasma.github.io/Logging_0483/artfynd/A 21808-2020 artfynd.xlsx", "A 21808-2020")</f>
        <v/>
      </c>
      <c r="T51">
        <f>HYPERLINK("https://klasma.github.io/Logging_0483/kartor/A 21808-2020 karta.png", "A 21808-2020")</f>
        <v/>
      </c>
      <c r="V51">
        <f>HYPERLINK("https://klasma.github.io/Logging_0483/klagomål/A 21808-2020 FSC-klagomål.docx", "A 21808-2020")</f>
        <v/>
      </c>
      <c r="W51">
        <f>HYPERLINK("https://klasma.github.io/Logging_0483/klagomålsmail/A 21808-2020 FSC-klagomål mail.docx", "A 21808-2020")</f>
        <v/>
      </c>
      <c r="X51">
        <f>HYPERLINK("https://klasma.github.io/Logging_0483/tillsyn/A 21808-2020 tillsynsbegäran.docx", "A 21808-2020")</f>
        <v/>
      </c>
      <c r="Y51">
        <f>HYPERLINK("https://klasma.github.io/Logging_0483/tillsynsmail/A 21808-2020 tillsynsbegäran mail.docx", "A 21808-2020")</f>
        <v/>
      </c>
    </row>
    <row r="52" ht="15" customHeight="1">
      <c r="A52" t="inlineStr">
        <is>
          <t>A 47989-2020</t>
        </is>
      </c>
      <c r="B52" s="1" t="n">
        <v>44099</v>
      </c>
      <c r="C52" s="1" t="n">
        <v>45663</v>
      </c>
      <c r="D52" t="inlineStr">
        <is>
          <t>SÖDERMANLANDS LÄN</t>
        </is>
      </c>
      <c r="E52" t="inlineStr">
        <is>
          <t>KATRINEHOLM</t>
        </is>
      </c>
      <c r="F52" t="inlineStr">
        <is>
          <t>Övriga statliga verk och myndigheter</t>
        </is>
      </c>
      <c r="G52" t="n">
        <v>4.7</v>
      </c>
      <c r="H52" t="n">
        <v>0</v>
      </c>
      <c r="I52" t="n">
        <v>1</v>
      </c>
      <c r="J52" t="n">
        <v>0</v>
      </c>
      <c r="K52" t="n">
        <v>0</v>
      </c>
      <c r="L52" t="n">
        <v>0</v>
      </c>
      <c r="M52" t="n">
        <v>0</v>
      </c>
      <c r="N52" t="n">
        <v>0</v>
      </c>
      <c r="O52" t="n">
        <v>0</v>
      </c>
      <c r="P52" t="n">
        <v>0</v>
      </c>
      <c r="Q52" t="n">
        <v>1</v>
      </c>
      <c r="R52" s="2" t="inlineStr">
        <is>
          <t>Stubbspretmossa</t>
        </is>
      </c>
      <c r="S52">
        <f>HYPERLINK("https://klasma.github.io/Logging_0483/artfynd/A 47989-2020 artfynd.xlsx", "A 47989-2020")</f>
        <v/>
      </c>
      <c r="T52">
        <f>HYPERLINK("https://klasma.github.io/Logging_0483/kartor/A 47989-2020 karta.png", "A 47989-2020")</f>
        <v/>
      </c>
      <c r="V52">
        <f>HYPERLINK("https://klasma.github.io/Logging_0483/klagomål/A 47989-2020 FSC-klagomål.docx", "A 47989-2020")</f>
        <v/>
      </c>
      <c r="W52">
        <f>HYPERLINK("https://klasma.github.io/Logging_0483/klagomålsmail/A 47989-2020 FSC-klagomål mail.docx", "A 47989-2020")</f>
        <v/>
      </c>
      <c r="X52">
        <f>HYPERLINK("https://klasma.github.io/Logging_0483/tillsyn/A 47989-2020 tillsynsbegäran.docx", "A 47989-2020")</f>
        <v/>
      </c>
      <c r="Y52">
        <f>HYPERLINK("https://klasma.github.io/Logging_0483/tillsynsmail/A 47989-2020 tillsynsbegäran mail.docx", "A 47989-2020")</f>
        <v/>
      </c>
    </row>
    <row r="53" ht="15" customHeight="1">
      <c r="A53" t="inlineStr">
        <is>
          <t>A 66876-2020</t>
        </is>
      </c>
      <c r="B53" s="1" t="n">
        <v>44180</v>
      </c>
      <c r="C53" s="1" t="n">
        <v>45663</v>
      </c>
      <c r="D53" t="inlineStr">
        <is>
          <t>SÖDERMANLANDS LÄN</t>
        </is>
      </c>
      <c r="E53" t="inlineStr">
        <is>
          <t>KATRINEHOLM</t>
        </is>
      </c>
      <c r="G53" t="n">
        <v>3.7</v>
      </c>
      <c r="H53" t="n">
        <v>0</v>
      </c>
      <c r="I53" t="n">
        <v>1</v>
      </c>
      <c r="J53" t="n">
        <v>0</v>
      </c>
      <c r="K53" t="n">
        <v>0</v>
      </c>
      <c r="L53" t="n">
        <v>0</v>
      </c>
      <c r="M53" t="n">
        <v>0</v>
      </c>
      <c r="N53" t="n">
        <v>0</v>
      </c>
      <c r="O53" t="n">
        <v>0</v>
      </c>
      <c r="P53" t="n">
        <v>0</v>
      </c>
      <c r="Q53" t="n">
        <v>1</v>
      </c>
      <c r="R53" s="2" t="inlineStr">
        <is>
          <t>Dvärghäxört</t>
        </is>
      </c>
      <c r="S53">
        <f>HYPERLINK("https://klasma.github.io/Logging_0483/artfynd/A 66876-2020 artfynd.xlsx", "A 66876-2020")</f>
        <v/>
      </c>
      <c r="T53">
        <f>HYPERLINK("https://klasma.github.io/Logging_0483/kartor/A 66876-2020 karta.png", "A 66876-2020")</f>
        <v/>
      </c>
      <c r="V53">
        <f>HYPERLINK("https://klasma.github.io/Logging_0483/klagomål/A 66876-2020 FSC-klagomål.docx", "A 66876-2020")</f>
        <v/>
      </c>
      <c r="W53">
        <f>HYPERLINK("https://klasma.github.io/Logging_0483/klagomålsmail/A 66876-2020 FSC-klagomål mail.docx", "A 66876-2020")</f>
        <v/>
      </c>
      <c r="X53">
        <f>HYPERLINK("https://klasma.github.io/Logging_0483/tillsyn/A 66876-2020 tillsynsbegäran.docx", "A 66876-2020")</f>
        <v/>
      </c>
      <c r="Y53">
        <f>HYPERLINK("https://klasma.github.io/Logging_0483/tillsynsmail/A 66876-2020 tillsynsbegäran mail.docx", "A 66876-2020")</f>
        <v/>
      </c>
    </row>
    <row r="54" ht="15" customHeight="1">
      <c r="A54" t="inlineStr">
        <is>
          <t>A 43536-2021</t>
        </is>
      </c>
      <c r="B54" s="1" t="n">
        <v>44433</v>
      </c>
      <c r="C54" s="1" t="n">
        <v>45663</v>
      </c>
      <c r="D54" t="inlineStr">
        <is>
          <t>SÖDERMANLANDS LÄN</t>
        </is>
      </c>
      <c r="E54" t="inlineStr">
        <is>
          <t>KATRINEHOLM</t>
        </is>
      </c>
      <c r="G54" t="n">
        <v>6</v>
      </c>
      <c r="H54" t="n">
        <v>0</v>
      </c>
      <c r="I54" t="n">
        <v>0</v>
      </c>
      <c r="J54" t="n">
        <v>1</v>
      </c>
      <c r="K54" t="n">
        <v>0</v>
      </c>
      <c r="L54" t="n">
        <v>0</v>
      </c>
      <c r="M54" t="n">
        <v>0</v>
      </c>
      <c r="N54" t="n">
        <v>0</v>
      </c>
      <c r="O54" t="n">
        <v>1</v>
      </c>
      <c r="P54" t="n">
        <v>0</v>
      </c>
      <c r="Q54" t="n">
        <v>1</v>
      </c>
      <c r="R54" s="2" t="inlineStr">
        <is>
          <t>Pilblad</t>
        </is>
      </c>
      <c r="S54">
        <f>HYPERLINK("https://klasma.github.io/Logging_0483/artfynd/A 43536-2021 artfynd.xlsx", "A 43536-2021")</f>
        <v/>
      </c>
      <c r="T54">
        <f>HYPERLINK("https://klasma.github.io/Logging_0483/kartor/A 43536-2021 karta.png", "A 43536-2021")</f>
        <v/>
      </c>
      <c r="V54">
        <f>HYPERLINK("https://klasma.github.io/Logging_0483/klagomål/A 43536-2021 FSC-klagomål.docx", "A 43536-2021")</f>
        <v/>
      </c>
      <c r="W54">
        <f>HYPERLINK("https://klasma.github.io/Logging_0483/klagomålsmail/A 43536-2021 FSC-klagomål mail.docx", "A 43536-2021")</f>
        <v/>
      </c>
      <c r="X54">
        <f>HYPERLINK("https://klasma.github.io/Logging_0483/tillsyn/A 43536-2021 tillsynsbegäran.docx", "A 43536-2021")</f>
        <v/>
      </c>
      <c r="Y54">
        <f>HYPERLINK("https://klasma.github.io/Logging_0483/tillsynsmail/A 43536-2021 tillsynsbegäran mail.docx", "A 43536-2021")</f>
        <v/>
      </c>
    </row>
    <row r="55" ht="15" customHeight="1">
      <c r="A55" t="inlineStr">
        <is>
          <t>A 57519-2021</t>
        </is>
      </c>
      <c r="B55" s="1" t="n">
        <v>44483</v>
      </c>
      <c r="C55" s="1" t="n">
        <v>45663</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65184-2021</t>
        </is>
      </c>
      <c r="B56" s="1" t="n">
        <v>44512</v>
      </c>
      <c r="C56" s="1" t="n">
        <v>45663</v>
      </c>
      <c r="D56" t="inlineStr">
        <is>
          <t>SÖDERMANLANDS LÄN</t>
        </is>
      </c>
      <c r="E56" t="inlineStr">
        <is>
          <t>KATRINEHOLM</t>
        </is>
      </c>
      <c r="G56" t="n">
        <v>1.8</v>
      </c>
      <c r="H56" t="n">
        <v>1</v>
      </c>
      <c r="I56" t="n">
        <v>0</v>
      </c>
      <c r="J56" t="n">
        <v>1</v>
      </c>
      <c r="K56" t="n">
        <v>0</v>
      </c>
      <c r="L56" t="n">
        <v>0</v>
      </c>
      <c r="M56" t="n">
        <v>0</v>
      </c>
      <c r="N56" t="n">
        <v>0</v>
      </c>
      <c r="O56" t="n">
        <v>1</v>
      </c>
      <c r="P56" t="n">
        <v>0</v>
      </c>
      <c r="Q56" t="n">
        <v>1</v>
      </c>
      <c r="R56" s="2" t="inlineStr">
        <is>
          <t>Gulsparv</t>
        </is>
      </c>
      <c r="S56">
        <f>HYPERLINK("https://klasma.github.io/Logging_0483/artfynd/A 65184-2021 artfynd.xlsx", "A 65184-2021")</f>
        <v/>
      </c>
      <c r="T56">
        <f>HYPERLINK("https://klasma.github.io/Logging_0483/kartor/A 65184-2021 karta.png", "A 65184-2021")</f>
        <v/>
      </c>
      <c r="V56">
        <f>HYPERLINK("https://klasma.github.io/Logging_0483/klagomål/A 65184-2021 FSC-klagomål.docx", "A 65184-2021")</f>
        <v/>
      </c>
      <c r="W56">
        <f>HYPERLINK("https://klasma.github.io/Logging_0483/klagomålsmail/A 65184-2021 FSC-klagomål mail.docx", "A 65184-2021")</f>
        <v/>
      </c>
      <c r="X56">
        <f>HYPERLINK("https://klasma.github.io/Logging_0483/tillsyn/A 65184-2021 tillsynsbegäran.docx", "A 65184-2021")</f>
        <v/>
      </c>
      <c r="Y56">
        <f>HYPERLINK("https://klasma.github.io/Logging_0483/tillsynsmail/A 65184-2021 tillsynsbegäran mail.docx", "A 65184-2021")</f>
        <v/>
      </c>
      <c r="Z56">
        <f>HYPERLINK("https://klasma.github.io/Logging_0483/fåglar/A 65184-2021 prioriterade fågelarter.docx", "A 65184-2021")</f>
        <v/>
      </c>
    </row>
    <row r="57" ht="15" customHeight="1">
      <c r="A57" t="inlineStr">
        <is>
          <t>A 72851-2021</t>
        </is>
      </c>
      <c r="B57" s="1" t="n">
        <v>44546</v>
      </c>
      <c r="C57" s="1" t="n">
        <v>45663</v>
      </c>
      <c r="D57" t="inlineStr">
        <is>
          <t>SÖDERMANLANDS LÄN</t>
        </is>
      </c>
      <c r="E57" t="inlineStr">
        <is>
          <t>KATRINEHOLM</t>
        </is>
      </c>
      <c r="G57" t="n">
        <v>0.7</v>
      </c>
      <c r="H57" t="n">
        <v>0</v>
      </c>
      <c r="I57" t="n">
        <v>0</v>
      </c>
      <c r="J57" t="n">
        <v>1</v>
      </c>
      <c r="K57" t="n">
        <v>0</v>
      </c>
      <c r="L57" t="n">
        <v>0</v>
      </c>
      <c r="M57" t="n">
        <v>0</v>
      </c>
      <c r="N57" t="n">
        <v>0</v>
      </c>
      <c r="O57" t="n">
        <v>1</v>
      </c>
      <c r="P57" t="n">
        <v>0</v>
      </c>
      <c r="Q57" t="n">
        <v>1</v>
      </c>
      <c r="R57" s="2" t="inlineStr">
        <is>
          <t>Klasefibbla</t>
        </is>
      </c>
      <c r="S57">
        <f>HYPERLINK("https://klasma.github.io/Logging_0483/artfynd/A 72851-2021 artfynd.xlsx", "A 72851-2021")</f>
        <v/>
      </c>
      <c r="T57">
        <f>HYPERLINK("https://klasma.github.io/Logging_0483/kartor/A 72851-2021 karta.png", "A 72851-2021")</f>
        <v/>
      </c>
      <c r="V57">
        <f>HYPERLINK("https://klasma.github.io/Logging_0483/klagomål/A 72851-2021 FSC-klagomål.docx", "A 72851-2021")</f>
        <v/>
      </c>
      <c r="W57">
        <f>HYPERLINK("https://klasma.github.io/Logging_0483/klagomålsmail/A 72851-2021 FSC-klagomål mail.docx", "A 72851-2021")</f>
        <v/>
      </c>
      <c r="X57">
        <f>HYPERLINK("https://klasma.github.io/Logging_0483/tillsyn/A 72851-2021 tillsynsbegäran.docx", "A 72851-2021")</f>
        <v/>
      </c>
      <c r="Y57">
        <f>HYPERLINK("https://klasma.github.io/Logging_0483/tillsynsmail/A 72851-2021 tillsynsbegäran mail.docx", "A 72851-2021")</f>
        <v/>
      </c>
    </row>
    <row r="58" ht="15" customHeight="1">
      <c r="A58" t="inlineStr">
        <is>
          <t>A 6076-2022</t>
        </is>
      </c>
      <c r="B58" s="1" t="n">
        <v>44599</v>
      </c>
      <c r="C58" s="1" t="n">
        <v>45663</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6768-2022</t>
        </is>
      </c>
      <c r="B59" s="1" t="n">
        <v>44602</v>
      </c>
      <c r="C59" s="1" t="n">
        <v>45663</v>
      </c>
      <c r="D59" t="inlineStr">
        <is>
          <t>SÖDERMANLANDS LÄN</t>
        </is>
      </c>
      <c r="E59" t="inlineStr">
        <is>
          <t>KATRINEHOLM</t>
        </is>
      </c>
      <c r="G59" t="n">
        <v>12</v>
      </c>
      <c r="H59" t="n">
        <v>0</v>
      </c>
      <c r="I59" t="n">
        <v>0</v>
      </c>
      <c r="J59" t="n">
        <v>1</v>
      </c>
      <c r="K59" t="n">
        <v>0</v>
      </c>
      <c r="L59" t="n">
        <v>0</v>
      </c>
      <c r="M59" t="n">
        <v>0</v>
      </c>
      <c r="N59" t="n">
        <v>0</v>
      </c>
      <c r="O59" t="n">
        <v>1</v>
      </c>
      <c r="P59" t="n">
        <v>0</v>
      </c>
      <c r="Q59" t="n">
        <v>1</v>
      </c>
      <c r="R59" s="2" t="inlineStr">
        <is>
          <t>Igelkott</t>
        </is>
      </c>
      <c r="S59">
        <f>HYPERLINK("https://klasma.github.io/Logging_0483/artfynd/A 6768-2022 artfynd.xlsx", "A 6768-2022")</f>
        <v/>
      </c>
      <c r="T59">
        <f>HYPERLINK("https://klasma.github.io/Logging_0483/kartor/A 6768-2022 karta.png", "A 6768-2022")</f>
        <v/>
      </c>
      <c r="V59">
        <f>HYPERLINK("https://klasma.github.io/Logging_0483/klagomål/A 6768-2022 FSC-klagomål.docx", "A 6768-2022")</f>
        <v/>
      </c>
      <c r="W59">
        <f>HYPERLINK("https://klasma.github.io/Logging_0483/klagomålsmail/A 6768-2022 FSC-klagomål mail.docx", "A 6768-2022")</f>
        <v/>
      </c>
      <c r="X59">
        <f>HYPERLINK("https://klasma.github.io/Logging_0483/tillsyn/A 6768-2022 tillsynsbegäran.docx", "A 6768-2022")</f>
        <v/>
      </c>
      <c r="Y59">
        <f>HYPERLINK("https://klasma.github.io/Logging_0483/tillsynsmail/A 6768-2022 tillsynsbegäran mail.docx", "A 6768-2022")</f>
        <v/>
      </c>
    </row>
    <row r="60" ht="15" customHeight="1">
      <c r="A60" t="inlineStr">
        <is>
          <t>A 16458-2022</t>
        </is>
      </c>
      <c r="B60" s="1" t="n">
        <v>44671</v>
      </c>
      <c r="C60" s="1" t="n">
        <v>45663</v>
      </c>
      <c r="D60" t="inlineStr">
        <is>
          <t>SÖDERMANLANDS LÄN</t>
        </is>
      </c>
      <c r="E60" t="inlineStr">
        <is>
          <t>KATRINEHOLM</t>
        </is>
      </c>
      <c r="G60" t="n">
        <v>16.4</v>
      </c>
      <c r="H60" t="n">
        <v>1</v>
      </c>
      <c r="I60" t="n">
        <v>0</v>
      </c>
      <c r="J60" t="n">
        <v>1</v>
      </c>
      <c r="K60" t="n">
        <v>0</v>
      </c>
      <c r="L60" t="n">
        <v>0</v>
      </c>
      <c r="M60" t="n">
        <v>0</v>
      </c>
      <c r="N60" t="n">
        <v>0</v>
      </c>
      <c r="O60" t="n">
        <v>1</v>
      </c>
      <c r="P60" t="n">
        <v>0</v>
      </c>
      <c r="Q60" t="n">
        <v>1</v>
      </c>
      <c r="R60" s="2" t="inlineStr">
        <is>
          <t>Duvhök</t>
        </is>
      </c>
      <c r="S60">
        <f>HYPERLINK("https://klasma.github.io/Logging_0483/artfynd/A 16458-2022 artfynd.xlsx", "A 16458-2022")</f>
        <v/>
      </c>
      <c r="T60">
        <f>HYPERLINK("https://klasma.github.io/Logging_0483/kartor/A 16458-2022 karta.png", "A 16458-2022")</f>
        <v/>
      </c>
      <c r="V60">
        <f>HYPERLINK("https://klasma.github.io/Logging_0483/klagomål/A 16458-2022 FSC-klagomål.docx", "A 16458-2022")</f>
        <v/>
      </c>
      <c r="W60">
        <f>HYPERLINK("https://klasma.github.io/Logging_0483/klagomålsmail/A 16458-2022 FSC-klagomål mail.docx", "A 16458-2022")</f>
        <v/>
      </c>
      <c r="X60">
        <f>HYPERLINK("https://klasma.github.io/Logging_0483/tillsyn/A 16458-2022 tillsynsbegäran.docx", "A 16458-2022")</f>
        <v/>
      </c>
      <c r="Y60">
        <f>HYPERLINK("https://klasma.github.io/Logging_0483/tillsynsmail/A 16458-2022 tillsynsbegäran mail.docx", "A 16458-2022")</f>
        <v/>
      </c>
      <c r="Z60">
        <f>HYPERLINK("https://klasma.github.io/Logging_0483/fåglar/A 16458-2022 prioriterade fågelarter.docx", "A 16458-2022")</f>
        <v/>
      </c>
    </row>
    <row r="61" ht="15" customHeight="1">
      <c r="A61" t="inlineStr">
        <is>
          <t>A 25724-2022</t>
        </is>
      </c>
      <c r="B61" s="1" t="n">
        <v>44733</v>
      </c>
      <c r="C61" s="1" t="n">
        <v>45663</v>
      </c>
      <c r="D61" t="inlineStr">
        <is>
          <t>SÖDERMANLANDS LÄN</t>
        </is>
      </c>
      <c r="E61" t="inlineStr">
        <is>
          <t>KATRINEHOLM</t>
        </is>
      </c>
      <c r="G61" t="n">
        <v>0.8</v>
      </c>
      <c r="H61" t="n">
        <v>0</v>
      </c>
      <c r="I61" t="n">
        <v>1</v>
      </c>
      <c r="J61" t="n">
        <v>0</v>
      </c>
      <c r="K61" t="n">
        <v>0</v>
      </c>
      <c r="L61" t="n">
        <v>0</v>
      </c>
      <c r="M61" t="n">
        <v>0</v>
      </c>
      <c r="N61" t="n">
        <v>0</v>
      </c>
      <c r="O61" t="n">
        <v>0</v>
      </c>
      <c r="P61" t="n">
        <v>0</v>
      </c>
      <c r="Q61" t="n">
        <v>1</v>
      </c>
      <c r="R61" s="2" t="inlineStr">
        <is>
          <t>Kamjordstjärna</t>
        </is>
      </c>
      <c r="S61">
        <f>HYPERLINK("https://klasma.github.io/Logging_0483/artfynd/A 25724-2022 artfynd.xlsx", "A 25724-2022")</f>
        <v/>
      </c>
      <c r="T61">
        <f>HYPERLINK("https://klasma.github.io/Logging_0483/kartor/A 25724-2022 karta.png", "A 25724-2022")</f>
        <v/>
      </c>
      <c r="V61">
        <f>HYPERLINK("https://klasma.github.io/Logging_0483/klagomål/A 25724-2022 FSC-klagomål.docx", "A 25724-2022")</f>
        <v/>
      </c>
      <c r="W61">
        <f>HYPERLINK("https://klasma.github.io/Logging_0483/klagomålsmail/A 25724-2022 FSC-klagomål mail.docx", "A 25724-2022")</f>
        <v/>
      </c>
      <c r="X61">
        <f>HYPERLINK("https://klasma.github.io/Logging_0483/tillsyn/A 25724-2022 tillsynsbegäran.docx", "A 25724-2022")</f>
        <v/>
      </c>
      <c r="Y61">
        <f>HYPERLINK("https://klasma.github.io/Logging_0483/tillsynsmail/A 25724-2022 tillsynsbegäran mail.docx", "A 25724-2022")</f>
        <v/>
      </c>
    </row>
    <row r="62" ht="15" customHeight="1">
      <c r="A62" t="inlineStr">
        <is>
          <t>A 28985-2022</t>
        </is>
      </c>
      <c r="B62" s="1" t="n">
        <v>44749</v>
      </c>
      <c r="C62" s="1" t="n">
        <v>45663</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30727-2022</t>
        </is>
      </c>
      <c r="B63" s="1" t="n">
        <v>44763</v>
      </c>
      <c r="C63" s="1" t="n">
        <v>45663</v>
      </c>
      <c r="D63" t="inlineStr">
        <is>
          <t>SÖDERMANLANDS LÄN</t>
        </is>
      </c>
      <c r="E63" t="inlineStr">
        <is>
          <t>KATRINEHOLM</t>
        </is>
      </c>
      <c r="F63" t="inlineStr">
        <is>
          <t>Allmännings- och besparingsskogar</t>
        </is>
      </c>
      <c r="G63" t="n">
        <v>6.6</v>
      </c>
      <c r="H63" t="n">
        <v>1</v>
      </c>
      <c r="I63" t="n">
        <v>0</v>
      </c>
      <c r="J63" t="n">
        <v>0</v>
      </c>
      <c r="K63" t="n">
        <v>1</v>
      </c>
      <c r="L63" t="n">
        <v>0</v>
      </c>
      <c r="M63" t="n">
        <v>0</v>
      </c>
      <c r="N63" t="n">
        <v>0</v>
      </c>
      <c r="O63" t="n">
        <v>1</v>
      </c>
      <c r="P63" t="n">
        <v>1</v>
      </c>
      <c r="Q63" t="n">
        <v>1</v>
      </c>
      <c r="R63" s="2" t="inlineStr">
        <is>
          <t>Knärot</t>
        </is>
      </c>
      <c r="S63">
        <f>HYPERLINK("https://klasma.github.io/Logging_0483/artfynd/A 30727-2022 artfynd.xlsx", "A 30727-2022")</f>
        <v/>
      </c>
      <c r="T63">
        <f>HYPERLINK("https://klasma.github.io/Logging_0483/kartor/A 30727-2022 karta.png", "A 30727-2022")</f>
        <v/>
      </c>
      <c r="U63">
        <f>HYPERLINK("https://klasma.github.io/Logging_0483/knärot/A 30727-2022 karta knärot.png", "A 30727-2022")</f>
        <v/>
      </c>
      <c r="V63">
        <f>HYPERLINK("https://klasma.github.io/Logging_0483/klagomål/A 30727-2022 FSC-klagomål.docx", "A 30727-2022")</f>
        <v/>
      </c>
      <c r="W63">
        <f>HYPERLINK("https://klasma.github.io/Logging_0483/klagomålsmail/A 30727-2022 FSC-klagomål mail.docx", "A 30727-2022")</f>
        <v/>
      </c>
      <c r="X63">
        <f>HYPERLINK("https://klasma.github.io/Logging_0483/tillsyn/A 30727-2022 tillsynsbegäran.docx", "A 30727-2022")</f>
        <v/>
      </c>
      <c r="Y63">
        <f>HYPERLINK("https://klasma.github.io/Logging_0483/tillsynsmail/A 30727-2022 tillsynsbegäran mail.docx", "A 30727-2022")</f>
        <v/>
      </c>
    </row>
    <row r="64" ht="15" customHeight="1">
      <c r="A64" t="inlineStr">
        <is>
          <t>A 36220-2022</t>
        </is>
      </c>
      <c r="B64" s="1" t="n">
        <v>44803</v>
      </c>
      <c r="C64" s="1" t="n">
        <v>45663</v>
      </c>
      <c r="D64" t="inlineStr">
        <is>
          <t>SÖDERMANLANDS LÄN</t>
        </is>
      </c>
      <c r="E64" t="inlineStr">
        <is>
          <t>KATRINEHOLM</t>
        </is>
      </c>
      <c r="G64" t="n">
        <v>3.1</v>
      </c>
      <c r="H64" t="n">
        <v>0</v>
      </c>
      <c r="I64" t="n">
        <v>1</v>
      </c>
      <c r="J64" t="n">
        <v>0</v>
      </c>
      <c r="K64" t="n">
        <v>0</v>
      </c>
      <c r="L64" t="n">
        <v>0</v>
      </c>
      <c r="M64" t="n">
        <v>0</v>
      </c>
      <c r="N64" t="n">
        <v>0</v>
      </c>
      <c r="O64" t="n">
        <v>0</v>
      </c>
      <c r="P64" t="n">
        <v>0</v>
      </c>
      <c r="Q64" t="n">
        <v>1</v>
      </c>
      <c r="R64" s="2" t="inlineStr">
        <is>
          <t>Granbräken</t>
        </is>
      </c>
      <c r="S64">
        <f>HYPERLINK("https://klasma.github.io/Logging_0483/artfynd/A 36220-2022 artfynd.xlsx", "A 36220-2022")</f>
        <v/>
      </c>
      <c r="T64">
        <f>HYPERLINK("https://klasma.github.io/Logging_0483/kartor/A 36220-2022 karta.png", "A 36220-2022")</f>
        <v/>
      </c>
      <c r="V64">
        <f>HYPERLINK("https://klasma.github.io/Logging_0483/klagomål/A 36220-2022 FSC-klagomål.docx", "A 36220-2022")</f>
        <v/>
      </c>
      <c r="W64">
        <f>HYPERLINK("https://klasma.github.io/Logging_0483/klagomålsmail/A 36220-2022 FSC-klagomål mail.docx", "A 36220-2022")</f>
        <v/>
      </c>
      <c r="X64">
        <f>HYPERLINK("https://klasma.github.io/Logging_0483/tillsyn/A 36220-2022 tillsynsbegäran.docx", "A 36220-2022")</f>
        <v/>
      </c>
      <c r="Y64">
        <f>HYPERLINK("https://klasma.github.io/Logging_0483/tillsynsmail/A 36220-2022 tillsynsbegäran mail.docx", "A 36220-2022")</f>
        <v/>
      </c>
    </row>
    <row r="65" ht="15" customHeight="1">
      <c r="A65" t="inlineStr">
        <is>
          <t>A 42745-2022</t>
        </is>
      </c>
      <c r="B65" s="1" t="n">
        <v>44831</v>
      </c>
      <c r="C65" s="1" t="n">
        <v>45663</v>
      </c>
      <c r="D65" t="inlineStr">
        <is>
          <t>SÖDERMANLANDS LÄN</t>
        </is>
      </c>
      <c r="E65" t="inlineStr">
        <is>
          <t>KATRINEHOLM</t>
        </is>
      </c>
      <c r="G65" t="n">
        <v>4.6</v>
      </c>
      <c r="H65" t="n">
        <v>0</v>
      </c>
      <c r="I65" t="n">
        <v>0</v>
      </c>
      <c r="J65" t="n">
        <v>1</v>
      </c>
      <c r="K65" t="n">
        <v>0</v>
      </c>
      <c r="L65" t="n">
        <v>0</v>
      </c>
      <c r="M65" t="n">
        <v>0</v>
      </c>
      <c r="N65" t="n">
        <v>0</v>
      </c>
      <c r="O65" t="n">
        <v>1</v>
      </c>
      <c r="P65" t="n">
        <v>0</v>
      </c>
      <c r="Q65" t="n">
        <v>1</v>
      </c>
      <c r="R65" s="2" t="inlineStr">
        <is>
          <t>Svedjenäva</t>
        </is>
      </c>
      <c r="S65">
        <f>HYPERLINK("https://klasma.github.io/Logging_0483/artfynd/A 42745-2022 artfynd.xlsx", "A 42745-2022")</f>
        <v/>
      </c>
      <c r="T65">
        <f>HYPERLINK("https://klasma.github.io/Logging_0483/kartor/A 42745-2022 karta.png", "A 42745-2022")</f>
        <v/>
      </c>
      <c r="V65">
        <f>HYPERLINK("https://klasma.github.io/Logging_0483/klagomål/A 42745-2022 FSC-klagomål.docx", "A 42745-2022")</f>
        <v/>
      </c>
      <c r="W65">
        <f>HYPERLINK("https://klasma.github.io/Logging_0483/klagomålsmail/A 42745-2022 FSC-klagomål mail.docx", "A 42745-2022")</f>
        <v/>
      </c>
      <c r="X65">
        <f>HYPERLINK("https://klasma.github.io/Logging_0483/tillsyn/A 42745-2022 tillsynsbegäran.docx", "A 42745-2022")</f>
        <v/>
      </c>
      <c r="Y65">
        <f>HYPERLINK("https://klasma.github.io/Logging_0483/tillsynsmail/A 42745-2022 tillsynsbegäran mail.docx", "A 42745-2022")</f>
        <v/>
      </c>
    </row>
    <row r="66" ht="15" customHeight="1">
      <c r="A66" t="inlineStr">
        <is>
          <t>A 44262-2022</t>
        </is>
      </c>
      <c r="B66" s="1" t="n">
        <v>44839</v>
      </c>
      <c r="C66" s="1" t="n">
        <v>45663</v>
      </c>
      <c r="D66" t="inlineStr">
        <is>
          <t>SÖDERMANLANDS LÄN</t>
        </is>
      </c>
      <c r="E66" t="inlineStr">
        <is>
          <t>KATRINEHOLM</t>
        </is>
      </c>
      <c r="G66" t="n">
        <v>0.1</v>
      </c>
      <c r="H66" t="n">
        <v>1</v>
      </c>
      <c r="I66" t="n">
        <v>0</v>
      </c>
      <c r="J66" t="n">
        <v>0</v>
      </c>
      <c r="K66" t="n">
        <v>1</v>
      </c>
      <c r="L66" t="n">
        <v>0</v>
      </c>
      <c r="M66" t="n">
        <v>0</v>
      </c>
      <c r="N66" t="n">
        <v>0</v>
      </c>
      <c r="O66" t="n">
        <v>1</v>
      </c>
      <c r="P66" t="n">
        <v>1</v>
      </c>
      <c r="Q66" t="n">
        <v>1</v>
      </c>
      <c r="R66" s="2" t="inlineStr">
        <is>
          <t>Bombmurkla</t>
        </is>
      </c>
      <c r="S66">
        <f>HYPERLINK("https://klasma.github.io/Logging_0483/artfynd/A 44262-2022 artfynd.xlsx", "A 44262-2022")</f>
        <v/>
      </c>
      <c r="T66">
        <f>HYPERLINK("https://klasma.github.io/Logging_0483/kartor/A 44262-2022 karta.png", "A 44262-2022")</f>
        <v/>
      </c>
      <c r="V66">
        <f>HYPERLINK("https://klasma.github.io/Logging_0483/klagomål/A 44262-2022 FSC-klagomål.docx", "A 44262-2022")</f>
        <v/>
      </c>
      <c r="W66">
        <f>HYPERLINK("https://klasma.github.io/Logging_0483/klagomålsmail/A 44262-2022 FSC-klagomål mail.docx", "A 44262-2022")</f>
        <v/>
      </c>
      <c r="X66">
        <f>HYPERLINK("https://klasma.github.io/Logging_0483/tillsyn/A 44262-2022 tillsynsbegäran.docx", "A 44262-2022")</f>
        <v/>
      </c>
      <c r="Y66">
        <f>HYPERLINK("https://klasma.github.io/Logging_0483/tillsynsmail/A 44262-2022 tillsynsbegäran mail.docx", "A 44262-2022")</f>
        <v/>
      </c>
    </row>
    <row r="67" ht="15" customHeight="1">
      <c r="A67" t="inlineStr">
        <is>
          <t>A 48822-2022</t>
        </is>
      </c>
      <c r="B67" s="1" t="n">
        <v>44854</v>
      </c>
      <c r="C67" s="1" t="n">
        <v>45663</v>
      </c>
      <c r="D67" t="inlineStr">
        <is>
          <t>SÖDERMANLANDS LÄN</t>
        </is>
      </c>
      <c r="E67" t="inlineStr">
        <is>
          <t>KATRINEHOLM</t>
        </is>
      </c>
      <c r="G67" t="n">
        <v>8.6</v>
      </c>
      <c r="H67" t="n">
        <v>0</v>
      </c>
      <c r="I67" t="n">
        <v>1</v>
      </c>
      <c r="J67" t="n">
        <v>0</v>
      </c>
      <c r="K67" t="n">
        <v>0</v>
      </c>
      <c r="L67" t="n">
        <v>0</v>
      </c>
      <c r="M67" t="n">
        <v>0</v>
      </c>
      <c r="N67" t="n">
        <v>0</v>
      </c>
      <c r="O67" t="n">
        <v>0</v>
      </c>
      <c r="P67" t="n">
        <v>0</v>
      </c>
      <c r="Q67" t="n">
        <v>1</v>
      </c>
      <c r="R67" s="2" t="inlineStr">
        <is>
          <t>Vågbandad barkbock</t>
        </is>
      </c>
      <c r="S67">
        <f>HYPERLINK("https://klasma.github.io/Logging_0483/artfynd/A 48822-2022 artfynd.xlsx", "A 48822-2022")</f>
        <v/>
      </c>
      <c r="T67">
        <f>HYPERLINK("https://klasma.github.io/Logging_0483/kartor/A 48822-2022 karta.png", "A 48822-2022")</f>
        <v/>
      </c>
      <c r="V67">
        <f>HYPERLINK("https://klasma.github.io/Logging_0483/klagomål/A 48822-2022 FSC-klagomål.docx", "A 48822-2022")</f>
        <v/>
      </c>
      <c r="W67">
        <f>HYPERLINK("https://klasma.github.io/Logging_0483/klagomålsmail/A 48822-2022 FSC-klagomål mail.docx", "A 48822-2022")</f>
        <v/>
      </c>
      <c r="X67">
        <f>HYPERLINK("https://klasma.github.io/Logging_0483/tillsyn/A 48822-2022 tillsynsbegäran.docx", "A 48822-2022")</f>
        <v/>
      </c>
      <c r="Y67">
        <f>HYPERLINK("https://klasma.github.io/Logging_0483/tillsynsmail/A 48822-2022 tillsynsbegäran mail.docx", "A 48822-2022")</f>
        <v/>
      </c>
    </row>
    <row r="68" ht="15" customHeight="1">
      <c r="A68" t="inlineStr">
        <is>
          <t>A 53871-2022</t>
        </is>
      </c>
      <c r="B68" s="1" t="n">
        <v>44876</v>
      </c>
      <c r="C68" s="1" t="n">
        <v>45663</v>
      </c>
      <c r="D68" t="inlineStr">
        <is>
          <t>SÖDERMANLANDS LÄN</t>
        </is>
      </c>
      <c r="E68" t="inlineStr">
        <is>
          <t>KATRINEHOLM</t>
        </is>
      </c>
      <c r="G68" t="n">
        <v>5.3</v>
      </c>
      <c r="H68" t="n">
        <v>1</v>
      </c>
      <c r="I68" t="n">
        <v>0</v>
      </c>
      <c r="J68" t="n">
        <v>0</v>
      </c>
      <c r="K68" t="n">
        <v>0</v>
      </c>
      <c r="L68" t="n">
        <v>0</v>
      </c>
      <c r="M68" t="n">
        <v>0</v>
      </c>
      <c r="N68" t="n">
        <v>0</v>
      </c>
      <c r="O68" t="n">
        <v>0</v>
      </c>
      <c r="P68" t="n">
        <v>0</v>
      </c>
      <c r="Q68" t="n">
        <v>1</v>
      </c>
      <c r="R68" s="2" t="inlineStr">
        <is>
          <t>Törnskata</t>
        </is>
      </c>
      <c r="S68">
        <f>HYPERLINK("https://klasma.github.io/Logging_0483/artfynd/A 53871-2022 artfynd.xlsx", "A 53871-2022")</f>
        <v/>
      </c>
      <c r="T68">
        <f>HYPERLINK("https://klasma.github.io/Logging_0483/kartor/A 53871-2022 karta.png", "A 53871-2022")</f>
        <v/>
      </c>
      <c r="V68">
        <f>HYPERLINK("https://klasma.github.io/Logging_0483/klagomål/A 53871-2022 FSC-klagomål.docx", "A 53871-2022")</f>
        <v/>
      </c>
      <c r="W68">
        <f>HYPERLINK("https://klasma.github.io/Logging_0483/klagomålsmail/A 53871-2022 FSC-klagomål mail.docx", "A 53871-2022")</f>
        <v/>
      </c>
      <c r="X68">
        <f>HYPERLINK("https://klasma.github.io/Logging_0483/tillsyn/A 53871-2022 tillsynsbegäran.docx", "A 53871-2022")</f>
        <v/>
      </c>
      <c r="Y68">
        <f>HYPERLINK("https://klasma.github.io/Logging_0483/tillsynsmail/A 53871-2022 tillsynsbegäran mail.docx", "A 53871-2022")</f>
        <v/>
      </c>
      <c r="Z68">
        <f>HYPERLINK("https://klasma.github.io/Logging_0483/fåglar/A 53871-2022 prioriterade fågelarter.docx", "A 53871-2022")</f>
        <v/>
      </c>
    </row>
    <row r="69" ht="15" customHeight="1">
      <c r="A69" t="inlineStr">
        <is>
          <t>A 56074-2022</t>
        </is>
      </c>
      <c r="B69" s="1" t="n">
        <v>44889</v>
      </c>
      <c r="C69" s="1" t="n">
        <v>45663</v>
      </c>
      <c r="D69" t="inlineStr">
        <is>
          <t>SÖDERMANLANDS LÄN</t>
        </is>
      </c>
      <c r="E69" t="inlineStr">
        <is>
          <t>KATRINEHOLM</t>
        </is>
      </c>
      <c r="G69" t="n">
        <v>13.6</v>
      </c>
      <c r="H69" t="n">
        <v>1</v>
      </c>
      <c r="I69" t="n">
        <v>0</v>
      </c>
      <c r="J69" t="n">
        <v>0</v>
      </c>
      <c r="K69" t="n">
        <v>0</v>
      </c>
      <c r="L69" t="n">
        <v>0</v>
      </c>
      <c r="M69" t="n">
        <v>0</v>
      </c>
      <c r="N69" t="n">
        <v>0</v>
      </c>
      <c r="O69" t="n">
        <v>0</v>
      </c>
      <c r="P69" t="n">
        <v>0</v>
      </c>
      <c r="Q69" t="n">
        <v>1</v>
      </c>
      <c r="R69" s="2" t="inlineStr">
        <is>
          <t>Revlummer</t>
        </is>
      </c>
      <c r="S69">
        <f>HYPERLINK("https://klasma.github.io/Logging_0483/artfynd/A 56074-2022 artfynd.xlsx", "A 56074-2022")</f>
        <v/>
      </c>
      <c r="T69">
        <f>HYPERLINK("https://klasma.github.io/Logging_0483/kartor/A 56074-2022 karta.png", "A 56074-2022")</f>
        <v/>
      </c>
      <c r="V69">
        <f>HYPERLINK("https://klasma.github.io/Logging_0483/klagomål/A 56074-2022 FSC-klagomål.docx", "A 56074-2022")</f>
        <v/>
      </c>
      <c r="W69">
        <f>HYPERLINK("https://klasma.github.io/Logging_0483/klagomålsmail/A 56074-2022 FSC-klagomål mail.docx", "A 56074-2022")</f>
        <v/>
      </c>
      <c r="X69">
        <f>HYPERLINK("https://klasma.github.io/Logging_0483/tillsyn/A 56074-2022 tillsynsbegäran.docx", "A 56074-2022")</f>
        <v/>
      </c>
      <c r="Y69">
        <f>HYPERLINK("https://klasma.github.io/Logging_0483/tillsynsmail/A 56074-2022 tillsynsbegäran mail.docx", "A 56074-2022")</f>
        <v/>
      </c>
    </row>
    <row r="70" ht="15" customHeight="1">
      <c r="A70" t="inlineStr">
        <is>
          <t>A 12238-2023</t>
        </is>
      </c>
      <c r="B70" s="1" t="n">
        <v>44995</v>
      </c>
      <c r="C70" s="1" t="n">
        <v>45663</v>
      </c>
      <c r="D70" t="inlineStr">
        <is>
          <t>SÖDERMANLANDS LÄN</t>
        </is>
      </c>
      <c r="E70" t="inlineStr">
        <is>
          <t>KATRINEHOLM</t>
        </is>
      </c>
      <c r="F70" t="inlineStr">
        <is>
          <t>Övriga Aktiebolag</t>
        </is>
      </c>
      <c r="G70" t="n">
        <v>58</v>
      </c>
      <c r="H70" t="n">
        <v>0</v>
      </c>
      <c r="I70" t="n">
        <v>0</v>
      </c>
      <c r="J70" t="n">
        <v>1</v>
      </c>
      <c r="K70" t="n">
        <v>0</v>
      </c>
      <c r="L70" t="n">
        <v>0</v>
      </c>
      <c r="M70" t="n">
        <v>0</v>
      </c>
      <c r="N70" t="n">
        <v>0</v>
      </c>
      <c r="O70" t="n">
        <v>1</v>
      </c>
      <c r="P70" t="n">
        <v>0</v>
      </c>
      <c r="Q70" t="n">
        <v>1</v>
      </c>
      <c r="R70" s="2" t="inlineStr">
        <is>
          <t>Skogsklocka</t>
        </is>
      </c>
      <c r="S70">
        <f>HYPERLINK("https://klasma.github.io/Logging_0483/artfynd/A 12238-2023 artfynd.xlsx", "A 12238-2023")</f>
        <v/>
      </c>
      <c r="T70">
        <f>HYPERLINK("https://klasma.github.io/Logging_0483/kartor/A 12238-2023 karta.png", "A 12238-2023")</f>
        <v/>
      </c>
      <c r="V70">
        <f>HYPERLINK("https://klasma.github.io/Logging_0483/klagomål/A 12238-2023 FSC-klagomål.docx", "A 12238-2023")</f>
        <v/>
      </c>
      <c r="W70">
        <f>HYPERLINK("https://klasma.github.io/Logging_0483/klagomålsmail/A 12238-2023 FSC-klagomål mail.docx", "A 12238-2023")</f>
        <v/>
      </c>
      <c r="X70">
        <f>HYPERLINK("https://klasma.github.io/Logging_0483/tillsyn/A 12238-2023 tillsynsbegäran.docx", "A 12238-2023")</f>
        <v/>
      </c>
      <c r="Y70">
        <f>HYPERLINK("https://klasma.github.io/Logging_0483/tillsynsmail/A 12238-2023 tillsynsbegäran mail.docx", "A 12238-2023")</f>
        <v/>
      </c>
    </row>
    <row r="71" ht="15" customHeight="1">
      <c r="A71" t="inlineStr">
        <is>
          <t>A 11890-2023</t>
        </is>
      </c>
      <c r="B71" s="1" t="n">
        <v>44995</v>
      </c>
      <c r="C71" s="1" t="n">
        <v>45663</v>
      </c>
      <c r="D71" t="inlineStr">
        <is>
          <t>SÖDERMANLANDS LÄN</t>
        </is>
      </c>
      <c r="E71" t="inlineStr">
        <is>
          <t>KATRINEHOLM</t>
        </is>
      </c>
      <c r="F71" t="inlineStr">
        <is>
          <t>Kommuner</t>
        </is>
      </c>
      <c r="G71" t="n">
        <v>6.7</v>
      </c>
      <c r="H71" t="n">
        <v>1</v>
      </c>
      <c r="I71" t="n">
        <v>1</v>
      </c>
      <c r="J71" t="n">
        <v>0</v>
      </c>
      <c r="K71" t="n">
        <v>0</v>
      </c>
      <c r="L71" t="n">
        <v>0</v>
      </c>
      <c r="M71" t="n">
        <v>0</v>
      </c>
      <c r="N71" t="n">
        <v>0</v>
      </c>
      <c r="O71" t="n">
        <v>0</v>
      </c>
      <c r="P71" t="n">
        <v>0</v>
      </c>
      <c r="Q71" t="n">
        <v>1</v>
      </c>
      <c r="R71" s="2" t="inlineStr">
        <is>
          <t>Skogsknipprot</t>
        </is>
      </c>
      <c r="S71">
        <f>HYPERLINK("https://klasma.github.io/Logging_0483/artfynd/A 11890-2023 artfynd.xlsx", "A 11890-2023")</f>
        <v/>
      </c>
      <c r="T71">
        <f>HYPERLINK("https://klasma.github.io/Logging_0483/kartor/A 11890-2023 karta.png", "A 11890-2023")</f>
        <v/>
      </c>
      <c r="V71">
        <f>HYPERLINK("https://klasma.github.io/Logging_0483/klagomål/A 11890-2023 FSC-klagomål.docx", "A 11890-2023")</f>
        <v/>
      </c>
      <c r="W71">
        <f>HYPERLINK("https://klasma.github.io/Logging_0483/klagomålsmail/A 11890-2023 FSC-klagomål mail.docx", "A 11890-2023")</f>
        <v/>
      </c>
      <c r="X71">
        <f>HYPERLINK("https://klasma.github.io/Logging_0483/tillsyn/A 11890-2023 tillsynsbegäran.docx", "A 11890-2023")</f>
        <v/>
      </c>
      <c r="Y71">
        <f>HYPERLINK("https://klasma.github.io/Logging_0483/tillsynsmail/A 11890-2023 tillsynsbegäran mail.docx", "A 11890-2023")</f>
        <v/>
      </c>
    </row>
    <row r="72" ht="15" customHeight="1">
      <c r="A72" t="inlineStr">
        <is>
          <t>A 14013-2023</t>
        </is>
      </c>
      <c r="B72" s="1" t="n">
        <v>45007</v>
      </c>
      <c r="C72" s="1" t="n">
        <v>45663</v>
      </c>
      <c r="D72" t="inlineStr">
        <is>
          <t>SÖDERMANLANDS LÄN</t>
        </is>
      </c>
      <c r="E72" t="inlineStr">
        <is>
          <t>KATRINEHOLM</t>
        </is>
      </c>
      <c r="G72" t="n">
        <v>10.8</v>
      </c>
      <c r="H72" t="n">
        <v>1</v>
      </c>
      <c r="I72" t="n">
        <v>0</v>
      </c>
      <c r="J72" t="n">
        <v>1</v>
      </c>
      <c r="K72" t="n">
        <v>0</v>
      </c>
      <c r="L72" t="n">
        <v>0</v>
      </c>
      <c r="M72" t="n">
        <v>0</v>
      </c>
      <c r="N72" t="n">
        <v>0</v>
      </c>
      <c r="O72" t="n">
        <v>1</v>
      </c>
      <c r="P72" t="n">
        <v>0</v>
      </c>
      <c r="Q72" t="n">
        <v>1</v>
      </c>
      <c r="R72" s="2" t="inlineStr">
        <is>
          <t>Grönsångare</t>
        </is>
      </c>
      <c r="S72">
        <f>HYPERLINK("https://klasma.github.io/Logging_0483/artfynd/A 14013-2023 artfynd.xlsx", "A 14013-2023")</f>
        <v/>
      </c>
      <c r="T72">
        <f>HYPERLINK("https://klasma.github.io/Logging_0483/kartor/A 14013-2023 karta.png", "A 14013-2023")</f>
        <v/>
      </c>
      <c r="V72">
        <f>HYPERLINK("https://klasma.github.io/Logging_0483/klagomål/A 14013-2023 FSC-klagomål.docx", "A 14013-2023")</f>
        <v/>
      </c>
      <c r="W72">
        <f>HYPERLINK("https://klasma.github.io/Logging_0483/klagomålsmail/A 14013-2023 FSC-klagomål mail.docx", "A 14013-2023")</f>
        <v/>
      </c>
      <c r="X72">
        <f>HYPERLINK("https://klasma.github.io/Logging_0483/tillsyn/A 14013-2023 tillsynsbegäran.docx", "A 14013-2023")</f>
        <v/>
      </c>
      <c r="Y72">
        <f>HYPERLINK("https://klasma.github.io/Logging_0483/tillsynsmail/A 14013-2023 tillsynsbegäran mail.docx", "A 14013-2023")</f>
        <v/>
      </c>
      <c r="Z72">
        <f>HYPERLINK("https://klasma.github.io/Logging_0483/fåglar/A 14013-2023 prioriterade fågelarter.docx", "A 14013-2023")</f>
        <v/>
      </c>
    </row>
    <row r="73" ht="15" customHeight="1">
      <c r="A73" t="inlineStr">
        <is>
          <t>A 23568-2023</t>
        </is>
      </c>
      <c r="B73" s="1" t="n">
        <v>45077</v>
      </c>
      <c r="C73" s="1" t="n">
        <v>45663</v>
      </c>
      <c r="D73" t="inlineStr">
        <is>
          <t>SÖDERMANLANDS LÄN</t>
        </is>
      </c>
      <c r="E73" t="inlineStr">
        <is>
          <t>KATRINEHOLM</t>
        </is>
      </c>
      <c r="F73" t="inlineStr">
        <is>
          <t>Kommuner</t>
        </is>
      </c>
      <c r="G73" t="n">
        <v>1.4</v>
      </c>
      <c r="H73" t="n">
        <v>0</v>
      </c>
      <c r="I73" t="n">
        <v>0</v>
      </c>
      <c r="J73" t="n">
        <v>1</v>
      </c>
      <c r="K73" t="n">
        <v>0</v>
      </c>
      <c r="L73" t="n">
        <v>0</v>
      </c>
      <c r="M73" t="n">
        <v>0</v>
      </c>
      <c r="N73" t="n">
        <v>0</v>
      </c>
      <c r="O73" t="n">
        <v>1</v>
      </c>
      <c r="P73" t="n">
        <v>0</v>
      </c>
      <c r="Q73" t="n">
        <v>1</v>
      </c>
      <c r="R73" s="2" t="inlineStr">
        <is>
          <t>Fyrflikig jordstjärna</t>
        </is>
      </c>
      <c r="S73">
        <f>HYPERLINK("https://klasma.github.io/Logging_0483/artfynd/A 23568-2023 artfynd.xlsx", "A 23568-2023")</f>
        <v/>
      </c>
      <c r="T73">
        <f>HYPERLINK("https://klasma.github.io/Logging_0483/kartor/A 23568-2023 karta.png", "A 23568-2023")</f>
        <v/>
      </c>
      <c r="V73">
        <f>HYPERLINK("https://klasma.github.io/Logging_0483/klagomål/A 23568-2023 FSC-klagomål.docx", "A 23568-2023")</f>
        <v/>
      </c>
      <c r="W73">
        <f>HYPERLINK("https://klasma.github.io/Logging_0483/klagomålsmail/A 23568-2023 FSC-klagomål mail.docx", "A 23568-2023")</f>
        <v/>
      </c>
      <c r="X73">
        <f>HYPERLINK("https://klasma.github.io/Logging_0483/tillsyn/A 23568-2023 tillsynsbegäran.docx", "A 23568-2023")</f>
        <v/>
      </c>
      <c r="Y73">
        <f>HYPERLINK("https://klasma.github.io/Logging_0483/tillsynsmail/A 23568-2023 tillsynsbegäran mail.docx", "A 23568-2023")</f>
        <v/>
      </c>
    </row>
    <row r="74" ht="15" customHeight="1">
      <c r="A74" t="inlineStr">
        <is>
          <t>A 26950-2023</t>
        </is>
      </c>
      <c r="B74" s="1" t="n">
        <v>45091</v>
      </c>
      <c r="C74" s="1" t="n">
        <v>45663</v>
      </c>
      <c r="D74" t="inlineStr">
        <is>
          <t>SÖDERMANLANDS LÄN</t>
        </is>
      </c>
      <c r="E74" t="inlineStr">
        <is>
          <t>KATRINEHOLM</t>
        </is>
      </c>
      <c r="G74" t="n">
        <v>13.5</v>
      </c>
      <c r="H74" t="n">
        <v>1</v>
      </c>
      <c r="I74" t="n">
        <v>0</v>
      </c>
      <c r="J74" t="n">
        <v>1</v>
      </c>
      <c r="K74" t="n">
        <v>0</v>
      </c>
      <c r="L74" t="n">
        <v>0</v>
      </c>
      <c r="M74" t="n">
        <v>0</v>
      </c>
      <c r="N74" t="n">
        <v>0</v>
      </c>
      <c r="O74" t="n">
        <v>1</v>
      </c>
      <c r="P74" t="n">
        <v>0</v>
      </c>
      <c r="Q74" t="n">
        <v>1</v>
      </c>
      <c r="R74" s="2" t="inlineStr">
        <is>
          <t>Havsörn</t>
        </is>
      </c>
      <c r="S74">
        <f>HYPERLINK("https://klasma.github.io/Logging_0483/artfynd/A 26950-2023 artfynd.xlsx", "A 26950-2023")</f>
        <v/>
      </c>
      <c r="T74">
        <f>HYPERLINK("https://klasma.github.io/Logging_0483/kartor/A 26950-2023 karta.png", "A 26950-2023")</f>
        <v/>
      </c>
      <c r="V74">
        <f>HYPERLINK("https://klasma.github.io/Logging_0483/klagomål/A 26950-2023 FSC-klagomål.docx", "A 26950-2023")</f>
        <v/>
      </c>
      <c r="W74">
        <f>HYPERLINK("https://klasma.github.io/Logging_0483/klagomålsmail/A 26950-2023 FSC-klagomål mail.docx", "A 26950-2023")</f>
        <v/>
      </c>
      <c r="X74">
        <f>HYPERLINK("https://klasma.github.io/Logging_0483/tillsyn/A 26950-2023 tillsynsbegäran.docx", "A 26950-2023")</f>
        <v/>
      </c>
      <c r="Y74">
        <f>HYPERLINK("https://klasma.github.io/Logging_0483/tillsynsmail/A 26950-2023 tillsynsbegäran mail.docx", "A 26950-2023")</f>
        <v/>
      </c>
      <c r="Z74">
        <f>HYPERLINK("https://klasma.github.io/Logging_0483/fåglar/A 26950-2023 prioriterade fågelarter.docx", "A 26950-2023")</f>
        <v/>
      </c>
    </row>
    <row r="75" ht="15" customHeight="1">
      <c r="A75" t="inlineStr">
        <is>
          <t>A 30229-2023</t>
        </is>
      </c>
      <c r="B75" s="1" t="n">
        <v>45099</v>
      </c>
      <c r="C75" s="1" t="n">
        <v>45663</v>
      </c>
      <c r="D75" t="inlineStr">
        <is>
          <t>SÖDERMANLANDS LÄN</t>
        </is>
      </c>
      <c r="E75" t="inlineStr">
        <is>
          <t>KATRINEHOLM</t>
        </is>
      </c>
      <c r="G75" t="n">
        <v>11.8</v>
      </c>
      <c r="H75" t="n">
        <v>0</v>
      </c>
      <c r="I75" t="n">
        <v>0</v>
      </c>
      <c r="J75" t="n">
        <v>1</v>
      </c>
      <c r="K75" t="n">
        <v>0</v>
      </c>
      <c r="L75" t="n">
        <v>0</v>
      </c>
      <c r="M75" t="n">
        <v>0</v>
      </c>
      <c r="N75" t="n">
        <v>0</v>
      </c>
      <c r="O75" t="n">
        <v>1</v>
      </c>
      <c r="P75" t="n">
        <v>0</v>
      </c>
      <c r="Q75" t="n">
        <v>1</v>
      </c>
      <c r="R75" s="2" t="inlineStr">
        <is>
          <t>Silversmygare</t>
        </is>
      </c>
      <c r="S75">
        <f>HYPERLINK("https://klasma.github.io/Logging_0483/artfynd/A 30229-2023 artfynd.xlsx", "A 30229-2023")</f>
        <v/>
      </c>
      <c r="T75">
        <f>HYPERLINK("https://klasma.github.io/Logging_0483/kartor/A 30229-2023 karta.png", "A 30229-2023")</f>
        <v/>
      </c>
      <c r="V75">
        <f>HYPERLINK("https://klasma.github.io/Logging_0483/klagomål/A 30229-2023 FSC-klagomål.docx", "A 30229-2023")</f>
        <v/>
      </c>
      <c r="W75">
        <f>HYPERLINK("https://klasma.github.io/Logging_0483/klagomålsmail/A 30229-2023 FSC-klagomål mail.docx", "A 30229-2023")</f>
        <v/>
      </c>
      <c r="X75">
        <f>HYPERLINK("https://klasma.github.io/Logging_0483/tillsyn/A 30229-2023 tillsynsbegäran.docx", "A 30229-2023")</f>
        <v/>
      </c>
      <c r="Y75">
        <f>HYPERLINK("https://klasma.github.io/Logging_0483/tillsynsmail/A 30229-2023 tillsynsbegäran mail.docx", "A 30229-2023")</f>
        <v/>
      </c>
    </row>
    <row r="76" ht="15" customHeight="1">
      <c r="A76" t="inlineStr">
        <is>
          <t>A 30045-2023</t>
        </is>
      </c>
      <c r="B76" s="1" t="n">
        <v>45110</v>
      </c>
      <c r="C76" s="1" t="n">
        <v>45663</v>
      </c>
      <c r="D76" t="inlineStr">
        <is>
          <t>SÖDERMANLANDS LÄN</t>
        </is>
      </c>
      <c r="E76" t="inlineStr">
        <is>
          <t>KATRINEHOLM</t>
        </is>
      </c>
      <c r="F76" t="inlineStr">
        <is>
          <t>Holmen skog AB</t>
        </is>
      </c>
      <c r="G76" t="n">
        <v>1.5</v>
      </c>
      <c r="H76" t="n">
        <v>0</v>
      </c>
      <c r="I76" t="n">
        <v>0</v>
      </c>
      <c r="J76" t="n">
        <v>1</v>
      </c>
      <c r="K76" t="n">
        <v>0</v>
      </c>
      <c r="L76" t="n">
        <v>0</v>
      </c>
      <c r="M76" t="n">
        <v>0</v>
      </c>
      <c r="N76" t="n">
        <v>0</v>
      </c>
      <c r="O76" t="n">
        <v>1</v>
      </c>
      <c r="P76" t="n">
        <v>0</v>
      </c>
      <c r="Q76" t="n">
        <v>1</v>
      </c>
      <c r="R76" s="2" t="inlineStr">
        <is>
          <t>Tallticka</t>
        </is>
      </c>
      <c r="S76">
        <f>HYPERLINK("https://klasma.github.io/Logging_0483/artfynd/A 30045-2023 artfynd.xlsx", "A 30045-2023")</f>
        <v/>
      </c>
      <c r="T76">
        <f>HYPERLINK("https://klasma.github.io/Logging_0483/kartor/A 30045-2023 karta.png", "A 30045-2023")</f>
        <v/>
      </c>
      <c r="V76">
        <f>HYPERLINK("https://klasma.github.io/Logging_0483/klagomål/A 30045-2023 FSC-klagomål.docx", "A 30045-2023")</f>
        <v/>
      </c>
      <c r="W76">
        <f>HYPERLINK("https://klasma.github.io/Logging_0483/klagomålsmail/A 30045-2023 FSC-klagomål mail.docx", "A 30045-2023")</f>
        <v/>
      </c>
      <c r="X76">
        <f>HYPERLINK("https://klasma.github.io/Logging_0483/tillsyn/A 30045-2023 tillsynsbegäran.docx", "A 30045-2023")</f>
        <v/>
      </c>
      <c r="Y76">
        <f>HYPERLINK("https://klasma.github.io/Logging_0483/tillsynsmail/A 30045-2023 tillsynsbegäran mail.docx", "A 30045-2023")</f>
        <v/>
      </c>
    </row>
    <row r="77" ht="15" customHeight="1">
      <c r="A77" t="inlineStr">
        <is>
          <t>A 30124-2023</t>
        </is>
      </c>
      <c r="B77" s="1" t="n">
        <v>45110</v>
      </c>
      <c r="C77" s="1" t="n">
        <v>45663</v>
      </c>
      <c r="D77" t="inlineStr">
        <is>
          <t>SÖDERMANLANDS LÄN</t>
        </is>
      </c>
      <c r="E77" t="inlineStr">
        <is>
          <t>KATRINEHOLM</t>
        </is>
      </c>
      <c r="G77" t="n">
        <v>1.8</v>
      </c>
      <c r="H77" t="n">
        <v>1</v>
      </c>
      <c r="I77" t="n">
        <v>0</v>
      </c>
      <c r="J77" t="n">
        <v>0</v>
      </c>
      <c r="K77" t="n">
        <v>1</v>
      </c>
      <c r="L77" t="n">
        <v>0</v>
      </c>
      <c r="M77" t="n">
        <v>0</v>
      </c>
      <c r="N77" t="n">
        <v>0</v>
      </c>
      <c r="O77" t="n">
        <v>1</v>
      </c>
      <c r="P77" t="n">
        <v>1</v>
      </c>
      <c r="Q77" t="n">
        <v>1</v>
      </c>
      <c r="R77" s="2" t="inlineStr">
        <is>
          <t>Bombmurkla</t>
        </is>
      </c>
      <c r="S77">
        <f>HYPERLINK("https://klasma.github.io/Logging_0483/artfynd/A 30124-2023 artfynd.xlsx", "A 30124-2023")</f>
        <v/>
      </c>
      <c r="T77">
        <f>HYPERLINK("https://klasma.github.io/Logging_0483/kartor/A 30124-2023 karta.png", "A 30124-2023")</f>
        <v/>
      </c>
      <c r="V77">
        <f>HYPERLINK("https://klasma.github.io/Logging_0483/klagomål/A 30124-2023 FSC-klagomål.docx", "A 30124-2023")</f>
        <v/>
      </c>
      <c r="W77">
        <f>HYPERLINK("https://klasma.github.io/Logging_0483/klagomålsmail/A 30124-2023 FSC-klagomål mail.docx", "A 30124-2023")</f>
        <v/>
      </c>
      <c r="X77">
        <f>HYPERLINK("https://klasma.github.io/Logging_0483/tillsyn/A 30124-2023 tillsynsbegäran.docx", "A 30124-2023")</f>
        <v/>
      </c>
      <c r="Y77">
        <f>HYPERLINK("https://klasma.github.io/Logging_0483/tillsynsmail/A 30124-2023 tillsynsbegäran mail.docx", "A 30124-2023")</f>
        <v/>
      </c>
    </row>
    <row r="78" ht="15" customHeight="1">
      <c r="A78" t="inlineStr">
        <is>
          <t>A 33801-2023</t>
        </is>
      </c>
      <c r="B78" s="1" t="n">
        <v>45133</v>
      </c>
      <c r="C78" s="1" t="n">
        <v>45663</v>
      </c>
      <c r="D78" t="inlineStr">
        <is>
          <t>SÖDERMANLANDS LÄN</t>
        </is>
      </c>
      <c r="E78" t="inlineStr">
        <is>
          <t>KATRINEHOLM</t>
        </is>
      </c>
      <c r="G78" t="n">
        <v>2.1</v>
      </c>
      <c r="H78" t="n">
        <v>1</v>
      </c>
      <c r="I78" t="n">
        <v>0</v>
      </c>
      <c r="J78" t="n">
        <v>0</v>
      </c>
      <c r="K78" t="n">
        <v>0</v>
      </c>
      <c r="L78" t="n">
        <v>0</v>
      </c>
      <c r="M78" t="n">
        <v>0</v>
      </c>
      <c r="N78" t="n">
        <v>0</v>
      </c>
      <c r="O78" t="n">
        <v>0</v>
      </c>
      <c r="P78" t="n">
        <v>0</v>
      </c>
      <c r="Q78" t="n">
        <v>1</v>
      </c>
      <c r="R78" s="2" t="inlineStr">
        <is>
          <t>Blåsippa</t>
        </is>
      </c>
      <c r="S78">
        <f>HYPERLINK("https://klasma.github.io/Logging_0483/artfynd/A 33801-2023 artfynd.xlsx", "A 33801-2023")</f>
        <v/>
      </c>
      <c r="T78">
        <f>HYPERLINK("https://klasma.github.io/Logging_0483/kartor/A 33801-2023 karta.png", "A 33801-2023")</f>
        <v/>
      </c>
      <c r="V78">
        <f>HYPERLINK("https://klasma.github.io/Logging_0483/klagomål/A 33801-2023 FSC-klagomål.docx", "A 33801-2023")</f>
        <v/>
      </c>
      <c r="W78">
        <f>HYPERLINK("https://klasma.github.io/Logging_0483/klagomålsmail/A 33801-2023 FSC-klagomål mail.docx", "A 33801-2023")</f>
        <v/>
      </c>
      <c r="X78">
        <f>HYPERLINK("https://klasma.github.io/Logging_0483/tillsyn/A 33801-2023 tillsynsbegäran.docx", "A 33801-2023")</f>
        <v/>
      </c>
      <c r="Y78">
        <f>HYPERLINK("https://klasma.github.io/Logging_0483/tillsynsmail/A 33801-2023 tillsynsbegäran mail.docx", "A 33801-2023")</f>
        <v/>
      </c>
    </row>
    <row r="79" ht="15" customHeight="1">
      <c r="A79" t="inlineStr">
        <is>
          <t>A 42936-2023</t>
        </is>
      </c>
      <c r="B79" s="1" t="n">
        <v>45182</v>
      </c>
      <c r="C79" s="1" t="n">
        <v>45663</v>
      </c>
      <c r="D79" t="inlineStr">
        <is>
          <t>SÖDERMANLANDS LÄN</t>
        </is>
      </c>
      <c r="E79" t="inlineStr">
        <is>
          <t>KATRINEHOLM</t>
        </is>
      </c>
      <c r="F79" t="inlineStr">
        <is>
          <t>Övriga Aktiebolag</t>
        </is>
      </c>
      <c r="G79" t="n">
        <v>36.8</v>
      </c>
      <c r="H79" t="n">
        <v>0</v>
      </c>
      <c r="I79" t="n">
        <v>1</v>
      </c>
      <c r="J79" t="n">
        <v>0</v>
      </c>
      <c r="K79" t="n">
        <v>0</v>
      </c>
      <c r="L79" t="n">
        <v>0</v>
      </c>
      <c r="M79" t="n">
        <v>0</v>
      </c>
      <c r="N79" t="n">
        <v>0</v>
      </c>
      <c r="O79" t="n">
        <v>0</v>
      </c>
      <c r="P79" t="n">
        <v>0</v>
      </c>
      <c r="Q79" t="n">
        <v>1</v>
      </c>
      <c r="R79" s="2" t="inlineStr">
        <is>
          <t>Blomkålssvamp</t>
        </is>
      </c>
      <c r="S79">
        <f>HYPERLINK("https://klasma.github.io/Logging_0483/artfynd/A 42936-2023 artfynd.xlsx", "A 42936-2023")</f>
        <v/>
      </c>
      <c r="T79">
        <f>HYPERLINK("https://klasma.github.io/Logging_0483/kartor/A 42936-2023 karta.png", "A 42936-2023")</f>
        <v/>
      </c>
      <c r="U79">
        <f>HYPERLINK("https://klasma.github.io/Logging_0483/knärot/A 42936-2023 karta knärot.png", "A 42936-2023")</f>
        <v/>
      </c>
      <c r="V79">
        <f>HYPERLINK("https://klasma.github.io/Logging_0483/klagomål/A 42936-2023 FSC-klagomål.docx", "A 42936-2023")</f>
        <v/>
      </c>
      <c r="W79">
        <f>HYPERLINK("https://klasma.github.io/Logging_0483/klagomålsmail/A 42936-2023 FSC-klagomål mail.docx", "A 42936-2023")</f>
        <v/>
      </c>
      <c r="X79">
        <f>HYPERLINK("https://klasma.github.io/Logging_0483/tillsyn/A 42936-2023 tillsynsbegäran.docx", "A 42936-2023")</f>
        <v/>
      </c>
      <c r="Y79">
        <f>HYPERLINK("https://klasma.github.io/Logging_0483/tillsynsmail/A 42936-2023 tillsynsbegäran mail.docx", "A 42936-2023")</f>
        <v/>
      </c>
    </row>
    <row r="80" ht="15" customHeight="1">
      <c r="A80" t="inlineStr">
        <is>
          <t>A 42942-2023</t>
        </is>
      </c>
      <c r="B80" s="1" t="n">
        <v>45182</v>
      </c>
      <c r="C80" s="1" t="n">
        <v>45663</v>
      </c>
      <c r="D80" t="inlineStr">
        <is>
          <t>SÖDERMANLANDS LÄN</t>
        </is>
      </c>
      <c r="E80" t="inlineStr">
        <is>
          <t>KATRINEHOLM</t>
        </is>
      </c>
      <c r="F80" t="inlineStr">
        <is>
          <t>Övriga Aktiebolag</t>
        </is>
      </c>
      <c r="G80" t="n">
        <v>17.4</v>
      </c>
      <c r="H80" t="n">
        <v>0</v>
      </c>
      <c r="I80" t="n">
        <v>0</v>
      </c>
      <c r="J80" t="n">
        <v>1</v>
      </c>
      <c r="K80" t="n">
        <v>0</v>
      </c>
      <c r="L80" t="n">
        <v>0</v>
      </c>
      <c r="M80" t="n">
        <v>0</v>
      </c>
      <c r="N80" t="n">
        <v>0</v>
      </c>
      <c r="O80" t="n">
        <v>1</v>
      </c>
      <c r="P80" t="n">
        <v>0</v>
      </c>
      <c r="Q80" t="n">
        <v>1</v>
      </c>
      <c r="R80" s="2" t="inlineStr">
        <is>
          <t>Rödlånke</t>
        </is>
      </c>
      <c r="S80">
        <f>HYPERLINK("https://klasma.github.io/Logging_0483/artfynd/A 42942-2023 artfynd.xlsx", "A 42942-2023")</f>
        <v/>
      </c>
      <c r="T80">
        <f>HYPERLINK("https://klasma.github.io/Logging_0483/kartor/A 42942-2023 karta.png", "A 42942-2023")</f>
        <v/>
      </c>
      <c r="V80">
        <f>HYPERLINK("https://klasma.github.io/Logging_0483/klagomål/A 42942-2023 FSC-klagomål.docx", "A 42942-2023")</f>
        <v/>
      </c>
      <c r="W80">
        <f>HYPERLINK("https://klasma.github.io/Logging_0483/klagomålsmail/A 42942-2023 FSC-klagomål mail.docx", "A 42942-2023")</f>
        <v/>
      </c>
      <c r="X80">
        <f>HYPERLINK("https://klasma.github.io/Logging_0483/tillsyn/A 42942-2023 tillsynsbegäran.docx", "A 42942-2023")</f>
        <v/>
      </c>
      <c r="Y80">
        <f>HYPERLINK("https://klasma.github.io/Logging_0483/tillsynsmail/A 42942-2023 tillsynsbegäran mail.docx", "A 42942-2023")</f>
        <v/>
      </c>
    </row>
    <row r="81" ht="15" customHeight="1">
      <c r="A81" t="inlineStr">
        <is>
          <t>A 44632-2023</t>
        </is>
      </c>
      <c r="B81" s="1" t="n">
        <v>45184</v>
      </c>
      <c r="C81" s="1" t="n">
        <v>45663</v>
      </c>
      <c r="D81" t="inlineStr">
        <is>
          <t>SÖDERMANLANDS LÄN</t>
        </is>
      </c>
      <c r="E81" t="inlineStr">
        <is>
          <t>KATRINEHOLM</t>
        </is>
      </c>
      <c r="G81" t="n">
        <v>6.2</v>
      </c>
      <c r="H81" t="n">
        <v>0</v>
      </c>
      <c r="I81" t="n">
        <v>0</v>
      </c>
      <c r="J81" t="n">
        <v>1</v>
      </c>
      <c r="K81" t="n">
        <v>0</v>
      </c>
      <c r="L81" t="n">
        <v>0</v>
      </c>
      <c r="M81" t="n">
        <v>0</v>
      </c>
      <c r="N81" t="n">
        <v>0</v>
      </c>
      <c r="O81" t="n">
        <v>1</v>
      </c>
      <c r="P81" t="n">
        <v>0</v>
      </c>
      <c r="Q81" t="n">
        <v>1</v>
      </c>
      <c r="R81" s="2" t="inlineStr">
        <is>
          <t>Motaggsvamp</t>
        </is>
      </c>
      <c r="S81">
        <f>HYPERLINK("https://klasma.github.io/Logging_0483/artfynd/A 44632-2023 artfynd.xlsx", "A 44632-2023")</f>
        <v/>
      </c>
      <c r="T81">
        <f>HYPERLINK("https://klasma.github.io/Logging_0483/kartor/A 44632-2023 karta.png", "A 44632-2023")</f>
        <v/>
      </c>
      <c r="V81">
        <f>HYPERLINK("https://klasma.github.io/Logging_0483/klagomål/A 44632-2023 FSC-klagomål.docx", "A 44632-2023")</f>
        <v/>
      </c>
      <c r="W81">
        <f>HYPERLINK("https://klasma.github.io/Logging_0483/klagomålsmail/A 44632-2023 FSC-klagomål mail.docx", "A 44632-2023")</f>
        <v/>
      </c>
      <c r="X81">
        <f>HYPERLINK("https://klasma.github.io/Logging_0483/tillsyn/A 44632-2023 tillsynsbegäran.docx", "A 44632-2023")</f>
        <v/>
      </c>
      <c r="Y81">
        <f>HYPERLINK("https://klasma.github.io/Logging_0483/tillsynsmail/A 44632-2023 tillsynsbegäran mail.docx", "A 44632-2023")</f>
        <v/>
      </c>
    </row>
    <row r="82" ht="15" customHeight="1">
      <c r="A82" t="inlineStr">
        <is>
          <t>A 52768-2023</t>
        </is>
      </c>
      <c r="B82" s="1" t="n">
        <v>45226</v>
      </c>
      <c r="C82" s="1" t="n">
        <v>45663</v>
      </c>
      <c r="D82" t="inlineStr">
        <is>
          <t>SÖDERMANLANDS LÄN</t>
        </is>
      </c>
      <c r="E82" t="inlineStr">
        <is>
          <t>KATRINEHOLM</t>
        </is>
      </c>
      <c r="G82" t="n">
        <v>2.1</v>
      </c>
      <c r="H82" t="n">
        <v>0</v>
      </c>
      <c r="I82" t="n">
        <v>0</v>
      </c>
      <c r="J82" t="n">
        <v>1</v>
      </c>
      <c r="K82" t="n">
        <v>0</v>
      </c>
      <c r="L82" t="n">
        <v>0</v>
      </c>
      <c r="M82" t="n">
        <v>0</v>
      </c>
      <c r="N82" t="n">
        <v>0</v>
      </c>
      <c r="O82" t="n">
        <v>1</v>
      </c>
      <c r="P82" t="n">
        <v>0</v>
      </c>
      <c r="Q82" t="n">
        <v>1</v>
      </c>
      <c r="R82" s="2" t="inlineStr">
        <is>
          <t>Tallticka</t>
        </is>
      </c>
      <c r="S82">
        <f>HYPERLINK("https://klasma.github.io/Logging_0483/artfynd/A 52768-2023 artfynd.xlsx", "A 52768-2023")</f>
        <v/>
      </c>
      <c r="T82">
        <f>HYPERLINK("https://klasma.github.io/Logging_0483/kartor/A 52768-2023 karta.png", "A 52768-2023")</f>
        <v/>
      </c>
      <c r="V82">
        <f>HYPERLINK("https://klasma.github.io/Logging_0483/klagomål/A 52768-2023 FSC-klagomål.docx", "A 52768-2023")</f>
        <v/>
      </c>
      <c r="W82">
        <f>HYPERLINK("https://klasma.github.io/Logging_0483/klagomålsmail/A 52768-2023 FSC-klagomål mail.docx", "A 52768-2023")</f>
        <v/>
      </c>
      <c r="X82">
        <f>HYPERLINK("https://klasma.github.io/Logging_0483/tillsyn/A 52768-2023 tillsynsbegäran.docx", "A 52768-2023")</f>
        <v/>
      </c>
      <c r="Y82">
        <f>HYPERLINK("https://klasma.github.io/Logging_0483/tillsynsmail/A 52768-2023 tillsynsbegäran mail.docx", "A 52768-2023")</f>
        <v/>
      </c>
    </row>
    <row r="83" ht="15" customHeight="1">
      <c r="A83" t="inlineStr">
        <is>
          <t>A 53154-2023</t>
        </is>
      </c>
      <c r="B83" s="1" t="n">
        <v>45229</v>
      </c>
      <c r="C83" s="1" t="n">
        <v>45663</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Skogsduva</t>
        </is>
      </c>
      <c r="S83">
        <f>HYPERLINK("https://klasma.github.io/Logging_0483/artfynd/A 53154-2023 artfynd.xlsx", "A 53154-2023")</f>
        <v/>
      </c>
      <c r="T83">
        <f>HYPERLINK("https://klasma.github.io/Logging_0483/kartor/A 53154-2023 karta.png", "A 53154-2023")</f>
        <v/>
      </c>
      <c r="V83">
        <f>HYPERLINK("https://klasma.github.io/Logging_0483/klagomål/A 53154-2023 FSC-klagomål.docx", "A 53154-2023")</f>
        <v/>
      </c>
      <c r="W83">
        <f>HYPERLINK("https://klasma.github.io/Logging_0483/klagomålsmail/A 53154-2023 FSC-klagomål mail.docx", "A 53154-2023")</f>
        <v/>
      </c>
      <c r="X83">
        <f>HYPERLINK("https://klasma.github.io/Logging_0483/tillsyn/A 53154-2023 tillsynsbegäran.docx", "A 53154-2023")</f>
        <v/>
      </c>
      <c r="Y83">
        <f>HYPERLINK("https://klasma.github.io/Logging_0483/tillsynsmail/A 53154-2023 tillsynsbegäran mail.docx", "A 53154-2023")</f>
        <v/>
      </c>
      <c r="Z83">
        <f>HYPERLINK("https://klasma.github.io/Logging_0483/fåglar/A 53154-2023 prioriterade fågelarter.docx", "A 53154-2023")</f>
        <v/>
      </c>
    </row>
    <row r="84" ht="15" customHeight="1">
      <c r="A84" t="inlineStr">
        <is>
          <t>A 21312-2024</t>
        </is>
      </c>
      <c r="B84" s="1" t="n">
        <v>45440</v>
      </c>
      <c r="C84" s="1" t="n">
        <v>45663</v>
      </c>
      <c r="D84" t="inlineStr">
        <is>
          <t>SÖDERMANLANDS LÄN</t>
        </is>
      </c>
      <c r="E84" t="inlineStr">
        <is>
          <t>KATRINEHOLM</t>
        </is>
      </c>
      <c r="G84" t="n">
        <v>2</v>
      </c>
      <c r="H84" t="n">
        <v>1</v>
      </c>
      <c r="I84" t="n">
        <v>0</v>
      </c>
      <c r="J84" t="n">
        <v>0</v>
      </c>
      <c r="K84" t="n">
        <v>0</v>
      </c>
      <c r="L84" t="n">
        <v>0</v>
      </c>
      <c r="M84" t="n">
        <v>0</v>
      </c>
      <c r="N84" t="n">
        <v>0</v>
      </c>
      <c r="O84" t="n">
        <v>0</v>
      </c>
      <c r="P84" t="n">
        <v>0</v>
      </c>
      <c r="Q84" t="n">
        <v>1</v>
      </c>
      <c r="R84" s="2" t="inlineStr">
        <is>
          <t>Blåsippa</t>
        </is>
      </c>
      <c r="S84">
        <f>HYPERLINK("https://klasma.github.io/Logging_0483/artfynd/A 21312-2024 artfynd.xlsx", "A 21312-2024")</f>
        <v/>
      </c>
      <c r="T84">
        <f>HYPERLINK("https://klasma.github.io/Logging_0483/kartor/A 21312-2024 karta.png", "A 21312-2024")</f>
        <v/>
      </c>
      <c r="V84">
        <f>HYPERLINK("https://klasma.github.io/Logging_0483/klagomål/A 21312-2024 FSC-klagomål.docx", "A 21312-2024")</f>
        <v/>
      </c>
      <c r="W84">
        <f>HYPERLINK("https://klasma.github.io/Logging_0483/klagomålsmail/A 21312-2024 FSC-klagomål mail.docx", "A 21312-2024")</f>
        <v/>
      </c>
      <c r="X84">
        <f>HYPERLINK("https://klasma.github.io/Logging_0483/tillsyn/A 21312-2024 tillsynsbegäran.docx", "A 21312-2024")</f>
        <v/>
      </c>
      <c r="Y84">
        <f>HYPERLINK("https://klasma.github.io/Logging_0483/tillsynsmail/A 21312-2024 tillsynsbegäran mail.docx", "A 21312-2024")</f>
        <v/>
      </c>
    </row>
    <row r="85" ht="15" customHeight="1">
      <c r="A85" t="inlineStr">
        <is>
          <t>A 43919-2024</t>
        </is>
      </c>
      <c r="B85" s="1" t="n">
        <v>45570</v>
      </c>
      <c r="C85" s="1" t="n">
        <v>45663</v>
      </c>
      <c r="D85" t="inlineStr">
        <is>
          <t>SÖDERMANLANDS LÄN</t>
        </is>
      </c>
      <c r="E85" t="inlineStr">
        <is>
          <t>KATRINEHOLM</t>
        </is>
      </c>
      <c r="G85" t="n">
        <v>4</v>
      </c>
      <c r="H85" t="n">
        <v>1</v>
      </c>
      <c r="I85" t="n">
        <v>0</v>
      </c>
      <c r="J85" t="n">
        <v>0</v>
      </c>
      <c r="K85" t="n">
        <v>0</v>
      </c>
      <c r="L85" t="n">
        <v>0</v>
      </c>
      <c r="M85" t="n">
        <v>0</v>
      </c>
      <c r="N85" t="n">
        <v>0</v>
      </c>
      <c r="O85" t="n">
        <v>0</v>
      </c>
      <c r="P85" t="n">
        <v>0</v>
      </c>
      <c r="Q85" t="n">
        <v>1</v>
      </c>
      <c r="R85" s="2" t="inlineStr">
        <is>
          <t>Mattlummer</t>
        </is>
      </c>
      <c r="S85">
        <f>HYPERLINK("https://klasma.github.io/Logging_0483/artfynd/A 43919-2024 artfynd.xlsx", "A 43919-2024")</f>
        <v/>
      </c>
      <c r="T85">
        <f>HYPERLINK("https://klasma.github.io/Logging_0483/kartor/A 43919-2024 karta.png", "A 43919-2024")</f>
        <v/>
      </c>
      <c r="V85">
        <f>HYPERLINK("https://klasma.github.io/Logging_0483/klagomål/A 43919-2024 FSC-klagomål.docx", "A 43919-2024")</f>
        <v/>
      </c>
      <c r="W85">
        <f>HYPERLINK("https://klasma.github.io/Logging_0483/klagomålsmail/A 43919-2024 FSC-klagomål mail.docx", "A 43919-2024")</f>
        <v/>
      </c>
      <c r="X85">
        <f>HYPERLINK("https://klasma.github.io/Logging_0483/tillsyn/A 43919-2024 tillsynsbegäran.docx", "A 43919-2024")</f>
        <v/>
      </c>
      <c r="Y85">
        <f>HYPERLINK("https://klasma.github.io/Logging_0483/tillsynsmail/A 43919-2024 tillsynsbegäran mail.docx", "A 43919-2024")</f>
        <v/>
      </c>
    </row>
    <row r="86" ht="15" customHeight="1">
      <c r="A86" t="inlineStr">
        <is>
          <t>A 44413-2024</t>
        </is>
      </c>
      <c r="B86" s="1" t="n">
        <v>45573</v>
      </c>
      <c r="C86" s="1" t="n">
        <v>45663</v>
      </c>
      <c r="D86" t="inlineStr">
        <is>
          <t>SÖDERMANLANDS LÄN</t>
        </is>
      </c>
      <c r="E86" t="inlineStr">
        <is>
          <t>KATRINEHOLM</t>
        </is>
      </c>
      <c r="G86" t="n">
        <v>0.7</v>
      </c>
      <c r="H86" t="n">
        <v>1</v>
      </c>
      <c r="I86" t="n">
        <v>0</v>
      </c>
      <c r="J86" t="n">
        <v>0</v>
      </c>
      <c r="K86" t="n">
        <v>1</v>
      </c>
      <c r="L86" t="n">
        <v>0</v>
      </c>
      <c r="M86" t="n">
        <v>0</v>
      </c>
      <c r="N86" t="n">
        <v>0</v>
      </c>
      <c r="O86" t="n">
        <v>1</v>
      </c>
      <c r="P86" t="n">
        <v>1</v>
      </c>
      <c r="Q86" t="n">
        <v>1</v>
      </c>
      <c r="R86" s="2" t="inlineStr">
        <is>
          <t>Knärot</t>
        </is>
      </c>
      <c r="S86">
        <f>HYPERLINK("https://klasma.github.io/Logging_0483/artfynd/A 44413-2024 artfynd.xlsx", "A 44413-2024")</f>
        <v/>
      </c>
      <c r="T86">
        <f>HYPERLINK("https://klasma.github.io/Logging_0483/kartor/A 44413-2024 karta.png", "A 44413-2024")</f>
        <v/>
      </c>
      <c r="U86">
        <f>HYPERLINK("https://klasma.github.io/Logging_0483/knärot/A 44413-2024 karta knärot.png", "A 44413-2024")</f>
        <v/>
      </c>
      <c r="V86">
        <f>HYPERLINK("https://klasma.github.io/Logging_0483/klagomål/A 44413-2024 FSC-klagomål.docx", "A 44413-2024")</f>
        <v/>
      </c>
      <c r="W86">
        <f>HYPERLINK("https://klasma.github.io/Logging_0483/klagomålsmail/A 44413-2024 FSC-klagomål mail.docx", "A 44413-2024")</f>
        <v/>
      </c>
      <c r="X86">
        <f>HYPERLINK("https://klasma.github.io/Logging_0483/tillsyn/A 44413-2024 tillsynsbegäran.docx", "A 44413-2024")</f>
        <v/>
      </c>
      <c r="Y86">
        <f>HYPERLINK("https://klasma.github.io/Logging_0483/tillsynsmail/A 44413-2024 tillsynsbegäran mail.docx", "A 44413-2024")</f>
        <v/>
      </c>
    </row>
    <row r="87" ht="15" customHeight="1">
      <c r="A87" t="inlineStr">
        <is>
          <t>A 48004-2024</t>
        </is>
      </c>
      <c r="B87" s="1" t="n">
        <v>45589</v>
      </c>
      <c r="C87" s="1" t="n">
        <v>45663</v>
      </c>
      <c r="D87" t="inlineStr">
        <is>
          <t>SÖDERMANLANDS LÄN</t>
        </is>
      </c>
      <c r="E87" t="inlineStr">
        <is>
          <t>KATRINEHOLM</t>
        </is>
      </c>
      <c r="G87" t="n">
        <v>2.2</v>
      </c>
      <c r="H87" t="n">
        <v>0</v>
      </c>
      <c r="I87" t="n">
        <v>0</v>
      </c>
      <c r="J87" t="n">
        <v>0</v>
      </c>
      <c r="K87" t="n">
        <v>1</v>
      </c>
      <c r="L87" t="n">
        <v>0</v>
      </c>
      <c r="M87" t="n">
        <v>0</v>
      </c>
      <c r="N87" t="n">
        <v>0</v>
      </c>
      <c r="O87" t="n">
        <v>1</v>
      </c>
      <c r="P87" t="n">
        <v>1</v>
      </c>
      <c r="Q87" t="n">
        <v>1</v>
      </c>
      <c r="R87" s="2" t="inlineStr">
        <is>
          <t>Grenticka</t>
        </is>
      </c>
      <c r="S87">
        <f>HYPERLINK("https://klasma.github.io/Logging_0483/artfynd/A 48004-2024 artfynd.xlsx", "A 48004-2024")</f>
        <v/>
      </c>
      <c r="T87">
        <f>HYPERLINK("https://klasma.github.io/Logging_0483/kartor/A 48004-2024 karta.png", "A 48004-2024")</f>
        <v/>
      </c>
      <c r="V87">
        <f>HYPERLINK("https://klasma.github.io/Logging_0483/klagomål/A 48004-2024 FSC-klagomål.docx", "A 48004-2024")</f>
        <v/>
      </c>
      <c r="W87">
        <f>HYPERLINK("https://klasma.github.io/Logging_0483/klagomålsmail/A 48004-2024 FSC-klagomål mail.docx", "A 48004-2024")</f>
        <v/>
      </c>
      <c r="X87">
        <f>HYPERLINK("https://klasma.github.io/Logging_0483/tillsyn/A 48004-2024 tillsynsbegäran.docx", "A 48004-2024")</f>
        <v/>
      </c>
      <c r="Y87">
        <f>HYPERLINK("https://klasma.github.io/Logging_0483/tillsynsmail/A 48004-2024 tillsynsbegäran mail.docx", "A 48004-2024")</f>
        <v/>
      </c>
    </row>
    <row r="88" ht="15" customHeight="1">
      <c r="A88" t="inlineStr">
        <is>
          <t>A 18431-2019</t>
        </is>
      </c>
      <c r="B88" s="1" t="n">
        <v>43559</v>
      </c>
      <c r="C88" s="1" t="n">
        <v>45663</v>
      </c>
      <c r="D88" t="inlineStr">
        <is>
          <t>SÖDERMANLANDS LÄN</t>
        </is>
      </c>
      <c r="E88" t="inlineStr">
        <is>
          <t>KATRINEHOLM</t>
        </is>
      </c>
      <c r="G88" t="n">
        <v>2.4</v>
      </c>
      <c r="H88" t="n">
        <v>0</v>
      </c>
      <c r="I88" t="n">
        <v>0</v>
      </c>
      <c r="J88" t="n">
        <v>0</v>
      </c>
      <c r="K88" t="n">
        <v>0</v>
      </c>
      <c r="L88" t="n">
        <v>0</v>
      </c>
      <c r="M88" t="n">
        <v>0</v>
      </c>
      <c r="N88" t="n">
        <v>0</v>
      </c>
      <c r="O88" t="n">
        <v>0</v>
      </c>
      <c r="P88" t="n">
        <v>0</v>
      </c>
      <c r="Q88" t="n">
        <v>0</v>
      </c>
      <c r="R88" s="2" t="inlineStr"/>
    </row>
    <row r="89" ht="15" customHeight="1">
      <c r="A89" t="inlineStr">
        <is>
          <t>A 18869-2019</t>
        </is>
      </c>
      <c r="B89" s="1" t="n">
        <v>43563</v>
      </c>
      <c r="C89" s="1" t="n">
        <v>45663</v>
      </c>
      <c r="D89" t="inlineStr">
        <is>
          <t>SÖDERMANLANDS LÄN</t>
        </is>
      </c>
      <c r="E89" t="inlineStr">
        <is>
          <t>KATRINEHOLM</t>
        </is>
      </c>
      <c r="G89" t="n">
        <v>1.4</v>
      </c>
      <c r="H89" t="n">
        <v>0</v>
      </c>
      <c r="I89" t="n">
        <v>0</v>
      </c>
      <c r="J89" t="n">
        <v>0</v>
      </c>
      <c r="K89" t="n">
        <v>0</v>
      </c>
      <c r="L89" t="n">
        <v>0</v>
      </c>
      <c r="M89" t="n">
        <v>0</v>
      </c>
      <c r="N89" t="n">
        <v>0</v>
      </c>
      <c r="O89" t="n">
        <v>0</v>
      </c>
      <c r="P89" t="n">
        <v>0</v>
      </c>
      <c r="Q89" t="n">
        <v>0</v>
      </c>
      <c r="R89" s="2" t="inlineStr"/>
    </row>
    <row r="90" ht="15" customHeight="1">
      <c r="A90" t="inlineStr">
        <is>
          <t>A 19374-2019</t>
        </is>
      </c>
      <c r="B90" s="1" t="n">
        <v>43565</v>
      </c>
      <c r="C90" s="1" t="n">
        <v>45663</v>
      </c>
      <c r="D90" t="inlineStr">
        <is>
          <t>SÖDERMANLANDS LÄN</t>
        </is>
      </c>
      <c r="E90" t="inlineStr">
        <is>
          <t>KATRINEHOLM</t>
        </is>
      </c>
      <c r="G90" t="n">
        <v>1.7</v>
      </c>
      <c r="H90" t="n">
        <v>0</v>
      </c>
      <c r="I90" t="n">
        <v>0</v>
      </c>
      <c r="J90" t="n">
        <v>0</v>
      </c>
      <c r="K90" t="n">
        <v>0</v>
      </c>
      <c r="L90" t="n">
        <v>0</v>
      </c>
      <c r="M90" t="n">
        <v>0</v>
      </c>
      <c r="N90" t="n">
        <v>0</v>
      </c>
      <c r="O90" t="n">
        <v>0</v>
      </c>
      <c r="P90" t="n">
        <v>0</v>
      </c>
      <c r="Q90" t="n">
        <v>0</v>
      </c>
      <c r="R90" s="2" t="inlineStr"/>
    </row>
    <row r="91" ht="15" customHeight="1">
      <c r="A91" t="inlineStr">
        <is>
          <t>A 20084-2019</t>
        </is>
      </c>
      <c r="B91" s="1" t="n">
        <v>43570</v>
      </c>
      <c r="C91" s="1" t="n">
        <v>45663</v>
      </c>
      <c r="D91" t="inlineStr">
        <is>
          <t>SÖDERMANLANDS LÄN</t>
        </is>
      </c>
      <c r="E91" t="inlineStr">
        <is>
          <t>KATRINEHOLM</t>
        </is>
      </c>
      <c r="G91" t="n">
        <v>0.7</v>
      </c>
      <c r="H91" t="n">
        <v>0</v>
      </c>
      <c r="I91" t="n">
        <v>0</v>
      </c>
      <c r="J91" t="n">
        <v>0</v>
      </c>
      <c r="K91" t="n">
        <v>0</v>
      </c>
      <c r="L91" t="n">
        <v>0</v>
      </c>
      <c r="M91" t="n">
        <v>0</v>
      </c>
      <c r="N91" t="n">
        <v>0</v>
      </c>
      <c r="O91" t="n">
        <v>0</v>
      </c>
      <c r="P91" t="n">
        <v>0</v>
      </c>
      <c r="Q91" t="n">
        <v>0</v>
      </c>
      <c r="R91" s="2" t="inlineStr"/>
    </row>
    <row r="92" ht="15" customHeight="1">
      <c r="A92" t="inlineStr">
        <is>
          <t>A 20081-2019</t>
        </is>
      </c>
      <c r="B92" s="1" t="n">
        <v>43570</v>
      </c>
      <c r="C92" s="1" t="n">
        <v>45663</v>
      </c>
      <c r="D92" t="inlineStr">
        <is>
          <t>SÖDERMANLANDS LÄN</t>
        </is>
      </c>
      <c r="E92" t="inlineStr">
        <is>
          <t>KATRINEHOLM</t>
        </is>
      </c>
      <c r="G92" t="n">
        <v>2.8</v>
      </c>
      <c r="H92" t="n">
        <v>0</v>
      </c>
      <c r="I92" t="n">
        <v>0</v>
      </c>
      <c r="J92" t="n">
        <v>0</v>
      </c>
      <c r="K92" t="n">
        <v>0</v>
      </c>
      <c r="L92" t="n">
        <v>0</v>
      </c>
      <c r="M92" t="n">
        <v>0</v>
      </c>
      <c r="N92" t="n">
        <v>0</v>
      </c>
      <c r="O92" t="n">
        <v>0</v>
      </c>
      <c r="P92" t="n">
        <v>0</v>
      </c>
      <c r="Q92" t="n">
        <v>0</v>
      </c>
      <c r="R92" s="2" t="inlineStr"/>
    </row>
    <row r="93" ht="15" customHeight="1">
      <c r="A93" t="inlineStr">
        <is>
          <t>A 20089-2019</t>
        </is>
      </c>
      <c r="B93" s="1" t="n">
        <v>43570</v>
      </c>
      <c r="C93" s="1" t="n">
        <v>45663</v>
      </c>
      <c r="D93" t="inlineStr">
        <is>
          <t>SÖDERMANLANDS LÄN</t>
        </is>
      </c>
      <c r="E93" t="inlineStr">
        <is>
          <t>KATRINEHOLM</t>
        </is>
      </c>
      <c r="G93" t="n">
        <v>1.6</v>
      </c>
      <c r="H93" t="n">
        <v>0</v>
      </c>
      <c r="I93" t="n">
        <v>0</v>
      </c>
      <c r="J93" t="n">
        <v>0</v>
      </c>
      <c r="K93" t="n">
        <v>0</v>
      </c>
      <c r="L93" t="n">
        <v>0</v>
      </c>
      <c r="M93" t="n">
        <v>0</v>
      </c>
      <c r="N93" t="n">
        <v>0</v>
      </c>
      <c r="O93" t="n">
        <v>0</v>
      </c>
      <c r="P93" t="n">
        <v>0</v>
      </c>
      <c r="Q93" t="n">
        <v>0</v>
      </c>
      <c r="R93" s="2" t="inlineStr"/>
    </row>
    <row r="94" ht="15" customHeight="1">
      <c r="A94" t="inlineStr">
        <is>
          <t>A 21994-2019</t>
        </is>
      </c>
      <c r="B94" s="1" t="n">
        <v>43581</v>
      </c>
      <c r="C94" s="1" t="n">
        <v>45663</v>
      </c>
      <c r="D94" t="inlineStr">
        <is>
          <t>SÖDERMANLANDS LÄN</t>
        </is>
      </c>
      <c r="E94" t="inlineStr">
        <is>
          <t>KATRINEHOLM</t>
        </is>
      </c>
      <c r="G94" t="n">
        <v>0.9</v>
      </c>
      <c r="H94" t="n">
        <v>0</v>
      </c>
      <c r="I94" t="n">
        <v>0</v>
      </c>
      <c r="J94" t="n">
        <v>0</v>
      </c>
      <c r="K94" t="n">
        <v>0</v>
      </c>
      <c r="L94" t="n">
        <v>0</v>
      </c>
      <c r="M94" t="n">
        <v>0</v>
      </c>
      <c r="N94" t="n">
        <v>0</v>
      </c>
      <c r="O94" t="n">
        <v>0</v>
      </c>
      <c r="P94" t="n">
        <v>0</v>
      </c>
      <c r="Q94" t="n">
        <v>0</v>
      </c>
      <c r="R94" s="2" t="inlineStr"/>
    </row>
    <row r="95" ht="15" customHeight="1">
      <c r="A95" t="inlineStr">
        <is>
          <t>A 22691-2019</t>
        </is>
      </c>
      <c r="B95" s="1" t="n">
        <v>43588</v>
      </c>
      <c r="C95" s="1" t="n">
        <v>45663</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22839-2019</t>
        </is>
      </c>
      <c r="B96" s="1" t="n">
        <v>43591</v>
      </c>
      <c r="C96" s="1" t="n">
        <v>45663</v>
      </c>
      <c r="D96" t="inlineStr">
        <is>
          <t>SÖDERMANLANDS LÄN</t>
        </is>
      </c>
      <c r="E96" t="inlineStr">
        <is>
          <t>KATRINEHOLM</t>
        </is>
      </c>
      <c r="G96" t="n">
        <v>4.2</v>
      </c>
      <c r="H96" t="n">
        <v>0</v>
      </c>
      <c r="I96" t="n">
        <v>0</v>
      </c>
      <c r="J96" t="n">
        <v>0</v>
      </c>
      <c r="K96" t="n">
        <v>0</v>
      </c>
      <c r="L96" t="n">
        <v>0</v>
      </c>
      <c r="M96" t="n">
        <v>0</v>
      </c>
      <c r="N96" t="n">
        <v>0</v>
      </c>
      <c r="O96" t="n">
        <v>0</v>
      </c>
      <c r="P96" t="n">
        <v>0</v>
      </c>
      <c r="Q96" t="n">
        <v>0</v>
      </c>
      <c r="R96" s="2" t="inlineStr"/>
    </row>
    <row r="97" ht="15" customHeight="1">
      <c r="A97" t="inlineStr">
        <is>
          <t>A 23679-2019</t>
        </is>
      </c>
      <c r="B97" s="1" t="n">
        <v>43594</v>
      </c>
      <c r="C97" s="1" t="n">
        <v>45663</v>
      </c>
      <c r="D97" t="inlineStr">
        <is>
          <t>SÖDERMANLANDS LÄN</t>
        </is>
      </c>
      <c r="E97" t="inlineStr">
        <is>
          <t>KATRINEHOLM</t>
        </is>
      </c>
      <c r="G97" t="n">
        <v>0.5</v>
      </c>
      <c r="H97" t="n">
        <v>0</v>
      </c>
      <c r="I97" t="n">
        <v>0</v>
      </c>
      <c r="J97" t="n">
        <v>0</v>
      </c>
      <c r="K97" t="n">
        <v>0</v>
      </c>
      <c r="L97" t="n">
        <v>0</v>
      </c>
      <c r="M97" t="n">
        <v>0</v>
      </c>
      <c r="N97" t="n">
        <v>0</v>
      </c>
      <c r="O97" t="n">
        <v>0</v>
      </c>
      <c r="P97" t="n">
        <v>0</v>
      </c>
      <c r="Q97" t="n">
        <v>0</v>
      </c>
      <c r="R97" s="2" t="inlineStr"/>
    </row>
    <row r="98" ht="15" customHeight="1">
      <c r="A98" t="inlineStr">
        <is>
          <t>A 24192-2019</t>
        </is>
      </c>
      <c r="B98" s="1" t="n">
        <v>43599</v>
      </c>
      <c r="C98" s="1" t="n">
        <v>45663</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25195-2019</t>
        </is>
      </c>
      <c r="B99" s="1" t="n">
        <v>43605</v>
      </c>
      <c r="C99" s="1" t="n">
        <v>45663</v>
      </c>
      <c r="D99" t="inlineStr">
        <is>
          <t>SÖDERMANLANDS LÄN</t>
        </is>
      </c>
      <c r="E99" t="inlineStr">
        <is>
          <t>KATRINEHOLM</t>
        </is>
      </c>
      <c r="F99" t="inlineStr">
        <is>
          <t>Kommuner</t>
        </is>
      </c>
      <c r="G99" t="n">
        <v>1.6</v>
      </c>
      <c r="H99" t="n">
        <v>0</v>
      </c>
      <c r="I99" t="n">
        <v>0</v>
      </c>
      <c r="J99" t="n">
        <v>0</v>
      </c>
      <c r="K99" t="n">
        <v>0</v>
      </c>
      <c r="L99" t="n">
        <v>0</v>
      </c>
      <c r="M99" t="n">
        <v>0</v>
      </c>
      <c r="N99" t="n">
        <v>0</v>
      </c>
      <c r="O99" t="n">
        <v>0</v>
      </c>
      <c r="P99" t="n">
        <v>0</v>
      </c>
      <c r="Q99" t="n">
        <v>0</v>
      </c>
      <c r="R99" s="2" t="inlineStr"/>
    </row>
    <row r="100" ht="15" customHeight="1">
      <c r="A100" t="inlineStr">
        <is>
          <t>A 25570-2019</t>
        </is>
      </c>
      <c r="B100" s="1" t="n">
        <v>43607</v>
      </c>
      <c r="C100" s="1" t="n">
        <v>45663</v>
      </c>
      <c r="D100" t="inlineStr">
        <is>
          <t>SÖDERMANLANDS LÄN</t>
        </is>
      </c>
      <c r="E100" t="inlineStr">
        <is>
          <t>KATRINEHOLM</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25936-2019</t>
        </is>
      </c>
      <c r="B101" s="1" t="n">
        <v>43608</v>
      </c>
      <c r="C101" s="1" t="n">
        <v>45663</v>
      </c>
      <c r="D101" t="inlineStr">
        <is>
          <t>SÖDERMANLANDS LÄN</t>
        </is>
      </c>
      <c r="E101" t="inlineStr">
        <is>
          <t>KATRINEHOLM</t>
        </is>
      </c>
      <c r="F101" t="inlineStr">
        <is>
          <t>Övriga Aktiebolag</t>
        </is>
      </c>
      <c r="G101" t="n">
        <v>1.4</v>
      </c>
      <c r="H101" t="n">
        <v>0</v>
      </c>
      <c r="I101" t="n">
        <v>0</v>
      </c>
      <c r="J101" t="n">
        <v>0</v>
      </c>
      <c r="K101" t="n">
        <v>0</v>
      </c>
      <c r="L101" t="n">
        <v>0</v>
      </c>
      <c r="M101" t="n">
        <v>0</v>
      </c>
      <c r="N101" t="n">
        <v>0</v>
      </c>
      <c r="O101" t="n">
        <v>0</v>
      </c>
      <c r="P101" t="n">
        <v>0</v>
      </c>
      <c r="Q101" t="n">
        <v>0</v>
      </c>
      <c r="R101" s="2" t="inlineStr"/>
    </row>
    <row r="102" ht="15" customHeight="1">
      <c r="A102" t="inlineStr">
        <is>
          <t>A 26339-2019</t>
        </is>
      </c>
      <c r="B102" s="1" t="n">
        <v>43612</v>
      </c>
      <c r="C102" s="1" t="n">
        <v>45663</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26532-2019</t>
        </is>
      </c>
      <c r="B103" s="1" t="n">
        <v>43612</v>
      </c>
      <c r="C103" s="1" t="n">
        <v>45663</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28673-2019</t>
        </is>
      </c>
      <c r="B104" s="1" t="n">
        <v>43614</v>
      </c>
      <c r="C104" s="1" t="n">
        <v>45663</v>
      </c>
      <c r="D104" t="inlineStr">
        <is>
          <t>SÖDERMANLANDS LÄN</t>
        </is>
      </c>
      <c r="E104" t="inlineStr">
        <is>
          <t>KATRINEHOLM</t>
        </is>
      </c>
      <c r="F104" t="inlineStr">
        <is>
          <t>Allmännings- och besparingsskogar</t>
        </is>
      </c>
      <c r="G104" t="n">
        <v>1.3</v>
      </c>
      <c r="H104" t="n">
        <v>0</v>
      </c>
      <c r="I104" t="n">
        <v>0</v>
      </c>
      <c r="J104" t="n">
        <v>0</v>
      </c>
      <c r="K104" t="n">
        <v>0</v>
      </c>
      <c r="L104" t="n">
        <v>0</v>
      </c>
      <c r="M104" t="n">
        <v>0</v>
      </c>
      <c r="N104" t="n">
        <v>0</v>
      </c>
      <c r="O104" t="n">
        <v>0</v>
      </c>
      <c r="P104" t="n">
        <v>0</v>
      </c>
      <c r="Q104" t="n">
        <v>0</v>
      </c>
      <c r="R104" s="2" t="inlineStr"/>
    </row>
    <row r="105" ht="15" customHeight="1">
      <c r="A105" t="inlineStr">
        <is>
          <t>A 29433-2019</t>
        </is>
      </c>
      <c r="B105" s="1" t="n">
        <v>43623</v>
      </c>
      <c r="C105" s="1" t="n">
        <v>45663</v>
      </c>
      <c r="D105" t="inlineStr">
        <is>
          <t>SÖDERMANLANDS LÄN</t>
        </is>
      </c>
      <c r="E105" t="inlineStr">
        <is>
          <t>KATRINEHOLM</t>
        </is>
      </c>
      <c r="G105" t="n">
        <v>16.7</v>
      </c>
      <c r="H105" t="n">
        <v>0</v>
      </c>
      <c r="I105" t="n">
        <v>0</v>
      </c>
      <c r="J105" t="n">
        <v>0</v>
      </c>
      <c r="K105" t="n">
        <v>0</v>
      </c>
      <c r="L105" t="n">
        <v>0</v>
      </c>
      <c r="M105" t="n">
        <v>0</v>
      </c>
      <c r="N105" t="n">
        <v>0</v>
      </c>
      <c r="O105" t="n">
        <v>0</v>
      </c>
      <c r="P105" t="n">
        <v>0</v>
      </c>
      <c r="Q105" t="n">
        <v>0</v>
      </c>
      <c r="R105" s="2" t="inlineStr"/>
    </row>
    <row r="106" ht="15" customHeight="1">
      <c r="A106" t="inlineStr">
        <is>
          <t>A 30604-2019</t>
        </is>
      </c>
      <c r="B106" s="1" t="n">
        <v>43635</v>
      </c>
      <c r="C106" s="1" t="n">
        <v>45663</v>
      </c>
      <c r="D106" t="inlineStr">
        <is>
          <t>SÖDERMANLANDS LÄN</t>
        </is>
      </c>
      <c r="E106" t="inlineStr">
        <is>
          <t>KATRINEHOLM</t>
        </is>
      </c>
      <c r="G106" t="n">
        <v>5.4</v>
      </c>
      <c r="H106" t="n">
        <v>0</v>
      </c>
      <c r="I106" t="n">
        <v>0</v>
      </c>
      <c r="J106" t="n">
        <v>0</v>
      </c>
      <c r="K106" t="n">
        <v>0</v>
      </c>
      <c r="L106" t="n">
        <v>0</v>
      </c>
      <c r="M106" t="n">
        <v>0</v>
      </c>
      <c r="N106" t="n">
        <v>0</v>
      </c>
      <c r="O106" t="n">
        <v>0</v>
      </c>
      <c r="P106" t="n">
        <v>0</v>
      </c>
      <c r="Q106" t="n">
        <v>0</v>
      </c>
      <c r="R106" s="2" t="inlineStr"/>
    </row>
    <row r="107" ht="15" customHeight="1">
      <c r="A107" t="inlineStr">
        <is>
          <t>A 32194-2019</t>
        </is>
      </c>
      <c r="B107" s="1" t="n">
        <v>43643</v>
      </c>
      <c r="C107" s="1" t="n">
        <v>45663</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32555-2019</t>
        </is>
      </c>
      <c r="B108" s="1" t="n">
        <v>43645</v>
      </c>
      <c r="C108" s="1" t="n">
        <v>45663</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34856-2019</t>
        </is>
      </c>
      <c r="B109" s="1" t="n">
        <v>43650</v>
      </c>
      <c r="C109" s="1" t="n">
        <v>45663</v>
      </c>
      <c r="D109" t="inlineStr">
        <is>
          <t>SÖDERMANLANDS LÄN</t>
        </is>
      </c>
      <c r="E109" t="inlineStr">
        <is>
          <t>KATRINEHOLM</t>
        </is>
      </c>
      <c r="G109" t="n">
        <v>2.7</v>
      </c>
      <c r="H109" t="n">
        <v>0</v>
      </c>
      <c r="I109" t="n">
        <v>0</v>
      </c>
      <c r="J109" t="n">
        <v>0</v>
      </c>
      <c r="K109" t="n">
        <v>0</v>
      </c>
      <c r="L109" t="n">
        <v>0</v>
      </c>
      <c r="M109" t="n">
        <v>0</v>
      </c>
      <c r="N109" t="n">
        <v>0</v>
      </c>
      <c r="O109" t="n">
        <v>0</v>
      </c>
      <c r="P109" t="n">
        <v>0</v>
      </c>
      <c r="Q109" t="n">
        <v>0</v>
      </c>
      <c r="R109" s="2" t="inlineStr"/>
    </row>
    <row r="110" ht="15" customHeight="1">
      <c r="A110" t="inlineStr">
        <is>
          <t>A 35428-2019</t>
        </is>
      </c>
      <c r="B110" s="1" t="n">
        <v>43654</v>
      </c>
      <c r="C110" s="1" t="n">
        <v>45663</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36250-2019</t>
        </is>
      </c>
      <c r="B111" s="1" t="n">
        <v>43660</v>
      </c>
      <c r="C111" s="1" t="n">
        <v>45663</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36280-2019</t>
        </is>
      </c>
      <c r="B112" s="1" t="n">
        <v>43661</v>
      </c>
      <c r="C112" s="1" t="n">
        <v>45663</v>
      </c>
      <c r="D112" t="inlineStr">
        <is>
          <t>SÖDERMANLANDS LÄN</t>
        </is>
      </c>
      <c r="E112" t="inlineStr">
        <is>
          <t>KATRINEHOLM</t>
        </is>
      </c>
      <c r="G112" t="n">
        <v>2.7</v>
      </c>
      <c r="H112" t="n">
        <v>0</v>
      </c>
      <c r="I112" t="n">
        <v>0</v>
      </c>
      <c r="J112" t="n">
        <v>0</v>
      </c>
      <c r="K112" t="n">
        <v>0</v>
      </c>
      <c r="L112" t="n">
        <v>0</v>
      </c>
      <c r="M112" t="n">
        <v>0</v>
      </c>
      <c r="N112" t="n">
        <v>0</v>
      </c>
      <c r="O112" t="n">
        <v>0</v>
      </c>
      <c r="P112" t="n">
        <v>0</v>
      </c>
      <c r="Q112" t="n">
        <v>0</v>
      </c>
      <c r="R112" s="2" t="inlineStr"/>
    </row>
    <row r="113" ht="15" customHeight="1">
      <c r="A113" t="inlineStr">
        <is>
          <t>A 36279-2019</t>
        </is>
      </c>
      <c r="B113" s="1" t="n">
        <v>43661</v>
      </c>
      <c r="C113" s="1" t="n">
        <v>45663</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35432-2019</t>
        </is>
      </c>
      <c r="B114" s="1" t="n">
        <v>43663</v>
      </c>
      <c r="C114" s="1" t="n">
        <v>45663</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35784-2019</t>
        </is>
      </c>
      <c r="B115" s="1" t="n">
        <v>43665</v>
      </c>
      <c r="C115" s="1" t="n">
        <v>45663</v>
      </c>
      <c r="D115" t="inlineStr">
        <is>
          <t>SÖDERMANLANDS LÄN</t>
        </is>
      </c>
      <c r="E115" t="inlineStr">
        <is>
          <t>KATRINEHOLM</t>
        </is>
      </c>
      <c r="G115" t="n">
        <v>1.3</v>
      </c>
      <c r="H115" t="n">
        <v>0</v>
      </c>
      <c r="I115" t="n">
        <v>0</v>
      </c>
      <c r="J115" t="n">
        <v>0</v>
      </c>
      <c r="K115" t="n">
        <v>0</v>
      </c>
      <c r="L115" t="n">
        <v>0</v>
      </c>
      <c r="M115" t="n">
        <v>0</v>
      </c>
      <c r="N115" t="n">
        <v>0</v>
      </c>
      <c r="O115" t="n">
        <v>0</v>
      </c>
      <c r="P115" t="n">
        <v>0</v>
      </c>
      <c r="Q115" t="n">
        <v>0</v>
      </c>
      <c r="R115" s="2" t="inlineStr"/>
    </row>
    <row r="116" ht="15" customHeight="1">
      <c r="A116" t="inlineStr">
        <is>
          <t>A 36613-2019</t>
        </is>
      </c>
      <c r="B116" s="1" t="n">
        <v>43669</v>
      </c>
      <c r="C116" s="1" t="n">
        <v>45663</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36603-2019</t>
        </is>
      </c>
      <c r="B117" s="1" t="n">
        <v>43669</v>
      </c>
      <c r="C117" s="1" t="n">
        <v>45663</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36408-2019</t>
        </is>
      </c>
      <c r="B118" s="1" t="n">
        <v>43670</v>
      </c>
      <c r="C118" s="1" t="n">
        <v>45663</v>
      </c>
      <c r="D118" t="inlineStr">
        <is>
          <t>SÖDERMANLANDS LÄN</t>
        </is>
      </c>
      <c r="E118" t="inlineStr">
        <is>
          <t>KATRINEHOLM</t>
        </is>
      </c>
      <c r="G118" t="n">
        <v>13.6</v>
      </c>
      <c r="H118" t="n">
        <v>0</v>
      </c>
      <c r="I118" t="n">
        <v>0</v>
      </c>
      <c r="J118" t="n">
        <v>0</v>
      </c>
      <c r="K118" t="n">
        <v>0</v>
      </c>
      <c r="L118" t="n">
        <v>0</v>
      </c>
      <c r="M118" t="n">
        <v>0</v>
      </c>
      <c r="N118" t="n">
        <v>0</v>
      </c>
      <c r="O118" t="n">
        <v>0</v>
      </c>
      <c r="P118" t="n">
        <v>0</v>
      </c>
      <c r="Q118" t="n">
        <v>0</v>
      </c>
      <c r="R118" s="2" t="inlineStr"/>
    </row>
    <row r="119" ht="15" customHeight="1">
      <c r="A119" t="inlineStr">
        <is>
          <t>A 36780-2019</t>
        </is>
      </c>
      <c r="B119" s="1" t="n">
        <v>43672</v>
      </c>
      <c r="C119" s="1" t="n">
        <v>45663</v>
      </c>
      <c r="D119" t="inlineStr">
        <is>
          <t>SÖDERMANLANDS LÄN</t>
        </is>
      </c>
      <c r="E119" t="inlineStr">
        <is>
          <t>KATRINEHOLM</t>
        </is>
      </c>
      <c r="G119" t="n">
        <v>0.4</v>
      </c>
      <c r="H119" t="n">
        <v>0</v>
      </c>
      <c r="I119" t="n">
        <v>0</v>
      </c>
      <c r="J119" t="n">
        <v>0</v>
      </c>
      <c r="K119" t="n">
        <v>0</v>
      </c>
      <c r="L119" t="n">
        <v>0</v>
      </c>
      <c r="M119" t="n">
        <v>0</v>
      </c>
      <c r="N119" t="n">
        <v>0</v>
      </c>
      <c r="O119" t="n">
        <v>0</v>
      </c>
      <c r="P119" t="n">
        <v>0</v>
      </c>
      <c r="Q119" t="n">
        <v>0</v>
      </c>
      <c r="R119" s="2" t="inlineStr"/>
    </row>
    <row r="120" ht="15" customHeight="1">
      <c r="A120" t="inlineStr">
        <is>
          <t>A 37321-2019</t>
        </is>
      </c>
      <c r="B120" s="1" t="n">
        <v>43678</v>
      </c>
      <c r="C120" s="1" t="n">
        <v>45663</v>
      </c>
      <c r="D120" t="inlineStr">
        <is>
          <t>SÖDERMANLANDS LÄN</t>
        </is>
      </c>
      <c r="E120" t="inlineStr">
        <is>
          <t>KATRINEHOLM</t>
        </is>
      </c>
      <c r="G120" t="n">
        <v>5.5</v>
      </c>
      <c r="H120" t="n">
        <v>0</v>
      </c>
      <c r="I120" t="n">
        <v>0</v>
      </c>
      <c r="J120" t="n">
        <v>0</v>
      </c>
      <c r="K120" t="n">
        <v>0</v>
      </c>
      <c r="L120" t="n">
        <v>0</v>
      </c>
      <c r="M120" t="n">
        <v>0</v>
      </c>
      <c r="N120" t="n">
        <v>0</v>
      </c>
      <c r="O120" t="n">
        <v>0</v>
      </c>
      <c r="P120" t="n">
        <v>0</v>
      </c>
      <c r="Q120" t="n">
        <v>0</v>
      </c>
      <c r="R120" s="2" t="inlineStr"/>
    </row>
    <row r="121" ht="15" customHeight="1">
      <c r="A121" t="inlineStr">
        <is>
          <t>A 37462-2019</t>
        </is>
      </c>
      <c r="B121" s="1" t="n">
        <v>43678</v>
      </c>
      <c r="C121" s="1" t="n">
        <v>45663</v>
      </c>
      <c r="D121" t="inlineStr">
        <is>
          <t>SÖDERMANLANDS LÄN</t>
        </is>
      </c>
      <c r="E121" t="inlineStr">
        <is>
          <t>KATRINEHOLM</t>
        </is>
      </c>
      <c r="G121" t="n">
        <v>1.4</v>
      </c>
      <c r="H121" t="n">
        <v>0</v>
      </c>
      <c r="I121" t="n">
        <v>0</v>
      </c>
      <c r="J121" t="n">
        <v>0</v>
      </c>
      <c r="K121" t="n">
        <v>0</v>
      </c>
      <c r="L121" t="n">
        <v>0</v>
      </c>
      <c r="M121" t="n">
        <v>0</v>
      </c>
      <c r="N121" t="n">
        <v>0</v>
      </c>
      <c r="O121" t="n">
        <v>0</v>
      </c>
      <c r="P121" t="n">
        <v>0</v>
      </c>
      <c r="Q121" t="n">
        <v>0</v>
      </c>
      <c r="R121" s="2" t="inlineStr"/>
    </row>
    <row r="122" ht="15" customHeight="1">
      <c r="A122" t="inlineStr">
        <is>
          <t>A 37420-2019</t>
        </is>
      </c>
      <c r="B122" s="1" t="n">
        <v>43678</v>
      </c>
      <c r="C122" s="1" t="n">
        <v>45663</v>
      </c>
      <c r="D122" t="inlineStr">
        <is>
          <t>SÖDERMANLANDS LÄN</t>
        </is>
      </c>
      <c r="E122" t="inlineStr">
        <is>
          <t>KATRINEHOLM</t>
        </is>
      </c>
      <c r="G122" t="n">
        <v>1.6</v>
      </c>
      <c r="H122" t="n">
        <v>0</v>
      </c>
      <c r="I122" t="n">
        <v>0</v>
      </c>
      <c r="J122" t="n">
        <v>0</v>
      </c>
      <c r="K122" t="n">
        <v>0</v>
      </c>
      <c r="L122" t="n">
        <v>0</v>
      </c>
      <c r="M122" t="n">
        <v>0</v>
      </c>
      <c r="N122" t="n">
        <v>0</v>
      </c>
      <c r="O122" t="n">
        <v>0</v>
      </c>
      <c r="P122" t="n">
        <v>0</v>
      </c>
      <c r="Q122" t="n">
        <v>0</v>
      </c>
      <c r="R122" s="2" t="inlineStr"/>
    </row>
    <row r="123" ht="15" customHeight="1">
      <c r="A123" t="inlineStr">
        <is>
          <t>A 39424-2019</t>
        </is>
      </c>
      <c r="B123" s="1" t="n">
        <v>43690</v>
      </c>
      <c r="C123" s="1" t="n">
        <v>45663</v>
      </c>
      <c r="D123" t="inlineStr">
        <is>
          <t>SÖDERMANLANDS LÄN</t>
        </is>
      </c>
      <c r="E123" t="inlineStr">
        <is>
          <t>KATRINEHOLM</t>
        </is>
      </c>
      <c r="G123" t="n">
        <v>25.1</v>
      </c>
      <c r="H123" t="n">
        <v>0</v>
      </c>
      <c r="I123" t="n">
        <v>0</v>
      </c>
      <c r="J123" t="n">
        <v>0</v>
      </c>
      <c r="K123" t="n">
        <v>0</v>
      </c>
      <c r="L123" t="n">
        <v>0</v>
      </c>
      <c r="M123" t="n">
        <v>0</v>
      </c>
      <c r="N123" t="n">
        <v>0</v>
      </c>
      <c r="O123" t="n">
        <v>0</v>
      </c>
      <c r="P123" t="n">
        <v>0</v>
      </c>
      <c r="Q123" t="n">
        <v>0</v>
      </c>
      <c r="R123" s="2" t="inlineStr"/>
    </row>
    <row r="124" ht="15" customHeight="1">
      <c r="A124" t="inlineStr">
        <is>
          <t>A 41126-2019</t>
        </is>
      </c>
      <c r="B124" s="1" t="n">
        <v>43691</v>
      </c>
      <c r="C124" s="1" t="n">
        <v>45663</v>
      </c>
      <c r="D124" t="inlineStr">
        <is>
          <t>SÖDERMANLANDS LÄN</t>
        </is>
      </c>
      <c r="E124" t="inlineStr">
        <is>
          <t>KATRINEHOLM</t>
        </is>
      </c>
      <c r="F124" t="inlineStr">
        <is>
          <t>Övriga Aktiebolag</t>
        </is>
      </c>
      <c r="G124" t="n">
        <v>1.7</v>
      </c>
      <c r="H124" t="n">
        <v>0</v>
      </c>
      <c r="I124" t="n">
        <v>0</v>
      </c>
      <c r="J124" t="n">
        <v>0</v>
      </c>
      <c r="K124" t="n">
        <v>0</v>
      </c>
      <c r="L124" t="n">
        <v>0</v>
      </c>
      <c r="M124" t="n">
        <v>0</v>
      </c>
      <c r="N124" t="n">
        <v>0</v>
      </c>
      <c r="O124" t="n">
        <v>0</v>
      </c>
      <c r="P124" t="n">
        <v>0</v>
      </c>
      <c r="Q124" t="n">
        <v>0</v>
      </c>
      <c r="R124" s="2" t="inlineStr"/>
    </row>
    <row r="125" ht="15" customHeight="1">
      <c r="A125" t="inlineStr">
        <is>
          <t>A 40455-2019</t>
        </is>
      </c>
      <c r="B125" s="1" t="n">
        <v>43696</v>
      </c>
      <c r="C125" s="1" t="n">
        <v>45663</v>
      </c>
      <c r="D125" t="inlineStr">
        <is>
          <t>SÖDERMANLANDS LÄN</t>
        </is>
      </c>
      <c r="E125" t="inlineStr">
        <is>
          <t>KATRINEHOLM</t>
        </is>
      </c>
      <c r="G125" t="n">
        <v>1</v>
      </c>
      <c r="H125" t="n">
        <v>0</v>
      </c>
      <c r="I125" t="n">
        <v>0</v>
      </c>
      <c r="J125" t="n">
        <v>0</v>
      </c>
      <c r="K125" t="n">
        <v>0</v>
      </c>
      <c r="L125" t="n">
        <v>0</v>
      </c>
      <c r="M125" t="n">
        <v>0</v>
      </c>
      <c r="N125" t="n">
        <v>0</v>
      </c>
      <c r="O125" t="n">
        <v>0</v>
      </c>
      <c r="P125" t="n">
        <v>0</v>
      </c>
      <c r="Q125" t="n">
        <v>0</v>
      </c>
      <c r="R125" s="2" t="inlineStr"/>
    </row>
    <row r="126" ht="15" customHeight="1">
      <c r="A126" t="inlineStr">
        <is>
          <t>A 40800-2019</t>
        </is>
      </c>
      <c r="B126" s="1" t="n">
        <v>43697</v>
      </c>
      <c r="C126" s="1" t="n">
        <v>45663</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40778-2019</t>
        </is>
      </c>
      <c r="B127" s="1" t="n">
        <v>43697</v>
      </c>
      <c r="C127" s="1" t="n">
        <v>45663</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40798-2019</t>
        </is>
      </c>
      <c r="B128" s="1" t="n">
        <v>43697</v>
      </c>
      <c r="C128" s="1" t="n">
        <v>45663</v>
      </c>
      <c r="D128" t="inlineStr">
        <is>
          <t>SÖDERMANLANDS LÄN</t>
        </is>
      </c>
      <c r="E128" t="inlineStr">
        <is>
          <t>KATRINEHOLM</t>
        </is>
      </c>
      <c r="G128" t="n">
        <v>4.8</v>
      </c>
      <c r="H128" t="n">
        <v>0</v>
      </c>
      <c r="I128" t="n">
        <v>0</v>
      </c>
      <c r="J128" t="n">
        <v>0</v>
      </c>
      <c r="K128" t="n">
        <v>0</v>
      </c>
      <c r="L128" t="n">
        <v>0</v>
      </c>
      <c r="M128" t="n">
        <v>0</v>
      </c>
      <c r="N128" t="n">
        <v>0</v>
      </c>
      <c r="O128" t="n">
        <v>0</v>
      </c>
      <c r="P128" t="n">
        <v>0</v>
      </c>
      <c r="Q128" t="n">
        <v>0</v>
      </c>
      <c r="R128" s="2" t="inlineStr"/>
    </row>
    <row r="129" ht="15" customHeight="1">
      <c r="A129" t="inlineStr">
        <is>
          <t>A 40812-2019</t>
        </is>
      </c>
      <c r="B129" s="1" t="n">
        <v>43697</v>
      </c>
      <c r="C129" s="1" t="n">
        <v>45663</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40773-2019</t>
        </is>
      </c>
      <c r="B130" s="1" t="n">
        <v>43697</v>
      </c>
      <c r="C130" s="1" t="n">
        <v>45663</v>
      </c>
      <c r="D130" t="inlineStr">
        <is>
          <t>SÖDERMANLANDS LÄN</t>
        </is>
      </c>
      <c r="E130" t="inlineStr">
        <is>
          <t>KATRINEHOLM</t>
        </is>
      </c>
      <c r="G130" t="n">
        <v>1.5</v>
      </c>
      <c r="H130" t="n">
        <v>0</v>
      </c>
      <c r="I130" t="n">
        <v>0</v>
      </c>
      <c r="J130" t="n">
        <v>0</v>
      </c>
      <c r="K130" t="n">
        <v>0</v>
      </c>
      <c r="L130" t="n">
        <v>0</v>
      </c>
      <c r="M130" t="n">
        <v>0</v>
      </c>
      <c r="N130" t="n">
        <v>0</v>
      </c>
      <c r="O130" t="n">
        <v>0</v>
      </c>
      <c r="P130" t="n">
        <v>0</v>
      </c>
      <c r="Q130" t="n">
        <v>0</v>
      </c>
      <c r="R130" s="2" t="inlineStr"/>
    </row>
    <row r="131" ht="15" customHeight="1">
      <c r="A131" t="inlineStr">
        <is>
          <t>A 40775-2019</t>
        </is>
      </c>
      <c r="B131" s="1" t="n">
        <v>43697</v>
      </c>
      <c r="C131" s="1" t="n">
        <v>45663</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40891-2019</t>
        </is>
      </c>
      <c r="B132" s="1" t="n">
        <v>43697</v>
      </c>
      <c r="C132" s="1" t="n">
        <v>45663</v>
      </c>
      <c r="D132" t="inlineStr">
        <is>
          <t>SÖDERMANLANDS LÄN</t>
        </is>
      </c>
      <c r="E132" t="inlineStr">
        <is>
          <t>KATRINEHOLM</t>
        </is>
      </c>
      <c r="G132" t="n">
        <v>10.5</v>
      </c>
      <c r="H132" t="n">
        <v>0</v>
      </c>
      <c r="I132" t="n">
        <v>0</v>
      </c>
      <c r="J132" t="n">
        <v>0</v>
      </c>
      <c r="K132" t="n">
        <v>0</v>
      </c>
      <c r="L132" t="n">
        <v>0</v>
      </c>
      <c r="M132" t="n">
        <v>0</v>
      </c>
      <c r="N132" t="n">
        <v>0</v>
      </c>
      <c r="O132" t="n">
        <v>0</v>
      </c>
      <c r="P132" t="n">
        <v>0</v>
      </c>
      <c r="Q132" t="n">
        <v>0</v>
      </c>
      <c r="R132" s="2" t="inlineStr"/>
    </row>
    <row r="133" ht="15" customHeight="1">
      <c r="A133" t="inlineStr">
        <is>
          <t>A 40820-2019</t>
        </is>
      </c>
      <c r="B133" s="1" t="n">
        <v>43697</v>
      </c>
      <c r="C133" s="1" t="n">
        <v>45663</v>
      </c>
      <c r="D133" t="inlineStr">
        <is>
          <t>SÖDERMANLANDS LÄN</t>
        </is>
      </c>
      <c r="E133" t="inlineStr">
        <is>
          <t>KATRINEHOLM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42618-2019</t>
        </is>
      </c>
      <c r="B134" s="1" t="n">
        <v>43699</v>
      </c>
      <c r="C134" s="1" t="n">
        <v>45663</v>
      </c>
      <c r="D134" t="inlineStr">
        <is>
          <t>SÖDERMANLANDS LÄN</t>
        </is>
      </c>
      <c r="E134" t="inlineStr">
        <is>
          <t>KATRINEHOLM</t>
        </is>
      </c>
      <c r="G134" t="n">
        <v>24.1</v>
      </c>
      <c r="H134" t="n">
        <v>0</v>
      </c>
      <c r="I134" t="n">
        <v>0</v>
      </c>
      <c r="J134" t="n">
        <v>0</v>
      </c>
      <c r="K134" t="n">
        <v>0</v>
      </c>
      <c r="L134" t="n">
        <v>0</v>
      </c>
      <c r="M134" t="n">
        <v>0</v>
      </c>
      <c r="N134" t="n">
        <v>0</v>
      </c>
      <c r="O134" t="n">
        <v>0</v>
      </c>
      <c r="P134" t="n">
        <v>0</v>
      </c>
      <c r="Q134" t="n">
        <v>0</v>
      </c>
      <c r="R134" s="2" t="inlineStr"/>
    </row>
    <row r="135" ht="15" customHeight="1">
      <c r="A135" t="inlineStr">
        <is>
          <t>A 42397-2019</t>
        </is>
      </c>
      <c r="B135" s="1" t="n">
        <v>43703</v>
      </c>
      <c r="C135" s="1" t="n">
        <v>45663</v>
      </c>
      <c r="D135" t="inlineStr">
        <is>
          <t>SÖDERMANLANDS LÄN</t>
        </is>
      </c>
      <c r="E135" t="inlineStr">
        <is>
          <t>KATRINEHOLM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42392-2019</t>
        </is>
      </c>
      <c r="B136" s="1" t="n">
        <v>43703</v>
      </c>
      <c r="C136" s="1" t="n">
        <v>45663</v>
      </c>
      <c r="D136" t="inlineStr">
        <is>
          <t>SÖDERMANLANDS LÄN</t>
        </is>
      </c>
      <c r="E136" t="inlineStr">
        <is>
          <t>KATRINEHOLM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42394-2019</t>
        </is>
      </c>
      <c r="B137" s="1" t="n">
        <v>43703</v>
      </c>
      <c r="C137" s="1" t="n">
        <v>45663</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42244-2019</t>
        </is>
      </c>
      <c r="B138" s="1" t="n">
        <v>43703</v>
      </c>
      <c r="C138" s="1" t="n">
        <v>45663</v>
      </c>
      <c r="D138" t="inlineStr">
        <is>
          <t>SÖDERMANLANDS LÄN</t>
        </is>
      </c>
      <c r="E138" t="inlineStr">
        <is>
          <t>KATRINEHOLM</t>
        </is>
      </c>
      <c r="G138" t="n">
        <v>1.6</v>
      </c>
      <c r="H138" t="n">
        <v>0</v>
      </c>
      <c r="I138" t="n">
        <v>0</v>
      </c>
      <c r="J138" t="n">
        <v>0</v>
      </c>
      <c r="K138" t="n">
        <v>0</v>
      </c>
      <c r="L138" t="n">
        <v>0</v>
      </c>
      <c r="M138" t="n">
        <v>0</v>
      </c>
      <c r="N138" t="n">
        <v>0</v>
      </c>
      <c r="O138" t="n">
        <v>0</v>
      </c>
      <c r="P138" t="n">
        <v>0</v>
      </c>
      <c r="Q138" t="n">
        <v>0</v>
      </c>
      <c r="R138" s="2" t="inlineStr"/>
    </row>
    <row r="139" ht="15" customHeight="1">
      <c r="A139" t="inlineStr">
        <is>
          <t>A 42897-2019</t>
        </is>
      </c>
      <c r="B139" s="1" t="n">
        <v>43705</v>
      </c>
      <c r="C139" s="1" t="n">
        <v>45663</v>
      </c>
      <c r="D139" t="inlineStr">
        <is>
          <t>SÖDERMANLANDS LÄN</t>
        </is>
      </c>
      <c r="E139" t="inlineStr">
        <is>
          <t>KATRINEHOLM</t>
        </is>
      </c>
      <c r="G139" t="n">
        <v>6</v>
      </c>
      <c r="H139" t="n">
        <v>0</v>
      </c>
      <c r="I139" t="n">
        <v>0</v>
      </c>
      <c r="J139" t="n">
        <v>0</v>
      </c>
      <c r="K139" t="n">
        <v>0</v>
      </c>
      <c r="L139" t="n">
        <v>0</v>
      </c>
      <c r="M139" t="n">
        <v>0</v>
      </c>
      <c r="N139" t="n">
        <v>0</v>
      </c>
      <c r="O139" t="n">
        <v>0</v>
      </c>
      <c r="P139" t="n">
        <v>0</v>
      </c>
      <c r="Q139" t="n">
        <v>0</v>
      </c>
      <c r="R139" s="2" t="inlineStr"/>
    </row>
    <row r="140" ht="15" customHeight="1">
      <c r="A140" t="inlineStr">
        <is>
          <t>A 44403-2019</t>
        </is>
      </c>
      <c r="B140" s="1" t="n">
        <v>43705</v>
      </c>
      <c r="C140" s="1" t="n">
        <v>45663</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43579-2019</t>
        </is>
      </c>
      <c r="B141" s="1" t="n">
        <v>43706</v>
      </c>
      <c r="C141" s="1" t="n">
        <v>45663</v>
      </c>
      <c r="D141" t="inlineStr">
        <is>
          <t>SÖDERMANLANDS LÄN</t>
        </is>
      </c>
      <c r="E141" t="inlineStr">
        <is>
          <t>KATRINEHOLM</t>
        </is>
      </c>
      <c r="G141" t="n">
        <v>1.4</v>
      </c>
      <c r="H141" t="n">
        <v>0</v>
      </c>
      <c r="I141" t="n">
        <v>0</v>
      </c>
      <c r="J141" t="n">
        <v>0</v>
      </c>
      <c r="K141" t="n">
        <v>0</v>
      </c>
      <c r="L141" t="n">
        <v>0</v>
      </c>
      <c r="M141" t="n">
        <v>0</v>
      </c>
      <c r="N141" t="n">
        <v>0</v>
      </c>
      <c r="O141" t="n">
        <v>0</v>
      </c>
      <c r="P141" t="n">
        <v>0</v>
      </c>
      <c r="Q141" t="n">
        <v>0</v>
      </c>
      <c r="R141" s="2" t="inlineStr"/>
    </row>
    <row r="142" ht="15" customHeight="1">
      <c r="A142" t="inlineStr">
        <is>
          <t>A 43580-2019</t>
        </is>
      </c>
      <c r="B142" s="1" t="n">
        <v>43706</v>
      </c>
      <c r="C142" s="1" t="n">
        <v>45663</v>
      </c>
      <c r="D142" t="inlineStr">
        <is>
          <t>SÖDERMANLANDS LÄN</t>
        </is>
      </c>
      <c r="E142" t="inlineStr">
        <is>
          <t>KATRINEHOLM</t>
        </is>
      </c>
      <c r="G142" t="n">
        <v>3.6</v>
      </c>
      <c r="H142" t="n">
        <v>0</v>
      </c>
      <c r="I142" t="n">
        <v>0</v>
      </c>
      <c r="J142" t="n">
        <v>0</v>
      </c>
      <c r="K142" t="n">
        <v>0</v>
      </c>
      <c r="L142" t="n">
        <v>0</v>
      </c>
      <c r="M142" t="n">
        <v>0</v>
      </c>
      <c r="N142" t="n">
        <v>0</v>
      </c>
      <c r="O142" t="n">
        <v>0</v>
      </c>
      <c r="P142" t="n">
        <v>0</v>
      </c>
      <c r="Q142" t="n">
        <v>0</v>
      </c>
      <c r="R142" s="2" t="inlineStr"/>
    </row>
    <row r="143" ht="15" customHeight="1">
      <c r="A143" t="inlineStr">
        <is>
          <t>A 43575-2019</t>
        </is>
      </c>
      <c r="B143" s="1" t="n">
        <v>43706</v>
      </c>
      <c r="C143" s="1" t="n">
        <v>45663</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43577-2019</t>
        </is>
      </c>
      <c r="B144" s="1" t="n">
        <v>43706</v>
      </c>
      <c r="C144" s="1" t="n">
        <v>45663</v>
      </c>
      <c r="D144" t="inlineStr">
        <is>
          <t>SÖDERMANLANDS LÄN</t>
        </is>
      </c>
      <c r="E144" t="inlineStr">
        <is>
          <t>KATRINEHOLM</t>
        </is>
      </c>
      <c r="G144" t="n">
        <v>1.8</v>
      </c>
      <c r="H144" t="n">
        <v>0</v>
      </c>
      <c r="I144" t="n">
        <v>0</v>
      </c>
      <c r="J144" t="n">
        <v>0</v>
      </c>
      <c r="K144" t="n">
        <v>0</v>
      </c>
      <c r="L144" t="n">
        <v>0</v>
      </c>
      <c r="M144" t="n">
        <v>0</v>
      </c>
      <c r="N144" t="n">
        <v>0</v>
      </c>
      <c r="O144" t="n">
        <v>0</v>
      </c>
      <c r="P144" t="n">
        <v>0</v>
      </c>
      <c r="Q144" t="n">
        <v>0</v>
      </c>
      <c r="R144" s="2" t="inlineStr"/>
    </row>
    <row r="145" ht="15" customHeight="1">
      <c r="A145" t="inlineStr">
        <is>
          <t>A 45332-2019</t>
        </is>
      </c>
      <c r="B145" s="1" t="n">
        <v>43709</v>
      </c>
      <c r="C145" s="1" t="n">
        <v>45663</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45326-2019</t>
        </is>
      </c>
      <c r="B146" s="1" t="n">
        <v>43709</v>
      </c>
      <c r="C146" s="1" t="n">
        <v>45663</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44215-2019</t>
        </is>
      </c>
      <c r="B147" s="1" t="n">
        <v>43710</v>
      </c>
      <c r="C147" s="1" t="n">
        <v>45663</v>
      </c>
      <c r="D147" t="inlineStr">
        <is>
          <t>SÖDERMANLANDS LÄN</t>
        </is>
      </c>
      <c r="E147" t="inlineStr">
        <is>
          <t>KATRINEHOLM</t>
        </is>
      </c>
      <c r="G147" t="n">
        <v>3.1</v>
      </c>
      <c r="H147" t="n">
        <v>0</v>
      </c>
      <c r="I147" t="n">
        <v>0</v>
      </c>
      <c r="J147" t="n">
        <v>0</v>
      </c>
      <c r="K147" t="n">
        <v>0</v>
      </c>
      <c r="L147" t="n">
        <v>0</v>
      </c>
      <c r="M147" t="n">
        <v>0</v>
      </c>
      <c r="N147" t="n">
        <v>0</v>
      </c>
      <c r="O147" t="n">
        <v>0</v>
      </c>
      <c r="P147" t="n">
        <v>0</v>
      </c>
      <c r="Q147" t="n">
        <v>0</v>
      </c>
      <c r="R147" s="2" t="inlineStr"/>
    </row>
    <row r="148" ht="15" customHeight="1">
      <c r="A148" t="inlineStr">
        <is>
          <t>A 44276-2019</t>
        </is>
      </c>
      <c r="B148" s="1" t="n">
        <v>43710</v>
      </c>
      <c r="C148" s="1" t="n">
        <v>45663</v>
      </c>
      <c r="D148" t="inlineStr">
        <is>
          <t>SÖDERMANLANDS LÄN</t>
        </is>
      </c>
      <c r="E148" t="inlineStr">
        <is>
          <t>KATRINEHOLM</t>
        </is>
      </c>
      <c r="G148" t="n">
        <v>14.2</v>
      </c>
      <c r="H148" t="n">
        <v>0</v>
      </c>
      <c r="I148" t="n">
        <v>0</v>
      </c>
      <c r="J148" t="n">
        <v>0</v>
      </c>
      <c r="K148" t="n">
        <v>0</v>
      </c>
      <c r="L148" t="n">
        <v>0</v>
      </c>
      <c r="M148" t="n">
        <v>0</v>
      </c>
      <c r="N148" t="n">
        <v>0</v>
      </c>
      <c r="O148" t="n">
        <v>0</v>
      </c>
      <c r="P148" t="n">
        <v>0</v>
      </c>
      <c r="Q148" t="n">
        <v>0</v>
      </c>
      <c r="R148" s="2" t="inlineStr"/>
    </row>
    <row r="149" ht="15" customHeight="1">
      <c r="A149" t="inlineStr">
        <is>
          <t>A 44283-2019</t>
        </is>
      </c>
      <c r="B149" s="1" t="n">
        <v>43710</v>
      </c>
      <c r="C149" s="1" t="n">
        <v>45663</v>
      </c>
      <c r="D149" t="inlineStr">
        <is>
          <t>SÖDERMANLANDS LÄN</t>
        </is>
      </c>
      <c r="E149" t="inlineStr">
        <is>
          <t>KATRINEHOLM</t>
        </is>
      </c>
      <c r="G149" t="n">
        <v>10.5</v>
      </c>
      <c r="H149" t="n">
        <v>0</v>
      </c>
      <c r="I149" t="n">
        <v>0</v>
      </c>
      <c r="J149" t="n">
        <v>0</v>
      </c>
      <c r="K149" t="n">
        <v>0</v>
      </c>
      <c r="L149" t="n">
        <v>0</v>
      </c>
      <c r="M149" t="n">
        <v>0</v>
      </c>
      <c r="N149" t="n">
        <v>0</v>
      </c>
      <c r="O149" t="n">
        <v>0</v>
      </c>
      <c r="P149" t="n">
        <v>0</v>
      </c>
      <c r="Q149" t="n">
        <v>0</v>
      </c>
      <c r="R149" s="2" t="inlineStr"/>
    </row>
    <row r="150" ht="15" customHeight="1">
      <c r="A150" t="inlineStr">
        <is>
          <t>A 44184-2019</t>
        </is>
      </c>
      <c r="B150" s="1" t="n">
        <v>43710</v>
      </c>
      <c r="C150" s="1" t="n">
        <v>45663</v>
      </c>
      <c r="D150" t="inlineStr">
        <is>
          <t>SÖDERMANLANDS LÄN</t>
        </is>
      </c>
      <c r="E150" t="inlineStr">
        <is>
          <t>KATRINEHOLM</t>
        </is>
      </c>
      <c r="G150" t="n">
        <v>1.6</v>
      </c>
      <c r="H150" t="n">
        <v>0</v>
      </c>
      <c r="I150" t="n">
        <v>0</v>
      </c>
      <c r="J150" t="n">
        <v>0</v>
      </c>
      <c r="K150" t="n">
        <v>0</v>
      </c>
      <c r="L150" t="n">
        <v>0</v>
      </c>
      <c r="M150" t="n">
        <v>0</v>
      </c>
      <c r="N150" t="n">
        <v>0</v>
      </c>
      <c r="O150" t="n">
        <v>0</v>
      </c>
      <c r="P150" t="n">
        <v>0</v>
      </c>
      <c r="Q150" t="n">
        <v>0</v>
      </c>
      <c r="R150" s="2" t="inlineStr"/>
    </row>
    <row r="151" ht="15" customHeight="1">
      <c r="A151" t="inlineStr">
        <is>
          <t>A 44286-2019</t>
        </is>
      </c>
      <c r="B151" s="1" t="n">
        <v>43710</v>
      </c>
      <c r="C151" s="1" t="n">
        <v>45663</v>
      </c>
      <c r="D151" t="inlineStr">
        <is>
          <t>SÖDERMANLANDS LÄN</t>
        </is>
      </c>
      <c r="E151" t="inlineStr">
        <is>
          <t>KATRINEHOLM</t>
        </is>
      </c>
      <c r="G151" t="n">
        <v>18.9</v>
      </c>
      <c r="H151" t="n">
        <v>0</v>
      </c>
      <c r="I151" t="n">
        <v>0</v>
      </c>
      <c r="J151" t="n">
        <v>0</v>
      </c>
      <c r="K151" t="n">
        <v>0</v>
      </c>
      <c r="L151" t="n">
        <v>0</v>
      </c>
      <c r="M151" t="n">
        <v>0</v>
      </c>
      <c r="N151" t="n">
        <v>0</v>
      </c>
      <c r="O151" t="n">
        <v>0</v>
      </c>
      <c r="P151" t="n">
        <v>0</v>
      </c>
      <c r="Q151" t="n">
        <v>0</v>
      </c>
      <c r="R151" s="2" t="inlineStr"/>
    </row>
    <row r="152" ht="15" customHeight="1">
      <c r="A152" t="inlineStr">
        <is>
          <t>A 45318-2019</t>
        </is>
      </c>
      <c r="B152" s="1" t="n">
        <v>43710</v>
      </c>
      <c r="C152" s="1" t="n">
        <v>45663</v>
      </c>
      <c r="D152" t="inlineStr">
        <is>
          <t>SÖDERMANLANDS LÄN</t>
        </is>
      </c>
      <c r="E152" t="inlineStr">
        <is>
          <t>KATRINEHOLM</t>
        </is>
      </c>
      <c r="G152" t="n">
        <v>7</v>
      </c>
      <c r="H152" t="n">
        <v>0</v>
      </c>
      <c r="I152" t="n">
        <v>0</v>
      </c>
      <c r="J152" t="n">
        <v>0</v>
      </c>
      <c r="K152" t="n">
        <v>0</v>
      </c>
      <c r="L152" t="n">
        <v>0</v>
      </c>
      <c r="M152" t="n">
        <v>0</v>
      </c>
      <c r="N152" t="n">
        <v>0</v>
      </c>
      <c r="O152" t="n">
        <v>0</v>
      </c>
      <c r="P152" t="n">
        <v>0</v>
      </c>
      <c r="Q152" t="n">
        <v>0</v>
      </c>
      <c r="R152" s="2" t="inlineStr"/>
    </row>
    <row r="153" ht="15" customHeight="1">
      <c r="A153" t="inlineStr">
        <is>
          <t>A 45642-2019</t>
        </is>
      </c>
      <c r="B153" s="1" t="n">
        <v>43711</v>
      </c>
      <c r="C153" s="1" t="n">
        <v>45663</v>
      </c>
      <c r="D153" t="inlineStr">
        <is>
          <t>SÖDERMANLANDS LÄN</t>
        </is>
      </c>
      <c r="E153" t="inlineStr">
        <is>
          <t>KATRINEHOLM</t>
        </is>
      </c>
      <c r="G153" t="n">
        <v>1</v>
      </c>
      <c r="H153" t="n">
        <v>0</v>
      </c>
      <c r="I153" t="n">
        <v>0</v>
      </c>
      <c r="J153" t="n">
        <v>0</v>
      </c>
      <c r="K153" t="n">
        <v>0</v>
      </c>
      <c r="L153" t="n">
        <v>0</v>
      </c>
      <c r="M153" t="n">
        <v>0</v>
      </c>
      <c r="N153" t="n">
        <v>0</v>
      </c>
      <c r="O153" t="n">
        <v>0</v>
      </c>
      <c r="P153" t="n">
        <v>0</v>
      </c>
      <c r="Q153" t="n">
        <v>0</v>
      </c>
      <c r="R153" s="2" t="inlineStr"/>
    </row>
    <row r="154" ht="15" customHeight="1">
      <c r="A154" t="inlineStr">
        <is>
          <t>A 45780-2019</t>
        </is>
      </c>
      <c r="B154" s="1" t="n">
        <v>43711</v>
      </c>
      <c r="C154" s="1" t="n">
        <v>45663</v>
      </c>
      <c r="D154" t="inlineStr">
        <is>
          <t>SÖDERMANLANDS LÄN</t>
        </is>
      </c>
      <c r="E154" t="inlineStr">
        <is>
          <t>KATRINEHOLM</t>
        </is>
      </c>
      <c r="F154" t="inlineStr">
        <is>
          <t>Övriga Aktiebolag</t>
        </is>
      </c>
      <c r="G154" t="n">
        <v>16.5</v>
      </c>
      <c r="H154" t="n">
        <v>0</v>
      </c>
      <c r="I154" t="n">
        <v>0</v>
      </c>
      <c r="J154" t="n">
        <v>0</v>
      </c>
      <c r="K154" t="n">
        <v>0</v>
      </c>
      <c r="L154" t="n">
        <v>0</v>
      </c>
      <c r="M154" t="n">
        <v>0</v>
      </c>
      <c r="N154" t="n">
        <v>0</v>
      </c>
      <c r="O154" t="n">
        <v>0</v>
      </c>
      <c r="P154" t="n">
        <v>0</v>
      </c>
      <c r="Q154" t="n">
        <v>0</v>
      </c>
      <c r="R154" s="2" t="inlineStr"/>
    </row>
    <row r="155" ht="15" customHeight="1">
      <c r="A155" t="inlineStr">
        <is>
          <t>A 44862-2019</t>
        </is>
      </c>
      <c r="B155" s="1" t="n">
        <v>43712</v>
      </c>
      <c r="C155" s="1" t="n">
        <v>45663</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44859-2019</t>
        </is>
      </c>
      <c r="B156" s="1" t="n">
        <v>43712</v>
      </c>
      <c r="C156" s="1" t="n">
        <v>45663</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45246-2019</t>
        </is>
      </c>
      <c r="B157" s="1" t="n">
        <v>43713</v>
      </c>
      <c r="C157" s="1" t="n">
        <v>45663</v>
      </c>
      <c r="D157" t="inlineStr">
        <is>
          <t>SÖDERMANLANDS LÄN</t>
        </is>
      </c>
      <c r="E157" t="inlineStr">
        <is>
          <t>KATRINEHOLM</t>
        </is>
      </c>
      <c r="G157" t="n">
        <v>3.2</v>
      </c>
      <c r="H157" t="n">
        <v>0</v>
      </c>
      <c r="I157" t="n">
        <v>0</v>
      </c>
      <c r="J157" t="n">
        <v>0</v>
      </c>
      <c r="K157" t="n">
        <v>0</v>
      </c>
      <c r="L157" t="n">
        <v>0</v>
      </c>
      <c r="M157" t="n">
        <v>0</v>
      </c>
      <c r="N157" t="n">
        <v>0</v>
      </c>
      <c r="O157" t="n">
        <v>0</v>
      </c>
      <c r="P157" t="n">
        <v>0</v>
      </c>
      <c r="Q157" t="n">
        <v>0</v>
      </c>
      <c r="R157" s="2" t="inlineStr"/>
    </row>
    <row r="158" ht="15" customHeight="1">
      <c r="A158" t="inlineStr">
        <is>
          <t>A 45248-2019</t>
        </is>
      </c>
      <c r="B158" s="1" t="n">
        <v>43713</v>
      </c>
      <c r="C158" s="1" t="n">
        <v>45663</v>
      </c>
      <c r="D158" t="inlineStr">
        <is>
          <t>SÖDERMANLANDS LÄN</t>
        </is>
      </c>
      <c r="E158" t="inlineStr">
        <is>
          <t>KATRINEHOLM</t>
        </is>
      </c>
      <c r="G158" t="n">
        <v>0.9</v>
      </c>
      <c r="H158" t="n">
        <v>0</v>
      </c>
      <c r="I158" t="n">
        <v>0</v>
      </c>
      <c r="J158" t="n">
        <v>0</v>
      </c>
      <c r="K158" t="n">
        <v>0</v>
      </c>
      <c r="L158" t="n">
        <v>0</v>
      </c>
      <c r="M158" t="n">
        <v>0</v>
      </c>
      <c r="N158" t="n">
        <v>0</v>
      </c>
      <c r="O158" t="n">
        <v>0</v>
      </c>
      <c r="P158" t="n">
        <v>0</v>
      </c>
      <c r="Q158" t="n">
        <v>0</v>
      </c>
      <c r="R158" s="2" t="inlineStr"/>
    </row>
    <row r="159" ht="15" customHeight="1">
      <c r="A159" t="inlineStr">
        <is>
          <t>A 47935-2019</t>
        </is>
      </c>
      <c r="B159" s="1" t="n">
        <v>43725</v>
      </c>
      <c r="C159" s="1" t="n">
        <v>45663</v>
      </c>
      <c r="D159" t="inlineStr">
        <is>
          <t>SÖDERMANLANDS LÄN</t>
        </is>
      </c>
      <c r="E159" t="inlineStr">
        <is>
          <t>KATRINEHOLM</t>
        </is>
      </c>
      <c r="G159" t="n">
        <v>1.9</v>
      </c>
      <c r="H159" t="n">
        <v>0</v>
      </c>
      <c r="I159" t="n">
        <v>0</v>
      </c>
      <c r="J159" t="n">
        <v>0</v>
      </c>
      <c r="K159" t="n">
        <v>0</v>
      </c>
      <c r="L159" t="n">
        <v>0</v>
      </c>
      <c r="M159" t="n">
        <v>0</v>
      </c>
      <c r="N159" t="n">
        <v>0</v>
      </c>
      <c r="O159" t="n">
        <v>0</v>
      </c>
      <c r="P159" t="n">
        <v>0</v>
      </c>
      <c r="Q159" t="n">
        <v>0</v>
      </c>
      <c r="R159" s="2" t="inlineStr"/>
    </row>
    <row r="160" ht="15" customHeight="1">
      <c r="A160" t="inlineStr">
        <is>
          <t>A 48581-2019</t>
        </is>
      </c>
      <c r="B160" s="1" t="n">
        <v>43727</v>
      </c>
      <c r="C160" s="1" t="n">
        <v>45663</v>
      </c>
      <c r="D160" t="inlineStr">
        <is>
          <t>SÖDERMANLANDS LÄN</t>
        </is>
      </c>
      <c r="E160" t="inlineStr">
        <is>
          <t>KATRINEHOLM</t>
        </is>
      </c>
      <c r="G160" t="n">
        <v>14.3</v>
      </c>
      <c r="H160" t="n">
        <v>0</v>
      </c>
      <c r="I160" t="n">
        <v>0</v>
      </c>
      <c r="J160" t="n">
        <v>0</v>
      </c>
      <c r="K160" t="n">
        <v>0</v>
      </c>
      <c r="L160" t="n">
        <v>0</v>
      </c>
      <c r="M160" t="n">
        <v>0</v>
      </c>
      <c r="N160" t="n">
        <v>0</v>
      </c>
      <c r="O160" t="n">
        <v>0</v>
      </c>
      <c r="P160" t="n">
        <v>0</v>
      </c>
      <c r="Q160" t="n">
        <v>0</v>
      </c>
      <c r="R160" s="2" t="inlineStr"/>
    </row>
    <row r="161" ht="15" customHeight="1">
      <c r="A161" t="inlineStr">
        <is>
          <t>A 49346-2019</t>
        </is>
      </c>
      <c r="B161" s="1" t="n">
        <v>43731</v>
      </c>
      <c r="C161" s="1" t="n">
        <v>45663</v>
      </c>
      <c r="D161" t="inlineStr">
        <is>
          <t>SÖDERMANLANDS LÄN</t>
        </is>
      </c>
      <c r="E161" t="inlineStr">
        <is>
          <t>KATRINEHOLM</t>
        </is>
      </c>
      <c r="G161" t="n">
        <v>4.1</v>
      </c>
      <c r="H161" t="n">
        <v>0</v>
      </c>
      <c r="I161" t="n">
        <v>0</v>
      </c>
      <c r="J161" t="n">
        <v>0</v>
      </c>
      <c r="K161" t="n">
        <v>0</v>
      </c>
      <c r="L161" t="n">
        <v>0</v>
      </c>
      <c r="M161" t="n">
        <v>0</v>
      </c>
      <c r="N161" t="n">
        <v>0</v>
      </c>
      <c r="O161" t="n">
        <v>0</v>
      </c>
      <c r="P161" t="n">
        <v>0</v>
      </c>
      <c r="Q161" t="n">
        <v>0</v>
      </c>
      <c r="R161" s="2" t="inlineStr"/>
    </row>
    <row r="162" ht="15" customHeight="1">
      <c r="A162" t="inlineStr">
        <is>
          <t>A 51109-2019</t>
        </is>
      </c>
      <c r="B162" s="1" t="n">
        <v>43739</v>
      </c>
      <c r="C162" s="1" t="n">
        <v>45663</v>
      </c>
      <c r="D162" t="inlineStr">
        <is>
          <t>SÖDERMANLANDS LÄN</t>
        </is>
      </c>
      <c r="E162" t="inlineStr">
        <is>
          <t>KATRINEHOLM</t>
        </is>
      </c>
      <c r="G162" t="n">
        <v>7.8</v>
      </c>
      <c r="H162" t="n">
        <v>0</v>
      </c>
      <c r="I162" t="n">
        <v>0</v>
      </c>
      <c r="J162" t="n">
        <v>0</v>
      </c>
      <c r="K162" t="n">
        <v>0</v>
      </c>
      <c r="L162" t="n">
        <v>0</v>
      </c>
      <c r="M162" t="n">
        <v>0</v>
      </c>
      <c r="N162" t="n">
        <v>0</v>
      </c>
      <c r="O162" t="n">
        <v>0</v>
      </c>
      <c r="P162" t="n">
        <v>0</v>
      </c>
      <c r="Q162" t="n">
        <v>0</v>
      </c>
      <c r="R162" s="2" t="inlineStr"/>
    </row>
    <row r="163" ht="15" customHeight="1">
      <c r="A163" t="inlineStr">
        <is>
          <t>A 51233-2019</t>
        </is>
      </c>
      <c r="B163" s="1" t="n">
        <v>43739</v>
      </c>
      <c r="C163" s="1" t="n">
        <v>45663</v>
      </c>
      <c r="D163" t="inlineStr">
        <is>
          <t>SÖDERMANLANDS LÄN</t>
        </is>
      </c>
      <c r="E163" t="inlineStr">
        <is>
          <t>KATRINEHOLM</t>
        </is>
      </c>
      <c r="G163" t="n">
        <v>7.4</v>
      </c>
      <c r="H163" t="n">
        <v>0</v>
      </c>
      <c r="I163" t="n">
        <v>0</v>
      </c>
      <c r="J163" t="n">
        <v>0</v>
      </c>
      <c r="K163" t="n">
        <v>0</v>
      </c>
      <c r="L163" t="n">
        <v>0</v>
      </c>
      <c r="M163" t="n">
        <v>0</v>
      </c>
      <c r="N163" t="n">
        <v>0</v>
      </c>
      <c r="O163" t="n">
        <v>0</v>
      </c>
      <c r="P163" t="n">
        <v>0</v>
      </c>
      <c r="Q163" t="n">
        <v>0</v>
      </c>
      <c r="R163" s="2" t="inlineStr"/>
    </row>
    <row r="164" ht="15" customHeight="1">
      <c r="A164" t="inlineStr">
        <is>
          <t>A 51871-2019</t>
        </is>
      </c>
      <c r="B164" s="1" t="n">
        <v>43741</v>
      </c>
      <c r="C164" s="1" t="n">
        <v>45663</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54305-2019</t>
        </is>
      </c>
      <c r="B165" s="1" t="n">
        <v>43745</v>
      </c>
      <c r="C165" s="1" t="n">
        <v>45663</v>
      </c>
      <c r="D165" t="inlineStr">
        <is>
          <t>SÖDERMANLANDS LÄN</t>
        </is>
      </c>
      <c r="E165" t="inlineStr">
        <is>
          <t>KATRINEHOLM</t>
        </is>
      </c>
      <c r="G165" t="n">
        <v>9.6</v>
      </c>
      <c r="H165" t="n">
        <v>0</v>
      </c>
      <c r="I165" t="n">
        <v>0</v>
      </c>
      <c r="J165" t="n">
        <v>0</v>
      </c>
      <c r="K165" t="n">
        <v>0</v>
      </c>
      <c r="L165" t="n">
        <v>0</v>
      </c>
      <c r="M165" t="n">
        <v>0</v>
      </c>
      <c r="N165" t="n">
        <v>0</v>
      </c>
      <c r="O165" t="n">
        <v>0</v>
      </c>
      <c r="P165" t="n">
        <v>0</v>
      </c>
      <c r="Q165" t="n">
        <v>0</v>
      </c>
      <c r="R165" s="2" t="inlineStr"/>
    </row>
    <row r="166" ht="15" customHeight="1">
      <c r="A166" t="inlineStr">
        <is>
          <t>A 54310-2019</t>
        </is>
      </c>
      <c r="B166" s="1" t="n">
        <v>43745</v>
      </c>
      <c r="C166" s="1" t="n">
        <v>45663</v>
      </c>
      <c r="D166" t="inlineStr">
        <is>
          <t>SÖDERMANLANDS LÄN</t>
        </is>
      </c>
      <c r="E166" t="inlineStr">
        <is>
          <t>KATRINEHOLM</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54321-2019</t>
        </is>
      </c>
      <c r="B167" s="1" t="n">
        <v>43745</v>
      </c>
      <c r="C167" s="1" t="n">
        <v>45663</v>
      </c>
      <c r="D167" t="inlineStr">
        <is>
          <t>SÖDERMANLANDS LÄN</t>
        </is>
      </c>
      <c r="E167" t="inlineStr">
        <is>
          <t>KATRINEHOLM</t>
        </is>
      </c>
      <c r="G167" t="n">
        <v>0.7</v>
      </c>
      <c r="H167" t="n">
        <v>0</v>
      </c>
      <c r="I167" t="n">
        <v>0</v>
      </c>
      <c r="J167" t="n">
        <v>0</v>
      </c>
      <c r="K167" t="n">
        <v>0</v>
      </c>
      <c r="L167" t="n">
        <v>0</v>
      </c>
      <c r="M167" t="n">
        <v>0</v>
      </c>
      <c r="N167" t="n">
        <v>0</v>
      </c>
      <c r="O167" t="n">
        <v>0</v>
      </c>
      <c r="P167" t="n">
        <v>0</v>
      </c>
      <c r="Q167" t="n">
        <v>0</v>
      </c>
      <c r="R167" s="2" t="inlineStr"/>
    </row>
    <row r="168" ht="15" customHeight="1">
      <c r="A168" t="inlineStr">
        <is>
          <t>A 53762-2019</t>
        </is>
      </c>
      <c r="B168" s="1" t="n">
        <v>43750</v>
      </c>
      <c r="C168" s="1" t="n">
        <v>45663</v>
      </c>
      <c r="D168" t="inlineStr">
        <is>
          <t>SÖDERMANLANDS LÄN</t>
        </is>
      </c>
      <c r="E168" t="inlineStr">
        <is>
          <t>KATRINEHOLM</t>
        </is>
      </c>
      <c r="G168" t="n">
        <v>2.5</v>
      </c>
      <c r="H168" t="n">
        <v>0</v>
      </c>
      <c r="I168" t="n">
        <v>0</v>
      </c>
      <c r="J168" t="n">
        <v>0</v>
      </c>
      <c r="K168" t="n">
        <v>0</v>
      </c>
      <c r="L168" t="n">
        <v>0</v>
      </c>
      <c r="M168" t="n">
        <v>0</v>
      </c>
      <c r="N168" t="n">
        <v>0</v>
      </c>
      <c r="O168" t="n">
        <v>0</v>
      </c>
      <c r="P168" t="n">
        <v>0</v>
      </c>
      <c r="Q168" t="n">
        <v>0</v>
      </c>
      <c r="R168" s="2" t="inlineStr"/>
    </row>
    <row r="169" ht="15" customHeight="1">
      <c r="A169" t="inlineStr">
        <is>
          <t>A 54263-2019</t>
        </is>
      </c>
      <c r="B169" s="1" t="n">
        <v>43753</v>
      </c>
      <c r="C169" s="1" t="n">
        <v>45663</v>
      </c>
      <c r="D169" t="inlineStr">
        <is>
          <t>SÖDERMANLANDS LÄN</t>
        </is>
      </c>
      <c r="E169" t="inlineStr">
        <is>
          <t>KATRINEHOLM</t>
        </is>
      </c>
      <c r="G169" t="n">
        <v>2</v>
      </c>
      <c r="H169" t="n">
        <v>0</v>
      </c>
      <c r="I169" t="n">
        <v>0</v>
      </c>
      <c r="J169" t="n">
        <v>0</v>
      </c>
      <c r="K169" t="n">
        <v>0</v>
      </c>
      <c r="L169" t="n">
        <v>0</v>
      </c>
      <c r="M169" t="n">
        <v>0</v>
      </c>
      <c r="N169" t="n">
        <v>0</v>
      </c>
      <c r="O169" t="n">
        <v>0</v>
      </c>
      <c r="P169" t="n">
        <v>0</v>
      </c>
      <c r="Q169" t="n">
        <v>0</v>
      </c>
      <c r="R169" s="2" t="inlineStr"/>
    </row>
    <row r="170" ht="15" customHeight="1">
      <c r="A170" t="inlineStr">
        <is>
          <t>A 55232-2019</t>
        </is>
      </c>
      <c r="B170" s="1" t="n">
        <v>43753</v>
      </c>
      <c r="C170" s="1" t="n">
        <v>45663</v>
      </c>
      <c r="D170" t="inlineStr">
        <is>
          <t>SÖDERMANLANDS LÄN</t>
        </is>
      </c>
      <c r="E170" t="inlineStr">
        <is>
          <t>KATRINEHOLM</t>
        </is>
      </c>
      <c r="G170" t="n">
        <v>4</v>
      </c>
      <c r="H170" t="n">
        <v>0</v>
      </c>
      <c r="I170" t="n">
        <v>0</v>
      </c>
      <c r="J170" t="n">
        <v>0</v>
      </c>
      <c r="K170" t="n">
        <v>0</v>
      </c>
      <c r="L170" t="n">
        <v>0</v>
      </c>
      <c r="M170" t="n">
        <v>0</v>
      </c>
      <c r="N170" t="n">
        <v>0</v>
      </c>
      <c r="O170" t="n">
        <v>0</v>
      </c>
      <c r="P170" t="n">
        <v>0</v>
      </c>
      <c r="Q170" t="n">
        <v>0</v>
      </c>
      <c r="R170" s="2" t="inlineStr"/>
    </row>
    <row r="171" ht="15" customHeight="1">
      <c r="A171" t="inlineStr">
        <is>
          <t>A 54248-2019</t>
        </is>
      </c>
      <c r="B171" s="1" t="n">
        <v>43753</v>
      </c>
      <c r="C171" s="1" t="n">
        <v>45663</v>
      </c>
      <c r="D171" t="inlineStr">
        <is>
          <t>SÖDERMANLANDS LÄN</t>
        </is>
      </c>
      <c r="E171" t="inlineStr">
        <is>
          <t>KATRINEHOLM</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55333-2019</t>
        </is>
      </c>
      <c r="B172" s="1" t="n">
        <v>43756</v>
      </c>
      <c r="C172" s="1" t="n">
        <v>45663</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55330-2019</t>
        </is>
      </c>
      <c r="B173" s="1" t="n">
        <v>43756</v>
      </c>
      <c r="C173" s="1" t="n">
        <v>45663</v>
      </c>
      <c r="D173" t="inlineStr">
        <is>
          <t>SÖDERMANLANDS LÄN</t>
        </is>
      </c>
      <c r="E173" t="inlineStr">
        <is>
          <t>KATRINEHOLM</t>
        </is>
      </c>
      <c r="G173" t="n">
        <v>5.5</v>
      </c>
      <c r="H173" t="n">
        <v>0</v>
      </c>
      <c r="I173" t="n">
        <v>0</v>
      </c>
      <c r="J173" t="n">
        <v>0</v>
      </c>
      <c r="K173" t="n">
        <v>0</v>
      </c>
      <c r="L173" t="n">
        <v>0</v>
      </c>
      <c r="M173" t="n">
        <v>0</v>
      </c>
      <c r="N173" t="n">
        <v>0</v>
      </c>
      <c r="O173" t="n">
        <v>0</v>
      </c>
      <c r="P173" t="n">
        <v>0</v>
      </c>
      <c r="Q173" t="n">
        <v>0</v>
      </c>
      <c r="R173" s="2" t="inlineStr"/>
    </row>
    <row r="174" ht="15" customHeight="1">
      <c r="A174" t="inlineStr">
        <is>
          <t>A 57787-2019</t>
        </is>
      </c>
      <c r="B174" s="1" t="n">
        <v>43768</v>
      </c>
      <c r="C174" s="1" t="n">
        <v>45663</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59039-2019</t>
        </is>
      </c>
      <c r="B175" s="1" t="n">
        <v>43768</v>
      </c>
      <c r="C175" s="1" t="n">
        <v>45663</v>
      </c>
      <c r="D175" t="inlineStr">
        <is>
          <t>SÖDERMANLANDS LÄN</t>
        </is>
      </c>
      <c r="E175" t="inlineStr">
        <is>
          <t>KATRINEHOLM</t>
        </is>
      </c>
      <c r="G175" t="n">
        <v>22.3</v>
      </c>
      <c r="H175" t="n">
        <v>0</v>
      </c>
      <c r="I175" t="n">
        <v>0</v>
      </c>
      <c r="J175" t="n">
        <v>0</v>
      </c>
      <c r="K175" t="n">
        <v>0</v>
      </c>
      <c r="L175" t="n">
        <v>0</v>
      </c>
      <c r="M175" t="n">
        <v>0</v>
      </c>
      <c r="N175" t="n">
        <v>0</v>
      </c>
      <c r="O175" t="n">
        <v>0</v>
      </c>
      <c r="P175" t="n">
        <v>0</v>
      </c>
      <c r="Q175" t="n">
        <v>0</v>
      </c>
      <c r="R175" s="2" t="inlineStr"/>
    </row>
    <row r="176" ht="15" customHeight="1">
      <c r="A176" t="inlineStr">
        <is>
          <t>A 57793-2019</t>
        </is>
      </c>
      <c r="B176" s="1" t="n">
        <v>43768</v>
      </c>
      <c r="C176" s="1" t="n">
        <v>45663</v>
      </c>
      <c r="D176" t="inlineStr">
        <is>
          <t>SÖDERMANLANDS LÄN</t>
        </is>
      </c>
      <c r="E176" t="inlineStr">
        <is>
          <t>KATRINEHOLM</t>
        </is>
      </c>
      <c r="G176" t="n">
        <v>4.5</v>
      </c>
      <c r="H176" t="n">
        <v>0</v>
      </c>
      <c r="I176" t="n">
        <v>0</v>
      </c>
      <c r="J176" t="n">
        <v>0</v>
      </c>
      <c r="K176" t="n">
        <v>0</v>
      </c>
      <c r="L176" t="n">
        <v>0</v>
      </c>
      <c r="M176" t="n">
        <v>0</v>
      </c>
      <c r="N176" t="n">
        <v>0</v>
      </c>
      <c r="O176" t="n">
        <v>0</v>
      </c>
      <c r="P176" t="n">
        <v>0</v>
      </c>
      <c r="Q176" t="n">
        <v>0</v>
      </c>
      <c r="R176" s="2" t="inlineStr"/>
    </row>
    <row r="177" ht="15" customHeight="1">
      <c r="A177" t="inlineStr">
        <is>
          <t>A 58938-2019</t>
        </is>
      </c>
      <c r="B177" s="1" t="n">
        <v>43769</v>
      </c>
      <c r="C177" s="1" t="n">
        <v>45663</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59913-2019</t>
        </is>
      </c>
      <c r="B178" s="1" t="n">
        <v>43777</v>
      </c>
      <c r="C178" s="1" t="n">
        <v>45663</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59905-2019</t>
        </is>
      </c>
      <c r="B179" s="1" t="n">
        <v>43777</v>
      </c>
      <c r="C179" s="1" t="n">
        <v>45663</v>
      </c>
      <c r="D179" t="inlineStr">
        <is>
          <t>SÖDERMANLANDS LÄN</t>
        </is>
      </c>
      <c r="E179" t="inlineStr">
        <is>
          <t>KATRINEHOLM</t>
        </is>
      </c>
      <c r="G179" t="n">
        <v>4.7</v>
      </c>
      <c r="H179" t="n">
        <v>0</v>
      </c>
      <c r="I179" t="n">
        <v>0</v>
      </c>
      <c r="J179" t="n">
        <v>0</v>
      </c>
      <c r="K179" t="n">
        <v>0</v>
      </c>
      <c r="L179" t="n">
        <v>0</v>
      </c>
      <c r="M179" t="n">
        <v>0</v>
      </c>
      <c r="N179" t="n">
        <v>0</v>
      </c>
      <c r="O179" t="n">
        <v>0</v>
      </c>
      <c r="P179" t="n">
        <v>0</v>
      </c>
      <c r="Q179" t="n">
        <v>0</v>
      </c>
      <c r="R179" s="2" t="inlineStr"/>
    </row>
    <row r="180" ht="15" customHeight="1">
      <c r="A180" t="inlineStr">
        <is>
          <t>A 59981-2019</t>
        </is>
      </c>
      <c r="B180" s="1" t="n">
        <v>43777</v>
      </c>
      <c r="C180" s="1" t="n">
        <v>45663</v>
      </c>
      <c r="D180" t="inlineStr">
        <is>
          <t>SÖDERMANLANDS LÄN</t>
        </is>
      </c>
      <c r="E180" t="inlineStr">
        <is>
          <t>KATRINEHOLM</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60672-2019</t>
        </is>
      </c>
      <c r="B181" s="1" t="n">
        <v>43777</v>
      </c>
      <c r="C181" s="1" t="n">
        <v>45663</v>
      </c>
      <c r="D181" t="inlineStr">
        <is>
          <t>SÖDERMANLANDS LÄN</t>
        </is>
      </c>
      <c r="E181" t="inlineStr">
        <is>
          <t>KATRINEHOLM</t>
        </is>
      </c>
      <c r="G181" t="n">
        <v>6.5</v>
      </c>
      <c r="H181" t="n">
        <v>0</v>
      </c>
      <c r="I181" t="n">
        <v>0</v>
      </c>
      <c r="J181" t="n">
        <v>0</v>
      </c>
      <c r="K181" t="n">
        <v>0</v>
      </c>
      <c r="L181" t="n">
        <v>0</v>
      </c>
      <c r="M181" t="n">
        <v>0</v>
      </c>
      <c r="N181" t="n">
        <v>0</v>
      </c>
      <c r="O181" t="n">
        <v>0</v>
      </c>
      <c r="P181" t="n">
        <v>0</v>
      </c>
      <c r="Q181" t="n">
        <v>0</v>
      </c>
      <c r="R181" s="2" t="inlineStr"/>
    </row>
    <row r="182" ht="15" customHeight="1">
      <c r="A182" t="inlineStr">
        <is>
          <t>A 60136-2019</t>
        </is>
      </c>
      <c r="B182" s="1" t="n">
        <v>43779</v>
      </c>
      <c r="C182" s="1" t="n">
        <v>45663</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60675-2019</t>
        </is>
      </c>
      <c r="B183" s="1" t="n">
        <v>43781</v>
      </c>
      <c r="C183" s="1" t="n">
        <v>45663</v>
      </c>
      <c r="D183" t="inlineStr">
        <is>
          <t>SÖDERMANLANDS LÄN</t>
        </is>
      </c>
      <c r="E183" t="inlineStr">
        <is>
          <t>KATRINEHOLM</t>
        </is>
      </c>
      <c r="G183" t="n">
        <v>2.6</v>
      </c>
      <c r="H183" t="n">
        <v>0</v>
      </c>
      <c r="I183" t="n">
        <v>0</v>
      </c>
      <c r="J183" t="n">
        <v>0</v>
      </c>
      <c r="K183" t="n">
        <v>0</v>
      </c>
      <c r="L183" t="n">
        <v>0</v>
      </c>
      <c r="M183" t="n">
        <v>0</v>
      </c>
      <c r="N183" t="n">
        <v>0</v>
      </c>
      <c r="O183" t="n">
        <v>0</v>
      </c>
      <c r="P183" t="n">
        <v>0</v>
      </c>
      <c r="Q183" t="n">
        <v>0</v>
      </c>
      <c r="R183" s="2" t="inlineStr"/>
    </row>
    <row r="184" ht="15" customHeight="1">
      <c r="A184" t="inlineStr">
        <is>
          <t>A 61999-2019</t>
        </is>
      </c>
      <c r="B184" s="1" t="n">
        <v>43781</v>
      </c>
      <c r="C184" s="1" t="n">
        <v>45663</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61161-2019</t>
        </is>
      </c>
      <c r="B185" s="1" t="n">
        <v>43782</v>
      </c>
      <c r="C185" s="1" t="n">
        <v>45663</v>
      </c>
      <c r="D185" t="inlineStr">
        <is>
          <t>SÖDERMANLANDS LÄN</t>
        </is>
      </c>
      <c r="E185" t="inlineStr">
        <is>
          <t>KATRINEHOLM</t>
        </is>
      </c>
      <c r="F185" t="inlineStr">
        <is>
          <t>Kyrkan</t>
        </is>
      </c>
      <c r="G185" t="n">
        <v>2.7</v>
      </c>
      <c r="H185" t="n">
        <v>0</v>
      </c>
      <c r="I185" t="n">
        <v>0</v>
      </c>
      <c r="J185" t="n">
        <v>0</v>
      </c>
      <c r="K185" t="n">
        <v>0</v>
      </c>
      <c r="L185" t="n">
        <v>0</v>
      </c>
      <c r="M185" t="n">
        <v>0</v>
      </c>
      <c r="N185" t="n">
        <v>0</v>
      </c>
      <c r="O185" t="n">
        <v>0</v>
      </c>
      <c r="P185" t="n">
        <v>0</v>
      </c>
      <c r="Q185" t="n">
        <v>0</v>
      </c>
      <c r="R185" s="2" t="inlineStr"/>
    </row>
    <row r="186" ht="15" customHeight="1">
      <c r="A186" t="inlineStr">
        <is>
          <t>A 61867-2019</t>
        </is>
      </c>
      <c r="B186" s="1" t="n">
        <v>43784</v>
      </c>
      <c r="C186" s="1" t="n">
        <v>45663</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64409-2019</t>
        </is>
      </c>
      <c r="B187" s="1" t="n">
        <v>43793</v>
      </c>
      <c r="C187" s="1" t="n">
        <v>45663</v>
      </c>
      <c r="D187" t="inlineStr">
        <is>
          <t>SÖDERMANLANDS LÄN</t>
        </is>
      </c>
      <c r="E187" t="inlineStr">
        <is>
          <t>KATRINEHOLM</t>
        </is>
      </c>
      <c r="G187" t="n">
        <v>15.8</v>
      </c>
      <c r="H187" t="n">
        <v>0</v>
      </c>
      <c r="I187" t="n">
        <v>0</v>
      </c>
      <c r="J187" t="n">
        <v>0</v>
      </c>
      <c r="K187" t="n">
        <v>0</v>
      </c>
      <c r="L187" t="n">
        <v>0</v>
      </c>
      <c r="M187" t="n">
        <v>0</v>
      </c>
      <c r="N187" t="n">
        <v>0</v>
      </c>
      <c r="O187" t="n">
        <v>0</v>
      </c>
      <c r="P187" t="n">
        <v>0</v>
      </c>
      <c r="Q187" t="n">
        <v>0</v>
      </c>
      <c r="R187" s="2" t="inlineStr"/>
    </row>
    <row r="188" ht="15" customHeight="1">
      <c r="A188" t="inlineStr">
        <is>
          <t>A 64364-2019</t>
        </is>
      </c>
      <c r="B188" s="1" t="n">
        <v>43793</v>
      </c>
      <c r="C188" s="1" t="n">
        <v>45663</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63275-2019</t>
        </is>
      </c>
      <c r="B189" s="1" t="n">
        <v>43794</v>
      </c>
      <c r="C189" s="1" t="n">
        <v>45663</v>
      </c>
      <c r="D189" t="inlineStr">
        <is>
          <t>SÖDERMANLANDS LÄN</t>
        </is>
      </c>
      <c r="E189" t="inlineStr">
        <is>
          <t>KATRINEHOLM</t>
        </is>
      </c>
      <c r="G189" t="n">
        <v>13.2</v>
      </c>
      <c r="H189" t="n">
        <v>0</v>
      </c>
      <c r="I189" t="n">
        <v>0</v>
      </c>
      <c r="J189" t="n">
        <v>0</v>
      </c>
      <c r="K189" t="n">
        <v>0</v>
      </c>
      <c r="L189" t="n">
        <v>0</v>
      </c>
      <c r="M189" t="n">
        <v>0</v>
      </c>
      <c r="N189" t="n">
        <v>0</v>
      </c>
      <c r="O189" t="n">
        <v>0</v>
      </c>
      <c r="P189" t="n">
        <v>0</v>
      </c>
      <c r="Q189" t="n">
        <v>0</v>
      </c>
      <c r="R189" s="2" t="inlineStr"/>
    </row>
    <row r="190" ht="15" customHeight="1">
      <c r="A190" t="inlineStr">
        <is>
          <t>A 63712-2019</t>
        </is>
      </c>
      <c r="B190" s="1" t="n">
        <v>43795</v>
      </c>
      <c r="C190" s="1" t="n">
        <v>45663</v>
      </c>
      <c r="D190" t="inlineStr">
        <is>
          <t>SÖDERMANLANDS LÄN</t>
        </is>
      </c>
      <c r="E190" t="inlineStr">
        <is>
          <t>KATRINEHOLM</t>
        </is>
      </c>
      <c r="G190" t="n">
        <v>6.6</v>
      </c>
      <c r="H190" t="n">
        <v>0</v>
      </c>
      <c r="I190" t="n">
        <v>0</v>
      </c>
      <c r="J190" t="n">
        <v>0</v>
      </c>
      <c r="K190" t="n">
        <v>0</v>
      </c>
      <c r="L190" t="n">
        <v>0</v>
      </c>
      <c r="M190" t="n">
        <v>0</v>
      </c>
      <c r="N190" t="n">
        <v>0</v>
      </c>
      <c r="O190" t="n">
        <v>0</v>
      </c>
      <c r="P190" t="n">
        <v>0</v>
      </c>
      <c r="Q190" t="n">
        <v>0</v>
      </c>
      <c r="R190" s="2" t="inlineStr"/>
    </row>
    <row r="191" ht="15" customHeight="1">
      <c r="A191" t="inlineStr">
        <is>
          <t>A 64711-2019</t>
        </is>
      </c>
      <c r="B191" s="1" t="n">
        <v>43798</v>
      </c>
      <c r="C191" s="1" t="n">
        <v>45663</v>
      </c>
      <c r="D191" t="inlineStr">
        <is>
          <t>SÖDERMANLANDS LÄN</t>
        </is>
      </c>
      <c r="E191" t="inlineStr">
        <is>
          <t>KATRINEHOLM</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65305-2019</t>
        </is>
      </c>
      <c r="B192" s="1" t="n">
        <v>43802</v>
      </c>
      <c r="C192" s="1" t="n">
        <v>45663</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65301-2019</t>
        </is>
      </c>
      <c r="B193" s="1" t="n">
        <v>43802</v>
      </c>
      <c r="C193" s="1" t="n">
        <v>45663</v>
      </c>
      <c r="D193" t="inlineStr">
        <is>
          <t>SÖDERMANLANDS LÄN</t>
        </is>
      </c>
      <c r="E193" t="inlineStr">
        <is>
          <t>KATRINEHOLM</t>
        </is>
      </c>
      <c r="G193" t="n">
        <v>9.6</v>
      </c>
      <c r="H193" t="n">
        <v>0</v>
      </c>
      <c r="I193" t="n">
        <v>0</v>
      </c>
      <c r="J193" t="n">
        <v>0</v>
      </c>
      <c r="K193" t="n">
        <v>0</v>
      </c>
      <c r="L193" t="n">
        <v>0</v>
      </c>
      <c r="M193" t="n">
        <v>0</v>
      </c>
      <c r="N193" t="n">
        <v>0</v>
      </c>
      <c r="O193" t="n">
        <v>0</v>
      </c>
      <c r="P193" t="n">
        <v>0</v>
      </c>
      <c r="Q193" t="n">
        <v>0</v>
      </c>
      <c r="R193" s="2" t="inlineStr"/>
    </row>
    <row r="194" ht="15" customHeight="1">
      <c r="A194" t="inlineStr">
        <is>
          <t>A 65245-2019</t>
        </is>
      </c>
      <c r="B194" s="1" t="n">
        <v>43802</v>
      </c>
      <c r="C194" s="1" t="n">
        <v>45663</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65307-2019</t>
        </is>
      </c>
      <c r="B195" s="1" t="n">
        <v>43802</v>
      </c>
      <c r="C195" s="1" t="n">
        <v>45663</v>
      </c>
      <c r="D195" t="inlineStr">
        <is>
          <t>SÖDERMANLANDS LÄN</t>
        </is>
      </c>
      <c r="E195" t="inlineStr">
        <is>
          <t>KATRINEHOLM</t>
        </is>
      </c>
      <c r="G195" t="n">
        <v>4</v>
      </c>
      <c r="H195" t="n">
        <v>0</v>
      </c>
      <c r="I195" t="n">
        <v>0</v>
      </c>
      <c r="J195" t="n">
        <v>0</v>
      </c>
      <c r="K195" t="n">
        <v>0</v>
      </c>
      <c r="L195" t="n">
        <v>0</v>
      </c>
      <c r="M195" t="n">
        <v>0</v>
      </c>
      <c r="N195" t="n">
        <v>0</v>
      </c>
      <c r="O195" t="n">
        <v>0</v>
      </c>
      <c r="P195" t="n">
        <v>0</v>
      </c>
      <c r="Q195" t="n">
        <v>0</v>
      </c>
      <c r="R195" s="2" t="inlineStr"/>
    </row>
    <row r="196" ht="15" customHeight="1">
      <c r="A196" t="inlineStr">
        <is>
          <t>A 66407-2019</t>
        </is>
      </c>
      <c r="B196" s="1" t="n">
        <v>43809</v>
      </c>
      <c r="C196" s="1" t="n">
        <v>45663</v>
      </c>
      <c r="D196" t="inlineStr">
        <is>
          <t>SÖDERMANLANDS LÄN</t>
        </is>
      </c>
      <c r="E196" t="inlineStr">
        <is>
          <t>KATRINEHOLM</t>
        </is>
      </c>
      <c r="F196" t="inlineStr">
        <is>
          <t>Övriga Aktiebolag</t>
        </is>
      </c>
      <c r="G196" t="n">
        <v>3.9</v>
      </c>
      <c r="H196" t="n">
        <v>0</v>
      </c>
      <c r="I196" t="n">
        <v>0</v>
      </c>
      <c r="J196" t="n">
        <v>0</v>
      </c>
      <c r="K196" t="n">
        <v>0</v>
      </c>
      <c r="L196" t="n">
        <v>0</v>
      </c>
      <c r="M196" t="n">
        <v>0</v>
      </c>
      <c r="N196" t="n">
        <v>0</v>
      </c>
      <c r="O196" t="n">
        <v>0</v>
      </c>
      <c r="P196" t="n">
        <v>0</v>
      </c>
      <c r="Q196" t="n">
        <v>0</v>
      </c>
      <c r="R196" s="2" t="inlineStr"/>
    </row>
    <row r="197" ht="15" customHeight="1">
      <c r="A197" t="inlineStr">
        <is>
          <t>A 66860-2019</t>
        </is>
      </c>
      <c r="B197" s="1" t="n">
        <v>43810</v>
      </c>
      <c r="C197" s="1" t="n">
        <v>45663</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66826-2019</t>
        </is>
      </c>
      <c r="B198" s="1" t="n">
        <v>43810</v>
      </c>
      <c r="C198" s="1" t="n">
        <v>45663</v>
      </c>
      <c r="D198" t="inlineStr">
        <is>
          <t>SÖDERMANLANDS LÄN</t>
        </is>
      </c>
      <c r="E198" t="inlineStr">
        <is>
          <t>KATRINEHOLM</t>
        </is>
      </c>
      <c r="G198" t="n">
        <v>2.1</v>
      </c>
      <c r="H198" t="n">
        <v>0</v>
      </c>
      <c r="I198" t="n">
        <v>0</v>
      </c>
      <c r="J198" t="n">
        <v>0</v>
      </c>
      <c r="K198" t="n">
        <v>0</v>
      </c>
      <c r="L198" t="n">
        <v>0</v>
      </c>
      <c r="M198" t="n">
        <v>0</v>
      </c>
      <c r="N198" t="n">
        <v>0</v>
      </c>
      <c r="O198" t="n">
        <v>0</v>
      </c>
      <c r="P198" t="n">
        <v>0</v>
      </c>
      <c r="Q198" t="n">
        <v>0</v>
      </c>
      <c r="R198" s="2" t="inlineStr"/>
    </row>
    <row r="199" ht="15" customHeight="1">
      <c r="A199" t="inlineStr">
        <is>
          <t>A 66879-2019</t>
        </is>
      </c>
      <c r="B199" s="1" t="n">
        <v>43810</v>
      </c>
      <c r="C199" s="1" t="n">
        <v>45663</v>
      </c>
      <c r="D199" t="inlineStr">
        <is>
          <t>SÖDERMANLANDS LÄN</t>
        </is>
      </c>
      <c r="E199" t="inlineStr">
        <is>
          <t>KATRINEHOLM</t>
        </is>
      </c>
      <c r="G199" t="n">
        <v>4.2</v>
      </c>
      <c r="H199" t="n">
        <v>0</v>
      </c>
      <c r="I199" t="n">
        <v>0</v>
      </c>
      <c r="J199" t="n">
        <v>0</v>
      </c>
      <c r="K199" t="n">
        <v>0</v>
      </c>
      <c r="L199" t="n">
        <v>0</v>
      </c>
      <c r="M199" t="n">
        <v>0</v>
      </c>
      <c r="N199" t="n">
        <v>0</v>
      </c>
      <c r="O199" t="n">
        <v>0</v>
      </c>
      <c r="P199" t="n">
        <v>0</v>
      </c>
      <c r="Q199" t="n">
        <v>0</v>
      </c>
      <c r="R199" s="2" t="inlineStr"/>
    </row>
    <row r="200" ht="15" customHeight="1">
      <c r="A200" t="inlineStr">
        <is>
          <t>A 66821-2019</t>
        </is>
      </c>
      <c r="B200" s="1" t="n">
        <v>43810</v>
      </c>
      <c r="C200" s="1" t="n">
        <v>45663</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66851-2019</t>
        </is>
      </c>
      <c r="B201" s="1" t="n">
        <v>43810</v>
      </c>
      <c r="C201" s="1" t="n">
        <v>45663</v>
      </c>
      <c r="D201" t="inlineStr">
        <is>
          <t>SÖDERMANLANDS LÄN</t>
        </is>
      </c>
      <c r="E201" t="inlineStr">
        <is>
          <t>KATRINEHOLM</t>
        </is>
      </c>
      <c r="G201" t="n">
        <v>6</v>
      </c>
      <c r="H201" t="n">
        <v>0</v>
      </c>
      <c r="I201" t="n">
        <v>0</v>
      </c>
      <c r="J201" t="n">
        <v>0</v>
      </c>
      <c r="K201" t="n">
        <v>0</v>
      </c>
      <c r="L201" t="n">
        <v>0</v>
      </c>
      <c r="M201" t="n">
        <v>0</v>
      </c>
      <c r="N201" t="n">
        <v>0</v>
      </c>
      <c r="O201" t="n">
        <v>0</v>
      </c>
      <c r="P201" t="n">
        <v>0</v>
      </c>
      <c r="Q201" t="n">
        <v>0</v>
      </c>
      <c r="R201" s="2" t="inlineStr"/>
    </row>
    <row r="202" ht="15" customHeight="1">
      <c r="A202" t="inlineStr">
        <is>
          <t>A 67270-2019</t>
        </is>
      </c>
      <c r="B202" s="1" t="n">
        <v>43812</v>
      </c>
      <c r="C202" s="1" t="n">
        <v>45663</v>
      </c>
      <c r="D202" t="inlineStr">
        <is>
          <t>SÖDERMANLANDS LÄN</t>
        </is>
      </c>
      <c r="E202" t="inlineStr">
        <is>
          <t>KATRINEHOLM</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1367-2020</t>
        </is>
      </c>
      <c r="B203" s="1" t="n">
        <v>43822</v>
      </c>
      <c r="C203" s="1" t="n">
        <v>45663</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2319-2020</t>
        </is>
      </c>
      <c r="B204" s="1" t="n">
        <v>43846</v>
      </c>
      <c r="C204" s="1" t="n">
        <v>45663</v>
      </c>
      <c r="D204" t="inlineStr">
        <is>
          <t>SÖDERMANLANDS LÄN</t>
        </is>
      </c>
      <c r="E204" t="inlineStr">
        <is>
          <t>KATRINEHOLM</t>
        </is>
      </c>
      <c r="G204" t="n">
        <v>2.8</v>
      </c>
      <c r="H204" t="n">
        <v>0</v>
      </c>
      <c r="I204" t="n">
        <v>0</v>
      </c>
      <c r="J204" t="n">
        <v>0</v>
      </c>
      <c r="K204" t="n">
        <v>0</v>
      </c>
      <c r="L204" t="n">
        <v>0</v>
      </c>
      <c r="M204" t="n">
        <v>0</v>
      </c>
      <c r="N204" t="n">
        <v>0</v>
      </c>
      <c r="O204" t="n">
        <v>0</v>
      </c>
      <c r="P204" t="n">
        <v>0</v>
      </c>
      <c r="Q204" t="n">
        <v>0</v>
      </c>
      <c r="R204" s="2" t="inlineStr"/>
    </row>
    <row r="205" ht="15" customHeight="1">
      <c r="A205" t="inlineStr">
        <is>
          <t>A 3540-2020</t>
        </is>
      </c>
      <c r="B205" s="1" t="n">
        <v>43853</v>
      </c>
      <c r="C205" s="1" t="n">
        <v>45663</v>
      </c>
      <c r="D205" t="inlineStr">
        <is>
          <t>SÖDERMANLANDS LÄN</t>
        </is>
      </c>
      <c r="E205" t="inlineStr">
        <is>
          <t>KATRINEHOLM</t>
        </is>
      </c>
      <c r="G205" t="n">
        <v>11.7</v>
      </c>
      <c r="H205" t="n">
        <v>0</v>
      </c>
      <c r="I205" t="n">
        <v>0</v>
      </c>
      <c r="J205" t="n">
        <v>0</v>
      </c>
      <c r="K205" t="n">
        <v>0</v>
      </c>
      <c r="L205" t="n">
        <v>0</v>
      </c>
      <c r="M205" t="n">
        <v>0</v>
      </c>
      <c r="N205" t="n">
        <v>0</v>
      </c>
      <c r="O205" t="n">
        <v>0</v>
      </c>
      <c r="P205" t="n">
        <v>0</v>
      </c>
      <c r="Q205" t="n">
        <v>0</v>
      </c>
      <c r="R205" s="2" t="inlineStr"/>
    </row>
    <row r="206" ht="15" customHeight="1">
      <c r="A206" t="inlineStr">
        <is>
          <t>A 3571-2020</t>
        </is>
      </c>
      <c r="B206" s="1" t="n">
        <v>43853</v>
      </c>
      <c r="C206" s="1" t="n">
        <v>45663</v>
      </c>
      <c r="D206" t="inlineStr">
        <is>
          <t>SÖDERMANLANDS LÄN</t>
        </is>
      </c>
      <c r="E206" t="inlineStr">
        <is>
          <t>KATRINEHOLM</t>
        </is>
      </c>
      <c r="G206" t="n">
        <v>10.9</v>
      </c>
      <c r="H206" t="n">
        <v>0</v>
      </c>
      <c r="I206" t="n">
        <v>0</v>
      </c>
      <c r="J206" t="n">
        <v>0</v>
      </c>
      <c r="K206" t="n">
        <v>0</v>
      </c>
      <c r="L206" t="n">
        <v>0</v>
      </c>
      <c r="M206" t="n">
        <v>0</v>
      </c>
      <c r="N206" t="n">
        <v>0</v>
      </c>
      <c r="O206" t="n">
        <v>0</v>
      </c>
      <c r="P206" t="n">
        <v>0</v>
      </c>
      <c r="Q206" t="n">
        <v>0</v>
      </c>
      <c r="R206" s="2" t="inlineStr"/>
    </row>
    <row r="207" ht="15" customHeight="1">
      <c r="A207" t="inlineStr">
        <is>
          <t>A 4354-2020</t>
        </is>
      </c>
      <c r="B207" s="1" t="n">
        <v>43857</v>
      </c>
      <c r="C207" s="1" t="n">
        <v>45663</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4357-2020</t>
        </is>
      </c>
      <c r="B208" s="1" t="n">
        <v>43857</v>
      </c>
      <c r="C208" s="1" t="n">
        <v>45663</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4355-2020</t>
        </is>
      </c>
      <c r="B209" s="1" t="n">
        <v>43857</v>
      </c>
      <c r="C209" s="1" t="n">
        <v>45663</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6220-2020</t>
        </is>
      </c>
      <c r="B210" s="1" t="n">
        <v>43865</v>
      </c>
      <c r="C210" s="1" t="n">
        <v>45663</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6175-2020</t>
        </is>
      </c>
      <c r="B211" s="1" t="n">
        <v>43865</v>
      </c>
      <c r="C211" s="1" t="n">
        <v>45663</v>
      </c>
      <c r="D211" t="inlineStr">
        <is>
          <t>SÖDERMANLANDS LÄN</t>
        </is>
      </c>
      <c r="E211" t="inlineStr">
        <is>
          <t>KATRINEHOLM</t>
        </is>
      </c>
      <c r="F211" t="inlineStr">
        <is>
          <t>Holmen skog AB</t>
        </is>
      </c>
      <c r="G211" t="n">
        <v>0.4</v>
      </c>
      <c r="H211" t="n">
        <v>0</v>
      </c>
      <c r="I211" t="n">
        <v>0</v>
      </c>
      <c r="J211" t="n">
        <v>0</v>
      </c>
      <c r="K211" t="n">
        <v>0</v>
      </c>
      <c r="L211" t="n">
        <v>0</v>
      </c>
      <c r="M211" t="n">
        <v>0</v>
      </c>
      <c r="N211" t="n">
        <v>0</v>
      </c>
      <c r="O211" t="n">
        <v>0</v>
      </c>
      <c r="P211" t="n">
        <v>0</v>
      </c>
      <c r="Q211" t="n">
        <v>0</v>
      </c>
      <c r="R211" s="2" t="inlineStr"/>
    </row>
    <row r="212" ht="15" customHeight="1">
      <c r="A212" t="inlineStr">
        <is>
          <t>A 6455-2020</t>
        </is>
      </c>
      <c r="B212" s="1" t="n">
        <v>43866</v>
      </c>
      <c r="C212" s="1" t="n">
        <v>45663</v>
      </c>
      <c r="D212" t="inlineStr">
        <is>
          <t>SÖDERMANLANDS LÄN</t>
        </is>
      </c>
      <c r="E212" t="inlineStr">
        <is>
          <t>KATRINEHOLM</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6740-2020</t>
        </is>
      </c>
      <c r="B213" s="1" t="n">
        <v>43866</v>
      </c>
      <c r="C213" s="1" t="n">
        <v>45663</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6679-2020</t>
        </is>
      </c>
      <c r="B214" s="1" t="n">
        <v>43867</v>
      </c>
      <c r="C214" s="1" t="n">
        <v>45663</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7352-2020</t>
        </is>
      </c>
      <c r="B215" s="1" t="n">
        <v>43871</v>
      </c>
      <c r="C215" s="1" t="n">
        <v>45663</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7623-2020</t>
        </is>
      </c>
      <c r="B216" s="1" t="n">
        <v>43872</v>
      </c>
      <c r="C216" s="1" t="n">
        <v>45663</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7629-2020</t>
        </is>
      </c>
      <c r="B217" s="1" t="n">
        <v>43872</v>
      </c>
      <c r="C217" s="1" t="n">
        <v>45663</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8571-2020</t>
        </is>
      </c>
      <c r="B218" s="1" t="n">
        <v>43875</v>
      </c>
      <c r="C218" s="1" t="n">
        <v>45663</v>
      </c>
      <c r="D218" t="inlineStr">
        <is>
          <t>SÖDERMANLANDS LÄN</t>
        </is>
      </c>
      <c r="E218" t="inlineStr">
        <is>
          <t>KATRINEHOLM</t>
        </is>
      </c>
      <c r="G218" t="n">
        <v>3.9</v>
      </c>
      <c r="H218" t="n">
        <v>0</v>
      </c>
      <c r="I218" t="n">
        <v>0</v>
      </c>
      <c r="J218" t="n">
        <v>0</v>
      </c>
      <c r="K218" t="n">
        <v>0</v>
      </c>
      <c r="L218" t="n">
        <v>0</v>
      </c>
      <c r="M218" t="n">
        <v>0</v>
      </c>
      <c r="N218" t="n">
        <v>0</v>
      </c>
      <c r="O218" t="n">
        <v>0</v>
      </c>
      <c r="P218" t="n">
        <v>0</v>
      </c>
      <c r="Q218" t="n">
        <v>0</v>
      </c>
      <c r="R218" s="2" t="inlineStr"/>
    </row>
    <row r="219" ht="15" customHeight="1">
      <c r="A219" t="inlineStr">
        <is>
          <t>A 8549-2020</t>
        </is>
      </c>
      <c r="B219" s="1" t="n">
        <v>43877</v>
      </c>
      <c r="C219" s="1" t="n">
        <v>45663</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8833-2020</t>
        </is>
      </c>
      <c r="B220" s="1" t="n">
        <v>43878</v>
      </c>
      <c r="C220" s="1" t="n">
        <v>45663</v>
      </c>
      <c r="D220" t="inlineStr">
        <is>
          <t>SÖDERMANLANDS LÄN</t>
        </is>
      </c>
      <c r="E220" t="inlineStr">
        <is>
          <t>KATRINEHOLM</t>
        </is>
      </c>
      <c r="G220" t="n">
        <v>2.9</v>
      </c>
      <c r="H220" t="n">
        <v>0</v>
      </c>
      <c r="I220" t="n">
        <v>0</v>
      </c>
      <c r="J220" t="n">
        <v>0</v>
      </c>
      <c r="K220" t="n">
        <v>0</v>
      </c>
      <c r="L220" t="n">
        <v>0</v>
      </c>
      <c r="M220" t="n">
        <v>0</v>
      </c>
      <c r="N220" t="n">
        <v>0</v>
      </c>
      <c r="O220" t="n">
        <v>0</v>
      </c>
      <c r="P220" t="n">
        <v>0</v>
      </c>
      <c r="Q220" t="n">
        <v>0</v>
      </c>
      <c r="R220" s="2" t="inlineStr"/>
    </row>
    <row r="221" ht="15" customHeight="1">
      <c r="A221" t="inlineStr">
        <is>
          <t>A 9258-2020</t>
        </is>
      </c>
      <c r="B221" s="1" t="n">
        <v>43879</v>
      </c>
      <c r="C221" s="1" t="n">
        <v>45663</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9256-2020</t>
        </is>
      </c>
      <c r="B222" s="1" t="n">
        <v>43879</v>
      </c>
      <c r="C222" s="1" t="n">
        <v>45663</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9535-2020</t>
        </is>
      </c>
      <c r="B223" s="1" t="n">
        <v>43881</v>
      </c>
      <c r="C223" s="1" t="n">
        <v>45663</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9786-2020</t>
        </is>
      </c>
      <c r="B224" s="1" t="n">
        <v>43881</v>
      </c>
      <c r="C224" s="1" t="n">
        <v>45663</v>
      </c>
      <c r="D224" t="inlineStr">
        <is>
          <t>SÖDERMANLANDS LÄN</t>
        </is>
      </c>
      <c r="E224" t="inlineStr">
        <is>
          <t>KATRINEHOLM</t>
        </is>
      </c>
      <c r="G224" t="n">
        <v>5.8</v>
      </c>
      <c r="H224" t="n">
        <v>0</v>
      </c>
      <c r="I224" t="n">
        <v>0</v>
      </c>
      <c r="J224" t="n">
        <v>0</v>
      </c>
      <c r="K224" t="n">
        <v>0</v>
      </c>
      <c r="L224" t="n">
        <v>0</v>
      </c>
      <c r="M224" t="n">
        <v>0</v>
      </c>
      <c r="N224" t="n">
        <v>0</v>
      </c>
      <c r="O224" t="n">
        <v>0</v>
      </c>
      <c r="P224" t="n">
        <v>0</v>
      </c>
      <c r="Q224" t="n">
        <v>0</v>
      </c>
      <c r="R224" s="2" t="inlineStr"/>
    </row>
    <row r="225" ht="15" customHeight="1">
      <c r="A225" t="inlineStr">
        <is>
          <t>A 10401-2020</t>
        </is>
      </c>
      <c r="B225" s="1" t="n">
        <v>43885</v>
      </c>
      <c r="C225" s="1" t="n">
        <v>45663</v>
      </c>
      <c r="D225" t="inlineStr">
        <is>
          <t>SÖDERMANLANDS LÄN</t>
        </is>
      </c>
      <c r="E225" t="inlineStr">
        <is>
          <t>KATRINEHOLM</t>
        </is>
      </c>
      <c r="G225" t="n">
        <v>5.9</v>
      </c>
      <c r="H225" t="n">
        <v>0</v>
      </c>
      <c r="I225" t="n">
        <v>0</v>
      </c>
      <c r="J225" t="n">
        <v>0</v>
      </c>
      <c r="K225" t="n">
        <v>0</v>
      </c>
      <c r="L225" t="n">
        <v>0</v>
      </c>
      <c r="M225" t="n">
        <v>0</v>
      </c>
      <c r="N225" t="n">
        <v>0</v>
      </c>
      <c r="O225" t="n">
        <v>0</v>
      </c>
      <c r="P225" t="n">
        <v>0</v>
      </c>
      <c r="Q225" t="n">
        <v>0</v>
      </c>
      <c r="R225" s="2" t="inlineStr"/>
    </row>
    <row r="226" ht="15" customHeight="1">
      <c r="A226" t="inlineStr">
        <is>
          <t>A 10527-2020</t>
        </is>
      </c>
      <c r="B226" s="1" t="n">
        <v>43886</v>
      </c>
      <c r="C226" s="1" t="n">
        <v>45663</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10486-2020</t>
        </is>
      </c>
      <c r="B227" s="1" t="n">
        <v>43886</v>
      </c>
      <c r="C227" s="1" t="n">
        <v>45663</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12557-2020</t>
        </is>
      </c>
      <c r="B228" s="1" t="n">
        <v>43898</v>
      </c>
      <c r="C228" s="1" t="n">
        <v>45663</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13279-2020</t>
        </is>
      </c>
      <c r="B229" s="1" t="n">
        <v>43901</v>
      </c>
      <c r="C229" s="1" t="n">
        <v>45663</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13261-2020</t>
        </is>
      </c>
      <c r="B230" s="1" t="n">
        <v>43901</v>
      </c>
      <c r="C230" s="1" t="n">
        <v>45663</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13505-2020</t>
        </is>
      </c>
      <c r="B231" s="1" t="n">
        <v>43902</v>
      </c>
      <c r="C231" s="1" t="n">
        <v>45663</v>
      </c>
      <c r="D231" t="inlineStr">
        <is>
          <t>SÖDERMANLANDS LÄN</t>
        </is>
      </c>
      <c r="E231" t="inlineStr">
        <is>
          <t>KATRINEHOLM</t>
        </is>
      </c>
      <c r="G231" t="n">
        <v>5.3</v>
      </c>
      <c r="H231" t="n">
        <v>0</v>
      </c>
      <c r="I231" t="n">
        <v>0</v>
      </c>
      <c r="J231" t="n">
        <v>0</v>
      </c>
      <c r="K231" t="n">
        <v>0</v>
      </c>
      <c r="L231" t="n">
        <v>0</v>
      </c>
      <c r="M231" t="n">
        <v>0</v>
      </c>
      <c r="N231" t="n">
        <v>0</v>
      </c>
      <c r="O231" t="n">
        <v>0</v>
      </c>
      <c r="P231" t="n">
        <v>0</v>
      </c>
      <c r="Q231" t="n">
        <v>0</v>
      </c>
      <c r="R231" s="2" t="inlineStr"/>
    </row>
    <row r="232" ht="15" customHeight="1">
      <c r="A232" t="inlineStr">
        <is>
          <t>A 13972-2020</t>
        </is>
      </c>
      <c r="B232" s="1" t="n">
        <v>43906</v>
      </c>
      <c r="C232" s="1" t="n">
        <v>45663</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14389-2020</t>
        </is>
      </c>
      <c r="B233" s="1" t="n">
        <v>43908</v>
      </c>
      <c r="C233" s="1" t="n">
        <v>45663</v>
      </c>
      <c r="D233" t="inlineStr">
        <is>
          <t>SÖDERMANLANDS LÄN</t>
        </is>
      </c>
      <c r="E233" t="inlineStr">
        <is>
          <t>KATRINEHOLM</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15069-2020</t>
        </is>
      </c>
      <c r="B234" s="1" t="n">
        <v>43910</v>
      </c>
      <c r="C234" s="1" t="n">
        <v>45663</v>
      </c>
      <c r="D234" t="inlineStr">
        <is>
          <t>SÖDERMANLANDS LÄN</t>
        </is>
      </c>
      <c r="E234" t="inlineStr">
        <is>
          <t>KATRINEHOLM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17164-2020</t>
        </is>
      </c>
      <c r="B235" s="1" t="n">
        <v>43915</v>
      </c>
      <c r="C235" s="1" t="n">
        <v>45663</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17391-2020</t>
        </is>
      </c>
      <c r="B236" s="1" t="n">
        <v>43923</v>
      </c>
      <c r="C236" s="1" t="n">
        <v>45663</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17758-2020</t>
        </is>
      </c>
      <c r="B237" s="1" t="n">
        <v>43923</v>
      </c>
      <c r="C237" s="1" t="n">
        <v>45663</v>
      </c>
      <c r="D237" t="inlineStr">
        <is>
          <t>SÖDERMANLANDS LÄN</t>
        </is>
      </c>
      <c r="E237" t="inlineStr">
        <is>
          <t>KATRINEHOLM</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18050-2020</t>
        </is>
      </c>
      <c r="B238" s="1" t="n">
        <v>43924</v>
      </c>
      <c r="C238" s="1" t="n">
        <v>45663</v>
      </c>
      <c r="D238" t="inlineStr">
        <is>
          <t>SÖDERMANLANDS LÄN</t>
        </is>
      </c>
      <c r="E238" t="inlineStr">
        <is>
          <t>KATRINEHOLM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18162-2020</t>
        </is>
      </c>
      <c r="B239" s="1" t="n">
        <v>43924</v>
      </c>
      <c r="C239" s="1" t="n">
        <v>45663</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18153-2020</t>
        </is>
      </c>
      <c r="B240" s="1" t="n">
        <v>43927</v>
      </c>
      <c r="C240" s="1" t="n">
        <v>45663</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18279-2020</t>
        </is>
      </c>
      <c r="B241" s="1" t="n">
        <v>43928</v>
      </c>
      <c r="C241" s="1" t="n">
        <v>45663</v>
      </c>
      <c r="D241" t="inlineStr">
        <is>
          <t>SÖDERMANLANDS LÄN</t>
        </is>
      </c>
      <c r="E241" t="inlineStr">
        <is>
          <t>KATRINEHOLM</t>
        </is>
      </c>
      <c r="F241" t="inlineStr">
        <is>
          <t>Kommuner</t>
        </is>
      </c>
      <c r="G241" t="n">
        <v>1.4</v>
      </c>
      <c r="H241" t="n">
        <v>0</v>
      </c>
      <c r="I241" t="n">
        <v>0</v>
      </c>
      <c r="J241" t="n">
        <v>0</v>
      </c>
      <c r="K241" t="n">
        <v>0</v>
      </c>
      <c r="L241" t="n">
        <v>0</v>
      </c>
      <c r="M241" t="n">
        <v>0</v>
      </c>
      <c r="N241" t="n">
        <v>0</v>
      </c>
      <c r="O241" t="n">
        <v>0</v>
      </c>
      <c r="P241" t="n">
        <v>0</v>
      </c>
      <c r="Q241" t="n">
        <v>0</v>
      </c>
      <c r="R241" s="2" t="inlineStr"/>
    </row>
    <row r="242" ht="15" customHeight="1">
      <c r="A242" t="inlineStr">
        <is>
          <t>A 18275-2020</t>
        </is>
      </c>
      <c r="B242" s="1" t="n">
        <v>43928</v>
      </c>
      <c r="C242" s="1" t="n">
        <v>45663</v>
      </c>
      <c r="D242" t="inlineStr">
        <is>
          <t>SÖDERMANLANDS LÄN</t>
        </is>
      </c>
      <c r="E242" t="inlineStr">
        <is>
          <t>KATRINEHOLM</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18281-2020</t>
        </is>
      </c>
      <c r="B243" s="1" t="n">
        <v>43928</v>
      </c>
      <c r="C243" s="1" t="n">
        <v>45663</v>
      </c>
      <c r="D243" t="inlineStr">
        <is>
          <t>SÖDERMANLANDS LÄN</t>
        </is>
      </c>
      <c r="E243" t="inlineStr">
        <is>
          <t>KATRINEHOLM</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18277-2020</t>
        </is>
      </c>
      <c r="B244" s="1" t="n">
        <v>43928</v>
      </c>
      <c r="C244" s="1" t="n">
        <v>45663</v>
      </c>
      <c r="D244" t="inlineStr">
        <is>
          <t>SÖDERMANLANDS LÄN</t>
        </is>
      </c>
      <c r="E244" t="inlineStr">
        <is>
          <t>KATRINEHOLM</t>
        </is>
      </c>
      <c r="F244" t="inlineStr">
        <is>
          <t>Kommuner</t>
        </is>
      </c>
      <c r="G244" t="n">
        <v>2.7</v>
      </c>
      <c r="H244" t="n">
        <v>0</v>
      </c>
      <c r="I244" t="n">
        <v>0</v>
      </c>
      <c r="J244" t="n">
        <v>0</v>
      </c>
      <c r="K244" t="n">
        <v>0</v>
      </c>
      <c r="L244" t="n">
        <v>0</v>
      </c>
      <c r="M244" t="n">
        <v>0</v>
      </c>
      <c r="N244" t="n">
        <v>0</v>
      </c>
      <c r="O244" t="n">
        <v>0</v>
      </c>
      <c r="P244" t="n">
        <v>0</v>
      </c>
      <c r="Q244" t="n">
        <v>0</v>
      </c>
      <c r="R244" s="2" t="inlineStr"/>
    </row>
    <row r="245" ht="15" customHeight="1">
      <c r="A245" t="inlineStr">
        <is>
          <t>A 19197-2020</t>
        </is>
      </c>
      <c r="B245" s="1" t="n">
        <v>43935</v>
      </c>
      <c r="C245" s="1" t="n">
        <v>45663</v>
      </c>
      <c r="D245" t="inlineStr">
        <is>
          <t>SÖDERMANLANDS LÄN</t>
        </is>
      </c>
      <c r="E245" t="inlineStr">
        <is>
          <t>KATRINEHOLM</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20012-2020</t>
        </is>
      </c>
      <c r="B246" s="1" t="n">
        <v>43943</v>
      </c>
      <c r="C246" s="1" t="n">
        <v>45663</v>
      </c>
      <c r="D246" t="inlineStr">
        <is>
          <t>SÖDERMANLANDS LÄN</t>
        </is>
      </c>
      <c r="E246" t="inlineStr">
        <is>
          <t>KATRINEHOLM</t>
        </is>
      </c>
      <c r="G246" t="n">
        <v>4.8</v>
      </c>
      <c r="H246" t="n">
        <v>0</v>
      </c>
      <c r="I246" t="n">
        <v>0</v>
      </c>
      <c r="J246" t="n">
        <v>0</v>
      </c>
      <c r="K246" t="n">
        <v>0</v>
      </c>
      <c r="L246" t="n">
        <v>0</v>
      </c>
      <c r="M246" t="n">
        <v>0</v>
      </c>
      <c r="N246" t="n">
        <v>0</v>
      </c>
      <c r="O246" t="n">
        <v>0</v>
      </c>
      <c r="P246" t="n">
        <v>0</v>
      </c>
      <c r="Q246" t="n">
        <v>0</v>
      </c>
      <c r="R246" s="2" t="inlineStr"/>
    </row>
    <row r="247" ht="15" customHeight="1">
      <c r="A247" t="inlineStr">
        <is>
          <t>A 20016-2020</t>
        </is>
      </c>
      <c r="B247" s="1" t="n">
        <v>43943</v>
      </c>
      <c r="C247" s="1" t="n">
        <v>45663</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21755-2020</t>
        </is>
      </c>
      <c r="B248" s="1" t="n">
        <v>43957</v>
      </c>
      <c r="C248" s="1" t="n">
        <v>45663</v>
      </c>
      <c r="D248" t="inlineStr">
        <is>
          <t>SÖDERMANLANDS LÄN</t>
        </is>
      </c>
      <c r="E248" t="inlineStr">
        <is>
          <t>KATRINEHOLM</t>
        </is>
      </c>
      <c r="G248" t="n">
        <v>10.4</v>
      </c>
      <c r="H248" t="n">
        <v>0</v>
      </c>
      <c r="I248" t="n">
        <v>0</v>
      </c>
      <c r="J248" t="n">
        <v>0</v>
      </c>
      <c r="K248" t="n">
        <v>0</v>
      </c>
      <c r="L248" t="n">
        <v>0</v>
      </c>
      <c r="M248" t="n">
        <v>0</v>
      </c>
      <c r="N248" t="n">
        <v>0</v>
      </c>
      <c r="O248" t="n">
        <v>0</v>
      </c>
      <c r="P248" t="n">
        <v>0</v>
      </c>
      <c r="Q248" t="n">
        <v>0</v>
      </c>
      <c r="R248" s="2" t="inlineStr"/>
    </row>
    <row r="249" ht="15" customHeight="1">
      <c r="A249" t="inlineStr">
        <is>
          <t>A 21818-2020</t>
        </is>
      </c>
      <c r="B249" s="1" t="n">
        <v>43958</v>
      </c>
      <c r="C249" s="1" t="n">
        <v>45663</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27010-2020</t>
        </is>
      </c>
      <c r="B250" s="1" t="n">
        <v>43990</v>
      </c>
      <c r="C250" s="1" t="n">
        <v>45663</v>
      </c>
      <c r="D250" t="inlineStr">
        <is>
          <t>SÖDERMANLANDS LÄN</t>
        </is>
      </c>
      <c r="E250" t="inlineStr">
        <is>
          <t>KATRINEHOLM</t>
        </is>
      </c>
      <c r="G250" t="n">
        <v>3.3</v>
      </c>
      <c r="H250" t="n">
        <v>0</v>
      </c>
      <c r="I250" t="n">
        <v>0</v>
      </c>
      <c r="J250" t="n">
        <v>0</v>
      </c>
      <c r="K250" t="n">
        <v>0</v>
      </c>
      <c r="L250" t="n">
        <v>0</v>
      </c>
      <c r="M250" t="n">
        <v>0</v>
      </c>
      <c r="N250" t="n">
        <v>0</v>
      </c>
      <c r="O250" t="n">
        <v>0</v>
      </c>
      <c r="P250" t="n">
        <v>0</v>
      </c>
      <c r="Q250" t="n">
        <v>0</v>
      </c>
      <c r="R250" s="2" t="inlineStr"/>
    </row>
    <row r="251" ht="15" customHeight="1">
      <c r="A251" t="inlineStr">
        <is>
          <t>A 27228-2020</t>
        </is>
      </c>
      <c r="B251" s="1" t="n">
        <v>43992</v>
      </c>
      <c r="C251" s="1" t="n">
        <v>45663</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27420-2020</t>
        </is>
      </c>
      <c r="B252" s="1" t="n">
        <v>43993</v>
      </c>
      <c r="C252" s="1" t="n">
        <v>45663</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28067-2020</t>
        </is>
      </c>
      <c r="B253" s="1" t="n">
        <v>43997</v>
      </c>
      <c r="C253" s="1" t="n">
        <v>45663</v>
      </c>
      <c r="D253" t="inlineStr">
        <is>
          <t>SÖDERMANLANDS LÄN</t>
        </is>
      </c>
      <c r="E253" t="inlineStr">
        <is>
          <t>KATRINEHOLM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28255-2020</t>
        </is>
      </c>
      <c r="B254" s="1" t="n">
        <v>43998</v>
      </c>
      <c r="C254" s="1" t="n">
        <v>45663</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28491-2020</t>
        </is>
      </c>
      <c r="B255" s="1" t="n">
        <v>43998</v>
      </c>
      <c r="C255" s="1" t="n">
        <v>45663</v>
      </c>
      <c r="D255" t="inlineStr">
        <is>
          <t>SÖDERMANLANDS LÄN</t>
        </is>
      </c>
      <c r="E255" t="inlineStr">
        <is>
          <t>KATRINEHOLM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28589-2020</t>
        </is>
      </c>
      <c r="B256" s="1" t="n">
        <v>43999</v>
      </c>
      <c r="C256" s="1" t="n">
        <v>45663</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29463-2020</t>
        </is>
      </c>
      <c r="B257" s="1" t="n">
        <v>44004</v>
      </c>
      <c r="C257" s="1" t="n">
        <v>45663</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30720-2020</t>
        </is>
      </c>
      <c r="B258" s="1" t="n">
        <v>44008</v>
      </c>
      <c r="C258" s="1" t="n">
        <v>45663</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31387-2020</t>
        </is>
      </c>
      <c r="B259" s="1" t="n">
        <v>44012</v>
      </c>
      <c r="C259" s="1" t="n">
        <v>45663</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32364-2020</t>
        </is>
      </c>
      <c r="B260" s="1" t="n">
        <v>44017</v>
      </c>
      <c r="C260" s="1" t="n">
        <v>45663</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33232-2020</t>
        </is>
      </c>
      <c r="B261" s="1" t="n">
        <v>44021</v>
      </c>
      <c r="C261" s="1" t="n">
        <v>45663</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33471-2020</t>
        </is>
      </c>
      <c r="B262" s="1" t="n">
        <v>44023</v>
      </c>
      <c r="C262" s="1" t="n">
        <v>45663</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33976-2020</t>
        </is>
      </c>
      <c r="B263" s="1" t="n">
        <v>44028</v>
      </c>
      <c r="C263" s="1" t="n">
        <v>45663</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34070-2020</t>
        </is>
      </c>
      <c r="B264" s="1" t="n">
        <v>44028</v>
      </c>
      <c r="C264" s="1" t="n">
        <v>45663</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35583-2020</t>
        </is>
      </c>
      <c r="B265" s="1" t="n">
        <v>44043</v>
      </c>
      <c r="C265" s="1" t="n">
        <v>45663</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35970-2020</t>
        </is>
      </c>
      <c r="B266" s="1" t="n">
        <v>44047</v>
      </c>
      <c r="C266" s="1" t="n">
        <v>45663</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36424-2020</t>
        </is>
      </c>
      <c r="B267" s="1" t="n">
        <v>44049</v>
      </c>
      <c r="C267" s="1" t="n">
        <v>45663</v>
      </c>
      <c r="D267" t="inlineStr">
        <is>
          <t>SÖDERMANLANDS LÄN</t>
        </is>
      </c>
      <c r="E267" t="inlineStr">
        <is>
          <t>KATRINEHOLM</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38301-2020</t>
        </is>
      </c>
      <c r="B268" s="1" t="n">
        <v>44060</v>
      </c>
      <c r="C268" s="1" t="n">
        <v>45663</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38584-2020</t>
        </is>
      </c>
      <c r="B269" s="1" t="n">
        <v>44061</v>
      </c>
      <c r="C269" s="1" t="n">
        <v>45663</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38625-2020</t>
        </is>
      </c>
      <c r="B270" s="1" t="n">
        <v>44061</v>
      </c>
      <c r="C270" s="1" t="n">
        <v>45663</v>
      </c>
      <c r="D270" t="inlineStr">
        <is>
          <t>SÖDERMANLANDS LÄN</t>
        </is>
      </c>
      <c r="E270" t="inlineStr">
        <is>
          <t>KATRINEHOLM</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38883-2020</t>
        </is>
      </c>
      <c r="B271" s="1" t="n">
        <v>44062</v>
      </c>
      <c r="C271" s="1" t="n">
        <v>45663</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40230-2020</t>
        </is>
      </c>
      <c r="B272" s="1" t="n">
        <v>44068</v>
      </c>
      <c r="C272" s="1" t="n">
        <v>45663</v>
      </c>
      <c r="D272" t="inlineStr">
        <is>
          <t>SÖDERMANLANDS LÄN</t>
        </is>
      </c>
      <c r="E272" t="inlineStr">
        <is>
          <t>KATRINEHOLM</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40259-2020</t>
        </is>
      </c>
      <c r="B273" s="1" t="n">
        <v>44068</v>
      </c>
      <c r="C273" s="1" t="n">
        <v>45663</v>
      </c>
      <c r="D273" t="inlineStr">
        <is>
          <t>SÖDERMANLANDS LÄN</t>
        </is>
      </c>
      <c r="E273" t="inlineStr">
        <is>
          <t>KATRINEHOLM</t>
        </is>
      </c>
      <c r="F273" t="inlineStr">
        <is>
          <t>Kommuner</t>
        </is>
      </c>
      <c r="G273" t="n">
        <v>1.9</v>
      </c>
      <c r="H273" t="n">
        <v>0</v>
      </c>
      <c r="I273" t="n">
        <v>0</v>
      </c>
      <c r="J273" t="n">
        <v>0</v>
      </c>
      <c r="K273" t="n">
        <v>0</v>
      </c>
      <c r="L273" t="n">
        <v>0</v>
      </c>
      <c r="M273" t="n">
        <v>0</v>
      </c>
      <c r="N273" t="n">
        <v>0</v>
      </c>
      <c r="O273" t="n">
        <v>0</v>
      </c>
      <c r="P273" t="n">
        <v>0</v>
      </c>
      <c r="Q273" t="n">
        <v>0</v>
      </c>
      <c r="R273" s="2" t="inlineStr"/>
      <c r="U273">
        <f>HYPERLINK("https://klasma.github.io/Logging_0483/knärot/A 40259-2020 karta knärot.png", "A 40259-2020")</f>
        <v/>
      </c>
      <c r="V273">
        <f>HYPERLINK("https://klasma.github.io/Logging_0483/klagomål/A 40259-2020 FSC-klagomål.docx", "A 40259-2020")</f>
        <v/>
      </c>
      <c r="W273">
        <f>HYPERLINK("https://klasma.github.io/Logging_0483/klagomålsmail/A 40259-2020 FSC-klagomål mail.docx", "A 40259-2020")</f>
        <v/>
      </c>
      <c r="X273">
        <f>HYPERLINK("https://klasma.github.io/Logging_0483/tillsyn/A 40259-2020 tillsynsbegäran.docx", "A 40259-2020")</f>
        <v/>
      </c>
      <c r="Y273">
        <f>HYPERLINK("https://klasma.github.io/Logging_0483/tillsynsmail/A 40259-2020 tillsynsbegäran mail.docx", "A 40259-2020")</f>
        <v/>
      </c>
    </row>
    <row r="274" ht="15" customHeight="1">
      <c r="A274" t="inlineStr">
        <is>
          <t>A 42641-2020</t>
        </is>
      </c>
      <c r="B274" s="1" t="n">
        <v>44075</v>
      </c>
      <c r="C274" s="1" t="n">
        <v>45663</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42689-2020</t>
        </is>
      </c>
      <c r="B275" s="1" t="n">
        <v>44075</v>
      </c>
      <c r="C275" s="1" t="n">
        <v>45663</v>
      </c>
      <c r="D275" t="inlineStr">
        <is>
          <t>SÖDERMANLANDS LÄN</t>
        </is>
      </c>
      <c r="E275" t="inlineStr">
        <is>
          <t>KATRINEHOLM</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43649-2020</t>
        </is>
      </c>
      <c r="B276" s="1" t="n">
        <v>44082</v>
      </c>
      <c r="C276" s="1" t="n">
        <v>45663</v>
      </c>
      <c r="D276" t="inlineStr">
        <is>
          <t>SÖDERMANLANDS LÄN</t>
        </is>
      </c>
      <c r="E276" t="inlineStr">
        <is>
          <t>KATRINEHOLM</t>
        </is>
      </c>
      <c r="G276" t="n">
        <v>6.9</v>
      </c>
      <c r="H276" t="n">
        <v>0</v>
      </c>
      <c r="I276" t="n">
        <v>0</v>
      </c>
      <c r="J276" t="n">
        <v>0</v>
      </c>
      <c r="K276" t="n">
        <v>0</v>
      </c>
      <c r="L276" t="n">
        <v>0</v>
      </c>
      <c r="M276" t="n">
        <v>0</v>
      </c>
      <c r="N276" t="n">
        <v>0</v>
      </c>
      <c r="O276" t="n">
        <v>0</v>
      </c>
      <c r="P276" t="n">
        <v>0</v>
      </c>
      <c r="Q276" t="n">
        <v>0</v>
      </c>
      <c r="R276" s="2" t="inlineStr"/>
    </row>
    <row r="277" ht="15" customHeight="1">
      <c r="A277" t="inlineStr">
        <is>
          <t>A 44691-2020</t>
        </is>
      </c>
      <c r="B277" s="1" t="n">
        <v>44085</v>
      </c>
      <c r="C277" s="1" t="n">
        <v>45663</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44783-2020</t>
        </is>
      </c>
      <c r="B278" s="1" t="n">
        <v>44085</v>
      </c>
      <c r="C278" s="1" t="n">
        <v>45663</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45663</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46830-2020</t>
        </is>
      </c>
      <c r="B280" s="1" t="n">
        <v>44089</v>
      </c>
      <c r="C280" s="1" t="n">
        <v>45663</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46806-2020</t>
        </is>
      </c>
      <c r="B281" s="1" t="n">
        <v>44090</v>
      </c>
      <c r="C281" s="1" t="n">
        <v>45663</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48838-2020</t>
        </is>
      </c>
      <c r="B282" s="1" t="n">
        <v>44099</v>
      </c>
      <c r="C282" s="1" t="n">
        <v>45663</v>
      </c>
      <c r="D282" t="inlineStr">
        <is>
          <t>SÖDERMANLANDS LÄN</t>
        </is>
      </c>
      <c r="E282" t="inlineStr">
        <is>
          <t>KATRINEHOLM</t>
        </is>
      </c>
      <c r="G282" t="n">
        <v>6.8</v>
      </c>
      <c r="H282" t="n">
        <v>0</v>
      </c>
      <c r="I282" t="n">
        <v>0</v>
      </c>
      <c r="J282" t="n">
        <v>0</v>
      </c>
      <c r="K282" t="n">
        <v>0</v>
      </c>
      <c r="L282" t="n">
        <v>0</v>
      </c>
      <c r="M282" t="n">
        <v>0</v>
      </c>
      <c r="N282" t="n">
        <v>0</v>
      </c>
      <c r="O282" t="n">
        <v>0</v>
      </c>
      <c r="P282" t="n">
        <v>0</v>
      </c>
      <c r="Q282" t="n">
        <v>0</v>
      </c>
      <c r="R282" s="2" t="inlineStr"/>
    </row>
    <row r="283" ht="15" customHeight="1">
      <c r="A283" t="inlineStr">
        <is>
          <t>A 48834-2020</t>
        </is>
      </c>
      <c r="B283" s="1" t="n">
        <v>44099</v>
      </c>
      <c r="C283" s="1" t="n">
        <v>45663</v>
      </c>
      <c r="D283" t="inlineStr">
        <is>
          <t>SÖDERMANLANDS LÄN</t>
        </is>
      </c>
      <c r="E283" t="inlineStr">
        <is>
          <t>KATRINEHOLM</t>
        </is>
      </c>
      <c r="G283" t="n">
        <v>12.9</v>
      </c>
      <c r="H283" t="n">
        <v>0</v>
      </c>
      <c r="I283" t="n">
        <v>0</v>
      </c>
      <c r="J283" t="n">
        <v>0</v>
      </c>
      <c r="K283" t="n">
        <v>0</v>
      </c>
      <c r="L283" t="n">
        <v>0</v>
      </c>
      <c r="M283" t="n">
        <v>0</v>
      </c>
      <c r="N283" t="n">
        <v>0</v>
      </c>
      <c r="O283" t="n">
        <v>0</v>
      </c>
      <c r="P283" t="n">
        <v>0</v>
      </c>
      <c r="Q283" t="n">
        <v>0</v>
      </c>
      <c r="R283" s="2" t="inlineStr"/>
    </row>
    <row r="284" ht="15" customHeight="1">
      <c r="A284" t="inlineStr">
        <is>
          <t>A 48925-2020</t>
        </is>
      </c>
      <c r="B284" s="1" t="n">
        <v>44099</v>
      </c>
      <c r="C284" s="1" t="n">
        <v>45663</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49089-2020</t>
        </is>
      </c>
      <c r="B285" s="1" t="n">
        <v>44102</v>
      </c>
      <c r="C285" s="1" t="n">
        <v>45663</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48576-2020</t>
        </is>
      </c>
      <c r="B286" s="1" t="n">
        <v>44103</v>
      </c>
      <c r="C286" s="1" t="n">
        <v>45663</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48619-2020</t>
        </is>
      </c>
      <c r="B287" s="1" t="n">
        <v>44103</v>
      </c>
      <c r="C287" s="1" t="n">
        <v>45663</v>
      </c>
      <c r="D287" t="inlineStr">
        <is>
          <t>SÖDERMANLANDS LÄN</t>
        </is>
      </c>
      <c r="E287" t="inlineStr">
        <is>
          <t>KATRINEHOLM</t>
        </is>
      </c>
      <c r="F287" t="inlineStr">
        <is>
          <t>Övriga statliga verk och myndigheter</t>
        </is>
      </c>
      <c r="G287" t="n">
        <v>0.9</v>
      </c>
      <c r="H287" t="n">
        <v>0</v>
      </c>
      <c r="I287" t="n">
        <v>0</v>
      </c>
      <c r="J287" t="n">
        <v>0</v>
      </c>
      <c r="K287" t="n">
        <v>0</v>
      </c>
      <c r="L287" t="n">
        <v>0</v>
      </c>
      <c r="M287" t="n">
        <v>0</v>
      </c>
      <c r="N287" t="n">
        <v>0</v>
      </c>
      <c r="O287" t="n">
        <v>0</v>
      </c>
      <c r="P287" t="n">
        <v>0</v>
      </c>
      <c r="Q287" t="n">
        <v>0</v>
      </c>
      <c r="R287" s="2" t="inlineStr"/>
    </row>
    <row r="288" ht="15" customHeight="1">
      <c r="A288" t="inlineStr">
        <is>
          <t>A 52134-2020</t>
        </is>
      </c>
      <c r="B288" s="1" t="n">
        <v>44110</v>
      </c>
      <c r="C288" s="1" t="n">
        <v>45663</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51218-2020</t>
        </is>
      </c>
      <c r="B289" s="1" t="n">
        <v>44112</v>
      </c>
      <c r="C289" s="1" t="n">
        <v>45663</v>
      </c>
      <c r="D289" t="inlineStr">
        <is>
          <t>SÖDERMANLANDS LÄN</t>
        </is>
      </c>
      <c r="E289" t="inlineStr">
        <is>
          <t>KATRINEHOLM</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51766-2020</t>
        </is>
      </c>
      <c r="B290" s="1" t="n">
        <v>44115</v>
      </c>
      <c r="C290" s="1" t="n">
        <v>45663</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53634-2020</t>
        </is>
      </c>
      <c r="B291" s="1" t="n">
        <v>44124</v>
      </c>
      <c r="C291" s="1" t="n">
        <v>45663</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54905-2020</t>
        </is>
      </c>
      <c r="B292" s="1" t="n">
        <v>44128</v>
      </c>
      <c r="C292" s="1" t="n">
        <v>45663</v>
      </c>
      <c r="D292" t="inlineStr">
        <is>
          <t>SÖDERMANLANDS LÄN</t>
        </is>
      </c>
      <c r="E292" t="inlineStr">
        <is>
          <t>KATRINEHOLM</t>
        </is>
      </c>
      <c r="G292" t="n">
        <v>6.9</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45663</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55048-2020</t>
        </is>
      </c>
      <c r="B294" s="1" t="n">
        <v>44130</v>
      </c>
      <c r="C294" s="1" t="n">
        <v>45663</v>
      </c>
      <c r="D294" t="inlineStr">
        <is>
          <t>SÖDERMANLANDS LÄN</t>
        </is>
      </c>
      <c r="E294" t="inlineStr">
        <is>
          <t>KATRINEHOLM</t>
        </is>
      </c>
      <c r="G294" t="n">
        <v>4.6</v>
      </c>
      <c r="H294" t="n">
        <v>0</v>
      </c>
      <c r="I294" t="n">
        <v>0</v>
      </c>
      <c r="J294" t="n">
        <v>0</v>
      </c>
      <c r="K294" t="n">
        <v>0</v>
      </c>
      <c r="L294" t="n">
        <v>0</v>
      </c>
      <c r="M294" t="n">
        <v>0</v>
      </c>
      <c r="N294" t="n">
        <v>0</v>
      </c>
      <c r="O294" t="n">
        <v>0</v>
      </c>
      <c r="P294" t="n">
        <v>0</v>
      </c>
      <c r="Q294" t="n">
        <v>0</v>
      </c>
      <c r="R294" s="2" t="inlineStr"/>
    </row>
    <row r="295" ht="15" customHeight="1">
      <c r="A295" t="inlineStr">
        <is>
          <t>A 55074-2020</t>
        </is>
      </c>
      <c r="B295" s="1" t="n">
        <v>44130</v>
      </c>
      <c r="C295" s="1" t="n">
        <v>45663</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55040-2020</t>
        </is>
      </c>
      <c r="B296" s="1" t="n">
        <v>44130</v>
      </c>
      <c r="C296" s="1" t="n">
        <v>45663</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55079-2020</t>
        </is>
      </c>
      <c r="B297" s="1" t="n">
        <v>44130</v>
      </c>
      <c r="C297" s="1" t="n">
        <v>45663</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55033-2020</t>
        </is>
      </c>
      <c r="B298" s="1" t="n">
        <v>44130</v>
      </c>
      <c r="C298" s="1" t="n">
        <v>45663</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55031-2020</t>
        </is>
      </c>
      <c r="B299" s="1" t="n">
        <v>44130</v>
      </c>
      <c r="C299" s="1" t="n">
        <v>45663</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55136-2020</t>
        </is>
      </c>
      <c r="B300" s="1" t="n">
        <v>44130</v>
      </c>
      <c r="C300" s="1" t="n">
        <v>45663</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57125-2020</t>
        </is>
      </c>
      <c r="B301" s="1" t="n">
        <v>44138</v>
      </c>
      <c r="C301" s="1" t="n">
        <v>45663</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57132-2020</t>
        </is>
      </c>
      <c r="B302" s="1" t="n">
        <v>44139</v>
      </c>
      <c r="C302" s="1" t="n">
        <v>45663</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57462-2020</t>
        </is>
      </c>
      <c r="B303" s="1" t="n">
        <v>44140</v>
      </c>
      <c r="C303" s="1" t="n">
        <v>45663</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57645-2020</t>
        </is>
      </c>
      <c r="B304" s="1" t="n">
        <v>44140</v>
      </c>
      <c r="C304" s="1" t="n">
        <v>45663</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57687-2020</t>
        </is>
      </c>
      <c r="B305" s="1" t="n">
        <v>44140</v>
      </c>
      <c r="C305" s="1" t="n">
        <v>45663</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57693-2020</t>
        </is>
      </c>
      <c r="B306" s="1" t="n">
        <v>44140</v>
      </c>
      <c r="C306" s="1" t="n">
        <v>45663</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57648-2020</t>
        </is>
      </c>
      <c r="B307" s="1" t="n">
        <v>44140</v>
      </c>
      <c r="C307" s="1" t="n">
        <v>45663</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57745-2020</t>
        </is>
      </c>
      <c r="B308" s="1" t="n">
        <v>44141</v>
      </c>
      <c r="C308" s="1" t="n">
        <v>45663</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57947-2020</t>
        </is>
      </c>
      <c r="B309" s="1" t="n">
        <v>44142</v>
      </c>
      <c r="C309" s="1" t="n">
        <v>45663</v>
      </c>
      <c r="D309" t="inlineStr">
        <is>
          <t>SÖDERMANLANDS LÄN</t>
        </is>
      </c>
      <c r="E309" t="inlineStr">
        <is>
          <t>KATRINEHOLM</t>
        </is>
      </c>
      <c r="G309" t="n">
        <v>9.6</v>
      </c>
      <c r="H309" t="n">
        <v>0</v>
      </c>
      <c r="I309" t="n">
        <v>0</v>
      </c>
      <c r="J309" t="n">
        <v>0</v>
      </c>
      <c r="K309" t="n">
        <v>0</v>
      </c>
      <c r="L309" t="n">
        <v>0</v>
      </c>
      <c r="M309" t="n">
        <v>0</v>
      </c>
      <c r="N309" t="n">
        <v>0</v>
      </c>
      <c r="O309" t="n">
        <v>0</v>
      </c>
      <c r="P309" t="n">
        <v>0</v>
      </c>
      <c r="Q309" t="n">
        <v>0</v>
      </c>
      <c r="R309" s="2" t="inlineStr"/>
    </row>
    <row r="310" ht="15" customHeight="1">
      <c r="A310" t="inlineStr">
        <is>
          <t>A 58958-2020</t>
        </is>
      </c>
      <c r="B310" s="1" t="n">
        <v>44146</v>
      </c>
      <c r="C310" s="1" t="n">
        <v>45663</v>
      </c>
      <c r="D310" t="inlineStr">
        <is>
          <t>SÖDERMANLANDS LÄN</t>
        </is>
      </c>
      <c r="E310" t="inlineStr">
        <is>
          <t>KATRINEHOLM</t>
        </is>
      </c>
      <c r="F310" t="inlineStr">
        <is>
          <t>Holmen skog AB</t>
        </is>
      </c>
      <c r="G310" t="n">
        <v>0.2</v>
      </c>
      <c r="H310" t="n">
        <v>0</v>
      </c>
      <c r="I310" t="n">
        <v>0</v>
      </c>
      <c r="J310" t="n">
        <v>0</v>
      </c>
      <c r="K310" t="n">
        <v>0</v>
      </c>
      <c r="L310" t="n">
        <v>0</v>
      </c>
      <c r="M310" t="n">
        <v>0</v>
      </c>
      <c r="N310" t="n">
        <v>0</v>
      </c>
      <c r="O310" t="n">
        <v>0</v>
      </c>
      <c r="P310" t="n">
        <v>0</v>
      </c>
      <c r="Q310" t="n">
        <v>0</v>
      </c>
      <c r="R310" s="2" t="inlineStr"/>
    </row>
    <row r="311" ht="15" customHeight="1">
      <c r="A311" t="inlineStr">
        <is>
          <t>A 59308-2020</t>
        </is>
      </c>
      <c r="B311" s="1" t="n">
        <v>44147</v>
      </c>
      <c r="C311" s="1" t="n">
        <v>45663</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45663</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59887-2020</t>
        </is>
      </c>
      <c r="B313" s="1" t="n">
        <v>44151</v>
      </c>
      <c r="C313" s="1" t="n">
        <v>45663</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59877-2020</t>
        </is>
      </c>
      <c r="B314" s="1" t="n">
        <v>44151</v>
      </c>
      <c r="C314" s="1" t="n">
        <v>45663</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61167-2020</t>
        </is>
      </c>
      <c r="B315" s="1" t="n">
        <v>44155</v>
      </c>
      <c r="C315" s="1" t="n">
        <v>45663</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61674-2020</t>
        </is>
      </c>
      <c r="B316" s="1" t="n">
        <v>44158</v>
      </c>
      <c r="C316" s="1" t="n">
        <v>45663</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61867-2020</t>
        </is>
      </c>
      <c r="B317" s="1" t="n">
        <v>44159</v>
      </c>
      <c r="C317" s="1" t="n">
        <v>45663</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62424-2020</t>
        </is>
      </c>
      <c r="B318" s="1" t="n">
        <v>44160</v>
      </c>
      <c r="C318" s="1" t="n">
        <v>45663</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63694-2020</t>
        </is>
      </c>
      <c r="B319" s="1" t="n">
        <v>44166</v>
      </c>
      <c r="C319" s="1" t="n">
        <v>45663</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63677-2020</t>
        </is>
      </c>
      <c r="B320" s="1" t="n">
        <v>44166</v>
      </c>
      <c r="C320" s="1" t="n">
        <v>45663</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63682-2020</t>
        </is>
      </c>
      <c r="B321" s="1" t="n">
        <v>44166</v>
      </c>
      <c r="C321" s="1" t="n">
        <v>45663</v>
      </c>
      <c r="D321" t="inlineStr">
        <is>
          <t>SÖDERMANLANDS LÄN</t>
        </is>
      </c>
      <c r="E321" t="inlineStr">
        <is>
          <t>KATRINEHOLM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63954-2020</t>
        </is>
      </c>
      <c r="B322" s="1" t="n">
        <v>44167</v>
      </c>
      <c r="C322" s="1" t="n">
        <v>45663</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64027-2020</t>
        </is>
      </c>
      <c r="B323" s="1" t="n">
        <v>44167</v>
      </c>
      <c r="C323" s="1" t="n">
        <v>45663</v>
      </c>
      <c r="D323" t="inlineStr">
        <is>
          <t>SÖDERMANLANDS LÄN</t>
        </is>
      </c>
      <c r="E323" t="inlineStr">
        <is>
          <t>KATRINEHOLM</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64463-2020</t>
        </is>
      </c>
      <c r="B324" s="1" t="n">
        <v>44168</v>
      </c>
      <c r="C324" s="1" t="n">
        <v>45663</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65093-2020</t>
        </is>
      </c>
      <c r="B325" s="1" t="n">
        <v>44168</v>
      </c>
      <c r="C325" s="1" t="n">
        <v>45663</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64633-2020</t>
        </is>
      </c>
      <c r="B326" s="1" t="n">
        <v>44169</v>
      </c>
      <c r="C326" s="1" t="n">
        <v>45663</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64657-2020</t>
        </is>
      </c>
      <c r="B327" s="1" t="n">
        <v>44169</v>
      </c>
      <c r="C327" s="1" t="n">
        <v>45663</v>
      </c>
      <c r="D327" t="inlineStr">
        <is>
          <t>SÖDERMANLANDS LÄN</t>
        </is>
      </c>
      <c r="E327" t="inlineStr">
        <is>
          <t>KATRINEHOLM</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64738-2020</t>
        </is>
      </c>
      <c r="B328" s="1" t="n">
        <v>44169</v>
      </c>
      <c r="C328" s="1" t="n">
        <v>45663</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64680-2020</t>
        </is>
      </c>
      <c r="B329" s="1" t="n">
        <v>44169</v>
      </c>
      <c r="C329" s="1" t="n">
        <v>45663</v>
      </c>
      <c r="D329" t="inlineStr">
        <is>
          <t>SÖDERMANLANDS LÄN</t>
        </is>
      </c>
      <c r="E329" t="inlineStr">
        <is>
          <t>KATRINEHOLM</t>
        </is>
      </c>
      <c r="F329" t="inlineStr">
        <is>
          <t>Kyrkan</t>
        </is>
      </c>
      <c r="G329" t="n">
        <v>19</v>
      </c>
      <c r="H329" t="n">
        <v>0</v>
      </c>
      <c r="I329" t="n">
        <v>0</v>
      </c>
      <c r="J329" t="n">
        <v>0</v>
      </c>
      <c r="K329" t="n">
        <v>0</v>
      </c>
      <c r="L329" t="n">
        <v>0</v>
      </c>
      <c r="M329" t="n">
        <v>0</v>
      </c>
      <c r="N329" t="n">
        <v>0</v>
      </c>
      <c r="O329" t="n">
        <v>0</v>
      </c>
      <c r="P329" t="n">
        <v>0</v>
      </c>
      <c r="Q329" t="n">
        <v>0</v>
      </c>
      <c r="R329" s="2" t="inlineStr"/>
    </row>
    <row r="330" ht="15" customHeight="1">
      <c r="A330" t="inlineStr">
        <is>
          <t>A 65117-2020</t>
        </is>
      </c>
      <c r="B330" s="1" t="n">
        <v>44172</v>
      </c>
      <c r="C330" s="1" t="n">
        <v>45663</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65152-2020</t>
        </is>
      </c>
      <c r="B331" s="1" t="n">
        <v>44172</v>
      </c>
      <c r="C331" s="1" t="n">
        <v>45663</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65077-2020</t>
        </is>
      </c>
      <c r="B332" s="1" t="n">
        <v>44172</v>
      </c>
      <c r="C332" s="1" t="n">
        <v>45663</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65186-2020</t>
        </is>
      </c>
      <c r="B333" s="1" t="n">
        <v>44172</v>
      </c>
      <c r="C333" s="1" t="n">
        <v>45663</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65312-2020</t>
        </is>
      </c>
      <c r="B334" s="1" t="n">
        <v>44173</v>
      </c>
      <c r="C334" s="1" t="n">
        <v>45663</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65485-2020</t>
        </is>
      </c>
      <c r="B335" s="1" t="n">
        <v>44173</v>
      </c>
      <c r="C335" s="1" t="n">
        <v>45663</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65358-2020</t>
        </is>
      </c>
      <c r="B336" s="1" t="n">
        <v>44173</v>
      </c>
      <c r="C336" s="1" t="n">
        <v>45663</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66025-2020</t>
        </is>
      </c>
      <c r="B337" s="1" t="n">
        <v>44175</v>
      </c>
      <c r="C337" s="1" t="n">
        <v>45663</v>
      </c>
      <c r="D337" t="inlineStr">
        <is>
          <t>SÖDERMANLANDS LÄN</t>
        </is>
      </c>
      <c r="E337" t="inlineStr">
        <is>
          <t>KATRINEHOLM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66796-2020</t>
        </is>
      </c>
      <c r="B338" s="1" t="n">
        <v>44179</v>
      </c>
      <c r="C338" s="1" t="n">
        <v>45663</v>
      </c>
      <c r="D338" t="inlineStr">
        <is>
          <t>SÖDERMANLANDS LÄN</t>
        </is>
      </c>
      <c r="E338" t="inlineStr">
        <is>
          <t>KATRINEHOLM</t>
        </is>
      </c>
      <c r="F338" t="inlineStr">
        <is>
          <t>Holmen skog AB</t>
        </is>
      </c>
      <c r="G338" t="n">
        <v>6.2</v>
      </c>
      <c r="H338" t="n">
        <v>0</v>
      </c>
      <c r="I338" t="n">
        <v>0</v>
      </c>
      <c r="J338" t="n">
        <v>0</v>
      </c>
      <c r="K338" t="n">
        <v>0</v>
      </c>
      <c r="L338" t="n">
        <v>0</v>
      </c>
      <c r="M338" t="n">
        <v>0</v>
      </c>
      <c r="N338" t="n">
        <v>0</v>
      </c>
      <c r="O338" t="n">
        <v>0</v>
      </c>
      <c r="P338" t="n">
        <v>0</v>
      </c>
      <c r="Q338" t="n">
        <v>0</v>
      </c>
      <c r="R338" s="2" t="inlineStr"/>
    </row>
    <row r="339" ht="15" customHeight="1">
      <c r="A339" t="inlineStr">
        <is>
          <t>A 66880-2020</t>
        </is>
      </c>
      <c r="B339" s="1" t="n">
        <v>44180</v>
      </c>
      <c r="C339" s="1" t="n">
        <v>45663</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66896-2020</t>
        </is>
      </c>
      <c r="B340" s="1" t="n">
        <v>44180</v>
      </c>
      <c r="C340" s="1" t="n">
        <v>45663</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67959-2020</t>
        </is>
      </c>
      <c r="B341" s="1" t="n">
        <v>44182</v>
      </c>
      <c r="C341" s="1" t="n">
        <v>45663</v>
      </c>
      <c r="D341" t="inlineStr">
        <is>
          <t>SÖDERMANLANDS LÄN</t>
        </is>
      </c>
      <c r="E341" t="inlineStr">
        <is>
          <t>KATRINEHOLM</t>
        </is>
      </c>
      <c r="G341" t="n">
        <v>11.5</v>
      </c>
      <c r="H341" t="n">
        <v>0</v>
      </c>
      <c r="I341" t="n">
        <v>0</v>
      </c>
      <c r="J341" t="n">
        <v>0</v>
      </c>
      <c r="K341" t="n">
        <v>0</v>
      </c>
      <c r="L341" t="n">
        <v>0</v>
      </c>
      <c r="M341" t="n">
        <v>0</v>
      </c>
      <c r="N341" t="n">
        <v>0</v>
      </c>
      <c r="O341" t="n">
        <v>0</v>
      </c>
      <c r="P341" t="n">
        <v>0</v>
      </c>
      <c r="Q341" t="n">
        <v>0</v>
      </c>
      <c r="R341" s="2" t="inlineStr"/>
    </row>
    <row r="342" ht="15" customHeight="1">
      <c r="A342" t="inlineStr">
        <is>
          <t>A 67957-2020</t>
        </is>
      </c>
      <c r="B342" s="1" t="n">
        <v>44182</v>
      </c>
      <c r="C342" s="1" t="n">
        <v>45663</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69332-2020</t>
        </is>
      </c>
      <c r="B343" s="1" t="n">
        <v>44193</v>
      </c>
      <c r="C343" s="1" t="n">
        <v>45663</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69600-2020</t>
        </is>
      </c>
      <c r="B344" s="1" t="n">
        <v>44195</v>
      </c>
      <c r="C344" s="1" t="n">
        <v>45663</v>
      </c>
      <c r="D344" t="inlineStr">
        <is>
          <t>SÖDERMANLANDS LÄN</t>
        </is>
      </c>
      <c r="E344" t="inlineStr">
        <is>
          <t>KATRINEHOLM</t>
        </is>
      </c>
      <c r="G344" t="n">
        <v>11.3</v>
      </c>
      <c r="H344" t="n">
        <v>0</v>
      </c>
      <c r="I344" t="n">
        <v>0</v>
      </c>
      <c r="J344" t="n">
        <v>0</v>
      </c>
      <c r="K344" t="n">
        <v>0</v>
      </c>
      <c r="L344" t="n">
        <v>0</v>
      </c>
      <c r="M344" t="n">
        <v>0</v>
      </c>
      <c r="N344" t="n">
        <v>0</v>
      </c>
      <c r="O344" t="n">
        <v>0</v>
      </c>
      <c r="P344" t="n">
        <v>0</v>
      </c>
      <c r="Q344" t="n">
        <v>0</v>
      </c>
      <c r="R344" s="2" t="inlineStr"/>
    </row>
    <row r="345" ht="15" customHeight="1">
      <c r="A345" t="inlineStr">
        <is>
          <t>A 2297-2021</t>
        </is>
      </c>
      <c r="B345" s="1" t="n">
        <v>44212</v>
      </c>
      <c r="C345" s="1" t="n">
        <v>45663</v>
      </c>
      <c r="D345" t="inlineStr">
        <is>
          <t>SÖDERMANLANDS LÄN</t>
        </is>
      </c>
      <c r="E345" t="inlineStr">
        <is>
          <t>KATRINEHOLM</t>
        </is>
      </c>
      <c r="G345" t="n">
        <v>14.4</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45663</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2435-2021</t>
        </is>
      </c>
      <c r="B347" s="1" t="n">
        <v>44214</v>
      </c>
      <c r="C347" s="1" t="n">
        <v>45663</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4533-2021</t>
        </is>
      </c>
      <c r="B348" s="1" t="n">
        <v>44223</v>
      </c>
      <c r="C348" s="1" t="n">
        <v>45663</v>
      </c>
      <c r="D348" t="inlineStr">
        <is>
          <t>SÖDERMANLANDS LÄN</t>
        </is>
      </c>
      <c r="E348" t="inlineStr">
        <is>
          <t>KATRINEHOLM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4767-2021</t>
        </is>
      </c>
      <c r="B349" s="1" t="n">
        <v>44225</v>
      </c>
      <c r="C349" s="1" t="n">
        <v>45663</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5953-2021</t>
        </is>
      </c>
      <c r="B350" s="1" t="n">
        <v>44231</v>
      </c>
      <c r="C350" s="1" t="n">
        <v>45663</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6087-2021</t>
        </is>
      </c>
      <c r="B351" s="1" t="n">
        <v>44232</v>
      </c>
      <c r="C351" s="1" t="n">
        <v>45663</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7240-2021</t>
        </is>
      </c>
      <c r="B352" s="1" t="n">
        <v>44238</v>
      </c>
      <c r="C352" s="1" t="n">
        <v>45663</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45663</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7669-2021</t>
        </is>
      </c>
      <c r="B354" s="1" t="n">
        <v>44242</v>
      </c>
      <c r="C354" s="1" t="n">
        <v>45663</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7705-2021</t>
        </is>
      </c>
      <c r="B355" s="1" t="n">
        <v>44242</v>
      </c>
      <c r="C355" s="1" t="n">
        <v>45663</v>
      </c>
      <c r="D355" t="inlineStr">
        <is>
          <t>SÖDERMANLANDS LÄN</t>
        </is>
      </c>
      <c r="E355" t="inlineStr">
        <is>
          <t>KATRINEHOLM</t>
        </is>
      </c>
      <c r="F355" t="inlineStr">
        <is>
          <t>Allmännings- och besparingsskogar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7855-2021</t>
        </is>
      </c>
      <c r="B356" s="1" t="n">
        <v>44242</v>
      </c>
      <c r="C356" s="1" t="n">
        <v>45663</v>
      </c>
      <c r="D356" t="inlineStr">
        <is>
          <t>SÖDERMANLANDS LÄN</t>
        </is>
      </c>
      <c r="E356" t="inlineStr">
        <is>
          <t>KATRINEHOLM</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8289-2021</t>
        </is>
      </c>
      <c r="B357" s="1" t="n">
        <v>44244</v>
      </c>
      <c r="C357" s="1" t="n">
        <v>45663</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9388-2021</t>
        </is>
      </c>
      <c r="B358" s="1" t="n">
        <v>44250</v>
      </c>
      <c r="C358" s="1" t="n">
        <v>45663</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9576-2021</t>
        </is>
      </c>
      <c r="B359" s="1" t="n">
        <v>44251</v>
      </c>
      <c r="C359" s="1" t="n">
        <v>45663</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10093-2021</t>
        </is>
      </c>
      <c r="B360" s="1" t="n">
        <v>44256</v>
      </c>
      <c r="C360" s="1" t="n">
        <v>45663</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10662-2021</t>
        </is>
      </c>
      <c r="B361" s="1" t="n">
        <v>44258</v>
      </c>
      <c r="C361" s="1" t="n">
        <v>45663</v>
      </c>
      <c r="D361" t="inlineStr">
        <is>
          <t>SÖDERMANLANDS LÄN</t>
        </is>
      </c>
      <c r="E361" t="inlineStr">
        <is>
          <t>KATRINEHOLM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11070-2021</t>
        </is>
      </c>
      <c r="B362" s="1" t="n">
        <v>44260</v>
      </c>
      <c r="C362" s="1" t="n">
        <v>45663</v>
      </c>
      <c r="D362" t="inlineStr">
        <is>
          <t>SÖDERMANLANDS LÄN</t>
        </is>
      </c>
      <c r="E362" t="inlineStr">
        <is>
          <t>KATRINEHOLM</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11676-2021</t>
        </is>
      </c>
      <c r="B363" s="1" t="n">
        <v>44264</v>
      </c>
      <c r="C363" s="1" t="n">
        <v>45663</v>
      </c>
      <c r="D363" t="inlineStr">
        <is>
          <t>SÖDERMANLANDS LÄN</t>
        </is>
      </c>
      <c r="E363" t="inlineStr">
        <is>
          <t>KATRINEHOLM</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11812-2021</t>
        </is>
      </c>
      <c r="B364" s="1" t="n">
        <v>44265</v>
      </c>
      <c r="C364" s="1" t="n">
        <v>45663</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11893-2021</t>
        </is>
      </c>
      <c r="B365" s="1" t="n">
        <v>44265</v>
      </c>
      <c r="C365" s="1" t="n">
        <v>45663</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12068-2021</t>
        </is>
      </c>
      <c r="B366" s="1" t="n">
        <v>44266</v>
      </c>
      <c r="C366" s="1" t="n">
        <v>45663</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12063-2021</t>
        </is>
      </c>
      <c r="B367" s="1" t="n">
        <v>44266</v>
      </c>
      <c r="C367" s="1" t="n">
        <v>45663</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12070-2021</t>
        </is>
      </c>
      <c r="B368" s="1" t="n">
        <v>44266</v>
      </c>
      <c r="C368" s="1" t="n">
        <v>45663</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12239-2021</t>
        </is>
      </c>
      <c r="B369" s="1" t="n">
        <v>44266</v>
      </c>
      <c r="C369" s="1" t="n">
        <v>45663</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12238-2021</t>
        </is>
      </c>
      <c r="B370" s="1" t="n">
        <v>44266</v>
      </c>
      <c r="C370" s="1" t="n">
        <v>45663</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12760-2021</t>
        </is>
      </c>
      <c r="B371" s="1" t="n">
        <v>44270</v>
      </c>
      <c r="C371" s="1" t="n">
        <v>45663</v>
      </c>
      <c r="D371" t="inlineStr">
        <is>
          <t>SÖDERMANLANDS LÄN</t>
        </is>
      </c>
      <c r="E371" t="inlineStr">
        <is>
          <t>KATRINEHOLM</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12766-2021</t>
        </is>
      </c>
      <c r="B372" s="1" t="n">
        <v>44270</v>
      </c>
      <c r="C372" s="1" t="n">
        <v>45663</v>
      </c>
      <c r="D372" t="inlineStr">
        <is>
          <t>SÖDERMANLANDS LÄN</t>
        </is>
      </c>
      <c r="E372" t="inlineStr">
        <is>
          <t>KATRINEHOLM</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16031-2021</t>
        </is>
      </c>
      <c r="B373" s="1" t="n">
        <v>44287</v>
      </c>
      <c r="C373" s="1" t="n">
        <v>45663</v>
      </c>
      <c r="D373" t="inlineStr">
        <is>
          <t>SÖDERMANLANDS LÄN</t>
        </is>
      </c>
      <c r="E373" t="inlineStr">
        <is>
          <t>KATRINEHOLM</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17444-2021</t>
        </is>
      </c>
      <c r="B374" s="1" t="n">
        <v>44299</v>
      </c>
      <c r="C374" s="1" t="n">
        <v>45663</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17430-2021</t>
        </is>
      </c>
      <c r="B375" s="1" t="n">
        <v>44299</v>
      </c>
      <c r="C375" s="1" t="n">
        <v>45663</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17693-2021</t>
        </is>
      </c>
      <c r="B376" s="1" t="n">
        <v>44299</v>
      </c>
      <c r="C376" s="1" t="n">
        <v>45663</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17710-2021</t>
        </is>
      </c>
      <c r="B377" s="1" t="n">
        <v>44299</v>
      </c>
      <c r="C377" s="1" t="n">
        <v>45663</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45663</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45663</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19195-2021</t>
        </is>
      </c>
      <c r="B380" s="1" t="n">
        <v>44308</v>
      </c>
      <c r="C380" s="1" t="n">
        <v>45663</v>
      </c>
      <c r="D380" t="inlineStr">
        <is>
          <t>SÖDERMANLANDS LÄN</t>
        </is>
      </c>
      <c r="E380" t="inlineStr">
        <is>
          <t>KATRINEHOLM</t>
        </is>
      </c>
      <c r="G380" t="n">
        <v>8.1</v>
      </c>
      <c r="H380" t="n">
        <v>0</v>
      </c>
      <c r="I380" t="n">
        <v>0</v>
      </c>
      <c r="J380" t="n">
        <v>0</v>
      </c>
      <c r="K380" t="n">
        <v>0</v>
      </c>
      <c r="L380" t="n">
        <v>0</v>
      </c>
      <c r="M380" t="n">
        <v>0</v>
      </c>
      <c r="N380" t="n">
        <v>0</v>
      </c>
      <c r="O380" t="n">
        <v>0</v>
      </c>
      <c r="P380" t="n">
        <v>0</v>
      </c>
      <c r="Q380" t="n">
        <v>0</v>
      </c>
      <c r="R380" s="2" t="inlineStr"/>
    </row>
    <row r="381" ht="15" customHeight="1">
      <c r="A381" t="inlineStr">
        <is>
          <t>A 20042-2021</t>
        </is>
      </c>
      <c r="B381" s="1" t="n">
        <v>44314</v>
      </c>
      <c r="C381" s="1" t="n">
        <v>45663</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20039-2021</t>
        </is>
      </c>
      <c r="B382" s="1" t="n">
        <v>44314</v>
      </c>
      <c r="C382" s="1" t="n">
        <v>45663</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20949-2021</t>
        </is>
      </c>
      <c r="B383" s="1" t="n">
        <v>44319</v>
      </c>
      <c r="C383" s="1" t="n">
        <v>45663</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22087-2021</t>
        </is>
      </c>
      <c r="B384" s="1" t="n">
        <v>44323</v>
      </c>
      <c r="C384" s="1" t="n">
        <v>45663</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23838-2021</t>
        </is>
      </c>
      <c r="B385" s="1" t="n">
        <v>44335</v>
      </c>
      <c r="C385" s="1" t="n">
        <v>45663</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25337-2021</t>
        </is>
      </c>
      <c r="B386" s="1" t="n">
        <v>44342</v>
      </c>
      <c r="C386" s="1" t="n">
        <v>45663</v>
      </c>
      <c r="D386" t="inlineStr">
        <is>
          <t>SÖDERMANLANDS LÄN</t>
        </is>
      </c>
      <c r="E386" t="inlineStr">
        <is>
          <t>KATRINEHOLM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27298-2021</t>
        </is>
      </c>
      <c r="B387" s="1" t="n">
        <v>44351</v>
      </c>
      <c r="C387" s="1" t="n">
        <v>45663</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29264-2021</t>
        </is>
      </c>
      <c r="B388" s="1" t="n">
        <v>44361</v>
      </c>
      <c r="C388" s="1" t="n">
        <v>45663</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29665-2021</t>
        </is>
      </c>
      <c r="B389" s="1" t="n">
        <v>44362</v>
      </c>
      <c r="C389" s="1" t="n">
        <v>45663</v>
      </c>
      <c r="D389" t="inlineStr">
        <is>
          <t>SÖDERMANLANDS LÄN</t>
        </is>
      </c>
      <c r="E389" t="inlineStr">
        <is>
          <t>KATRINEHOLM</t>
        </is>
      </c>
      <c r="G389" t="n">
        <v>14.3</v>
      </c>
      <c r="H389" t="n">
        <v>0</v>
      </c>
      <c r="I389" t="n">
        <v>0</v>
      </c>
      <c r="J389" t="n">
        <v>0</v>
      </c>
      <c r="K389" t="n">
        <v>0</v>
      </c>
      <c r="L389" t="n">
        <v>0</v>
      </c>
      <c r="M389" t="n">
        <v>0</v>
      </c>
      <c r="N389" t="n">
        <v>0</v>
      </c>
      <c r="O389" t="n">
        <v>0</v>
      </c>
      <c r="P389" t="n">
        <v>0</v>
      </c>
      <c r="Q389" t="n">
        <v>0</v>
      </c>
      <c r="R389" s="2" t="inlineStr"/>
    </row>
    <row r="390" ht="15" customHeight="1">
      <c r="A390" t="inlineStr">
        <is>
          <t>A 29662-2021</t>
        </is>
      </c>
      <c r="B390" s="1" t="n">
        <v>44362</v>
      </c>
      <c r="C390" s="1" t="n">
        <v>45663</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29702-2021</t>
        </is>
      </c>
      <c r="B391" s="1" t="n">
        <v>44362</v>
      </c>
      <c r="C391" s="1" t="n">
        <v>45663</v>
      </c>
      <c r="D391" t="inlineStr">
        <is>
          <t>SÖDERMANLANDS LÄN</t>
        </is>
      </c>
      <c r="E391" t="inlineStr">
        <is>
          <t>KATRINEHOLM</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31684-2021</t>
        </is>
      </c>
      <c r="B392" s="1" t="n">
        <v>44369</v>
      </c>
      <c r="C392" s="1" t="n">
        <v>45663</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31836-2021</t>
        </is>
      </c>
      <c r="B393" s="1" t="n">
        <v>44370</v>
      </c>
      <c r="C393" s="1" t="n">
        <v>45663</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31846-2021</t>
        </is>
      </c>
      <c r="B394" s="1" t="n">
        <v>44370</v>
      </c>
      <c r="C394" s="1" t="n">
        <v>45663</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31878-2021</t>
        </is>
      </c>
      <c r="B395" s="1" t="n">
        <v>44370</v>
      </c>
      <c r="C395" s="1" t="n">
        <v>45663</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32733-2021</t>
        </is>
      </c>
      <c r="B396" s="1" t="n">
        <v>44375</v>
      </c>
      <c r="C396" s="1" t="n">
        <v>45663</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c r="U396">
        <f>HYPERLINK("https://klasma.github.io/Logging_0483/knärot/A 32733-2021 karta knärot.png", "A 32733-2021")</f>
        <v/>
      </c>
      <c r="V396">
        <f>HYPERLINK("https://klasma.github.io/Logging_0483/klagomål/A 32733-2021 FSC-klagomål.docx", "A 32733-2021")</f>
        <v/>
      </c>
      <c r="W396">
        <f>HYPERLINK("https://klasma.github.io/Logging_0483/klagomålsmail/A 32733-2021 FSC-klagomål mail.docx", "A 32733-2021")</f>
        <v/>
      </c>
      <c r="X396">
        <f>HYPERLINK("https://klasma.github.io/Logging_0483/tillsyn/A 32733-2021 tillsynsbegäran.docx", "A 32733-2021")</f>
        <v/>
      </c>
      <c r="Y396">
        <f>HYPERLINK("https://klasma.github.io/Logging_0483/tillsynsmail/A 32733-2021 tillsynsbegäran mail.docx", "A 32733-2021")</f>
        <v/>
      </c>
    </row>
    <row r="397" ht="15" customHeight="1">
      <c r="A397" t="inlineStr">
        <is>
          <t>A 33949-2021</t>
        </is>
      </c>
      <c r="B397" s="1" t="n">
        <v>44378</v>
      </c>
      <c r="C397" s="1" t="n">
        <v>45663</v>
      </c>
      <c r="D397" t="inlineStr">
        <is>
          <t>SÖDERMANLANDS LÄN</t>
        </is>
      </c>
      <c r="E397" t="inlineStr">
        <is>
          <t>KATRINEHOLM</t>
        </is>
      </c>
      <c r="G397" t="n">
        <v>4.4</v>
      </c>
      <c r="H397" t="n">
        <v>0</v>
      </c>
      <c r="I397" t="n">
        <v>0</v>
      </c>
      <c r="J397" t="n">
        <v>0</v>
      </c>
      <c r="K397" t="n">
        <v>0</v>
      </c>
      <c r="L397" t="n">
        <v>0</v>
      </c>
      <c r="M397" t="n">
        <v>0</v>
      </c>
      <c r="N397" t="n">
        <v>0</v>
      </c>
      <c r="O397" t="n">
        <v>0</v>
      </c>
      <c r="P397" t="n">
        <v>0</v>
      </c>
      <c r="Q397" t="n">
        <v>0</v>
      </c>
      <c r="R397" s="2" t="inlineStr"/>
    </row>
    <row r="398" ht="15" customHeight="1">
      <c r="A398" t="inlineStr">
        <is>
          <t>A 34794-2021</t>
        </is>
      </c>
      <c r="B398" s="1" t="n">
        <v>44383</v>
      </c>
      <c r="C398" s="1" t="n">
        <v>45663</v>
      </c>
      <c r="D398" t="inlineStr">
        <is>
          <t>SÖDERMANLANDS LÄN</t>
        </is>
      </c>
      <c r="E398" t="inlineStr">
        <is>
          <t>KATRINEHOLM</t>
        </is>
      </c>
      <c r="G398" t="n">
        <v>4.1</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45663</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36608-2021</t>
        </is>
      </c>
      <c r="B400" s="1" t="n">
        <v>44391</v>
      </c>
      <c r="C400" s="1" t="n">
        <v>45663</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36605-2021</t>
        </is>
      </c>
      <c r="B401" s="1" t="n">
        <v>44391</v>
      </c>
      <c r="C401" s="1" t="n">
        <v>45663</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36856-2021</t>
        </is>
      </c>
      <c r="B402" s="1" t="n">
        <v>44393</v>
      </c>
      <c r="C402" s="1" t="n">
        <v>45663</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36964-2021</t>
        </is>
      </c>
      <c r="B403" s="1" t="n">
        <v>44393</v>
      </c>
      <c r="C403" s="1" t="n">
        <v>45663</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38158-2021</t>
        </is>
      </c>
      <c r="B404" s="1" t="n">
        <v>44405</v>
      </c>
      <c r="C404" s="1" t="n">
        <v>45663</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38308-2021</t>
        </is>
      </c>
      <c r="B405" s="1" t="n">
        <v>44406</v>
      </c>
      <c r="C405" s="1" t="n">
        <v>45663</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38471-2021</t>
        </is>
      </c>
      <c r="B406" s="1" t="n">
        <v>44407</v>
      </c>
      <c r="C406" s="1" t="n">
        <v>45663</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38607-2021</t>
        </is>
      </c>
      <c r="B407" s="1" t="n">
        <v>44409</v>
      </c>
      <c r="C407" s="1" t="n">
        <v>45663</v>
      </c>
      <c r="D407" t="inlineStr">
        <is>
          <t>SÖDERMANLANDS LÄN</t>
        </is>
      </c>
      <c r="E407" t="inlineStr">
        <is>
          <t>KATRINEHOLM</t>
        </is>
      </c>
      <c r="G407" t="n">
        <v>2.9</v>
      </c>
      <c r="H407" t="n">
        <v>0</v>
      </c>
      <c r="I407" t="n">
        <v>0</v>
      </c>
      <c r="J407" t="n">
        <v>0</v>
      </c>
      <c r="K407" t="n">
        <v>0</v>
      </c>
      <c r="L407" t="n">
        <v>0</v>
      </c>
      <c r="M407" t="n">
        <v>0</v>
      </c>
      <c r="N407" t="n">
        <v>0</v>
      </c>
      <c r="O407" t="n">
        <v>0</v>
      </c>
      <c r="P407" t="n">
        <v>0</v>
      </c>
      <c r="Q407" t="n">
        <v>0</v>
      </c>
      <c r="R407" s="2" t="inlineStr"/>
    </row>
    <row r="408" ht="15" customHeight="1">
      <c r="A408" t="inlineStr">
        <is>
          <t>A 38606-2021</t>
        </is>
      </c>
      <c r="B408" s="1" t="n">
        <v>44409</v>
      </c>
      <c r="C408" s="1" t="n">
        <v>45663</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38611-2021</t>
        </is>
      </c>
      <c r="B409" s="1" t="n">
        <v>44409</v>
      </c>
      <c r="C409" s="1" t="n">
        <v>45663</v>
      </c>
      <c r="D409" t="inlineStr">
        <is>
          <t>SÖDERMANLANDS LÄN</t>
        </is>
      </c>
      <c r="E409" t="inlineStr">
        <is>
          <t>KATRINEHOLM</t>
        </is>
      </c>
      <c r="G409" t="n">
        <v>7.7</v>
      </c>
      <c r="H409" t="n">
        <v>0</v>
      </c>
      <c r="I409" t="n">
        <v>0</v>
      </c>
      <c r="J409" t="n">
        <v>0</v>
      </c>
      <c r="K409" t="n">
        <v>0</v>
      </c>
      <c r="L409" t="n">
        <v>0</v>
      </c>
      <c r="M409" t="n">
        <v>0</v>
      </c>
      <c r="N409" t="n">
        <v>0</v>
      </c>
      <c r="O409" t="n">
        <v>0</v>
      </c>
      <c r="P409" t="n">
        <v>0</v>
      </c>
      <c r="Q409" t="n">
        <v>0</v>
      </c>
      <c r="R409" s="2" t="inlineStr"/>
    </row>
    <row r="410" ht="15" customHeight="1">
      <c r="A410" t="inlineStr">
        <is>
          <t>A 38826-2021</t>
        </is>
      </c>
      <c r="B410" s="1" t="n">
        <v>44411</v>
      </c>
      <c r="C410" s="1" t="n">
        <v>45663</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38835-2021</t>
        </is>
      </c>
      <c r="B411" s="1" t="n">
        <v>44411</v>
      </c>
      <c r="C411" s="1" t="n">
        <v>45663</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39001-2021</t>
        </is>
      </c>
      <c r="B412" s="1" t="n">
        <v>44412</v>
      </c>
      <c r="C412" s="1" t="n">
        <v>45663</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45663</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39527-2021</t>
        </is>
      </c>
      <c r="B414" s="1" t="n">
        <v>44415</v>
      </c>
      <c r="C414" s="1" t="n">
        <v>45663</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39549-2021</t>
        </is>
      </c>
      <c r="B415" s="1" t="n">
        <v>44416</v>
      </c>
      <c r="C415" s="1" t="n">
        <v>45663</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39546-2021</t>
        </is>
      </c>
      <c r="B416" s="1" t="n">
        <v>44416</v>
      </c>
      <c r="C416" s="1" t="n">
        <v>45663</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39862-2021</t>
        </is>
      </c>
      <c r="B417" s="1" t="n">
        <v>44417</v>
      </c>
      <c r="C417" s="1" t="n">
        <v>45663</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45663</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40400-2021</t>
        </is>
      </c>
      <c r="B419" s="1" t="n">
        <v>44419</v>
      </c>
      <c r="C419" s="1" t="n">
        <v>45663</v>
      </c>
      <c r="D419" t="inlineStr">
        <is>
          <t>SÖDERMANLANDS LÄN</t>
        </is>
      </c>
      <c r="E419" t="inlineStr">
        <is>
          <t>KATRINEHOLM</t>
        </is>
      </c>
      <c r="G419" t="n">
        <v>12.2</v>
      </c>
      <c r="H419" t="n">
        <v>0</v>
      </c>
      <c r="I419" t="n">
        <v>0</v>
      </c>
      <c r="J419" t="n">
        <v>0</v>
      </c>
      <c r="K419" t="n">
        <v>0</v>
      </c>
      <c r="L419" t="n">
        <v>0</v>
      </c>
      <c r="M419" t="n">
        <v>0</v>
      </c>
      <c r="N419" t="n">
        <v>0</v>
      </c>
      <c r="O419" t="n">
        <v>0</v>
      </c>
      <c r="P419" t="n">
        <v>0</v>
      </c>
      <c r="Q419" t="n">
        <v>0</v>
      </c>
      <c r="R419" s="2" t="inlineStr"/>
    </row>
    <row r="420" ht="15" customHeight="1">
      <c r="A420" t="inlineStr">
        <is>
          <t>A 41141-2021</t>
        </is>
      </c>
      <c r="B420" s="1" t="n">
        <v>44423</v>
      </c>
      <c r="C420" s="1" t="n">
        <v>45663</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v>
      </c>
      <c r="C421" s="1" t="n">
        <v>45663</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41863-2021</t>
        </is>
      </c>
      <c r="B422" s="1" t="n">
        <v>44426</v>
      </c>
      <c r="C422" s="1" t="n">
        <v>45663</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41876-2021</t>
        </is>
      </c>
      <c r="B423" s="1" t="n">
        <v>44426</v>
      </c>
      <c r="C423" s="1" t="n">
        <v>45663</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45663</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43499-2021</t>
        </is>
      </c>
      <c r="B425" s="1" t="n">
        <v>44433</v>
      </c>
      <c r="C425" s="1" t="n">
        <v>45663</v>
      </c>
      <c r="D425" t="inlineStr">
        <is>
          <t>SÖDERMANLANDS LÄN</t>
        </is>
      </c>
      <c r="E425" t="inlineStr">
        <is>
          <t>KATRINEHOLM</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43569-2021</t>
        </is>
      </c>
      <c r="B426" s="1" t="n">
        <v>44433</v>
      </c>
      <c r="C426" s="1" t="n">
        <v>45663</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44024-2021</t>
        </is>
      </c>
      <c r="B427" s="1" t="n">
        <v>44434</v>
      </c>
      <c r="C427" s="1" t="n">
        <v>45663</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45130-2021</t>
        </is>
      </c>
      <c r="B428" s="1" t="n">
        <v>44439</v>
      </c>
      <c r="C428" s="1" t="n">
        <v>45663</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45147-2021</t>
        </is>
      </c>
      <c r="B429" s="1" t="n">
        <v>44439</v>
      </c>
      <c r="C429" s="1" t="n">
        <v>45663</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45142-2021</t>
        </is>
      </c>
      <c r="B430" s="1" t="n">
        <v>44439</v>
      </c>
      <c r="C430" s="1" t="n">
        <v>45663</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45435-2021</t>
        </is>
      </c>
      <c r="B431" s="1" t="n">
        <v>44440</v>
      </c>
      <c r="C431" s="1" t="n">
        <v>45663</v>
      </c>
      <c r="D431" t="inlineStr">
        <is>
          <t>SÖDERMANLANDS LÄN</t>
        </is>
      </c>
      <c r="E431" t="inlineStr">
        <is>
          <t>KATRINEHOLM</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45438-2021</t>
        </is>
      </c>
      <c r="B432" s="1" t="n">
        <v>44440</v>
      </c>
      <c r="C432" s="1" t="n">
        <v>45663</v>
      </c>
      <c r="D432" t="inlineStr">
        <is>
          <t>SÖDERMANLANDS LÄN</t>
        </is>
      </c>
      <c r="E432" t="inlineStr">
        <is>
          <t>KATRINEHOLM</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45785-2021</t>
        </is>
      </c>
      <c r="B433" s="1" t="n">
        <v>44441</v>
      </c>
      <c r="C433" s="1" t="n">
        <v>45663</v>
      </c>
      <c r="D433" t="inlineStr">
        <is>
          <t>SÖDERMANLANDS LÄN</t>
        </is>
      </c>
      <c r="E433" t="inlineStr">
        <is>
          <t>KATRINEHOLM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45914-2021</t>
        </is>
      </c>
      <c r="B434" s="1" t="n">
        <v>44441</v>
      </c>
      <c r="C434" s="1" t="n">
        <v>45663</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46011-2021</t>
        </is>
      </c>
      <c r="B435" s="1" t="n">
        <v>44441</v>
      </c>
      <c r="C435" s="1" t="n">
        <v>45663</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45921-2021</t>
        </is>
      </c>
      <c r="B436" s="1" t="n">
        <v>44441</v>
      </c>
      <c r="C436" s="1" t="n">
        <v>45663</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45663</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46640-2021</t>
        </is>
      </c>
      <c r="B438" s="1" t="n">
        <v>44445</v>
      </c>
      <c r="C438" s="1" t="n">
        <v>45663</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46584-2021</t>
        </is>
      </c>
      <c r="B439" s="1" t="n">
        <v>44445</v>
      </c>
      <c r="C439" s="1" t="n">
        <v>45663</v>
      </c>
      <c r="D439" t="inlineStr">
        <is>
          <t>SÖDERMANLANDS LÄN</t>
        </is>
      </c>
      <c r="E439" t="inlineStr">
        <is>
          <t>KATRINEHOLM</t>
        </is>
      </c>
      <c r="G439" t="n">
        <v>7.2</v>
      </c>
      <c r="H439" t="n">
        <v>0</v>
      </c>
      <c r="I439" t="n">
        <v>0</v>
      </c>
      <c r="J439" t="n">
        <v>0</v>
      </c>
      <c r="K439" t="n">
        <v>0</v>
      </c>
      <c r="L439" t="n">
        <v>0</v>
      </c>
      <c r="M439" t="n">
        <v>0</v>
      </c>
      <c r="N439" t="n">
        <v>0</v>
      </c>
      <c r="O439" t="n">
        <v>0</v>
      </c>
      <c r="P439" t="n">
        <v>0</v>
      </c>
      <c r="Q439" t="n">
        <v>0</v>
      </c>
      <c r="R439" s="2" t="inlineStr"/>
    </row>
    <row r="440" ht="15" customHeight="1">
      <c r="A440" t="inlineStr">
        <is>
          <t>A 46703-2021</t>
        </is>
      </c>
      <c r="B440" s="1" t="n">
        <v>44445</v>
      </c>
      <c r="C440" s="1" t="n">
        <v>45663</v>
      </c>
      <c r="D440" t="inlineStr">
        <is>
          <t>SÖDERMANLANDS LÄN</t>
        </is>
      </c>
      <c r="E440" t="inlineStr">
        <is>
          <t>KATRINEHOLM</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46723-2021</t>
        </is>
      </c>
      <c r="B441" s="1" t="n">
        <v>44445</v>
      </c>
      <c r="C441" s="1" t="n">
        <v>45663</v>
      </c>
      <c r="D441" t="inlineStr">
        <is>
          <t>SÖDERMANLANDS LÄN</t>
        </is>
      </c>
      <c r="E441" t="inlineStr">
        <is>
          <t>KATRINEHOLM</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45663</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52063-2021</t>
        </is>
      </c>
      <c r="B443" s="1" t="n">
        <v>44449</v>
      </c>
      <c r="C443" s="1" t="n">
        <v>45663</v>
      </c>
      <c r="D443" t="inlineStr">
        <is>
          <t>SÖDERMANLANDS LÄN</t>
        </is>
      </c>
      <c r="E443" t="inlineStr">
        <is>
          <t>KATRINEHOLM</t>
        </is>
      </c>
      <c r="G443" t="n">
        <v>0.3</v>
      </c>
      <c r="H443" t="n">
        <v>0</v>
      </c>
      <c r="I443" t="n">
        <v>0</v>
      </c>
      <c r="J443" t="n">
        <v>0</v>
      </c>
      <c r="K443" t="n">
        <v>0</v>
      </c>
      <c r="L443" t="n">
        <v>0</v>
      </c>
      <c r="M443" t="n">
        <v>0</v>
      </c>
      <c r="N443" t="n">
        <v>0</v>
      </c>
      <c r="O443" t="n">
        <v>0</v>
      </c>
      <c r="P443" t="n">
        <v>0</v>
      </c>
      <c r="Q443" t="n">
        <v>0</v>
      </c>
      <c r="R443" s="2" t="inlineStr"/>
    </row>
    <row r="444" ht="15" customHeight="1">
      <c r="A444" t="inlineStr">
        <is>
          <t>A 49677-2021</t>
        </is>
      </c>
      <c r="B444" s="1" t="n">
        <v>44455</v>
      </c>
      <c r="C444" s="1" t="n">
        <v>45663</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49784-2021</t>
        </is>
      </c>
      <c r="B445" s="1" t="n">
        <v>44455</v>
      </c>
      <c r="C445" s="1" t="n">
        <v>45663</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51128-2021</t>
        </is>
      </c>
      <c r="B446" s="1" t="n">
        <v>44460</v>
      </c>
      <c r="C446" s="1" t="n">
        <v>45663</v>
      </c>
      <c r="D446" t="inlineStr">
        <is>
          <t>SÖDERMANLANDS LÄN</t>
        </is>
      </c>
      <c r="E446" t="inlineStr">
        <is>
          <t>KATRINEHOLM</t>
        </is>
      </c>
      <c r="G446" t="n">
        <v>7.8</v>
      </c>
      <c r="H446" t="n">
        <v>0</v>
      </c>
      <c r="I446" t="n">
        <v>0</v>
      </c>
      <c r="J446" t="n">
        <v>0</v>
      </c>
      <c r="K446" t="n">
        <v>0</v>
      </c>
      <c r="L446" t="n">
        <v>0</v>
      </c>
      <c r="M446" t="n">
        <v>0</v>
      </c>
      <c r="N446" t="n">
        <v>0</v>
      </c>
      <c r="O446" t="n">
        <v>0</v>
      </c>
      <c r="P446" t="n">
        <v>0</v>
      </c>
      <c r="Q446" t="n">
        <v>0</v>
      </c>
      <c r="R446" s="2" t="inlineStr"/>
    </row>
    <row r="447" ht="15" customHeight="1">
      <c r="A447" t="inlineStr">
        <is>
          <t>A 51133-2021</t>
        </is>
      </c>
      <c r="B447" s="1" t="n">
        <v>44461</v>
      </c>
      <c r="C447" s="1" t="n">
        <v>45663</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51264-2021</t>
        </is>
      </c>
      <c r="B448" s="1" t="n">
        <v>44461</v>
      </c>
      <c r="C448" s="1" t="n">
        <v>45663</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51260-2021</t>
        </is>
      </c>
      <c r="B449" s="1" t="n">
        <v>44461</v>
      </c>
      <c r="C449" s="1" t="n">
        <v>45663</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51741-2021</t>
        </is>
      </c>
      <c r="B450" s="1" t="n">
        <v>44461</v>
      </c>
      <c r="C450" s="1" t="n">
        <v>45663</v>
      </c>
      <c r="D450" t="inlineStr">
        <is>
          <t>SÖDERMANLANDS LÄN</t>
        </is>
      </c>
      <c r="E450" t="inlineStr">
        <is>
          <t>KATRINEHOLM</t>
        </is>
      </c>
      <c r="G450" t="n">
        <v>4.9</v>
      </c>
      <c r="H450" t="n">
        <v>0</v>
      </c>
      <c r="I450" t="n">
        <v>0</v>
      </c>
      <c r="J450" t="n">
        <v>0</v>
      </c>
      <c r="K450" t="n">
        <v>0</v>
      </c>
      <c r="L450" t="n">
        <v>0</v>
      </c>
      <c r="M450" t="n">
        <v>0</v>
      </c>
      <c r="N450" t="n">
        <v>0</v>
      </c>
      <c r="O450" t="n">
        <v>0</v>
      </c>
      <c r="P450" t="n">
        <v>0</v>
      </c>
      <c r="Q450" t="n">
        <v>0</v>
      </c>
      <c r="R450" s="2" t="inlineStr"/>
    </row>
    <row r="451" ht="15" customHeight="1">
      <c r="A451" t="inlineStr">
        <is>
          <t>A 52044-2021</t>
        </is>
      </c>
      <c r="B451" s="1" t="n">
        <v>44463</v>
      </c>
      <c r="C451" s="1" t="n">
        <v>45663</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52348-2021</t>
        </is>
      </c>
      <c r="B452" s="1" t="n">
        <v>44464</v>
      </c>
      <c r="C452" s="1" t="n">
        <v>45663</v>
      </c>
      <c r="D452" t="inlineStr">
        <is>
          <t>SÖDERMANLANDS LÄN</t>
        </is>
      </c>
      <c r="E452" t="inlineStr">
        <is>
          <t>KATRINEHOLM</t>
        </is>
      </c>
      <c r="G452" t="n">
        <v>1.5</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45663</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53240-2021</t>
        </is>
      </c>
      <c r="B454" s="1" t="n">
        <v>44466</v>
      </c>
      <c r="C454" s="1" t="n">
        <v>45663</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61174-2021</t>
        </is>
      </c>
      <c r="B455" s="1" t="n">
        <v>44466</v>
      </c>
      <c r="C455" s="1" t="n">
        <v>45663</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53829-2021</t>
        </is>
      </c>
      <c r="B456" s="1" t="n">
        <v>44467</v>
      </c>
      <c r="C456" s="1" t="n">
        <v>45663</v>
      </c>
      <c r="D456" t="inlineStr">
        <is>
          <t>SÖDERMANLANDS LÄN</t>
        </is>
      </c>
      <c r="E456" t="inlineStr">
        <is>
          <t>KATRINEHOLM</t>
        </is>
      </c>
      <c r="G456" t="n">
        <v>4.5</v>
      </c>
      <c r="H456" t="n">
        <v>0</v>
      </c>
      <c r="I456" t="n">
        <v>0</v>
      </c>
      <c r="J456" t="n">
        <v>0</v>
      </c>
      <c r="K456" t="n">
        <v>0</v>
      </c>
      <c r="L456" t="n">
        <v>0</v>
      </c>
      <c r="M456" t="n">
        <v>0</v>
      </c>
      <c r="N456" t="n">
        <v>0</v>
      </c>
      <c r="O456" t="n">
        <v>0</v>
      </c>
      <c r="P456" t="n">
        <v>0</v>
      </c>
      <c r="Q456" t="n">
        <v>0</v>
      </c>
      <c r="R456" s="2" t="inlineStr"/>
    </row>
    <row r="457" ht="15" customHeight="1">
      <c r="A457" t="inlineStr">
        <is>
          <t>A 53823-2021</t>
        </is>
      </c>
      <c r="B457" s="1" t="n">
        <v>44467</v>
      </c>
      <c r="C457" s="1" t="n">
        <v>45663</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53860-2021</t>
        </is>
      </c>
      <c r="B458" s="1" t="n">
        <v>44467</v>
      </c>
      <c r="C458" s="1" t="n">
        <v>45663</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53809-2021</t>
        </is>
      </c>
      <c r="B459" s="1" t="n">
        <v>44467</v>
      </c>
      <c r="C459" s="1" t="n">
        <v>45663</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53846-2021</t>
        </is>
      </c>
      <c r="B460" s="1" t="n">
        <v>44467</v>
      </c>
      <c r="C460" s="1" t="n">
        <v>45663</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53349-2021</t>
        </is>
      </c>
      <c r="B461" s="1" t="n">
        <v>44468</v>
      </c>
      <c r="C461" s="1" t="n">
        <v>45663</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53473-2021</t>
        </is>
      </c>
      <c r="B462" s="1" t="n">
        <v>44468</v>
      </c>
      <c r="C462" s="1" t="n">
        <v>45663</v>
      </c>
      <c r="D462" t="inlineStr">
        <is>
          <t>SÖDERMANLANDS LÄN</t>
        </is>
      </c>
      <c r="E462" t="inlineStr">
        <is>
          <t>KATRINEHOLM</t>
        </is>
      </c>
      <c r="G462" t="n">
        <v>10.8</v>
      </c>
      <c r="H462" t="n">
        <v>0</v>
      </c>
      <c r="I462" t="n">
        <v>0</v>
      </c>
      <c r="J462" t="n">
        <v>0</v>
      </c>
      <c r="K462" t="n">
        <v>0</v>
      </c>
      <c r="L462" t="n">
        <v>0</v>
      </c>
      <c r="M462" t="n">
        <v>0</v>
      </c>
      <c r="N462" t="n">
        <v>0</v>
      </c>
      <c r="O462" t="n">
        <v>0</v>
      </c>
      <c r="P462" t="n">
        <v>0</v>
      </c>
      <c r="Q462" t="n">
        <v>0</v>
      </c>
      <c r="R462" s="2" t="inlineStr"/>
    </row>
    <row r="463" ht="15" customHeight="1">
      <c r="A463" t="inlineStr">
        <is>
          <t>A 54698-2021</t>
        </is>
      </c>
      <c r="B463" s="1" t="n">
        <v>44473</v>
      </c>
      <c r="C463" s="1" t="n">
        <v>45663</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54704-2021</t>
        </is>
      </c>
      <c r="B464" s="1" t="n">
        <v>44473</v>
      </c>
      <c r="C464" s="1" t="n">
        <v>45663</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55034-2021</t>
        </is>
      </c>
      <c r="B465" s="1" t="n">
        <v>44474</v>
      </c>
      <c r="C465" s="1" t="n">
        <v>45663</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55349-2021</t>
        </is>
      </c>
      <c r="B466" s="1" t="n">
        <v>44475</v>
      </c>
      <c r="C466" s="1" t="n">
        <v>45663</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55773-2021</t>
        </is>
      </c>
      <c r="B467" s="1" t="n">
        <v>44476</v>
      </c>
      <c r="C467" s="1" t="n">
        <v>45663</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55898-2021</t>
        </is>
      </c>
      <c r="B468" s="1" t="n">
        <v>44476</v>
      </c>
      <c r="C468" s="1" t="n">
        <v>45663</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56337-2021</t>
        </is>
      </c>
      <c r="B469" s="1" t="n">
        <v>44480</v>
      </c>
      <c r="C469" s="1" t="n">
        <v>45663</v>
      </c>
      <c r="D469" t="inlineStr">
        <is>
          <t>SÖDERMANLANDS LÄN</t>
        </is>
      </c>
      <c r="E469" t="inlineStr">
        <is>
          <t>KATRINEHOLM</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56572-2021</t>
        </is>
      </c>
      <c r="B470" s="1" t="n">
        <v>44480</v>
      </c>
      <c r="C470" s="1" t="n">
        <v>45663</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45663</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56712-2021</t>
        </is>
      </c>
      <c r="B472" s="1" t="n">
        <v>44480</v>
      </c>
      <c r="C472" s="1" t="n">
        <v>45663</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56661-2021</t>
        </is>
      </c>
      <c r="B473" s="1" t="n">
        <v>44481</v>
      </c>
      <c r="C473" s="1" t="n">
        <v>45663</v>
      </c>
      <c r="D473" t="inlineStr">
        <is>
          <t>SÖDERMANLANDS LÄN</t>
        </is>
      </c>
      <c r="E473" t="inlineStr">
        <is>
          <t>KATRINEHOLM</t>
        </is>
      </c>
      <c r="G473" t="n">
        <v>5.8</v>
      </c>
      <c r="H473" t="n">
        <v>0</v>
      </c>
      <c r="I473" t="n">
        <v>0</v>
      </c>
      <c r="J473" t="n">
        <v>0</v>
      </c>
      <c r="K473" t="n">
        <v>0</v>
      </c>
      <c r="L473" t="n">
        <v>0</v>
      </c>
      <c r="M473" t="n">
        <v>0</v>
      </c>
      <c r="N473" t="n">
        <v>0</v>
      </c>
      <c r="O473" t="n">
        <v>0</v>
      </c>
      <c r="P473" t="n">
        <v>0</v>
      </c>
      <c r="Q473" t="n">
        <v>0</v>
      </c>
      <c r="R473" s="2" t="inlineStr"/>
    </row>
    <row r="474" ht="15" customHeight="1">
      <c r="A474" t="inlineStr">
        <is>
          <t>A 57510-2021</t>
        </is>
      </c>
      <c r="B474" s="1" t="n">
        <v>44483</v>
      </c>
      <c r="C474" s="1" t="n">
        <v>45663</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57521-2021</t>
        </is>
      </c>
      <c r="B475" s="1" t="n">
        <v>44483</v>
      </c>
      <c r="C475" s="1" t="n">
        <v>45663</v>
      </c>
      <c r="D475" t="inlineStr">
        <is>
          <t>SÖDERMANLANDS LÄN</t>
        </is>
      </c>
      <c r="E475" t="inlineStr">
        <is>
          <t>KATRINEHOLM</t>
        </is>
      </c>
      <c r="G475" t="n">
        <v>6.5</v>
      </c>
      <c r="H475" t="n">
        <v>0</v>
      </c>
      <c r="I475" t="n">
        <v>0</v>
      </c>
      <c r="J475" t="n">
        <v>0</v>
      </c>
      <c r="K475" t="n">
        <v>0</v>
      </c>
      <c r="L475" t="n">
        <v>0</v>
      </c>
      <c r="M475" t="n">
        <v>0</v>
      </c>
      <c r="N475" t="n">
        <v>0</v>
      </c>
      <c r="O475" t="n">
        <v>0</v>
      </c>
      <c r="P475" t="n">
        <v>0</v>
      </c>
      <c r="Q475" t="n">
        <v>0</v>
      </c>
      <c r="R475" s="2" t="inlineStr"/>
    </row>
    <row r="476" ht="15" customHeight="1">
      <c r="A476" t="inlineStr">
        <is>
          <t>A 57524-2021</t>
        </is>
      </c>
      <c r="B476" s="1" t="n">
        <v>44483</v>
      </c>
      <c r="C476" s="1" t="n">
        <v>45663</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58473-2021</t>
        </is>
      </c>
      <c r="B477" s="1" t="n">
        <v>44488</v>
      </c>
      <c r="C477" s="1" t="n">
        <v>45663</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59212-2021</t>
        </is>
      </c>
      <c r="B478" s="1" t="n">
        <v>44490</v>
      </c>
      <c r="C478" s="1" t="n">
        <v>45663</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59474-2021</t>
        </is>
      </c>
      <c r="B479" s="1" t="n">
        <v>44491</v>
      </c>
      <c r="C479" s="1" t="n">
        <v>45663</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59477-2021</t>
        </is>
      </c>
      <c r="B480" s="1" t="n">
        <v>44491</v>
      </c>
      <c r="C480" s="1" t="n">
        <v>45663</v>
      </c>
      <c r="D480" t="inlineStr">
        <is>
          <t>SÖDERMANLANDS LÄN</t>
        </is>
      </c>
      <c r="E480" t="inlineStr">
        <is>
          <t>KATRINEHOLM</t>
        </is>
      </c>
      <c r="G480" t="n">
        <v>2.4</v>
      </c>
      <c r="H480" t="n">
        <v>0</v>
      </c>
      <c r="I480" t="n">
        <v>0</v>
      </c>
      <c r="J480" t="n">
        <v>0</v>
      </c>
      <c r="K480" t="n">
        <v>0</v>
      </c>
      <c r="L480" t="n">
        <v>0</v>
      </c>
      <c r="M480" t="n">
        <v>0</v>
      </c>
      <c r="N480" t="n">
        <v>0</v>
      </c>
      <c r="O480" t="n">
        <v>0</v>
      </c>
      <c r="P480" t="n">
        <v>0</v>
      </c>
      <c r="Q480" t="n">
        <v>0</v>
      </c>
      <c r="R480" s="2" t="inlineStr"/>
    </row>
    <row r="481" ht="15" customHeight="1">
      <c r="A481" t="inlineStr">
        <is>
          <t>A 60537-2021</t>
        </is>
      </c>
      <c r="B481" s="1" t="n">
        <v>44496</v>
      </c>
      <c r="C481" s="1" t="n">
        <v>45663</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60596-2021</t>
        </is>
      </c>
      <c r="B482" s="1" t="n">
        <v>44496</v>
      </c>
      <c r="C482" s="1" t="n">
        <v>45663</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60515-2021</t>
        </is>
      </c>
      <c r="B483" s="1" t="n">
        <v>44496</v>
      </c>
      <c r="C483" s="1" t="n">
        <v>45663</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60478-2021</t>
        </is>
      </c>
      <c r="B484" s="1" t="n">
        <v>44496</v>
      </c>
      <c r="C484" s="1" t="n">
        <v>45663</v>
      </c>
      <c r="D484" t="inlineStr">
        <is>
          <t>SÖDERMANLANDS LÄN</t>
        </is>
      </c>
      <c r="E484" t="inlineStr">
        <is>
          <t>KATRINEHOLM</t>
        </is>
      </c>
      <c r="G484" t="n">
        <v>1</v>
      </c>
      <c r="H484" t="n">
        <v>0</v>
      </c>
      <c r="I484" t="n">
        <v>0</v>
      </c>
      <c r="J484" t="n">
        <v>0</v>
      </c>
      <c r="K484" t="n">
        <v>0</v>
      </c>
      <c r="L484" t="n">
        <v>0</v>
      </c>
      <c r="M484" t="n">
        <v>0</v>
      </c>
      <c r="N484" t="n">
        <v>0</v>
      </c>
      <c r="O484" t="n">
        <v>0</v>
      </c>
      <c r="P484" t="n">
        <v>0</v>
      </c>
      <c r="Q484" t="n">
        <v>0</v>
      </c>
      <c r="R484" s="2" t="inlineStr"/>
    </row>
    <row r="485" ht="15" customHeight="1">
      <c r="A485" t="inlineStr">
        <is>
          <t>A 60501-2021</t>
        </is>
      </c>
      <c r="B485" s="1" t="n">
        <v>44496</v>
      </c>
      <c r="C485" s="1" t="n">
        <v>45663</v>
      </c>
      <c r="D485" t="inlineStr">
        <is>
          <t>SÖDERMANLANDS LÄN</t>
        </is>
      </c>
      <c r="E485" t="inlineStr">
        <is>
          <t>KATRINEHOLM</t>
        </is>
      </c>
      <c r="G485" t="n">
        <v>2.2</v>
      </c>
      <c r="H485" t="n">
        <v>0</v>
      </c>
      <c r="I485" t="n">
        <v>0</v>
      </c>
      <c r="J485" t="n">
        <v>0</v>
      </c>
      <c r="K485" t="n">
        <v>0</v>
      </c>
      <c r="L485" t="n">
        <v>0</v>
      </c>
      <c r="M485" t="n">
        <v>0</v>
      </c>
      <c r="N485" t="n">
        <v>0</v>
      </c>
      <c r="O485" t="n">
        <v>0</v>
      </c>
      <c r="P485" t="n">
        <v>0</v>
      </c>
      <c r="Q485" t="n">
        <v>0</v>
      </c>
      <c r="R485" s="2" t="inlineStr"/>
    </row>
    <row r="486" ht="15" customHeight="1">
      <c r="A486" t="inlineStr">
        <is>
          <t>A 61236-2021</t>
        </is>
      </c>
      <c r="B486" s="1" t="n">
        <v>44498</v>
      </c>
      <c r="C486" s="1" t="n">
        <v>45663</v>
      </c>
      <c r="D486" t="inlineStr">
        <is>
          <t>SÖDERMANLANDS LÄN</t>
        </is>
      </c>
      <c r="E486" t="inlineStr">
        <is>
          <t>KATRINEHOLM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61219-2021</t>
        </is>
      </c>
      <c r="B487" s="1" t="n">
        <v>44498</v>
      </c>
      <c r="C487" s="1" t="n">
        <v>45663</v>
      </c>
      <c r="D487" t="inlineStr">
        <is>
          <t>SÖDERMANLANDS LÄN</t>
        </is>
      </c>
      <c r="E487" t="inlineStr">
        <is>
          <t>KATRINEHOLM</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61915-2021</t>
        </is>
      </c>
      <c r="B488" s="1" t="n">
        <v>44502</v>
      </c>
      <c r="C488" s="1" t="n">
        <v>45663</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v>
      </c>
      <c r="C489" s="1" t="n">
        <v>45663</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62894-2021</t>
        </is>
      </c>
      <c r="B490" s="1" t="n">
        <v>44504</v>
      </c>
      <c r="C490" s="1" t="n">
        <v>45663</v>
      </c>
      <c r="D490" t="inlineStr">
        <is>
          <t>SÖDERMANLANDS LÄN</t>
        </is>
      </c>
      <c r="E490" t="inlineStr">
        <is>
          <t>KATRINEHOLM</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62912-2021</t>
        </is>
      </c>
      <c r="B491" s="1" t="n">
        <v>44504</v>
      </c>
      <c r="C491" s="1" t="n">
        <v>45663</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63188-2021</t>
        </is>
      </c>
      <c r="B492" s="1" t="n">
        <v>44507</v>
      </c>
      <c r="C492" s="1" t="n">
        <v>45663</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63473-2021</t>
        </is>
      </c>
      <c r="B493" s="1" t="n">
        <v>44508</v>
      </c>
      <c r="C493" s="1" t="n">
        <v>45663</v>
      </c>
      <c r="D493" t="inlineStr">
        <is>
          <t>SÖDERMANLANDS LÄN</t>
        </is>
      </c>
      <c r="E493" t="inlineStr">
        <is>
          <t>KATRINEHOLM</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63943-2021</t>
        </is>
      </c>
      <c r="B494" s="1" t="n">
        <v>44509</v>
      </c>
      <c r="C494" s="1" t="n">
        <v>45663</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63648-2021</t>
        </is>
      </c>
      <c r="B495" s="1" t="n">
        <v>44509</v>
      </c>
      <c r="C495" s="1" t="n">
        <v>45663</v>
      </c>
      <c r="D495" t="inlineStr">
        <is>
          <t>SÖDERMANLANDS LÄN</t>
        </is>
      </c>
      <c r="E495" t="inlineStr">
        <is>
          <t>KATRINEHOLM</t>
        </is>
      </c>
      <c r="G495" t="n">
        <v>1.1</v>
      </c>
      <c r="H495" t="n">
        <v>0</v>
      </c>
      <c r="I495" t="n">
        <v>0</v>
      </c>
      <c r="J495" t="n">
        <v>0</v>
      </c>
      <c r="K495" t="n">
        <v>0</v>
      </c>
      <c r="L495" t="n">
        <v>0</v>
      </c>
      <c r="M495" t="n">
        <v>0</v>
      </c>
      <c r="N495" t="n">
        <v>0</v>
      </c>
      <c r="O495" t="n">
        <v>0</v>
      </c>
      <c r="P495" t="n">
        <v>0</v>
      </c>
      <c r="Q495" t="n">
        <v>0</v>
      </c>
      <c r="R495" s="2" t="inlineStr"/>
    </row>
    <row r="496" ht="15" customHeight="1">
      <c r="A496" t="inlineStr">
        <is>
          <t>A 64261-2021</t>
        </is>
      </c>
      <c r="B496" s="1" t="n">
        <v>44510</v>
      </c>
      <c r="C496" s="1" t="n">
        <v>45663</v>
      </c>
      <c r="D496" t="inlineStr">
        <is>
          <t>SÖDERMANLANDS LÄN</t>
        </is>
      </c>
      <c r="E496" t="inlineStr">
        <is>
          <t>KATRINEHOLM</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65188-2021</t>
        </is>
      </c>
      <c r="B497" s="1" t="n">
        <v>44512</v>
      </c>
      <c r="C497" s="1" t="n">
        <v>45663</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65162-2021</t>
        </is>
      </c>
      <c r="B498" s="1" t="n">
        <v>44512</v>
      </c>
      <c r="C498" s="1" t="n">
        <v>45663</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65589-2021</t>
        </is>
      </c>
      <c r="B499" s="1" t="n">
        <v>44515</v>
      </c>
      <c r="C499" s="1" t="n">
        <v>45663</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66097-2021</t>
        </is>
      </c>
      <c r="B500" s="1" t="n">
        <v>44517</v>
      </c>
      <c r="C500" s="1" t="n">
        <v>45663</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66393-2021</t>
        </is>
      </c>
      <c r="B501" s="1" t="n">
        <v>44518</v>
      </c>
      <c r="C501" s="1" t="n">
        <v>45663</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66540-2021</t>
        </is>
      </c>
      <c r="B502" s="1" t="n">
        <v>44519</v>
      </c>
      <c r="C502" s="1" t="n">
        <v>45663</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66655-2021</t>
        </is>
      </c>
      <c r="B503" s="1" t="n">
        <v>44519</v>
      </c>
      <c r="C503" s="1" t="n">
        <v>45663</v>
      </c>
      <c r="D503" t="inlineStr">
        <is>
          <t>SÖDERMANLANDS LÄN</t>
        </is>
      </c>
      <c r="E503" t="inlineStr">
        <is>
          <t>KATRINEHOLM</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66801-2021</t>
        </is>
      </c>
      <c r="B504" s="1" t="n">
        <v>44522</v>
      </c>
      <c r="C504" s="1" t="n">
        <v>45663</v>
      </c>
      <c r="D504" t="inlineStr">
        <is>
          <t>SÖDERMANLANDS LÄN</t>
        </is>
      </c>
      <c r="E504" t="inlineStr">
        <is>
          <t>KATRINEHOLM</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67337-2021</t>
        </is>
      </c>
      <c r="B505" s="1" t="n">
        <v>44523</v>
      </c>
      <c r="C505" s="1" t="n">
        <v>45663</v>
      </c>
      <c r="D505" t="inlineStr">
        <is>
          <t>SÖDERMANLANDS LÄN</t>
        </is>
      </c>
      <c r="E505" t="inlineStr">
        <is>
          <t>KATRINEHOLM</t>
        </is>
      </c>
      <c r="G505" t="n">
        <v>5.2</v>
      </c>
      <c r="H505" t="n">
        <v>0</v>
      </c>
      <c r="I505" t="n">
        <v>0</v>
      </c>
      <c r="J505" t="n">
        <v>0</v>
      </c>
      <c r="K505" t="n">
        <v>0</v>
      </c>
      <c r="L505" t="n">
        <v>0</v>
      </c>
      <c r="M505" t="n">
        <v>0</v>
      </c>
      <c r="N505" t="n">
        <v>0</v>
      </c>
      <c r="O505" t="n">
        <v>0</v>
      </c>
      <c r="P505" t="n">
        <v>0</v>
      </c>
      <c r="Q505" t="n">
        <v>0</v>
      </c>
      <c r="R505" s="2" t="inlineStr"/>
    </row>
    <row r="506" ht="15" customHeight="1">
      <c r="A506" t="inlineStr">
        <is>
          <t>A 67351-2021</t>
        </is>
      </c>
      <c r="B506" s="1" t="n">
        <v>44523</v>
      </c>
      <c r="C506" s="1" t="n">
        <v>45663</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68206-2021</t>
        </is>
      </c>
      <c r="B507" s="1" t="n">
        <v>44526</v>
      </c>
      <c r="C507" s="1" t="n">
        <v>45663</v>
      </c>
      <c r="D507" t="inlineStr">
        <is>
          <t>SÖDERMANLANDS LÄN</t>
        </is>
      </c>
      <c r="E507" t="inlineStr">
        <is>
          <t>KATRINEHOLM</t>
        </is>
      </c>
      <c r="G507" t="n">
        <v>2.9</v>
      </c>
      <c r="H507" t="n">
        <v>0</v>
      </c>
      <c r="I507" t="n">
        <v>0</v>
      </c>
      <c r="J507" t="n">
        <v>0</v>
      </c>
      <c r="K507" t="n">
        <v>0</v>
      </c>
      <c r="L507" t="n">
        <v>0</v>
      </c>
      <c r="M507" t="n">
        <v>0</v>
      </c>
      <c r="N507" t="n">
        <v>0</v>
      </c>
      <c r="O507" t="n">
        <v>0</v>
      </c>
      <c r="P507" t="n">
        <v>0</v>
      </c>
      <c r="Q507" t="n">
        <v>0</v>
      </c>
      <c r="R507" s="2" t="inlineStr"/>
    </row>
    <row r="508" ht="15" customHeight="1">
      <c r="A508" t="inlineStr">
        <is>
          <t>A 69117-2021</t>
        </is>
      </c>
      <c r="B508" s="1" t="n">
        <v>44530</v>
      </c>
      <c r="C508" s="1" t="n">
        <v>45663</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69429-2021</t>
        </is>
      </c>
      <c r="B509" s="1" t="n">
        <v>44531</v>
      </c>
      <c r="C509" s="1" t="n">
        <v>45663</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70422-2021</t>
        </is>
      </c>
      <c r="B510" s="1" t="n">
        <v>44536</v>
      </c>
      <c r="C510" s="1" t="n">
        <v>45663</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45663</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71129-2021</t>
        </is>
      </c>
      <c r="B512" s="1" t="n">
        <v>44539</v>
      </c>
      <c r="C512" s="1" t="n">
        <v>45663</v>
      </c>
      <c r="D512" t="inlineStr">
        <is>
          <t>SÖDERMANLANDS LÄN</t>
        </is>
      </c>
      <c r="E512" t="inlineStr">
        <is>
          <t>KATRINEHOLM</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71177-2021</t>
        </is>
      </c>
      <c r="B513" s="1" t="n">
        <v>44539</v>
      </c>
      <c r="C513" s="1" t="n">
        <v>45663</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72822-2021</t>
        </is>
      </c>
      <c r="B514" s="1" t="n">
        <v>44546</v>
      </c>
      <c r="C514" s="1" t="n">
        <v>45663</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45663</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73142-2021</t>
        </is>
      </c>
      <c r="B516" s="1" t="n">
        <v>44550</v>
      </c>
      <c r="C516" s="1" t="n">
        <v>45663</v>
      </c>
      <c r="D516" t="inlineStr">
        <is>
          <t>SÖDERMANLANDS LÄN</t>
        </is>
      </c>
      <c r="E516" t="inlineStr">
        <is>
          <t>KATRINEHOLM</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73412-2021</t>
        </is>
      </c>
      <c r="B517" s="1" t="n">
        <v>44551</v>
      </c>
      <c r="C517" s="1" t="n">
        <v>45663</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73361-2021</t>
        </is>
      </c>
      <c r="B518" s="1" t="n">
        <v>44551</v>
      </c>
      <c r="C518" s="1" t="n">
        <v>45663</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73407-2021</t>
        </is>
      </c>
      <c r="B519" s="1" t="n">
        <v>44551</v>
      </c>
      <c r="C519" s="1" t="n">
        <v>45663</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73415-2021</t>
        </is>
      </c>
      <c r="B520" s="1" t="n">
        <v>44551</v>
      </c>
      <c r="C520" s="1" t="n">
        <v>45663</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73409-2021</t>
        </is>
      </c>
      <c r="B521" s="1" t="n">
        <v>44551</v>
      </c>
      <c r="C521" s="1" t="n">
        <v>45663</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73929-2021</t>
        </is>
      </c>
      <c r="B522" s="1" t="n">
        <v>44553</v>
      </c>
      <c r="C522" s="1" t="n">
        <v>45663</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73987-2021</t>
        </is>
      </c>
      <c r="B523" s="1" t="n">
        <v>44556</v>
      </c>
      <c r="C523" s="1" t="n">
        <v>45663</v>
      </c>
      <c r="D523" t="inlineStr">
        <is>
          <t>SÖDERMANLANDS LÄN</t>
        </is>
      </c>
      <c r="E523" t="inlineStr">
        <is>
          <t>KATRINEHOLM</t>
        </is>
      </c>
      <c r="G523" t="n">
        <v>10.2</v>
      </c>
      <c r="H523" t="n">
        <v>0</v>
      </c>
      <c r="I523" t="n">
        <v>0</v>
      </c>
      <c r="J523" t="n">
        <v>0</v>
      </c>
      <c r="K523" t="n">
        <v>0</v>
      </c>
      <c r="L523" t="n">
        <v>0</v>
      </c>
      <c r="M523" t="n">
        <v>0</v>
      </c>
      <c r="N523" t="n">
        <v>0</v>
      </c>
      <c r="O523" t="n">
        <v>0</v>
      </c>
      <c r="P523" t="n">
        <v>0</v>
      </c>
      <c r="Q523" t="n">
        <v>0</v>
      </c>
      <c r="R523" s="2" t="inlineStr"/>
    </row>
    <row r="524" ht="15" customHeight="1">
      <c r="A524" t="inlineStr">
        <is>
          <t>A 250-2022</t>
        </is>
      </c>
      <c r="B524" s="1" t="n">
        <v>44565</v>
      </c>
      <c r="C524" s="1" t="n">
        <v>45663</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272-2022</t>
        </is>
      </c>
      <c r="B525" s="1" t="n">
        <v>44565</v>
      </c>
      <c r="C525" s="1" t="n">
        <v>45663</v>
      </c>
      <c r="D525" t="inlineStr">
        <is>
          <t>SÖDERMANLANDS LÄN</t>
        </is>
      </c>
      <c r="E525" t="inlineStr">
        <is>
          <t>KATRINEHOLM</t>
        </is>
      </c>
      <c r="G525" t="n">
        <v>5.7</v>
      </c>
      <c r="H525" t="n">
        <v>0</v>
      </c>
      <c r="I525" t="n">
        <v>0</v>
      </c>
      <c r="J525" t="n">
        <v>0</v>
      </c>
      <c r="K525" t="n">
        <v>0</v>
      </c>
      <c r="L525" t="n">
        <v>0</v>
      </c>
      <c r="M525" t="n">
        <v>0</v>
      </c>
      <c r="N525" t="n">
        <v>0</v>
      </c>
      <c r="O525" t="n">
        <v>0</v>
      </c>
      <c r="P525" t="n">
        <v>0</v>
      </c>
      <c r="Q525" t="n">
        <v>0</v>
      </c>
      <c r="R525" s="2" t="inlineStr"/>
    </row>
    <row r="526" ht="15" customHeight="1">
      <c r="A526" t="inlineStr">
        <is>
          <t>A 398-2022</t>
        </is>
      </c>
      <c r="B526" s="1" t="n">
        <v>44565</v>
      </c>
      <c r="C526" s="1" t="n">
        <v>45663</v>
      </c>
      <c r="D526" t="inlineStr">
        <is>
          <t>SÖDERMANLANDS LÄN</t>
        </is>
      </c>
      <c r="E526" t="inlineStr">
        <is>
          <t>KATRINEHOLM</t>
        </is>
      </c>
      <c r="G526" t="n">
        <v>6.2</v>
      </c>
      <c r="H526" t="n">
        <v>0</v>
      </c>
      <c r="I526" t="n">
        <v>0</v>
      </c>
      <c r="J526" t="n">
        <v>0</v>
      </c>
      <c r="K526" t="n">
        <v>0</v>
      </c>
      <c r="L526" t="n">
        <v>0</v>
      </c>
      <c r="M526" t="n">
        <v>0</v>
      </c>
      <c r="N526" t="n">
        <v>0</v>
      </c>
      <c r="O526" t="n">
        <v>0</v>
      </c>
      <c r="P526" t="n">
        <v>0</v>
      </c>
      <c r="Q526" t="n">
        <v>0</v>
      </c>
      <c r="R526" s="2" t="inlineStr"/>
    </row>
    <row r="527" ht="15" customHeight="1">
      <c r="A527" t="inlineStr">
        <is>
          <t>A 912-2022</t>
        </is>
      </c>
      <c r="B527" s="1" t="n">
        <v>44571</v>
      </c>
      <c r="C527" s="1" t="n">
        <v>45663</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1701-2022</t>
        </is>
      </c>
      <c r="B528" s="1" t="n">
        <v>44574</v>
      </c>
      <c r="C528" s="1" t="n">
        <v>45663</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1721-2022</t>
        </is>
      </c>
      <c r="B529" s="1" t="n">
        <v>44574</v>
      </c>
      <c r="C529" s="1" t="n">
        <v>45663</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2289-2022</t>
        </is>
      </c>
      <c r="B530" s="1" t="n">
        <v>44578</v>
      </c>
      <c r="C530" s="1" t="n">
        <v>45663</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2636-2022</t>
        </is>
      </c>
      <c r="B531" s="1" t="n">
        <v>44580</v>
      </c>
      <c r="C531" s="1" t="n">
        <v>45663</v>
      </c>
      <c r="D531" t="inlineStr">
        <is>
          <t>SÖDERMANLANDS LÄN</t>
        </is>
      </c>
      <c r="E531" t="inlineStr">
        <is>
          <t>KATRINEHOLM</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2877-2022</t>
        </is>
      </c>
      <c r="B532" s="1" t="n">
        <v>44581</v>
      </c>
      <c r="C532" s="1" t="n">
        <v>45663</v>
      </c>
      <c r="D532" t="inlineStr">
        <is>
          <t>SÖDERMANLANDS LÄN</t>
        </is>
      </c>
      <c r="E532" t="inlineStr">
        <is>
          <t>KATRINEHOLM</t>
        </is>
      </c>
      <c r="G532" t="n">
        <v>10.3</v>
      </c>
      <c r="H532" t="n">
        <v>0</v>
      </c>
      <c r="I532" t="n">
        <v>0</v>
      </c>
      <c r="J532" t="n">
        <v>0</v>
      </c>
      <c r="K532" t="n">
        <v>0</v>
      </c>
      <c r="L532" t="n">
        <v>0</v>
      </c>
      <c r="M532" t="n">
        <v>0</v>
      </c>
      <c r="N532" t="n">
        <v>0</v>
      </c>
      <c r="O532" t="n">
        <v>0</v>
      </c>
      <c r="P532" t="n">
        <v>0</v>
      </c>
      <c r="Q532" t="n">
        <v>0</v>
      </c>
      <c r="R532" s="2" t="inlineStr"/>
    </row>
    <row r="533" ht="15" customHeight="1">
      <c r="A533" t="inlineStr">
        <is>
          <t>A 2884-2022</t>
        </is>
      </c>
      <c r="B533" s="1" t="n">
        <v>44581</v>
      </c>
      <c r="C533" s="1" t="n">
        <v>45663</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3060-2022</t>
        </is>
      </c>
      <c r="B534" s="1" t="n">
        <v>44582</v>
      </c>
      <c r="C534" s="1" t="n">
        <v>45663</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45663</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3572-2022</t>
        </is>
      </c>
      <c r="B536" s="1" t="n">
        <v>44585</v>
      </c>
      <c r="C536" s="1" t="n">
        <v>45663</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3939-2022</t>
        </is>
      </c>
      <c r="B537" s="1" t="n">
        <v>44587</v>
      </c>
      <c r="C537" s="1" t="n">
        <v>45663</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5547-2022</t>
        </is>
      </c>
      <c r="B538" s="1" t="n">
        <v>44595</v>
      </c>
      <c r="C538" s="1" t="n">
        <v>45663</v>
      </c>
      <c r="D538" t="inlineStr">
        <is>
          <t>SÖDERMANLANDS LÄN</t>
        </is>
      </c>
      <c r="E538" t="inlineStr">
        <is>
          <t>KATRINEHOLM</t>
        </is>
      </c>
      <c r="G538" t="n">
        <v>6.8</v>
      </c>
      <c r="H538" t="n">
        <v>0</v>
      </c>
      <c r="I538" t="n">
        <v>0</v>
      </c>
      <c r="J538" t="n">
        <v>0</v>
      </c>
      <c r="K538" t="n">
        <v>0</v>
      </c>
      <c r="L538" t="n">
        <v>0</v>
      </c>
      <c r="M538" t="n">
        <v>0</v>
      </c>
      <c r="N538" t="n">
        <v>0</v>
      </c>
      <c r="O538" t="n">
        <v>0</v>
      </c>
      <c r="P538" t="n">
        <v>0</v>
      </c>
      <c r="Q538" t="n">
        <v>0</v>
      </c>
      <c r="R538" s="2" t="inlineStr"/>
    </row>
    <row r="539" ht="15" customHeight="1">
      <c r="A539" t="inlineStr">
        <is>
          <t>A 5790-2022</t>
        </is>
      </c>
      <c r="B539" s="1" t="n">
        <v>44596</v>
      </c>
      <c r="C539" s="1" t="n">
        <v>45663</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5788-2022</t>
        </is>
      </c>
      <c r="B540" s="1" t="n">
        <v>44596</v>
      </c>
      <c r="C540" s="1" t="n">
        <v>45663</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45663</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6087-2022</t>
        </is>
      </c>
      <c r="B542" s="1" t="n">
        <v>44599</v>
      </c>
      <c r="C542" s="1" t="n">
        <v>45663</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6145-2022</t>
        </is>
      </c>
      <c r="B543" s="1" t="n">
        <v>44599</v>
      </c>
      <c r="C543" s="1" t="n">
        <v>45663</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45663</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6499-2022</t>
        </is>
      </c>
      <c r="B545" s="1" t="n">
        <v>44601</v>
      </c>
      <c r="C545" s="1" t="n">
        <v>45663</v>
      </c>
      <c r="D545" t="inlineStr">
        <is>
          <t>SÖDERMANLANDS LÄN</t>
        </is>
      </c>
      <c r="E545" t="inlineStr">
        <is>
          <t>KATRINEHOLM</t>
        </is>
      </c>
      <c r="F545" t="inlineStr">
        <is>
          <t>Kyrkan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6531-2022</t>
        </is>
      </c>
      <c r="B546" s="1" t="n">
        <v>44601</v>
      </c>
      <c r="C546" s="1" t="n">
        <v>45663</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6533-2022</t>
        </is>
      </c>
      <c r="B547" s="1" t="n">
        <v>44601</v>
      </c>
      <c r="C547" s="1" t="n">
        <v>45663</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6628-2022</t>
        </is>
      </c>
      <c r="B548" s="1" t="n">
        <v>44601</v>
      </c>
      <c r="C548" s="1" t="n">
        <v>45663</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45663</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6746-2022</t>
        </is>
      </c>
      <c r="B550" s="1" t="n">
        <v>44602</v>
      </c>
      <c r="C550" s="1" t="n">
        <v>45663</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6753-2022</t>
        </is>
      </c>
      <c r="B551" s="1" t="n">
        <v>44602</v>
      </c>
      <c r="C551" s="1" t="n">
        <v>45663</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6763-2022</t>
        </is>
      </c>
      <c r="B552" s="1" t="n">
        <v>44602</v>
      </c>
      <c r="C552" s="1" t="n">
        <v>45663</v>
      </c>
      <c r="D552" t="inlineStr">
        <is>
          <t>SÖDERMANLANDS LÄN</t>
        </is>
      </c>
      <c r="E552" t="inlineStr">
        <is>
          <t>KATRINEHOLM</t>
        </is>
      </c>
      <c r="G552" t="n">
        <v>6.7</v>
      </c>
      <c r="H552" t="n">
        <v>0</v>
      </c>
      <c r="I552" t="n">
        <v>0</v>
      </c>
      <c r="J552" t="n">
        <v>0</v>
      </c>
      <c r="K552" t="n">
        <v>0</v>
      </c>
      <c r="L552" t="n">
        <v>0</v>
      </c>
      <c r="M552" t="n">
        <v>0</v>
      </c>
      <c r="N552" t="n">
        <v>0</v>
      </c>
      <c r="O552" t="n">
        <v>0</v>
      </c>
      <c r="P552" t="n">
        <v>0</v>
      </c>
      <c r="Q552" t="n">
        <v>0</v>
      </c>
      <c r="R552" s="2" t="inlineStr"/>
    </row>
    <row r="553" ht="15" customHeight="1">
      <c r="A553" t="inlineStr">
        <is>
          <t>A 6203-2022</t>
        </is>
      </c>
      <c r="B553" s="1" t="n">
        <v>44602</v>
      </c>
      <c r="C553" s="1" t="n">
        <v>45663</v>
      </c>
      <c r="D553" t="inlineStr">
        <is>
          <t>SÖDERMANLANDS LÄN</t>
        </is>
      </c>
      <c r="E553" t="inlineStr">
        <is>
          <t>KATRINEHOLM</t>
        </is>
      </c>
      <c r="G553" t="n">
        <v>11.5</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45663</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6789-2022</t>
        </is>
      </c>
      <c r="B555" s="1" t="n">
        <v>44602</v>
      </c>
      <c r="C555" s="1" t="n">
        <v>45663</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6695-2022</t>
        </is>
      </c>
      <c r="B556" s="1" t="n">
        <v>44602</v>
      </c>
      <c r="C556" s="1" t="n">
        <v>45663</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6765-2022</t>
        </is>
      </c>
      <c r="B557" s="1" t="n">
        <v>44602</v>
      </c>
      <c r="C557" s="1" t="n">
        <v>45663</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6796-2022</t>
        </is>
      </c>
      <c r="B558" s="1" t="n">
        <v>44602</v>
      </c>
      <c r="C558" s="1" t="n">
        <v>45663</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6826-2022</t>
        </is>
      </c>
      <c r="B559" s="1" t="n">
        <v>44602</v>
      </c>
      <c r="C559" s="1" t="n">
        <v>45663</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9044-2022</t>
        </is>
      </c>
      <c r="B560" s="1" t="n">
        <v>44602</v>
      </c>
      <c r="C560" s="1" t="n">
        <v>45663</v>
      </c>
      <c r="D560" t="inlineStr">
        <is>
          <t>SÖDERMANLANDS LÄN</t>
        </is>
      </c>
      <c r="E560" t="inlineStr">
        <is>
          <t>KATRINEHOLM</t>
        </is>
      </c>
      <c r="G560" t="n">
        <v>5.8</v>
      </c>
      <c r="H560" t="n">
        <v>0</v>
      </c>
      <c r="I560" t="n">
        <v>0</v>
      </c>
      <c r="J560" t="n">
        <v>0</v>
      </c>
      <c r="K560" t="n">
        <v>0</v>
      </c>
      <c r="L560" t="n">
        <v>0</v>
      </c>
      <c r="M560" t="n">
        <v>0</v>
      </c>
      <c r="N560" t="n">
        <v>0</v>
      </c>
      <c r="O560" t="n">
        <v>0</v>
      </c>
      <c r="P560" t="n">
        <v>0</v>
      </c>
      <c r="Q560" t="n">
        <v>0</v>
      </c>
      <c r="R560" s="2" t="inlineStr"/>
    </row>
    <row r="561" ht="15" customHeight="1">
      <c r="A561" t="inlineStr">
        <is>
          <t>A 7056-2022</t>
        </is>
      </c>
      <c r="B561" s="1" t="n">
        <v>44603</v>
      </c>
      <c r="C561" s="1" t="n">
        <v>45663</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7223-2022</t>
        </is>
      </c>
      <c r="B562" s="1" t="n">
        <v>44603</v>
      </c>
      <c r="C562" s="1" t="n">
        <v>45663</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7189-2022</t>
        </is>
      </c>
      <c r="B563" s="1" t="n">
        <v>44605</v>
      </c>
      <c r="C563" s="1" t="n">
        <v>45663</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7550-2022</t>
        </is>
      </c>
      <c r="B564" s="1" t="n">
        <v>44607</v>
      </c>
      <c r="C564" s="1" t="n">
        <v>45663</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7459-2022</t>
        </is>
      </c>
      <c r="B565" s="1" t="n">
        <v>44607</v>
      </c>
      <c r="C565" s="1" t="n">
        <v>45663</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7929-2022</t>
        </is>
      </c>
      <c r="B566" s="1" t="n">
        <v>44608</v>
      </c>
      <c r="C566" s="1" t="n">
        <v>45663</v>
      </c>
      <c r="D566" t="inlineStr">
        <is>
          <t>SÖDERMANLANDS LÄN</t>
        </is>
      </c>
      <c r="E566" t="inlineStr">
        <is>
          <t>KATRINEHOLM</t>
        </is>
      </c>
      <c r="G566" t="n">
        <v>0.9</v>
      </c>
      <c r="H566" t="n">
        <v>0</v>
      </c>
      <c r="I566" t="n">
        <v>0</v>
      </c>
      <c r="J566" t="n">
        <v>0</v>
      </c>
      <c r="K566" t="n">
        <v>0</v>
      </c>
      <c r="L566" t="n">
        <v>0</v>
      </c>
      <c r="M566" t="n">
        <v>0</v>
      </c>
      <c r="N566" t="n">
        <v>0</v>
      </c>
      <c r="O566" t="n">
        <v>0</v>
      </c>
      <c r="P566" t="n">
        <v>0</v>
      </c>
      <c r="Q566" t="n">
        <v>0</v>
      </c>
      <c r="R566" s="2" t="inlineStr"/>
    </row>
    <row r="567" ht="15" customHeight="1">
      <c r="A567" t="inlineStr">
        <is>
          <t>A 8087-2022</t>
        </is>
      </c>
      <c r="B567" s="1" t="n">
        <v>44609</v>
      </c>
      <c r="C567" s="1" t="n">
        <v>45663</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9190-2022</t>
        </is>
      </c>
      <c r="B568" s="1" t="n">
        <v>44615</v>
      </c>
      <c r="C568" s="1" t="n">
        <v>45663</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9188-2022</t>
        </is>
      </c>
      <c r="B569" s="1" t="n">
        <v>44615</v>
      </c>
      <c r="C569" s="1" t="n">
        <v>45663</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9419-2022</t>
        </is>
      </c>
      <c r="B570" s="1" t="n">
        <v>44616</v>
      </c>
      <c r="C570" s="1" t="n">
        <v>45663</v>
      </c>
      <c r="D570" t="inlineStr">
        <is>
          <t>SÖDERMANLANDS LÄN</t>
        </is>
      </c>
      <c r="E570" t="inlineStr">
        <is>
          <t>KATRINEHOLM</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9228-2022</t>
        </is>
      </c>
      <c r="B571" s="1" t="n">
        <v>44616</v>
      </c>
      <c r="C571" s="1" t="n">
        <v>45663</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v>
      </c>
      <c r="C572" s="1" t="n">
        <v>45663</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9786-2022</t>
        </is>
      </c>
      <c r="B573" s="1" t="n">
        <v>44619</v>
      </c>
      <c r="C573" s="1" t="n">
        <v>45663</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45663</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10341-2022</t>
        </is>
      </c>
      <c r="B575" s="1" t="n">
        <v>44623</v>
      </c>
      <c r="C575" s="1" t="n">
        <v>45663</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10388-2022</t>
        </is>
      </c>
      <c r="B576" s="1" t="n">
        <v>44623</v>
      </c>
      <c r="C576" s="1" t="n">
        <v>45663</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10732-2022</t>
        </is>
      </c>
      <c r="B577" s="1" t="n">
        <v>44627</v>
      </c>
      <c r="C577" s="1" t="n">
        <v>45663</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10996-2022</t>
        </is>
      </c>
      <c r="B578" s="1" t="n">
        <v>44628</v>
      </c>
      <c r="C578" s="1" t="n">
        <v>45663</v>
      </c>
      <c r="D578" t="inlineStr">
        <is>
          <t>SÖDERMANLANDS LÄN</t>
        </is>
      </c>
      <c r="E578" t="inlineStr">
        <is>
          <t>KATRINEHOLM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11024-2022</t>
        </is>
      </c>
      <c r="B579" s="1" t="n">
        <v>44628</v>
      </c>
      <c r="C579" s="1" t="n">
        <v>45663</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12633-2022</t>
        </is>
      </c>
      <c r="B580" s="1" t="n">
        <v>44638</v>
      </c>
      <c r="C580" s="1" t="n">
        <v>45663</v>
      </c>
      <c r="D580" t="inlineStr">
        <is>
          <t>SÖDERMANLANDS LÄN</t>
        </is>
      </c>
      <c r="E580" t="inlineStr">
        <is>
          <t>KATRINEHOLM</t>
        </is>
      </c>
      <c r="G580" t="n">
        <v>6.4</v>
      </c>
      <c r="H580" t="n">
        <v>0</v>
      </c>
      <c r="I580" t="n">
        <v>0</v>
      </c>
      <c r="J580" t="n">
        <v>0</v>
      </c>
      <c r="K580" t="n">
        <v>0</v>
      </c>
      <c r="L580" t="n">
        <v>0</v>
      </c>
      <c r="M580" t="n">
        <v>0</v>
      </c>
      <c r="N580" t="n">
        <v>0</v>
      </c>
      <c r="O580" t="n">
        <v>0</v>
      </c>
      <c r="P580" t="n">
        <v>0</v>
      </c>
      <c r="Q580" t="n">
        <v>0</v>
      </c>
      <c r="R580" s="2" t="inlineStr"/>
    </row>
    <row r="581" ht="15" customHeight="1">
      <c r="A581" t="inlineStr">
        <is>
          <t>A 12658-2022</t>
        </is>
      </c>
      <c r="B581" s="1" t="n">
        <v>44641</v>
      </c>
      <c r="C581" s="1" t="n">
        <v>45663</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12975-2022</t>
        </is>
      </c>
      <c r="B582" s="1" t="n">
        <v>44643</v>
      </c>
      <c r="C582" s="1" t="n">
        <v>45663</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13198-2022</t>
        </is>
      </c>
      <c r="B583" s="1" t="n">
        <v>44644</v>
      </c>
      <c r="C583" s="1" t="n">
        <v>45663</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13860-2022</t>
        </is>
      </c>
      <c r="B584" s="1" t="n">
        <v>44649</v>
      </c>
      <c r="C584" s="1" t="n">
        <v>45663</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13959-2022</t>
        </is>
      </c>
      <c r="B585" s="1" t="n">
        <v>44650</v>
      </c>
      <c r="C585" s="1" t="n">
        <v>45663</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15108-2022</t>
        </is>
      </c>
      <c r="B586" s="1" t="n">
        <v>44658</v>
      </c>
      <c r="C586" s="1" t="n">
        <v>45663</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15399-2022</t>
        </is>
      </c>
      <c r="B587" s="1" t="n">
        <v>44659</v>
      </c>
      <c r="C587" s="1" t="n">
        <v>45663</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15898-2022</t>
        </is>
      </c>
      <c r="B588" s="1" t="n">
        <v>44664</v>
      </c>
      <c r="C588" s="1" t="n">
        <v>45663</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15910-2022</t>
        </is>
      </c>
      <c r="B589" s="1" t="n">
        <v>44664</v>
      </c>
      <c r="C589" s="1" t="n">
        <v>45663</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17276-2022</t>
        </is>
      </c>
      <c r="B590" s="1" t="n">
        <v>44678</v>
      </c>
      <c r="C590" s="1" t="n">
        <v>45663</v>
      </c>
      <c r="D590" t="inlineStr">
        <is>
          <t>SÖDERMANLANDS LÄN</t>
        </is>
      </c>
      <c r="E590" t="inlineStr">
        <is>
          <t>KATRINEHOLM</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45663</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17800-2022</t>
        </is>
      </c>
      <c r="B592" s="1" t="n">
        <v>44683</v>
      </c>
      <c r="C592" s="1" t="n">
        <v>45663</v>
      </c>
      <c r="D592" t="inlineStr">
        <is>
          <t>SÖDERMANLANDS LÄN</t>
        </is>
      </c>
      <c r="E592" t="inlineStr">
        <is>
          <t>KATRINEHOLM</t>
        </is>
      </c>
      <c r="G592" t="n">
        <v>8.1</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v>
      </c>
      <c r="C593" s="1" t="n">
        <v>45663</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19107-2022</t>
        </is>
      </c>
      <c r="B594" s="1" t="n">
        <v>44691</v>
      </c>
      <c r="C594" s="1" t="n">
        <v>45663</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19479-2022</t>
        </is>
      </c>
      <c r="B595" s="1" t="n">
        <v>44693</v>
      </c>
      <c r="C595" s="1" t="n">
        <v>45663</v>
      </c>
      <c r="D595" t="inlineStr">
        <is>
          <t>SÖDERMANLANDS LÄN</t>
        </is>
      </c>
      <c r="E595" t="inlineStr">
        <is>
          <t>KATRINEHOLM</t>
        </is>
      </c>
      <c r="G595" t="n">
        <v>6.2</v>
      </c>
      <c r="H595" t="n">
        <v>0</v>
      </c>
      <c r="I595" t="n">
        <v>0</v>
      </c>
      <c r="J595" t="n">
        <v>0</v>
      </c>
      <c r="K595" t="n">
        <v>0</v>
      </c>
      <c r="L595" t="n">
        <v>0</v>
      </c>
      <c r="M595" t="n">
        <v>0</v>
      </c>
      <c r="N595" t="n">
        <v>0</v>
      </c>
      <c r="O595" t="n">
        <v>0</v>
      </c>
      <c r="P595" t="n">
        <v>0</v>
      </c>
      <c r="Q595" t="n">
        <v>0</v>
      </c>
      <c r="R595" s="2" t="inlineStr"/>
    </row>
    <row r="596" ht="15" customHeight="1">
      <c r="A596" t="inlineStr">
        <is>
          <t>A 19685-2022</t>
        </is>
      </c>
      <c r="B596" s="1" t="n">
        <v>44694</v>
      </c>
      <c r="C596" s="1" t="n">
        <v>45663</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45663</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19868-2022</t>
        </is>
      </c>
      <c r="B598" s="1" t="n">
        <v>44696</v>
      </c>
      <c r="C598" s="1" t="n">
        <v>45663</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19912-2022</t>
        </is>
      </c>
      <c r="B599" s="1" t="n">
        <v>44697</v>
      </c>
      <c r="C599" s="1" t="n">
        <v>45663</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20485-2022</t>
        </is>
      </c>
      <c r="B600" s="1" t="n">
        <v>44699</v>
      </c>
      <c r="C600" s="1" t="n">
        <v>45663</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45663</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20768-2022</t>
        </is>
      </c>
      <c r="B602" s="1" t="n">
        <v>44701</v>
      </c>
      <c r="C602" s="1" t="n">
        <v>45663</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20826-2022</t>
        </is>
      </c>
      <c r="B603" s="1" t="n">
        <v>44701</v>
      </c>
      <c r="C603" s="1" t="n">
        <v>45663</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20843-2022</t>
        </is>
      </c>
      <c r="B604" s="1" t="n">
        <v>44701</v>
      </c>
      <c r="C604" s="1" t="n">
        <v>45663</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20799-2022</t>
        </is>
      </c>
      <c r="B605" s="1" t="n">
        <v>44701</v>
      </c>
      <c r="C605" s="1" t="n">
        <v>45663</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20846-2022</t>
        </is>
      </c>
      <c r="B606" s="1" t="n">
        <v>44701</v>
      </c>
      <c r="C606" s="1" t="n">
        <v>45663</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20847-2022</t>
        </is>
      </c>
      <c r="B607" s="1" t="n">
        <v>44701</v>
      </c>
      <c r="C607" s="1" t="n">
        <v>45663</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21272-2022</t>
        </is>
      </c>
      <c r="B608" s="1" t="n">
        <v>44705</v>
      </c>
      <c r="C608" s="1" t="n">
        <v>45663</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21576-2022</t>
        </is>
      </c>
      <c r="B609" s="1" t="n">
        <v>44706</v>
      </c>
      <c r="C609" s="1" t="n">
        <v>45663</v>
      </c>
      <c r="D609" t="inlineStr">
        <is>
          <t>SÖDERMANLANDS LÄN</t>
        </is>
      </c>
      <c r="E609" t="inlineStr">
        <is>
          <t>KATRINEHOLM</t>
        </is>
      </c>
      <c r="G609" t="n">
        <v>4.2</v>
      </c>
      <c r="H609" t="n">
        <v>0</v>
      </c>
      <c r="I609" t="n">
        <v>0</v>
      </c>
      <c r="J609" t="n">
        <v>0</v>
      </c>
      <c r="K609" t="n">
        <v>0</v>
      </c>
      <c r="L609" t="n">
        <v>0</v>
      </c>
      <c r="M609" t="n">
        <v>0</v>
      </c>
      <c r="N609" t="n">
        <v>0</v>
      </c>
      <c r="O609" t="n">
        <v>0</v>
      </c>
      <c r="P609" t="n">
        <v>0</v>
      </c>
      <c r="Q609" t="n">
        <v>0</v>
      </c>
      <c r="R609" s="2" t="inlineStr"/>
    </row>
    <row r="610" ht="15" customHeight="1">
      <c r="A610" t="inlineStr">
        <is>
          <t>A 21959-2022</t>
        </is>
      </c>
      <c r="B610" s="1" t="n">
        <v>44708</v>
      </c>
      <c r="C610" s="1" t="n">
        <v>45663</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22197-2022</t>
        </is>
      </c>
      <c r="B611" s="1" t="n">
        <v>44712</v>
      </c>
      <c r="C611" s="1" t="n">
        <v>45663</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45663</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23028-2022</t>
        </is>
      </c>
      <c r="B613" s="1" t="n">
        <v>44719</v>
      </c>
      <c r="C613" s="1" t="n">
        <v>45663</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45663</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24098-2022</t>
        </is>
      </c>
      <c r="B615" s="1" t="n">
        <v>44725</v>
      </c>
      <c r="C615" s="1" t="n">
        <v>45663</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24199-2022</t>
        </is>
      </c>
      <c r="B616" s="1" t="n">
        <v>44725</v>
      </c>
      <c r="C616" s="1" t="n">
        <v>45663</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45663</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24097-2022</t>
        </is>
      </c>
      <c r="B618" s="1" t="n">
        <v>44725</v>
      </c>
      <c r="C618" s="1" t="n">
        <v>45663</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24099-2022</t>
        </is>
      </c>
      <c r="B619" s="1" t="n">
        <v>44725</v>
      </c>
      <c r="C619" s="1" t="n">
        <v>45663</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24635-2022</t>
        </is>
      </c>
      <c r="B620" s="1" t="n">
        <v>44727</v>
      </c>
      <c r="C620" s="1" t="n">
        <v>45663</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25309-2022</t>
        </is>
      </c>
      <c r="B621" s="1" t="n">
        <v>44731</v>
      </c>
      <c r="C621" s="1" t="n">
        <v>45663</v>
      </c>
      <c r="D621" t="inlineStr">
        <is>
          <t>SÖDERMANLANDS LÄN</t>
        </is>
      </c>
      <c r="E621" t="inlineStr">
        <is>
          <t>KATRINEHOLM</t>
        </is>
      </c>
      <c r="G621" t="n">
        <v>6.1</v>
      </c>
      <c r="H621" t="n">
        <v>0</v>
      </c>
      <c r="I621" t="n">
        <v>0</v>
      </c>
      <c r="J621" t="n">
        <v>0</v>
      </c>
      <c r="K621" t="n">
        <v>0</v>
      </c>
      <c r="L621" t="n">
        <v>0</v>
      </c>
      <c r="M621" t="n">
        <v>0</v>
      </c>
      <c r="N621" t="n">
        <v>0</v>
      </c>
      <c r="O621" t="n">
        <v>0</v>
      </c>
      <c r="P621" t="n">
        <v>0</v>
      </c>
      <c r="Q621" t="n">
        <v>0</v>
      </c>
      <c r="R621" s="2" t="inlineStr"/>
    </row>
    <row r="622" ht="15" customHeight="1">
      <c r="A622" t="inlineStr">
        <is>
          <t>A 25716-2022</t>
        </is>
      </c>
      <c r="B622" s="1" t="n">
        <v>44733</v>
      </c>
      <c r="C622" s="1" t="n">
        <v>45663</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25893-2022</t>
        </is>
      </c>
      <c r="B623" s="1" t="n">
        <v>44733</v>
      </c>
      <c r="C623" s="1" t="n">
        <v>45663</v>
      </c>
      <c r="D623" t="inlineStr">
        <is>
          <t>SÖDERMANLANDS LÄN</t>
        </is>
      </c>
      <c r="E623" t="inlineStr">
        <is>
          <t>KATRINEHOLM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27398-2022</t>
        </is>
      </c>
      <c r="B624" s="1" t="n">
        <v>44742</v>
      </c>
      <c r="C624" s="1" t="n">
        <v>45663</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27443-2022</t>
        </is>
      </c>
      <c r="B625" s="1" t="n">
        <v>44742</v>
      </c>
      <c r="C625" s="1" t="n">
        <v>45663</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27470-2022</t>
        </is>
      </c>
      <c r="B626" s="1" t="n">
        <v>44742</v>
      </c>
      <c r="C626" s="1" t="n">
        <v>45663</v>
      </c>
      <c r="D626" t="inlineStr">
        <is>
          <t>SÖDERMANLANDS LÄN</t>
        </is>
      </c>
      <c r="E626" t="inlineStr">
        <is>
          <t>KATRINEHOLM</t>
        </is>
      </c>
      <c r="G626" t="n">
        <v>13.3</v>
      </c>
      <c r="H626" t="n">
        <v>0</v>
      </c>
      <c r="I626" t="n">
        <v>0</v>
      </c>
      <c r="J626" t="n">
        <v>0</v>
      </c>
      <c r="K626" t="n">
        <v>0</v>
      </c>
      <c r="L626" t="n">
        <v>0</v>
      </c>
      <c r="M626" t="n">
        <v>0</v>
      </c>
      <c r="N626" t="n">
        <v>0</v>
      </c>
      <c r="O626" t="n">
        <v>0</v>
      </c>
      <c r="P626" t="n">
        <v>0</v>
      </c>
      <c r="Q626" t="n">
        <v>0</v>
      </c>
      <c r="R626" s="2" t="inlineStr"/>
    </row>
    <row r="627" ht="15" customHeight="1">
      <c r="A627" t="inlineStr">
        <is>
          <t>A 30087-2022</t>
        </is>
      </c>
      <c r="B627" s="1" t="n">
        <v>44757</v>
      </c>
      <c r="C627" s="1" t="n">
        <v>45663</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30567-2022</t>
        </is>
      </c>
      <c r="B628" s="1" t="n">
        <v>44762</v>
      </c>
      <c r="C628" s="1" t="n">
        <v>45663</v>
      </c>
      <c r="D628" t="inlineStr">
        <is>
          <t>SÖDERMANLANDS LÄN</t>
        </is>
      </c>
      <c r="E628" t="inlineStr">
        <is>
          <t>KATRINEHOLM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30981-2022</t>
        </is>
      </c>
      <c r="B629" s="1" t="n">
        <v>44768</v>
      </c>
      <c r="C629" s="1" t="n">
        <v>45663</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31221-2022</t>
        </is>
      </c>
      <c r="B630" s="1" t="n">
        <v>44771</v>
      </c>
      <c r="C630" s="1" t="n">
        <v>45663</v>
      </c>
      <c r="D630" t="inlineStr">
        <is>
          <t>SÖDERMANLANDS LÄN</t>
        </is>
      </c>
      <c r="E630" t="inlineStr">
        <is>
          <t>KATRINEHOLM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31740-2022</t>
        </is>
      </c>
      <c r="B631" s="1" t="n">
        <v>44776</v>
      </c>
      <c r="C631" s="1" t="n">
        <v>45663</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32164-2022</t>
        </is>
      </c>
      <c r="B632" s="1" t="n">
        <v>44781</v>
      </c>
      <c r="C632" s="1" t="n">
        <v>45663</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32166-2022</t>
        </is>
      </c>
      <c r="B633" s="1" t="n">
        <v>44781</v>
      </c>
      <c r="C633" s="1" t="n">
        <v>45663</v>
      </c>
      <c r="D633" t="inlineStr">
        <is>
          <t>SÖDERMANLANDS LÄN</t>
        </is>
      </c>
      <c r="E633" t="inlineStr">
        <is>
          <t>KATRINEHOLM</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45663</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32160-2022</t>
        </is>
      </c>
      <c r="B635" s="1" t="n">
        <v>44781</v>
      </c>
      <c r="C635" s="1" t="n">
        <v>45663</v>
      </c>
      <c r="D635" t="inlineStr">
        <is>
          <t>SÖDERMANLANDS LÄN</t>
        </is>
      </c>
      <c r="E635" t="inlineStr">
        <is>
          <t>KATRINEHOLM</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32606-2022</t>
        </is>
      </c>
      <c r="B636" s="1" t="n">
        <v>44783</v>
      </c>
      <c r="C636" s="1" t="n">
        <v>45663</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32600-2022</t>
        </is>
      </c>
      <c r="B637" s="1" t="n">
        <v>44783</v>
      </c>
      <c r="C637" s="1" t="n">
        <v>45663</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32639-2022</t>
        </is>
      </c>
      <c r="B638" s="1" t="n">
        <v>44783</v>
      </c>
      <c r="C638" s="1" t="n">
        <v>45663</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32598-2022</t>
        </is>
      </c>
      <c r="B639" s="1" t="n">
        <v>44783</v>
      </c>
      <c r="C639" s="1" t="n">
        <v>45663</v>
      </c>
      <c r="D639" t="inlineStr">
        <is>
          <t>SÖDERMANLANDS LÄN</t>
        </is>
      </c>
      <c r="E639" t="inlineStr">
        <is>
          <t>KATRINEHOLM</t>
        </is>
      </c>
      <c r="G639" t="n">
        <v>7.7</v>
      </c>
      <c r="H639" t="n">
        <v>0</v>
      </c>
      <c r="I639" t="n">
        <v>0</v>
      </c>
      <c r="J639" t="n">
        <v>0</v>
      </c>
      <c r="K639" t="n">
        <v>0</v>
      </c>
      <c r="L639" t="n">
        <v>0</v>
      </c>
      <c r="M639" t="n">
        <v>0</v>
      </c>
      <c r="N639" t="n">
        <v>0</v>
      </c>
      <c r="O639" t="n">
        <v>0</v>
      </c>
      <c r="P639" t="n">
        <v>0</v>
      </c>
      <c r="Q639" t="n">
        <v>0</v>
      </c>
      <c r="R639" s="2" t="inlineStr"/>
    </row>
    <row r="640" ht="15" customHeight="1">
      <c r="A640" t="inlineStr">
        <is>
          <t>A 32632-2022</t>
        </is>
      </c>
      <c r="B640" s="1" t="n">
        <v>44783</v>
      </c>
      <c r="C640" s="1" t="n">
        <v>45663</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32786-2022</t>
        </is>
      </c>
      <c r="B641" s="1" t="n">
        <v>44784</v>
      </c>
      <c r="C641" s="1" t="n">
        <v>45663</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32855-2022</t>
        </is>
      </c>
      <c r="B642" s="1" t="n">
        <v>44784</v>
      </c>
      <c r="C642" s="1" t="n">
        <v>45663</v>
      </c>
      <c r="D642" t="inlineStr">
        <is>
          <t>SÖDERMANLANDS LÄN</t>
        </is>
      </c>
      <c r="E642" t="inlineStr">
        <is>
          <t>KATRINEHOLM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33538-2022</t>
        </is>
      </c>
      <c r="B643" s="1" t="n">
        <v>44789</v>
      </c>
      <c r="C643" s="1" t="n">
        <v>45663</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33753-2022</t>
        </is>
      </c>
      <c r="B644" s="1" t="n">
        <v>44789</v>
      </c>
      <c r="C644" s="1" t="n">
        <v>45663</v>
      </c>
      <c r="D644" t="inlineStr">
        <is>
          <t>SÖDERMANLANDS LÄN</t>
        </is>
      </c>
      <c r="E644" t="inlineStr">
        <is>
          <t>KATRINEHOLM</t>
        </is>
      </c>
      <c r="G644" t="n">
        <v>4.9</v>
      </c>
      <c r="H644" t="n">
        <v>0</v>
      </c>
      <c r="I644" t="n">
        <v>0</v>
      </c>
      <c r="J644" t="n">
        <v>0</v>
      </c>
      <c r="K644" t="n">
        <v>0</v>
      </c>
      <c r="L644" t="n">
        <v>0</v>
      </c>
      <c r="M644" t="n">
        <v>0</v>
      </c>
      <c r="N644" t="n">
        <v>0</v>
      </c>
      <c r="O644" t="n">
        <v>0</v>
      </c>
      <c r="P644" t="n">
        <v>0</v>
      </c>
      <c r="Q644" t="n">
        <v>0</v>
      </c>
      <c r="R644" s="2" t="inlineStr"/>
    </row>
    <row r="645" ht="15" customHeight="1">
      <c r="A645" t="inlineStr">
        <is>
          <t>A 33712-2022</t>
        </is>
      </c>
      <c r="B645" s="1" t="n">
        <v>44789</v>
      </c>
      <c r="C645" s="1" t="n">
        <v>45663</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33717-2022</t>
        </is>
      </c>
      <c r="B646" s="1" t="n">
        <v>44789</v>
      </c>
      <c r="C646" s="1" t="n">
        <v>45663</v>
      </c>
      <c r="D646" t="inlineStr">
        <is>
          <t>SÖDERMANLANDS LÄN</t>
        </is>
      </c>
      <c r="E646" t="inlineStr">
        <is>
          <t>KATRINEHOLM</t>
        </is>
      </c>
      <c r="G646" t="n">
        <v>4.4</v>
      </c>
      <c r="H646" t="n">
        <v>0</v>
      </c>
      <c r="I646" t="n">
        <v>0</v>
      </c>
      <c r="J646" t="n">
        <v>0</v>
      </c>
      <c r="K646" t="n">
        <v>0</v>
      </c>
      <c r="L646" t="n">
        <v>0</v>
      </c>
      <c r="M646" t="n">
        <v>0</v>
      </c>
      <c r="N646" t="n">
        <v>0</v>
      </c>
      <c r="O646" t="n">
        <v>0</v>
      </c>
      <c r="P646" t="n">
        <v>0</v>
      </c>
      <c r="Q646" t="n">
        <v>0</v>
      </c>
      <c r="R646" s="2" t="inlineStr"/>
    </row>
    <row r="647" ht="15" customHeight="1">
      <c r="A647" t="inlineStr">
        <is>
          <t>A 33934-2022</t>
        </is>
      </c>
      <c r="B647" s="1" t="n">
        <v>44790</v>
      </c>
      <c r="C647" s="1" t="n">
        <v>45663</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34040-2022</t>
        </is>
      </c>
      <c r="B648" s="1" t="n">
        <v>44790</v>
      </c>
      <c r="C648" s="1" t="n">
        <v>45663</v>
      </c>
      <c r="D648" t="inlineStr">
        <is>
          <t>SÖDERMANLANDS LÄN</t>
        </is>
      </c>
      <c r="E648" t="inlineStr">
        <is>
          <t>KATRINEHOLM</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34070-2022</t>
        </is>
      </c>
      <c r="B649" s="1" t="n">
        <v>44791</v>
      </c>
      <c r="C649" s="1" t="n">
        <v>45663</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34539-2022</t>
        </is>
      </c>
      <c r="B650" s="1" t="n">
        <v>44793</v>
      </c>
      <c r="C650" s="1" t="n">
        <v>45663</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34625-2022</t>
        </is>
      </c>
      <c r="B651" s="1" t="n">
        <v>44795</v>
      </c>
      <c r="C651" s="1" t="n">
        <v>45663</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34732-2022</t>
        </is>
      </c>
      <c r="B652" s="1" t="n">
        <v>44795</v>
      </c>
      <c r="C652" s="1" t="n">
        <v>45663</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35088-2022</t>
        </is>
      </c>
      <c r="B653" s="1" t="n">
        <v>44797</v>
      </c>
      <c r="C653" s="1" t="n">
        <v>45663</v>
      </c>
      <c r="D653" t="inlineStr">
        <is>
          <t>SÖDERMANLANDS LÄN</t>
        </is>
      </c>
      <c r="E653" t="inlineStr">
        <is>
          <t>KATRINEHOLM</t>
        </is>
      </c>
      <c r="G653" t="n">
        <v>2.8</v>
      </c>
      <c r="H653" t="n">
        <v>0</v>
      </c>
      <c r="I653" t="n">
        <v>0</v>
      </c>
      <c r="J653" t="n">
        <v>0</v>
      </c>
      <c r="K653" t="n">
        <v>0</v>
      </c>
      <c r="L653" t="n">
        <v>0</v>
      </c>
      <c r="M653" t="n">
        <v>0</v>
      </c>
      <c r="N653" t="n">
        <v>0</v>
      </c>
      <c r="O653" t="n">
        <v>0</v>
      </c>
      <c r="P653" t="n">
        <v>0</v>
      </c>
      <c r="Q653" t="n">
        <v>0</v>
      </c>
      <c r="R653" s="2" t="inlineStr"/>
    </row>
    <row r="654" ht="15" customHeight="1">
      <c r="A654" t="inlineStr">
        <is>
          <t>A 35188-2022</t>
        </is>
      </c>
      <c r="B654" s="1" t="n">
        <v>44797</v>
      </c>
      <c r="C654" s="1" t="n">
        <v>45663</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35194-2022</t>
        </is>
      </c>
      <c r="B655" s="1" t="n">
        <v>44797</v>
      </c>
      <c r="C655" s="1" t="n">
        <v>45663</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35183-2022</t>
        </is>
      </c>
      <c r="B656" s="1" t="n">
        <v>44797</v>
      </c>
      <c r="C656" s="1" t="n">
        <v>45663</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35364-2022</t>
        </is>
      </c>
      <c r="B657" s="1" t="n">
        <v>44798</v>
      </c>
      <c r="C657" s="1" t="n">
        <v>45663</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35342-2022</t>
        </is>
      </c>
      <c r="B658" s="1" t="n">
        <v>44798</v>
      </c>
      <c r="C658" s="1" t="n">
        <v>45663</v>
      </c>
      <c r="D658" t="inlineStr">
        <is>
          <t>SÖDERMANLANDS LÄN</t>
        </is>
      </c>
      <c r="E658" t="inlineStr">
        <is>
          <t>KATRINEHOLM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36210-2022</t>
        </is>
      </c>
      <c r="B659" s="1" t="n">
        <v>44803</v>
      </c>
      <c r="C659" s="1" t="n">
        <v>45663</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36396-2022</t>
        </is>
      </c>
      <c r="B660" s="1" t="n">
        <v>44804</v>
      </c>
      <c r="C660" s="1" t="n">
        <v>45663</v>
      </c>
      <c r="D660" t="inlineStr">
        <is>
          <t>SÖDERMANLANDS LÄN</t>
        </is>
      </c>
      <c r="E660" t="inlineStr">
        <is>
          <t>KATRINEHOLM</t>
        </is>
      </c>
      <c r="G660" t="n">
        <v>4.5</v>
      </c>
      <c r="H660" t="n">
        <v>0</v>
      </c>
      <c r="I660" t="n">
        <v>0</v>
      </c>
      <c r="J660" t="n">
        <v>0</v>
      </c>
      <c r="K660" t="n">
        <v>0</v>
      </c>
      <c r="L660" t="n">
        <v>0</v>
      </c>
      <c r="M660" t="n">
        <v>0</v>
      </c>
      <c r="N660" t="n">
        <v>0</v>
      </c>
      <c r="O660" t="n">
        <v>0</v>
      </c>
      <c r="P660" t="n">
        <v>0</v>
      </c>
      <c r="Q660" t="n">
        <v>0</v>
      </c>
      <c r="R660" s="2" t="inlineStr"/>
    </row>
    <row r="661" ht="15" customHeight="1">
      <c r="A661" t="inlineStr">
        <is>
          <t>A 36767-2022</t>
        </is>
      </c>
      <c r="B661" s="1" t="n">
        <v>44805</v>
      </c>
      <c r="C661" s="1" t="n">
        <v>45663</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37542-2022</t>
        </is>
      </c>
      <c r="B662" s="1" t="n">
        <v>44809</v>
      </c>
      <c r="C662" s="1" t="n">
        <v>45663</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37546-2022</t>
        </is>
      </c>
      <c r="B663" s="1" t="n">
        <v>44809</v>
      </c>
      <c r="C663" s="1" t="n">
        <v>45663</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37528-2022</t>
        </is>
      </c>
      <c r="B664" s="1" t="n">
        <v>44809</v>
      </c>
      <c r="C664" s="1" t="n">
        <v>45663</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37544-2022</t>
        </is>
      </c>
      <c r="B665" s="1" t="n">
        <v>44809</v>
      </c>
      <c r="C665" s="1" t="n">
        <v>45663</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37549-2022</t>
        </is>
      </c>
      <c r="B666" s="1" t="n">
        <v>44809</v>
      </c>
      <c r="C666" s="1" t="n">
        <v>45663</v>
      </c>
      <c r="D666" t="inlineStr">
        <is>
          <t>SÖDERMANLANDS LÄN</t>
        </is>
      </c>
      <c r="E666" t="inlineStr">
        <is>
          <t>KATRINEHOLM</t>
        </is>
      </c>
      <c r="G666" t="n">
        <v>6.9</v>
      </c>
      <c r="H666" t="n">
        <v>0</v>
      </c>
      <c r="I666" t="n">
        <v>0</v>
      </c>
      <c r="J666" t="n">
        <v>0</v>
      </c>
      <c r="K666" t="n">
        <v>0</v>
      </c>
      <c r="L666" t="n">
        <v>0</v>
      </c>
      <c r="M666" t="n">
        <v>0</v>
      </c>
      <c r="N666" t="n">
        <v>0</v>
      </c>
      <c r="O666" t="n">
        <v>0</v>
      </c>
      <c r="P666" t="n">
        <v>0</v>
      </c>
      <c r="Q666" t="n">
        <v>0</v>
      </c>
      <c r="R666" s="2" t="inlineStr"/>
    </row>
    <row r="667" ht="15" customHeight="1">
      <c r="A667" t="inlineStr">
        <is>
          <t>A 37734-2022</t>
        </is>
      </c>
      <c r="B667" s="1" t="n">
        <v>44810</v>
      </c>
      <c r="C667" s="1" t="n">
        <v>45663</v>
      </c>
      <c r="D667" t="inlineStr">
        <is>
          <t>SÖDERMANLANDS LÄN</t>
        </is>
      </c>
      <c r="E667" t="inlineStr">
        <is>
          <t>KATRINEHOLM</t>
        </is>
      </c>
      <c r="G667" t="n">
        <v>2.8</v>
      </c>
      <c r="H667" t="n">
        <v>0</v>
      </c>
      <c r="I667" t="n">
        <v>0</v>
      </c>
      <c r="J667" t="n">
        <v>0</v>
      </c>
      <c r="K667" t="n">
        <v>0</v>
      </c>
      <c r="L667" t="n">
        <v>0</v>
      </c>
      <c r="M667" t="n">
        <v>0</v>
      </c>
      <c r="N667" t="n">
        <v>0</v>
      </c>
      <c r="O667" t="n">
        <v>0</v>
      </c>
      <c r="P667" t="n">
        <v>0</v>
      </c>
      <c r="Q667" t="n">
        <v>0</v>
      </c>
      <c r="R667" s="2" t="inlineStr"/>
    </row>
    <row r="668" ht="15" customHeight="1">
      <c r="A668" t="inlineStr">
        <is>
          <t>A 37719-2022</t>
        </is>
      </c>
      <c r="B668" s="1" t="n">
        <v>44810</v>
      </c>
      <c r="C668" s="1" t="n">
        <v>45663</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38019-2022</t>
        </is>
      </c>
      <c r="B669" s="1" t="n">
        <v>44811</v>
      </c>
      <c r="C669" s="1" t="n">
        <v>45663</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39068-2022</t>
        </is>
      </c>
      <c r="B670" s="1" t="n">
        <v>44816</v>
      </c>
      <c r="C670" s="1" t="n">
        <v>45663</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39136-2022</t>
        </is>
      </c>
      <c r="B671" s="1" t="n">
        <v>44817</v>
      </c>
      <c r="C671" s="1" t="n">
        <v>45663</v>
      </c>
      <c r="D671" t="inlineStr">
        <is>
          <t>SÖDERMANLANDS LÄN</t>
        </is>
      </c>
      <c r="E671" t="inlineStr">
        <is>
          <t>KATRINEHOLM</t>
        </is>
      </c>
      <c r="F671" t="inlineStr">
        <is>
          <t>Övriga Aktiebolag</t>
        </is>
      </c>
      <c r="G671" t="n">
        <v>3.8</v>
      </c>
      <c r="H671" t="n">
        <v>0</v>
      </c>
      <c r="I671" t="n">
        <v>0</v>
      </c>
      <c r="J671" t="n">
        <v>0</v>
      </c>
      <c r="K671" t="n">
        <v>0</v>
      </c>
      <c r="L671" t="n">
        <v>0</v>
      </c>
      <c r="M671" t="n">
        <v>0</v>
      </c>
      <c r="N671" t="n">
        <v>0</v>
      </c>
      <c r="O671" t="n">
        <v>0</v>
      </c>
      <c r="P671" t="n">
        <v>0</v>
      </c>
      <c r="Q671" t="n">
        <v>0</v>
      </c>
      <c r="R671" s="2" t="inlineStr"/>
    </row>
    <row r="672" ht="15" customHeight="1">
      <c r="A672" t="inlineStr">
        <is>
          <t>A 39055-2022</t>
        </is>
      </c>
      <c r="B672" s="1" t="n">
        <v>44817</v>
      </c>
      <c r="C672" s="1" t="n">
        <v>45663</v>
      </c>
      <c r="D672" t="inlineStr">
        <is>
          <t>SÖDERMANLANDS LÄN</t>
        </is>
      </c>
      <c r="E672" t="inlineStr">
        <is>
          <t>KATRINEHOLM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39305-2022</t>
        </is>
      </c>
      <c r="B673" s="1" t="n">
        <v>44817</v>
      </c>
      <c r="C673" s="1" t="n">
        <v>45663</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39239-2022</t>
        </is>
      </c>
      <c r="B674" s="1" t="n">
        <v>44817</v>
      </c>
      <c r="C674" s="1" t="n">
        <v>45663</v>
      </c>
      <c r="D674" t="inlineStr">
        <is>
          <t>SÖDERMANLANDS LÄN</t>
        </is>
      </c>
      <c r="E674" t="inlineStr">
        <is>
          <t>KATRINEHOLM</t>
        </is>
      </c>
      <c r="G674" t="n">
        <v>4.5</v>
      </c>
      <c r="H674" t="n">
        <v>0</v>
      </c>
      <c r="I674" t="n">
        <v>0</v>
      </c>
      <c r="J674" t="n">
        <v>0</v>
      </c>
      <c r="K674" t="n">
        <v>0</v>
      </c>
      <c r="L674" t="n">
        <v>0</v>
      </c>
      <c r="M674" t="n">
        <v>0</v>
      </c>
      <c r="N674" t="n">
        <v>0</v>
      </c>
      <c r="O674" t="n">
        <v>0</v>
      </c>
      <c r="P674" t="n">
        <v>0</v>
      </c>
      <c r="Q674" t="n">
        <v>0</v>
      </c>
      <c r="R674" s="2" t="inlineStr"/>
    </row>
    <row r="675" ht="15" customHeight="1">
      <c r="A675" t="inlineStr">
        <is>
          <t>A 39522-2022</t>
        </is>
      </c>
      <c r="B675" s="1" t="n">
        <v>44817</v>
      </c>
      <c r="C675" s="1" t="n">
        <v>45663</v>
      </c>
      <c r="D675" t="inlineStr">
        <is>
          <t>SÖDERMANLANDS LÄN</t>
        </is>
      </c>
      <c r="E675" t="inlineStr">
        <is>
          <t>KATRINEHOLM</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39748-2022</t>
        </is>
      </c>
      <c r="B676" s="1" t="n">
        <v>44817</v>
      </c>
      <c r="C676" s="1" t="n">
        <v>45663</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40393-2022</t>
        </is>
      </c>
      <c r="B677" s="1" t="n">
        <v>44823</v>
      </c>
      <c r="C677" s="1" t="n">
        <v>45663</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v>
      </c>
      <c r="C678" s="1" t="n">
        <v>45663</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40448-2022</t>
        </is>
      </c>
      <c r="B679" s="1" t="n">
        <v>44823</v>
      </c>
      <c r="C679" s="1" t="n">
        <v>45663</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40452-2022</t>
        </is>
      </c>
      <c r="B680" s="1" t="n">
        <v>44823</v>
      </c>
      <c r="C680" s="1" t="n">
        <v>45663</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40749-2022</t>
        </is>
      </c>
      <c r="B681" s="1" t="n">
        <v>44824</v>
      </c>
      <c r="C681" s="1" t="n">
        <v>45663</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40753-2022</t>
        </is>
      </c>
      <c r="B682" s="1" t="n">
        <v>44824</v>
      </c>
      <c r="C682" s="1" t="n">
        <v>45663</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v>
      </c>
      <c r="C683" s="1" t="n">
        <v>45663</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40814-2022</t>
        </is>
      </c>
      <c r="B684" s="1" t="n">
        <v>44824</v>
      </c>
      <c r="C684" s="1" t="n">
        <v>45663</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40818-2022</t>
        </is>
      </c>
      <c r="B685" s="1" t="n">
        <v>44824</v>
      </c>
      <c r="C685" s="1" t="n">
        <v>45663</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41229-2022</t>
        </is>
      </c>
      <c r="B686" s="1" t="n">
        <v>44825</v>
      </c>
      <c r="C686" s="1" t="n">
        <v>45663</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41534-2022</t>
        </is>
      </c>
      <c r="B687" s="1" t="n">
        <v>44827</v>
      </c>
      <c r="C687" s="1" t="n">
        <v>45663</v>
      </c>
      <c r="D687" t="inlineStr">
        <is>
          <t>SÖDERMANLANDS LÄN</t>
        </is>
      </c>
      <c r="E687" t="inlineStr">
        <is>
          <t>KATRINEHOLM</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41642-2022</t>
        </is>
      </c>
      <c r="B688" s="1" t="n">
        <v>44827</v>
      </c>
      <c r="C688" s="1" t="n">
        <v>45663</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41950-2022</t>
        </is>
      </c>
      <c r="B689" s="1" t="n">
        <v>44830</v>
      </c>
      <c r="C689" s="1" t="n">
        <v>45663</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42025-2022</t>
        </is>
      </c>
      <c r="B690" s="1" t="n">
        <v>44830</v>
      </c>
      <c r="C690" s="1" t="n">
        <v>45663</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41946-2022</t>
        </is>
      </c>
      <c r="B691" s="1" t="n">
        <v>44830</v>
      </c>
      <c r="C691" s="1" t="n">
        <v>45663</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42020-2022</t>
        </is>
      </c>
      <c r="B692" s="1" t="n">
        <v>44830</v>
      </c>
      <c r="C692" s="1" t="n">
        <v>45663</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42111-2022</t>
        </is>
      </c>
      <c r="B693" s="1" t="n">
        <v>44830</v>
      </c>
      <c r="C693" s="1" t="n">
        <v>45663</v>
      </c>
      <c r="D693" t="inlineStr">
        <is>
          <t>SÖDERMANLANDS LÄN</t>
        </is>
      </c>
      <c r="E693" t="inlineStr">
        <is>
          <t>KATRINEHOLM</t>
        </is>
      </c>
      <c r="G693" t="n">
        <v>2.5</v>
      </c>
      <c r="H693" t="n">
        <v>0</v>
      </c>
      <c r="I693" t="n">
        <v>0</v>
      </c>
      <c r="J693" t="n">
        <v>0</v>
      </c>
      <c r="K693" t="n">
        <v>0</v>
      </c>
      <c r="L693" t="n">
        <v>0</v>
      </c>
      <c r="M693" t="n">
        <v>0</v>
      </c>
      <c r="N693" t="n">
        <v>0</v>
      </c>
      <c r="O693" t="n">
        <v>0</v>
      </c>
      <c r="P693" t="n">
        <v>0</v>
      </c>
      <c r="Q693" t="n">
        <v>0</v>
      </c>
      <c r="R693" s="2" t="inlineStr"/>
    </row>
    <row r="694" ht="15" customHeight="1">
      <c r="A694" t="inlineStr">
        <is>
          <t>A 42015-2022</t>
        </is>
      </c>
      <c r="B694" s="1" t="n">
        <v>44830</v>
      </c>
      <c r="C694" s="1" t="n">
        <v>45663</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42595-2022</t>
        </is>
      </c>
      <c r="B695" s="1" t="n">
        <v>44831</v>
      </c>
      <c r="C695" s="1" t="n">
        <v>45663</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42590-2022</t>
        </is>
      </c>
      <c r="B696" s="1" t="n">
        <v>44831</v>
      </c>
      <c r="C696" s="1" t="n">
        <v>45663</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42735-2022</t>
        </is>
      </c>
      <c r="B697" s="1" t="n">
        <v>44832</v>
      </c>
      <c r="C697" s="1" t="n">
        <v>45663</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43088-2022</t>
        </is>
      </c>
      <c r="B698" s="1" t="n">
        <v>44833</v>
      </c>
      <c r="C698" s="1" t="n">
        <v>45663</v>
      </c>
      <c r="D698" t="inlineStr">
        <is>
          <t>SÖDERMANLANDS LÄN</t>
        </is>
      </c>
      <c r="E698" t="inlineStr">
        <is>
          <t>KATRINEHOLM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43967-2022</t>
        </is>
      </c>
      <c r="B699" s="1" t="n">
        <v>44837</v>
      </c>
      <c r="C699" s="1" t="n">
        <v>45663</v>
      </c>
      <c r="D699" t="inlineStr">
        <is>
          <t>SÖDERMANLANDS LÄN</t>
        </is>
      </c>
      <c r="E699" t="inlineStr">
        <is>
          <t>KATRINEHOLM</t>
        </is>
      </c>
      <c r="G699" t="n">
        <v>6.2</v>
      </c>
      <c r="H699" t="n">
        <v>0</v>
      </c>
      <c r="I699" t="n">
        <v>0</v>
      </c>
      <c r="J699" t="n">
        <v>0</v>
      </c>
      <c r="K699" t="n">
        <v>0</v>
      </c>
      <c r="L699" t="n">
        <v>0</v>
      </c>
      <c r="M699" t="n">
        <v>0</v>
      </c>
      <c r="N699" t="n">
        <v>0</v>
      </c>
      <c r="O699" t="n">
        <v>0</v>
      </c>
      <c r="P699" t="n">
        <v>0</v>
      </c>
      <c r="Q699" t="n">
        <v>0</v>
      </c>
      <c r="R699" s="2" t="inlineStr"/>
    </row>
    <row r="700" ht="15" customHeight="1">
      <c r="A700" t="inlineStr">
        <is>
          <t>A 43964-2022</t>
        </is>
      </c>
      <c r="B700" s="1" t="n">
        <v>44837</v>
      </c>
      <c r="C700" s="1" t="n">
        <v>45663</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45663</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44012-2022</t>
        </is>
      </c>
      <c r="B702" s="1" t="n">
        <v>44838</v>
      </c>
      <c r="C702" s="1" t="n">
        <v>45663</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44138-2022</t>
        </is>
      </c>
      <c r="B703" s="1" t="n">
        <v>44839</v>
      </c>
      <c r="C703" s="1" t="n">
        <v>45663</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44989-2022</t>
        </is>
      </c>
      <c r="B704" s="1" t="n">
        <v>44840</v>
      </c>
      <c r="C704" s="1" t="n">
        <v>45663</v>
      </c>
      <c r="D704" t="inlineStr">
        <is>
          <t>SÖDERMANLANDS LÄN</t>
        </is>
      </c>
      <c r="E704" t="inlineStr">
        <is>
          <t>KATRINEHOLM</t>
        </is>
      </c>
      <c r="G704" t="n">
        <v>6</v>
      </c>
      <c r="H704" t="n">
        <v>0</v>
      </c>
      <c r="I704" t="n">
        <v>0</v>
      </c>
      <c r="J704" t="n">
        <v>0</v>
      </c>
      <c r="K704" t="n">
        <v>0</v>
      </c>
      <c r="L704" t="n">
        <v>0</v>
      </c>
      <c r="M704" t="n">
        <v>0</v>
      </c>
      <c r="N704" t="n">
        <v>0</v>
      </c>
      <c r="O704" t="n">
        <v>0</v>
      </c>
      <c r="P704" t="n">
        <v>0</v>
      </c>
      <c r="Q704" t="n">
        <v>0</v>
      </c>
      <c r="R704" s="2" t="inlineStr"/>
    </row>
    <row r="705" ht="15" customHeight="1">
      <c r="A705" t="inlineStr">
        <is>
          <t>A 44915-2022</t>
        </is>
      </c>
      <c r="B705" s="1" t="n">
        <v>44840</v>
      </c>
      <c r="C705" s="1" t="n">
        <v>45663</v>
      </c>
      <c r="D705" t="inlineStr">
        <is>
          <t>SÖDERMANLANDS LÄN</t>
        </is>
      </c>
      <c r="E705" t="inlineStr">
        <is>
          <t>KATRINEHOLM</t>
        </is>
      </c>
      <c r="G705" t="n">
        <v>6.3</v>
      </c>
      <c r="H705" t="n">
        <v>0</v>
      </c>
      <c r="I705" t="n">
        <v>0</v>
      </c>
      <c r="J705" t="n">
        <v>0</v>
      </c>
      <c r="K705" t="n">
        <v>0</v>
      </c>
      <c r="L705" t="n">
        <v>0</v>
      </c>
      <c r="M705" t="n">
        <v>0</v>
      </c>
      <c r="N705" t="n">
        <v>0</v>
      </c>
      <c r="O705" t="n">
        <v>0</v>
      </c>
      <c r="P705" t="n">
        <v>0</v>
      </c>
      <c r="Q705" t="n">
        <v>0</v>
      </c>
      <c r="R705" s="2" t="inlineStr"/>
    </row>
    <row r="706" ht="15" customHeight="1">
      <c r="A706" t="inlineStr">
        <is>
          <t>A 45038-2022</t>
        </is>
      </c>
      <c r="B706" s="1" t="n">
        <v>44840</v>
      </c>
      <c r="C706" s="1" t="n">
        <v>45663</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45376-2022</t>
        </is>
      </c>
      <c r="B707" s="1" t="n">
        <v>44844</v>
      </c>
      <c r="C707" s="1" t="n">
        <v>45663</v>
      </c>
      <c r="D707" t="inlineStr">
        <is>
          <t>SÖDERMANLANDS LÄN</t>
        </is>
      </c>
      <c r="E707" t="inlineStr">
        <is>
          <t>KATRINEHOLM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45222-2022</t>
        </is>
      </c>
      <c r="B708" s="1" t="n">
        <v>44844</v>
      </c>
      <c r="C708" s="1" t="n">
        <v>45663</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45274-2022</t>
        </is>
      </c>
      <c r="B709" s="1" t="n">
        <v>44844</v>
      </c>
      <c r="C709" s="1" t="n">
        <v>45663</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45793-2022</t>
        </is>
      </c>
      <c r="B710" s="1" t="n">
        <v>44844</v>
      </c>
      <c r="C710" s="1" t="n">
        <v>45663</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45878-2022</t>
        </is>
      </c>
      <c r="B711" s="1" t="n">
        <v>44844</v>
      </c>
      <c r="C711" s="1" t="n">
        <v>45663</v>
      </c>
      <c r="D711" t="inlineStr">
        <is>
          <t>SÖDERMANLANDS LÄN</t>
        </is>
      </c>
      <c r="E711" t="inlineStr">
        <is>
          <t>KATRINEHOLM</t>
        </is>
      </c>
      <c r="G711" t="n">
        <v>22.4</v>
      </c>
      <c r="H711" t="n">
        <v>0</v>
      </c>
      <c r="I711" t="n">
        <v>0</v>
      </c>
      <c r="J711" t="n">
        <v>0</v>
      </c>
      <c r="K711" t="n">
        <v>0</v>
      </c>
      <c r="L711" t="n">
        <v>0</v>
      </c>
      <c r="M711" t="n">
        <v>0</v>
      </c>
      <c r="N711" t="n">
        <v>0</v>
      </c>
      <c r="O711" t="n">
        <v>0</v>
      </c>
      <c r="P711" t="n">
        <v>0</v>
      </c>
      <c r="Q711" t="n">
        <v>0</v>
      </c>
      <c r="R711" s="2" t="inlineStr"/>
    </row>
    <row r="712" ht="15" customHeight="1">
      <c r="A712" t="inlineStr">
        <is>
          <t>A 46487-2022</t>
        </is>
      </c>
      <c r="B712" s="1" t="n">
        <v>44847</v>
      </c>
      <c r="C712" s="1" t="n">
        <v>45663</v>
      </c>
      <c r="D712" t="inlineStr">
        <is>
          <t>SÖDERMANLANDS LÄN</t>
        </is>
      </c>
      <c r="E712" t="inlineStr">
        <is>
          <t>KATRINEHOLM</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46569-2022</t>
        </is>
      </c>
      <c r="B713" s="1" t="n">
        <v>44847</v>
      </c>
      <c r="C713" s="1" t="n">
        <v>45663</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46412-2022</t>
        </is>
      </c>
      <c r="B714" s="1" t="n">
        <v>44848</v>
      </c>
      <c r="C714" s="1" t="n">
        <v>45663</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46899-2022</t>
        </is>
      </c>
      <c r="B715" s="1" t="n">
        <v>44848</v>
      </c>
      <c r="C715" s="1" t="n">
        <v>45663</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46862-2022</t>
        </is>
      </c>
      <c r="B716" s="1" t="n">
        <v>44851</v>
      </c>
      <c r="C716" s="1" t="n">
        <v>45663</v>
      </c>
      <c r="D716" t="inlineStr">
        <is>
          <t>SÖDERMANLANDS LÄN</t>
        </is>
      </c>
      <c r="E716" t="inlineStr">
        <is>
          <t>KATRINEHOLM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46867-2022</t>
        </is>
      </c>
      <c r="B717" s="1" t="n">
        <v>44851</v>
      </c>
      <c r="C717" s="1" t="n">
        <v>45663</v>
      </c>
      <c r="D717" t="inlineStr">
        <is>
          <t>SÖDERMANLANDS LÄN</t>
        </is>
      </c>
      <c r="E717" t="inlineStr">
        <is>
          <t>KATRINEHOLM</t>
        </is>
      </c>
      <c r="F717" t="inlineStr">
        <is>
          <t>Övriga Aktiebolag</t>
        </is>
      </c>
      <c r="G717" t="n">
        <v>1</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45663</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47456-2022</t>
        </is>
      </c>
      <c r="B719" s="1" t="n">
        <v>44852</v>
      </c>
      <c r="C719" s="1" t="n">
        <v>45663</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47331-2022</t>
        </is>
      </c>
      <c r="B720" s="1" t="n">
        <v>44853</v>
      </c>
      <c r="C720" s="1" t="n">
        <v>45663</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47472-2022</t>
        </is>
      </c>
      <c r="B721" s="1" t="n">
        <v>44853</v>
      </c>
      <c r="C721" s="1" t="n">
        <v>45663</v>
      </c>
      <c r="D721" t="inlineStr">
        <is>
          <t>SÖDERMANLANDS LÄN</t>
        </is>
      </c>
      <c r="E721" t="inlineStr">
        <is>
          <t>KATRINEHOLM</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48018-2022</t>
        </is>
      </c>
      <c r="B722" s="1" t="n">
        <v>44853</v>
      </c>
      <c r="C722" s="1" t="n">
        <v>45663</v>
      </c>
      <c r="D722" t="inlineStr">
        <is>
          <t>SÖDERMANLANDS LÄN</t>
        </is>
      </c>
      <c r="E722" t="inlineStr">
        <is>
          <t>KATRINEHOLM</t>
        </is>
      </c>
      <c r="G722" t="n">
        <v>15.1</v>
      </c>
      <c r="H722" t="n">
        <v>0</v>
      </c>
      <c r="I722" t="n">
        <v>0</v>
      </c>
      <c r="J722" t="n">
        <v>0</v>
      </c>
      <c r="K722" t="n">
        <v>0</v>
      </c>
      <c r="L722" t="n">
        <v>0</v>
      </c>
      <c r="M722" t="n">
        <v>0</v>
      </c>
      <c r="N722" t="n">
        <v>0</v>
      </c>
      <c r="O722" t="n">
        <v>0</v>
      </c>
      <c r="P722" t="n">
        <v>0</v>
      </c>
      <c r="Q722" t="n">
        <v>0</v>
      </c>
      <c r="R722" s="2" t="inlineStr"/>
    </row>
    <row r="723" ht="15" customHeight="1">
      <c r="A723" t="inlineStr">
        <is>
          <t>A 48160-2022</t>
        </is>
      </c>
      <c r="B723" s="1" t="n">
        <v>44853</v>
      </c>
      <c r="C723" s="1" t="n">
        <v>45663</v>
      </c>
      <c r="D723" t="inlineStr">
        <is>
          <t>SÖDERMANLANDS LÄN</t>
        </is>
      </c>
      <c r="E723" t="inlineStr">
        <is>
          <t>KATRINEHOLM</t>
        </is>
      </c>
      <c r="F723" t="inlineStr">
        <is>
          <t>Övriga statliga verk och myndigheter</t>
        </is>
      </c>
      <c r="G723" t="n">
        <v>2.2</v>
      </c>
      <c r="H723" t="n">
        <v>0</v>
      </c>
      <c r="I723" t="n">
        <v>0</v>
      </c>
      <c r="J723" t="n">
        <v>0</v>
      </c>
      <c r="K723" t="n">
        <v>0</v>
      </c>
      <c r="L723" t="n">
        <v>0</v>
      </c>
      <c r="M723" t="n">
        <v>0</v>
      </c>
      <c r="N723" t="n">
        <v>0</v>
      </c>
      <c r="O723" t="n">
        <v>0</v>
      </c>
      <c r="P723" t="n">
        <v>0</v>
      </c>
      <c r="Q723" t="n">
        <v>0</v>
      </c>
      <c r="R723" s="2" t="inlineStr"/>
    </row>
    <row r="724" ht="15" customHeight="1">
      <c r="A724" t="inlineStr">
        <is>
          <t>A 48173-2022</t>
        </is>
      </c>
      <c r="B724" s="1" t="n">
        <v>44853</v>
      </c>
      <c r="C724" s="1" t="n">
        <v>45663</v>
      </c>
      <c r="D724" t="inlineStr">
        <is>
          <t>SÖDERMANLANDS LÄN</t>
        </is>
      </c>
      <c r="E724" t="inlineStr">
        <is>
          <t>KATRINEHOLM</t>
        </is>
      </c>
      <c r="F724" t="inlineStr">
        <is>
          <t>Övriga statliga verk och myndigheter</t>
        </is>
      </c>
      <c r="G724" t="n">
        <v>3.2</v>
      </c>
      <c r="H724" t="n">
        <v>0</v>
      </c>
      <c r="I724" t="n">
        <v>0</v>
      </c>
      <c r="J724" t="n">
        <v>0</v>
      </c>
      <c r="K724" t="n">
        <v>0</v>
      </c>
      <c r="L724" t="n">
        <v>0</v>
      </c>
      <c r="M724" t="n">
        <v>0</v>
      </c>
      <c r="N724" t="n">
        <v>0</v>
      </c>
      <c r="O724" t="n">
        <v>0</v>
      </c>
      <c r="P724" t="n">
        <v>0</v>
      </c>
      <c r="Q724" t="n">
        <v>0</v>
      </c>
      <c r="R724" s="2" t="inlineStr"/>
    </row>
    <row r="725" ht="15" customHeight="1">
      <c r="A725" t="inlineStr">
        <is>
          <t>A 48166-2022</t>
        </is>
      </c>
      <c r="B725" s="1" t="n">
        <v>44853</v>
      </c>
      <c r="C725" s="1" t="n">
        <v>45663</v>
      </c>
      <c r="D725" t="inlineStr">
        <is>
          <t>SÖDERMANLANDS LÄN</t>
        </is>
      </c>
      <c r="E725" t="inlineStr">
        <is>
          <t>KATRINEHOLM</t>
        </is>
      </c>
      <c r="F725" t="inlineStr">
        <is>
          <t>Övriga statliga verk och myndigheter</t>
        </is>
      </c>
      <c r="G725" t="n">
        <v>0.6</v>
      </c>
      <c r="H725" t="n">
        <v>0</v>
      </c>
      <c r="I725" t="n">
        <v>0</v>
      </c>
      <c r="J725" t="n">
        <v>0</v>
      </c>
      <c r="K725" t="n">
        <v>0</v>
      </c>
      <c r="L725" t="n">
        <v>0</v>
      </c>
      <c r="M725" t="n">
        <v>0</v>
      </c>
      <c r="N725" t="n">
        <v>0</v>
      </c>
      <c r="O725" t="n">
        <v>0</v>
      </c>
      <c r="P725" t="n">
        <v>0</v>
      </c>
      <c r="Q725" t="n">
        <v>0</v>
      </c>
      <c r="R725" s="2" t="inlineStr"/>
    </row>
    <row r="726" ht="15" customHeight="1">
      <c r="A726" t="inlineStr">
        <is>
          <t>A 48840-2022</t>
        </is>
      </c>
      <c r="B726" s="1" t="n">
        <v>44854</v>
      </c>
      <c r="C726" s="1" t="n">
        <v>45663</v>
      </c>
      <c r="D726" t="inlineStr">
        <is>
          <t>SÖDERMANLANDS LÄN</t>
        </is>
      </c>
      <c r="E726" t="inlineStr">
        <is>
          <t>KATRINEHOLM</t>
        </is>
      </c>
      <c r="G726" t="n">
        <v>6.2</v>
      </c>
      <c r="H726" t="n">
        <v>0</v>
      </c>
      <c r="I726" t="n">
        <v>0</v>
      </c>
      <c r="J726" t="n">
        <v>0</v>
      </c>
      <c r="K726" t="n">
        <v>0</v>
      </c>
      <c r="L726" t="n">
        <v>0</v>
      </c>
      <c r="M726" t="n">
        <v>0</v>
      </c>
      <c r="N726" t="n">
        <v>0</v>
      </c>
      <c r="O726" t="n">
        <v>0</v>
      </c>
      <c r="P726" t="n">
        <v>0</v>
      </c>
      <c r="Q726" t="n">
        <v>0</v>
      </c>
      <c r="R726" s="2" t="inlineStr"/>
    </row>
    <row r="727" ht="15" customHeight="1">
      <c r="A727" t="inlineStr">
        <is>
          <t>A 48846-2022</t>
        </is>
      </c>
      <c r="B727" s="1" t="n">
        <v>44854</v>
      </c>
      <c r="C727" s="1" t="n">
        <v>45663</v>
      </c>
      <c r="D727" t="inlineStr">
        <is>
          <t>SÖDERMANLANDS LÄN</t>
        </is>
      </c>
      <c r="E727" t="inlineStr">
        <is>
          <t>KATRINEHOLM</t>
        </is>
      </c>
      <c r="G727" t="n">
        <v>3.2</v>
      </c>
      <c r="H727" t="n">
        <v>0</v>
      </c>
      <c r="I727" t="n">
        <v>0</v>
      </c>
      <c r="J727" t="n">
        <v>0</v>
      </c>
      <c r="K727" t="n">
        <v>0</v>
      </c>
      <c r="L727" t="n">
        <v>0</v>
      </c>
      <c r="M727" t="n">
        <v>0</v>
      </c>
      <c r="N727" t="n">
        <v>0</v>
      </c>
      <c r="O727" t="n">
        <v>0</v>
      </c>
      <c r="P727" t="n">
        <v>0</v>
      </c>
      <c r="Q727" t="n">
        <v>0</v>
      </c>
      <c r="R727" s="2" t="inlineStr"/>
    </row>
    <row r="728" ht="15" customHeight="1">
      <c r="A728" t="inlineStr">
        <is>
          <t>A 48028-2022</t>
        </is>
      </c>
      <c r="B728" s="1" t="n">
        <v>44855</v>
      </c>
      <c r="C728" s="1" t="n">
        <v>45663</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45663</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48398-2022</t>
        </is>
      </c>
      <c r="B730" s="1" t="n">
        <v>44858</v>
      </c>
      <c r="C730" s="1" t="n">
        <v>45663</v>
      </c>
      <c r="D730" t="inlineStr">
        <is>
          <t>SÖDERMANLANDS LÄN</t>
        </is>
      </c>
      <c r="E730" t="inlineStr">
        <is>
          <t>KATRINEHOLM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48253-2022</t>
        </is>
      </c>
      <c r="B731" s="1" t="n">
        <v>44858</v>
      </c>
      <c r="C731" s="1" t="n">
        <v>45663</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48259-2022</t>
        </is>
      </c>
      <c r="B732" s="1" t="n">
        <v>44858</v>
      </c>
      <c r="C732" s="1" t="n">
        <v>45663</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48685-2022</t>
        </is>
      </c>
      <c r="B733" s="1" t="n">
        <v>44859</v>
      </c>
      <c r="C733" s="1" t="n">
        <v>45663</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48877-2022</t>
        </is>
      </c>
      <c r="B734" s="1" t="n">
        <v>44859</v>
      </c>
      <c r="C734" s="1" t="n">
        <v>45663</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48682-2022</t>
        </is>
      </c>
      <c r="B735" s="1" t="n">
        <v>44859</v>
      </c>
      <c r="C735" s="1" t="n">
        <v>45663</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50032-2022</t>
        </is>
      </c>
      <c r="B736" s="1" t="n">
        <v>44860</v>
      </c>
      <c r="C736" s="1" t="n">
        <v>45663</v>
      </c>
      <c r="D736" t="inlineStr">
        <is>
          <t>SÖDERMANLANDS LÄN</t>
        </is>
      </c>
      <c r="E736" t="inlineStr">
        <is>
          <t>KATRINEHOLM</t>
        </is>
      </c>
      <c r="G736" t="n">
        <v>7.5</v>
      </c>
      <c r="H736" t="n">
        <v>0</v>
      </c>
      <c r="I736" t="n">
        <v>0</v>
      </c>
      <c r="J736" t="n">
        <v>0</v>
      </c>
      <c r="K736" t="n">
        <v>0</v>
      </c>
      <c r="L736" t="n">
        <v>0</v>
      </c>
      <c r="M736" t="n">
        <v>0</v>
      </c>
      <c r="N736" t="n">
        <v>0</v>
      </c>
      <c r="O736" t="n">
        <v>0</v>
      </c>
      <c r="P736" t="n">
        <v>0</v>
      </c>
      <c r="Q736" t="n">
        <v>0</v>
      </c>
      <c r="R736" s="2" t="inlineStr"/>
    </row>
    <row r="737" ht="15" customHeight="1">
      <c r="A737" t="inlineStr">
        <is>
          <t>A 49700-2022</t>
        </is>
      </c>
      <c r="B737" s="1" t="n">
        <v>44862</v>
      </c>
      <c r="C737" s="1" t="n">
        <v>45663</v>
      </c>
      <c r="D737" t="inlineStr">
        <is>
          <t>SÖDERMANLANDS LÄN</t>
        </is>
      </c>
      <c r="E737" t="inlineStr">
        <is>
          <t>KATRINEHOLM</t>
        </is>
      </c>
      <c r="G737" t="n">
        <v>19.5</v>
      </c>
      <c r="H737" t="n">
        <v>0</v>
      </c>
      <c r="I737" t="n">
        <v>0</v>
      </c>
      <c r="J737" t="n">
        <v>0</v>
      </c>
      <c r="K737" t="n">
        <v>0</v>
      </c>
      <c r="L737" t="n">
        <v>0</v>
      </c>
      <c r="M737" t="n">
        <v>0</v>
      </c>
      <c r="N737" t="n">
        <v>0</v>
      </c>
      <c r="O737" t="n">
        <v>0</v>
      </c>
      <c r="P737" t="n">
        <v>0</v>
      </c>
      <c r="Q737" t="n">
        <v>0</v>
      </c>
      <c r="R737" s="2" t="inlineStr"/>
    </row>
    <row r="738" ht="15" customHeight="1">
      <c r="A738" t="inlineStr">
        <is>
          <t>A 49800-2022</t>
        </is>
      </c>
      <c r="B738" s="1" t="n">
        <v>44862</v>
      </c>
      <c r="C738" s="1" t="n">
        <v>45663</v>
      </c>
      <c r="D738" t="inlineStr">
        <is>
          <t>SÖDERMANLANDS LÄN</t>
        </is>
      </c>
      <c r="E738" t="inlineStr">
        <is>
          <t>KATRINEHOLM</t>
        </is>
      </c>
      <c r="F738" t="inlineStr">
        <is>
          <t>Kyrkan</t>
        </is>
      </c>
      <c r="G738" t="n">
        <v>4.2</v>
      </c>
      <c r="H738" t="n">
        <v>0</v>
      </c>
      <c r="I738" t="n">
        <v>0</v>
      </c>
      <c r="J738" t="n">
        <v>0</v>
      </c>
      <c r="K738" t="n">
        <v>0</v>
      </c>
      <c r="L738" t="n">
        <v>0</v>
      </c>
      <c r="M738" t="n">
        <v>0</v>
      </c>
      <c r="N738" t="n">
        <v>0</v>
      </c>
      <c r="O738" t="n">
        <v>0</v>
      </c>
      <c r="P738" t="n">
        <v>0</v>
      </c>
      <c r="Q738" t="n">
        <v>0</v>
      </c>
      <c r="R738" s="2" t="inlineStr"/>
    </row>
    <row r="739" ht="15" customHeight="1">
      <c r="A739" t="inlineStr">
        <is>
          <t>A 50840-2022</t>
        </is>
      </c>
      <c r="B739" s="1" t="n">
        <v>44862</v>
      </c>
      <c r="C739" s="1" t="n">
        <v>45663</v>
      </c>
      <c r="D739" t="inlineStr">
        <is>
          <t>SÖDERMANLANDS LÄN</t>
        </is>
      </c>
      <c r="E739" t="inlineStr">
        <is>
          <t>KATRINEHOLM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45663</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50079-2022</t>
        </is>
      </c>
      <c r="B741" s="1" t="n">
        <v>44865</v>
      </c>
      <c r="C741" s="1" t="n">
        <v>45663</v>
      </c>
      <c r="D741" t="inlineStr">
        <is>
          <t>SÖDERMANLANDS LÄN</t>
        </is>
      </c>
      <c r="E741" t="inlineStr">
        <is>
          <t>KATRINEHOLM</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51186-2022</t>
        </is>
      </c>
      <c r="B742" s="1" t="n">
        <v>44865</v>
      </c>
      <c r="C742" s="1" t="n">
        <v>45663</v>
      </c>
      <c r="D742" t="inlineStr">
        <is>
          <t>SÖDERMANLANDS LÄN</t>
        </is>
      </c>
      <c r="E742" t="inlineStr">
        <is>
          <t>KATRINEHOLM</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50625-2022</t>
        </is>
      </c>
      <c r="B743" s="1" t="n">
        <v>44866</v>
      </c>
      <c r="C743" s="1" t="n">
        <v>45663</v>
      </c>
      <c r="D743" t="inlineStr">
        <is>
          <t>SÖDERMANLANDS LÄN</t>
        </is>
      </c>
      <c r="E743" t="inlineStr">
        <is>
          <t>KATRINEHOLM</t>
        </is>
      </c>
      <c r="F743" t="inlineStr">
        <is>
          <t>Kyrkan</t>
        </is>
      </c>
      <c r="G743" t="n">
        <v>25</v>
      </c>
      <c r="H743" t="n">
        <v>0</v>
      </c>
      <c r="I743" t="n">
        <v>0</v>
      </c>
      <c r="J743" t="n">
        <v>0</v>
      </c>
      <c r="K743" t="n">
        <v>0</v>
      </c>
      <c r="L743" t="n">
        <v>0</v>
      </c>
      <c r="M743" t="n">
        <v>0</v>
      </c>
      <c r="N743" t="n">
        <v>0</v>
      </c>
      <c r="O743" t="n">
        <v>0</v>
      </c>
      <c r="P743" t="n">
        <v>0</v>
      </c>
      <c r="Q743" t="n">
        <v>0</v>
      </c>
      <c r="R743" s="2" t="inlineStr"/>
    </row>
    <row r="744" ht="15" customHeight="1">
      <c r="A744" t="inlineStr">
        <is>
          <t>A 51602-2022</t>
        </is>
      </c>
      <c r="B744" s="1" t="n">
        <v>44871</v>
      </c>
      <c r="C744" s="1" t="n">
        <v>45663</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51613-2022</t>
        </is>
      </c>
      <c r="B745" s="1" t="n">
        <v>44871</v>
      </c>
      <c r="C745" s="1" t="n">
        <v>45663</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v>
      </c>
      <c r="C746" s="1" t="n">
        <v>45663</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51885-2022</t>
        </is>
      </c>
      <c r="B747" s="1" t="n">
        <v>44872</v>
      </c>
      <c r="C747" s="1" t="n">
        <v>45663</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51805-2022</t>
        </is>
      </c>
      <c r="B748" s="1" t="n">
        <v>44872</v>
      </c>
      <c r="C748" s="1" t="n">
        <v>45663</v>
      </c>
      <c r="D748" t="inlineStr">
        <is>
          <t>SÖDERMANLANDS LÄN</t>
        </is>
      </c>
      <c r="E748" t="inlineStr">
        <is>
          <t>KATRINEHOLM</t>
        </is>
      </c>
      <c r="G748" t="n">
        <v>3.8</v>
      </c>
      <c r="H748" t="n">
        <v>0</v>
      </c>
      <c r="I748" t="n">
        <v>0</v>
      </c>
      <c r="J748" t="n">
        <v>0</v>
      </c>
      <c r="K748" t="n">
        <v>0</v>
      </c>
      <c r="L748" t="n">
        <v>0</v>
      </c>
      <c r="M748" t="n">
        <v>0</v>
      </c>
      <c r="N748" t="n">
        <v>0</v>
      </c>
      <c r="O748" t="n">
        <v>0</v>
      </c>
      <c r="P748" t="n">
        <v>0</v>
      </c>
      <c r="Q748" t="n">
        <v>0</v>
      </c>
      <c r="R748" s="2" t="inlineStr"/>
    </row>
    <row r="749" ht="15" customHeight="1">
      <c r="A749" t="inlineStr">
        <is>
          <t>A 51817-2022</t>
        </is>
      </c>
      <c r="B749" s="1" t="n">
        <v>44872</v>
      </c>
      <c r="C749" s="1" t="n">
        <v>45663</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51835-2022</t>
        </is>
      </c>
      <c r="B750" s="1" t="n">
        <v>44872</v>
      </c>
      <c r="C750" s="1" t="n">
        <v>45663</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51868-2022</t>
        </is>
      </c>
      <c r="B751" s="1" t="n">
        <v>44872</v>
      </c>
      <c r="C751" s="1" t="n">
        <v>45663</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52402-2022</t>
        </is>
      </c>
      <c r="B752" s="1" t="n">
        <v>44874</v>
      </c>
      <c r="C752" s="1" t="n">
        <v>45663</v>
      </c>
      <c r="D752" t="inlineStr">
        <is>
          <t>SÖDERMANLANDS LÄN</t>
        </is>
      </c>
      <c r="E752" t="inlineStr">
        <is>
          <t>KATRINEHOLM</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53750-2022</t>
        </is>
      </c>
      <c r="B753" s="1" t="n">
        <v>44875</v>
      </c>
      <c r="C753" s="1" t="n">
        <v>45663</v>
      </c>
      <c r="D753" t="inlineStr">
        <is>
          <t>SÖDERMANLANDS LÄN</t>
        </is>
      </c>
      <c r="E753" t="inlineStr">
        <is>
          <t>KATRINEHOLM</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53332-2022</t>
        </is>
      </c>
      <c r="B754" s="1" t="n">
        <v>44879</v>
      </c>
      <c r="C754" s="1" t="n">
        <v>45663</v>
      </c>
      <c r="D754" t="inlineStr">
        <is>
          <t>SÖDERMANLANDS LÄN</t>
        </is>
      </c>
      <c r="E754" t="inlineStr">
        <is>
          <t>KATRINEHOLM</t>
        </is>
      </c>
      <c r="F754" t="inlineStr">
        <is>
          <t>Allmännings- och besparingsskogar</t>
        </is>
      </c>
      <c r="G754" t="n">
        <v>7.2</v>
      </c>
      <c r="H754" t="n">
        <v>0</v>
      </c>
      <c r="I754" t="n">
        <v>0</v>
      </c>
      <c r="J754" t="n">
        <v>0</v>
      </c>
      <c r="K754" t="n">
        <v>0</v>
      </c>
      <c r="L754" t="n">
        <v>0</v>
      </c>
      <c r="M754" t="n">
        <v>0</v>
      </c>
      <c r="N754" t="n">
        <v>0</v>
      </c>
      <c r="O754" t="n">
        <v>0</v>
      </c>
      <c r="P754" t="n">
        <v>0</v>
      </c>
      <c r="Q754" t="n">
        <v>0</v>
      </c>
      <c r="R754" s="2" t="inlineStr"/>
    </row>
    <row r="755" ht="15" customHeight="1">
      <c r="A755" t="inlineStr">
        <is>
          <t>A 55172-2022</t>
        </is>
      </c>
      <c r="B755" s="1" t="n">
        <v>44886</v>
      </c>
      <c r="C755" s="1" t="n">
        <v>45663</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55122-2022</t>
        </is>
      </c>
      <c r="B756" s="1" t="n">
        <v>44886</v>
      </c>
      <c r="C756" s="1" t="n">
        <v>45663</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55169-2022</t>
        </is>
      </c>
      <c r="B757" s="1" t="n">
        <v>44886</v>
      </c>
      <c r="C757" s="1" t="n">
        <v>45663</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55825-2022</t>
        </is>
      </c>
      <c r="B758" s="1" t="n">
        <v>44886</v>
      </c>
      <c r="C758" s="1" t="n">
        <v>45663</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55296-2022</t>
        </is>
      </c>
      <c r="B759" s="1" t="n">
        <v>44887</v>
      </c>
      <c r="C759" s="1" t="n">
        <v>45663</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55846-2022</t>
        </is>
      </c>
      <c r="B760" s="1" t="n">
        <v>44888</v>
      </c>
      <c r="C760" s="1" t="n">
        <v>45663</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55863-2022</t>
        </is>
      </c>
      <c r="B761" s="1" t="n">
        <v>44888</v>
      </c>
      <c r="C761" s="1" t="n">
        <v>45663</v>
      </c>
      <c r="D761" t="inlineStr">
        <is>
          <t>SÖDERMANLANDS LÄN</t>
        </is>
      </c>
      <c r="E761" t="inlineStr">
        <is>
          <t>KATRINEHOLM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55856-2022</t>
        </is>
      </c>
      <c r="B762" s="1" t="n">
        <v>44888</v>
      </c>
      <c r="C762" s="1" t="n">
        <v>45663</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55865-2022</t>
        </is>
      </c>
      <c r="B763" s="1" t="n">
        <v>44888</v>
      </c>
      <c r="C763" s="1" t="n">
        <v>45663</v>
      </c>
      <c r="D763" t="inlineStr">
        <is>
          <t>SÖDERMANLANDS LÄN</t>
        </is>
      </c>
      <c r="E763" t="inlineStr">
        <is>
          <t>KATRINEHOLM</t>
        </is>
      </c>
      <c r="G763" t="n">
        <v>9.1</v>
      </c>
      <c r="H763" t="n">
        <v>0</v>
      </c>
      <c r="I763" t="n">
        <v>0</v>
      </c>
      <c r="J763" t="n">
        <v>0</v>
      </c>
      <c r="K763" t="n">
        <v>0</v>
      </c>
      <c r="L763" t="n">
        <v>0</v>
      </c>
      <c r="M763" t="n">
        <v>0</v>
      </c>
      <c r="N763" t="n">
        <v>0</v>
      </c>
      <c r="O763" t="n">
        <v>0</v>
      </c>
      <c r="P763" t="n">
        <v>0</v>
      </c>
      <c r="Q763" t="n">
        <v>0</v>
      </c>
      <c r="R763" s="2" t="inlineStr"/>
    </row>
    <row r="764" ht="15" customHeight="1">
      <c r="A764" t="inlineStr">
        <is>
          <t>A 55857-2022</t>
        </is>
      </c>
      <c r="B764" s="1" t="n">
        <v>44888</v>
      </c>
      <c r="C764" s="1" t="n">
        <v>45663</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57548-2022</t>
        </is>
      </c>
      <c r="B765" s="1" t="n">
        <v>44889</v>
      </c>
      <c r="C765" s="1" t="n">
        <v>45663</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56221-2022</t>
        </is>
      </c>
      <c r="B766" s="1" t="n">
        <v>44890</v>
      </c>
      <c r="C766" s="1" t="n">
        <v>45663</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56216-2022</t>
        </is>
      </c>
      <c r="B767" s="1" t="n">
        <v>44890</v>
      </c>
      <c r="C767" s="1" t="n">
        <v>45663</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56220-2022</t>
        </is>
      </c>
      <c r="B768" s="1" t="n">
        <v>44890</v>
      </c>
      <c r="C768" s="1" t="n">
        <v>45663</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56304-2022</t>
        </is>
      </c>
      <c r="B769" s="1" t="n">
        <v>44890</v>
      </c>
      <c r="C769" s="1" t="n">
        <v>45663</v>
      </c>
      <c r="D769" t="inlineStr">
        <is>
          <t>SÖDERMANLANDS LÄN</t>
        </is>
      </c>
      <c r="E769" t="inlineStr">
        <is>
          <t>KATRINEHOLM</t>
        </is>
      </c>
      <c r="G769" t="n">
        <v>9</v>
      </c>
      <c r="H769" t="n">
        <v>0</v>
      </c>
      <c r="I769" t="n">
        <v>0</v>
      </c>
      <c r="J769" t="n">
        <v>0</v>
      </c>
      <c r="K769" t="n">
        <v>0</v>
      </c>
      <c r="L769" t="n">
        <v>0</v>
      </c>
      <c r="M769" t="n">
        <v>0</v>
      </c>
      <c r="N769" t="n">
        <v>0</v>
      </c>
      <c r="O769" t="n">
        <v>0</v>
      </c>
      <c r="P769" t="n">
        <v>0</v>
      </c>
      <c r="Q769" t="n">
        <v>0</v>
      </c>
      <c r="R769" s="2" t="inlineStr"/>
    </row>
    <row r="770" ht="15" customHeight="1">
      <c r="A770" t="inlineStr">
        <is>
          <t>A 57696-2022</t>
        </is>
      </c>
      <c r="B770" s="1" t="n">
        <v>44890</v>
      </c>
      <c r="C770" s="1" t="n">
        <v>45663</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57727-2022</t>
        </is>
      </c>
      <c r="B771" s="1" t="n">
        <v>44890</v>
      </c>
      <c r="C771" s="1" t="n">
        <v>45663</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57265-2022</t>
        </is>
      </c>
      <c r="B772" s="1" t="n">
        <v>44895</v>
      </c>
      <c r="C772" s="1" t="n">
        <v>45663</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57263-2022</t>
        </is>
      </c>
      <c r="B773" s="1" t="n">
        <v>44895</v>
      </c>
      <c r="C773" s="1" t="n">
        <v>45663</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59386-2022</t>
        </is>
      </c>
      <c r="B774" s="1" t="n">
        <v>44905</v>
      </c>
      <c r="C774" s="1" t="n">
        <v>45663</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59384-2022</t>
        </is>
      </c>
      <c r="B775" s="1" t="n">
        <v>44905</v>
      </c>
      <c r="C775" s="1" t="n">
        <v>45663</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59898-2022</t>
        </is>
      </c>
      <c r="B776" s="1" t="n">
        <v>44908</v>
      </c>
      <c r="C776" s="1" t="n">
        <v>45663</v>
      </c>
      <c r="D776" t="inlineStr">
        <is>
          <t>SÖDERMANLANDS LÄN</t>
        </is>
      </c>
      <c r="E776" t="inlineStr">
        <is>
          <t>KATRINEHOLM</t>
        </is>
      </c>
      <c r="G776" t="n">
        <v>4.8</v>
      </c>
      <c r="H776" t="n">
        <v>0</v>
      </c>
      <c r="I776" t="n">
        <v>0</v>
      </c>
      <c r="J776" t="n">
        <v>0</v>
      </c>
      <c r="K776" t="n">
        <v>0</v>
      </c>
      <c r="L776" t="n">
        <v>0</v>
      </c>
      <c r="M776" t="n">
        <v>0</v>
      </c>
      <c r="N776" t="n">
        <v>0</v>
      </c>
      <c r="O776" t="n">
        <v>0</v>
      </c>
      <c r="P776" t="n">
        <v>0</v>
      </c>
      <c r="Q776" t="n">
        <v>0</v>
      </c>
      <c r="R776" s="2" t="inlineStr"/>
    </row>
    <row r="777" ht="15" customHeight="1">
      <c r="A777" t="inlineStr">
        <is>
          <t>A 59896-2022</t>
        </is>
      </c>
      <c r="B777" s="1" t="n">
        <v>44908</v>
      </c>
      <c r="C777" s="1" t="n">
        <v>45663</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60160-2022</t>
        </is>
      </c>
      <c r="B778" s="1" t="n">
        <v>44909</v>
      </c>
      <c r="C778" s="1" t="n">
        <v>45663</v>
      </c>
      <c r="D778" t="inlineStr">
        <is>
          <t>SÖDERMANLANDS LÄN</t>
        </is>
      </c>
      <c r="E778" t="inlineStr">
        <is>
          <t>KATRINEHOLM</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61010-2022</t>
        </is>
      </c>
      <c r="B779" s="1" t="n">
        <v>44914</v>
      </c>
      <c r="C779" s="1" t="n">
        <v>45663</v>
      </c>
      <c r="D779" t="inlineStr">
        <is>
          <t>SÖDERMANLANDS LÄN</t>
        </is>
      </c>
      <c r="E779" t="inlineStr">
        <is>
          <t>KATRINEHOLM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62140-2022</t>
        </is>
      </c>
      <c r="B780" s="1" t="n">
        <v>44922</v>
      </c>
      <c r="C780" s="1" t="n">
        <v>45663</v>
      </c>
      <c r="D780" t="inlineStr">
        <is>
          <t>SÖDERMANLANDS LÄN</t>
        </is>
      </c>
      <c r="E780" t="inlineStr">
        <is>
          <t>KATRINEHOLM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62506-2022</t>
        </is>
      </c>
      <c r="B781" s="1" t="n">
        <v>44924</v>
      </c>
      <c r="C781" s="1" t="n">
        <v>45663</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36-2023</t>
        </is>
      </c>
      <c r="B782" s="1" t="n">
        <v>44928</v>
      </c>
      <c r="C782" s="1" t="n">
        <v>45663</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931-2023</t>
        </is>
      </c>
      <c r="B783" s="1" t="n">
        <v>44932</v>
      </c>
      <c r="C783" s="1" t="n">
        <v>45663</v>
      </c>
      <c r="D783" t="inlineStr">
        <is>
          <t>SÖDERMANLANDS LÄN</t>
        </is>
      </c>
      <c r="E783" t="inlineStr">
        <is>
          <t>KATRINEHOLM</t>
        </is>
      </c>
      <c r="G783" t="n">
        <v>4</v>
      </c>
      <c r="H783" t="n">
        <v>0</v>
      </c>
      <c r="I783" t="n">
        <v>0</v>
      </c>
      <c r="J783" t="n">
        <v>0</v>
      </c>
      <c r="K783" t="n">
        <v>0</v>
      </c>
      <c r="L783" t="n">
        <v>0</v>
      </c>
      <c r="M783" t="n">
        <v>0</v>
      </c>
      <c r="N783" t="n">
        <v>0</v>
      </c>
      <c r="O783" t="n">
        <v>0</v>
      </c>
      <c r="P783" t="n">
        <v>0</v>
      </c>
      <c r="Q783" t="n">
        <v>0</v>
      </c>
      <c r="R783" s="2" t="inlineStr"/>
    </row>
    <row r="784" ht="15" customHeight="1">
      <c r="A784" t="inlineStr">
        <is>
          <t>A 948-2023</t>
        </is>
      </c>
      <c r="B784" s="1" t="n">
        <v>44934</v>
      </c>
      <c r="C784" s="1" t="n">
        <v>45663</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1552-2023</t>
        </is>
      </c>
      <c r="B785" s="1" t="n">
        <v>44937</v>
      </c>
      <c r="C785" s="1" t="n">
        <v>45663</v>
      </c>
      <c r="D785" t="inlineStr">
        <is>
          <t>SÖDERMANLANDS LÄN</t>
        </is>
      </c>
      <c r="E785" t="inlineStr">
        <is>
          <t>KATRINEHOLM</t>
        </is>
      </c>
      <c r="G785" t="n">
        <v>7.2</v>
      </c>
      <c r="H785" t="n">
        <v>0</v>
      </c>
      <c r="I785" t="n">
        <v>0</v>
      </c>
      <c r="J785" t="n">
        <v>0</v>
      </c>
      <c r="K785" t="n">
        <v>0</v>
      </c>
      <c r="L785" t="n">
        <v>0</v>
      </c>
      <c r="M785" t="n">
        <v>0</v>
      </c>
      <c r="N785" t="n">
        <v>0</v>
      </c>
      <c r="O785" t="n">
        <v>0</v>
      </c>
      <c r="P785" t="n">
        <v>0</v>
      </c>
      <c r="Q785" t="n">
        <v>0</v>
      </c>
      <c r="R785" s="2" t="inlineStr"/>
    </row>
    <row r="786" ht="15" customHeight="1">
      <c r="A786" t="inlineStr">
        <is>
          <t>A 2233-2023</t>
        </is>
      </c>
      <c r="B786" s="1" t="n">
        <v>44942</v>
      </c>
      <c r="C786" s="1" t="n">
        <v>45663</v>
      </c>
      <c r="D786" t="inlineStr">
        <is>
          <t>SÖDERMANLANDS LÄN</t>
        </is>
      </c>
      <c r="E786" t="inlineStr">
        <is>
          <t>KATRINEHOLM</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2325-2023</t>
        </is>
      </c>
      <c r="B787" s="1" t="n">
        <v>44942</v>
      </c>
      <c r="C787" s="1" t="n">
        <v>45663</v>
      </c>
      <c r="D787" t="inlineStr">
        <is>
          <t>SÖDERMANLANDS LÄN</t>
        </is>
      </c>
      <c r="E787" t="inlineStr">
        <is>
          <t>KATRINEHOLM</t>
        </is>
      </c>
      <c r="G787" t="n">
        <v>5.6</v>
      </c>
      <c r="H787" t="n">
        <v>0</v>
      </c>
      <c r="I787" t="n">
        <v>0</v>
      </c>
      <c r="J787" t="n">
        <v>0</v>
      </c>
      <c r="K787" t="n">
        <v>0</v>
      </c>
      <c r="L787" t="n">
        <v>0</v>
      </c>
      <c r="M787" t="n">
        <v>0</v>
      </c>
      <c r="N787" t="n">
        <v>0</v>
      </c>
      <c r="O787" t="n">
        <v>0</v>
      </c>
      <c r="P787" t="n">
        <v>0</v>
      </c>
      <c r="Q787" t="n">
        <v>0</v>
      </c>
      <c r="R787" s="2" t="inlineStr"/>
    </row>
    <row r="788" ht="15" customHeight="1">
      <c r="A788" t="inlineStr">
        <is>
          <t>A 2320-2023</t>
        </is>
      </c>
      <c r="B788" s="1" t="n">
        <v>44942</v>
      </c>
      <c r="C788" s="1" t="n">
        <v>45663</v>
      </c>
      <c r="D788" t="inlineStr">
        <is>
          <t>SÖDERMANLANDS LÄN</t>
        </is>
      </c>
      <c r="E788" t="inlineStr">
        <is>
          <t>KATRINEHOLM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2613-2023</t>
        </is>
      </c>
      <c r="B789" s="1" t="n">
        <v>44944</v>
      </c>
      <c r="C789" s="1" t="n">
        <v>45663</v>
      </c>
      <c r="D789" t="inlineStr">
        <is>
          <t>SÖDERMANLANDS LÄN</t>
        </is>
      </c>
      <c r="E789" t="inlineStr">
        <is>
          <t>KATRINEHOLM</t>
        </is>
      </c>
      <c r="G789" t="n">
        <v>7.9</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45663</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3317-2023</t>
        </is>
      </c>
      <c r="B791" s="1" t="n">
        <v>44945</v>
      </c>
      <c r="C791" s="1" t="n">
        <v>45663</v>
      </c>
      <c r="D791" t="inlineStr">
        <is>
          <t>SÖDERMANLANDS LÄN</t>
        </is>
      </c>
      <c r="E791" t="inlineStr">
        <is>
          <t>KATRINEHOLM</t>
        </is>
      </c>
      <c r="G791" t="n">
        <v>3.2</v>
      </c>
      <c r="H791" t="n">
        <v>0</v>
      </c>
      <c r="I791" t="n">
        <v>0</v>
      </c>
      <c r="J791" t="n">
        <v>0</v>
      </c>
      <c r="K791" t="n">
        <v>0</v>
      </c>
      <c r="L791" t="n">
        <v>0</v>
      </c>
      <c r="M791" t="n">
        <v>0</v>
      </c>
      <c r="N791" t="n">
        <v>0</v>
      </c>
      <c r="O791" t="n">
        <v>0</v>
      </c>
      <c r="P791" t="n">
        <v>0</v>
      </c>
      <c r="Q791" t="n">
        <v>0</v>
      </c>
      <c r="R791" s="2" t="inlineStr"/>
    </row>
    <row r="792" ht="15" customHeight="1">
      <c r="A792" t="inlineStr">
        <is>
          <t>A 3290-2023</t>
        </is>
      </c>
      <c r="B792" s="1" t="n">
        <v>44949</v>
      </c>
      <c r="C792" s="1" t="n">
        <v>45663</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3492-2023</t>
        </is>
      </c>
      <c r="B793" s="1" t="n">
        <v>44949</v>
      </c>
      <c r="C793" s="1" t="n">
        <v>45663</v>
      </c>
      <c r="D793" t="inlineStr">
        <is>
          <t>SÖDERMANLANDS LÄN</t>
        </is>
      </c>
      <c r="E793" t="inlineStr">
        <is>
          <t>KATRINEHOLM</t>
        </is>
      </c>
      <c r="G793" t="n">
        <v>5.5</v>
      </c>
      <c r="H793" t="n">
        <v>0</v>
      </c>
      <c r="I793" t="n">
        <v>0</v>
      </c>
      <c r="J793" t="n">
        <v>0</v>
      </c>
      <c r="K793" t="n">
        <v>0</v>
      </c>
      <c r="L793" t="n">
        <v>0</v>
      </c>
      <c r="M793" t="n">
        <v>0</v>
      </c>
      <c r="N793" t="n">
        <v>0</v>
      </c>
      <c r="O793" t="n">
        <v>0</v>
      </c>
      <c r="P793" t="n">
        <v>0</v>
      </c>
      <c r="Q793" t="n">
        <v>0</v>
      </c>
      <c r="R793" s="2" t="inlineStr"/>
    </row>
    <row r="794" ht="15" customHeight="1">
      <c r="A794" t="inlineStr">
        <is>
          <t>A 4122-2023</t>
        </is>
      </c>
      <c r="B794" s="1" t="n">
        <v>44952</v>
      </c>
      <c r="C794" s="1" t="n">
        <v>45663</v>
      </c>
      <c r="D794" t="inlineStr">
        <is>
          <t>SÖDERMANLANDS LÄN</t>
        </is>
      </c>
      <c r="E794" t="inlineStr">
        <is>
          <t>KATRINEHOLM</t>
        </is>
      </c>
      <c r="G794" t="n">
        <v>9</v>
      </c>
      <c r="H794" t="n">
        <v>0</v>
      </c>
      <c r="I794" t="n">
        <v>0</v>
      </c>
      <c r="J794" t="n">
        <v>0</v>
      </c>
      <c r="K794" t="n">
        <v>0</v>
      </c>
      <c r="L794" t="n">
        <v>0</v>
      </c>
      <c r="M794" t="n">
        <v>0</v>
      </c>
      <c r="N794" t="n">
        <v>0</v>
      </c>
      <c r="O794" t="n">
        <v>0</v>
      </c>
      <c r="P794" t="n">
        <v>0</v>
      </c>
      <c r="Q794" t="n">
        <v>0</v>
      </c>
      <c r="R794" s="2" t="inlineStr"/>
    </row>
    <row r="795" ht="15" customHeight="1">
      <c r="A795" t="inlineStr">
        <is>
          <t>A 4689-2023</t>
        </is>
      </c>
      <c r="B795" s="1" t="n">
        <v>44957</v>
      </c>
      <c r="C795" s="1" t="n">
        <v>45663</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4662-2023</t>
        </is>
      </c>
      <c r="B796" s="1" t="n">
        <v>44957</v>
      </c>
      <c r="C796" s="1" t="n">
        <v>45663</v>
      </c>
      <c r="D796" t="inlineStr">
        <is>
          <t>SÖDERMANLANDS LÄN</t>
        </is>
      </c>
      <c r="E796" t="inlineStr">
        <is>
          <t>KATRINEHOLM</t>
        </is>
      </c>
      <c r="F796" t="inlineStr">
        <is>
          <t>Holmen skog AB</t>
        </is>
      </c>
      <c r="G796" t="n">
        <v>0.4</v>
      </c>
      <c r="H796" t="n">
        <v>0</v>
      </c>
      <c r="I796" t="n">
        <v>0</v>
      </c>
      <c r="J796" t="n">
        <v>0</v>
      </c>
      <c r="K796" t="n">
        <v>0</v>
      </c>
      <c r="L796" t="n">
        <v>0</v>
      </c>
      <c r="M796" t="n">
        <v>0</v>
      </c>
      <c r="N796" t="n">
        <v>0</v>
      </c>
      <c r="O796" t="n">
        <v>0</v>
      </c>
      <c r="P796" t="n">
        <v>0</v>
      </c>
      <c r="Q796" t="n">
        <v>0</v>
      </c>
      <c r="R796" s="2" t="inlineStr"/>
    </row>
    <row r="797" ht="15" customHeight="1">
      <c r="A797" t="inlineStr">
        <is>
          <t>A 4669-2023</t>
        </is>
      </c>
      <c r="B797" s="1" t="n">
        <v>44957</v>
      </c>
      <c r="C797" s="1" t="n">
        <v>45663</v>
      </c>
      <c r="D797" t="inlineStr">
        <is>
          <t>SÖDERMANLANDS LÄN</t>
        </is>
      </c>
      <c r="E797" t="inlineStr">
        <is>
          <t>KATRINEHOLM</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4679-2023</t>
        </is>
      </c>
      <c r="B798" s="1" t="n">
        <v>44957</v>
      </c>
      <c r="C798" s="1" t="n">
        <v>45663</v>
      </c>
      <c r="D798" t="inlineStr">
        <is>
          <t>SÖDERMANLANDS LÄN</t>
        </is>
      </c>
      <c r="E798" t="inlineStr">
        <is>
          <t>KATRINEHOLM</t>
        </is>
      </c>
      <c r="G798" t="n">
        <v>5.3</v>
      </c>
      <c r="H798" t="n">
        <v>0</v>
      </c>
      <c r="I798" t="n">
        <v>0</v>
      </c>
      <c r="J798" t="n">
        <v>0</v>
      </c>
      <c r="K798" t="n">
        <v>0</v>
      </c>
      <c r="L798" t="n">
        <v>0</v>
      </c>
      <c r="M798" t="n">
        <v>0</v>
      </c>
      <c r="N798" t="n">
        <v>0</v>
      </c>
      <c r="O798" t="n">
        <v>0</v>
      </c>
      <c r="P798" t="n">
        <v>0</v>
      </c>
      <c r="Q798" t="n">
        <v>0</v>
      </c>
      <c r="R798" s="2" t="inlineStr"/>
    </row>
    <row r="799" ht="15" customHeight="1">
      <c r="A799" t="inlineStr">
        <is>
          <t>A 4724-2023</t>
        </is>
      </c>
      <c r="B799" s="1" t="n">
        <v>44957</v>
      </c>
      <c r="C799" s="1" t="n">
        <v>45663</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4656-2023</t>
        </is>
      </c>
      <c r="B800" s="1" t="n">
        <v>44957</v>
      </c>
      <c r="C800" s="1" t="n">
        <v>45663</v>
      </c>
      <c r="D800" t="inlineStr">
        <is>
          <t>SÖDERMANLANDS LÄN</t>
        </is>
      </c>
      <c r="E800" t="inlineStr">
        <is>
          <t>KATRINEHOLM</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5191-2023</t>
        </is>
      </c>
      <c r="B801" s="1" t="n">
        <v>44959</v>
      </c>
      <c r="C801" s="1" t="n">
        <v>45663</v>
      </c>
      <c r="D801" t="inlineStr">
        <is>
          <t>SÖDERMANLANDS LÄN</t>
        </is>
      </c>
      <c r="E801" t="inlineStr">
        <is>
          <t>KATRINEHOLM</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5935-2023</t>
        </is>
      </c>
      <c r="B802" s="1" t="n">
        <v>44963</v>
      </c>
      <c r="C802" s="1" t="n">
        <v>45663</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6608-2023</t>
        </is>
      </c>
      <c r="B803" s="1" t="n">
        <v>44963</v>
      </c>
      <c r="C803" s="1" t="n">
        <v>45663</v>
      </c>
      <c r="D803" t="inlineStr">
        <is>
          <t>SÖDERMANLANDS LÄN</t>
        </is>
      </c>
      <c r="E803" t="inlineStr">
        <is>
          <t>KATRINEHOLM</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6611-2023</t>
        </is>
      </c>
      <c r="B804" s="1" t="n">
        <v>44963</v>
      </c>
      <c r="C804" s="1" t="n">
        <v>45663</v>
      </c>
      <c r="D804" t="inlineStr">
        <is>
          <t>SÖDERMANLANDS LÄN</t>
        </is>
      </c>
      <c r="E804" t="inlineStr">
        <is>
          <t>KATRINEHOLM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6622-2023</t>
        </is>
      </c>
      <c r="B805" s="1" t="n">
        <v>44963</v>
      </c>
      <c r="C805" s="1" t="n">
        <v>45663</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6175-2023</t>
        </is>
      </c>
      <c r="B806" s="1" t="n">
        <v>44964</v>
      </c>
      <c r="C806" s="1" t="n">
        <v>45663</v>
      </c>
      <c r="D806" t="inlineStr">
        <is>
          <t>SÖDERMANLANDS LÄN</t>
        </is>
      </c>
      <c r="E806" t="inlineStr">
        <is>
          <t>KATRINEHOLM</t>
        </is>
      </c>
      <c r="G806" t="n">
        <v>11.2</v>
      </c>
      <c r="H806" t="n">
        <v>0</v>
      </c>
      <c r="I806" t="n">
        <v>0</v>
      </c>
      <c r="J806" t="n">
        <v>0</v>
      </c>
      <c r="K806" t="n">
        <v>0</v>
      </c>
      <c r="L806" t="n">
        <v>0</v>
      </c>
      <c r="M806" t="n">
        <v>0</v>
      </c>
      <c r="N806" t="n">
        <v>0</v>
      </c>
      <c r="O806" t="n">
        <v>0</v>
      </c>
      <c r="P806" t="n">
        <v>0</v>
      </c>
      <c r="Q806" t="n">
        <v>0</v>
      </c>
      <c r="R806" s="2" t="inlineStr"/>
    </row>
    <row r="807" ht="15" customHeight="1">
      <c r="A807" t="inlineStr">
        <is>
          <t>A 6810-2023</t>
        </is>
      </c>
      <c r="B807" s="1" t="n">
        <v>44964</v>
      </c>
      <c r="C807" s="1" t="n">
        <v>45663</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5970-2023</t>
        </is>
      </c>
      <c r="B808" s="1" t="n">
        <v>44964</v>
      </c>
      <c r="C808" s="1" t="n">
        <v>45663</v>
      </c>
      <c r="D808" t="inlineStr">
        <is>
          <t>SÖDERMANLANDS LÄN</t>
        </is>
      </c>
      <c r="E808" t="inlineStr">
        <is>
          <t>KATRINEHOLM</t>
        </is>
      </c>
      <c r="G808" t="n">
        <v>1</v>
      </c>
      <c r="H808" t="n">
        <v>0</v>
      </c>
      <c r="I808" t="n">
        <v>0</v>
      </c>
      <c r="J808" t="n">
        <v>0</v>
      </c>
      <c r="K808" t="n">
        <v>0</v>
      </c>
      <c r="L808" t="n">
        <v>0</v>
      </c>
      <c r="M808" t="n">
        <v>0</v>
      </c>
      <c r="N808" t="n">
        <v>0</v>
      </c>
      <c r="O808" t="n">
        <v>0</v>
      </c>
      <c r="P808" t="n">
        <v>0</v>
      </c>
      <c r="Q808" t="n">
        <v>0</v>
      </c>
      <c r="R808" s="2" t="inlineStr"/>
    </row>
    <row r="809" ht="15" customHeight="1">
      <c r="A809" t="inlineStr">
        <is>
          <t>A 6808-2023</t>
        </is>
      </c>
      <c r="B809" s="1" t="n">
        <v>44964</v>
      </c>
      <c r="C809" s="1" t="n">
        <v>45663</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6807-2023</t>
        </is>
      </c>
      <c r="B810" s="1" t="n">
        <v>44964</v>
      </c>
      <c r="C810" s="1" t="n">
        <v>45663</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6303-2023</t>
        </is>
      </c>
      <c r="B811" s="1" t="n">
        <v>44965</v>
      </c>
      <c r="C811" s="1" t="n">
        <v>45663</v>
      </c>
      <c r="D811" t="inlineStr">
        <is>
          <t>SÖDERMANLANDS LÄN</t>
        </is>
      </c>
      <c r="E811" t="inlineStr">
        <is>
          <t>KATRINEHOLM</t>
        </is>
      </c>
      <c r="F811" t="inlineStr">
        <is>
          <t>Allmännings- och besparingsskogar</t>
        </is>
      </c>
      <c r="G811" t="n">
        <v>53.1</v>
      </c>
      <c r="H811" t="n">
        <v>0</v>
      </c>
      <c r="I811" t="n">
        <v>0</v>
      </c>
      <c r="J811" t="n">
        <v>0</v>
      </c>
      <c r="K811" t="n">
        <v>0</v>
      </c>
      <c r="L811" t="n">
        <v>0</v>
      </c>
      <c r="M811" t="n">
        <v>0</v>
      </c>
      <c r="N811" t="n">
        <v>0</v>
      </c>
      <c r="O811" t="n">
        <v>0</v>
      </c>
      <c r="P811" t="n">
        <v>0</v>
      </c>
      <c r="Q811" t="n">
        <v>0</v>
      </c>
      <c r="R811" s="2" t="inlineStr"/>
    </row>
    <row r="812" ht="15" customHeight="1">
      <c r="A812" t="inlineStr">
        <is>
          <t>A 7106-2023</t>
        </is>
      </c>
      <c r="B812" s="1" t="n">
        <v>44965</v>
      </c>
      <c r="C812" s="1" t="n">
        <v>45663</v>
      </c>
      <c r="D812" t="inlineStr">
        <is>
          <t>SÖDERMANLANDS LÄN</t>
        </is>
      </c>
      <c r="E812" t="inlineStr">
        <is>
          <t>KATRINEHOLM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7191-2023</t>
        </is>
      </c>
      <c r="B813" s="1" t="n">
        <v>44965</v>
      </c>
      <c r="C813" s="1" t="n">
        <v>45663</v>
      </c>
      <c r="D813" t="inlineStr">
        <is>
          <t>SÖDERMANLANDS LÄN</t>
        </is>
      </c>
      <c r="E813" t="inlineStr">
        <is>
          <t>KATRINEHOLM</t>
        </is>
      </c>
      <c r="G813" t="n">
        <v>14.1</v>
      </c>
      <c r="H813" t="n">
        <v>0</v>
      </c>
      <c r="I813" t="n">
        <v>0</v>
      </c>
      <c r="J813" t="n">
        <v>0</v>
      </c>
      <c r="K813" t="n">
        <v>0</v>
      </c>
      <c r="L813" t="n">
        <v>0</v>
      </c>
      <c r="M813" t="n">
        <v>0</v>
      </c>
      <c r="N813" t="n">
        <v>0</v>
      </c>
      <c r="O813" t="n">
        <v>0</v>
      </c>
      <c r="P813" t="n">
        <v>0</v>
      </c>
      <c r="Q813" t="n">
        <v>0</v>
      </c>
      <c r="R813" s="2" t="inlineStr"/>
    </row>
    <row r="814" ht="15" customHeight="1">
      <c r="A814" t="inlineStr">
        <is>
          <t>A 7197-2023</t>
        </is>
      </c>
      <c r="B814" s="1" t="n">
        <v>44965</v>
      </c>
      <c r="C814" s="1" t="n">
        <v>45663</v>
      </c>
      <c r="D814" t="inlineStr">
        <is>
          <t>SÖDERMANLANDS LÄN</t>
        </is>
      </c>
      <c r="E814" t="inlineStr">
        <is>
          <t>KATRINEHOLM</t>
        </is>
      </c>
      <c r="G814" t="n">
        <v>5.3</v>
      </c>
      <c r="H814" t="n">
        <v>0</v>
      </c>
      <c r="I814" t="n">
        <v>0</v>
      </c>
      <c r="J814" t="n">
        <v>0</v>
      </c>
      <c r="K814" t="n">
        <v>0</v>
      </c>
      <c r="L814" t="n">
        <v>0</v>
      </c>
      <c r="M814" t="n">
        <v>0</v>
      </c>
      <c r="N814" t="n">
        <v>0</v>
      </c>
      <c r="O814" t="n">
        <v>0</v>
      </c>
      <c r="P814" t="n">
        <v>0</v>
      </c>
      <c r="Q814" t="n">
        <v>0</v>
      </c>
      <c r="R814" s="2" t="inlineStr"/>
    </row>
    <row r="815" ht="15" customHeight="1">
      <c r="A815" t="inlineStr">
        <is>
          <t>A 7704-2023</t>
        </is>
      </c>
      <c r="B815" s="1" t="n">
        <v>44968</v>
      </c>
      <c r="C815" s="1" t="n">
        <v>45663</v>
      </c>
      <c r="D815" t="inlineStr">
        <is>
          <t>SÖDERMANLANDS LÄN</t>
        </is>
      </c>
      <c r="E815" t="inlineStr">
        <is>
          <t>KATRINEHOLM</t>
        </is>
      </c>
      <c r="G815" t="n">
        <v>7.3</v>
      </c>
      <c r="H815" t="n">
        <v>0</v>
      </c>
      <c r="I815" t="n">
        <v>0</v>
      </c>
      <c r="J815" t="n">
        <v>0</v>
      </c>
      <c r="K815" t="n">
        <v>0</v>
      </c>
      <c r="L815" t="n">
        <v>0</v>
      </c>
      <c r="M815" t="n">
        <v>0</v>
      </c>
      <c r="N815" t="n">
        <v>0</v>
      </c>
      <c r="O815" t="n">
        <v>0</v>
      </c>
      <c r="P815" t="n">
        <v>0</v>
      </c>
      <c r="Q815" t="n">
        <v>0</v>
      </c>
      <c r="R815" s="2" t="inlineStr"/>
    </row>
    <row r="816" ht="15" customHeight="1">
      <c r="A816" t="inlineStr">
        <is>
          <t>A 7156-2023</t>
        </is>
      </c>
      <c r="B816" s="1" t="n">
        <v>44970</v>
      </c>
      <c r="C816" s="1" t="n">
        <v>45663</v>
      </c>
      <c r="D816" t="inlineStr">
        <is>
          <t>SÖDERMANLANDS LÄN</t>
        </is>
      </c>
      <c r="E816" t="inlineStr">
        <is>
          <t>KATRINEHOLM</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7322-2023</t>
        </is>
      </c>
      <c r="B817" s="1" t="n">
        <v>44970</v>
      </c>
      <c r="C817" s="1" t="n">
        <v>45663</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8074-2023</t>
        </is>
      </c>
      <c r="B818" s="1" t="n">
        <v>44974</v>
      </c>
      <c r="C818" s="1" t="n">
        <v>45663</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8288-2023</t>
        </is>
      </c>
      <c r="B819" s="1" t="n">
        <v>44974</v>
      </c>
      <c r="C819" s="1" t="n">
        <v>45663</v>
      </c>
      <c r="D819" t="inlineStr">
        <is>
          <t>SÖDERMANLANDS LÄN</t>
        </is>
      </c>
      <c r="E819" t="inlineStr">
        <is>
          <t>KATRINEHOLM</t>
        </is>
      </c>
      <c r="F819" t="inlineStr">
        <is>
          <t>Allmännings- och besparingsskogar</t>
        </is>
      </c>
      <c r="G819" t="n">
        <v>5.6</v>
      </c>
      <c r="H819" t="n">
        <v>0</v>
      </c>
      <c r="I819" t="n">
        <v>0</v>
      </c>
      <c r="J819" t="n">
        <v>0</v>
      </c>
      <c r="K819" t="n">
        <v>0</v>
      </c>
      <c r="L819" t="n">
        <v>0</v>
      </c>
      <c r="M819" t="n">
        <v>0</v>
      </c>
      <c r="N819" t="n">
        <v>0</v>
      </c>
      <c r="O819" t="n">
        <v>0</v>
      </c>
      <c r="P819" t="n">
        <v>0</v>
      </c>
      <c r="Q819" t="n">
        <v>0</v>
      </c>
      <c r="R819" s="2" t="inlineStr"/>
    </row>
    <row r="820" ht="15" customHeight="1">
      <c r="A820" t="inlineStr">
        <is>
          <t>A 8071-2023</t>
        </is>
      </c>
      <c r="B820" s="1" t="n">
        <v>44974</v>
      </c>
      <c r="C820" s="1" t="n">
        <v>45663</v>
      </c>
      <c r="D820" t="inlineStr">
        <is>
          <t>SÖDERMANLANDS LÄN</t>
        </is>
      </c>
      <c r="E820" t="inlineStr">
        <is>
          <t>KATRINEHOLM</t>
        </is>
      </c>
      <c r="G820" t="n">
        <v>4.7</v>
      </c>
      <c r="H820" t="n">
        <v>0</v>
      </c>
      <c r="I820" t="n">
        <v>0</v>
      </c>
      <c r="J820" t="n">
        <v>0</v>
      </c>
      <c r="K820" t="n">
        <v>0</v>
      </c>
      <c r="L820" t="n">
        <v>0</v>
      </c>
      <c r="M820" t="n">
        <v>0</v>
      </c>
      <c r="N820" t="n">
        <v>0</v>
      </c>
      <c r="O820" t="n">
        <v>0</v>
      </c>
      <c r="P820" t="n">
        <v>0</v>
      </c>
      <c r="Q820" t="n">
        <v>0</v>
      </c>
      <c r="R820" s="2" t="inlineStr"/>
    </row>
    <row r="821" ht="15" customHeight="1">
      <c r="A821" t="inlineStr">
        <is>
          <t>A 8077-2023</t>
        </is>
      </c>
      <c r="B821" s="1" t="n">
        <v>44974</v>
      </c>
      <c r="C821" s="1" t="n">
        <v>45663</v>
      </c>
      <c r="D821" t="inlineStr">
        <is>
          <t>SÖDERMANLANDS LÄN</t>
        </is>
      </c>
      <c r="E821" t="inlineStr">
        <is>
          <t>KATRINEHOLM</t>
        </is>
      </c>
      <c r="G821" t="n">
        <v>8.1</v>
      </c>
      <c r="H821" t="n">
        <v>0</v>
      </c>
      <c r="I821" t="n">
        <v>0</v>
      </c>
      <c r="J821" t="n">
        <v>0</v>
      </c>
      <c r="K821" t="n">
        <v>0</v>
      </c>
      <c r="L821" t="n">
        <v>0</v>
      </c>
      <c r="M821" t="n">
        <v>0</v>
      </c>
      <c r="N821" t="n">
        <v>0</v>
      </c>
      <c r="O821" t="n">
        <v>0</v>
      </c>
      <c r="P821" t="n">
        <v>0</v>
      </c>
      <c r="Q821" t="n">
        <v>0</v>
      </c>
      <c r="R821" s="2" t="inlineStr"/>
    </row>
    <row r="822" ht="15" customHeight="1">
      <c r="A822" t="inlineStr">
        <is>
          <t>A 8106-2023</t>
        </is>
      </c>
      <c r="B822" s="1" t="n">
        <v>44974</v>
      </c>
      <c r="C822" s="1" t="n">
        <v>45663</v>
      </c>
      <c r="D822" t="inlineStr">
        <is>
          <t>SÖDERMANLANDS LÄN</t>
        </is>
      </c>
      <c r="E822" t="inlineStr">
        <is>
          <t>KATRINEHOLM</t>
        </is>
      </c>
      <c r="G822" t="n">
        <v>4.4</v>
      </c>
      <c r="H822" t="n">
        <v>0</v>
      </c>
      <c r="I822" t="n">
        <v>0</v>
      </c>
      <c r="J822" t="n">
        <v>0</v>
      </c>
      <c r="K822" t="n">
        <v>0</v>
      </c>
      <c r="L822" t="n">
        <v>0</v>
      </c>
      <c r="M822" t="n">
        <v>0</v>
      </c>
      <c r="N822" t="n">
        <v>0</v>
      </c>
      <c r="O822" t="n">
        <v>0</v>
      </c>
      <c r="P822" t="n">
        <v>0</v>
      </c>
      <c r="Q822" t="n">
        <v>0</v>
      </c>
      <c r="R822" s="2" t="inlineStr"/>
    </row>
    <row r="823" ht="15" customHeight="1">
      <c r="A823" t="inlineStr">
        <is>
          <t>A 8298-2023</t>
        </is>
      </c>
      <c r="B823" s="1" t="n">
        <v>44974</v>
      </c>
      <c r="C823" s="1" t="n">
        <v>45663</v>
      </c>
      <c r="D823" t="inlineStr">
        <is>
          <t>SÖDERMANLANDS LÄN</t>
        </is>
      </c>
      <c r="E823" t="inlineStr">
        <is>
          <t>KATRINEHOLM</t>
        </is>
      </c>
      <c r="F823" t="inlineStr">
        <is>
          <t>Allmännings- och besparingsskogar</t>
        </is>
      </c>
      <c r="G823" t="n">
        <v>33.4</v>
      </c>
      <c r="H823" t="n">
        <v>0</v>
      </c>
      <c r="I823" t="n">
        <v>0</v>
      </c>
      <c r="J823" t="n">
        <v>0</v>
      </c>
      <c r="K823" t="n">
        <v>0</v>
      </c>
      <c r="L823" t="n">
        <v>0</v>
      </c>
      <c r="M823" t="n">
        <v>0</v>
      </c>
      <c r="N823" t="n">
        <v>0</v>
      </c>
      <c r="O823" t="n">
        <v>0</v>
      </c>
      <c r="P823" t="n">
        <v>0</v>
      </c>
      <c r="Q823" t="n">
        <v>0</v>
      </c>
      <c r="R823" s="2" t="inlineStr"/>
    </row>
    <row r="824" ht="15" customHeight="1">
      <c r="A824" t="inlineStr">
        <is>
          <t>A 8457-2023</t>
        </is>
      </c>
      <c r="B824" s="1" t="n">
        <v>44977</v>
      </c>
      <c r="C824" s="1" t="n">
        <v>45663</v>
      </c>
      <c r="D824" t="inlineStr">
        <is>
          <t>SÖDERMANLANDS LÄN</t>
        </is>
      </c>
      <c r="E824" t="inlineStr">
        <is>
          <t>KATRINEHOLM</t>
        </is>
      </c>
      <c r="F824" t="inlineStr">
        <is>
          <t>Allmännings- och besparingsskogar</t>
        </is>
      </c>
      <c r="G824" t="n">
        <v>16.1</v>
      </c>
      <c r="H824" t="n">
        <v>0</v>
      </c>
      <c r="I824" t="n">
        <v>0</v>
      </c>
      <c r="J824" t="n">
        <v>0</v>
      </c>
      <c r="K824" t="n">
        <v>0</v>
      </c>
      <c r="L824" t="n">
        <v>0</v>
      </c>
      <c r="M824" t="n">
        <v>0</v>
      </c>
      <c r="N824" t="n">
        <v>0</v>
      </c>
      <c r="O824" t="n">
        <v>0</v>
      </c>
      <c r="P824" t="n">
        <v>0</v>
      </c>
      <c r="Q824" t="n">
        <v>0</v>
      </c>
      <c r="R824" s="2" t="inlineStr"/>
    </row>
    <row r="825" ht="15" customHeight="1">
      <c r="A825" t="inlineStr">
        <is>
          <t>A 8475-2023</t>
        </is>
      </c>
      <c r="B825" s="1" t="n">
        <v>44977</v>
      </c>
      <c r="C825" s="1" t="n">
        <v>45663</v>
      </c>
      <c r="D825" t="inlineStr">
        <is>
          <t>SÖDERMANLANDS LÄN</t>
        </is>
      </c>
      <c r="E825" t="inlineStr">
        <is>
          <t>KATRINEHOLM</t>
        </is>
      </c>
      <c r="F825" t="inlineStr">
        <is>
          <t>Allmännings- och besparingsskogar</t>
        </is>
      </c>
      <c r="G825" t="n">
        <v>8.1</v>
      </c>
      <c r="H825" t="n">
        <v>0</v>
      </c>
      <c r="I825" t="n">
        <v>0</v>
      </c>
      <c r="J825" t="n">
        <v>0</v>
      </c>
      <c r="K825" t="n">
        <v>0</v>
      </c>
      <c r="L825" t="n">
        <v>0</v>
      </c>
      <c r="M825" t="n">
        <v>0</v>
      </c>
      <c r="N825" t="n">
        <v>0</v>
      </c>
      <c r="O825" t="n">
        <v>0</v>
      </c>
      <c r="P825" t="n">
        <v>0</v>
      </c>
      <c r="Q825" t="n">
        <v>0</v>
      </c>
      <c r="R825" s="2" t="inlineStr"/>
    </row>
    <row r="826" ht="15" customHeight="1">
      <c r="A826" t="inlineStr">
        <is>
          <t>A 8518-2023</t>
        </is>
      </c>
      <c r="B826" s="1" t="n">
        <v>44977</v>
      </c>
      <c r="C826" s="1" t="n">
        <v>45663</v>
      </c>
      <c r="D826" t="inlineStr">
        <is>
          <t>SÖDERMANLANDS LÄN</t>
        </is>
      </c>
      <c r="E826" t="inlineStr">
        <is>
          <t>KATRINEHOLM</t>
        </is>
      </c>
      <c r="F826" t="inlineStr">
        <is>
          <t>Allmännings- och besparingsskogar</t>
        </is>
      </c>
      <c r="G826" t="n">
        <v>35.3</v>
      </c>
      <c r="H826" t="n">
        <v>0</v>
      </c>
      <c r="I826" t="n">
        <v>0</v>
      </c>
      <c r="J826" t="n">
        <v>0</v>
      </c>
      <c r="K826" t="n">
        <v>0</v>
      </c>
      <c r="L826" t="n">
        <v>0</v>
      </c>
      <c r="M826" t="n">
        <v>0</v>
      </c>
      <c r="N826" t="n">
        <v>0</v>
      </c>
      <c r="O826" t="n">
        <v>0</v>
      </c>
      <c r="P826" t="n">
        <v>0</v>
      </c>
      <c r="Q826" t="n">
        <v>0</v>
      </c>
      <c r="R826" s="2" t="inlineStr"/>
    </row>
    <row r="827" ht="15" customHeight="1">
      <c r="A827" t="inlineStr">
        <is>
          <t>A 8791-2023</t>
        </is>
      </c>
      <c r="B827" s="1" t="n">
        <v>44978</v>
      </c>
      <c r="C827" s="1" t="n">
        <v>45663</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8765-2023</t>
        </is>
      </c>
      <c r="B828" s="1" t="n">
        <v>44978</v>
      </c>
      <c r="C828" s="1" t="n">
        <v>45663</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8778-2023</t>
        </is>
      </c>
      <c r="B829" s="1" t="n">
        <v>44978</v>
      </c>
      <c r="C829" s="1" t="n">
        <v>45663</v>
      </c>
      <c r="D829" t="inlineStr">
        <is>
          <t>SÖDERMANLANDS LÄN</t>
        </is>
      </c>
      <c r="E829" t="inlineStr">
        <is>
          <t>KATRINEHOLM</t>
        </is>
      </c>
      <c r="G829" t="n">
        <v>4.5</v>
      </c>
      <c r="H829" t="n">
        <v>0</v>
      </c>
      <c r="I829" t="n">
        <v>0</v>
      </c>
      <c r="J829" t="n">
        <v>0</v>
      </c>
      <c r="K829" t="n">
        <v>0</v>
      </c>
      <c r="L829" t="n">
        <v>0</v>
      </c>
      <c r="M829" t="n">
        <v>0</v>
      </c>
      <c r="N829" t="n">
        <v>0</v>
      </c>
      <c r="O829" t="n">
        <v>0</v>
      </c>
      <c r="P829" t="n">
        <v>0</v>
      </c>
      <c r="Q829" t="n">
        <v>0</v>
      </c>
      <c r="R829" s="2" t="inlineStr"/>
    </row>
    <row r="830" ht="15" customHeight="1">
      <c r="A830" t="inlineStr">
        <is>
          <t>A 8761-2023</t>
        </is>
      </c>
      <c r="B830" s="1" t="n">
        <v>44978</v>
      </c>
      <c r="C830" s="1" t="n">
        <v>45663</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9036-2023</t>
        </is>
      </c>
      <c r="B831" s="1" t="n">
        <v>44979</v>
      </c>
      <c r="C831" s="1" t="n">
        <v>45663</v>
      </c>
      <c r="D831" t="inlineStr">
        <is>
          <t>SÖDERMANLANDS LÄN</t>
        </is>
      </c>
      <c r="E831" t="inlineStr">
        <is>
          <t>KATRINEHOLM</t>
        </is>
      </c>
      <c r="G831" t="n">
        <v>6.5</v>
      </c>
      <c r="H831" t="n">
        <v>0</v>
      </c>
      <c r="I831" t="n">
        <v>0</v>
      </c>
      <c r="J831" t="n">
        <v>0</v>
      </c>
      <c r="K831" t="n">
        <v>0</v>
      </c>
      <c r="L831" t="n">
        <v>0</v>
      </c>
      <c r="M831" t="n">
        <v>0</v>
      </c>
      <c r="N831" t="n">
        <v>0</v>
      </c>
      <c r="O831" t="n">
        <v>0</v>
      </c>
      <c r="P831" t="n">
        <v>0</v>
      </c>
      <c r="Q831" t="n">
        <v>0</v>
      </c>
      <c r="R831" s="2" t="inlineStr"/>
    </row>
    <row r="832" ht="15" customHeight="1">
      <c r="A832" t="inlineStr">
        <is>
          <t>A 9207-2023</t>
        </is>
      </c>
      <c r="B832" s="1" t="n">
        <v>44980</v>
      </c>
      <c r="C832" s="1" t="n">
        <v>45663</v>
      </c>
      <c r="D832" t="inlineStr">
        <is>
          <t>SÖDERMANLANDS LÄN</t>
        </is>
      </c>
      <c r="E832" t="inlineStr">
        <is>
          <t>KATRINEHOLM</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9192-2023</t>
        </is>
      </c>
      <c r="B833" s="1" t="n">
        <v>44980</v>
      </c>
      <c r="C833" s="1" t="n">
        <v>45663</v>
      </c>
      <c r="D833" t="inlineStr">
        <is>
          <t>SÖDERMANLANDS LÄN</t>
        </is>
      </c>
      <c r="E833" t="inlineStr">
        <is>
          <t>KATRINEHOLM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9668-2023</t>
        </is>
      </c>
      <c r="B834" s="1" t="n">
        <v>44984</v>
      </c>
      <c r="C834" s="1" t="n">
        <v>45663</v>
      </c>
      <c r="D834" t="inlineStr">
        <is>
          <t>SÖDERMANLANDS LÄN</t>
        </is>
      </c>
      <c r="E834" t="inlineStr">
        <is>
          <t>KATRINEHOLM</t>
        </is>
      </c>
      <c r="G834" t="n">
        <v>4.8</v>
      </c>
      <c r="H834" t="n">
        <v>0</v>
      </c>
      <c r="I834" t="n">
        <v>0</v>
      </c>
      <c r="J834" t="n">
        <v>0</v>
      </c>
      <c r="K834" t="n">
        <v>0</v>
      </c>
      <c r="L834" t="n">
        <v>0</v>
      </c>
      <c r="M834" t="n">
        <v>0</v>
      </c>
      <c r="N834" t="n">
        <v>0</v>
      </c>
      <c r="O834" t="n">
        <v>0</v>
      </c>
      <c r="P834" t="n">
        <v>0</v>
      </c>
      <c r="Q834" t="n">
        <v>0</v>
      </c>
      <c r="R834" s="2" t="inlineStr"/>
    </row>
    <row r="835" ht="15" customHeight="1">
      <c r="A835" t="inlineStr">
        <is>
          <t>A 9929-2023</t>
        </is>
      </c>
      <c r="B835" s="1" t="n">
        <v>44985</v>
      </c>
      <c r="C835" s="1" t="n">
        <v>45663</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9899-2023</t>
        </is>
      </c>
      <c r="B836" s="1" t="n">
        <v>44985</v>
      </c>
      <c r="C836" s="1" t="n">
        <v>45663</v>
      </c>
      <c r="D836" t="inlineStr">
        <is>
          <t>SÖDERMANLANDS LÄN</t>
        </is>
      </c>
      <c r="E836" t="inlineStr">
        <is>
          <t>KATRINEHOLM</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9936-2023</t>
        </is>
      </c>
      <c r="B837" s="1" t="n">
        <v>44985</v>
      </c>
      <c r="C837" s="1" t="n">
        <v>45663</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9932-2023</t>
        </is>
      </c>
      <c r="B838" s="1" t="n">
        <v>44985</v>
      </c>
      <c r="C838" s="1" t="n">
        <v>45663</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10932-2023</t>
        </is>
      </c>
      <c r="B839" s="1" t="n">
        <v>44985</v>
      </c>
      <c r="C839" s="1" t="n">
        <v>45663</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11127-2023</t>
        </is>
      </c>
      <c r="B840" s="1" t="n">
        <v>44987</v>
      </c>
      <c r="C840" s="1" t="n">
        <v>45663</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11104-2023</t>
        </is>
      </c>
      <c r="B841" s="1" t="n">
        <v>44992</v>
      </c>
      <c r="C841" s="1" t="n">
        <v>45663</v>
      </c>
      <c r="D841" t="inlineStr">
        <is>
          <t>SÖDERMANLANDS LÄN</t>
        </is>
      </c>
      <c r="E841" t="inlineStr">
        <is>
          <t>KATRINEHOLM</t>
        </is>
      </c>
      <c r="F841" t="inlineStr">
        <is>
          <t>Allmännings- och besparingsskogar</t>
        </is>
      </c>
      <c r="G841" t="n">
        <v>7.8</v>
      </c>
      <c r="H841" t="n">
        <v>0</v>
      </c>
      <c r="I841" t="n">
        <v>0</v>
      </c>
      <c r="J841" t="n">
        <v>0</v>
      </c>
      <c r="K841" t="n">
        <v>0</v>
      </c>
      <c r="L841" t="n">
        <v>0</v>
      </c>
      <c r="M841" t="n">
        <v>0</v>
      </c>
      <c r="N841" t="n">
        <v>0</v>
      </c>
      <c r="O841" t="n">
        <v>0</v>
      </c>
      <c r="P841" t="n">
        <v>0</v>
      </c>
      <c r="Q841" t="n">
        <v>0</v>
      </c>
      <c r="R841" s="2" t="inlineStr"/>
    </row>
    <row r="842" ht="15" customHeight="1">
      <c r="A842" t="inlineStr">
        <is>
          <t>A 11635-2023</t>
        </is>
      </c>
      <c r="B842" s="1" t="n">
        <v>44994</v>
      </c>
      <c r="C842" s="1" t="n">
        <v>45663</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11875-2023</t>
        </is>
      </c>
      <c r="B843" s="1" t="n">
        <v>44995</v>
      </c>
      <c r="C843" s="1" t="n">
        <v>45663</v>
      </c>
      <c r="D843" t="inlineStr">
        <is>
          <t>SÖDERMANLANDS LÄN</t>
        </is>
      </c>
      <c r="E843" t="inlineStr">
        <is>
          <t>KATRINEHOLM</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11872-2023</t>
        </is>
      </c>
      <c r="B844" s="1" t="n">
        <v>44995</v>
      </c>
      <c r="C844" s="1" t="n">
        <v>45663</v>
      </c>
      <c r="D844" t="inlineStr">
        <is>
          <t>SÖDERMANLANDS LÄN</t>
        </is>
      </c>
      <c r="E844" t="inlineStr">
        <is>
          <t>KATRINEHOLM</t>
        </is>
      </c>
      <c r="F844" t="inlineStr">
        <is>
          <t>Kommuner</t>
        </is>
      </c>
      <c r="G844" t="n">
        <v>0.9</v>
      </c>
      <c r="H844" t="n">
        <v>0</v>
      </c>
      <c r="I844" t="n">
        <v>0</v>
      </c>
      <c r="J844" t="n">
        <v>0</v>
      </c>
      <c r="K844" t="n">
        <v>0</v>
      </c>
      <c r="L844" t="n">
        <v>0</v>
      </c>
      <c r="M844" t="n">
        <v>0</v>
      </c>
      <c r="N844" t="n">
        <v>0</v>
      </c>
      <c r="O844" t="n">
        <v>0</v>
      </c>
      <c r="P844" t="n">
        <v>0</v>
      </c>
      <c r="Q844" t="n">
        <v>0</v>
      </c>
      <c r="R844" s="2" t="inlineStr"/>
    </row>
    <row r="845" ht="15" customHeight="1">
      <c r="A845" t="inlineStr">
        <is>
          <t>A 12449-2023</t>
        </is>
      </c>
      <c r="B845" s="1" t="n">
        <v>44998</v>
      </c>
      <c r="C845" s="1" t="n">
        <v>45663</v>
      </c>
      <c r="D845" t="inlineStr">
        <is>
          <t>SÖDERMANLANDS LÄN</t>
        </is>
      </c>
      <c r="E845" t="inlineStr">
        <is>
          <t>KATRINEHOLM</t>
        </is>
      </c>
      <c r="G845" t="n">
        <v>6.1</v>
      </c>
      <c r="H845" t="n">
        <v>0</v>
      </c>
      <c r="I845" t="n">
        <v>0</v>
      </c>
      <c r="J845" t="n">
        <v>0</v>
      </c>
      <c r="K845" t="n">
        <v>0</v>
      </c>
      <c r="L845" t="n">
        <v>0</v>
      </c>
      <c r="M845" t="n">
        <v>0</v>
      </c>
      <c r="N845" t="n">
        <v>0</v>
      </c>
      <c r="O845" t="n">
        <v>0</v>
      </c>
      <c r="P845" t="n">
        <v>0</v>
      </c>
      <c r="Q845" t="n">
        <v>0</v>
      </c>
      <c r="R845" s="2" t="inlineStr"/>
    </row>
    <row r="846" ht="15" customHeight="1">
      <c r="A846" t="inlineStr">
        <is>
          <t>A 12494-2023</t>
        </is>
      </c>
      <c r="B846" s="1" t="n">
        <v>44999</v>
      </c>
      <c r="C846" s="1" t="n">
        <v>45663</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12559-2023</t>
        </is>
      </c>
      <c r="B847" s="1" t="n">
        <v>45000</v>
      </c>
      <c r="C847" s="1" t="n">
        <v>45663</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12930-2023</t>
        </is>
      </c>
      <c r="B848" s="1" t="n">
        <v>45001</v>
      </c>
      <c r="C848" s="1" t="n">
        <v>45663</v>
      </c>
      <c r="D848" t="inlineStr">
        <is>
          <t>SÖDERMANLANDS LÄN</t>
        </is>
      </c>
      <c r="E848" t="inlineStr">
        <is>
          <t>KATRINEHOLM</t>
        </is>
      </c>
      <c r="G848" t="n">
        <v>0.7</v>
      </c>
      <c r="H848" t="n">
        <v>0</v>
      </c>
      <c r="I848" t="n">
        <v>0</v>
      </c>
      <c r="J848" t="n">
        <v>0</v>
      </c>
      <c r="K848" t="n">
        <v>0</v>
      </c>
      <c r="L848" t="n">
        <v>0</v>
      </c>
      <c r="M848" t="n">
        <v>0</v>
      </c>
      <c r="N848" t="n">
        <v>0</v>
      </c>
      <c r="O848" t="n">
        <v>0</v>
      </c>
      <c r="P848" t="n">
        <v>0</v>
      </c>
      <c r="Q848" t="n">
        <v>0</v>
      </c>
      <c r="R848" s="2" t="inlineStr"/>
    </row>
    <row r="849" ht="15" customHeight="1">
      <c r="A849" t="inlineStr">
        <is>
          <t>A 12934-2023</t>
        </is>
      </c>
      <c r="B849" s="1" t="n">
        <v>45001</v>
      </c>
      <c r="C849" s="1" t="n">
        <v>45663</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12938-2023</t>
        </is>
      </c>
      <c r="B850" s="1" t="n">
        <v>45001</v>
      </c>
      <c r="C850" s="1" t="n">
        <v>45663</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12932-2023</t>
        </is>
      </c>
      <c r="B851" s="1" t="n">
        <v>45001</v>
      </c>
      <c r="C851" s="1" t="n">
        <v>45663</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12935-2023</t>
        </is>
      </c>
      <c r="B852" s="1" t="n">
        <v>45001</v>
      </c>
      <c r="C852" s="1" t="n">
        <v>45663</v>
      </c>
      <c r="D852" t="inlineStr">
        <is>
          <t>SÖDERMANLANDS LÄN</t>
        </is>
      </c>
      <c r="E852" t="inlineStr">
        <is>
          <t>KATRINEHOLM</t>
        </is>
      </c>
      <c r="G852" t="n">
        <v>1.1</v>
      </c>
      <c r="H852" t="n">
        <v>0</v>
      </c>
      <c r="I852" t="n">
        <v>0</v>
      </c>
      <c r="J852" t="n">
        <v>0</v>
      </c>
      <c r="K852" t="n">
        <v>0</v>
      </c>
      <c r="L852" t="n">
        <v>0</v>
      </c>
      <c r="M852" t="n">
        <v>0</v>
      </c>
      <c r="N852" t="n">
        <v>0</v>
      </c>
      <c r="O852" t="n">
        <v>0</v>
      </c>
      <c r="P852" t="n">
        <v>0</v>
      </c>
      <c r="Q852" t="n">
        <v>0</v>
      </c>
      <c r="R852" s="2" t="inlineStr"/>
    </row>
    <row r="853" ht="15" customHeight="1">
      <c r="A853" t="inlineStr">
        <is>
          <t>A 12929-2023</t>
        </is>
      </c>
      <c r="B853" s="1" t="n">
        <v>45001</v>
      </c>
      <c r="C853" s="1" t="n">
        <v>45663</v>
      </c>
      <c r="D853" t="inlineStr">
        <is>
          <t>SÖDERMANLANDS LÄN</t>
        </is>
      </c>
      <c r="E853" t="inlineStr">
        <is>
          <t>KATRINEHOLM</t>
        </is>
      </c>
      <c r="G853" t="n">
        <v>3.1</v>
      </c>
      <c r="H853" t="n">
        <v>0</v>
      </c>
      <c r="I853" t="n">
        <v>0</v>
      </c>
      <c r="J853" t="n">
        <v>0</v>
      </c>
      <c r="K853" t="n">
        <v>0</v>
      </c>
      <c r="L853" t="n">
        <v>0</v>
      </c>
      <c r="M853" t="n">
        <v>0</v>
      </c>
      <c r="N853" t="n">
        <v>0</v>
      </c>
      <c r="O853" t="n">
        <v>0</v>
      </c>
      <c r="P853" t="n">
        <v>0</v>
      </c>
      <c r="Q853" t="n">
        <v>0</v>
      </c>
      <c r="R853" s="2" t="inlineStr"/>
    </row>
    <row r="854" ht="15" customHeight="1">
      <c r="A854" t="inlineStr">
        <is>
          <t>A 12937-2023</t>
        </is>
      </c>
      <c r="B854" s="1" t="n">
        <v>45001</v>
      </c>
      <c r="C854" s="1" t="n">
        <v>45663</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13113-2023</t>
        </is>
      </c>
      <c r="B855" s="1" t="n">
        <v>45002</v>
      </c>
      <c r="C855" s="1" t="n">
        <v>45663</v>
      </c>
      <c r="D855" t="inlineStr">
        <is>
          <t>SÖDERMANLANDS LÄN</t>
        </is>
      </c>
      <c r="E855" t="inlineStr">
        <is>
          <t>KATRINEHOLM</t>
        </is>
      </c>
      <c r="F855" t="inlineStr">
        <is>
          <t>Allmännings- och besparingsskogar</t>
        </is>
      </c>
      <c r="G855" t="n">
        <v>3.6</v>
      </c>
      <c r="H855" t="n">
        <v>0</v>
      </c>
      <c r="I855" t="n">
        <v>0</v>
      </c>
      <c r="J855" t="n">
        <v>0</v>
      </c>
      <c r="K855" t="n">
        <v>0</v>
      </c>
      <c r="L855" t="n">
        <v>0</v>
      </c>
      <c r="M855" t="n">
        <v>0</v>
      </c>
      <c r="N855" t="n">
        <v>0</v>
      </c>
      <c r="O855" t="n">
        <v>0</v>
      </c>
      <c r="P855" t="n">
        <v>0</v>
      </c>
      <c r="Q855" t="n">
        <v>0</v>
      </c>
      <c r="R855" s="2" t="inlineStr"/>
    </row>
    <row r="856" ht="15" customHeight="1">
      <c r="A856" t="inlineStr">
        <is>
          <t>A 13086-2023</t>
        </is>
      </c>
      <c r="B856" s="1" t="n">
        <v>45002</v>
      </c>
      <c r="C856" s="1" t="n">
        <v>45663</v>
      </c>
      <c r="D856" t="inlineStr">
        <is>
          <t>SÖDERMANLANDS LÄN</t>
        </is>
      </c>
      <c r="E856" t="inlineStr">
        <is>
          <t>KATRINEHOLM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13612-2023</t>
        </is>
      </c>
      <c r="B857" s="1" t="n">
        <v>45006</v>
      </c>
      <c r="C857" s="1" t="n">
        <v>45663</v>
      </c>
      <c r="D857" t="inlineStr">
        <is>
          <t>SÖDERMANLANDS LÄN</t>
        </is>
      </c>
      <c r="E857" t="inlineStr">
        <is>
          <t>KATRINEHOLM</t>
        </is>
      </c>
      <c r="G857" t="n">
        <v>2.3</v>
      </c>
      <c r="H857" t="n">
        <v>0</v>
      </c>
      <c r="I857" t="n">
        <v>0</v>
      </c>
      <c r="J857" t="n">
        <v>0</v>
      </c>
      <c r="K857" t="n">
        <v>0</v>
      </c>
      <c r="L857" t="n">
        <v>0</v>
      </c>
      <c r="M857" t="n">
        <v>0</v>
      </c>
      <c r="N857" t="n">
        <v>0</v>
      </c>
      <c r="O857" t="n">
        <v>0</v>
      </c>
      <c r="P857" t="n">
        <v>0</v>
      </c>
      <c r="Q857" t="n">
        <v>0</v>
      </c>
      <c r="R857" s="2" t="inlineStr"/>
    </row>
    <row r="858" ht="15" customHeight="1">
      <c r="A858" t="inlineStr">
        <is>
          <t>A 13610-2023</t>
        </is>
      </c>
      <c r="B858" s="1" t="n">
        <v>45006</v>
      </c>
      <c r="C858" s="1" t="n">
        <v>45663</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13658-2023</t>
        </is>
      </c>
      <c r="B859" s="1" t="n">
        <v>45006</v>
      </c>
      <c r="C859" s="1" t="n">
        <v>45663</v>
      </c>
      <c r="D859" t="inlineStr">
        <is>
          <t>SÖDERMANLANDS LÄN</t>
        </is>
      </c>
      <c r="E859" t="inlineStr">
        <is>
          <t>KATRINEHOLM</t>
        </is>
      </c>
      <c r="F859" t="inlineStr">
        <is>
          <t>Kyrkan</t>
        </is>
      </c>
      <c r="G859" t="n">
        <v>24.3</v>
      </c>
      <c r="H859" t="n">
        <v>0</v>
      </c>
      <c r="I859" t="n">
        <v>0</v>
      </c>
      <c r="J859" t="n">
        <v>0</v>
      </c>
      <c r="K859" t="n">
        <v>0</v>
      </c>
      <c r="L859" t="n">
        <v>0</v>
      </c>
      <c r="M859" t="n">
        <v>0</v>
      </c>
      <c r="N859" t="n">
        <v>0</v>
      </c>
      <c r="O859" t="n">
        <v>0</v>
      </c>
      <c r="P859" t="n">
        <v>0</v>
      </c>
      <c r="Q859" t="n">
        <v>0</v>
      </c>
      <c r="R859" s="2" t="inlineStr"/>
    </row>
    <row r="860" ht="15" customHeight="1">
      <c r="A860" t="inlineStr">
        <is>
          <t>A 14478-2023</t>
        </is>
      </c>
      <c r="B860" s="1" t="n">
        <v>45012</v>
      </c>
      <c r="C860" s="1" t="n">
        <v>45663</v>
      </c>
      <c r="D860" t="inlineStr">
        <is>
          <t>SÖDERMANLANDS LÄN</t>
        </is>
      </c>
      <c r="E860" t="inlineStr">
        <is>
          <t>KATRINEHOLM</t>
        </is>
      </c>
      <c r="G860" t="n">
        <v>3.9</v>
      </c>
      <c r="H860" t="n">
        <v>0</v>
      </c>
      <c r="I860" t="n">
        <v>0</v>
      </c>
      <c r="J860" t="n">
        <v>0</v>
      </c>
      <c r="K860" t="n">
        <v>0</v>
      </c>
      <c r="L860" t="n">
        <v>0</v>
      </c>
      <c r="M860" t="n">
        <v>0</v>
      </c>
      <c r="N860" t="n">
        <v>0</v>
      </c>
      <c r="O860" t="n">
        <v>0</v>
      </c>
      <c r="P860" t="n">
        <v>0</v>
      </c>
      <c r="Q860" t="n">
        <v>0</v>
      </c>
      <c r="R860" s="2" t="inlineStr"/>
    </row>
    <row r="861" ht="15" customHeight="1">
      <c r="A861" t="inlineStr">
        <is>
          <t>A 14629-2023</t>
        </is>
      </c>
      <c r="B861" s="1" t="n">
        <v>45013</v>
      </c>
      <c r="C861" s="1" t="n">
        <v>45663</v>
      </c>
      <c r="D861" t="inlineStr">
        <is>
          <t>SÖDERMANLANDS LÄN</t>
        </is>
      </c>
      <c r="E861" t="inlineStr">
        <is>
          <t>KATRINEHOLM</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15184-2023</t>
        </is>
      </c>
      <c r="B862" s="1" t="n">
        <v>45016</v>
      </c>
      <c r="C862" s="1" t="n">
        <v>45663</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15396-2023</t>
        </is>
      </c>
      <c r="B863" s="1" t="n">
        <v>45016</v>
      </c>
      <c r="C863" s="1" t="n">
        <v>45663</v>
      </c>
      <c r="D863" t="inlineStr">
        <is>
          <t>SÖDERMANLANDS LÄN</t>
        </is>
      </c>
      <c r="E863" t="inlineStr">
        <is>
          <t>KATRINEHOLM</t>
        </is>
      </c>
      <c r="F863" t="inlineStr">
        <is>
          <t>Övriga Aktiebolag</t>
        </is>
      </c>
      <c r="G863" t="n">
        <v>6.3</v>
      </c>
      <c r="H863" t="n">
        <v>0</v>
      </c>
      <c r="I863" t="n">
        <v>0</v>
      </c>
      <c r="J863" t="n">
        <v>0</v>
      </c>
      <c r="K863" t="n">
        <v>0</v>
      </c>
      <c r="L863" t="n">
        <v>0</v>
      </c>
      <c r="M863" t="n">
        <v>0</v>
      </c>
      <c r="N863" t="n">
        <v>0</v>
      </c>
      <c r="O863" t="n">
        <v>0</v>
      </c>
      <c r="P863" t="n">
        <v>0</v>
      </c>
      <c r="Q863" t="n">
        <v>0</v>
      </c>
      <c r="R863" s="2" t="inlineStr"/>
    </row>
    <row r="864" ht="15" customHeight="1">
      <c r="A864" t="inlineStr">
        <is>
          <t>A 15392-2023</t>
        </is>
      </c>
      <c r="B864" s="1" t="n">
        <v>45016</v>
      </c>
      <c r="C864" s="1" t="n">
        <v>45663</v>
      </c>
      <c r="D864" t="inlineStr">
        <is>
          <t>SÖDERMANLANDS LÄN</t>
        </is>
      </c>
      <c r="E864" t="inlineStr">
        <is>
          <t>KATRINEHOLM</t>
        </is>
      </c>
      <c r="F864" t="inlineStr">
        <is>
          <t>Övriga Aktiebolag</t>
        </is>
      </c>
      <c r="G864" t="n">
        <v>2.7</v>
      </c>
      <c r="H864" t="n">
        <v>0</v>
      </c>
      <c r="I864" t="n">
        <v>0</v>
      </c>
      <c r="J864" t="n">
        <v>0</v>
      </c>
      <c r="K864" t="n">
        <v>0</v>
      </c>
      <c r="L864" t="n">
        <v>0</v>
      </c>
      <c r="M864" t="n">
        <v>0</v>
      </c>
      <c r="N864" t="n">
        <v>0</v>
      </c>
      <c r="O864" t="n">
        <v>0</v>
      </c>
      <c r="P864" t="n">
        <v>0</v>
      </c>
      <c r="Q864" t="n">
        <v>0</v>
      </c>
      <c r="R864" s="2" t="inlineStr"/>
    </row>
    <row r="865" ht="15" customHeight="1">
      <c r="A865" t="inlineStr">
        <is>
          <t>A 15235-2023</t>
        </is>
      </c>
      <c r="B865" s="1" t="n">
        <v>45019</v>
      </c>
      <c r="C865" s="1" t="n">
        <v>45663</v>
      </c>
      <c r="D865" t="inlineStr">
        <is>
          <t>SÖDERMANLANDS LÄN</t>
        </is>
      </c>
      <c r="E865" t="inlineStr">
        <is>
          <t>KATRINEHOLM</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15284-2023</t>
        </is>
      </c>
      <c r="B866" s="1" t="n">
        <v>45019</v>
      </c>
      <c r="C866" s="1" t="n">
        <v>45663</v>
      </c>
      <c r="D866" t="inlineStr">
        <is>
          <t>SÖDERMANLANDS LÄN</t>
        </is>
      </c>
      <c r="E866" t="inlineStr">
        <is>
          <t>KATRINEHOLM</t>
        </is>
      </c>
      <c r="F866" t="inlineStr">
        <is>
          <t>Allmännings- och besparingsskogar</t>
        </is>
      </c>
      <c r="G866" t="n">
        <v>17.4</v>
      </c>
      <c r="H866" t="n">
        <v>0</v>
      </c>
      <c r="I866" t="n">
        <v>0</v>
      </c>
      <c r="J866" t="n">
        <v>0</v>
      </c>
      <c r="K866" t="n">
        <v>0</v>
      </c>
      <c r="L866" t="n">
        <v>0</v>
      </c>
      <c r="M866" t="n">
        <v>0</v>
      </c>
      <c r="N866" t="n">
        <v>0</v>
      </c>
      <c r="O866" t="n">
        <v>0</v>
      </c>
      <c r="P866" t="n">
        <v>0</v>
      </c>
      <c r="Q866" t="n">
        <v>0</v>
      </c>
      <c r="R866" s="2" t="inlineStr"/>
    </row>
    <row r="867" ht="15" customHeight="1">
      <c r="A867" t="inlineStr">
        <is>
          <t>A 15775-2023</t>
        </is>
      </c>
      <c r="B867" s="1" t="n">
        <v>45020</v>
      </c>
      <c r="C867" s="1" t="n">
        <v>45663</v>
      </c>
      <c r="D867" t="inlineStr">
        <is>
          <t>SÖDERMANLANDS LÄN</t>
        </is>
      </c>
      <c r="E867" t="inlineStr">
        <is>
          <t>KATRINEHOLM</t>
        </is>
      </c>
      <c r="G867" t="n">
        <v>39.4</v>
      </c>
      <c r="H867" t="n">
        <v>0</v>
      </c>
      <c r="I867" t="n">
        <v>0</v>
      </c>
      <c r="J867" t="n">
        <v>0</v>
      </c>
      <c r="K867" t="n">
        <v>0</v>
      </c>
      <c r="L867" t="n">
        <v>0</v>
      </c>
      <c r="M867" t="n">
        <v>0</v>
      </c>
      <c r="N867" t="n">
        <v>0</v>
      </c>
      <c r="O867" t="n">
        <v>0</v>
      </c>
      <c r="P867" t="n">
        <v>0</v>
      </c>
      <c r="Q867" t="n">
        <v>0</v>
      </c>
      <c r="R867" s="2" t="inlineStr"/>
    </row>
    <row r="868" ht="15" customHeight="1">
      <c r="A868" t="inlineStr">
        <is>
          <t>A 16087-2023</t>
        </is>
      </c>
      <c r="B868" s="1" t="n">
        <v>45026</v>
      </c>
      <c r="C868" s="1" t="n">
        <v>45663</v>
      </c>
      <c r="D868" t="inlineStr">
        <is>
          <t>SÖDERMANLANDS LÄN</t>
        </is>
      </c>
      <c r="E868" t="inlineStr">
        <is>
          <t>KATRINEHOLM</t>
        </is>
      </c>
      <c r="G868" t="n">
        <v>2</v>
      </c>
      <c r="H868" t="n">
        <v>0</v>
      </c>
      <c r="I868" t="n">
        <v>0</v>
      </c>
      <c r="J868" t="n">
        <v>0</v>
      </c>
      <c r="K868" t="n">
        <v>0</v>
      </c>
      <c r="L868" t="n">
        <v>0</v>
      </c>
      <c r="M868" t="n">
        <v>0</v>
      </c>
      <c r="N868" t="n">
        <v>0</v>
      </c>
      <c r="O868" t="n">
        <v>0</v>
      </c>
      <c r="P868" t="n">
        <v>0</v>
      </c>
      <c r="Q868" t="n">
        <v>0</v>
      </c>
      <c r="R868" s="2" t="inlineStr"/>
    </row>
    <row r="869" ht="15" customHeight="1">
      <c r="A869" t="inlineStr">
        <is>
          <t>A 16732-2023</t>
        </is>
      </c>
      <c r="B869" s="1" t="n">
        <v>45030</v>
      </c>
      <c r="C869" s="1" t="n">
        <v>45663</v>
      </c>
      <c r="D869" t="inlineStr">
        <is>
          <t>SÖDERMANLANDS LÄN</t>
        </is>
      </c>
      <c r="E869" t="inlineStr">
        <is>
          <t>KATRINEHOLM</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16738-2023</t>
        </is>
      </c>
      <c r="B870" s="1" t="n">
        <v>45030</v>
      </c>
      <c r="C870" s="1" t="n">
        <v>45663</v>
      </c>
      <c r="D870" t="inlineStr">
        <is>
          <t>SÖDERMANLANDS LÄN</t>
        </is>
      </c>
      <c r="E870" t="inlineStr">
        <is>
          <t>KATRINEHOLM</t>
        </is>
      </c>
      <c r="F870" t="inlineStr">
        <is>
          <t>Holmen skog AB</t>
        </is>
      </c>
      <c r="G870" t="n">
        <v>15.1</v>
      </c>
      <c r="H870" t="n">
        <v>0</v>
      </c>
      <c r="I870" t="n">
        <v>0</v>
      </c>
      <c r="J870" t="n">
        <v>0</v>
      </c>
      <c r="K870" t="n">
        <v>0</v>
      </c>
      <c r="L870" t="n">
        <v>0</v>
      </c>
      <c r="M870" t="n">
        <v>0</v>
      </c>
      <c r="N870" t="n">
        <v>0</v>
      </c>
      <c r="O870" t="n">
        <v>0</v>
      </c>
      <c r="P870" t="n">
        <v>0</v>
      </c>
      <c r="Q870" t="n">
        <v>0</v>
      </c>
      <c r="R870" s="2" t="inlineStr"/>
    </row>
    <row r="871" ht="15" customHeight="1">
      <c r="A871" t="inlineStr">
        <is>
          <t>A 17335-2023</t>
        </is>
      </c>
      <c r="B871" s="1" t="n">
        <v>45033</v>
      </c>
      <c r="C871" s="1" t="n">
        <v>45663</v>
      </c>
      <c r="D871" t="inlineStr">
        <is>
          <t>SÖDERMANLANDS LÄN</t>
        </is>
      </c>
      <c r="E871" t="inlineStr">
        <is>
          <t>KATRINEHOLM</t>
        </is>
      </c>
      <c r="G871" t="n">
        <v>3.3</v>
      </c>
      <c r="H871" t="n">
        <v>0</v>
      </c>
      <c r="I871" t="n">
        <v>0</v>
      </c>
      <c r="J871" t="n">
        <v>0</v>
      </c>
      <c r="K871" t="n">
        <v>0</v>
      </c>
      <c r="L871" t="n">
        <v>0</v>
      </c>
      <c r="M871" t="n">
        <v>0</v>
      </c>
      <c r="N871" t="n">
        <v>0</v>
      </c>
      <c r="O871" t="n">
        <v>0</v>
      </c>
      <c r="P871" t="n">
        <v>0</v>
      </c>
      <c r="Q871" t="n">
        <v>0</v>
      </c>
      <c r="R871" s="2" t="inlineStr"/>
    </row>
    <row r="872" ht="15" customHeight="1">
      <c r="A872" t="inlineStr">
        <is>
          <t>A 17362-2023</t>
        </is>
      </c>
      <c r="B872" s="1" t="n">
        <v>45033</v>
      </c>
      <c r="C872" s="1" t="n">
        <v>45663</v>
      </c>
      <c r="D872" t="inlineStr">
        <is>
          <t>SÖDERMANLANDS LÄN</t>
        </is>
      </c>
      <c r="E872" t="inlineStr">
        <is>
          <t>KATRINEHOLM</t>
        </is>
      </c>
      <c r="G872" t="n">
        <v>15.1</v>
      </c>
      <c r="H872" t="n">
        <v>0</v>
      </c>
      <c r="I872" t="n">
        <v>0</v>
      </c>
      <c r="J872" t="n">
        <v>0</v>
      </c>
      <c r="K872" t="n">
        <v>0</v>
      </c>
      <c r="L872" t="n">
        <v>0</v>
      </c>
      <c r="M872" t="n">
        <v>0</v>
      </c>
      <c r="N872" t="n">
        <v>0</v>
      </c>
      <c r="O872" t="n">
        <v>0</v>
      </c>
      <c r="P872" t="n">
        <v>0</v>
      </c>
      <c r="Q872" t="n">
        <v>0</v>
      </c>
      <c r="R872" s="2" t="inlineStr"/>
    </row>
    <row r="873" ht="15" customHeight="1">
      <c r="A873" t="inlineStr">
        <is>
          <t>A 17531-2023</t>
        </is>
      </c>
      <c r="B873" s="1" t="n">
        <v>45036</v>
      </c>
      <c r="C873" s="1" t="n">
        <v>45663</v>
      </c>
      <c r="D873" t="inlineStr">
        <is>
          <t>SÖDERMANLANDS LÄN</t>
        </is>
      </c>
      <c r="E873" t="inlineStr">
        <is>
          <t>KATRINEHOLM</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17598-2023</t>
        </is>
      </c>
      <c r="B874" s="1" t="n">
        <v>45036</v>
      </c>
      <c r="C874" s="1" t="n">
        <v>45663</v>
      </c>
      <c r="D874" t="inlineStr">
        <is>
          <t>SÖDERMANLANDS LÄN</t>
        </is>
      </c>
      <c r="E874" t="inlineStr">
        <is>
          <t>KATRINEHOLM</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17581-2023</t>
        </is>
      </c>
      <c r="B875" s="1" t="n">
        <v>45036</v>
      </c>
      <c r="C875" s="1" t="n">
        <v>45663</v>
      </c>
      <c r="D875" t="inlineStr">
        <is>
          <t>SÖDERMANLANDS LÄN</t>
        </is>
      </c>
      <c r="E875" t="inlineStr">
        <is>
          <t>KATRINEHOLM</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18112-2023</t>
        </is>
      </c>
      <c r="B876" s="1" t="n">
        <v>45040</v>
      </c>
      <c r="C876" s="1" t="n">
        <v>45663</v>
      </c>
      <c r="D876" t="inlineStr">
        <is>
          <t>SÖDERMANLANDS LÄN</t>
        </is>
      </c>
      <c r="E876" t="inlineStr">
        <is>
          <t>KATRINEHOLM</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17973-2023</t>
        </is>
      </c>
      <c r="B877" s="1" t="n">
        <v>45040</v>
      </c>
      <c r="C877" s="1" t="n">
        <v>45663</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18339-2023</t>
        </is>
      </c>
      <c r="B878" s="1" t="n">
        <v>45041</v>
      </c>
      <c r="C878" s="1" t="n">
        <v>45663</v>
      </c>
      <c r="D878" t="inlineStr">
        <is>
          <t>SÖDERMANLANDS LÄN</t>
        </is>
      </c>
      <c r="E878" t="inlineStr">
        <is>
          <t>KATRINEHOLM</t>
        </is>
      </c>
      <c r="G878" t="n">
        <v>1.7</v>
      </c>
      <c r="H878" t="n">
        <v>0</v>
      </c>
      <c r="I878" t="n">
        <v>0</v>
      </c>
      <c r="J878" t="n">
        <v>0</v>
      </c>
      <c r="K878" t="n">
        <v>0</v>
      </c>
      <c r="L878" t="n">
        <v>0</v>
      </c>
      <c r="M878" t="n">
        <v>0</v>
      </c>
      <c r="N878" t="n">
        <v>0</v>
      </c>
      <c r="O878" t="n">
        <v>0</v>
      </c>
      <c r="P878" t="n">
        <v>0</v>
      </c>
      <c r="Q878" t="n">
        <v>0</v>
      </c>
      <c r="R878" s="2" t="inlineStr"/>
    </row>
    <row r="879" ht="15" customHeight="1">
      <c r="A879" t="inlineStr">
        <is>
          <t>A 19442-2023</t>
        </is>
      </c>
      <c r="B879" s="1" t="n">
        <v>45050</v>
      </c>
      <c r="C879" s="1" t="n">
        <v>45663</v>
      </c>
      <c r="D879" t="inlineStr">
        <is>
          <t>SÖDERMANLANDS LÄN</t>
        </is>
      </c>
      <c r="E879" t="inlineStr">
        <is>
          <t>KATRINEHOLM</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19452-2023</t>
        </is>
      </c>
      <c r="B880" s="1" t="n">
        <v>45050</v>
      </c>
      <c r="C880" s="1" t="n">
        <v>45663</v>
      </c>
      <c r="D880" t="inlineStr">
        <is>
          <t>SÖDERMANLANDS LÄN</t>
        </is>
      </c>
      <c r="E880" t="inlineStr">
        <is>
          <t>KATRINEHOLM</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19603-2023</t>
        </is>
      </c>
      <c r="B881" s="1" t="n">
        <v>45050</v>
      </c>
      <c r="C881" s="1" t="n">
        <v>45663</v>
      </c>
      <c r="D881" t="inlineStr">
        <is>
          <t>SÖDERMANLANDS LÄN</t>
        </is>
      </c>
      <c r="E881" t="inlineStr">
        <is>
          <t>KATRINEHOLM</t>
        </is>
      </c>
      <c r="F881" t="inlineStr">
        <is>
          <t>Kyrkan</t>
        </is>
      </c>
      <c r="G881" t="n">
        <v>4.4</v>
      </c>
      <c r="H881" t="n">
        <v>0</v>
      </c>
      <c r="I881" t="n">
        <v>0</v>
      </c>
      <c r="J881" t="n">
        <v>0</v>
      </c>
      <c r="K881" t="n">
        <v>0</v>
      </c>
      <c r="L881" t="n">
        <v>0</v>
      </c>
      <c r="M881" t="n">
        <v>0</v>
      </c>
      <c r="N881" t="n">
        <v>0</v>
      </c>
      <c r="O881" t="n">
        <v>0</v>
      </c>
      <c r="P881" t="n">
        <v>0</v>
      </c>
      <c r="Q881" t="n">
        <v>0</v>
      </c>
      <c r="R881" s="2" t="inlineStr"/>
    </row>
    <row r="882" ht="15" customHeight="1">
      <c r="A882" t="inlineStr">
        <is>
          <t>A 19445-2023</t>
        </is>
      </c>
      <c r="B882" s="1" t="n">
        <v>45050</v>
      </c>
      <c r="C882" s="1" t="n">
        <v>45663</v>
      </c>
      <c r="D882" t="inlineStr">
        <is>
          <t>SÖDERMANLANDS LÄN</t>
        </is>
      </c>
      <c r="E882" t="inlineStr">
        <is>
          <t>KATRINEHOLM</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19716-2023</t>
        </is>
      </c>
      <c r="B883" s="1" t="n">
        <v>45051</v>
      </c>
      <c r="C883" s="1" t="n">
        <v>45663</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19653-2023</t>
        </is>
      </c>
      <c r="B884" s="1" t="n">
        <v>45051</v>
      </c>
      <c r="C884" s="1" t="n">
        <v>45663</v>
      </c>
      <c r="D884" t="inlineStr">
        <is>
          <t>SÖDERMANLANDS LÄN</t>
        </is>
      </c>
      <c r="E884" t="inlineStr">
        <is>
          <t>KATRINEHOLM</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20312-2023</t>
        </is>
      </c>
      <c r="B885" s="1" t="n">
        <v>45056</v>
      </c>
      <c r="C885" s="1" t="n">
        <v>45663</v>
      </c>
      <c r="D885" t="inlineStr">
        <is>
          <t>SÖDERMANLANDS LÄN</t>
        </is>
      </c>
      <c r="E885" t="inlineStr">
        <is>
          <t>KATRINEHOLM</t>
        </is>
      </c>
      <c r="G885" t="n">
        <v>10.6</v>
      </c>
      <c r="H885" t="n">
        <v>0</v>
      </c>
      <c r="I885" t="n">
        <v>0</v>
      </c>
      <c r="J885" t="n">
        <v>0</v>
      </c>
      <c r="K885" t="n">
        <v>0</v>
      </c>
      <c r="L885" t="n">
        <v>0</v>
      </c>
      <c r="M885" t="n">
        <v>0</v>
      </c>
      <c r="N885" t="n">
        <v>0</v>
      </c>
      <c r="O885" t="n">
        <v>0</v>
      </c>
      <c r="P885" t="n">
        <v>0</v>
      </c>
      <c r="Q885" t="n">
        <v>0</v>
      </c>
      <c r="R885" s="2" t="inlineStr"/>
    </row>
    <row r="886" ht="15" customHeight="1">
      <c r="A886" t="inlineStr">
        <is>
          <t>A 20351-2023</t>
        </is>
      </c>
      <c r="B886" s="1" t="n">
        <v>45056</v>
      </c>
      <c r="C886" s="1" t="n">
        <v>45663</v>
      </c>
      <c r="D886" t="inlineStr">
        <is>
          <t>SÖDERMANLANDS LÄN</t>
        </is>
      </c>
      <c r="E886" t="inlineStr">
        <is>
          <t>KATRINEHOLM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20326-2023</t>
        </is>
      </c>
      <c r="B887" s="1" t="n">
        <v>45056</v>
      </c>
      <c r="C887" s="1" t="n">
        <v>45663</v>
      </c>
      <c r="D887" t="inlineStr">
        <is>
          <t>SÖDERMANLANDS LÄN</t>
        </is>
      </c>
      <c r="E887" t="inlineStr">
        <is>
          <t>KATRINEHOLM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20305-2023</t>
        </is>
      </c>
      <c r="B888" s="1" t="n">
        <v>45056</v>
      </c>
      <c r="C888" s="1" t="n">
        <v>45663</v>
      </c>
      <c r="D888" t="inlineStr">
        <is>
          <t>SÖDERMANLANDS LÄN</t>
        </is>
      </c>
      <c r="E888" t="inlineStr">
        <is>
          <t>KATRINEHOLM</t>
        </is>
      </c>
      <c r="G888" t="n">
        <v>10.4</v>
      </c>
      <c r="H888" t="n">
        <v>0</v>
      </c>
      <c r="I888" t="n">
        <v>0</v>
      </c>
      <c r="J888" t="n">
        <v>0</v>
      </c>
      <c r="K888" t="n">
        <v>0</v>
      </c>
      <c r="L888" t="n">
        <v>0</v>
      </c>
      <c r="M888" t="n">
        <v>0</v>
      </c>
      <c r="N888" t="n">
        <v>0</v>
      </c>
      <c r="O888" t="n">
        <v>0</v>
      </c>
      <c r="P888" t="n">
        <v>0</v>
      </c>
      <c r="Q888" t="n">
        <v>0</v>
      </c>
      <c r="R888" s="2" t="inlineStr"/>
    </row>
    <row r="889" ht="15" customHeight="1">
      <c r="A889" t="inlineStr">
        <is>
          <t>A 20367-2023</t>
        </is>
      </c>
      <c r="B889" s="1" t="n">
        <v>45056</v>
      </c>
      <c r="C889" s="1" t="n">
        <v>45663</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20921-2023</t>
        </is>
      </c>
      <c r="B890" s="1" t="n">
        <v>45061</v>
      </c>
      <c r="C890" s="1" t="n">
        <v>45663</v>
      </c>
      <c r="D890" t="inlineStr">
        <is>
          <t>SÖDERMANLANDS LÄN</t>
        </is>
      </c>
      <c r="E890" t="inlineStr">
        <is>
          <t>KATRINEHOLM</t>
        </is>
      </c>
      <c r="G890" t="n">
        <v>8.9</v>
      </c>
      <c r="H890" t="n">
        <v>0</v>
      </c>
      <c r="I890" t="n">
        <v>0</v>
      </c>
      <c r="J890" t="n">
        <v>0</v>
      </c>
      <c r="K890" t="n">
        <v>0</v>
      </c>
      <c r="L890" t="n">
        <v>0</v>
      </c>
      <c r="M890" t="n">
        <v>0</v>
      </c>
      <c r="N890" t="n">
        <v>0</v>
      </c>
      <c r="O890" t="n">
        <v>0</v>
      </c>
      <c r="P890" t="n">
        <v>0</v>
      </c>
      <c r="Q890" t="n">
        <v>0</v>
      </c>
      <c r="R890" s="2" t="inlineStr"/>
    </row>
    <row r="891" ht="15" customHeight="1">
      <c r="A891" t="inlineStr">
        <is>
          <t>A 21075-2023</t>
        </is>
      </c>
      <c r="B891" s="1" t="n">
        <v>45061</v>
      </c>
      <c r="C891" s="1" t="n">
        <v>45663</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21708-2023</t>
        </is>
      </c>
      <c r="B892" s="1" t="n">
        <v>45064</v>
      </c>
      <c r="C892" s="1" t="n">
        <v>45663</v>
      </c>
      <c r="D892" t="inlineStr">
        <is>
          <t>SÖDERMANLANDS LÄN</t>
        </is>
      </c>
      <c r="E892" t="inlineStr">
        <is>
          <t>KATRINEHOLM</t>
        </is>
      </c>
      <c r="G892" t="n">
        <v>5</v>
      </c>
      <c r="H892" t="n">
        <v>0</v>
      </c>
      <c r="I892" t="n">
        <v>0</v>
      </c>
      <c r="J892" t="n">
        <v>0</v>
      </c>
      <c r="K892" t="n">
        <v>0</v>
      </c>
      <c r="L892" t="n">
        <v>0</v>
      </c>
      <c r="M892" t="n">
        <v>0</v>
      </c>
      <c r="N892" t="n">
        <v>0</v>
      </c>
      <c r="O892" t="n">
        <v>0</v>
      </c>
      <c r="P892" t="n">
        <v>0</v>
      </c>
      <c r="Q892" t="n">
        <v>0</v>
      </c>
      <c r="R892" s="2" t="inlineStr"/>
    </row>
    <row r="893" ht="15" customHeight="1">
      <c r="A893" t="inlineStr">
        <is>
          <t>A 22345-2023</t>
        </is>
      </c>
      <c r="B893" s="1" t="n">
        <v>45070</v>
      </c>
      <c r="C893" s="1" t="n">
        <v>45663</v>
      </c>
      <c r="D893" t="inlineStr">
        <is>
          <t>SÖDERMANLANDS LÄN</t>
        </is>
      </c>
      <c r="E893" t="inlineStr">
        <is>
          <t>KATRINEHOLM</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22506-2023</t>
        </is>
      </c>
      <c r="B894" s="1" t="n">
        <v>45071</v>
      </c>
      <c r="C894" s="1" t="n">
        <v>45663</v>
      </c>
      <c r="D894" t="inlineStr">
        <is>
          <t>SÖDERMANLANDS LÄN</t>
        </is>
      </c>
      <c r="E894" t="inlineStr">
        <is>
          <t>KATRINEHOLM</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23207-2023</t>
        </is>
      </c>
      <c r="B895" s="1" t="n">
        <v>45071</v>
      </c>
      <c r="C895" s="1" t="n">
        <v>45663</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23463-2023</t>
        </is>
      </c>
      <c r="B896" s="1" t="n">
        <v>45072</v>
      </c>
      <c r="C896" s="1" t="n">
        <v>45663</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23127-2023</t>
        </is>
      </c>
      <c r="B897" s="1" t="n">
        <v>45075</v>
      </c>
      <c r="C897" s="1" t="n">
        <v>45663</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23122-2023</t>
        </is>
      </c>
      <c r="B898" s="1" t="n">
        <v>45075</v>
      </c>
      <c r="C898" s="1" t="n">
        <v>45663</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23125-2023</t>
        </is>
      </c>
      <c r="B899" s="1" t="n">
        <v>45075</v>
      </c>
      <c r="C899" s="1" t="n">
        <v>45663</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23942-2023</t>
        </is>
      </c>
      <c r="B900" s="1" t="n">
        <v>45075</v>
      </c>
      <c r="C900" s="1" t="n">
        <v>45663</v>
      </c>
      <c r="D900" t="inlineStr">
        <is>
          <t>SÖDERMANLANDS LÄN</t>
        </is>
      </c>
      <c r="E900" t="inlineStr">
        <is>
          <t>KATRINEHOLM</t>
        </is>
      </c>
      <c r="G900" t="n">
        <v>21.5</v>
      </c>
      <c r="H900" t="n">
        <v>0</v>
      </c>
      <c r="I900" t="n">
        <v>0</v>
      </c>
      <c r="J900" t="n">
        <v>0</v>
      </c>
      <c r="K900" t="n">
        <v>0</v>
      </c>
      <c r="L900" t="n">
        <v>0</v>
      </c>
      <c r="M900" t="n">
        <v>0</v>
      </c>
      <c r="N900" t="n">
        <v>0</v>
      </c>
      <c r="O900" t="n">
        <v>0</v>
      </c>
      <c r="P900" t="n">
        <v>0</v>
      </c>
      <c r="Q900" t="n">
        <v>0</v>
      </c>
      <c r="R900" s="2" t="inlineStr"/>
    </row>
    <row r="901" ht="15" customHeight="1">
      <c r="A901" t="inlineStr">
        <is>
          <t>A 23916-2023</t>
        </is>
      </c>
      <c r="B901" s="1" t="n">
        <v>45075</v>
      </c>
      <c r="C901" s="1" t="n">
        <v>45663</v>
      </c>
      <c r="D901" t="inlineStr">
        <is>
          <t>SÖDERMANLANDS LÄN</t>
        </is>
      </c>
      <c r="E901" t="inlineStr">
        <is>
          <t>KATRINEHOLM</t>
        </is>
      </c>
      <c r="G901" t="n">
        <v>8</v>
      </c>
      <c r="H901" t="n">
        <v>0</v>
      </c>
      <c r="I901" t="n">
        <v>0</v>
      </c>
      <c r="J901" t="n">
        <v>0</v>
      </c>
      <c r="K901" t="n">
        <v>0</v>
      </c>
      <c r="L901" t="n">
        <v>0</v>
      </c>
      <c r="M901" t="n">
        <v>0</v>
      </c>
      <c r="N901" t="n">
        <v>0</v>
      </c>
      <c r="O901" t="n">
        <v>0</v>
      </c>
      <c r="P901" t="n">
        <v>0</v>
      </c>
      <c r="Q901" t="n">
        <v>0</v>
      </c>
      <c r="R901" s="2" t="inlineStr"/>
    </row>
    <row r="902" ht="15" customHeight="1">
      <c r="A902" t="inlineStr">
        <is>
          <t>A 23867-2023</t>
        </is>
      </c>
      <c r="B902" s="1" t="n">
        <v>45075</v>
      </c>
      <c r="C902" s="1" t="n">
        <v>45663</v>
      </c>
      <c r="D902" t="inlineStr">
        <is>
          <t>SÖDERMANLANDS LÄN</t>
        </is>
      </c>
      <c r="E902" t="inlineStr">
        <is>
          <t>KATRINEHOLM</t>
        </is>
      </c>
      <c r="G902" t="n">
        <v>18.7</v>
      </c>
      <c r="H902" t="n">
        <v>0</v>
      </c>
      <c r="I902" t="n">
        <v>0</v>
      </c>
      <c r="J902" t="n">
        <v>0</v>
      </c>
      <c r="K902" t="n">
        <v>0</v>
      </c>
      <c r="L902" t="n">
        <v>0</v>
      </c>
      <c r="M902" t="n">
        <v>0</v>
      </c>
      <c r="N902" t="n">
        <v>0</v>
      </c>
      <c r="O902" t="n">
        <v>0</v>
      </c>
      <c r="P902" t="n">
        <v>0</v>
      </c>
      <c r="Q902" t="n">
        <v>0</v>
      </c>
      <c r="R902" s="2" t="inlineStr"/>
    </row>
    <row r="903" ht="15" customHeight="1">
      <c r="A903" t="inlineStr">
        <is>
          <t>A 23842-2023</t>
        </is>
      </c>
      <c r="B903" s="1" t="n">
        <v>45075</v>
      </c>
      <c r="C903" s="1" t="n">
        <v>45663</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23341-2023</t>
        </is>
      </c>
      <c r="B904" s="1" t="n">
        <v>45076</v>
      </c>
      <c r="C904" s="1" t="n">
        <v>45663</v>
      </c>
      <c r="D904" t="inlineStr">
        <is>
          <t>SÖDERMANLANDS LÄN</t>
        </is>
      </c>
      <c r="E904" t="inlineStr">
        <is>
          <t>KATRINEHOLM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23347-2023</t>
        </is>
      </c>
      <c r="B905" s="1" t="n">
        <v>45076</v>
      </c>
      <c r="C905" s="1" t="n">
        <v>45663</v>
      </c>
      <c r="D905" t="inlineStr">
        <is>
          <t>SÖDERMANLANDS LÄN</t>
        </is>
      </c>
      <c r="E905" t="inlineStr">
        <is>
          <t>KATRINEHOLM</t>
        </is>
      </c>
      <c r="G905" t="n">
        <v>4.3</v>
      </c>
      <c r="H905" t="n">
        <v>0</v>
      </c>
      <c r="I905" t="n">
        <v>0</v>
      </c>
      <c r="J905" t="n">
        <v>0</v>
      </c>
      <c r="K905" t="n">
        <v>0</v>
      </c>
      <c r="L905" t="n">
        <v>0</v>
      </c>
      <c r="M905" t="n">
        <v>0</v>
      </c>
      <c r="N905" t="n">
        <v>0</v>
      </c>
      <c r="O905" t="n">
        <v>0</v>
      </c>
      <c r="P905" t="n">
        <v>0</v>
      </c>
      <c r="Q905" t="n">
        <v>0</v>
      </c>
      <c r="R905" s="2" t="inlineStr"/>
    </row>
    <row r="906" ht="15" customHeight="1">
      <c r="A906" t="inlineStr">
        <is>
          <t>A 23438-2023</t>
        </is>
      </c>
      <c r="B906" s="1" t="n">
        <v>45076</v>
      </c>
      <c r="C906" s="1" t="n">
        <v>45663</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23705-2023</t>
        </is>
      </c>
      <c r="B907" s="1" t="n">
        <v>45077</v>
      </c>
      <c r="C907" s="1" t="n">
        <v>45663</v>
      </c>
      <c r="D907" t="inlineStr">
        <is>
          <t>SÖDERMANLANDS LÄN</t>
        </is>
      </c>
      <c r="E907" t="inlineStr">
        <is>
          <t>KATRINEHOLM</t>
        </is>
      </c>
      <c r="F907" t="inlineStr">
        <is>
          <t>Kyrkan</t>
        </is>
      </c>
      <c r="G907" t="n">
        <v>11.9</v>
      </c>
      <c r="H907" t="n">
        <v>0</v>
      </c>
      <c r="I907" t="n">
        <v>0</v>
      </c>
      <c r="J907" t="n">
        <v>0</v>
      </c>
      <c r="K907" t="n">
        <v>0</v>
      </c>
      <c r="L907" t="n">
        <v>0</v>
      </c>
      <c r="M907" t="n">
        <v>0</v>
      </c>
      <c r="N907" t="n">
        <v>0</v>
      </c>
      <c r="O907" t="n">
        <v>0</v>
      </c>
      <c r="P907" t="n">
        <v>0</v>
      </c>
      <c r="Q907" t="n">
        <v>0</v>
      </c>
      <c r="R907" s="2" t="inlineStr"/>
    </row>
    <row r="908" ht="15" customHeight="1">
      <c r="A908" t="inlineStr">
        <is>
          <t>A 23727-2023</t>
        </is>
      </c>
      <c r="B908" s="1" t="n">
        <v>45077</v>
      </c>
      <c r="C908" s="1" t="n">
        <v>45663</v>
      </c>
      <c r="D908" t="inlineStr">
        <is>
          <t>SÖDERMANLANDS LÄN</t>
        </is>
      </c>
      <c r="E908" t="inlineStr">
        <is>
          <t>KATRINEHOLM</t>
        </is>
      </c>
      <c r="F908" t="inlineStr">
        <is>
          <t>Kyrkan</t>
        </is>
      </c>
      <c r="G908" t="n">
        <v>13.7</v>
      </c>
      <c r="H908" t="n">
        <v>0</v>
      </c>
      <c r="I908" t="n">
        <v>0</v>
      </c>
      <c r="J908" t="n">
        <v>0</v>
      </c>
      <c r="K908" t="n">
        <v>0</v>
      </c>
      <c r="L908" t="n">
        <v>0</v>
      </c>
      <c r="M908" t="n">
        <v>0</v>
      </c>
      <c r="N908" t="n">
        <v>0</v>
      </c>
      <c r="O908" t="n">
        <v>0</v>
      </c>
      <c r="P908" t="n">
        <v>0</v>
      </c>
      <c r="Q908" t="n">
        <v>0</v>
      </c>
      <c r="R908" s="2" t="inlineStr"/>
    </row>
    <row r="909" ht="15" customHeight="1">
      <c r="A909" t="inlineStr">
        <is>
          <t>A 24023-2023</t>
        </is>
      </c>
      <c r="B909" s="1" t="n">
        <v>45078</v>
      </c>
      <c r="C909" s="1" t="n">
        <v>45663</v>
      </c>
      <c r="D909" t="inlineStr">
        <is>
          <t>SÖDERMANLANDS LÄN</t>
        </is>
      </c>
      <c r="E909" t="inlineStr">
        <is>
          <t>KATRINEHOLM</t>
        </is>
      </c>
      <c r="G909" t="n">
        <v>1.3</v>
      </c>
      <c r="H909" t="n">
        <v>0</v>
      </c>
      <c r="I909" t="n">
        <v>0</v>
      </c>
      <c r="J909" t="n">
        <v>0</v>
      </c>
      <c r="K909" t="n">
        <v>0</v>
      </c>
      <c r="L909" t="n">
        <v>0</v>
      </c>
      <c r="M909" t="n">
        <v>0</v>
      </c>
      <c r="N909" t="n">
        <v>0</v>
      </c>
      <c r="O909" t="n">
        <v>0</v>
      </c>
      <c r="P909" t="n">
        <v>0</v>
      </c>
      <c r="Q909" t="n">
        <v>0</v>
      </c>
      <c r="R909" s="2" t="inlineStr"/>
    </row>
    <row r="910" ht="15" customHeight="1">
      <c r="A910" t="inlineStr">
        <is>
          <t>A 24022-2023</t>
        </is>
      </c>
      <c r="B910" s="1" t="n">
        <v>45078</v>
      </c>
      <c r="C910" s="1" t="n">
        <v>45663</v>
      </c>
      <c r="D910" t="inlineStr">
        <is>
          <t>SÖDERMANLANDS LÄN</t>
        </is>
      </c>
      <c r="E910" t="inlineStr">
        <is>
          <t>KATRINEHOLM</t>
        </is>
      </c>
      <c r="G910" t="n">
        <v>7.7</v>
      </c>
      <c r="H910" t="n">
        <v>0</v>
      </c>
      <c r="I910" t="n">
        <v>0</v>
      </c>
      <c r="J910" t="n">
        <v>0</v>
      </c>
      <c r="K910" t="n">
        <v>0</v>
      </c>
      <c r="L910" t="n">
        <v>0</v>
      </c>
      <c r="M910" t="n">
        <v>0</v>
      </c>
      <c r="N910" t="n">
        <v>0</v>
      </c>
      <c r="O910" t="n">
        <v>0</v>
      </c>
      <c r="P910" t="n">
        <v>0</v>
      </c>
      <c r="Q910" t="n">
        <v>0</v>
      </c>
      <c r="R910" s="2" t="inlineStr"/>
    </row>
    <row r="911" ht="15" customHeight="1">
      <c r="A911" t="inlineStr">
        <is>
          <t>A 25379-2023</t>
        </is>
      </c>
      <c r="B911" s="1" t="n">
        <v>45079</v>
      </c>
      <c r="C911" s="1" t="n">
        <v>45663</v>
      </c>
      <c r="D911" t="inlineStr">
        <is>
          <t>SÖDERMANLANDS LÄN</t>
        </is>
      </c>
      <c r="E911" t="inlineStr">
        <is>
          <t>KATRINEHOLM</t>
        </is>
      </c>
      <c r="G911" t="n">
        <v>36.7</v>
      </c>
      <c r="H911" t="n">
        <v>0</v>
      </c>
      <c r="I911" t="n">
        <v>0</v>
      </c>
      <c r="J911" t="n">
        <v>0</v>
      </c>
      <c r="K911" t="n">
        <v>0</v>
      </c>
      <c r="L911" t="n">
        <v>0</v>
      </c>
      <c r="M911" t="n">
        <v>0</v>
      </c>
      <c r="N911" t="n">
        <v>0</v>
      </c>
      <c r="O911" t="n">
        <v>0</v>
      </c>
      <c r="P911" t="n">
        <v>0</v>
      </c>
      <c r="Q911" t="n">
        <v>0</v>
      </c>
      <c r="R911" s="2" t="inlineStr"/>
    </row>
    <row r="912" ht="15" customHeight="1">
      <c r="A912" t="inlineStr">
        <is>
          <t>A 24410-2023</t>
        </is>
      </c>
      <c r="B912" s="1" t="n">
        <v>45082</v>
      </c>
      <c r="C912" s="1" t="n">
        <v>45663</v>
      </c>
      <c r="D912" t="inlineStr">
        <is>
          <t>SÖDERMANLANDS LÄN</t>
        </is>
      </c>
      <c r="E912" t="inlineStr">
        <is>
          <t>KATRINEHOLM</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25362-2023</t>
        </is>
      </c>
      <c r="B913" s="1" t="n">
        <v>45088</v>
      </c>
      <c r="C913" s="1" t="n">
        <v>45663</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25363-2023</t>
        </is>
      </c>
      <c r="B914" s="1" t="n">
        <v>45088</v>
      </c>
      <c r="C914" s="1" t="n">
        <v>45663</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25805-2023</t>
        </is>
      </c>
      <c r="B915" s="1" t="n">
        <v>45090</v>
      </c>
      <c r="C915" s="1" t="n">
        <v>45663</v>
      </c>
      <c r="D915" t="inlineStr">
        <is>
          <t>SÖDERMANLANDS LÄN</t>
        </is>
      </c>
      <c r="E915" t="inlineStr">
        <is>
          <t>KATRINEHOLM</t>
        </is>
      </c>
      <c r="F915" t="inlineStr">
        <is>
          <t>Kyrkan</t>
        </is>
      </c>
      <c r="G915" t="n">
        <v>10</v>
      </c>
      <c r="H915" t="n">
        <v>0</v>
      </c>
      <c r="I915" t="n">
        <v>0</v>
      </c>
      <c r="J915" t="n">
        <v>0</v>
      </c>
      <c r="K915" t="n">
        <v>0</v>
      </c>
      <c r="L915" t="n">
        <v>0</v>
      </c>
      <c r="M915" t="n">
        <v>0</v>
      </c>
      <c r="N915" t="n">
        <v>0</v>
      </c>
      <c r="O915" t="n">
        <v>0</v>
      </c>
      <c r="P915" t="n">
        <v>0</v>
      </c>
      <c r="Q915" t="n">
        <v>0</v>
      </c>
      <c r="R915" s="2" t="inlineStr"/>
    </row>
    <row r="916" ht="15" customHeight="1">
      <c r="A916" t="inlineStr">
        <is>
          <t>A 25823-2023</t>
        </is>
      </c>
      <c r="B916" s="1" t="n">
        <v>45090</v>
      </c>
      <c r="C916" s="1" t="n">
        <v>45663</v>
      </c>
      <c r="D916" t="inlineStr">
        <is>
          <t>SÖDERMANLANDS LÄN</t>
        </is>
      </c>
      <c r="E916" t="inlineStr">
        <is>
          <t>KATRINEHOLM</t>
        </is>
      </c>
      <c r="F916" t="inlineStr">
        <is>
          <t>Kyrkan</t>
        </is>
      </c>
      <c r="G916" t="n">
        <v>10.2</v>
      </c>
      <c r="H916" t="n">
        <v>0</v>
      </c>
      <c r="I916" t="n">
        <v>0</v>
      </c>
      <c r="J916" t="n">
        <v>0</v>
      </c>
      <c r="K916" t="n">
        <v>0</v>
      </c>
      <c r="L916" t="n">
        <v>0</v>
      </c>
      <c r="M916" t="n">
        <v>0</v>
      </c>
      <c r="N916" t="n">
        <v>0</v>
      </c>
      <c r="O916" t="n">
        <v>0</v>
      </c>
      <c r="P916" t="n">
        <v>0</v>
      </c>
      <c r="Q916" t="n">
        <v>0</v>
      </c>
      <c r="R916" s="2" t="inlineStr"/>
    </row>
    <row r="917" ht="15" customHeight="1">
      <c r="A917" t="inlineStr">
        <is>
          <t>A 27026-2023</t>
        </is>
      </c>
      <c r="B917" s="1" t="n">
        <v>45095</v>
      </c>
      <c r="C917" s="1" t="n">
        <v>45663</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27345-2023</t>
        </is>
      </c>
      <c r="B918" s="1" t="n">
        <v>45096</v>
      </c>
      <c r="C918" s="1" t="n">
        <v>45663</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27334-2023</t>
        </is>
      </c>
      <c r="B919" s="1" t="n">
        <v>45096</v>
      </c>
      <c r="C919" s="1" t="n">
        <v>45663</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27335-2023</t>
        </is>
      </c>
      <c r="B920" s="1" t="n">
        <v>45096</v>
      </c>
      <c r="C920" s="1" t="n">
        <v>45663</v>
      </c>
      <c r="D920" t="inlineStr">
        <is>
          <t>SÖDERMANLANDS LÄN</t>
        </is>
      </c>
      <c r="E920" t="inlineStr">
        <is>
          <t>KATRINEHOLM</t>
        </is>
      </c>
      <c r="G920" t="n">
        <v>2</v>
      </c>
      <c r="H920" t="n">
        <v>0</v>
      </c>
      <c r="I920" t="n">
        <v>0</v>
      </c>
      <c r="J920" t="n">
        <v>0</v>
      </c>
      <c r="K920" t="n">
        <v>0</v>
      </c>
      <c r="L920" t="n">
        <v>0</v>
      </c>
      <c r="M920" t="n">
        <v>0</v>
      </c>
      <c r="N920" t="n">
        <v>0</v>
      </c>
      <c r="O920" t="n">
        <v>0</v>
      </c>
      <c r="P920" t="n">
        <v>0</v>
      </c>
      <c r="Q920" t="n">
        <v>0</v>
      </c>
      <c r="R920" s="2" t="inlineStr"/>
    </row>
    <row r="921" ht="15" customHeight="1">
      <c r="A921" t="inlineStr">
        <is>
          <t>A 27646-2023</t>
        </is>
      </c>
      <c r="B921" s="1" t="n">
        <v>45097</v>
      </c>
      <c r="C921" s="1" t="n">
        <v>45663</v>
      </c>
      <c r="D921" t="inlineStr">
        <is>
          <t>SÖDERMANLANDS LÄN</t>
        </is>
      </c>
      <c r="E921" t="inlineStr">
        <is>
          <t>KATRINEHOLM</t>
        </is>
      </c>
      <c r="G921" t="n">
        <v>2.4</v>
      </c>
      <c r="H921" t="n">
        <v>0</v>
      </c>
      <c r="I921" t="n">
        <v>0</v>
      </c>
      <c r="J921" t="n">
        <v>0</v>
      </c>
      <c r="K921" t="n">
        <v>0</v>
      </c>
      <c r="L921" t="n">
        <v>0</v>
      </c>
      <c r="M921" t="n">
        <v>0</v>
      </c>
      <c r="N921" t="n">
        <v>0</v>
      </c>
      <c r="O921" t="n">
        <v>0</v>
      </c>
      <c r="P921" t="n">
        <v>0</v>
      </c>
      <c r="Q921" t="n">
        <v>0</v>
      </c>
      <c r="R921" s="2" t="inlineStr"/>
    </row>
    <row r="922" ht="15" customHeight="1">
      <c r="A922" t="inlineStr">
        <is>
          <t>A 27852-2023</t>
        </is>
      </c>
      <c r="B922" s="1" t="n">
        <v>45098</v>
      </c>
      <c r="C922" s="1" t="n">
        <v>45663</v>
      </c>
      <c r="D922" t="inlineStr">
        <is>
          <t>SÖDERMANLANDS LÄN</t>
        </is>
      </c>
      <c r="E922" t="inlineStr">
        <is>
          <t>KATRINEHOLM</t>
        </is>
      </c>
      <c r="G922" t="n">
        <v>7.4</v>
      </c>
      <c r="H922" t="n">
        <v>0</v>
      </c>
      <c r="I922" t="n">
        <v>0</v>
      </c>
      <c r="J922" t="n">
        <v>0</v>
      </c>
      <c r="K922" t="n">
        <v>0</v>
      </c>
      <c r="L922" t="n">
        <v>0</v>
      </c>
      <c r="M922" t="n">
        <v>0</v>
      </c>
      <c r="N922" t="n">
        <v>0</v>
      </c>
      <c r="O922" t="n">
        <v>0</v>
      </c>
      <c r="P922" t="n">
        <v>0</v>
      </c>
      <c r="Q922" t="n">
        <v>0</v>
      </c>
      <c r="R922" s="2" t="inlineStr"/>
    </row>
    <row r="923" ht="15" customHeight="1">
      <c r="A923" t="inlineStr">
        <is>
          <t>A 27957-2023</t>
        </is>
      </c>
      <c r="B923" s="1" t="n">
        <v>45098</v>
      </c>
      <c r="C923" s="1" t="n">
        <v>45663</v>
      </c>
      <c r="D923" t="inlineStr">
        <is>
          <t>SÖDERMANLANDS LÄN</t>
        </is>
      </c>
      <c r="E923" t="inlineStr">
        <is>
          <t>KATRINEHOLM</t>
        </is>
      </c>
      <c r="G923" t="n">
        <v>6.8</v>
      </c>
      <c r="H923" t="n">
        <v>0</v>
      </c>
      <c r="I923" t="n">
        <v>0</v>
      </c>
      <c r="J923" t="n">
        <v>0</v>
      </c>
      <c r="K923" t="n">
        <v>0</v>
      </c>
      <c r="L923" t="n">
        <v>0</v>
      </c>
      <c r="M923" t="n">
        <v>0</v>
      </c>
      <c r="N923" t="n">
        <v>0</v>
      </c>
      <c r="O923" t="n">
        <v>0</v>
      </c>
      <c r="P923" t="n">
        <v>0</v>
      </c>
      <c r="Q923" t="n">
        <v>0</v>
      </c>
      <c r="R923" s="2" t="inlineStr"/>
    </row>
    <row r="924" ht="15" customHeight="1">
      <c r="A924" t="inlineStr">
        <is>
          <t>A 27962-2023</t>
        </is>
      </c>
      <c r="B924" s="1" t="n">
        <v>45098</v>
      </c>
      <c r="C924" s="1" t="n">
        <v>45663</v>
      </c>
      <c r="D924" t="inlineStr">
        <is>
          <t>SÖDERMANLANDS LÄN</t>
        </is>
      </c>
      <c r="E924" t="inlineStr">
        <is>
          <t>KATRINEHOLM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27955-2023</t>
        </is>
      </c>
      <c r="B925" s="1" t="n">
        <v>45098</v>
      </c>
      <c r="C925" s="1" t="n">
        <v>45663</v>
      </c>
      <c r="D925" t="inlineStr">
        <is>
          <t>SÖDERMANLANDS LÄN</t>
        </is>
      </c>
      <c r="E925" t="inlineStr">
        <is>
          <t>KATRINEHOLM</t>
        </is>
      </c>
      <c r="G925" t="n">
        <v>5.9</v>
      </c>
      <c r="H925" t="n">
        <v>0</v>
      </c>
      <c r="I925" t="n">
        <v>0</v>
      </c>
      <c r="J925" t="n">
        <v>0</v>
      </c>
      <c r="K925" t="n">
        <v>0</v>
      </c>
      <c r="L925" t="n">
        <v>0</v>
      </c>
      <c r="M925" t="n">
        <v>0</v>
      </c>
      <c r="N925" t="n">
        <v>0</v>
      </c>
      <c r="O925" t="n">
        <v>0</v>
      </c>
      <c r="P925" t="n">
        <v>0</v>
      </c>
      <c r="Q925" t="n">
        <v>0</v>
      </c>
      <c r="R925" s="2" t="inlineStr"/>
    </row>
    <row r="926" ht="15" customHeight="1">
      <c r="A926" t="inlineStr">
        <is>
          <t>A 27959-2023</t>
        </is>
      </c>
      <c r="B926" s="1" t="n">
        <v>45098</v>
      </c>
      <c r="C926" s="1" t="n">
        <v>45663</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30242-2023</t>
        </is>
      </c>
      <c r="B927" s="1" t="n">
        <v>45099</v>
      </c>
      <c r="C927" s="1" t="n">
        <v>45663</v>
      </c>
      <c r="D927" t="inlineStr">
        <is>
          <t>SÖDERMANLANDS LÄN</t>
        </is>
      </c>
      <c r="E927" t="inlineStr">
        <is>
          <t>KATRINEHOLM</t>
        </is>
      </c>
      <c r="G927" t="n">
        <v>3</v>
      </c>
      <c r="H927" t="n">
        <v>0</v>
      </c>
      <c r="I927" t="n">
        <v>0</v>
      </c>
      <c r="J927" t="n">
        <v>0</v>
      </c>
      <c r="K927" t="n">
        <v>0</v>
      </c>
      <c r="L927" t="n">
        <v>0</v>
      </c>
      <c r="M927" t="n">
        <v>0</v>
      </c>
      <c r="N927" t="n">
        <v>0</v>
      </c>
      <c r="O927" t="n">
        <v>0</v>
      </c>
      <c r="P927" t="n">
        <v>0</v>
      </c>
      <c r="Q927" t="n">
        <v>0</v>
      </c>
      <c r="R927" s="2" t="inlineStr"/>
    </row>
    <row r="928" ht="15" customHeight="1">
      <c r="A928" t="inlineStr">
        <is>
          <t>A 30260-2023</t>
        </is>
      </c>
      <c r="B928" s="1" t="n">
        <v>45099</v>
      </c>
      <c r="C928" s="1" t="n">
        <v>45663</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28394-2023</t>
        </is>
      </c>
      <c r="B929" s="1" t="n">
        <v>45100</v>
      </c>
      <c r="C929" s="1" t="n">
        <v>45663</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28508-2023</t>
        </is>
      </c>
      <c r="B930" s="1" t="n">
        <v>45103</v>
      </c>
      <c r="C930" s="1" t="n">
        <v>45663</v>
      </c>
      <c r="D930" t="inlineStr">
        <is>
          <t>SÖDERMANLANDS LÄN</t>
        </is>
      </c>
      <c r="E930" t="inlineStr">
        <is>
          <t>KATRINEHOLM</t>
        </is>
      </c>
      <c r="F930" t="inlineStr">
        <is>
          <t>Kyrkan</t>
        </is>
      </c>
      <c r="G930" t="n">
        <v>20.5</v>
      </c>
      <c r="H930" t="n">
        <v>0</v>
      </c>
      <c r="I930" t="n">
        <v>0</v>
      </c>
      <c r="J930" t="n">
        <v>0</v>
      </c>
      <c r="K930" t="n">
        <v>0</v>
      </c>
      <c r="L930" t="n">
        <v>0</v>
      </c>
      <c r="M930" t="n">
        <v>0</v>
      </c>
      <c r="N930" t="n">
        <v>0</v>
      </c>
      <c r="O930" t="n">
        <v>0</v>
      </c>
      <c r="P930" t="n">
        <v>0</v>
      </c>
      <c r="Q930" t="n">
        <v>0</v>
      </c>
      <c r="R930" s="2" t="inlineStr"/>
    </row>
    <row r="931" ht="15" customHeight="1">
      <c r="A931" t="inlineStr">
        <is>
          <t>A 29198-2023</t>
        </is>
      </c>
      <c r="B931" s="1" t="n">
        <v>45105</v>
      </c>
      <c r="C931" s="1" t="n">
        <v>45663</v>
      </c>
      <c r="D931" t="inlineStr">
        <is>
          <t>SÖDERMANLANDS LÄN</t>
        </is>
      </c>
      <c r="E931" t="inlineStr">
        <is>
          <t>KATRINEHOLM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29502-2023</t>
        </is>
      </c>
      <c r="B932" s="1" t="n">
        <v>45106</v>
      </c>
      <c r="C932" s="1" t="n">
        <v>45663</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29843-2023</t>
        </is>
      </c>
      <c r="B933" s="1" t="n">
        <v>45107</v>
      </c>
      <c r="C933" s="1" t="n">
        <v>45663</v>
      </c>
      <c r="D933" t="inlineStr">
        <is>
          <t>SÖDERMANLANDS LÄN</t>
        </is>
      </c>
      <c r="E933" t="inlineStr">
        <is>
          <t>KATRINEHOLM</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29830-2023</t>
        </is>
      </c>
      <c r="B934" s="1" t="n">
        <v>45107</v>
      </c>
      <c r="C934" s="1" t="n">
        <v>45663</v>
      </c>
      <c r="D934" t="inlineStr">
        <is>
          <t>SÖDERMANLANDS LÄN</t>
        </is>
      </c>
      <c r="E934" t="inlineStr">
        <is>
          <t>KATRINEHOLM</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29872-2023</t>
        </is>
      </c>
      <c r="B935" s="1" t="n">
        <v>45107</v>
      </c>
      <c r="C935" s="1" t="n">
        <v>45663</v>
      </c>
      <c r="D935" t="inlineStr">
        <is>
          <t>SÖDERMANLANDS LÄN</t>
        </is>
      </c>
      <c r="E935" t="inlineStr">
        <is>
          <t>KATRINEHOLM</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29977-2023</t>
        </is>
      </c>
      <c r="B936" s="1" t="n">
        <v>45108</v>
      </c>
      <c r="C936" s="1" t="n">
        <v>45663</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30039-2023</t>
        </is>
      </c>
      <c r="B937" s="1" t="n">
        <v>45110</v>
      </c>
      <c r="C937" s="1" t="n">
        <v>45663</v>
      </c>
      <c r="D937" t="inlineStr">
        <is>
          <t>SÖDERMANLANDS LÄN</t>
        </is>
      </c>
      <c r="E937" t="inlineStr">
        <is>
          <t>KATRINEHOLM</t>
        </is>
      </c>
      <c r="G937" t="n">
        <v>7.3</v>
      </c>
      <c r="H937" t="n">
        <v>0</v>
      </c>
      <c r="I937" t="n">
        <v>0</v>
      </c>
      <c r="J937" t="n">
        <v>0</v>
      </c>
      <c r="K937" t="n">
        <v>0</v>
      </c>
      <c r="L937" t="n">
        <v>0</v>
      </c>
      <c r="M937" t="n">
        <v>0</v>
      </c>
      <c r="N937" t="n">
        <v>0</v>
      </c>
      <c r="O937" t="n">
        <v>0</v>
      </c>
      <c r="P937" t="n">
        <v>0</v>
      </c>
      <c r="Q937" t="n">
        <v>0</v>
      </c>
      <c r="R937" s="2" t="inlineStr"/>
    </row>
    <row r="938" ht="15" customHeight="1">
      <c r="A938" t="inlineStr">
        <is>
          <t>A 32312-2023</t>
        </is>
      </c>
      <c r="B938" s="1" t="n">
        <v>45110</v>
      </c>
      <c r="C938" s="1" t="n">
        <v>45663</v>
      </c>
      <c r="D938" t="inlineStr">
        <is>
          <t>SÖDERMANLANDS LÄN</t>
        </is>
      </c>
      <c r="E938" t="inlineStr">
        <is>
          <t>KATRINEHOLM</t>
        </is>
      </c>
      <c r="G938" t="n">
        <v>2.1</v>
      </c>
      <c r="H938" t="n">
        <v>0</v>
      </c>
      <c r="I938" t="n">
        <v>0</v>
      </c>
      <c r="J938" t="n">
        <v>0</v>
      </c>
      <c r="K938" t="n">
        <v>0</v>
      </c>
      <c r="L938" t="n">
        <v>0</v>
      </c>
      <c r="M938" t="n">
        <v>0</v>
      </c>
      <c r="N938" t="n">
        <v>0</v>
      </c>
      <c r="O938" t="n">
        <v>0</v>
      </c>
      <c r="P938" t="n">
        <v>0</v>
      </c>
      <c r="Q938" t="n">
        <v>0</v>
      </c>
      <c r="R938" s="2" t="inlineStr"/>
    </row>
    <row r="939" ht="15" customHeight="1">
      <c r="A939" t="inlineStr">
        <is>
          <t>A 30276-2023</t>
        </is>
      </c>
      <c r="B939" s="1" t="n">
        <v>45110</v>
      </c>
      <c r="C939" s="1" t="n">
        <v>45663</v>
      </c>
      <c r="D939" t="inlineStr">
        <is>
          <t>SÖDERMANLANDS LÄN</t>
        </is>
      </c>
      <c r="E939" t="inlineStr">
        <is>
          <t>KATRINEHOLM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32320-2023</t>
        </is>
      </c>
      <c r="B940" s="1" t="n">
        <v>45110</v>
      </c>
      <c r="C940" s="1" t="n">
        <v>45663</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32547-2023</t>
        </is>
      </c>
      <c r="B941" s="1" t="n">
        <v>45110</v>
      </c>
      <c r="C941" s="1" t="n">
        <v>45663</v>
      </c>
      <c r="D941" t="inlineStr">
        <is>
          <t>SÖDERMANLANDS LÄN</t>
        </is>
      </c>
      <c r="E941" t="inlineStr">
        <is>
          <t>KATRINEHOLM</t>
        </is>
      </c>
      <c r="G941" t="n">
        <v>9.5</v>
      </c>
      <c r="H941" t="n">
        <v>0</v>
      </c>
      <c r="I941" t="n">
        <v>0</v>
      </c>
      <c r="J941" t="n">
        <v>0</v>
      </c>
      <c r="K941" t="n">
        <v>0</v>
      </c>
      <c r="L941" t="n">
        <v>0</v>
      </c>
      <c r="M941" t="n">
        <v>0</v>
      </c>
      <c r="N941" t="n">
        <v>0</v>
      </c>
      <c r="O941" t="n">
        <v>0</v>
      </c>
      <c r="P941" t="n">
        <v>0</v>
      </c>
      <c r="Q941" t="n">
        <v>0</v>
      </c>
      <c r="R941" s="2" t="inlineStr"/>
    </row>
    <row r="942" ht="15" customHeight="1">
      <c r="A942" t="inlineStr">
        <is>
          <t>A 30512-2023</t>
        </is>
      </c>
      <c r="B942" s="1" t="n">
        <v>45111</v>
      </c>
      <c r="C942" s="1" t="n">
        <v>45663</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30517-2023</t>
        </is>
      </c>
      <c r="B943" s="1" t="n">
        <v>45111</v>
      </c>
      <c r="C943" s="1" t="n">
        <v>45663</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30513-2023</t>
        </is>
      </c>
      <c r="B944" s="1" t="n">
        <v>45111</v>
      </c>
      <c r="C944" s="1" t="n">
        <v>45663</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30333-2023</t>
        </is>
      </c>
      <c r="B945" s="1" t="n">
        <v>45111</v>
      </c>
      <c r="C945" s="1" t="n">
        <v>45663</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31215-2023</t>
        </is>
      </c>
      <c r="B946" s="1" t="n">
        <v>45114</v>
      </c>
      <c r="C946" s="1" t="n">
        <v>45663</v>
      </c>
      <c r="D946" t="inlineStr">
        <is>
          <t>SÖDERMANLANDS LÄN</t>
        </is>
      </c>
      <c r="E946" t="inlineStr">
        <is>
          <t>KATRINEHOLM</t>
        </is>
      </c>
      <c r="G946" t="n">
        <v>4.6</v>
      </c>
      <c r="H946" t="n">
        <v>0</v>
      </c>
      <c r="I946" t="n">
        <v>0</v>
      </c>
      <c r="J946" t="n">
        <v>0</v>
      </c>
      <c r="K946" t="n">
        <v>0</v>
      </c>
      <c r="L946" t="n">
        <v>0</v>
      </c>
      <c r="M946" t="n">
        <v>0</v>
      </c>
      <c r="N946" t="n">
        <v>0</v>
      </c>
      <c r="O946" t="n">
        <v>0</v>
      </c>
      <c r="P946" t="n">
        <v>0</v>
      </c>
      <c r="Q946" t="n">
        <v>0</v>
      </c>
      <c r="R946" s="2" t="inlineStr"/>
    </row>
    <row r="947" ht="15" customHeight="1">
      <c r="A947" t="inlineStr">
        <is>
          <t>A 32417-2023</t>
        </is>
      </c>
      <c r="B947" s="1" t="n">
        <v>45120</v>
      </c>
      <c r="C947" s="1" t="n">
        <v>45663</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33752-2023</t>
        </is>
      </c>
      <c r="B948" s="1" t="n">
        <v>45120</v>
      </c>
      <c r="C948" s="1" t="n">
        <v>45663</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32818-2023</t>
        </is>
      </c>
      <c r="B949" s="1" t="n">
        <v>45124</v>
      </c>
      <c r="C949" s="1" t="n">
        <v>45663</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32938-2023</t>
        </is>
      </c>
      <c r="B950" s="1" t="n">
        <v>45125</v>
      </c>
      <c r="C950" s="1" t="n">
        <v>45663</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32944-2023</t>
        </is>
      </c>
      <c r="B951" s="1" t="n">
        <v>45125</v>
      </c>
      <c r="C951" s="1" t="n">
        <v>45663</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32942-2023</t>
        </is>
      </c>
      <c r="B952" s="1" t="n">
        <v>45125</v>
      </c>
      <c r="C952" s="1" t="n">
        <v>45663</v>
      </c>
      <c r="D952" t="inlineStr">
        <is>
          <t>SÖDERMANLANDS LÄN</t>
        </is>
      </c>
      <c r="E952" t="inlineStr">
        <is>
          <t>KATRINEHOLM</t>
        </is>
      </c>
      <c r="G952" t="n">
        <v>4.2</v>
      </c>
      <c r="H952" t="n">
        <v>0</v>
      </c>
      <c r="I952" t="n">
        <v>0</v>
      </c>
      <c r="J952" t="n">
        <v>0</v>
      </c>
      <c r="K952" t="n">
        <v>0</v>
      </c>
      <c r="L952" t="n">
        <v>0</v>
      </c>
      <c r="M952" t="n">
        <v>0</v>
      </c>
      <c r="N952" t="n">
        <v>0</v>
      </c>
      <c r="O952" t="n">
        <v>0</v>
      </c>
      <c r="P952" t="n">
        <v>0</v>
      </c>
      <c r="Q952" t="n">
        <v>0</v>
      </c>
      <c r="R952" s="2" t="inlineStr"/>
    </row>
    <row r="953" ht="15" customHeight="1">
      <c r="A953" t="inlineStr">
        <is>
          <t>A 32962-2023</t>
        </is>
      </c>
      <c r="B953" s="1" t="n">
        <v>45125</v>
      </c>
      <c r="C953" s="1" t="n">
        <v>45663</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33141-2023</t>
        </is>
      </c>
      <c r="B954" s="1" t="n">
        <v>45126</v>
      </c>
      <c r="C954" s="1" t="n">
        <v>45663</v>
      </c>
      <c r="D954" t="inlineStr">
        <is>
          <t>SÖDERMANLANDS LÄN</t>
        </is>
      </c>
      <c r="E954" t="inlineStr">
        <is>
          <t>KATRINEHOLM</t>
        </is>
      </c>
      <c r="G954" t="n">
        <v>1.4</v>
      </c>
      <c r="H954" t="n">
        <v>0</v>
      </c>
      <c r="I954" t="n">
        <v>0</v>
      </c>
      <c r="J954" t="n">
        <v>0</v>
      </c>
      <c r="K954" t="n">
        <v>0</v>
      </c>
      <c r="L954" t="n">
        <v>0</v>
      </c>
      <c r="M954" t="n">
        <v>0</v>
      </c>
      <c r="N954" t="n">
        <v>0</v>
      </c>
      <c r="O954" t="n">
        <v>0</v>
      </c>
      <c r="P954" t="n">
        <v>0</v>
      </c>
      <c r="Q954" t="n">
        <v>0</v>
      </c>
      <c r="R954" s="2" t="inlineStr"/>
    </row>
    <row r="955" ht="15" customHeight="1">
      <c r="A955" t="inlineStr">
        <is>
          <t>A 33744-2023</t>
        </is>
      </c>
      <c r="B955" s="1" t="n">
        <v>45133</v>
      </c>
      <c r="C955" s="1" t="n">
        <v>45663</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34133-2023</t>
        </is>
      </c>
      <c r="B956" s="1" t="n">
        <v>45135</v>
      </c>
      <c r="C956" s="1" t="n">
        <v>45663</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34263-2023</t>
        </is>
      </c>
      <c r="B957" s="1" t="n">
        <v>45138</v>
      </c>
      <c r="C957" s="1" t="n">
        <v>45663</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34299-2023</t>
        </is>
      </c>
      <c r="B958" s="1" t="n">
        <v>45138</v>
      </c>
      <c r="C958" s="1" t="n">
        <v>45663</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34613-2023</t>
        </is>
      </c>
      <c r="B959" s="1" t="n">
        <v>45140</v>
      </c>
      <c r="C959" s="1" t="n">
        <v>45663</v>
      </c>
      <c r="D959" t="inlineStr">
        <is>
          <t>SÖDERMANLANDS LÄN</t>
        </is>
      </c>
      <c r="E959" t="inlineStr">
        <is>
          <t>KATRINEHOLM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34739-2023</t>
        </is>
      </c>
      <c r="B960" s="1" t="n">
        <v>45141</v>
      </c>
      <c r="C960" s="1" t="n">
        <v>45663</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34731-2023</t>
        </is>
      </c>
      <c r="B961" s="1" t="n">
        <v>45141</v>
      </c>
      <c r="C961" s="1" t="n">
        <v>45663</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34939-2023</t>
        </is>
      </c>
      <c r="B962" s="1" t="n">
        <v>45141</v>
      </c>
      <c r="C962" s="1" t="n">
        <v>45663</v>
      </c>
      <c r="D962" t="inlineStr">
        <is>
          <t>SÖDERMANLANDS LÄN</t>
        </is>
      </c>
      <c r="E962" t="inlineStr">
        <is>
          <t>KATRINEHOLM</t>
        </is>
      </c>
      <c r="G962" t="n">
        <v>10</v>
      </c>
      <c r="H962" t="n">
        <v>0</v>
      </c>
      <c r="I962" t="n">
        <v>0</v>
      </c>
      <c r="J962" t="n">
        <v>0</v>
      </c>
      <c r="K962" t="n">
        <v>0</v>
      </c>
      <c r="L962" t="n">
        <v>0</v>
      </c>
      <c r="M962" t="n">
        <v>0</v>
      </c>
      <c r="N962" t="n">
        <v>0</v>
      </c>
      <c r="O962" t="n">
        <v>0</v>
      </c>
      <c r="P962" t="n">
        <v>0</v>
      </c>
      <c r="Q962" t="n">
        <v>0</v>
      </c>
      <c r="R962" s="2" t="inlineStr"/>
    </row>
    <row r="963" ht="15" customHeight="1">
      <c r="A963" t="inlineStr">
        <is>
          <t>A 34925-2023</t>
        </is>
      </c>
      <c r="B963" s="1" t="n">
        <v>45141</v>
      </c>
      <c r="C963" s="1" t="n">
        <v>45663</v>
      </c>
      <c r="D963" t="inlineStr">
        <is>
          <t>SÖDERMANLANDS LÄN</t>
        </is>
      </c>
      <c r="E963" t="inlineStr">
        <is>
          <t>KATRINEHOLM</t>
        </is>
      </c>
      <c r="F963" t="inlineStr">
        <is>
          <t>Övriga Aktiebolag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34936-2023</t>
        </is>
      </c>
      <c r="B964" s="1" t="n">
        <v>45141</v>
      </c>
      <c r="C964" s="1" t="n">
        <v>45663</v>
      </c>
      <c r="D964" t="inlineStr">
        <is>
          <t>SÖDERMANLANDS LÄN</t>
        </is>
      </c>
      <c r="E964" t="inlineStr">
        <is>
          <t>KATRINEHOLM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34981-2023</t>
        </is>
      </c>
      <c r="B965" s="1" t="n">
        <v>45142</v>
      </c>
      <c r="C965" s="1" t="n">
        <v>45663</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35740-2023</t>
        </is>
      </c>
      <c r="B966" s="1" t="n">
        <v>45147</v>
      </c>
      <c r="C966" s="1" t="n">
        <v>45663</v>
      </c>
      <c r="D966" t="inlineStr">
        <is>
          <t>SÖDERMANLANDS LÄN</t>
        </is>
      </c>
      <c r="E966" t="inlineStr">
        <is>
          <t>KATRINEHOLM</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35864-2023</t>
        </is>
      </c>
      <c r="B967" s="1" t="n">
        <v>45147</v>
      </c>
      <c r="C967" s="1" t="n">
        <v>45663</v>
      </c>
      <c r="D967" t="inlineStr">
        <is>
          <t>SÖDERMANLANDS LÄN</t>
        </is>
      </c>
      <c r="E967" t="inlineStr">
        <is>
          <t>KATRINEHOLM</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36031-2023</t>
        </is>
      </c>
      <c r="B968" s="1" t="n">
        <v>45148</v>
      </c>
      <c r="C968" s="1" t="n">
        <v>45663</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35996-2023</t>
        </is>
      </c>
      <c r="B969" s="1" t="n">
        <v>45148</v>
      </c>
      <c r="C969" s="1" t="n">
        <v>45663</v>
      </c>
      <c r="D969" t="inlineStr">
        <is>
          <t>SÖDERMANLANDS LÄN</t>
        </is>
      </c>
      <c r="E969" t="inlineStr">
        <is>
          <t>KATRINEHOLM</t>
        </is>
      </c>
      <c r="F969" t="inlineStr">
        <is>
          <t>Övriga Aktiebolag</t>
        </is>
      </c>
      <c r="G969" t="n">
        <v>15.8</v>
      </c>
      <c r="H969" t="n">
        <v>0</v>
      </c>
      <c r="I969" t="n">
        <v>0</v>
      </c>
      <c r="J969" t="n">
        <v>0</v>
      </c>
      <c r="K969" t="n">
        <v>0</v>
      </c>
      <c r="L969" t="n">
        <v>0</v>
      </c>
      <c r="M969" t="n">
        <v>0</v>
      </c>
      <c r="N969" t="n">
        <v>0</v>
      </c>
      <c r="O969" t="n">
        <v>0</v>
      </c>
      <c r="P969" t="n">
        <v>0</v>
      </c>
      <c r="Q969" t="n">
        <v>0</v>
      </c>
      <c r="R969" s="2" t="inlineStr"/>
    </row>
    <row r="970" ht="15" customHeight="1">
      <c r="A970" t="inlineStr">
        <is>
          <t>A 36029-2023</t>
        </is>
      </c>
      <c r="B970" s="1" t="n">
        <v>45148</v>
      </c>
      <c r="C970" s="1" t="n">
        <v>45663</v>
      </c>
      <c r="D970" t="inlineStr">
        <is>
          <t>SÖDERMANLANDS LÄN</t>
        </is>
      </c>
      <c r="E970" t="inlineStr">
        <is>
          <t>KATRINEHOLM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36021-2023</t>
        </is>
      </c>
      <c r="B971" s="1" t="n">
        <v>45148</v>
      </c>
      <c r="C971" s="1" t="n">
        <v>45663</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36367-2023</t>
        </is>
      </c>
      <c r="B972" s="1" t="n">
        <v>45152</v>
      </c>
      <c r="C972" s="1" t="n">
        <v>45663</v>
      </c>
      <c r="D972" t="inlineStr">
        <is>
          <t>SÖDERMANLANDS LÄN</t>
        </is>
      </c>
      <c r="E972" t="inlineStr">
        <is>
          <t>KATRINEHOLM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36319-2023</t>
        </is>
      </c>
      <c r="B973" s="1" t="n">
        <v>45152</v>
      </c>
      <c r="C973" s="1" t="n">
        <v>45663</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36329-2023</t>
        </is>
      </c>
      <c r="B974" s="1" t="n">
        <v>45152</v>
      </c>
      <c r="C974" s="1" t="n">
        <v>45663</v>
      </c>
      <c r="D974" t="inlineStr">
        <is>
          <t>SÖDERMANLANDS LÄN</t>
        </is>
      </c>
      <c r="E974" t="inlineStr">
        <is>
          <t>KATRINEHOLM</t>
        </is>
      </c>
      <c r="G974" t="n">
        <v>6.8</v>
      </c>
      <c r="H974" t="n">
        <v>0</v>
      </c>
      <c r="I974" t="n">
        <v>0</v>
      </c>
      <c r="J974" t="n">
        <v>0</v>
      </c>
      <c r="K974" t="n">
        <v>0</v>
      </c>
      <c r="L974" t="n">
        <v>0</v>
      </c>
      <c r="M974" t="n">
        <v>0</v>
      </c>
      <c r="N974" t="n">
        <v>0</v>
      </c>
      <c r="O974" t="n">
        <v>0</v>
      </c>
      <c r="P974" t="n">
        <v>0</v>
      </c>
      <c r="Q974" t="n">
        <v>0</v>
      </c>
      <c r="R974" s="2" t="inlineStr"/>
    </row>
    <row r="975" ht="15" customHeight="1">
      <c r="A975" t="inlineStr">
        <is>
          <t>A 36362-2023</t>
        </is>
      </c>
      <c r="B975" s="1" t="n">
        <v>45152</v>
      </c>
      <c r="C975" s="1" t="n">
        <v>45663</v>
      </c>
      <c r="D975" t="inlineStr">
        <is>
          <t>SÖDERMANLANDS LÄN</t>
        </is>
      </c>
      <c r="E975" t="inlineStr">
        <is>
          <t>KATRINEHOLM</t>
        </is>
      </c>
      <c r="G975" t="n">
        <v>2.1</v>
      </c>
      <c r="H975" t="n">
        <v>0</v>
      </c>
      <c r="I975" t="n">
        <v>0</v>
      </c>
      <c r="J975" t="n">
        <v>0</v>
      </c>
      <c r="K975" t="n">
        <v>0</v>
      </c>
      <c r="L975" t="n">
        <v>0</v>
      </c>
      <c r="M975" t="n">
        <v>0</v>
      </c>
      <c r="N975" t="n">
        <v>0</v>
      </c>
      <c r="O975" t="n">
        <v>0</v>
      </c>
      <c r="P975" t="n">
        <v>0</v>
      </c>
      <c r="Q975" t="n">
        <v>0</v>
      </c>
      <c r="R975" s="2" t="inlineStr"/>
    </row>
    <row r="976" ht="15" customHeight="1">
      <c r="A976" t="inlineStr">
        <is>
          <t>A 36366-2023</t>
        </is>
      </c>
      <c r="B976" s="1" t="n">
        <v>45152</v>
      </c>
      <c r="C976" s="1" t="n">
        <v>45663</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36536-2023</t>
        </is>
      </c>
      <c r="B977" s="1" t="n">
        <v>45153</v>
      </c>
      <c r="C977" s="1" t="n">
        <v>45663</v>
      </c>
      <c r="D977" t="inlineStr">
        <is>
          <t>SÖDERMANLANDS LÄN</t>
        </is>
      </c>
      <c r="E977" t="inlineStr">
        <is>
          <t>KATRINEHOLM</t>
        </is>
      </c>
      <c r="G977" t="n">
        <v>2.3</v>
      </c>
      <c r="H977" t="n">
        <v>0</v>
      </c>
      <c r="I977" t="n">
        <v>0</v>
      </c>
      <c r="J977" t="n">
        <v>0</v>
      </c>
      <c r="K977" t="n">
        <v>0</v>
      </c>
      <c r="L977" t="n">
        <v>0</v>
      </c>
      <c r="M977" t="n">
        <v>0</v>
      </c>
      <c r="N977" t="n">
        <v>0</v>
      </c>
      <c r="O977" t="n">
        <v>0</v>
      </c>
      <c r="P977" t="n">
        <v>0</v>
      </c>
      <c r="Q977" t="n">
        <v>0</v>
      </c>
      <c r="R977" s="2" t="inlineStr"/>
    </row>
    <row r="978" ht="15" customHeight="1">
      <c r="A978" t="inlineStr">
        <is>
          <t>A 36562-2023</t>
        </is>
      </c>
      <c r="B978" s="1" t="n">
        <v>45153</v>
      </c>
      <c r="C978" s="1" t="n">
        <v>45663</v>
      </c>
      <c r="D978" t="inlineStr">
        <is>
          <t>SÖDERMANLANDS LÄN</t>
        </is>
      </c>
      <c r="E978" t="inlineStr">
        <is>
          <t>KATRINEHOLM</t>
        </is>
      </c>
      <c r="G978" t="n">
        <v>5.8</v>
      </c>
      <c r="H978" t="n">
        <v>0</v>
      </c>
      <c r="I978" t="n">
        <v>0</v>
      </c>
      <c r="J978" t="n">
        <v>0</v>
      </c>
      <c r="K978" t="n">
        <v>0</v>
      </c>
      <c r="L978" t="n">
        <v>0</v>
      </c>
      <c r="M978" t="n">
        <v>0</v>
      </c>
      <c r="N978" t="n">
        <v>0</v>
      </c>
      <c r="O978" t="n">
        <v>0</v>
      </c>
      <c r="P978" t="n">
        <v>0</v>
      </c>
      <c r="Q978" t="n">
        <v>0</v>
      </c>
      <c r="R978" s="2" t="inlineStr"/>
    </row>
    <row r="979" ht="15" customHeight="1">
      <c r="A979" t="inlineStr">
        <is>
          <t>A 36832-2023</t>
        </is>
      </c>
      <c r="B979" s="1" t="n">
        <v>45153</v>
      </c>
      <c r="C979" s="1" t="n">
        <v>45663</v>
      </c>
      <c r="D979" t="inlineStr">
        <is>
          <t>SÖDERMANLANDS LÄN</t>
        </is>
      </c>
      <c r="E979" t="inlineStr">
        <is>
          <t>KATRINEHOLM</t>
        </is>
      </c>
      <c r="F979" t="inlineStr">
        <is>
          <t>Övriga Aktiebolag</t>
        </is>
      </c>
      <c r="G979" t="n">
        <v>9</v>
      </c>
      <c r="H979" t="n">
        <v>0</v>
      </c>
      <c r="I979" t="n">
        <v>0</v>
      </c>
      <c r="J979" t="n">
        <v>0</v>
      </c>
      <c r="K979" t="n">
        <v>0</v>
      </c>
      <c r="L979" t="n">
        <v>0</v>
      </c>
      <c r="M979" t="n">
        <v>0</v>
      </c>
      <c r="N979" t="n">
        <v>0</v>
      </c>
      <c r="O979" t="n">
        <v>0</v>
      </c>
      <c r="P979" t="n">
        <v>0</v>
      </c>
      <c r="Q979" t="n">
        <v>0</v>
      </c>
      <c r="R979" s="2" t="inlineStr"/>
    </row>
    <row r="980" ht="15" customHeight="1">
      <c r="A980" t="inlineStr">
        <is>
          <t>A 36776-2023</t>
        </is>
      </c>
      <c r="B980" s="1" t="n">
        <v>45154</v>
      </c>
      <c r="C980" s="1" t="n">
        <v>45663</v>
      </c>
      <c r="D980" t="inlineStr">
        <is>
          <t>SÖDERMANLANDS LÄN</t>
        </is>
      </c>
      <c r="E980" t="inlineStr">
        <is>
          <t>KATRINEHOLM</t>
        </is>
      </c>
      <c r="G980" t="n">
        <v>4.3</v>
      </c>
      <c r="H980" t="n">
        <v>0</v>
      </c>
      <c r="I980" t="n">
        <v>0</v>
      </c>
      <c r="J980" t="n">
        <v>0</v>
      </c>
      <c r="K980" t="n">
        <v>0</v>
      </c>
      <c r="L980" t="n">
        <v>0</v>
      </c>
      <c r="M980" t="n">
        <v>0</v>
      </c>
      <c r="N980" t="n">
        <v>0</v>
      </c>
      <c r="O980" t="n">
        <v>0</v>
      </c>
      <c r="P980" t="n">
        <v>0</v>
      </c>
      <c r="Q980" t="n">
        <v>0</v>
      </c>
      <c r="R980" s="2" t="inlineStr"/>
    </row>
    <row r="981" ht="15" customHeight="1">
      <c r="A981" t="inlineStr">
        <is>
          <t>A 36777-2023</t>
        </is>
      </c>
      <c r="B981" s="1" t="n">
        <v>45154</v>
      </c>
      <c r="C981" s="1" t="n">
        <v>45663</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37185-2023</t>
        </is>
      </c>
      <c r="B982" s="1" t="n">
        <v>45154</v>
      </c>
      <c r="C982" s="1" t="n">
        <v>45663</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37388-2023</t>
        </is>
      </c>
      <c r="B983" s="1" t="n">
        <v>45155</v>
      </c>
      <c r="C983" s="1" t="n">
        <v>45663</v>
      </c>
      <c r="D983" t="inlineStr">
        <is>
          <t>SÖDERMANLANDS LÄN</t>
        </is>
      </c>
      <c r="E983" t="inlineStr">
        <is>
          <t>KATRINEHOLM</t>
        </is>
      </c>
      <c r="G983" t="n">
        <v>8.5</v>
      </c>
      <c r="H983" t="n">
        <v>0</v>
      </c>
      <c r="I983" t="n">
        <v>0</v>
      </c>
      <c r="J983" t="n">
        <v>0</v>
      </c>
      <c r="K983" t="n">
        <v>0</v>
      </c>
      <c r="L983" t="n">
        <v>0</v>
      </c>
      <c r="M983" t="n">
        <v>0</v>
      </c>
      <c r="N983" t="n">
        <v>0</v>
      </c>
      <c r="O983" t="n">
        <v>0</v>
      </c>
      <c r="P983" t="n">
        <v>0</v>
      </c>
      <c r="Q983" t="n">
        <v>0</v>
      </c>
      <c r="R983" s="2" t="inlineStr"/>
    </row>
    <row r="984" ht="15" customHeight="1">
      <c r="A984" t="inlineStr">
        <is>
          <t>A 37176-2023</t>
        </is>
      </c>
      <c r="B984" s="1" t="n">
        <v>45155</v>
      </c>
      <c r="C984" s="1" t="n">
        <v>45663</v>
      </c>
      <c r="D984" t="inlineStr">
        <is>
          <t>SÖDERMANLANDS LÄN</t>
        </is>
      </c>
      <c r="E984" t="inlineStr">
        <is>
          <t>KATRINEHOLM</t>
        </is>
      </c>
      <c r="G984" t="n">
        <v>1.7</v>
      </c>
      <c r="H984" t="n">
        <v>0</v>
      </c>
      <c r="I984" t="n">
        <v>0</v>
      </c>
      <c r="J984" t="n">
        <v>0</v>
      </c>
      <c r="K984" t="n">
        <v>0</v>
      </c>
      <c r="L984" t="n">
        <v>0</v>
      </c>
      <c r="M984" t="n">
        <v>0</v>
      </c>
      <c r="N984" t="n">
        <v>0</v>
      </c>
      <c r="O984" t="n">
        <v>0</v>
      </c>
      <c r="P984" t="n">
        <v>0</v>
      </c>
      <c r="Q984" t="n">
        <v>0</v>
      </c>
      <c r="R984" s="2" t="inlineStr"/>
    </row>
    <row r="985" ht="15" customHeight="1">
      <c r="A985" t="inlineStr">
        <is>
          <t>A 37164-2023</t>
        </is>
      </c>
      <c r="B985" s="1" t="n">
        <v>45155</v>
      </c>
      <c r="C985" s="1" t="n">
        <v>45663</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37845-2023</t>
        </is>
      </c>
      <c r="B986" s="1" t="n">
        <v>45156</v>
      </c>
      <c r="C986" s="1" t="n">
        <v>45663</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37650-2023</t>
        </is>
      </c>
      <c r="B987" s="1" t="n">
        <v>45159</v>
      </c>
      <c r="C987" s="1" t="n">
        <v>45663</v>
      </c>
      <c r="D987" t="inlineStr">
        <is>
          <t>SÖDERMANLANDS LÄN</t>
        </is>
      </c>
      <c r="E987" t="inlineStr">
        <is>
          <t>KATRINEHOLM</t>
        </is>
      </c>
      <c r="F987" t="inlineStr">
        <is>
          <t>Kyrkan</t>
        </is>
      </c>
      <c r="G987" t="n">
        <v>29.7</v>
      </c>
      <c r="H987" t="n">
        <v>0</v>
      </c>
      <c r="I987" t="n">
        <v>0</v>
      </c>
      <c r="J987" t="n">
        <v>0</v>
      </c>
      <c r="K987" t="n">
        <v>0</v>
      </c>
      <c r="L987" t="n">
        <v>0</v>
      </c>
      <c r="M987" t="n">
        <v>0</v>
      </c>
      <c r="N987" t="n">
        <v>0</v>
      </c>
      <c r="O987" t="n">
        <v>0</v>
      </c>
      <c r="P987" t="n">
        <v>0</v>
      </c>
      <c r="Q987" t="n">
        <v>0</v>
      </c>
      <c r="R987" s="2" t="inlineStr"/>
    </row>
    <row r="988" ht="15" customHeight="1">
      <c r="A988" t="inlineStr">
        <is>
          <t>A 37834-2023</t>
        </is>
      </c>
      <c r="B988" s="1" t="n">
        <v>45160</v>
      </c>
      <c r="C988" s="1" t="n">
        <v>45663</v>
      </c>
      <c r="D988" t="inlineStr">
        <is>
          <t>SÖDERMANLANDS LÄN</t>
        </is>
      </c>
      <c r="E988" t="inlineStr">
        <is>
          <t>KATRINEHOLM</t>
        </is>
      </c>
      <c r="F988" t="inlineStr">
        <is>
          <t>Kyrkan</t>
        </is>
      </c>
      <c r="G988" t="n">
        <v>2.8</v>
      </c>
      <c r="H988" t="n">
        <v>0</v>
      </c>
      <c r="I988" t="n">
        <v>0</v>
      </c>
      <c r="J988" t="n">
        <v>0</v>
      </c>
      <c r="K988" t="n">
        <v>0</v>
      </c>
      <c r="L988" t="n">
        <v>0</v>
      </c>
      <c r="M988" t="n">
        <v>0</v>
      </c>
      <c r="N988" t="n">
        <v>0</v>
      </c>
      <c r="O988" t="n">
        <v>0</v>
      </c>
      <c r="P988" t="n">
        <v>0</v>
      </c>
      <c r="Q988" t="n">
        <v>0</v>
      </c>
      <c r="R988" s="2" t="inlineStr"/>
    </row>
    <row r="989" ht="15" customHeight="1">
      <c r="A989" t="inlineStr">
        <is>
          <t>A 39037-2023</t>
        </is>
      </c>
      <c r="B989" s="1" t="n">
        <v>45163</v>
      </c>
      <c r="C989" s="1" t="n">
        <v>45663</v>
      </c>
      <c r="D989" t="inlineStr">
        <is>
          <t>SÖDERMANLANDS LÄN</t>
        </is>
      </c>
      <c r="E989" t="inlineStr">
        <is>
          <t>KATRINEHOLM</t>
        </is>
      </c>
      <c r="G989" t="n">
        <v>10.4</v>
      </c>
      <c r="H989" t="n">
        <v>0</v>
      </c>
      <c r="I989" t="n">
        <v>0</v>
      </c>
      <c r="J989" t="n">
        <v>0</v>
      </c>
      <c r="K989" t="n">
        <v>0</v>
      </c>
      <c r="L989" t="n">
        <v>0</v>
      </c>
      <c r="M989" t="n">
        <v>0</v>
      </c>
      <c r="N989" t="n">
        <v>0</v>
      </c>
      <c r="O989" t="n">
        <v>0</v>
      </c>
      <c r="P989" t="n">
        <v>0</v>
      </c>
      <c r="Q989" t="n">
        <v>0</v>
      </c>
      <c r="R989" s="2" t="inlineStr"/>
    </row>
    <row r="990" ht="15" customHeight="1">
      <c r="A990" t="inlineStr">
        <is>
          <t>A 39038-2023</t>
        </is>
      </c>
      <c r="B990" s="1" t="n">
        <v>45163</v>
      </c>
      <c r="C990" s="1" t="n">
        <v>45663</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39052-2023</t>
        </is>
      </c>
      <c r="B991" s="1" t="n">
        <v>45163</v>
      </c>
      <c r="C991" s="1" t="n">
        <v>45663</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38744-2023</t>
        </is>
      </c>
      <c r="B992" s="1" t="n">
        <v>45163</v>
      </c>
      <c r="C992" s="1" t="n">
        <v>45663</v>
      </c>
      <c r="D992" t="inlineStr">
        <is>
          <t>SÖDERMANLANDS LÄN</t>
        </is>
      </c>
      <c r="E992" t="inlineStr">
        <is>
          <t>KATRINEHOLM</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38761-2023</t>
        </is>
      </c>
      <c r="B993" s="1" t="n">
        <v>45163</v>
      </c>
      <c r="C993" s="1" t="n">
        <v>45663</v>
      </c>
      <c r="D993" t="inlineStr">
        <is>
          <t>SÖDERMANLANDS LÄN</t>
        </is>
      </c>
      <c r="E993" t="inlineStr">
        <is>
          <t>KATRINEHOLM</t>
        </is>
      </c>
      <c r="G993" t="n">
        <v>1.9</v>
      </c>
      <c r="H993" t="n">
        <v>0</v>
      </c>
      <c r="I993" t="n">
        <v>0</v>
      </c>
      <c r="J993" t="n">
        <v>0</v>
      </c>
      <c r="K993" t="n">
        <v>0</v>
      </c>
      <c r="L993" t="n">
        <v>0</v>
      </c>
      <c r="M993" t="n">
        <v>0</v>
      </c>
      <c r="N993" t="n">
        <v>0</v>
      </c>
      <c r="O993" t="n">
        <v>0</v>
      </c>
      <c r="P993" t="n">
        <v>0</v>
      </c>
      <c r="Q993" t="n">
        <v>0</v>
      </c>
      <c r="R993" s="2" t="inlineStr"/>
    </row>
    <row r="994" ht="15" customHeight="1">
      <c r="A994" t="inlineStr">
        <is>
          <t>A 39120-2023</t>
        </is>
      </c>
      <c r="B994" s="1" t="n">
        <v>45165</v>
      </c>
      <c r="C994" s="1" t="n">
        <v>45663</v>
      </c>
      <c r="D994" t="inlineStr">
        <is>
          <t>SÖDERMANLANDS LÄN</t>
        </is>
      </c>
      <c r="E994" t="inlineStr">
        <is>
          <t>KATRINEHOLM</t>
        </is>
      </c>
      <c r="G994" t="n">
        <v>4.4</v>
      </c>
      <c r="H994" t="n">
        <v>0</v>
      </c>
      <c r="I994" t="n">
        <v>0</v>
      </c>
      <c r="J994" t="n">
        <v>0</v>
      </c>
      <c r="K994" t="n">
        <v>0</v>
      </c>
      <c r="L994" t="n">
        <v>0</v>
      </c>
      <c r="M994" t="n">
        <v>0</v>
      </c>
      <c r="N994" t="n">
        <v>0</v>
      </c>
      <c r="O994" t="n">
        <v>0</v>
      </c>
      <c r="P994" t="n">
        <v>0</v>
      </c>
      <c r="Q994" t="n">
        <v>0</v>
      </c>
      <c r="R994" s="2" t="inlineStr"/>
    </row>
    <row r="995" ht="15" customHeight="1">
      <c r="A995" t="inlineStr">
        <is>
          <t>A 39363-2023</t>
        </is>
      </c>
      <c r="B995" s="1" t="n">
        <v>45166</v>
      </c>
      <c r="C995" s="1" t="n">
        <v>45663</v>
      </c>
      <c r="D995" t="inlineStr">
        <is>
          <t>SÖDERMANLANDS LÄN</t>
        </is>
      </c>
      <c r="E995" t="inlineStr">
        <is>
          <t>KATRINEHOLM</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39699-2023</t>
        </is>
      </c>
      <c r="B996" s="1" t="n">
        <v>45167</v>
      </c>
      <c r="C996" s="1" t="n">
        <v>45663</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39704-2023</t>
        </is>
      </c>
      <c r="B997" s="1" t="n">
        <v>45167</v>
      </c>
      <c r="C997" s="1" t="n">
        <v>45663</v>
      </c>
      <c r="D997" t="inlineStr">
        <is>
          <t>SÖDERMANLANDS LÄN</t>
        </is>
      </c>
      <c r="E997" t="inlineStr">
        <is>
          <t>KATRINEHOLM</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39897-2023</t>
        </is>
      </c>
      <c r="B998" s="1" t="n">
        <v>45168</v>
      </c>
      <c r="C998" s="1" t="n">
        <v>45663</v>
      </c>
      <c r="D998" t="inlineStr">
        <is>
          <t>SÖDERMANLANDS LÄN</t>
        </is>
      </c>
      <c r="E998" t="inlineStr">
        <is>
          <t>KATRINEHOLM</t>
        </is>
      </c>
      <c r="G998" t="n">
        <v>15.6</v>
      </c>
      <c r="H998" t="n">
        <v>0</v>
      </c>
      <c r="I998" t="n">
        <v>0</v>
      </c>
      <c r="J998" t="n">
        <v>0</v>
      </c>
      <c r="K998" t="n">
        <v>0</v>
      </c>
      <c r="L998" t="n">
        <v>0</v>
      </c>
      <c r="M998" t="n">
        <v>0</v>
      </c>
      <c r="N998" t="n">
        <v>0</v>
      </c>
      <c r="O998" t="n">
        <v>0</v>
      </c>
      <c r="P998" t="n">
        <v>0</v>
      </c>
      <c r="Q998" t="n">
        <v>0</v>
      </c>
      <c r="R998" s="2" t="inlineStr"/>
    </row>
    <row r="999" ht="15" customHeight="1">
      <c r="A999" t="inlineStr">
        <is>
          <t>A 39884-2023</t>
        </is>
      </c>
      <c r="B999" s="1" t="n">
        <v>45168</v>
      </c>
      <c r="C999" s="1" t="n">
        <v>45663</v>
      </c>
      <c r="D999" t="inlineStr">
        <is>
          <t>SÖDERMANLANDS LÄN</t>
        </is>
      </c>
      <c r="E999" t="inlineStr">
        <is>
          <t>KATRINEHOLM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39881-2023</t>
        </is>
      </c>
      <c r="B1000" s="1" t="n">
        <v>45168</v>
      </c>
      <c r="C1000" s="1" t="n">
        <v>45663</v>
      </c>
      <c r="D1000" t="inlineStr">
        <is>
          <t>SÖDERMANLANDS LÄN</t>
        </is>
      </c>
      <c r="E1000" t="inlineStr">
        <is>
          <t>KATRINEHOLM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39895-2023</t>
        </is>
      </c>
      <c r="B1001" s="1" t="n">
        <v>45168</v>
      </c>
      <c r="C1001" s="1" t="n">
        <v>45663</v>
      </c>
      <c r="D1001" t="inlineStr">
        <is>
          <t>SÖDERMANLANDS LÄN</t>
        </is>
      </c>
      <c r="E1001" t="inlineStr">
        <is>
          <t>KATRINEHOLM</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40518-2023</t>
        </is>
      </c>
      <c r="B1002" s="1" t="n">
        <v>45168</v>
      </c>
      <c r="C1002" s="1" t="n">
        <v>45663</v>
      </c>
      <c r="D1002" t="inlineStr">
        <is>
          <t>SÖDERMANLANDS LÄN</t>
        </is>
      </c>
      <c r="E1002" t="inlineStr">
        <is>
          <t>KATRINEHOLM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40186-2023</t>
        </is>
      </c>
      <c r="B1003" s="1" t="n">
        <v>45169</v>
      </c>
      <c r="C1003" s="1" t="n">
        <v>45663</v>
      </c>
      <c r="D1003" t="inlineStr">
        <is>
          <t>SÖDERMANLANDS LÄN</t>
        </is>
      </c>
      <c r="E1003" t="inlineStr">
        <is>
          <t>KATRINEHOLM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40159-2023</t>
        </is>
      </c>
      <c r="B1004" s="1" t="n">
        <v>45169</v>
      </c>
      <c r="C1004" s="1" t="n">
        <v>45663</v>
      </c>
      <c r="D1004" t="inlineStr">
        <is>
          <t>SÖDERMANLANDS LÄN</t>
        </is>
      </c>
      <c r="E1004" t="inlineStr">
        <is>
          <t>KATRINEHOLM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40541-2023</t>
        </is>
      </c>
      <c r="B1005" s="1" t="n">
        <v>45170</v>
      </c>
      <c r="C1005" s="1" t="n">
        <v>45663</v>
      </c>
      <c r="D1005" t="inlineStr">
        <is>
          <t>SÖDERMANLANDS LÄN</t>
        </is>
      </c>
      <c r="E1005" t="inlineStr">
        <is>
          <t>KATRINEHOLM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41267-2023</t>
        </is>
      </c>
      <c r="B1006" s="1" t="n">
        <v>45174</v>
      </c>
      <c r="C1006" s="1" t="n">
        <v>45663</v>
      </c>
      <c r="D1006" t="inlineStr">
        <is>
          <t>SÖDERMANLANDS LÄN</t>
        </is>
      </c>
      <c r="E1006" t="inlineStr">
        <is>
          <t>KATRINEHOLM</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41166-2023</t>
        </is>
      </c>
      <c r="B1007" s="1" t="n">
        <v>45174</v>
      </c>
      <c r="C1007" s="1" t="n">
        <v>45663</v>
      </c>
      <c r="D1007" t="inlineStr">
        <is>
          <t>SÖDERMANLANDS LÄN</t>
        </is>
      </c>
      <c r="E1007" t="inlineStr">
        <is>
          <t>KATRINEHOLM</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41588-2023</t>
        </is>
      </c>
      <c r="B1008" s="1" t="n">
        <v>45175</v>
      </c>
      <c r="C1008" s="1" t="n">
        <v>45663</v>
      </c>
      <c r="D1008" t="inlineStr">
        <is>
          <t>SÖDERMANLANDS LÄN</t>
        </is>
      </c>
      <c r="E1008" t="inlineStr">
        <is>
          <t>KATRINEHOLM</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41854-2023</t>
        </is>
      </c>
      <c r="B1009" s="1" t="n">
        <v>45176</v>
      </c>
      <c r="C1009" s="1" t="n">
        <v>45663</v>
      </c>
      <c r="D1009" t="inlineStr">
        <is>
          <t>SÖDERMANLANDS LÄN</t>
        </is>
      </c>
      <c r="E1009" t="inlineStr">
        <is>
          <t>KATRINEHOLM</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41966-2023</t>
        </is>
      </c>
      <c r="B1010" s="1" t="n">
        <v>45177</v>
      </c>
      <c r="C1010" s="1" t="n">
        <v>45663</v>
      </c>
      <c r="D1010" t="inlineStr">
        <is>
          <t>SÖDERMANLANDS LÄN</t>
        </is>
      </c>
      <c r="E1010" t="inlineStr">
        <is>
          <t>KATRINEHOLM</t>
        </is>
      </c>
      <c r="G1010" t="n">
        <v>36.9</v>
      </c>
      <c r="H1010" t="n">
        <v>0</v>
      </c>
      <c r="I1010" t="n">
        <v>0</v>
      </c>
      <c r="J1010" t="n">
        <v>0</v>
      </c>
      <c r="K1010" t="n">
        <v>0</v>
      </c>
      <c r="L1010" t="n">
        <v>0</v>
      </c>
      <c r="M1010" t="n">
        <v>0</v>
      </c>
      <c r="N1010" t="n">
        <v>0</v>
      </c>
      <c r="O1010" t="n">
        <v>0</v>
      </c>
      <c r="P1010" t="n">
        <v>0</v>
      </c>
      <c r="Q1010" t="n">
        <v>0</v>
      </c>
      <c r="R1010" s="2" t="inlineStr"/>
    </row>
    <row r="1011" ht="15" customHeight="1">
      <c r="A1011" t="inlineStr">
        <is>
          <t>A 41959-2023</t>
        </is>
      </c>
      <c r="B1011" s="1" t="n">
        <v>45177</v>
      </c>
      <c r="C1011" s="1" t="n">
        <v>45663</v>
      </c>
      <c r="D1011" t="inlineStr">
        <is>
          <t>SÖDERMANLANDS LÄN</t>
        </is>
      </c>
      <c r="E1011" t="inlineStr">
        <is>
          <t>KATRINEHOLM</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42959-2023</t>
        </is>
      </c>
      <c r="B1012" s="1" t="n">
        <v>45177</v>
      </c>
      <c r="C1012" s="1" t="n">
        <v>45663</v>
      </c>
      <c r="D1012" t="inlineStr">
        <is>
          <t>SÖDERMANLANDS LÄN</t>
        </is>
      </c>
      <c r="E1012" t="inlineStr">
        <is>
          <t>KATRINEHOLM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42221-2023</t>
        </is>
      </c>
      <c r="B1013" s="1" t="n">
        <v>45179</v>
      </c>
      <c r="C1013" s="1" t="n">
        <v>45663</v>
      </c>
      <c r="D1013" t="inlineStr">
        <is>
          <t>SÖDERMANLANDS LÄN</t>
        </is>
      </c>
      <c r="E1013" t="inlineStr">
        <is>
          <t>KATRINEHOLM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42454-2023</t>
        </is>
      </c>
      <c r="B1014" s="1" t="n">
        <v>45180</v>
      </c>
      <c r="C1014" s="1" t="n">
        <v>45663</v>
      </c>
      <c r="D1014" t="inlineStr">
        <is>
          <t>SÖDERMANLANDS LÄN</t>
        </is>
      </c>
      <c r="E1014" t="inlineStr">
        <is>
          <t>KATRINEHOLM</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42451-2023</t>
        </is>
      </c>
      <c r="B1015" s="1" t="n">
        <v>45180</v>
      </c>
      <c r="C1015" s="1" t="n">
        <v>45663</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42792-2023</t>
        </is>
      </c>
      <c r="B1016" s="1" t="n">
        <v>45182</v>
      </c>
      <c r="C1016" s="1" t="n">
        <v>45663</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42791-2023</t>
        </is>
      </c>
      <c r="B1017" s="1" t="n">
        <v>45182</v>
      </c>
      <c r="C1017" s="1" t="n">
        <v>45663</v>
      </c>
      <c r="D1017" t="inlineStr">
        <is>
          <t>SÖDERMANLANDS LÄN</t>
        </is>
      </c>
      <c r="E1017" t="inlineStr">
        <is>
          <t>KATRINEHOLM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42962-2023</t>
        </is>
      </c>
      <c r="B1018" s="1" t="n">
        <v>45182</v>
      </c>
      <c r="C1018" s="1" t="n">
        <v>45663</v>
      </c>
      <c r="D1018" t="inlineStr">
        <is>
          <t>SÖDERMANLANDS LÄN</t>
        </is>
      </c>
      <c r="E1018" t="inlineStr">
        <is>
          <t>KATRINEHOLM</t>
        </is>
      </c>
      <c r="F1018" t="inlineStr">
        <is>
          <t>Övriga Aktiebolag</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43078-2023</t>
        </is>
      </c>
      <c r="B1019" s="1" t="n">
        <v>45182</v>
      </c>
      <c r="C1019" s="1" t="n">
        <v>45663</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42945-2023</t>
        </is>
      </c>
      <c r="B1020" s="1" t="n">
        <v>45182</v>
      </c>
      <c r="C1020" s="1" t="n">
        <v>45663</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42965-2023</t>
        </is>
      </c>
      <c r="B1021" s="1" t="n">
        <v>45182</v>
      </c>
      <c r="C1021" s="1" t="n">
        <v>45663</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42970-2023</t>
        </is>
      </c>
      <c r="B1022" s="1" t="n">
        <v>45182</v>
      </c>
      <c r="C1022" s="1" t="n">
        <v>45663</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44486-2023</t>
        </is>
      </c>
      <c r="B1023" s="1" t="n">
        <v>45183</v>
      </c>
      <c r="C1023" s="1" t="n">
        <v>45663</v>
      </c>
      <c r="D1023" t="inlineStr">
        <is>
          <t>SÖDERMANLANDS LÄN</t>
        </is>
      </c>
      <c r="E1023" t="inlineStr">
        <is>
          <t>KATRINEHOLM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43431-2023</t>
        </is>
      </c>
      <c r="B1024" s="1" t="n">
        <v>45184</v>
      </c>
      <c r="C1024" s="1" t="n">
        <v>45663</v>
      </c>
      <c r="D1024" t="inlineStr">
        <is>
          <t>SÖDERMANLANDS LÄN</t>
        </is>
      </c>
      <c r="E1024" t="inlineStr">
        <is>
          <t>KATRINEHOLM</t>
        </is>
      </c>
      <c r="F1024" t="inlineStr">
        <is>
          <t>Övriga Aktiebolag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43514-2023</t>
        </is>
      </c>
      <c r="B1025" s="1" t="n">
        <v>45184</v>
      </c>
      <c r="C1025" s="1" t="n">
        <v>45663</v>
      </c>
      <c r="D1025" t="inlineStr">
        <is>
          <t>SÖDERMANLANDS LÄN</t>
        </is>
      </c>
      <c r="E1025" t="inlineStr">
        <is>
          <t>KATRINEHOLM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43513-2023</t>
        </is>
      </c>
      <c r="B1026" s="1" t="n">
        <v>45184</v>
      </c>
      <c r="C1026" s="1" t="n">
        <v>45663</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43515-2023</t>
        </is>
      </c>
      <c r="B1027" s="1" t="n">
        <v>45184</v>
      </c>
      <c r="C1027" s="1" t="n">
        <v>45663</v>
      </c>
      <c r="D1027" t="inlineStr">
        <is>
          <t>SÖDERMANLANDS LÄN</t>
        </is>
      </c>
      <c r="E1027" t="inlineStr">
        <is>
          <t>KATRINEHOLM</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43680-2023</t>
        </is>
      </c>
      <c r="B1028" s="1" t="n">
        <v>45187</v>
      </c>
      <c r="C1028" s="1" t="n">
        <v>45663</v>
      </c>
      <c r="D1028" t="inlineStr">
        <is>
          <t>SÖDERMANLANDS LÄN</t>
        </is>
      </c>
      <c r="E1028" t="inlineStr">
        <is>
          <t>KATRINEHOLM</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43678-2023</t>
        </is>
      </c>
      <c r="B1029" s="1" t="n">
        <v>45187</v>
      </c>
      <c r="C1029" s="1" t="n">
        <v>45663</v>
      </c>
      <c r="D1029" t="inlineStr">
        <is>
          <t>SÖDERMANLANDS LÄN</t>
        </is>
      </c>
      <c r="E1029" t="inlineStr">
        <is>
          <t>KATRINEHOLM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44292-2023</t>
        </is>
      </c>
      <c r="B1030" s="1" t="n">
        <v>45188</v>
      </c>
      <c r="C1030" s="1" t="n">
        <v>45663</v>
      </c>
      <c r="D1030" t="inlineStr">
        <is>
          <t>SÖDERMANLANDS LÄN</t>
        </is>
      </c>
      <c r="E1030" t="inlineStr">
        <is>
          <t>KATRINEHOLM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44290-2023</t>
        </is>
      </c>
      <c r="B1031" s="1" t="n">
        <v>45188</v>
      </c>
      <c r="C1031" s="1" t="n">
        <v>45663</v>
      </c>
      <c r="D1031" t="inlineStr">
        <is>
          <t>SÖDERMANLANDS LÄN</t>
        </is>
      </c>
      <c r="E1031" t="inlineStr">
        <is>
          <t>KATRINEHOLM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45530-2023</t>
        </is>
      </c>
      <c r="B1032" s="1" t="n">
        <v>45188</v>
      </c>
      <c r="C1032" s="1" t="n">
        <v>45663</v>
      </c>
      <c r="D1032" t="inlineStr">
        <is>
          <t>SÖDERMANLANDS LÄN</t>
        </is>
      </c>
      <c r="E1032" t="inlineStr">
        <is>
          <t>KATRINEHOLM</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44637-2023</t>
        </is>
      </c>
      <c r="B1033" s="1" t="n">
        <v>45189</v>
      </c>
      <c r="C1033" s="1" t="n">
        <v>45663</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44638-2023</t>
        </is>
      </c>
      <c r="B1034" s="1" t="n">
        <v>45189</v>
      </c>
      <c r="C1034" s="1" t="n">
        <v>45663</v>
      </c>
      <c r="D1034" t="inlineStr">
        <is>
          <t>SÖDERMANLANDS LÄN</t>
        </is>
      </c>
      <c r="E1034" t="inlineStr">
        <is>
          <t>KATRINEHOLM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44659-2023</t>
        </is>
      </c>
      <c r="B1035" s="1" t="n">
        <v>45189</v>
      </c>
      <c r="C1035" s="1" t="n">
        <v>45663</v>
      </c>
      <c r="D1035" t="inlineStr">
        <is>
          <t>SÖDERMANLANDS LÄN</t>
        </is>
      </c>
      <c r="E1035" t="inlineStr">
        <is>
          <t>KATRINEHOLM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44925-2023</t>
        </is>
      </c>
      <c r="B1036" s="1" t="n">
        <v>45190</v>
      </c>
      <c r="C1036" s="1" t="n">
        <v>45663</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45246-2023</t>
        </is>
      </c>
      <c r="B1037" s="1" t="n">
        <v>45191</v>
      </c>
      <c r="C1037" s="1" t="n">
        <v>45663</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46700-2023</t>
        </is>
      </c>
      <c r="B1038" s="1" t="n">
        <v>45194</v>
      </c>
      <c r="C1038" s="1" t="n">
        <v>45663</v>
      </c>
      <c r="D1038" t="inlineStr">
        <is>
          <t>SÖDERMANLANDS LÄN</t>
        </is>
      </c>
      <c r="E1038" t="inlineStr">
        <is>
          <t>KATRINEHOLM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45799-2023</t>
        </is>
      </c>
      <c r="B1039" s="1" t="n">
        <v>45195</v>
      </c>
      <c r="C1039" s="1" t="n">
        <v>45663</v>
      </c>
      <c r="D1039" t="inlineStr">
        <is>
          <t>SÖDERMANLANDS LÄN</t>
        </is>
      </c>
      <c r="E1039" t="inlineStr">
        <is>
          <t>KATRINEHOLM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45782-2023</t>
        </is>
      </c>
      <c r="B1040" s="1" t="n">
        <v>45195</v>
      </c>
      <c r="C1040" s="1" t="n">
        <v>45663</v>
      </c>
      <c r="D1040" t="inlineStr">
        <is>
          <t>SÖDERMANLANDS LÄN</t>
        </is>
      </c>
      <c r="E1040" t="inlineStr">
        <is>
          <t>KATRINEHOLM</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45796-2023</t>
        </is>
      </c>
      <c r="B1041" s="1" t="n">
        <v>45195</v>
      </c>
      <c r="C1041" s="1" t="n">
        <v>45663</v>
      </c>
      <c r="D1041" t="inlineStr">
        <is>
          <t>SÖDERMANLANDS LÄN</t>
        </is>
      </c>
      <c r="E1041" t="inlineStr">
        <is>
          <t>KATRINEHOLM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45801-2023</t>
        </is>
      </c>
      <c r="B1042" s="1" t="n">
        <v>45195</v>
      </c>
      <c r="C1042" s="1" t="n">
        <v>45663</v>
      </c>
      <c r="D1042" t="inlineStr">
        <is>
          <t>SÖDERMANLANDS LÄN</t>
        </is>
      </c>
      <c r="E1042" t="inlineStr">
        <is>
          <t>KATRINEHOLM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46053-2023</t>
        </is>
      </c>
      <c r="B1043" s="1" t="n">
        <v>45196</v>
      </c>
      <c r="C1043" s="1" t="n">
        <v>45663</v>
      </c>
      <c r="D1043" t="inlineStr">
        <is>
          <t>SÖDERMANLANDS LÄN</t>
        </is>
      </c>
      <c r="E1043" t="inlineStr">
        <is>
          <t>KATRINEHOLM</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46231-2023</t>
        </is>
      </c>
      <c r="B1044" s="1" t="n">
        <v>45196</v>
      </c>
      <c r="C1044" s="1" t="n">
        <v>45663</v>
      </c>
      <c r="D1044" t="inlineStr">
        <is>
          <t>SÖDERMANLANDS LÄN</t>
        </is>
      </c>
      <c r="E1044" t="inlineStr">
        <is>
          <t>KATRINEHOLM</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46060-2023</t>
        </is>
      </c>
      <c r="B1045" s="1" t="n">
        <v>45196</v>
      </c>
      <c r="C1045" s="1" t="n">
        <v>45663</v>
      </c>
      <c r="D1045" t="inlineStr">
        <is>
          <t>SÖDERMANLANDS LÄN</t>
        </is>
      </c>
      <c r="E1045" t="inlineStr">
        <is>
          <t>KATRINEHOLM</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46075-2023</t>
        </is>
      </c>
      <c r="B1046" s="1" t="n">
        <v>45196</v>
      </c>
      <c r="C1046" s="1" t="n">
        <v>45663</v>
      </c>
      <c r="D1046" t="inlineStr">
        <is>
          <t>SÖDERMANLANDS LÄN</t>
        </is>
      </c>
      <c r="E1046" t="inlineStr">
        <is>
          <t>KATRINEHOLM</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47198-2023</t>
        </is>
      </c>
      <c r="B1047" s="1" t="n">
        <v>45202</v>
      </c>
      <c r="C1047" s="1" t="n">
        <v>45663</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48626-2023</t>
        </is>
      </c>
      <c r="B1048" s="1" t="n">
        <v>45202</v>
      </c>
      <c r="C1048" s="1" t="n">
        <v>45663</v>
      </c>
      <c r="D1048" t="inlineStr">
        <is>
          <t>SÖDERMANLANDS LÄN</t>
        </is>
      </c>
      <c r="E1048" t="inlineStr">
        <is>
          <t>KATRINEHOLM</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48646-2023</t>
        </is>
      </c>
      <c r="B1049" s="1" t="n">
        <v>45202</v>
      </c>
      <c r="C1049" s="1" t="n">
        <v>45663</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47881-2023</t>
        </is>
      </c>
      <c r="B1050" s="1" t="n">
        <v>45204</v>
      </c>
      <c r="C1050" s="1" t="n">
        <v>45663</v>
      </c>
      <c r="D1050" t="inlineStr">
        <is>
          <t>SÖDERMANLANDS LÄN</t>
        </is>
      </c>
      <c r="E1050" t="inlineStr">
        <is>
          <t>KATRINEHOLM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47886-2023</t>
        </is>
      </c>
      <c r="B1051" s="1" t="n">
        <v>45204</v>
      </c>
      <c r="C1051" s="1" t="n">
        <v>45663</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47878-2023</t>
        </is>
      </c>
      <c r="B1052" s="1" t="n">
        <v>45204</v>
      </c>
      <c r="C1052" s="1" t="n">
        <v>45663</v>
      </c>
      <c r="D1052" t="inlineStr">
        <is>
          <t>SÖDERMANLANDS LÄN</t>
        </is>
      </c>
      <c r="E1052" t="inlineStr">
        <is>
          <t>KATRINEHOLM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47879-2023</t>
        </is>
      </c>
      <c r="B1053" s="1" t="n">
        <v>45204</v>
      </c>
      <c r="C1053" s="1" t="n">
        <v>45663</v>
      </c>
      <c r="D1053" t="inlineStr">
        <is>
          <t>SÖDERMANLANDS LÄN</t>
        </is>
      </c>
      <c r="E1053" t="inlineStr">
        <is>
          <t>KATRINEHOLM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47889-2023</t>
        </is>
      </c>
      <c r="B1054" s="1" t="n">
        <v>45204</v>
      </c>
      <c r="C1054" s="1" t="n">
        <v>45663</v>
      </c>
      <c r="D1054" t="inlineStr">
        <is>
          <t>SÖDERMANLANDS LÄN</t>
        </is>
      </c>
      <c r="E1054" t="inlineStr">
        <is>
          <t>KATRINEHOLM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47871-2023</t>
        </is>
      </c>
      <c r="B1055" s="1" t="n">
        <v>45204</v>
      </c>
      <c r="C1055" s="1" t="n">
        <v>45663</v>
      </c>
      <c r="D1055" t="inlineStr">
        <is>
          <t>SÖDERMANLANDS LÄN</t>
        </is>
      </c>
      <c r="E1055" t="inlineStr">
        <is>
          <t>KATRINEHOLM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48097-2023</t>
        </is>
      </c>
      <c r="B1056" s="1" t="n">
        <v>45205</v>
      </c>
      <c r="C1056" s="1" t="n">
        <v>45663</v>
      </c>
      <c r="D1056" t="inlineStr">
        <is>
          <t>SÖDERMANLANDS LÄN</t>
        </is>
      </c>
      <c r="E1056" t="inlineStr">
        <is>
          <t>KATRINEHOLM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49238-2023</t>
        </is>
      </c>
      <c r="B1057" s="1" t="n">
        <v>45205</v>
      </c>
      <c r="C1057" s="1" t="n">
        <v>45663</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49232-2023</t>
        </is>
      </c>
      <c r="B1058" s="1" t="n">
        <v>45205</v>
      </c>
      <c r="C1058" s="1" t="n">
        <v>45663</v>
      </c>
      <c r="D1058" t="inlineStr">
        <is>
          <t>SÖDERMANLANDS LÄN</t>
        </is>
      </c>
      <c r="E1058" t="inlineStr">
        <is>
          <t>KATRINEHOLM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49218-2023</t>
        </is>
      </c>
      <c r="B1059" s="1" t="n">
        <v>45205</v>
      </c>
      <c r="C1059" s="1" t="n">
        <v>45663</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48520-2023</t>
        </is>
      </c>
      <c r="B1060" s="1" t="n">
        <v>45208</v>
      </c>
      <c r="C1060" s="1" t="n">
        <v>45663</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48590-2023</t>
        </is>
      </c>
      <c r="B1061" s="1" t="n">
        <v>45208</v>
      </c>
      <c r="C1061" s="1" t="n">
        <v>45663</v>
      </c>
      <c r="D1061" t="inlineStr">
        <is>
          <t>SÖDERMANLANDS LÄN</t>
        </is>
      </c>
      <c r="E1061" t="inlineStr">
        <is>
          <t>KATRINEHOLM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48594-2023</t>
        </is>
      </c>
      <c r="B1062" s="1" t="n">
        <v>45208</v>
      </c>
      <c r="C1062" s="1" t="n">
        <v>45663</v>
      </c>
      <c r="D1062" t="inlineStr">
        <is>
          <t>SÖDERMANLANDS LÄN</t>
        </is>
      </c>
      <c r="E1062" t="inlineStr">
        <is>
          <t>KATRINEHOLM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48788-2023</t>
        </is>
      </c>
      <c r="B1063" s="1" t="n">
        <v>45209</v>
      </c>
      <c r="C1063" s="1" t="n">
        <v>45663</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50316-2023</t>
        </is>
      </c>
      <c r="B1064" s="1" t="n">
        <v>45209</v>
      </c>
      <c r="C1064" s="1" t="n">
        <v>45663</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50804-2023</t>
        </is>
      </c>
      <c r="B1065" s="1" t="n">
        <v>45211</v>
      </c>
      <c r="C1065" s="1" t="n">
        <v>45663</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50943-2023</t>
        </is>
      </c>
      <c r="B1066" s="1" t="n">
        <v>45211</v>
      </c>
      <c r="C1066" s="1" t="n">
        <v>45663</v>
      </c>
      <c r="D1066" t="inlineStr">
        <is>
          <t>SÖDERMANLANDS LÄN</t>
        </is>
      </c>
      <c r="E1066" t="inlineStr">
        <is>
          <t>KATRINEHOLM</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50935-2023</t>
        </is>
      </c>
      <c r="B1067" s="1" t="n">
        <v>45211</v>
      </c>
      <c r="C1067" s="1" t="n">
        <v>45663</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49804-2023</t>
        </is>
      </c>
      <c r="B1068" s="1" t="n">
        <v>45212</v>
      </c>
      <c r="C1068" s="1" t="n">
        <v>45663</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51404-2023</t>
        </is>
      </c>
      <c r="B1069" s="1" t="n">
        <v>45214</v>
      </c>
      <c r="C1069" s="1" t="n">
        <v>45663</v>
      </c>
      <c r="D1069" t="inlineStr">
        <is>
          <t>SÖDERMANLANDS LÄN</t>
        </is>
      </c>
      <c r="E1069" t="inlineStr">
        <is>
          <t>KATRINEHOLM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51397-2023</t>
        </is>
      </c>
      <c r="B1070" s="1" t="n">
        <v>45214</v>
      </c>
      <c r="C1070" s="1" t="n">
        <v>45663</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49917-2023</t>
        </is>
      </c>
      <c r="B1071" s="1" t="n">
        <v>45214</v>
      </c>
      <c r="C1071" s="1" t="n">
        <v>45663</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51399-2023</t>
        </is>
      </c>
      <c r="B1072" s="1" t="n">
        <v>45214</v>
      </c>
      <c r="C1072" s="1" t="n">
        <v>45663</v>
      </c>
      <c r="D1072" t="inlineStr">
        <is>
          <t>SÖDERMANLANDS LÄN</t>
        </is>
      </c>
      <c r="E1072" t="inlineStr">
        <is>
          <t>KATRINEHOLM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49914-2023</t>
        </is>
      </c>
      <c r="B1073" s="1" t="n">
        <v>45214</v>
      </c>
      <c r="C1073" s="1" t="n">
        <v>45663</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50018-2023</t>
        </is>
      </c>
      <c r="B1074" s="1" t="n">
        <v>45215</v>
      </c>
      <c r="C1074" s="1" t="n">
        <v>45663</v>
      </c>
      <c r="D1074" t="inlineStr">
        <is>
          <t>SÖDERMANLANDS LÄN</t>
        </is>
      </c>
      <c r="E1074" t="inlineStr">
        <is>
          <t>KATRINEHOLM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50194-2023</t>
        </is>
      </c>
      <c r="B1075" s="1" t="n">
        <v>45215</v>
      </c>
      <c r="C1075" s="1" t="n">
        <v>45663</v>
      </c>
      <c r="D1075" t="inlineStr">
        <is>
          <t>SÖDERMANLANDS LÄN</t>
        </is>
      </c>
      <c r="E1075" t="inlineStr">
        <is>
          <t>KATRINEHOLM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50017-2023</t>
        </is>
      </c>
      <c r="B1076" s="1" t="n">
        <v>45215</v>
      </c>
      <c r="C1076" s="1" t="n">
        <v>45663</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50021-2023</t>
        </is>
      </c>
      <c r="B1077" s="1" t="n">
        <v>45215</v>
      </c>
      <c r="C1077" s="1" t="n">
        <v>45663</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50732-2023</t>
        </is>
      </c>
      <c r="B1078" s="1" t="n">
        <v>45217</v>
      </c>
      <c r="C1078" s="1" t="n">
        <v>45663</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51056-2023</t>
        </is>
      </c>
      <c r="B1079" s="1" t="n">
        <v>45218</v>
      </c>
      <c r="C1079" s="1" t="n">
        <v>45663</v>
      </c>
      <c r="D1079" t="inlineStr">
        <is>
          <t>SÖDERMANLANDS LÄN</t>
        </is>
      </c>
      <c r="E1079" t="inlineStr">
        <is>
          <t>KATRINEHOLM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51446-2023</t>
        </is>
      </c>
      <c r="B1080" s="1" t="n">
        <v>45220</v>
      </c>
      <c r="C1080" s="1" t="n">
        <v>45663</v>
      </c>
      <c r="D1080" t="inlineStr">
        <is>
          <t>SÖDERMANLANDS LÄN</t>
        </is>
      </c>
      <c r="E1080" t="inlineStr">
        <is>
          <t>KATRINEHOLM</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51528-2023</t>
        </is>
      </c>
      <c r="B1081" s="1" t="n">
        <v>45222</v>
      </c>
      <c r="C1081" s="1" t="n">
        <v>45663</v>
      </c>
      <c r="D1081" t="inlineStr">
        <is>
          <t>SÖDERMANLANDS LÄN</t>
        </is>
      </c>
      <c r="E1081" t="inlineStr">
        <is>
          <t>KATRINEHOLM</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51530-2023</t>
        </is>
      </c>
      <c r="B1082" s="1" t="n">
        <v>45222</v>
      </c>
      <c r="C1082" s="1" t="n">
        <v>45663</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51923-2023</t>
        </is>
      </c>
      <c r="B1083" s="1" t="n">
        <v>45223</v>
      </c>
      <c r="C1083" s="1" t="n">
        <v>45663</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52658-2023</t>
        </is>
      </c>
      <c r="B1084" s="1" t="n">
        <v>45225</v>
      </c>
      <c r="C1084" s="1" t="n">
        <v>45663</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52806-2023</t>
        </is>
      </c>
      <c r="B1085" s="1" t="n">
        <v>45226</v>
      </c>
      <c r="C1085" s="1" t="n">
        <v>45663</v>
      </c>
      <c r="D1085" t="inlineStr">
        <is>
          <t>SÖDERMANLANDS LÄN</t>
        </is>
      </c>
      <c r="E1085" t="inlineStr">
        <is>
          <t>KATRINEHOLM</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52805-2023</t>
        </is>
      </c>
      <c r="B1086" s="1" t="n">
        <v>45226</v>
      </c>
      <c r="C1086" s="1" t="n">
        <v>45663</v>
      </c>
      <c r="D1086" t="inlineStr">
        <is>
          <t>SÖDERMANLANDS LÄN</t>
        </is>
      </c>
      <c r="E1086" t="inlineStr">
        <is>
          <t>KATRINEHOLM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52769-2023</t>
        </is>
      </c>
      <c r="B1087" s="1" t="n">
        <v>45226</v>
      </c>
      <c r="C1087" s="1" t="n">
        <v>45663</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52771-2023</t>
        </is>
      </c>
      <c r="B1088" s="1" t="n">
        <v>45226</v>
      </c>
      <c r="C1088" s="1" t="n">
        <v>45663</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52807-2023</t>
        </is>
      </c>
      <c r="B1089" s="1" t="n">
        <v>45226</v>
      </c>
      <c r="C1089" s="1" t="n">
        <v>45663</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53393-2023</t>
        </is>
      </c>
      <c r="B1090" s="1" t="n">
        <v>45229</v>
      </c>
      <c r="C1090" s="1" t="n">
        <v>45663</v>
      </c>
      <c r="D1090" t="inlineStr">
        <is>
          <t>SÖDERMANLANDS LÄN</t>
        </is>
      </c>
      <c r="E1090" t="inlineStr">
        <is>
          <t>KATRINEHOLM</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53387-2023</t>
        </is>
      </c>
      <c r="B1091" s="1" t="n">
        <v>45229</v>
      </c>
      <c r="C1091" s="1" t="n">
        <v>45663</v>
      </c>
      <c r="D1091" t="inlineStr">
        <is>
          <t>SÖDERMANLANDS LÄN</t>
        </is>
      </c>
      <c r="E1091" t="inlineStr">
        <is>
          <t>KATRINEHOLM</t>
        </is>
      </c>
      <c r="F1091" t="inlineStr">
        <is>
          <t>Kyrkan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53162-2023</t>
        </is>
      </c>
      <c r="B1092" s="1" t="n">
        <v>45229</v>
      </c>
      <c r="C1092" s="1" t="n">
        <v>45663</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53722-2023</t>
        </is>
      </c>
      <c r="B1093" s="1" t="n">
        <v>45230</v>
      </c>
      <c r="C1093" s="1" t="n">
        <v>45663</v>
      </c>
      <c r="D1093" t="inlineStr">
        <is>
          <t>SÖDERMANLANDS LÄN</t>
        </is>
      </c>
      <c r="E1093" t="inlineStr">
        <is>
          <t>KATRINEHOLM</t>
        </is>
      </c>
      <c r="F1093" t="inlineStr">
        <is>
          <t>Allmännings- och besparingsskogar</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53715-2023</t>
        </is>
      </c>
      <c r="B1094" s="1" t="n">
        <v>45230</v>
      </c>
      <c r="C1094" s="1" t="n">
        <v>45663</v>
      </c>
      <c r="D1094" t="inlineStr">
        <is>
          <t>SÖDERMANLANDS LÄN</t>
        </is>
      </c>
      <c r="E1094" t="inlineStr">
        <is>
          <t>KATRINEHOLM</t>
        </is>
      </c>
      <c r="F1094" t="inlineStr">
        <is>
          <t>Allmännings- och besparingsskogar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53691-2023</t>
        </is>
      </c>
      <c r="B1095" s="1" t="n">
        <v>45230</v>
      </c>
      <c r="C1095" s="1" t="n">
        <v>45663</v>
      </c>
      <c r="D1095" t="inlineStr">
        <is>
          <t>SÖDERMANLANDS LÄN</t>
        </is>
      </c>
      <c r="E1095" t="inlineStr">
        <is>
          <t>KATRINEHOLM</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53843-2023</t>
        </is>
      </c>
      <c r="B1096" s="1" t="n">
        <v>45230</v>
      </c>
      <c r="C1096" s="1" t="n">
        <v>45663</v>
      </c>
      <c r="D1096" t="inlineStr">
        <is>
          <t>SÖDERMANLANDS LÄN</t>
        </is>
      </c>
      <c r="E1096" t="inlineStr">
        <is>
          <t>KATRINEHOLM</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53527-2023</t>
        </is>
      </c>
      <c r="B1097" s="1" t="n">
        <v>45230</v>
      </c>
      <c r="C1097" s="1" t="n">
        <v>45663</v>
      </c>
      <c r="D1097" t="inlineStr">
        <is>
          <t>SÖDERMANLANDS LÄN</t>
        </is>
      </c>
      <c r="E1097" t="inlineStr">
        <is>
          <t>KATRINEHOLM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v>
      </c>
      <c r="C1098" s="1" t="n">
        <v>45663</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53819-2023</t>
        </is>
      </c>
      <c r="B1099" s="1" t="n">
        <v>45231</v>
      </c>
      <c r="C1099" s="1" t="n">
        <v>45663</v>
      </c>
      <c r="D1099" t="inlineStr">
        <is>
          <t>SÖDERMANLANDS LÄN</t>
        </is>
      </c>
      <c r="E1099" t="inlineStr">
        <is>
          <t>KATRINEHOLM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53996-2023</t>
        </is>
      </c>
      <c r="B1100" s="1" t="n">
        <v>45231</v>
      </c>
      <c r="C1100" s="1" t="n">
        <v>45663</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53990-2023</t>
        </is>
      </c>
      <c r="B1101" s="1" t="n">
        <v>45231</v>
      </c>
      <c r="C1101" s="1" t="n">
        <v>45663</v>
      </c>
      <c r="D1101" t="inlineStr">
        <is>
          <t>SÖDERMANLANDS LÄN</t>
        </is>
      </c>
      <c r="E1101" t="inlineStr">
        <is>
          <t>KATRINEHOLM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53999-2023</t>
        </is>
      </c>
      <c r="B1102" s="1" t="n">
        <v>45231</v>
      </c>
      <c r="C1102" s="1" t="n">
        <v>45663</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53957-2023</t>
        </is>
      </c>
      <c r="B1103" s="1" t="n">
        <v>45231</v>
      </c>
      <c r="C1103" s="1" t="n">
        <v>45663</v>
      </c>
      <c r="D1103" t="inlineStr">
        <is>
          <t>SÖDERMANLANDS LÄN</t>
        </is>
      </c>
      <c r="E1103" t="inlineStr">
        <is>
          <t>KATRINEHOLM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53978-2023</t>
        </is>
      </c>
      <c r="B1104" s="1" t="n">
        <v>45231</v>
      </c>
      <c r="C1104" s="1" t="n">
        <v>45663</v>
      </c>
      <c r="D1104" t="inlineStr">
        <is>
          <t>SÖDERMANLANDS LÄN</t>
        </is>
      </c>
      <c r="E1104" t="inlineStr">
        <is>
          <t>KATRINEHOLM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55171-2023</t>
        </is>
      </c>
      <c r="B1105" s="1" t="n">
        <v>45231</v>
      </c>
      <c r="C1105" s="1" t="n">
        <v>45663</v>
      </c>
      <c r="D1105" t="inlineStr">
        <is>
          <t>SÖDERMANLANDS LÄN</t>
        </is>
      </c>
      <c r="E1105" t="inlineStr">
        <is>
          <t>KATRINEHOLM</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53958-2023</t>
        </is>
      </c>
      <c r="B1106" s="1" t="n">
        <v>45231</v>
      </c>
      <c r="C1106" s="1" t="n">
        <v>45663</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54002-2023</t>
        </is>
      </c>
      <c r="B1107" s="1" t="n">
        <v>45231</v>
      </c>
      <c r="C1107" s="1" t="n">
        <v>45663</v>
      </c>
      <c r="D1107" t="inlineStr">
        <is>
          <t>SÖDERMANLANDS LÄN</t>
        </is>
      </c>
      <c r="E1107" t="inlineStr">
        <is>
          <t>KATRINEHOLM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54283-2023</t>
        </is>
      </c>
      <c r="B1108" s="1" t="n">
        <v>45232</v>
      </c>
      <c r="C1108" s="1" t="n">
        <v>45663</v>
      </c>
      <c r="D1108" t="inlineStr">
        <is>
          <t>SÖDERMANLANDS LÄN</t>
        </is>
      </c>
      <c r="E1108" t="inlineStr">
        <is>
          <t>KATRINEHOLM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54428-2023</t>
        </is>
      </c>
      <c r="B1109" s="1" t="n">
        <v>45233</v>
      </c>
      <c r="C1109" s="1" t="n">
        <v>45663</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54387-2023</t>
        </is>
      </c>
      <c r="B1110" s="1" t="n">
        <v>45233</v>
      </c>
      <c r="C1110" s="1" t="n">
        <v>45663</v>
      </c>
      <c r="D1110" t="inlineStr">
        <is>
          <t>SÖDERMANLANDS LÄN</t>
        </is>
      </c>
      <c r="E1110" t="inlineStr">
        <is>
          <t>KATRINEHOLM</t>
        </is>
      </c>
      <c r="F1110" t="inlineStr">
        <is>
          <t>Sveaskog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54472-2023</t>
        </is>
      </c>
      <c r="B1111" s="1" t="n">
        <v>45233</v>
      </c>
      <c r="C1111" s="1" t="n">
        <v>45663</v>
      </c>
      <c r="D1111" t="inlineStr">
        <is>
          <t>SÖDERMANLANDS LÄN</t>
        </is>
      </c>
      <c r="E1111" t="inlineStr">
        <is>
          <t>KATRINEHOLM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54414-2023</t>
        </is>
      </c>
      <c r="B1112" s="1" t="n">
        <v>45233</v>
      </c>
      <c r="C1112" s="1" t="n">
        <v>45663</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54947-2023</t>
        </is>
      </c>
      <c r="B1113" s="1" t="n">
        <v>45236</v>
      </c>
      <c r="C1113" s="1" t="n">
        <v>45663</v>
      </c>
      <c r="D1113" t="inlineStr">
        <is>
          <t>SÖDERMANLANDS LÄN</t>
        </is>
      </c>
      <c r="E1113" t="inlineStr">
        <is>
          <t>KATRINEHOLM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55590-2023</t>
        </is>
      </c>
      <c r="B1114" s="1" t="n">
        <v>45238</v>
      </c>
      <c r="C1114" s="1" t="n">
        <v>45663</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55582-2023</t>
        </is>
      </c>
      <c r="B1115" s="1" t="n">
        <v>45238</v>
      </c>
      <c r="C1115" s="1" t="n">
        <v>45663</v>
      </c>
      <c r="D1115" t="inlineStr">
        <is>
          <t>SÖDERMANLANDS LÄN</t>
        </is>
      </c>
      <c r="E1115" t="inlineStr">
        <is>
          <t>KATRINEHOLM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55611-2023</t>
        </is>
      </c>
      <c r="B1116" s="1" t="n">
        <v>45238</v>
      </c>
      <c r="C1116" s="1" t="n">
        <v>45663</v>
      </c>
      <c r="D1116" t="inlineStr">
        <is>
          <t>SÖDERMANLANDS LÄN</t>
        </is>
      </c>
      <c r="E1116" t="inlineStr">
        <is>
          <t>KATRINEHOLM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45663</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55726-2023</t>
        </is>
      </c>
      <c r="B1118" s="1" t="n">
        <v>45239</v>
      </c>
      <c r="C1118" s="1" t="n">
        <v>45663</v>
      </c>
      <c r="D1118" t="inlineStr">
        <is>
          <t>SÖDERMANLANDS LÄN</t>
        </is>
      </c>
      <c r="E1118" t="inlineStr">
        <is>
          <t>KATRINEHOLM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55823-2023</t>
        </is>
      </c>
      <c r="B1119" s="1" t="n">
        <v>45239</v>
      </c>
      <c r="C1119" s="1" t="n">
        <v>45663</v>
      </c>
      <c r="D1119" t="inlineStr">
        <is>
          <t>SÖDERMANLANDS LÄN</t>
        </is>
      </c>
      <c r="E1119" t="inlineStr">
        <is>
          <t>KATRINEHOLM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55795-2023</t>
        </is>
      </c>
      <c r="B1120" s="1" t="n">
        <v>45239</v>
      </c>
      <c r="C1120" s="1" t="n">
        <v>45663</v>
      </c>
      <c r="D1120" t="inlineStr">
        <is>
          <t>SÖDERMANLANDS LÄN</t>
        </is>
      </c>
      <c r="E1120" t="inlineStr">
        <is>
          <t>KATRINEHOLM</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56086-2023</t>
        </is>
      </c>
      <c r="B1121" s="1" t="n">
        <v>45240</v>
      </c>
      <c r="C1121" s="1" t="n">
        <v>45663</v>
      </c>
      <c r="D1121" t="inlineStr">
        <is>
          <t>SÖDERMANLANDS LÄN</t>
        </is>
      </c>
      <c r="E1121" t="inlineStr">
        <is>
          <t>KATRINEHOLM</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56109-2023</t>
        </is>
      </c>
      <c r="B1122" s="1" t="n">
        <v>45240</v>
      </c>
      <c r="C1122" s="1" t="n">
        <v>45663</v>
      </c>
      <c r="D1122" t="inlineStr">
        <is>
          <t>SÖDERMANLANDS LÄN</t>
        </is>
      </c>
      <c r="E1122" t="inlineStr">
        <is>
          <t>KATRINEHOLM</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56529-2023</t>
        </is>
      </c>
      <c r="B1123" s="1" t="n">
        <v>45243</v>
      </c>
      <c r="C1123" s="1" t="n">
        <v>45663</v>
      </c>
      <c r="D1123" t="inlineStr">
        <is>
          <t>SÖDERMANLANDS LÄN</t>
        </is>
      </c>
      <c r="E1123" t="inlineStr">
        <is>
          <t>KATRINEHOLM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56526-2023</t>
        </is>
      </c>
      <c r="B1124" s="1" t="n">
        <v>45243</v>
      </c>
      <c r="C1124" s="1" t="n">
        <v>45663</v>
      </c>
      <c r="D1124" t="inlineStr">
        <is>
          <t>SÖDERMANLANDS LÄN</t>
        </is>
      </c>
      <c r="E1124" t="inlineStr">
        <is>
          <t>KATRINEHOLM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56531-2023</t>
        </is>
      </c>
      <c r="B1125" s="1" t="n">
        <v>45243</v>
      </c>
      <c r="C1125" s="1" t="n">
        <v>45663</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56636-2023</t>
        </is>
      </c>
      <c r="B1126" s="1" t="n">
        <v>45243</v>
      </c>
      <c r="C1126" s="1" t="n">
        <v>45663</v>
      </c>
      <c r="D1126" t="inlineStr">
        <is>
          <t>SÖDERMANLANDS LÄN</t>
        </is>
      </c>
      <c r="E1126" t="inlineStr">
        <is>
          <t>KATRINEHOLM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56536-2023</t>
        </is>
      </c>
      <c r="B1127" s="1" t="n">
        <v>45243</v>
      </c>
      <c r="C1127" s="1" t="n">
        <v>45663</v>
      </c>
      <c r="D1127" t="inlineStr">
        <is>
          <t>SÖDERMANLANDS LÄN</t>
        </is>
      </c>
      <c r="E1127" t="inlineStr">
        <is>
          <t>KATRINEHOLM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56973-2023</t>
        </is>
      </c>
      <c r="B1128" s="1" t="n">
        <v>45244</v>
      </c>
      <c r="C1128" s="1" t="n">
        <v>45663</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56977-2023</t>
        </is>
      </c>
      <c r="B1129" s="1" t="n">
        <v>45244</v>
      </c>
      <c r="C1129" s="1" t="n">
        <v>45663</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56850-2023</t>
        </is>
      </c>
      <c r="B1130" s="1" t="n">
        <v>45244</v>
      </c>
      <c r="C1130" s="1" t="n">
        <v>45663</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57807-2023</t>
        </is>
      </c>
      <c r="B1131" s="1" t="n">
        <v>45244</v>
      </c>
      <c r="C1131" s="1" t="n">
        <v>45663</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57302-2023</t>
        </is>
      </c>
      <c r="B1132" s="1" t="n">
        <v>45245</v>
      </c>
      <c r="C1132" s="1" t="n">
        <v>45663</v>
      </c>
      <c r="D1132" t="inlineStr">
        <is>
          <t>SÖDERMANLANDS LÄN</t>
        </is>
      </c>
      <c r="E1132" t="inlineStr">
        <is>
          <t>KATRINEHOLM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57154-2023</t>
        </is>
      </c>
      <c r="B1133" s="1" t="n">
        <v>45245</v>
      </c>
      <c r="C1133" s="1" t="n">
        <v>45663</v>
      </c>
      <c r="D1133" t="inlineStr">
        <is>
          <t>SÖDERMANLANDS LÄN</t>
        </is>
      </c>
      <c r="E1133" t="inlineStr">
        <is>
          <t>KATRINEHOLM</t>
        </is>
      </c>
      <c r="F1133" t="inlineStr">
        <is>
          <t>Allmännings- och besparingsskogar</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58651-2023</t>
        </is>
      </c>
      <c r="B1134" s="1" t="n">
        <v>45247</v>
      </c>
      <c r="C1134" s="1" t="n">
        <v>45663</v>
      </c>
      <c r="D1134" t="inlineStr">
        <is>
          <t>SÖDERMANLANDS LÄN</t>
        </is>
      </c>
      <c r="E1134" t="inlineStr">
        <is>
          <t>KATRINEHOLM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58656-2023</t>
        </is>
      </c>
      <c r="B1135" s="1" t="n">
        <v>45247</v>
      </c>
      <c r="C1135" s="1" t="n">
        <v>45663</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58119-2023</t>
        </is>
      </c>
      <c r="B1136" s="1" t="n">
        <v>45249</v>
      </c>
      <c r="C1136" s="1" t="n">
        <v>45663</v>
      </c>
      <c r="D1136" t="inlineStr">
        <is>
          <t>SÖDERMANLANDS LÄN</t>
        </is>
      </c>
      <c r="E1136" t="inlineStr">
        <is>
          <t>KATRINEHOLM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59284-2023</t>
        </is>
      </c>
      <c r="B1137" s="1" t="n">
        <v>45253</v>
      </c>
      <c r="C1137" s="1" t="n">
        <v>45663</v>
      </c>
      <c r="D1137" t="inlineStr">
        <is>
          <t>SÖDERMANLANDS LÄN</t>
        </is>
      </c>
      <c r="E1137" t="inlineStr">
        <is>
          <t>KATRINEHOLM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60388-2023</t>
        </is>
      </c>
      <c r="B1138" s="1" t="n">
        <v>45259</v>
      </c>
      <c r="C1138" s="1" t="n">
        <v>45663</v>
      </c>
      <c r="D1138" t="inlineStr">
        <is>
          <t>SÖDERMANLANDS LÄN</t>
        </is>
      </c>
      <c r="E1138" t="inlineStr">
        <is>
          <t>KATRINEHOLM</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61382-2023</t>
        </is>
      </c>
      <c r="B1139" s="1" t="n">
        <v>45264</v>
      </c>
      <c r="C1139" s="1" t="n">
        <v>45663</v>
      </c>
      <c r="D1139" t="inlineStr">
        <is>
          <t>SÖDERMANLANDS LÄN</t>
        </is>
      </c>
      <c r="E1139" t="inlineStr">
        <is>
          <t>KATRINEHOLM</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61385-2023</t>
        </is>
      </c>
      <c r="B1140" s="1" t="n">
        <v>45264</v>
      </c>
      <c r="C1140" s="1" t="n">
        <v>45663</v>
      </c>
      <c r="D1140" t="inlineStr">
        <is>
          <t>SÖDERMANLANDS LÄN</t>
        </is>
      </c>
      <c r="E1140" t="inlineStr">
        <is>
          <t>KATRINEHOLM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61426-2023</t>
        </is>
      </c>
      <c r="B1141" s="1" t="n">
        <v>45264</v>
      </c>
      <c r="C1141" s="1" t="n">
        <v>45663</v>
      </c>
      <c r="D1141" t="inlineStr">
        <is>
          <t>SÖDERMANLANDS LÄN</t>
        </is>
      </c>
      <c r="E1141" t="inlineStr">
        <is>
          <t>KATRINEHOLM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61721-2023</t>
        </is>
      </c>
      <c r="B1142" s="1" t="n">
        <v>45265</v>
      </c>
      <c r="C1142" s="1" t="n">
        <v>45663</v>
      </c>
      <c r="D1142" t="inlineStr">
        <is>
          <t>SÖDERMANLANDS LÄN</t>
        </is>
      </c>
      <c r="E1142" t="inlineStr">
        <is>
          <t>KATRINEHOLM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62419-2023</t>
        </is>
      </c>
      <c r="B1143" s="1" t="n">
        <v>45268</v>
      </c>
      <c r="C1143" s="1" t="n">
        <v>45663</v>
      </c>
      <c r="D1143" t="inlineStr">
        <is>
          <t>SÖDERMANLANDS LÄN</t>
        </is>
      </c>
      <c r="E1143" t="inlineStr">
        <is>
          <t>KATRINEHOLM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62444-2023</t>
        </is>
      </c>
      <c r="B1144" s="1" t="n">
        <v>45268</v>
      </c>
      <c r="C1144" s="1" t="n">
        <v>45663</v>
      </c>
      <c r="D1144" t="inlineStr">
        <is>
          <t>SÖDERMANLANDS LÄN</t>
        </is>
      </c>
      <c r="E1144" t="inlineStr">
        <is>
          <t>KATRINEHOLM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62420-2023</t>
        </is>
      </c>
      <c r="B1145" s="1" t="n">
        <v>45268</v>
      </c>
      <c r="C1145" s="1" t="n">
        <v>45663</v>
      </c>
      <c r="D1145" t="inlineStr">
        <is>
          <t>SÖDERMANLANDS LÄN</t>
        </is>
      </c>
      <c r="E1145" t="inlineStr">
        <is>
          <t>KATRINEHOLM</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62442-2023</t>
        </is>
      </c>
      <c r="B1146" s="1" t="n">
        <v>45268</v>
      </c>
      <c r="C1146" s="1" t="n">
        <v>45663</v>
      </c>
      <c r="D1146" t="inlineStr">
        <is>
          <t>SÖDERMANLANDS LÄN</t>
        </is>
      </c>
      <c r="E1146" t="inlineStr">
        <is>
          <t>KATRINEHOLM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62418-2023</t>
        </is>
      </c>
      <c r="B1147" s="1" t="n">
        <v>45268</v>
      </c>
      <c r="C1147" s="1" t="n">
        <v>45663</v>
      </c>
      <c r="D1147" t="inlineStr">
        <is>
          <t>SÖDERMANLANDS LÄN</t>
        </is>
      </c>
      <c r="E1147" t="inlineStr">
        <is>
          <t>KATRINEHOLM</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62954-2023</t>
        </is>
      </c>
      <c r="B1148" s="1" t="n">
        <v>45272</v>
      </c>
      <c r="C1148" s="1" t="n">
        <v>45663</v>
      </c>
      <c r="D1148" t="inlineStr">
        <is>
          <t>SÖDERMANLANDS LÄN</t>
        </is>
      </c>
      <c r="E1148" t="inlineStr">
        <is>
          <t>KATRINEHOLM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63127-2023</t>
        </is>
      </c>
      <c r="B1149" s="1" t="n">
        <v>45272</v>
      </c>
      <c r="C1149" s="1" t="n">
        <v>45663</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64601-2023</t>
        </is>
      </c>
      <c r="B1150" s="1" t="n">
        <v>45281</v>
      </c>
      <c r="C1150" s="1" t="n">
        <v>45663</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64605-2023</t>
        </is>
      </c>
      <c r="B1151" s="1" t="n">
        <v>45281</v>
      </c>
      <c r="C1151" s="1" t="n">
        <v>45663</v>
      </c>
      <c r="D1151" t="inlineStr">
        <is>
          <t>SÖDERMANLANDS LÄN</t>
        </is>
      </c>
      <c r="E1151" t="inlineStr">
        <is>
          <t>KATRINEHOLM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64666-2023</t>
        </is>
      </c>
      <c r="B1152" s="1" t="n">
        <v>45281</v>
      </c>
      <c r="C1152" s="1" t="n">
        <v>45663</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64713-2023</t>
        </is>
      </c>
      <c r="B1153" s="1" t="n">
        <v>45281</v>
      </c>
      <c r="C1153" s="1" t="n">
        <v>45663</v>
      </c>
      <c r="D1153" t="inlineStr">
        <is>
          <t>SÖDERMANLANDS LÄN</t>
        </is>
      </c>
      <c r="E1153" t="inlineStr">
        <is>
          <t>KATRINEHOLM</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64652-2023</t>
        </is>
      </c>
      <c r="B1154" s="1" t="n">
        <v>45281</v>
      </c>
      <c r="C1154" s="1" t="n">
        <v>45663</v>
      </c>
      <c r="D1154" t="inlineStr">
        <is>
          <t>SÖDERMANLANDS LÄN</t>
        </is>
      </c>
      <c r="E1154" t="inlineStr">
        <is>
          <t>KATRINEHOLM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64676-2023</t>
        </is>
      </c>
      <c r="B1155" s="1" t="n">
        <v>45281</v>
      </c>
      <c r="C1155" s="1" t="n">
        <v>45663</v>
      </c>
      <c r="D1155" t="inlineStr">
        <is>
          <t>SÖDERMANLANDS LÄN</t>
        </is>
      </c>
      <c r="E1155" t="inlineStr">
        <is>
          <t>KATRINEHOLM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64771-2023</t>
        </is>
      </c>
      <c r="B1156" s="1" t="n">
        <v>45282</v>
      </c>
      <c r="C1156" s="1" t="n">
        <v>45663</v>
      </c>
      <c r="D1156" t="inlineStr">
        <is>
          <t>SÖDERMANLANDS LÄN</t>
        </is>
      </c>
      <c r="E1156" t="inlineStr">
        <is>
          <t>KATRINEHOLM</t>
        </is>
      </c>
      <c r="F1156" t="inlineStr">
        <is>
          <t>Övriga Aktiebolag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65214-2023</t>
        </is>
      </c>
      <c r="B1157" s="1" t="n">
        <v>45289</v>
      </c>
      <c r="C1157" s="1" t="n">
        <v>45663</v>
      </c>
      <c r="D1157" t="inlineStr">
        <is>
          <t>SÖDERMANLANDS LÄN</t>
        </is>
      </c>
      <c r="E1157" t="inlineStr">
        <is>
          <t>KATRINEHOLM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4-2024</t>
        </is>
      </c>
      <c r="B1158" s="1" t="n">
        <v>45292</v>
      </c>
      <c r="C1158" s="1" t="n">
        <v>45663</v>
      </c>
      <c r="D1158" t="inlineStr">
        <is>
          <t>SÖDERMANLANDS LÄN</t>
        </is>
      </c>
      <c r="E1158" t="inlineStr">
        <is>
          <t>KATRINEHOLM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5-2024</t>
        </is>
      </c>
      <c r="B1159" s="1" t="n">
        <v>45292</v>
      </c>
      <c r="C1159" s="1" t="n">
        <v>45663</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371-2024</t>
        </is>
      </c>
      <c r="B1160" s="1" t="n">
        <v>45296</v>
      </c>
      <c r="C1160" s="1" t="n">
        <v>45663</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535-2024</t>
        </is>
      </c>
      <c r="B1161" s="1" t="n">
        <v>45299</v>
      </c>
      <c r="C1161" s="1" t="n">
        <v>45663</v>
      </c>
      <c r="D1161" t="inlineStr">
        <is>
          <t>SÖDERMANLANDS LÄN</t>
        </is>
      </c>
      <c r="E1161" t="inlineStr">
        <is>
          <t>KATRINEHOLM</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1102-2024</t>
        </is>
      </c>
      <c r="B1162" s="1" t="n">
        <v>45302</v>
      </c>
      <c r="C1162" s="1" t="n">
        <v>45663</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1143-2024</t>
        </is>
      </c>
      <c r="B1163" s="1" t="n">
        <v>45302</v>
      </c>
      <c r="C1163" s="1" t="n">
        <v>45663</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1107-2024</t>
        </is>
      </c>
      <c r="B1164" s="1" t="n">
        <v>45302</v>
      </c>
      <c r="C1164" s="1" t="n">
        <v>45663</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1305-2024</t>
        </is>
      </c>
      <c r="B1165" s="1" t="n">
        <v>45303</v>
      </c>
      <c r="C1165" s="1" t="n">
        <v>45663</v>
      </c>
      <c r="D1165" t="inlineStr">
        <is>
          <t>SÖDERMANLANDS LÄN</t>
        </is>
      </c>
      <c r="E1165" t="inlineStr">
        <is>
          <t>KATRINEHOLM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1347-2024</t>
        </is>
      </c>
      <c r="B1166" s="1" t="n">
        <v>45303</v>
      </c>
      <c r="C1166" s="1" t="n">
        <v>45663</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1600-2024</t>
        </is>
      </c>
      <c r="B1167" s="1" t="n">
        <v>45306</v>
      </c>
      <c r="C1167" s="1" t="n">
        <v>45663</v>
      </c>
      <c r="D1167" t="inlineStr">
        <is>
          <t>SÖDERMANLANDS LÄN</t>
        </is>
      </c>
      <c r="E1167" t="inlineStr">
        <is>
          <t>KATRINEHOLM</t>
        </is>
      </c>
      <c r="F1167" t="inlineStr">
        <is>
          <t>Övriga Aktiebolag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1709-2024</t>
        </is>
      </c>
      <c r="B1168" s="1" t="n">
        <v>45307</v>
      </c>
      <c r="C1168" s="1" t="n">
        <v>45663</v>
      </c>
      <c r="D1168" t="inlineStr">
        <is>
          <t>SÖDERMANLANDS LÄN</t>
        </is>
      </c>
      <c r="E1168" t="inlineStr">
        <is>
          <t>KATRINEHOLM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2159-2024</t>
        </is>
      </c>
      <c r="B1169" s="1" t="n">
        <v>45309</v>
      </c>
      <c r="C1169" s="1" t="n">
        <v>45663</v>
      </c>
      <c r="D1169" t="inlineStr">
        <is>
          <t>SÖDERMANLANDS LÄN</t>
        </is>
      </c>
      <c r="E1169" t="inlineStr">
        <is>
          <t>KATRINEHOLM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3115-2024</t>
        </is>
      </c>
      <c r="B1170" s="1" t="n">
        <v>45316</v>
      </c>
      <c r="C1170" s="1" t="n">
        <v>45663</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3123-2024</t>
        </is>
      </c>
      <c r="B1171" s="1" t="n">
        <v>45316</v>
      </c>
      <c r="C1171" s="1" t="n">
        <v>45663</v>
      </c>
      <c r="D1171" t="inlineStr">
        <is>
          <t>SÖDERMANLANDS LÄN</t>
        </is>
      </c>
      <c r="E1171" t="inlineStr">
        <is>
          <t>KATRINEHOLM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3125-2024</t>
        </is>
      </c>
      <c r="B1172" s="1" t="n">
        <v>45316</v>
      </c>
      <c r="C1172" s="1" t="n">
        <v>45663</v>
      </c>
      <c r="D1172" t="inlineStr">
        <is>
          <t>SÖDERMANLANDS LÄN</t>
        </is>
      </c>
      <c r="E1172" t="inlineStr">
        <is>
          <t>KATRINEHOLM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3756-2024</t>
        </is>
      </c>
      <c r="B1173" s="1" t="n">
        <v>45321</v>
      </c>
      <c r="C1173" s="1" t="n">
        <v>45663</v>
      </c>
      <c r="D1173" t="inlineStr">
        <is>
          <t>SÖDERMANLANDS LÄN</t>
        </is>
      </c>
      <c r="E1173" t="inlineStr">
        <is>
          <t>KATRINEHOLM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3982-2024</t>
        </is>
      </c>
      <c r="B1174" s="1" t="n">
        <v>45322</v>
      </c>
      <c r="C1174" s="1" t="n">
        <v>45663</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3986-2024</t>
        </is>
      </c>
      <c r="B1175" s="1" t="n">
        <v>45322</v>
      </c>
      <c r="C1175" s="1" t="n">
        <v>45663</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3980-2024</t>
        </is>
      </c>
      <c r="B1176" s="1" t="n">
        <v>45322</v>
      </c>
      <c r="C1176" s="1" t="n">
        <v>45663</v>
      </c>
      <c r="D1176" t="inlineStr">
        <is>
          <t>SÖDERMANLANDS LÄN</t>
        </is>
      </c>
      <c r="E1176" t="inlineStr">
        <is>
          <t>KATRINEHOLM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4387-2024</t>
        </is>
      </c>
      <c r="B1177" s="1" t="n">
        <v>45327</v>
      </c>
      <c r="C1177" s="1" t="n">
        <v>45663</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4652-2024</t>
        </is>
      </c>
      <c r="B1178" s="1" t="n">
        <v>45328</v>
      </c>
      <c r="C1178" s="1" t="n">
        <v>45663</v>
      </c>
      <c r="D1178" t="inlineStr">
        <is>
          <t>SÖDERMANLANDS LÄN</t>
        </is>
      </c>
      <c r="E1178" t="inlineStr">
        <is>
          <t>KATRINEHOLM</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4650-2024</t>
        </is>
      </c>
      <c r="B1179" s="1" t="n">
        <v>45328</v>
      </c>
      <c r="C1179" s="1" t="n">
        <v>45663</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4655-2024</t>
        </is>
      </c>
      <c r="B1180" s="1" t="n">
        <v>45328</v>
      </c>
      <c r="C1180" s="1" t="n">
        <v>45663</v>
      </c>
      <c r="D1180" t="inlineStr">
        <is>
          <t>SÖDERMANLANDS LÄN</t>
        </is>
      </c>
      <c r="E1180" t="inlineStr">
        <is>
          <t>KATRINEHOLM</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4645-2024</t>
        </is>
      </c>
      <c r="B1181" s="1" t="n">
        <v>45328</v>
      </c>
      <c r="C1181" s="1" t="n">
        <v>45663</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4667-2024</t>
        </is>
      </c>
      <c r="B1182" s="1" t="n">
        <v>45328</v>
      </c>
      <c r="C1182" s="1" t="n">
        <v>45663</v>
      </c>
      <c r="D1182" t="inlineStr">
        <is>
          <t>SÖDERMANLANDS LÄN</t>
        </is>
      </c>
      <c r="E1182" t="inlineStr">
        <is>
          <t>KATRINEHOLM</t>
        </is>
      </c>
      <c r="F1182" t="inlineStr">
        <is>
          <t>Övriga Aktiebolag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4872-2024</t>
        </is>
      </c>
      <c r="B1183" s="1" t="n">
        <v>45329</v>
      </c>
      <c r="C1183" s="1" t="n">
        <v>45663</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4958-2024</t>
        </is>
      </c>
      <c r="B1184" s="1" t="n">
        <v>45329</v>
      </c>
      <c r="C1184" s="1" t="n">
        <v>45663</v>
      </c>
      <c r="D1184" t="inlineStr">
        <is>
          <t>SÖDERMANLANDS LÄN</t>
        </is>
      </c>
      <c r="E1184" t="inlineStr">
        <is>
          <t>KATRINEHOLM</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5032-2024</t>
        </is>
      </c>
      <c r="B1185" s="1" t="n">
        <v>45329</v>
      </c>
      <c r="C1185" s="1" t="n">
        <v>45663</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4967-2024</t>
        </is>
      </c>
      <c r="B1186" s="1" t="n">
        <v>45329</v>
      </c>
      <c r="C1186" s="1" t="n">
        <v>45663</v>
      </c>
      <c r="D1186" t="inlineStr">
        <is>
          <t>SÖDERMANLANDS LÄN</t>
        </is>
      </c>
      <c r="E1186" t="inlineStr">
        <is>
          <t>KATRINEHOLM</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4987-2024</t>
        </is>
      </c>
      <c r="B1187" s="1" t="n">
        <v>45329</v>
      </c>
      <c r="C1187" s="1" t="n">
        <v>45663</v>
      </c>
      <c r="D1187" t="inlineStr">
        <is>
          <t>SÖDERMANLANDS LÄN</t>
        </is>
      </c>
      <c r="E1187" t="inlineStr">
        <is>
          <t>KATRINEHOLM</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5029-2024</t>
        </is>
      </c>
      <c r="B1188" s="1" t="n">
        <v>45329</v>
      </c>
      <c r="C1188" s="1" t="n">
        <v>45663</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5493-2024</t>
        </is>
      </c>
      <c r="B1189" s="1" t="n">
        <v>45334</v>
      </c>
      <c r="C1189" s="1" t="n">
        <v>45663</v>
      </c>
      <c r="D1189" t="inlineStr">
        <is>
          <t>SÖDERMANLANDS LÄN</t>
        </is>
      </c>
      <c r="E1189" t="inlineStr">
        <is>
          <t>KATRINEHOLM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5641-2024</t>
        </is>
      </c>
      <c r="B1190" s="1" t="n">
        <v>45334</v>
      </c>
      <c r="C1190" s="1" t="n">
        <v>45663</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v>
      </c>
      <c r="C1191" s="1" t="n">
        <v>45663</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7305-2024</t>
        </is>
      </c>
      <c r="B1192" s="1" t="n">
        <v>45344</v>
      </c>
      <c r="C1192" s="1" t="n">
        <v>45663</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7398-2024</t>
        </is>
      </c>
      <c r="B1193" s="1" t="n">
        <v>45345</v>
      </c>
      <c r="C1193" s="1" t="n">
        <v>45663</v>
      </c>
      <c r="D1193" t="inlineStr">
        <is>
          <t>SÖDERMANLANDS LÄN</t>
        </is>
      </c>
      <c r="E1193" t="inlineStr">
        <is>
          <t>KATRINEHOLM</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7641-2024</t>
        </is>
      </c>
      <c r="B1194" s="1" t="n">
        <v>45348</v>
      </c>
      <c r="C1194" s="1" t="n">
        <v>45663</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7670-2024</t>
        </is>
      </c>
      <c r="B1195" s="1" t="n">
        <v>45348</v>
      </c>
      <c r="C1195" s="1" t="n">
        <v>45663</v>
      </c>
      <c r="D1195" t="inlineStr">
        <is>
          <t>SÖDERMANLANDS LÄN</t>
        </is>
      </c>
      <c r="E1195" t="inlineStr">
        <is>
          <t>KATRINEHOLM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7747-2024</t>
        </is>
      </c>
      <c r="B1196" s="1" t="n">
        <v>45348</v>
      </c>
      <c r="C1196" s="1" t="n">
        <v>45663</v>
      </c>
      <c r="D1196" t="inlineStr">
        <is>
          <t>SÖDERMANLANDS LÄN</t>
        </is>
      </c>
      <c r="E1196" t="inlineStr">
        <is>
          <t>KATRINEHOLM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7867-2024</t>
        </is>
      </c>
      <c r="B1197" s="1" t="n">
        <v>45350</v>
      </c>
      <c r="C1197" s="1" t="n">
        <v>45663</v>
      </c>
      <c r="D1197" t="inlineStr">
        <is>
          <t>SÖDERMANLANDS LÄN</t>
        </is>
      </c>
      <c r="E1197" t="inlineStr">
        <is>
          <t>KATRINEHOLM</t>
        </is>
      </c>
      <c r="F1197" t="inlineStr">
        <is>
          <t>Kyrkan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8394-2024</t>
        </is>
      </c>
      <c r="B1198" s="1" t="n">
        <v>45352</v>
      </c>
      <c r="C1198" s="1" t="n">
        <v>45663</v>
      </c>
      <c r="D1198" t="inlineStr">
        <is>
          <t>SÖDERMANLANDS LÄN</t>
        </is>
      </c>
      <c r="E1198" t="inlineStr">
        <is>
          <t>KATRINEHOLM</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8942-2024</t>
        </is>
      </c>
      <c r="B1199" s="1" t="n">
        <v>45357</v>
      </c>
      <c r="C1199" s="1" t="n">
        <v>45663</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8951-2024</t>
        </is>
      </c>
      <c r="B1200" s="1" t="n">
        <v>45357</v>
      </c>
      <c r="C1200" s="1" t="n">
        <v>45663</v>
      </c>
      <c r="D1200" t="inlineStr">
        <is>
          <t>SÖDERMANLANDS LÄN</t>
        </is>
      </c>
      <c r="E1200" t="inlineStr">
        <is>
          <t>KATRINEHOLM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8922-2024</t>
        </is>
      </c>
      <c r="B1201" s="1" t="n">
        <v>45357</v>
      </c>
      <c r="C1201" s="1" t="n">
        <v>45663</v>
      </c>
      <c r="D1201" t="inlineStr">
        <is>
          <t>SÖDERMANLANDS LÄN</t>
        </is>
      </c>
      <c r="E1201" t="inlineStr">
        <is>
          <t>KATRINEHOLM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8917-2024</t>
        </is>
      </c>
      <c r="B1202" s="1" t="n">
        <v>45357</v>
      </c>
      <c r="C1202" s="1" t="n">
        <v>45663</v>
      </c>
      <c r="D1202" t="inlineStr">
        <is>
          <t>SÖDERMANLANDS LÄN</t>
        </is>
      </c>
      <c r="E1202" t="inlineStr">
        <is>
          <t>KATRINEHOLM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8955-2024</t>
        </is>
      </c>
      <c r="B1203" s="1" t="n">
        <v>45357</v>
      </c>
      <c r="C1203" s="1" t="n">
        <v>45663</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8957-2024</t>
        </is>
      </c>
      <c r="B1204" s="1" t="n">
        <v>45357</v>
      </c>
      <c r="C1204" s="1" t="n">
        <v>45663</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9176-2024</t>
        </is>
      </c>
      <c r="B1205" s="1" t="n">
        <v>45358</v>
      </c>
      <c r="C1205" s="1" t="n">
        <v>45663</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9181-2024</t>
        </is>
      </c>
      <c r="B1206" s="1" t="n">
        <v>45358</v>
      </c>
      <c r="C1206" s="1" t="n">
        <v>45663</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9178-2024</t>
        </is>
      </c>
      <c r="B1207" s="1" t="n">
        <v>45358</v>
      </c>
      <c r="C1207" s="1" t="n">
        <v>45663</v>
      </c>
      <c r="D1207" t="inlineStr">
        <is>
          <t>SÖDERMANLANDS LÄN</t>
        </is>
      </c>
      <c r="E1207" t="inlineStr">
        <is>
          <t>KATRINEHOLM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9710-2024</t>
        </is>
      </c>
      <c r="B1208" s="1" t="n">
        <v>45362</v>
      </c>
      <c r="C1208" s="1" t="n">
        <v>45663</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9714-2024</t>
        </is>
      </c>
      <c r="B1209" s="1" t="n">
        <v>45362</v>
      </c>
      <c r="C1209" s="1" t="n">
        <v>45663</v>
      </c>
      <c r="D1209" t="inlineStr">
        <is>
          <t>SÖDERMANLANDS LÄN</t>
        </is>
      </c>
      <c r="E1209" t="inlineStr">
        <is>
          <t>KATRINEHOLM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9693-2024</t>
        </is>
      </c>
      <c r="B1210" s="1" t="n">
        <v>45362</v>
      </c>
      <c r="C1210" s="1" t="n">
        <v>45663</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45663</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9719-2024</t>
        </is>
      </c>
      <c r="B1212" s="1" t="n">
        <v>45362</v>
      </c>
      <c r="C1212" s="1" t="n">
        <v>45663</v>
      </c>
      <c r="D1212" t="inlineStr">
        <is>
          <t>SÖDERMANLANDS LÄN</t>
        </is>
      </c>
      <c r="E1212" t="inlineStr">
        <is>
          <t>KATRINEHOLM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10058-2024</t>
        </is>
      </c>
      <c r="B1213" s="1" t="n">
        <v>45364</v>
      </c>
      <c r="C1213" s="1" t="n">
        <v>45663</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10067-2024</t>
        </is>
      </c>
      <c r="B1214" s="1" t="n">
        <v>45364</v>
      </c>
      <c r="C1214" s="1" t="n">
        <v>45663</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10446-2024</t>
        </is>
      </c>
      <c r="B1215" s="1" t="n">
        <v>45366</v>
      </c>
      <c r="C1215" s="1" t="n">
        <v>45663</v>
      </c>
      <c r="D1215" t="inlineStr">
        <is>
          <t>SÖDERMANLANDS LÄN</t>
        </is>
      </c>
      <c r="E1215" t="inlineStr">
        <is>
          <t>KATRINEHOLM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11432-2024</t>
        </is>
      </c>
      <c r="B1216" s="1" t="n">
        <v>45372</v>
      </c>
      <c r="C1216" s="1" t="n">
        <v>45663</v>
      </c>
      <c r="D1216" t="inlineStr">
        <is>
          <t>SÖDERMANLANDS LÄN</t>
        </is>
      </c>
      <c r="E1216" t="inlineStr">
        <is>
          <t>KATRINEHOLM</t>
        </is>
      </c>
      <c r="F1216" t="inlineStr">
        <is>
          <t>Övriga Aktiebolag</t>
        </is>
      </c>
      <c r="G1216" t="n">
        <v>24.9</v>
      </c>
      <c r="H1216" t="n">
        <v>0</v>
      </c>
      <c r="I1216" t="n">
        <v>0</v>
      </c>
      <c r="J1216" t="n">
        <v>0</v>
      </c>
      <c r="K1216" t="n">
        <v>0</v>
      </c>
      <c r="L1216" t="n">
        <v>0</v>
      </c>
      <c r="M1216" t="n">
        <v>0</v>
      </c>
      <c r="N1216" t="n">
        <v>0</v>
      </c>
      <c r="O1216" t="n">
        <v>0</v>
      </c>
      <c r="P1216" t="n">
        <v>0</v>
      </c>
      <c r="Q1216" t="n">
        <v>0</v>
      </c>
      <c r="R1216" s="2" t="inlineStr"/>
    </row>
    <row r="1217" ht="15" customHeight="1">
      <c r="A1217" t="inlineStr">
        <is>
          <t>A 11425-2024</t>
        </is>
      </c>
      <c r="B1217" s="1" t="n">
        <v>45372</v>
      </c>
      <c r="C1217" s="1" t="n">
        <v>45663</v>
      </c>
      <c r="D1217" t="inlineStr">
        <is>
          <t>SÖDERMANLANDS LÄN</t>
        </is>
      </c>
      <c r="E1217" t="inlineStr">
        <is>
          <t>KATRINEHOLM</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12835-2024</t>
        </is>
      </c>
      <c r="B1218" s="1" t="n">
        <v>45384</v>
      </c>
      <c r="C1218" s="1" t="n">
        <v>45663</v>
      </c>
      <c r="D1218" t="inlineStr">
        <is>
          <t>SÖDERMANLANDS LÄN</t>
        </is>
      </c>
      <c r="E1218" t="inlineStr">
        <is>
          <t>KATRINEHOLM</t>
        </is>
      </c>
      <c r="F1218" t="inlineStr">
        <is>
          <t>Allmännings- och besparingsskogar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13016-2024</t>
        </is>
      </c>
      <c r="B1219" s="1" t="n">
        <v>45385</v>
      </c>
      <c r="C1219" s="1" t="n">
        <v>45663</v>
      </c>
      <c r="D1219" t="inlineStr">
        <is>
          <t>SÖDERMANLANDS LÄN</t>
        </is>
      </c>
      <c r="E1219" t="inlineStr">
        <is>
          <t>KATRINEHOLM</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13037-2024</t>
        </is>
      </c>
      <c r="B1220" s="1" t="n">
        <v>45385</v>
      </c>
      <c r="C1220" s="1" t="n">
        <v>45663</v>
      </c>
      <c r="D1220" t="inlineStr">
        <is>
          <t>SÖDERMANLANDS LÄN</t>
        </is>
      </c>
      <c r="E1220" t="inlineStr">
        <is>
          <t>KATRINEHOLM</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13020-2024</t>
        </is>
      </c>
      <c r="B1221" s="1" t="n">
        <v>45385</v>
      </c>
      <c r="C1221" s="1" t="n">
        <v>45663</v>
      </c>
      <c r="D1221" t="inlineStr">
        <is>
          <t>SÖDERMANLANDS LÄN</t>
        </is>
      </c>
      <c r="E1221" t="inlineStr">
        <is>
          <t>KATRINEHOLM</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13171-2024</t>
        </is>
      </c>
      <c r="B1222" s="1" t="n">
        <v>45386</v>
      </c>
      <c r="C1222" s="1" t="n">
        <v>45663</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13175-2024</t>
        </is>
      </c>
      <c r="B1223" s="1" t="n">
        <v>45386</v>
      </c>
      <c r="C1223" s="1" t="n">
        <v>45663</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14096-2024</t>
        </is>
      </c>
      <c r="B1224" s="1" t="n">
        <v>45392</v>
      </c>
      <c r="C1224" s="1" t="n">
        <v>45663</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14224-2024</t>
        </is>
      </c>
      <c r="B1225" s="1" t="n">
        <v>45393</v>
      </c>
      <c r="C1225" s="1" t="n">
        <v>45663</v>
      </c>
      <c r="D1225" t="inlineStr">
        <is>
          <t>SÖDERMANLANDS LÄN</t>
        </is>
      </c>
      <c r="E1225" t="inlineStr">
        <is>
          <t>KATRINEHOLM</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14214-2024</t>
        </is>
      </c>
      <c r="B1226" s="1" t="n">
        <v>45393</v>
      </c>
      <c r="C1226" s="1" t="n">
        <v>45663</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14239-2024</t>
        </is>
      </c>
      <c r="B1227" s="1" t="n">
        <v>45393</v>
      </c>
      <c r="C1227" s="1" t="n">
        <v>45663</v>
      </c>
      <c r="D1227" t="inlineStr">
        <is>
          <t>SÖDERMANLANDS LÄN</t>
        </is>
      </c>
      <c r="E1227" t="inlineStr">
        <is>
          <t>KATRINEHOLM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14248-2024</t>
        </is>
      </c>
      <c r="B1228" s="1" t="n">
        <v>45393</v>
      </c>
      <c r="C1228" s="1" t="n">
        <v>45663</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14313-2024</t>
        </is>
      </c>
      <c r="B1229" s="1" t="n">
        <v>45393</v>
      </c>
      <c r="C1229" s="1" t="n">
        <v>45663</v>
      </c>
      <c r="D1229" t="inlineStr">
        <is>
          <t>SÖDERMANLANDS LÄN</t>
        </is>
      </c>
      <c r="E1229" t="inlineStr">
        <is>
          <t>KATRINEHOLM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14180-2024</t>
        </is>
      </c>
      <c r="B1230" s="1" t="n">
        <v>45393</v>
      </c>
      <c r="C1230" s="1" t="n">
        <v>45663</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14245-2024</t>
        </is>
      </c>
      <c r="B1231" s="1" t="n">
        <v>45393</v>
      </c>
      <c r="C1231" s="1" t="n">
        <v>45663</v>
      </c>
      <c r="D1231" t="inlineStr">
        <is>
          <t>SÖDERMANLANDS LÄN</t>
        </is>
      </c>
      <c r="E1231" t="inlineStr">
        <is>
          <t>KATRINEHOLM</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14754-2024</t>
        </is>
      </c>
      <c r="B1232" s="1" t="n">
        <v>45397</v>
      </c>
      <c r="C1232" s="1" t="n">
        <v>45663</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14951-2024</t>
        </is>
      </c>
      <c r="B1233" s="1" t="n">
        <v>45398</v>
      </c>
      <c r="C1233" s="1" t="n">
        <v>45663</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15911-2024</t>
        </is>
      </c>
      <c r="B1234" s="1" t="n">
        <v>45405</v>
      </c>
      <c r="C1234" s="1" t="n">
        <v>45663</v>
      </c>
      <c r="D1234" t="inlineStr">
        <is>
          <t>SÖDERMANLANDS LÄN</t>
        </is>
      </c>
      <c r="E1234" t="inlineStr">
        <is>
          <t>KATRINEHOLM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15945-2024</t>
        </is>
      </c>
      <c r="B1235" s="1" t="n">
        <v>45405</v>
      </c>
      <c r="C1235" s="1" t="n">
        <v>45663</v>
      </c>
      <c r="D1235" t="inlineStr">
        <is>
          <t>SÖDERMANLANDS LÄN</t>
        </is>
      </c>
      <c r="E1235" t="inlineStr">
        <is>
          <t>KATRINEHOLM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17272-2024</t>
        </is>
      </c>
      <c r="B1236" s="1" t="n">
        <v>45414</v>
      </c>
      <c r="C1236" s="1" t="n">
        <v>45663</v>
      </c>
      <c r="D1236" t="inlineStr">
        <is>
          <t>SÖDERMANLANDS LÄN</t>
        </is>
      </c>
      <c r="E1236" t="inlineStr">
        <is>
          <t>KATRINEHOLM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17246-2024</t>
        </is>
      </c>
      <c r="B1237" s="1" t="n">
        <v>45414</v>
      </c>
      <c r="C1237" s="1" t="n">
        <v>45663</v>
      </c>
      <c r="D1237" t="inlineStr">
        <is>
          <t>SÖDERMANLANDS LÄN</t>
        </is>
      </c>
      <c r="E1237" t="inlineStr">
        <is>
          <t>KATRINEHOLM</t>
        </is>
      </c>
      <c r="F1237" t="inlineStr">
        <is>
          <t>Allmännings- och besparingsskogar</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17481-2024</t>
        </is>
      </c>
      <c r="B1238" s="1" t="n">
        <v>45415</v>
      </c>
      <c r="C1238" s="1" t="n">
        <v>45663</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17478-2024</t>
        </is>
      </c>
      <c r="B1239" s="1" t="n">
        <v>45415</v>
      </c>
      <c r="C1239" s="1" t="n">
        <v>45663</v>
      </c>
      <c r="D1239" t="inlineStr">
        <is>
          <t>SÖDERMANLANDS LÄN</t>
        </is>
      </c>
      <c r="E1239" t="inlineStr">
        <is>
          <t>KATRINEHOLM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17746-2024</t>
        </is>
      </c>
      <c r="B1240" s="1" t="n">
        <v>45415</v>
      </c>
      <c r="C1240" s="1" t="n">
        <v>45663</v>
      </c>
      <c r="D1240" t="inlineStr">
        <is>
          <t>SÖDERMANLANDS LÄN</t>
        </is>
      </c>
      <c r="E1240" t="inlineStr">
        <is>
          <t>KATRINEHOLM</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18942-2024</t>
        </is>
      </c>
      <c r="B1241" s="1" t="n">
        <v>45427</v>
      </c>
      <c r="C1241" s="1" t="n">
        <v>45663</v>
      </c>
      <c r="D1241" t="inlineStr">
        <is>
          <t>SÖDERMANLANDS LÄN</t>
        </is>
      </c>
      <c r="E1241" t="inlineStr">
        <is>
          <t>KATRINEHOLM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19409-2024</t>
        </is>
      </c>
      <c r="B1242" s="1" t="n">
        <v>45429</v>
      </c>
      <c r="C1242" s="1" t="n">
        <v>45663</v>
      </c>
      <c r="D1242" t="inlineStr">
        <is>
          <t>SÖDERMANLANDS LÄN</t>
        </is>
      </c>
      <c r="E1242" t="inlineStr">
        <is>
          <t>KATRINEHOLM</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19697-2024</t>
        </is>
      </c>
      <c r="B1243" s="1" t="n">
        <v>45432</v>
      </c>
      <c r="C1243" s="1" t="n">
        <v>45663</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20371-2024</t>
        </is>
      </c>
      <c r="B1244" s="1" t="n">
        <v>45435</v>
      </c>
      <c r="C1244" s="1" t="n">
        <v>45663</v>
      </c>
      <c r="D1244" t="inlineStr">
        <is>
          <t>SÖDERMANLANDS LÄN</t>
        </is>
      </c>
      <c r="E1244" t="inlineStr">
        <is>
          <t>KATRINEHOLM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20641-2024</t>
        </is>
      </c>
      <c r="B1245" s="1" t="n">
        <v>45436</v>
      </c>
      <c r="C1245" s="1" t="n">
        <v>45663</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20803-2024</t>
        </is>
      </c>
      <c r="B1246" s="1" t="n">
        <v>45438</v>
      </c>
      <c r="C1246" s="1" t="n">
        <v>45663</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20944-2024</t>
        </is>
      </c>
      <c r="B1247" s="1" t="n">
        <v>45439</v>
      </c>
      <c r="C1247" s="1" t="n">
        <v>45663</v>
      </c>
      <c r="D1247" t="inlineStr">
        <is>
          <t>SÖDERMANLANDS LÄN</t>
        </is>
      </c>
      <c r="E1247" t="inlineStr">
        <is>
          <t>KATRINEHOLM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21255-2024</t>
        </is>
      </c>
      <c r="B1248" s="1" t="n">
        <v>45440</v>
      </c>
      <c r="C1248" s="1" t="n">
        <v>45663</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21738-2024</t>
        </is>
      </c>
      <c r="B1249" s="1" t="n">
        <v>45442</v>
      </c>
      <c r="C1249" s="1" t="n">
        <v>45663</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22300-2024</t>
        </is>
      </c>
      <c r="B1250" s="1" t="n">
        <v>45446</v>
      </c>
      <c r="C1250" s="1" t="n">
        <v>45663</v>
      </c>
      <c r="D1250" t="inlineStr">
        <is>
          <t>SÖDERMANLANDS LÄN</t>
        </is>
      </c>
      <c r="E1250" t="inlineStr">
        <is>
          <t>KATRINEHOLM</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22304-2024</t>
        </is>
      </c>
      <c r="B1251" s="1" t="n">
        <v>45446</v>
      </c>
      <c r="C1251" s="1" t="n">
        <v>45663</v>
      </c>
      <c r="D1251" t="inlineStr">
        <is>
          <t>SÖDERMANLANDS LÄN</t>
        </is>
      </c>
      <c r="E1251" t="inlineStr">
        <is>
          <t>KATRINEHOLM</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22295-2024</t>
        </is>
      </c>
      <c r="B1252" s="1" t="n">
        <v>45446</v>
      </c>
      <c r="C1252" s="1" t="n">
        <v>45663</v>
      </c>
      <c r="D1252" t="inlineStr">
        <is>
          <t>SÖDERMANLANDS LÄN</t>
        </is>
      </c>
      <c r="E1252" t="inlineStr">
        <is>
          <t>KATRINEHOLM</t>
        </is>
      </c>
      <c r="F1252" t="inlineStr">
        <is>
          <t>Kommuner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23029-2024</t>
        </is>
      </c>
      <c r="B1253" s="1" t="n">
        <v>45450</v>
      </c>
      <c r="C1253" s="1" t="n">
        <v>45663</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23028-2024</t>
        </is>
      </c>
      <c r="B1254" s="1" t="n">
        <v>45450</v>
      </c>
      <c r="C1254" s="1" t="n">
        <v>45663</v>
      </c>
      <c r="D1254" t="inlineStr">
        <is>
          <t>SÖDERMANLANDS LÄN</t>
        </is>
      </c>
      <c r="E1254" t="inlineStr">
        <is>
          <t>KATRINEHOLM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23027-2024</t>
        </is>
      </c>
      <c r="B1255" s="1" t="n">
        <v>45450</v>
      </c>
      <c r="C1255" s="1" t="n">
        <v>45663</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23031-2024</t>
        </is>
      </c>
      <c r="B1256" s="1" t="n">
        <v>45450</v>
      </c>
      <c r="C1256" s="1" t="n">
        <v>45663</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23026-2024</t>
        </is>
      </c>
      <c r="B1257" s="1" t="n">
        <v>45450</v>
      </c>
      <c r="C1257" s="1" t="n">
        <v>45663</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23174-2024</t>
        </is>
      </c>
      <c r="B1258" s="1" t="n">
        <v>45450</v>
      </c>
      <c r="C1258" s="1" t="n">
        <v>45663</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23090-2024</t>
        </is>
      </c>
      <c r="B1259" s="1" t="n">
        <v>45450</v>
      </c>
      <c r="C1259" s="1" t="n">
        <v>45663</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23452-2024</t>
        </is>
      </c>
      <c r="B1260" s="1" t="n">
        <v>45453</v>
      </c>
      <c r="C1260" s="1" t="n">
        <v>45663</v>
      </c>
      <c r="D1260" t="inlineStr">
        <is>
          <t>SÖDERMANLANDS LÄN</t>
        </is>
      </c>
      <c r="E1260" t="inlineStr">
        <is>
          <t>KATRINEHOLM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24179-2024</t>
        </is>
      </c>
      <c r="B1261" s="1" t="n">
        <v>45456</v>
      </c>
      <c r="C1261" s="1" t="n">
        <v>45663</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24173-2024</t>
        </is>
      </c>
      <c r="B1262" s="1" t="n">
        <v>45456</v>
      </c>
      <c r="C1262" s="1" t="n">
        <v>45663</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24286-2024</t>
        </is>
      </c>
      <c r="B1263" s="1" t="n">
        <v>45457</v>
      </c>
      <c r="C1263" s="1" t="n">
        <v>45663</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24310-2024</t>
        </is>
      </c>
      <c r="B1264" s="1" t="n">
        <v>45457</v>
      </c>
      <c r="C1264" s="1" t="n">
        <v>45663</v>
      </c>
      <c r="D1264" t="inlineStr">
        <is>
          <t>SÖDERMANLANDS LÄN</t>
        </is>
      </c>
      <c r="E1264" t="inlineStr">
        <is>
          <t>KATRINEHOLM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24284-2024</t>
        </is>
      </c>
      <c r="B1265" s="1" t="n">
        <v>45457</v>
      </c>
      <c r="C1265" s="1" t="n">
        <v>45663</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24287-2024</t>
        </is>
      </c>
      <c r="B1266" s="1" t="n">
        <v>45457</v>
      </c>
      <c r="C1266" s="1" t="n">
        <v>45663</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24748-2024</t>
        </is>
      </c>
      <c r="B1267" s="1" t="n">
        <v>45460</v>
      </c>
      <c r="C1267" s="1" t="n">
        <v>45663</v>
      </c>
      <c r="D1267" t="inlineStr">
        <is>
          <t>SÖDERMANLANDS LÄN</t>
        </is>
      </c>
      <c r="E1267" t="inlineStr">
        <is>
          <t>KATRINEHOLM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24626-2024</t>
        </is>
      </c>
      <c r="B1268" s="1" t="n">
        <v>45460</v>
      </c>
      <c r="C1268" s="1" t="n">
        <v>45663</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24619-2024</t>
        </is>
      </c>
      <c r="B1269" s="1" t="n">
        <v>45460</v>
      </c>
      <c r="C1269" s="1" t="n">
        <v>45663</v>
      </c>
      <c r="D1269" t="inlineStr">
        <is>
          <t>SÖDERMANLANDS LÄN</t>
        </is>
      </c>
      <c r="E1269" t="inlineStr">
        <is>
          <t>KATRINEHOLM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24621-2024</t>
        </is>
      </c>
      <c r="B1270" s="1" t="n">
        <v>45460</v>
      </c>
      <c r="C1270" s="1" t="n">
        <v>45663</v>
      </c>
      <c r="D1270" t="inlineStr">
        <is>
          <t>SÖDERMANLANDS LÄN</t>
        </is>
      </c>
      <c r="E1270" t="inlineStr">
        <is>
          <t>KATRINEHOLM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24993-2024</t>
        </is>
      </c>
      <c r="B1271" s="1" t="n">
        <v>45461</v>
      </c>
      <c r="C1271" s="1" t="n">
        <v>45663</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24983-2024</t>
        </is>
      </c>
      <c r="B1272" s="1" t="n">
        <v>45461</v>
      </c>
      <c r="C1272" s="1" t="n">
        <v>45663</v>
      </c>
      <c r="D1272" t="inlineStr">
        <is>
          <t>SÖDERMANLANDS LÄN</t>
        </is>
      </c>
      <c r="E1272" t="inlineStr">
        <is>
          <t>KATRINEHOLM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24991-2024</t>
        </is>
      </c>
      <c r="B1273" s="1" t="n">
        <v>45461</v>
      </c>
      <c r="C1273" s="1" t="n">
        <v>45663</v>
      </c>
      <c r="D1273" t="inlineStr">
        <is>
          <t>SÖDERMANLANDS LÄN</t>
        </is>
      </c>
      <c r="E1273" t="inlineStr">
        <is>
          <t>KATRINEHOLM</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24902-2024</t>
        </is>
      </c>
      <c r="B1274" s="1" t="n">
        <v>45461</v>
      </c>
      <c r="C1274" s="1" t="n">
        <v>45663</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25005-2024</t>
        </is>
      </c>
      <c r="B1275" s="1" t="n">
        <v>45461</v>
      </c>
      <c r="C1275" s="1" t="n">
        <v>45663</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24929-2024</t>
        </is>
      </c>
      <c r="B1276" s="1" t="n">
        <v>45461</v>
      </c>
      <c r="C1276" s="1" t="n">
        <v>45663</v>
      </c>
      <c r="D1276" t="inlineStr">
        <is>
          <t>SÖDERMANLANDS LÄN</t>
        </is>
      </c>
      <c r="E1276" t="inlineStr">
        <is>
          <t>KATRINEHOLM</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25260-2024</t>
        </is>
      </c>
      <c r="B1277" s="1" t="n">
        <v>45462</v>
      </c>
      <c r="C1277" s="1" t="n">
        <v>45663</v>
      </c>
      <c r="D1277" t="inlineStr">
        <is>
          <t>SÖDERMANLANDS LÄN</t>
        </is>
      </c>
      <c r="E1277" t="inlineStr">
        <is>
          <t>KATRINEHOLM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25073-2024</t>
        </is>
      </c>
      <c r="B1278" s="1" t="n">
        <v>45462</v>
      </c>
      <c r="C1278" s="1" t="n">
        <v>45663</v>
      </c>
      <c r="D1278" t="inlineStr">
        <is>
          <t>SÖDERMANLANDS LÄN</t>
        </is>
      </c>
      <c r="E1278" t="inlineStr">
        <is>
          <t>KATRINEHOLM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26081-2024</t>
        </is>
      </c>
      <c r="B1279" s="1" t="n">
        <v>45462</v>
      </c>
      <c r="C1279" s="1" t="n">
        <v>45663</v>
      </c>
      <c r="D1279" t="inlineStr">
        <is>
          <t>SÖDERMANLANDS LÄN</t>
        </is>
      </c>
      <c r="E1279" t="inlineStr">
        <is>
          <t>KATRINEHOLM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25087-2024</t>
        </is>
      </c>
      <c r="B1280" s="1" t="n">
        <v>45462</v>
      </c>
      <c r="C1280" s="1" t="n">
        <v>45663</v>
      </c>
      <c r="D1280" t="inlineStr">
        <is>
          <t>SÖDERMANLANDS LÄN</t>
        </is>
      </c>
      <c r="E1280" t="inlineStr">
        <is>
          <t>KATRINEHOLM</t>
        </is>
      </c>
      <c r="F1280" t="inlineStr">
        <is>
          <t>Övriga Aktiebolag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25592-2024</t>
        </is>
      </c>
      <c r="B1281" s="1" t="n">
        <v>45463</v>
      </c>
      <c r="C1281" s="1" t="n">
        <v>45663</v>
      </c>
      <c r="D1281" t="inlineStr">
        <is>
          <t>SÖDERMANLANDS LÄN</t>
        </is>
      </c>
      <c r="E1281" t="inlineStr">
        <is>
          <t>KATRINEHOLM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25428-2024</t>
        </is>
      </c>
      <c r="B1282" s="1" t="n">
        <v>45463</v>
      </c>
      <c r="C1282" s="1" t="n">
        <v>45663</v>
      </c>
      <c r="D1282" t="inlineStr">
        <is>
          <t>SÖDERMANLANDS LÄN</t>
        </is>
      </c>
      <c r="E1282" t="inlineStr">
        <is>
          <t>KATRINEHOLM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25433-2024</t>
        </is>
      </c>
      <c r="B1283" s="1" t="n">
        <v>45463</v>
      </c>
      <c r="C1283" s="1" t="n">
        <v>45663</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26713-2024</t>
        </is>
      </c>
      <c r="B1284" s="1" t="n">
        <v>45470</v>
      </c>
      <c r="C1284" s="1" t="n">
        <v>45663</v>
      </c>
      <c r="D1284" t="inlineStr">
        <is>
          <t>SÖDERMANLANDS LÄN</t>
        </is>
      </c>
      <c r="E1284" t="inlineStr">
        <is>
          <t>KATRINEHOLM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27375-2024</t>
        </is>
      </c>
      <c r="B1285" s="1" t="n">
        <v>45473</v>
      </c>
      <c r="C1285" s="1" t="n">
        <v>45663</v>
      </c>
      <c r="D1285" t="inlineStr">
        <is>
          <t>SÖDERMANLANDS LÄN</t>
        </is>
      </c>
      <c r="E1285" t="inlineStr">
        <is>
          <t>KATRINEHOLM</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27376-2024</t>
        </is>
      </c>
      <c r="B1286" s="1" t="n">
        <v>45473</v>
      </c>
      <c r="C1286" s="1" t="n">
        <v>45663</v>
      </c>
      <c r="D1286" t="inlineStr">
        <is>
          <t>SÖDERMANLANDS LÄN</t>
        </is>
      </c>
      <c r="E1286" t="inlineStr">
        <is>
          <t>KATRINEHOLM</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27605-2024</t>
        </is>
      </c>
      <c r="B1287" s="1" t="n">
        <v>45474</v>
      </c>
      <c r="C1287" s="1" t="n">
        <v>45663</v>
      </c>
      <c r="D1287" t="inlineStr">
        <is>
          <t>SÖDERMANLANDS LÄN</t>
        </is>
      </c>
      <c r="E1287" t="inlineStr">
        <is>
          <t>KATRINEHOLM</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27875-2024</t>
        </is>
      </c>
      <c r="B1288" s="1" t="n">
        <v>45475</v>
      </c>
      <c r="C1288" s="1" t="n">
        <v>45663</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27886-2024</t>
        </is>
      </c>
      <c r="B1289" s="1" t="n">
        <v>45475</v>
      </c>
      <c r="C1289" s="1" t="n">
        <v>45663</v>
      </c>
      <c r="D1289" t="inlineStr">
        <is>
          <t>SÖDERMANLANDS LÄN</t>
        </is>
      </c>
      <c r="E1289" t="inlineStr">
        <is>
          <t>KATRINEHOLM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27733-2024</t>
        </is>
      </c>
      <c r="B1290" s="1" t="n">
        <v>45475</v>
      </c>
      <c r="C1290" s="1" t="n">
        <v>45663</v>
      </c>
      <c r="D1290" t="inlineStr">
        <is>
          <t>SÖDERMANLANDS LÄN</t>
        </is>
      </c>
      <c r="E1290" t="inlineStr">
        <is>
          <t>KATRINEHOLM</t>
        </is>
      </c>
      <c r="F1290" t="inlineStr">
        <is>
          <t>Allmännings- och besparingsskogar</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28431-2024</t>
        </is>
      </c>
      <c r="B1291" s="1" t="n">
        <v>45477</v>
      </c>
      <c r="C1291" s="1" t="n">
        <v>45663</v>
      </c>
      <c r="D1291" t="inlineStr">
        <is>
          <t>SÖDERMANLANDS LÄN</t>
        </is>
      </c>
      <c r="E1291" t="inlineStr">
        <is>
          <t>KATRINEHOLM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28427-2024</t>
        </is>
      </c>
      <c r="B1292" s="1" t="n">
        <v>45477</v>
      </c>
      <c r="C1292" s="1" t="n">
        <v>45663</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28317-2024</t>
        </is>
      </c>
      <c r="B1293" s="1" t="n">
        <v>45477</v>
      </c>
      <c r="C1293" s="1" t="n">
        <v>45663</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28262-2024</t>
        </is>
      </c>
      <c r="B1294" s="1" t="n">
        <v>45477</v>
      </c>
      <c r="C1294" s="1" t="n">
        <v>45663</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28304-2024</t>
        </is>
      </c>
      <c r="B1295" s="1" t="n">
        <v>45477</v>
      </c>
      <c r="C1295" s="1" t="n">
        <v>45663</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28647-2024</t>
        </is>
      </c>
      <c r="B1296" s="1" t="n">
        <v>45478</v>
      </c>
      <c r="C1296" s="1" t="n">
        <v>45663</v>
      </c>
      <c r="D1296" t="inlineStr">
        <is>
          <t>SÖDERMANLANDS LÄN</t>
        </is>
      </c>
      <c r="E1296" t="inlineStr">
        <is>
          <t>KATRINEHOLM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28542-2024</t>
        </is>
      </c>
      <c r="B1297" s="1" t="n">
        <v>45478</v>
      </c>
      <c r="C1297" s="1" t="n">
        <v>45663</v>
      </c>
      <c r="D1297" t="inlineStr">
        <is>
          <t>SÖDERMANLANDS LÄN</t>
        </is>
      </c>
      <c r="E1297" t="inlineStr">
        <is>
          <t>KATRINEHOLM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28582-2024</t>
        </is>
      </c>
      <c r="B1298" s="1" t="n">
        <v>45478</v>
      </c>
      <c r="C1298" s="1" t="n">
        <v>45663</v>
      </c>
      <c r="D1298" t="inlineStr">
        <is>
          <t>SÖDERMANLANDS LÄN</t>
        </is>
      </c>
      <c r="E1298" t="inlineStr">
        <is>
          <t>KATRINEHOLM</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28626-2024</t>
        </is>
      </c>
      <c r="B1299" s="1" t="n">
        <v>45478</v>
      </c>
      <c r="C1299" s="1" t="n">
        <v>45663</v>
      </c>
      <c r="D1299" t="inlineStr">
        <is>
          <t>SÖDERMANLANDS LÄN</t>
        </is>
      </c>
      <c r="E1299" t="inlineStr">
        <is>
          <t>KATRINEHOLM</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28675-2024</t>
        </is>
      </c>
      <c r="B1300" s="1" t="n">
        <v>45478</v>
      </c>
      <c r="C1300" s="1" t="n">
        <v>45663</v>
      </c>
      <c r="D1300" t="inlineStr">
        <is>
          <t>SÖDERMANLANDS LÄN</t>
        </is>
      </c>
      <c r="E1300" t="inlineStr">
        <is>
          <t>KATRINEHOLM</t>
        </is>
      </c>
      <c r="F1300" t="inlineStr">
        <is>
          <t>Övriga Aktiebolag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28684-2024</t>
        </is>
      </c>
      <c r="B1301" s="1" t="n">
        <v>45478</v>
      </c>
      <c r="C1301" s="1" t="n">
        <v>45663</v>
      </c>
      <c r="D1301" t="inlineStr">
        <is>
          <t>SÖDERMANLANDS LÄN</t>
        </is>
      </c>
      <c r="E1301" t="inlineStr">
        <is>
          <t>KATRINEHOLM</t>
        </is>
      </c>
      <c r="F1301" t="inlineStr">
        <is>
          <t>Övriga Aktiebolag</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28544-2024</t>
        </is>
      </c>
      <c r="B1302" s="1" t="n">
        <v>45478</v>
      </c>
      <c r="C1302" s="1" t="n">
        <v>45663</v>
      </c>
      <c r="D1302" t="inlineStr">
        <is>
          <t>SÖDERMANLANDS LÄN</t>
        </is>
      </c>
      <c r="E1302" t="inlineStr">
        <is>
          <t>KATRINEHOLM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28592-2024</t>
        </is>
      </c>
      <c r="B1303" s="1" t="n">
        <v>45478</v>
      </c>
      <c r="C1303" s="1" t="n">
        <v>45663</v>
      </c>
      <c r="D1303" t="inlineStr">
        <is>
          <t>SÖDERMANLANDS LÄN</t>
        </is>
      </c>
      <c r="E1303" t="inlineStr">
        <is>
          <t>KATRINEHOLM</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28612-2024</t>
        </is>
      </c>
      <c r="B1304" s="1" t="n">
        <v>45478</v>
      </c>
      <c r="C1304" s="1" t="n">
        <v>45663</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28620-2024</t>
        </is>
      </c>
      <c r="B1305" s="1" t="n">
        <v>45478</v>
      </c>
      <c r="C1305" s="1" t="n">
        <v>45663</v>
      </c>
      <c r="D1305" t="inlineStr">
        <is>
          <t>SÖDERMANLANDS LÄN</t>
        </is>
      </c>
      <c r="E1305" t="inlineStr">
        <is>
          <t>KATRINEHOLM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28652-2024</t>
        </is>
      </c>
      <c r="B1306" s="1" t="n">
        <v>45478</v>
      </c>
      <c r="C1306" s="1" t="n">
        <v>45663</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28597-2024</t>
        </is>
      </c>
      <c r="B1307" s="1" t="n">
        <v>45478</v>
      </c>
      <c r="C1307" s="1" t="n">
        <v>45663</v>
      </c>
      <c r="D1307" t="inlineStr">
        <is>
          <t>SÖDERMANLANDS LÄN</t>
        </is>
      </c>
      <c r="E1307" t="inlineStr">
        <is>
          <t>KATRINEHOLM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28931-2024</t>
        </is>
      </c>
      <c r="B1308" s="1" t="n">
        <v>45479</v>
      </c>
      <c r="C1308" s="1" t="n">
        <v>45663</v>
      </c>
      <c r="D1308" t="inlineStr">
        <is>
          <t>SÖDERMANLANDS LÄN</t>
        </is>
      </c>
      <c r="E1308" t="inlineStr">
        <is>
          <t>KATRINEHOLM</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29008-2024</t>
        </is>
      </c>
      <c r="B1309" s="1" t="n">
        <v>45481</v>
      </c>
      <c r="C1309" s="1" t="n">
        <v>45663</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28992-2024</t>
        </is>
      </c>
      <c r="B1310" s="1" t="n">
        <v>45481</v>
      </c>
      <c r="C1310" s="1" t="n">
        <v>45663</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28995-2024</t>
        </is>
      </c>
      <c r="B1311" s="1" t="n">
        <v>45481</v>
      </c>
      <c r="C1311" s="1" t="n">
        <v>45663</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29359-2024</t>
        </is>
      </c>
      <c r="B1312" s="1" t="n">
        <v>45483</v>
      </c>
      <c r="C1312" s="1" t="n">
        <v>45663</v>
      </c>
      <c r="D1312" t="inlineStr">
        <is>
          <t>SÖDERMANLANDS LÄN</t>
        </is>
      </c>
      <c r="E1312" t="inlineStr">
        <is>
          <t>KATRINEHOLM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29394-2024</t>
        </is>
      </c>
      <c r="B1313" s="1" t="n">
        <v>45483</v>
      </c>
      <c r="C1313" s="1" t="n">
        <v>45663</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29360-2024</t>
        </is>
      </c>
      <c r="B1314" s="1" t="n">
        <v>45483</v>
      </c>
      <c r="C1314" s="1" t="n">
        <v>45663</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45663</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30427-2024</t>
        </is>
      </c>
      <c r="B1316" s="1" t="n">
        <v>45491</v>
      </c>
      <c r="C1316" s="1" t="n">
        <v>45663</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31718-2024</t>
        </is>
      </c>
      <c r="B1317" s="1" t="n">
        <v>45508</v>
      </c>
      <c r="C1317" s="1" t="n">
        <v>45663</v>
      </c>
      <c r="D1317" t="inlineStr">
        <is>
          <t>SÖDERMANLANDS LÄN</t>
        </is>
      </c>
      <c r="E1317" t="inlineStr">
        <is>
          <t>KATRINEHOLM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31719-2024</t>
        </is>
      </c>
      <c r="B1318" s="1" t="n">
        <v>45509</v>
      </c>
      <c r="C1318" s="1" t="n">
        <v>45663</v>
      </c>
      <c r="D1318" t="inlineStr">
        <is>
          <t>SÖDERMANLANDS LÄN</t>
        </is>
      </c>
      <c r="E1318" t="inlineStr">
        <is>
          <t>KATRINEHOLM</t>
        </is>
      </c>
      <c r="F1318" t="inlineStr">
        <is>
          <t>Kyrkan</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32103-2024</t>
        </is>
      </c>
      <c r="B1319" s="1" t="n">
        <v>45511</v>
      </c>
      <c r="C1319" s="1" t="n">
        <v>45663</v>
      </c>
      <c r="D1319" t="inlineStr">
        <is>
          <t>SÖDERMANLANDS LÄN</t>
        </is>
      </c>
      <c r="E1319" t="inlineStr">
        <is>
          <t>KATRINEHOLM</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32890-2024</t>
        </is>
      </c>
      <c r="B1320" s="1" t="n">
        <v>45516</v>
      </c>
      <c r="C1320" s="1" t="n">
        <v>45663</v>
      </c>
      <c r="D1320" t="inlineStr">
        <is>
          <t>SÖDERMANLANDS LÄN</t>
        </is>
      </c>
      <c r="E1320" t="inlineStr">
        <is>
          <t>KATRINEHOLM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32889-2024</t>
        </is>
      </c>
      <c r="B1321" s="1" t="n">
        <v>45516</v>
      </c>
      <c r="C1321" s="1" t="n">
        <v>45663</v>
      </c>
      <c r="D1321" t="inlineStr">
        <is>
          <t>SÖDERMANLANDS LÄN</t>
        </is>
      </c>
      <c r="E1321" t="inlineStr">
        <is>
          <t>KATRINEHOLM</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32892-2024</t>
        </is>
      </c>
      <c r="B1322" s="1" t="n">
        <v>45516</v>
      </c>
      <c r="C1322" s="1" t="n">
        <v>45663</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32986-2024</t>
        </is>
      </c>
      <c r="B1323" s="1" t="n">
        <v>45517</v>
      </c>
      <c r="C1323" s="1" t="n">
        <v>45663</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33001-2024</t>
        </is>
      </c>
      <c r="B1324" s="1" t="n">
        <v>45517</v>
      </c>
      <c r="C1324" s="1" t="n">
        <v>45663</v>
      </c>
      <c r="D1324" t="inlineStr">
        <is>
          <t>SÖDERMANLANDS LÄN</t>
        </is>
      </c>
      <c r="E1324" t="inlineStr">
        <is>
          <t>KATRINEHOLM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32943-2024</t>
        </is>
      </c>
      <c r="B1325" s="1" t="n">
        <v>45517</v>
      </c>
      <c r="C1325" s="1" t="n">
        <v>45663</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33278-2024</t>
        </is>
      </c>
      <c r="B1326" s="1" t="n">
        <v>45518</v>
      </c>
      <c r="C1326" s="1" t="n">
        <v>45663</v>
      </c>
      <c r="D1326" t="inlineStr">
        <is>
          <t>SÖDERMANLANDS LÄN</t>
        </is>
      </c>
      <c r="E1326" t="inlineStr">
        <is>
          <t>KATRINEHOLM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33196-2024</t>
        </is>
      </c>
      <c r="B1327" s="1" t="n">
        <v>45518</v>
      </c>
      <c r="C1327" s="1" t="n">
        <v>45663</v>
      </c>
      <c r="D1327" t="inlineStr">
        <is>
          <t>SÖDERMANLANDS LÄN</t>
        </is>
      </c>
      <c r="E1327" t="inlineStr">
        <is>
          <t>KATRINEHOLM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33790-2024</t>
        </is>
      </c>
      <c r="B1328" s="1" t="n">
        <v>45520</v>
      </c>
      <c r="C1328" s="1" t="n">
        <v>45663</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34350-2024</t>
        </is>
      </c>
      <c r="B1329" s="1" t="n">
        <v>45524</v>
      </c>
      <c r="C1329" s="1" t="n">
        <v>45663</v>
      </c>
      <c r="D1329" t="inlineStr">
        <is>
          <t>SÖDERMANLANDS LÄN</t>
        </is>
      </c>
      <c r="E1329" t="inlineStr">
        <is>
          <t>KATRINEHOLM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35279-2024</t>
        </is>
      </c>
      <c r="B1330" s="1" t="n">
        <v>45530</v>
      </c>
      <c r="C1330" s="1" t="n">
        <v>45663</v>
      </c>
      <c r="D1330" t="inlineStr">
        <is>
          <t>SÖDERMANLANDS LÄN</t>
        </is>
      </c>
      <c r="E1330" t="inlineStr">
        <is>
          <t>KATRINEHOLM</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35613-2024</t>
        </is>
      </c>
      <c r="B1331" s="1" t="n">
        <v>45531</v>
      </c>
      <c r="C1331" s="1" t="n">
        <v>45663</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35608-2024</t>
        </is>
      </c>
      <c r="B1332" s="1" t="n">
        <v>45531</v>
      </c>
      <c r="C1332" s="1" t="n">
        <v>45663</v>
      </c>
      <c r="D1332" t="inlineStr">
        <is>
          <t>SÖDERMANLANDS LÄN</t>
        </is>
      </c>
      <c r="E1332" t="inlineStr">
        <is>
          <t>KATRINEHOLM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36010-2024</t>
        </is>
      </c>
      <c r="B1333" s="1" t="n">
        <v>45533</v>
      </c>
      <c r="C1333" s="1" t="n">
        <v>45663</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36001-2024</t>
        </is>
      </c>
      <c r="B1334" s="1" t="n">
        <v>45533</v>
      </c>
      <c r="C1334" s="1" t="n">
        <v>45663</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38159-2024</t>
        </is>
      </c>
      <c r="B1335" s="1" t="n">
        <v>45545</v>
      </c>
      <c r="C1335" s="1" t="n">
        <v>45663</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38238-2024</t>
        </is>
      </c>
      <c r="B1336" s="1" t="n">
        <v>45545</v>
      </c>
      <c r="C1336" s="1" t="n">
        <v>45663</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38877-2024</t>
        </is>
      </c>
      <c r="B1337" s="1" t="n">
        <v>45547</v>
      </c>
      <c r="C1337" s="1" t="n">
        <v>45663</v>
      </c>
      <c r="D1337" t="inlineStr">
        <is>
          <t>SÖDERMANLANDS LÄN</t>
        </is>
      </c>
      <c r="E1337" t="inlineStr">
        <is>
          <t>KATRINEHOLM</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38872-2024</t>
        </is>
      </c>
      <c r="B1338" s="1" t="n">
        <v>45547</v>
      </c>
      <c r="C1338" s="1" t="n">
        <v>45663</v>
      </c>
      <c r="D1338" t="inlineStr">
        <is>
          <t>SÖDERMANLANDS LÄN</t>
        </is>
      </c>
      <c r="E1338" t="inlineStr">
        <is>
          <t>KATRINEHOLM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38879-2024</t>
        </is>
      </c>
      <c r="B1339" s="1" t="n">
        <v>45547</v>
      </c>
      <c r="C1339" s="1" t="n">
        <v>45663</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38883-2024</t>
        </is>
      </c>
      <c r="B1340" s="1" t="n">
        <v>45547</v>
      </c>
      <c r="C1340" s="1" t="n">
        <v>45663</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39828-2024</t>
        </is>
      </c>
      <c r="B1341" s="1" t="n">
        <v>45553</v>
      </c>
      <c r="C1341" s="1" t="n">
        <v>45663</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39834-2024</t>
        </is>
      </c>
      <c r="B1342" s="1" t="n">
        <v>45553</v>
      </c>
      <c r="C1342" s="1" t="n">
        <v>45663</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40706-2024</t>
        </is>
      </c>
      <c r="B1343" s="1" t="n">
        <v>45558</v>
      </c>
      <c r="C1343" s="1" t="n">
        <v>45663</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41489-2024</t>
        </is>
      </c>
      <c r="B1344" s="1" t="n">
        <v>45560</v>
      </c>
      <c r="C1344" s="1" t="n">
        <v>45663</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41727-2024</t>
        </is>
      </c>
      <c r="B1345" s="1" t="n">
        <v>45560</v>
      </c>
      <c r="C1345" s="1" t="n">
        <v>45663</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42403-2024</t>
        </is>
      </c>
      <c r="B1346" s="1" t="n">
        <v>45563</v>
      </c>
      <c r="C1346" s="1" t="n">
        <v>45663</v>
      </c>
      <c r="D1346" t="inlineStr">
        <is>
          <t>SÖDERMANLANDS LÄN</t>
        </is>
      </c>
      <c r="E1346" t="inlineStr">
        <is>
          <t>KATRINEHOLM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42538-2024</t>
        </is>
      </c>
      <c r="B1347" s="1" t="n">
        <v>45565</v>
      </c>
      <c r="C1347" s="1" t="n">
        <v>45663</v>
      </c>
      <c r="D1347" t="inlineStr">
        <is>
          <t>SÖDERMANLANDS LÄN</t>
        </is>
      </c>
      <c r="E1347" t="inlineStr">
        <is>
          <t>KATRINEHOLM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42519-2024</t>
        </is>
      </c>
      <c r="B1348" s="1" t="n">
        <v>45565</v>
      </c>
      <c r="C1348" s="1" t="n">
        <v>45663</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45663</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43268-2024</t>
        </is>
      </c>
      <c r="B1350" s="1" t="n">
        <v>45568</v>
      </c>
      <c r="C1350" s="1" t="n">
        <v>45663</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43260-2024</t>
        </is>
      </c>
      <c r="B1351" s="1" t="n">
        <v>45568</v>
      </c>
      <c r="C1351" s="1" t="n">
        <v>45663</v>
      </c>
      <c r="D1351" t="inlineStr">
        <is>
          <t>SÖDERMANLANDS LÄN</t>
        </is>
      </c>
      <c r="E1351" t="inlineStr">
        <is>
          <t>KATRINEHOLM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44834-2024</t>
        </is>
      </c>
      <c r="B1352" s="1" t="n">
        <v>45574</v>
      </c>
      <c r="C1352" s="1" t="n">
        <v>45663</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47043-2024</t>
        </is>
      </c>
      <c r="B1353" s="1" t="n">
        <v>45585</v>
      </c>
      <c r="C1353" s="1" t="n">
        <v>45663</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47044-2024</t>
        </is>
      </c>
      <c r="B1354" s="1" t="n">
        <v>45585</v>
      </c>
      <c r="C1354" s="1" t="n">
        <v>45663</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47762-2024</t>
        </is>
      </c>
      <c r="B1355" s="1" t="n">
        <v>45588</v>
      </c>
      <c r="C1355" s="1" t="n">
        <v>45663</v>
      </c>
      <c r="D1355" t="inlineStr">
        <is>
          <t>SÖDERMANLANDS LÄN</t>
        </is>
      </c>
      <c r="E1355" t="inlineStr">
        <is>
          <t>KATRINEHOLM</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47985-2024</t>
        </is>
      </c>
      <c r="B1356" s="1" t="n">
        <v>45589</v>
      </c>
      <c r="C1356" s="1" t="n">
        <v>45663</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48091-2024</t>
        </is>
      </c>
      <c r="B1357" s="1" t="n">
        <v>45590</v>
      </c>
      <c r="C1357" s="1" t="n">
        <v>45663</v>
      </c>
      <c r="D1357" t="inlineStr">
        <is>
          <t>SÖDERMANLANDS LÄN</t>
        </is>
      </c>
      <c r="E1357" t="inlineStr">
        <is>
          <t>KATRINEHOLM</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48388-2024</t>
        </is>
      </c>
      <c r="B1358" s="1" t="n">
        <v>45590</v>
      </c>
      <c r="C1358" s="1" t="n">
        <v>45663</v>
      </c>
      <c r="D1358" t="inlineStr">
        <is>
          <t>SÖDERMANLANDS LÄN</t>
        </is>
      </c>
      <c r="E1358" t="inlineStr">
        <is>
          <t>KATRINEHOLM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48763-2024</t>
        </is>
      </c>
      <c r="B1359" s="1" t="n">
        <v>45593</v>
      </c>
      <c r="C1359" s="1" t="n">
        <v>45663</v>
      </c>
      <c r="D1359" t="inlineStr">
        <is>
          <t>SÖDERMANLANDS LÄN</t>
        </is>
      </c>
      <c r="E1359" t="inlineStr">
        <is>
          <t>KATRINEHOLM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48775-2024</t>
        </is>
      </c>
      <c r="B1360" s="1" t="n">
        <v>45593</v>
      </c>
      <c r="C1360" s="1" t="n">
        <v>45663</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48779-2024</t>
        </is>
      </c>
      <c r="B1361" s="1" t="n">
        <v>45593</v>
      </c>
      <c r="C1361" s="1" t="n">
        <v>45663</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49092-2024</t>
        </is>
      </c>
      <c r="B1362" s="1" t="n">
        <v>45594</v>
      </c>
      <c r="C1362" s="1" t="n">
        <v>45663</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49078-2024</t>
        </is>
      </c>
      <c r="B1363" s="1" t="n">
        <v>45594</v>
      </c>
      <c r="C1363" s="1" t="n">
        <v>45663</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45663</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49112-2024</t>
        </is>
      </c>
      <c r="B1365" s="1" t="n">
        <v>45594</v>
      </c>
      <c r="C1365" s="1" t="n">
        <v>45663</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49116-2024</t>
        </is>
      </c>
      <c r="B1366" s="1" t="n">
        <v>45594</v>
      </c>
      <c r="C1366" s="1" t="n">
        <v>45663</v>
      </c>
      <c r="D1366" t="inlineStr">
        <is>
          <t>SÖDERMANLANDS LÄN</t>
        </is>
      </c>
      <c r="E1366" t="inlineStr">
        <is>
          <t>KATRINEHOLM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49124-2024</t>
        </is>
      </c>
      <c r="B1367" s="1" t="n">
        <v>45594</v>
      </c>
      <c r="C1367" s="1" t="n">
        <v>45663</v>
      </c>
      <c r="D1367" t="inlineStr">
        <is>
          <t>SÖDERMANLANDS LÄN</t>
        </is>
      </c>
      <c r="E1367" t="inlineStr">
        <is>
          <t>KATRINEHOLM</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49095-2024</t>
        </is>
      </c>
      <c r="B1368" s="1" t="n">
        <v>45594</v>
      </c>
      <c r="C1368" s="1" t="n">
        <v>45663</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49341-2024</t>
        </is>
      </c>
      <c r="B1369" s="1" t="n">
        <v>45595</v>
      </c>
      <c r="C1369" s="1" t="n">
        <v>45663</v>
      </c>
      <c r="D1369" t="inlineStr">
        <is>
          <t>SÖDERMANLANDS LÄN</t>
        </is>
      </c>
      <c r="E1369" t="inlineStr">
        <is>
          <t>KATRINEHOLM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50363-2024</t>
        </is>
      </c>
      <c r="B1370" s="1" t="n">
        <v>45600</v>
      </c>
      <c r="C1370" s="1" t="n">
        <v>45663</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45663</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45663</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50360-2024</t>
        </is>
      </c>
      <c r="B1373" s="1" t="n">
        <v>45600</v>
      </c>
      <c r="C1373" s="1" t="n">
        <v>45663</v>
      </c>
      <c r="D1373" t="inlineStr">
        <is>
          <t>SÖDERMANLANDS LÄN</t>
        </is>
      </c>
      <c r="E1373" t="inlineStr">
        <is>
          <t>KATRINEHOLM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50362-2024</t>
        </is>
      </c>
      <c r="B1374" s="1" t="n">
        <v>45600</v>
      </c>
      <c r="C1374" s="1" t="n">
        <v>45663</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45663</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50618-2024</t>
        </is>
      </c>
      <c r="B1376" s="1" t="n">
        <v>45601</v>
      </c>
      <c r="C1376" s="1" t="n">
        <v>45663</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50626-2024</t>
        </is>
      </c>
      <c r="B1377" s="1" t="n">
        <v>45601</v>
      </c>
      <c r="C1377" s="1" t="n">
        <v>45663</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45663</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51648-2024</t>
        </is>
      </c>
      <c r="B1379" s="1" t="n">
        <v>45606</v>
      </c>
      <c r="C1379" s="1" t="n">
        <v>45663</v>
      </c>
      <c r="D1379" t="inlineStr">
        <is>
          <t>SÖDERMANLANDS LÄN</t>
        </is>
      </c>
      <c r="E1379" t="inlineStr">
        <is>
          <t>KATRINEHOLM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52271-2024</t>
        </is>
      </c>
      <c r="B1380" s="1" t="n">
        <v>45608</v>
      </c>
      <c r="C1380" s="1" t="n">
        <v>45663</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52630-2024</t>
        </is>
      </c>
      <c r="B1381" s="1" t="n">
        <v>45610</v>
      </c>
      <c r="C1381" s="1" t="n">
        <v>45663</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45663</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45663</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45663</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58522-2024</t>
        </is>
      </c>
      <c r="B1385" s="1" t="n">
        <v>45635</v>
      </c>
      <c r="C1385" s="1" t="n">
        <v>45663</v>
      </c>
      <c r="D1385" t="inlineStr">
        <is>
          <t>SÖDERMANLANDS LÄN</t>
        </is>
      </c>
      <c r="E1385" t="inlineStr">
        <is>
          <t>KATRINEHOLM</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58528-2024</t>
        </is>
      </c>
      <c r="B1386" s="1" t="n">
        <v>45635</v>
      </c>
      <c r="C1386" s="1" t="n">
        <v>45663</v>
      </c>
      <c r="D1386" t="inlineStr">
        <is>
          <t>SÖDERMANLANDS LÄN</t>
        </is>
      </c>
      <c r="E1386" t="inlineStr">
        <is>
          <t>KATRINEHOLM</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45663</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45663</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60988-2024</t>
        </is>
      </c>
      <c r="B1389" s="1" t="n">
        <v>45645</v>
      </c>
      <c r="C1389" s="1" t="n">
        <v>45663</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61394-2024</t>
        </is>
      </c>
      <c r="B1390" s="1" t="n">
        <v>45646</v>
      </c>
      <c r="C1390" s="1" t="n">
        <v>45663</v>
      </c>
      <c r="D1390" t="inlineStr">
        <is>
          <t>SÖDERMANLANDS LÄN</t>
        </is>
      </c>
      <c r="E1390" t="inlineStr">
        <is>
          <t>KATRINEHOLM</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61398-2024</t>
        </is>
      </c>
      <c r="B1391" s="1" t="n">
        <v>45646</v>
      </c>
      <c r="C1391" s="1" t="n">
        <v>45663</v>
      </c>
      <c r="D1391" t="inlineStr">
        <is>
          <t>SÖDERMANLANDS LÄN</t>
        </is>
      </c>
      <c r="E1391" t="inlineStr">
        <is>
          <t>KATRINEHOLM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61410-2024</t>
        </is>
      </c>
      <c r="B1392" s="1" t="n">
        <v>45646</v>
      </c>
      <c r="C1392" s="1" t="n">
        <v>45663</v>
      </c>
      <c r="D1392" t="inlineStr">
        <is>
          <t>SÖDERMANLANDS LÄN</t>
        </is>
      </c>
      <c r="E1392" t="inlineStr">
        <is>
          <t>KATRINEHOLM</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61423-2024</t>
        </is>
      </c>
      <c r="B1393" s="1" t="n">
        <v>45646</v>
      </c>
      <c r="C1393" s="1" t="n">
        <v>45663</v>
      </c>
      <c r="D1393" t="inlineStr">
        <is>
          <t>SÖDERMANLANDS LÄN</t>
        </is>
      </c>
      <c r="E1393" t="inlineStr">
        <is>
          <t>KATRINEHOLM</t>
        </is>
      </c>
      <c r="G1393" t="n">
        <v>1.2</v>
      </c>
      <c r="H1393" t="n">
        <v>0</v>
      </c>
      <c r="I1393" t="n">
        <v>0</v>
      </c>
      <c r="J1393" t="n">
        <v>0</v>
      </c>
      <c r="K1393" t="n">
        <v>0</v>
      </c>
      <c r="L1393" t="n">
        <v>0</v>
      </c>
      <c r="M1393" t="n">
        <v>0</v>
      </c>
      <c r="N1393" t="n">
        <v>0</v>
      </c>
      <c r="O1393" t="n">
        <v>0</v>
      </c>
      <c r="P1393" t="n">
        <v>0</v>
      </c>
      <c r="Q1393" t="n">
        <v>0</v>
      </c>
      <c r="R1393" s="2" t="inlineStr"/>
    </row>
    <row r="1394">
      <c r="A1394" t="inlineStr">
        <is>
          <t>A 61431-2024</t>
        </is>
      </c>
      <c r="B1394" s="1" t="n">
        <v>45646</v>
      </c>
      <c r="C1394" s="1" t="n">
        <v>45663</v>
      </c>
      <c r="D1394" t="inlineStr">
        <is>
          <t>SÖDERMANLANDS LÄN</t>
        </is>
      </c>
      <c r="E1394" t="inlineStr">
        <is>
          <t>KATRINEHOLM</t>
        </is>
      </c>
      <c r="G1394" t="n">
        <v>0.8</v>
      </c>
      <c r="H1394" t="n">
        <v>0</v>
      </c>
      <c r="I1394" t="n">
        <v>0</v>
      </c>
      <c r="J1394" t="n">
        <v>0</v>
      </c>
      <c r="K1394" t="n">
        <v>0</v>
      </c>
      <c r="L1394" t="n">
        <v>0</v>
      </c>
      <c r="M1394" t="n">
        <v>0</v>
      </c>
      <c r="N1394" t="n">
        <v>0</v>
      </c>
      <c r="O1394" t="n">
        <v>0</v>
      </c>
      <c r="P1394" t="n">
        <v>0</v>
      </c>
      <c r="Q1394" t="n">
        <v>0</v>
      </c>
      <c r="R1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2025-01-06T16:16:53Z</dcterms:created>
  <dcterms:modified xmlns:dcterms="http://purl.org/dc/terms/" xmlns:xsi="http://www.w3.org/2001/XMLSchema-instance" xsi:type="dcterms:W3CDTF">2025-01-06T16:16:54Z</dcterms:modified>
</cp:coreProperties>
</file>