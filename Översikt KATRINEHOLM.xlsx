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46194</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46194</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46194</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c r="Z4">
        <f>HYPERLINK("https://klasma.github.io/Logging_0483/fåglar/A 39091-2022 prioriterade fågelarter.docx", "A 39091-2022")</f>
        <v/>
      </c>
    </row>
    <row r="5" ht="15" customHeight="1">
      <c r="A5" t="inlineStr">
        <is>
          <t>A 11874-2023</t>
        </is>
      </c>
      <c r="B5" s="1" t="n">
        <v>44995</v>
      </c>
      <c r="C5" s="1" t="n">
        <v>46194</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46194</v>
      </c>
      <c r="D6" t="inlineStr">
        <is>
          <t>SÖDERMANLANDS LÄN</t>
        </is>
      </c>
      <c r="E6" t="inlineStr">
        <is>
          <t>KATRINEHOLM</t>
        </is>
      </c>
      <c r="G6" t="n">
        <v>3.1</v>
      </c>
      <c r="H6" t="n">
        <v>3</v>
      </c>
      <c r="I6" t="n">
        <v>6</v>
      </c>
      <c r="J6" t="n">
        <v>4</v>
      </c>
      <c r="K6" t="n">
        <v>1</v>
      </c>
      <c r="L6" t="n">
        <v>0</v>
      </c>
      <c r="M6" t="n">
        <v>0</v>
      </c>
      <c r="N6" t="n">
        <v>0</v>
      </c>
      <c r="O6" t="n">
        <v>5</v>
      </c>
      <c r="P6" t="n">
        <v>1</v>
      </c>
      <c r="Q6" t="n">
        <v>11</v>
      </c>
      <c r="R6" s="2" t="inlineStr">
        <is>
          <t>Knärot
Dropptaggsvamp
Mellanlummer
Motaggsvamp
Tallticka
Blåmossa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50018-2023</t>
        </is>
      </c>
      <c r="B7" s="1" t="n">
        <v>45215</v>
      </c>
      <c r="C7" s="1" t="n">
        <v>46194</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24362-2026</t>
        </is>
      </c>
      <c r="B8" s="1" t="n">
        <v>46169</v>
      </c>
      <c r="C8" s="1" t="n">
        <v>46194</v>
      </c>
      <c r="D8" t="inlineStr">
        <is>
          <t>SÖDERMANLANDS LÄN</t>
        </is>
      </c>
      <c r="E8" t="inlineStr">
        <is>
          <t>KATRINEHOLM</t>
        </is>
      </c>
      <c r="G8" t="n">
        <v>13.5</v>
      </c>
      <c r="H8" t="n">
        <v>1</v>
      </c>
      <c r="I8" t="n">
        <v>1</v>
      </c>
      <c r="J8" t="n">
        <v>0</v>
      </c>
      <c r="K8" t="n">
        <v>0</v>
      </c>
      <c r="L8" t="n">
        <v>0</v>
      </c>
      <c r="M8" t="n">
        <v>0</v>
      </c>
      <c r="N8" t="n">
        <v>0</v>
      </c>
      <c r="O8" t="n">
        <v>0</v>
      </c>
      <c r="P8" t="n">
        <v>0</v>
      </c>
      <c r="Q8" t="n">
        <v>9</v>
      </c>
      <c r="R8" s="2" t="inlineStr">
        <is>
          <t>Blåmossa
Blåbär
Hultbräken
Kärrviol
Linnea
Majbräken
Skogsstjärna
Ängskovall
Revlummer</t>
        </is>
      </c>
      <c r="S8">
        <f>HYPERLINK("https://klasma.github.io/Logging_0483/artfynd/A 24362-2026 artfynd.xlsx", "A 24362-2026")</f>
        <v/>
      </c>
      <c r="T8">
        <f>HYPERLINK("https://klasma.github.io/Logging_0483/kartor/A 24362-2026 karta.png", "A 24362-2026")</f>
        <v/>
      </c>
      <c r="V8">
        <f>HYPERLINK("https://klasma.github.io/Logging_0483/klagomål/A 24362-2026 FSC-klagomål.docx", "A 24362-2026")</f>
        <v/>
      </c>
      <c r="W8">
        <f>HYPERLINK("https://klasma.github.io/Logging_0483/klagomålsmail/A 24362-2026 FSC-klagomål mail.docx", "A 24362-2026")</f>
        <v/>
      </c>
      <c r="X8">
        <f>HYPERLINK("https://klasma.github.io/Logging_0483/tillsyn/A 24362-2026 tillsynsbegäran.docx", "A 24362-2026")</f>
        <v/>
      </c>
      <c r="Y8">
        <f>HYPERLINK("https://klasma.github.io/Logging_0483/tillsynsmail/A 24362-2026 tillsynsbegäran mail.docx", "A 24362-2026")</f>
        <v/>
      </c>
    </row>
    <row r="9" ht="15" customHeight="1">
      <c r="A9" t="inlineStr">
        <is>
          <t>A 54002-2022</t>
        </is>
      </c>
      <c r="B9" s="1" t="n">
        <v>44876</v>
      </c>
      <c r="C9" s="1" t="n">
        <v>46194</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46194</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21221-2023</t>
        </is>
      </c>
      <c r="B11" s="1" t="n">
        <v>45062</v>
      </c>
      <c r="C11" s="1" t="n">
        <v>46194</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46194</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46194</v>
      </c>
      <c r="D13" t="inlineStr">
        <is>
          <t>SÖDERMANLANDS LÄN</t>
        </is>
      </c>
      <c r="E13" t="inlineStr">
        <is>
          <t>KATRINEHOLM</t>
        </is>
      </c>
      <c r="F13" t="inlineStr">
        <is>
          <t>Kyrkan</t>
        </is>
      </c>
      <c r="G13" t="n">
        <v>15.2</v>
      </c>
      <c r="H13" t="n">
        <v>6</v>
      </c>
      <c r="I13" t="n">
        <v>0</v>
      </c>
      <c r="J13" t="n">
        <v>4</v>
      </c>
      <c r="K13" t="n">
        <v>0</v>
      </c>
      <c r="L13" t="n">
        <v>0</v>
      </c>
      <c r="M13" t="n">
        <v>0</v>
      </c>
      <c r="N13" t="n">
        <v>0</v>
      </c>
      <c r="O13" t="n">
        <v>4</v>
      </c>
      <c r="P13" t="n">
        <v>0</v>
      </c>
      <c r="Q13" t="n">
        <v>7</v>
      </c>
      <c r="R13" s="2" t="inlineStr">
        <is>
          <t>Gulsparv
Kungsörn
Talltita
Älg
Havsörn
Röd glada
Skogsduva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20533-2023</t>
        </is>
      </c>
      <c r="B14" s="1" t="n">
        <v>45057</v>
      </c>
      <c r="C14" s="1" t="n">
        <v>46194</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54614-2021</t>
        </is>
      </c>
      <c r="B15" s="1" t="n">
        <v>44473</v>
      </c>
      <c r="C15" s="1" t="n">
        <v>46194</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35137-2025</t>
        </is>
      </c>
      <c r="B16" s="1" t="n">
        <v>45852</v>
      </c>
      <c r="C16" s="1" t="n">
        <v>46194</v>
      </c>
      <c r="D16" t="inlineStr">
        <is>
          <t>SÖDERMANLANDS LÄN</t>
        </is>
      </c>
      <c r="E16" t="inlineStr">
        <is>
          <t>KATRINEHOLM</t>
        </is>
      </c>
      <c r="G16" t="n">
        <v>5.6</v>
      </c>
      <c r="H16" t="n">
        <v>1</v>
      </c>
      <c r="I16" t="n">
        <v>4</v>
      </c>
      <c r="J16" t="n">
        <v>1</v>
      </c>
      <c r="K16" t="n">
        <v>0</v>
      </c>
      <c r="L16" t="n">
        <v>1</v>
      </c>
      <c r="M16" t="n">
        <v>0</v>
      </c>
      <c r="N16" t="n">
        <v>0</v>
      </c>
      <c r="O16" t="n">
        <v>2</v>
      </c>
      <c r="P16" t="n">
        <v>1</v>
      </c>
      <c r="Q16" t="n">
        <v>7</v>
      </c>
      <c r="R16" s="2" t="inlineStr">
        <is>
          <t>Ask
Vippärt
Svart trolldruva
Tibast
Underviol
Vätteros
Blåsippa</t>
        </is>
      </c>
      <c r="S16">
        <f>HYPERLINK("https://klasma.github.io/Logging_0483/artfynd/A 35137-2025 artfynd.xlsx", "A 35137-2025")</f>
        <v/>
      </c>
      <c r="T16">
        <f>HYPERLINK("https://klasma.github.io/Logging_0483/kartor/A 35137-2025 karta.png", "A 35137-2025")</f>
        <v/>
      </c>
      <c r="V16">
        <f>HYPERLINK("https://klasma.github.io/Logging_0483/klagomål/A 35137-2025 FSC-klagomål.docx", "A 35137-2025")</f>
        <v/>
      </c>
      <c r="W16">
        <f>HYPERLINK("https://klasma.github.io/Logging_0483/klagomålsmail/A 35137-2025 FSC-klagomål mail.docx", "A 35137-2025")</f>
        <v/>
      </c>
      <c r="X16">
        <f>HYPERLINK("https://klasma.github.io/Logging_0483/tillsyn/A 35137-2025 tillsynsbegäran.docx", "A 35137-2025")</f>
        <v/>
      </c>
      <c r="Y16">
        <f>HYPERLINK("https://klasma.github.io/Logging_0483/tillsynsmail/A 35137-2025 tillsynsbegäran mail.docx", "A 35137-2025")</f>
        <v/>
      </c>
    </row>
    <row r="17" ht="15" customHeight="1">
      <c r="A17" t="inlineStr">
        <is>
          <t>A 47886-2023</t>
        </is>
      </c>
      <c r="B17" s="1" t="n">
        <v>45204</v>
      </c>
      <c r="C17" s="1" t="n">
        <v>46194</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13873-2026</t>
        </is>
      </c>
      <c r="B18" s="1" t="n">
        <v>46098</v>
      </c>
      <c r="C18" s="1" t="n">
        <v>46194</v>
      </c>
      <c r="D18" t="inlineStr">
        <is>
          <t>SÖDERMANLANDS LÄN</t>
        </is>
      </c>
      <c r="E18" t="inlineStr">
        <is>
          <t>KATRINEHOLM</t>
        </is>
      </c>
      <c r="G18" t="n">
        <v>8.199999999999999</v>
      </c>
      <c r="H18" t="n">
        <v>0</v>
      </c>
      <c r="I18" t="n">
        <v>1</v>
      </c>
      <c r="J18" t="n">
        <v>1</v>
      </c>
      <c r="K18" t="n">
        <v>0</v>
      </c>
      <c r="L18" t="n">
        <v>0</v>
      </c>
      <c r="M18" t="n">
        <v>0</v>
      </c>
      <c r="N18" t="n">
        <v>0</v>
      </c>
      <c r="O18" t="n">
        <v>1</v>
      </c>
      <c r="P18" t="n">
        <v>0</v>
      </c>
      <c r="Q18" t="n">
        <v>5</v>
      </c>
      <c r="R18" s="2" t="inlineStr">
        <is>
          <t>Vedskivlav
Blåmossa
Fönsterlav
Grå renlav
Gulvit renlav</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54704-2021</t>
        </is>
      </c>
      <c r="B19" s="1" t="n">
        <v>44473</v>
      </c>
      <c r="C19" s="1" t="n">
        <v>46194</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8917-2024</t>
        </is>
      </c>
      <c r="B20" s="1" t="n">
        <v>45357</v>
      </c>
      <c r="C20" s="1" t="n">
        <v>46194</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46194</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188-2025</t>
        </is>
      </c>
      <c r="B22" s="1" t="n">
        <v>45649</v>
      </c>
      <c r="C22" s="1" t="n">
        <v>46194</v>
      </c>
      <c r="D22" t="inlineStr">
        <is>
          <t>SÖDERMANLANDS LÄN</t>
        </is>
      </c>
      <c r="E22" t="inlineStr">
        <is>
          <t>KATRINEHOLM</t>
        </is>
      </c>
      <c r="G22" t="n">
        <v>8.9</v>
      </c>
      <c r="H22" t="n">
        <v>2</v>
      </c>
      <c r="I22" t="n">
        <v>2</v>
      </c>
      <c r="J22" t="n">
        <v>0</v>
      </c>
      <c r="K22" t="n">
        <v>0</v>
      </c>
      <c r="L22" t="n">
        <v>0</v>
      </c>
      <c r="M22" t="n">
        <v>0</v>
      </c>
      <c r="N22" t="n">
        <v>0</v>
      </c>
      <c r="O22" t="n">
        <v>0</v>
      </c>
      <c r="P22" t="n">
        <v>0</v>
      </c>
      <c r="Q22" t="n">
        <v>4</v>
      </c>
      <c r="R22" s="2" t="inlineStr">
        <is>
          <t>Blomkålssvamp
Blåmossa
Blåsippa
Lopplummer (aggregat)</t>
        </is>
      </c>
      <c r="S22">
        <f>HYPERLINK("https://klasma.github.io/Logging_0483/artfynd/A 188-2025 artfynd.xlsx", "A 188-2025")</f>
        <v/>
      </c>
      <c r="T22">
        <f>HYPERLINK("https://klasma.github.io/Logging_0483/kartor/A 188-2025 karta.png", "A 188-2025")</f>
        <v/>
      </c>
      <c r="V22">
        <f>HYPERLINK("https://klasma.github.io/Logging_0483/klagomål/A 188-2025 FSC-klagomål.docx", "A 188-2025")</f>
        <v/>
      </c>
      <c r="W22">
        <f>HYPERLINK("https://klasma.github.io/Logging_0483/klagomålsmail/A 188-2025 FSC-klagomål mail.docx", "A 188-2025")</f>
        <v/>
      </c>
      <c r="X22">
        <f>HYPERLINK("https://klasma.github.io/Logging_0483/tillsyn/A 188-2025 tillsynsbegäran.docx", "A 188-2025")</f>
        <v/>
      </c>
      <c r="Y22">
        <f>HYPERLINK("https://klasma.github.io/Logging_0483/tillsynsmail/A 188-2025 tillsynsbegäran mail.docx", "A 188-2025")</f>
        <v/>
      </c>
    </row>
    <row r="23" ht="15" customHeight="1">
      <c r="A23" t="inlineStr">
        <is>
          <t>A 70501-2021</t>
        </is>
      </c>
      <c r="B23" s="1" t="n">
        <v>44536</v>
      </c>
      <c r="C23" s="1" t="n">
        <v>46194</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55700-2025</t>
        </is>
      </c>
      <c r="B24" s="1" t="n">
        <v>45972</v>
      </c>
      <c r="C24" s="1" t="n">
        <v>46194</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7585-2023</t>
        </is>
      </c>
      <c r="B25" s="1" t="n">
        <v>44972</v>
      </c>
      <c r="C25" s="1" t="n">
        <v>46194</v>
      </c>
      <c r="D25" t="inlineStr">
        <is>
          <t>SÖDERMANLANDS LÄN</t>
        </is>
      </c>
      <c r="E25" t="inlineStr">
        <is>
          <t>KATRINEHOLM</t>
        </is>
      </c>
      <c r="F25" t="inlineStr">
        <is>
          <t>Kommuner</t>
        </is>
      </c>
      <c r="G25" t="n">
        <v>2.8</v>
      </c>
      <c r="H25" t="n">
        <v>3</v>
      </c>
      <c r="I25" t="n">
        <v>1</v>
      </c>
      <c r="J25" t="n">
        <v>0</v>
      </c>
      <c r="K25" t="n">
        <v>1</v>
      </c>
      <c r="L25" t="n">
        <v>0</v>
      </c>
      <c r="M25" t="n">
        <v>0</v>
      </c>
      <c r="N25" t="n">
        <v>0</v>
      </c>
      <c r="O25" t="n">
        <v>1</v>
      </c>
      <c r="P25" t="n">
        <v>1</v>
      </c>
      <c r="Q25" t="n">
        <v>4</v>
      </c>
      <c r="R25" s="2" t="inlineStr">
        <is>
          <t>Grönfink
Fällmossa
Blåsippa
Grönsiska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46524-2025</t>
        </is>
      </c>
      <c r="B26" s="1" t="n">
        <v>45926</v>
      </c>
      <c r="C26" s="1" t="n">
        <v>46194</v>
      </c>
      <c r="D26" t="inlineStr">
        <is>
          <t>SÖDERMANLANDS LÄN</t>
        </is>
      </c>
      <c r="E26" t="inlineStr">
        <is>
          <t>KATRINEHOLM</t>
        </is>
      </c>
      <c r="G26" t="n">
        <v>5.7</v>
      </c>
      <c r="H26" t="n">
        <v>2</v>
      </c>
      <c r="I26" t="n">
        <v>0</v>
      </c>
      <c r="J26" t="n">
        <v>2</v>
      </c>
      <c r="K26" t="n">
        <v>0</v>
      </c>
      <c r="L26" t="n">
        <v>0</v>
      </c>
      <c r="M26" t="n">
        <v>0</v>
      </c>
      <c r="N26" t="n">
        <v>0</v>
      </c>
      <c r="O26" t="n">
        <v>2</v>
      </c>
      <c r="P26" t="n">
        <v>0</v>
      </c>
      <c r="Q26" t="n">
        <v>4</v>
      </c>
      <c r="R26" s="2" t="inlineStr">
        <is>
          <t>Svart skogssnigel
Vitfläckig guldvinge
Grönsiska
Kungsfågel</t>
        </is>
      </c>
      <c r="S26">
        <f>HYPERLINK("https://klasma.github.io/Logging_0483/artfynd/A 46524-2025 artfynd.xlsx", "A 46524-2025")</f>
        <v/>
      </c>
      <c r="T26">
        <f>HYPERLINK("https://klasma.github.io/Logging_0483/kartor/A 46524-2025 karta.png", "A 46524-2025")</f>
        <v/>
      </c>
      <c r="V26">
        <f>HYPERLINK("https://klasma.github.io/Logging_0483/klagomål/A 46524-2025 FSC-klagomål.docx", "A 46524-2025")</f>
        <v/>
      </c>
      <c r="W26">
        <f>HYPERLINK("https://klasma.github.io/Logging_0483/klagomålsmail/A 46524-2025 FSC-klagomål mail.docx", "A 46524-2025")</f>
        <v/>
      </c>
      <c r="X26">
        <f>HYPERLINK("https://klasma.github.io/Logging_0483/tillsyn/A 46524-2025 tillsynsbegäran.docx", "A 46524-2025")</f>
        <v/>
      </c>
      <c r="Y26">
        <f>HYPERLINK("https://klasma.github.io/Logging_0483/tillsynsmail/A 46524-2025 tillsynsbegäran mail.docx", "A 46524-2025")</f>
        <v/>
      </c>
      <c r="Z26">
        <f>HYPERLINK("https://klasma.github.io/Logging_0483/fåglar/A 46524-2025 prioriterade fågelarter.docx", "A 46524-2025")</f>
        <v/>
      </c>
    </row>
    <row r="27" ht="15" customHeight="1">
      <c r="A27" t="inlineStr">
        <is>
          <t>A 7322-2023</t>
        </is>
      </c>
      <c r="B27" s="1" t="n">
        <v>44970</v>
      </c>
      <c r="C27" s="1" t="n">
        <v>46194</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27375-2024</t>
        </is>
      </c>
      <c r="B28" s="1" t="n">
        <v>45473</v>
      </c>
      <c r="C28" s="1" t="n">
        <v>46194</v>
      </c>
      <c r="D28" t="inlineStr">
        <is>
          <t>SÖDERMANLANDS LÄN</t>
        </is>
      </c>
      <c r="E28" t="inlineStr">
        <is>
          <t>KATRINEHOLM</t>
        </is>
      </c>
      <c r="F28" t="inlineStr">
        <is>
          <t>Kommuner</t>
        </is>
      </c>
      <c r="G28" t="n">
        <v>1.9</v>
      </c>
      <c r="H28" t="n">
        <v>2</v>
      </c>
      <c r="I28" t="n">
        <v>1</v>
      </c>
      <c r="J28" t="n">
        <v>1</v>
      </c>
      <c r="K28" t="n">
        <v>0</v>
      </c>
      <c r="L28" t="n">
        <v>0</v>
      </c>
      <c r="M28" t="n">
        <v>0</v>
      </c>
      <c r="N28" t="n">
        <v>0</v>
      </c>
      <c r="O28" t="n">
        <v>1</v>
      </c>
      <c r="P28" t="n">
        <v>0</v>
      </c>
      <c r="Q28" t="n">
        <v>3</v>
      </c>
      <c r="R28" s="2" t="inlineStr">
        <is>
          <t>Kricka
Scharlakansvårskål agg.
Åkergroda</t>
        </is>
      </c>
      <c r="S28">
        <f>HYPERLINK("https://klasma.github.io/Logging_0483/artfynd/A 27375-2024 artfynd.xlsx", "A 27375-2024")</f>
        <v/>
      </c>
      <c r="T28">
        <f>HYPERLINK("https://klasma.github.io/Logging_0483/kartor/A 27375-2024 karta.png", "A 27375-2024")</f>
        <v/>
      </c>
      <c r="V28">
        <f>HYPERLINK("https://klasma.github.io/Logging_0483/klagomål/A 27375-2024 FSC-klagomål.docx", "A 27375-2024")</f>
        <v/>
      </c>
      <c r="W28">
        <f>HYPERLINK("https://klasma.github.io/Logging_0483/klagomålsmail/A 27375-2024 FSC-klagomål mail.docx", "A 27375-2024")</f>
        <v/>
      </c>
      <c r="X28">
        <f>HYPERLINK("https://klasma.github.io/Logging_0483/tillsyn/A 27375-2024 tillsynsbegäran.docx", "A 27375-2024")</f>
        <v/>
      </c>
      <c r="Y28">
        <f>HYPERLINK("https://klasma.github.io/Logging_0483/tillsynsmail/A 27375-2024 tillsynsbegäran mail.docx", "A 27375-2024")</f>
        <v/>
      </c>
      <c r="Z28">
        <f>HYPERLINK("https://klasma.github.io/Logging_0483/fåglar/A 27375-2024 prioriterade fågelarter.docx", "A 27375-2024")</f>
        <v/>
      </c>
    </row>
    <row r="29" ht="15" customHeight="1">
      <c r="A29" t="inlineStr">
        <is>
          <t>A 23568-2023</t>
        </is>
      </c>
      <c r="B29" s="1" t="n">
        <v>45077</v>
      </c>
      <c r="C29" s="1" t="n">
        <v>46194</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56897-2021</t>
        </is>
      </c>
      <c r="B30" s="1" t="n">
        <v>44481</v>
      </c>
      <c r="C30" s="1" t="n">
        <v>46194</v>
      </c>
      <c r="D30" t="inlineStr">
        <is>
          <t>SÖDERMANLANDS LÄN</t>
        </is>
      </c>
      <c r="E30" t="inlineStr">
        <is>
          <t>KATRINEHOLM</t>
        </is>
      </c>
      <c r="F30" t="inlineStr">
        <is>
          <t>Kommuner</t>
        </is>
      </c>
      <c r="G30" t="n">
        <v>9.4</v>
      </c>
      <c r="H30" t="n">
        <v>2</v>
      </c>
      <c r="I30" t="n">
        <v>0</v>
      </c>
      <c r="J30" t="n">
        <v>1</v>
      </c>
      <c r="K30" t="n">
        <v>1</v>
      </c>
      <c r="L30" t="n">
        <v>0</v>
      </c>
      <c r="M30" t="n">
        <v>0</v>
      </c>
      <c r="N30" t="n">
        <v>0</v>
      </c>
      <c r="O30" t="n">
        <v>2</v>
      </c>
      <c r="P30" t="n">
        <v>1</v>
      </c>
      <c r="Q30" t="n">
        <v>3</v>
      </c>
      <c r="R30" s="2" t="inlineStr">
        <is>
          <t>Hökuggla
Tallticka
Blåsippa</t>
        </is>
      </c>
      <c r="S30">
        <f>HYPERLINK("https://klasma.github.io/Logging_0483/artfynd/A 56897-2021 artfynd.xlsx", "A 56897-2021")</f>
        <v/>
      </c>
      <c r="T30">
        <f>HYPERLINK("https://klasma.github.io/Logging_0483/kartor/A 56897-2021 karta.png", "A 56897-2021")</f>
        <v/>
      </c>
      <c r="V30">
        <f>HYPERLINK("https://klasma.github.io/Logging_0483/klagomål/A 56897-2021 FSC-klagomål.docx", "A 56897-2021")</f>
        <v/>
      </c>
      <c r="W30">
        <f>HYPERLINK("https://klasma.github.io/Logging_0483/klagomålsmail/A 56897-2021 FSC-klagomål mail.docx", "A 56897-2021")</f>
        <v/>
      </c>
      <c r="X30">
        <f>HYPERLINK("https://klasma.github.io/Logging_0483/tillsyn/A 56897-2021 tillsynsbegäran.docx", "A 56897-2021")</f>
        <v/>
      </c>
      <c r="Y30">
        <f>HYPERLINK("https://klasma.github.io/Logging_0483/tillsynsmail/A 56897-2021 tillsynsbegäran mail.docx", "A 56897-2021")</f>
        <v/>
      </c>
      <c r="Z30">
        <f>HYPERLINK("https://klasma.github.io/Logging_0483/fåglar/A 56897-2021 prioriterade fågelarter.docx", "A 56897-2021")</f>
        <v/>
      </c>
    </row>
    <row r="31" ht="15" customHeight="1">
      <c r="A31" t="inlineStr">
        <is>
          <t>A 14858-2023</t>
        </is>
      </c>
      <c r="B31" s="1" t="n">
        <v>45014</v>
      </c>
      <c r="C31" s="1" t="n">
        <v>46194</v>
      </c>
      <c r="D31" t="inlineStr">
        <is>
          <t>SÖDERMANLANDS LÄN</t>
        </is>
      </c>
      <c r="E31" t="inlineStr">
        <is>
          <t>KATRINEHOLM</t>
        </is>
      </c>
      <c r="G31" t="n">
        <v>1</v>
      </c>
      <c r="H31" t="n">
        <v>3</v>
      </c>
      <c r="I31" t="n">
        <v>0</v>
      </c>
      <c r="J31" t="n">
        <v>0</v>
      </c>
      <c r="K31" t="n">
        <v>0</v>
      </c>
      <c r="L31" t="n">
        <v>0</v>
      </c>
      <c r="M31" t="n">
        <v>0</v>
      </c>
      <c r="N31" t="n">
        <v>0</v>
      </c>
      <c r="O31" t="n">
        <v>0</v>
      </c>
      <c r="P31" t="n">
        <v>0</v>
      </c>
      <c r="Q31" t="n">
        <v>3</v>
      </c>
      <c r="R31" s="2" t="inlineStr">
        <is>
          <t>Blåsippa
Spillkråka
Gullviva</t>
        </is>
      </c>
      <c r="S31">
        <f>HYPERLINK("https://klasma.github.io/Logging_0483/artfynd/A 14858-2023 artfynd.xlsx", "A 14858-2023")</f>
        <v/>
      </c>
      <c r="T31">
        <f>HYPERLINK("https://klasma.github.io/Logging_0483/kartor/A 14858-2023 karta.png", "A 14858-2023")</f>
        <v/>
      </c>
      <c r="V31">
        <f>HYPERLINK("https://klasma.github.io/Logging_0483/klagomål/A 14858-2023 FSC-klagomål.docx", "A 14858-2023")</f>
        <v/>
      </c>
      <c r="W31">
        <f>HYPERLINK("https://klasma.github.io/Logging_0483/klagomålsmail/A 14858-2023 FSC-klagomål mail.docx", "A 14858-2023")</f>
        <v/>
      </c>
      <c r="X31">
        <f>HYPERLINK("https://klasma.github.io/Logging_0483/tillsyn/A 14858-2023 tillsynsbegäran.docx", "A 14858-2023")</f>
        <v/>
      </c>
      <c r="Y31">
        <f>HYPERLINK("https://klasma.github.io/Logging_0483/tillsynsmail/A 14858-2023 tillsynsbegäran mail.docx", "A 14858-2023")</f>
        <v/>
      </c>
      <c r="Z31">
        <f>HYPERLINK("https://klasma.github.io/Logging_0483/fåglar/A 14858-2023 prioriterade fågelarter.docx", "A 14858-2023")</f>
        <v/>
      </c>
    </row>
    <row r="32" ht="15" customHeight="1">
      <c r="A32" t="inlineStr">
        <is>
          <t>A 30242-2023</t>
        </is>
      </c>
      <c r="B32" s="1" t="n">
        <v>45099</v>
      </c>
      <c r="C32" s="1" t="n">
        <v>46194</v>
      </c>
      <c r="D32" t="inlineStr">
        <is>
          <t>SÖDERMANLANDS LÄN</t>
        </is>
      </c>
      <c r="E32" t="inlineStr">
        <is>
          <t>KATRINEHOLM</t>
        </is>
      </c>
      <c r="G32" t="n">
        <v>3</v>
      </c>
      <c r="H32" t="n">
        <v>1</v>
      </c>
      <c r="I32" t="n">
        <v>0</v>
      </c>
      <c r="J32" t="n">
        <v>1</v>
      </c>
      <c r="K32" t="n">
        <v>1</v>
      </c>
      <c r="L32" t="n">
        <v>0</v>
      </c>
      <c r="M32" t="n">
        <v>0</v>
      </c>
      <c r="N32" t="n">
        <v>0</v>
      </c>
      <c r="O32" t="n">
        <v>2</v>
      </c>
      <c r="P32" t="n">
        <v>1</v>
      </c>
      <c r="Q32" t="n">
        <v>3</v>
      </c>
      <c r="R32" s="2" t="inlineStr">
        <is>
          <t>Mindre bastardsvärmare
Skogsklocka
Grönvit nattviol</t>
        </is>
      </c>
      <c r="S32">
        <f>HYPERLINK("https://klasma.github.io/Logging_0483/artfynd/A 30242-2023 artfynd.xlsx", "A 30242-2023")</f>
        <v/>
      </c>
      <c r="T32">
        <f>HYPERLINK("https://klasma.github.io/Logging_0483/kartor/A 30242-2023 karta.png", "A 30242-2023")</f>
        <v/>
      </c>
      <c r="V32">
        <f>HYPERLINK("https://klasma.github.io/Logging_0483/klagomål/A 30242-2023 FSC-klagomål.docx", "A 30242-2023")</f>
        <v/>
      </c>
      <c r="W32">
        <f>HYPERLINK("https://klasma.github.io/Logging_0483/klagomålsmail/A 30242-2023 FSC-klagomål mail.docx", "A 30242-2023")</f>
        <v/>
      </c>
      <c r="X32">
        <f>HYPERLINK("https://klasma.github.io/Logging_0483/tillsyn/A 30242-2023 tillsynsbegäran.docx", "A 30242-2023")</f>
        <v/>
      </c>
      <c r="Y32">
        <f>HYPERLINK("https://klasma.github.io/Logging_0483/tillsynsmail/A 30242-2023 tillsynsbegäran mail.docx", "A 30242-2023")</f>
        <v/>
      </c>
    </row>
    <row r="33" ht="15" customHeight="1">
      <c r="A33" t="inlineStr">
        <is>
          <t>A 44632-2023</t>
        </is>
      </c>
      <c r="B33" s="1" t="n">
        <v>45184</v>
      </c>
      <c r="C33" s="1" t="n">
        <v>46194</v>
      </c>
      <c r="D33" t="inlineStr">
        <is>
          <t>SÖDERMANLANDS LÄN</t>
        </is>
      </c>
      <c r="E33" t="inlineStr">
        <is>
          <t>KATRINEHOLM</t>
        </is>
      </c>
      <c r="G33" t="n">
        <v>6.2</v>
      </c>
      <c r="H33" t="n">
        <v>0</v>
      </c>
      <c r="I33" t="n">
        <v>1</v>
      </c>
      <c r="J33" t="n">
        <v>2</v>
      </c>
      <c r="K33" t="n">
        <v>0</v>
      </c>
      <c r="L33" t="n">
        <v>0</v>
      </c>
      <c r="M33" t="n">
        <v>0</v>
      </c>
      <c r="N33" t="n">
        <v>0</v>
      </c>
      <c r="O33" t="n">
        <v>2</v>
      </c>
      <c r="P33" t="n">
        <v>0</v>
      </c>
      <c r="Q33" t="n">
        <v>3</v>
      </c>
      <c r="R33" s="2" t="inlineStr">
        <is>
          <t>Dropptaggsvamp
Motaggsvamp
Kambräken</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45530-2023</t>
        </is>
      </c>
      <c r="B34" s="1" t="n">
        <v>45188</v>
      </c>
      <c r="C34" s="1" t="n">
        <v>46194</v>
      </c>
      <c r="D34" t="inlineStr">
        <is>
          <t>SÖDERMANLANDS LÄN</t>
        </is>
      </c>
      <c r="E34" t="inlineStr">
        <is>
          <t>KATRINEHOLM</t>
        </is>
      </c>
      <c r="F34" t="inlineStr">
        <is>
          <t>Allmännings- och besparingsskogar</t>
        </is>
      </c>
      <c r="G34" t="n">
        <v>37</v>
      </c>
      <c r="H34" t="n">
        <v>2</v>
      </c>
      <c r="I34" t="n">
        <v>1</v>
      </c>
      <c r="J34" t="n">
        <v>0</v>
      </c>
      <c r="K34" t="n">
        <v>0</v>
      </c>
      <c r="L34" t="n">
        <v>0</v>
      </c>
      <c r="M34" t="n">
        <v>0</v>
      </c>
      <c r="N34" t="n">
        <v>0</v>
      </c>
      <c r="O34" t="n">
        <v>0</v>
      </c>
      <c r="P34" t="n">
        <v>0</v>
      </c>
      <c r="Q34" t="n">
        <v>3</v>
      </c>
      <c r="R34" s="2" t="inlineStr">
        <is>
          <t>Björksplintborre
Mattlummer
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65184-2021</t>
        </is>
      </c>
      <c r="B35" s="1" t="n">
        <v>44512</v>
      </c>
      <c r="C35" s="1" t="n">
        <v>46194</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46194</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46194</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46194</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46194</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16458-2022</t>
        </is>
      </c>
      <c r="B40" s="1" t="n">
        <v>44671</v>
      </c>
      <c r="C40" s="1" t="n">
        <v>46194</v>
      </c>
      <c r="D40" t="inlineStr">
        <is>
          <t>SÖDERMANLANDS LÄN</t>
        </is>
      </c>
      <c r="E40" t="inlineStr">
        <is>
          <t>KATRINEHOLM</t>
        </is>
      </c>
      <c r="G40" t="n">
        <v>16.4</v>
      </c>
      <c r="H40" t="n">
        <v>2</v>
      </c>
      <c r="I40" t="n">
        <v>0</v>
      </c>
      <c r="J40" t="n">
        <v>1</v>
      </c>
      <c r="K40" t="n">
        <v>0</v>
      </c>
      <c r="L40" t="n">
        <v>0</v>
      </c>
      <c r="M40" t="n">
        <v>0</v>
      </c>
      <c r="N40" t="n">
        <v>0</v>
      </c>
      <c r="O40" t="n">
        <v>1</v>
      </c>
      <c r="P40" t="n">
        <v>0</v>
      </c>
      <c r="Q40" t="n">
        <v>2</v>
      </c>
      <c r="R40" s="2" t="inlineStr">
        <is>
          <t>Duvhök
Gröngöling</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12937-2023</t>
        </is>
      </c>
      <c r="B41" s="1" t="n">
        <v>45001</v>
      </c>
      <c r="C41" s="1" t="n">
        <v>46194</v>
      </c>
      <c r="D41" t="inlineStr">
        <is>
          <t>SÖDERMANLANDS LÄN</t>
        </is>
      </c>
      <c r="E41" t="inlineStr">
        <is>
          <t>KATRINEHOLM</t>
        </is>
      </c>
      <c r="G41" t="n">
        <v>0.9</v>
      </c>
      <c r="H41" t="n">
        <v>0</v>
      </c>
      <c r="I41" t="n">
        <v>0</v>
      </c>
      <c r="J41" t="n">
        <v>0</v>
      </c>
      <c r="K41" t="n">
        <v>2</v>
      </c>
      <c r="L41" t="n">
        <v>0</v>
      </c>
      <c r="M41" t="n">
        <v>0</v>
      </c>
      <c r="N41" t="n">
        <v>0</v>
      </c>
      <c r="O41" t="n">
        <v>2</v>
      </c>
      <c r="P41" t="n">
        <v>2</v>
      </c>
      <c r="Q41" t="n">
        <v>2</v>
      </c>
      <c r="R41" s="2" t="inlineStr">
        <is>
          <t>Mörkstiftig hällfibbla
Norsk fetfibbla</t>
        </is>
      </c>
      <c r="S41">
        <f>HYPERLINK("https://klasma.github.io/Logging_0483/artfynd/A 12937-2023 artfynd.xlsx", "A 12937-2023")</f>
        <v/>
      </c>
      <c r="T41">
        <f>HYPERLINK("https://klasma.github.io/Logging_0483/kartor/A 12937-2023 karta.png", "A 12937-2023")</f>
        <v/>
      </c>
      <c r="V41">
        <f>HYPERLINK("https://klasma.github.io/Logging_0483/klagomål/A 12937-2023 FSC-klagomål.docx", "A 12937-2023")</f>
        <v/>
      </c>
      <c r="W41">
        <f>HYPERLINK("https://klasma.github.io/Logging_0483/klagomålsmail/A 12937-2023 FSC-klagomål mail.docx", "A 12937-2023")</f>
        <v/>
      </c>
      <c r="X41">
        <f>HYPERLINK("https://klasma.github.io/Logging_0483/tillsyn/A 12937-2023 tillsynsbegäran.docx", "A 12937-2023")</f>
        <v/>
      </c>
      <c r="Y41">
        <f>HYPERLINK("https://klasma.github.io/Logging_0483/tillsynsmail/A 12937-2023 tillsynsbegäran mail.docx", "A 12937-2023")</f>
        <v/>
      </c>
    </row>
    <row r="42" ht="15" customHeight="1">
      <c r="A42" t="inlineStr">
        <is>
          <t>A 14655-2023</t>
        </is>
      </c>
      <c r="B42" s="1" t="n">
        <v>45013</v>
      </c>
      <c r="C42" s="1" t="n">
        <v>46194</v>
      </c>
      <c r="D42" t="inlineStr">
        <is>
          <t>SÖDERMANLANDS LÄN</t>
        </is>
      </c>
      <c r="E42" t="inlineStr">
        <is>
          <t>KATRINEHOLM</t>
        </is>
      </c>
      <c r="G42" t="n">
        <v>4.4</v>
      </c>
      <c r="H42" t="n">
        <v>2</v>
      </c>
      <c r="I42" t="n">
        <v>0</v>
      </c>
      <c r="J42" t="n">
        <v>0</v>
      </c>
      <c r="K42" t="n">
        <v>0</v>
      </c>
      <c r="L42" t="n">
        <v>0</v>
      </c>
      <c r="M42" t="n">
        <v>0</v>
      </c>
      <c r="N42" t="n">
        <v>0</v>
      </c>
      <c r="O42" t="n">
        <v>0</v>
      </c>
      <c r="P42" t="n">
        <v>0</v>
      </c>
      <c r="Q42" t="n">
        <v>2</v>
      </c>
      <c r="R42" s="2" t="inlineStr">
        <is>
          <t>Spillkråka
Gröngöling</t>
        </is>
      </c>
      <c r="S42">
        <f>HYPERLINK("https://klasma.github.io/Logging_0483/artfynd/A 14655-2023 artfynd.xlsx", "A 14655-2023")</f>
        <v/>
      </c>
      <c r="T42">
        <f>HYPERLINK("https://klasma.github.io/Logging_0483/kartor/A 14655-2023 karta.png", "A 14655-2023")</f>
        <v/>
      </c>
      <c r="V42">
        <f>HYPERLINK("https://klasma.github.io/Logging_0483/klagomål/A 14655-2023 FSC-klagomål.docx", "A 14655-2023")</f>
        <v/>
      </c>
      <c r="W42">
        <f>HYPERLINK("https://klasma.github.io/Logging_0483/klagomålsmail/A 14655-2023 FSC-klagomål mail.docx", "A 14655-2023")</f>
        <v/>
      </c>
      <c r="X42">
        <f>HYPERLINK("https://klasma.github.io/Logging_0483/tillsyn/A 14655-2023 tillsynsbegäran.docx", "A 14655-2023")</f>
        <v/>
      </c>
      <c r="Y42">
        <f>HYPERLINK("https://klasma.github.io/Logging_0483/tillsynsmail/A 14655-2023 tillsynsbegäran mail.docx", "A 14655-2023")</f>
        <v/>
      </c>
      <c r="Z42">
        <f>HYPERLINK("https://klasma.github.io/Logging_0483/fåglar/A 14655-2023 prioriterade fågelarter.docx", "A 14655-2023")</f>
        <v/>
      </c>
    </row>
    <row r="43" ht="15" customHeight="1">
      <c r="A43" t="inlineStr">
        <is>
          <t>A 42055-2025</t>
        </is>
      </c>
      <c r="B43" s="1" t="n">
        <v>45903</v>
      </c>
      <c r="C43" s="1" t="n">
        <v>46194</v>
      </c>
      <c r="D43" t="inlineStr">
        <is>
          <t>SÖDERMANLANDS LÄN</t>
        </is>
      </c>
      <c r="E43" t="inlineStr">
        <is>
          <t>KATRINEHOLM</t>
        </is>
      </c>
      <c r="F43" t="inlineStr">
        <is>
          <t>Allmännings- och besparingsskogar</t>
        </is>
      </c>
      <c r="G43" t="n">
        <v>0.8</v>
      </c>
      <c r="H43" t="n">
        <v>1</v>
      </c>
      <c r="I43" t="n">
        <v>1</v>
      </c>
      <c r="J43" t="n">
        <v>0</v>
      </c>
      <c r="K43" t="n">
        <v>0</v>
      </c>
      <c r="L43" t="n">
        <v>0</v>
      </c>
      <c r="M43" t="n">
        <v>0</v>
      </c>
      <c r="N43" t="n">
        <v>0</v>
      </c>
      <c r="O43" t="n">
        <v>0</v>
      </c>
      <c r="P43" t="n">
        <v>0</v>
      </c>
      <c r="Q43" t="n">
        <v>2</v>
      </c>
      <c r="R43" s="2" t="inlineStr">
        <is>
          <t>Björksplintborre
Revlummer</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40393-2022</t>
        </is>
      </c>
      <c r="B44" s="1" t="n">
        <v>44823</v>
      </c>
      <c r="C44" s="1" t="n">
        <v>46194</v>
      </c>
      <c r="D44" t="inlineStr">
        <is>
          <t>SÖDERMANLANDS LÄN</t>
        </is>
      </c>
      <c r="E44" t="inlineStr">
        <is>
          <t>KATRINEHOLM</t>
        </is>
      </c>
      <c r="G44" t="n">
        <v>1.3</v>
      </c>
      <c r="H44" t="n">
        <v>0</v>
      </c>
      <c r="I44" t="n">
        <v>1</v>
      </c>
      <c r="J44" t="n">
        <v>1</v>
      </c>
      <c r="K44" t="n">
        <v>0</v>
      </c>
      <c r="L44" t="n">
        <v>0</v>
      </c>
      <c r="M44" t="n">
        <v>0</v>
      </c>
      <c r="N44" t="n">
        <v>0</v>
      </c>
      <c r="O44" t="n">
        <v>1</v>
      </c>
      <c r="P44" t="n">
        <v>0</v>
      </c>
      <c r="Q44" t="n">
        <v>2</v>
      </c>
      <c r="R44" s="2" t="inlineStr">
        <is>
          <t>Aspstumpbagge
Spindelbock</t>
        </is>
      </c>
      <c r="S44">
        <f>HYPERLINK("https://klasma.github.io/Logging_0483/artfynd/A 40393-2022 artfynd.xlsx", "A 40393-2022")</f>
        <v/>
      </c>
      <c r="T44">
        <f>HYPERLINK("https://klasma.github.io/Logging_0483/kartor/A 40393-2022 karta.png", "A 40393-2022")</f>
        <v/>
      </c>
      <c r="V44">
        <f>HYPERLINK("https://klasma.github.io/Logging_0483/klagomål/A 40393-2022 FSC-klagomål.docx", "A 40393-2022")</f>
        <v/>
      </c>
      <c r="W44">
        <f>HYPERLINK("https://klasma.github.io/Logging_0483/klagomålsmail/A 40393-2022 FSC-klagomål mail.docx", "A 40393-2022")</f>
        <v/>
      </c>
      <c r="X44">
        <f>HYPERLINK("https://klasma.github.io/Logging_0483/tillsyn/A 40393-2022 tillsynsbegäran.docx", "A 40393-2022")</f>
        <v/>
      </c>
      <c r="Y44">
        <f>HYPERLINK("https://klasma.github.io/Logging_0483/tillsynsmail/A 40393-2022 tillsynsbegäran mail.docx", "A 40393-2022")</f>
        <v/>
      </c>
    </row>
    <row r="45" ht="15" customHeight="1">
      <c r="A45" t="inlineStr">
        <is>
          <t>A 37537-2022</t>
        </is>
      </c>
      <c r="B45" s="1" t="n">
        <v>44809</v>
      </c>
      <c r="C45" s="1" t="n">
        <v>46194</v>
      </c>
      <c r="D45" t="inlineStr">
        <is>
          <t>SÖDERMANLANDS LÄN</t>
        </is>
      </c>
      <c r="E45" t="inlineStr">
        <is>
          <t>KATRINEHOLM</t>
        </is>
      </c>
      <c r="G45" t="n">
        <v>1.4</v>
      </c>
      <c r="H45" t="n">
        <v>0</v>
      </c>
      <c r="I45" t="n">
        <v>2</v>
      </c>
      <c r="J45" t="n">
        <v>0</v>
      </c>
      <c r="K45" t="n">
        <v>0</v>
      </c>
      <c r="L45" t="n">
        <v>0</v>
      </c>
      <c r="M45" t="n">
        <v>0</v>
      </c>
      <c r="N45" t="n">
        <v>0</v>
      </c>
      <c r="O45" t="n">
        <v>0</v>
      </c>
      <c r="P45" t="n">
        <v>0</v>
      </c>
      <c r="Q45" t="n">
        <v>2</v>
      </c>
      <c r="R45" s="2" t="inlineStr">
        <is>
          <t>Myskmadra
Svart trolldruva</t>
        </is>
      </c>
      <c r="S45">
        <f>HYPERLINK("https://klasma.github.io/Logging_0483/artfynd/A 37537-2022 artfynd.xlsx", "A 37537-2022")</f>
        <v/>
      </c>
      <c r="T45">
        <f>HYPERLINK("https://klasma.github.io/Logging_0483/kartor/A 37537-2022 karta.png", "A 37537-2022")</f>
        <v/>
      </c>
      <c r="V45">
        <f>HYPERLINK("https://klasma.github.io/Logging_0483/klagomål/A 37537-2022 FSC-klagomål.docx", "A 37537-2022")</f>
        <v/>
      </c>
      <c r="W45">
        <f>HYPERLINK("https://klasma.github.io/Logging_0483/klagomålsmail/A 37537-2022 FSC-klagomål mail.docx", "A 37537-2022")</f>
        <v/>
      </c>
      <c r="X45">
        <f>HYPERLINK("https://klasma.github.io/Logging_0483/tillsyn/A 37537-2022 tillsynsbegäran.docx", "A 37537-2022")</f>
        <v/>
      </c>
      <c r="Y45">
        <f>HYPERLINK("https://klasma.github.io/Logging_0483/tillsynsmail/A 37537-2022 tillsynsbegäran mail.docx", "A 37537-2022")</f>
        <v/>
      </c>
    </row>
    <row r="46" ht="15" customHeight="1">
      <c r="A46" t="inlineStr">
        <is>
          <t>A 63946-2025</t>
        </is>
      </c>
      <c r="B46" s="1" t="n">
        <v>46010</v>
      </c>
      <c r="C46" s="1" t="n">
        <v>46194</v>
      </c>
      <c r="D46" t="inlineStr">
        <is>
          <t>SÖDERMANLANDS LÄN</t>
        </is>
      </c>
      <c r="E46" t="inlineStr">
        <is>
          <t>KATRINEHOLM</t>
        </is>
      </c>
      <c r="F46" t="inlineStr">
        <is>
          <t>Allmännings- och besparingsskogar</t>
        </is>
      </c>
      <c r="G46" t="n">
        <v>2.4</v>
      </c>
      <c r="H46" t="n">
        <v>1</v>
      </c>
      <c r="I46" t="n">
        <v>0</v>
      </c>
      <c r="J46" t="n">
        <v>1</v>
      </c>
      <c r="K46" t="n">
        <v>0</v>
      </c>
      <c r="L46" t="n">
        <v>0</v>
      </c>
      <c r="M46" t="n">
        <v>0</v>
      </c>
      <c r="N46" t="n">
        <v>0</v>
      </c>
      <c r="O46" t="n">
        <v>1</v>
      </c>
      <c r="P46" t="n">
        <v>0</v>
      </c>
      <c r="Q46" t="n">
        <v>2</v>
      </c>
      <c r="R46" s="2" t="inlineStr">
        <is>
          <t>Tallticka
Skogsödla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1150-2025</t>
        </is>
      </c>
      <c r="B47" s="1" t="n">
        <v>45666</v>
      </c>
      <c r="C47" s="1" t="n">
        <v>46194</v>
      </c>
      <c r="D47" t="inlineStr">
        <is>
          <t>SÖDERMANLANDS LÄN</t>
        </is>
      </c>
      <c r="E47" t="inlineStr">
        <is>
          <t>KATRINEHOLM</t>
        </is>
      </c>
      <c r="G47" t="n">
        <v>8.9</v>
      </c>
      <c r="H47" t="n">
        <v>0</v>
      </c>
      <c r="I47" t="n">
        <v>1</v>
      </c>
      <c r="J47" t="n">
        <v>1</v>
      </c>
      <c r="K47" t="n">
        <v>0</v>
      </c>
      <c r="L47" t="n">
        <v>0</v>
      </c>
      <c r="M47" t="n">
        <v>0</v>
      </c>
      <c r="N47" t="n">
        <v>0</v>
      </c>
      <c r="O47" t="n">
        <v>1</v>
      </c>
      <c r="P47" t="n">
        <v>0</v>
      </c>
      <c r="Q47" t="n">
        <v>2</v>
      </c>
      <c r="R47" s="2" t="inlineStr">
        <is>
          <t>Motaggsvamp
Grovticka</t>
        </is>
      </c>
      <c r="S47">
        <f>HYPERLINK("https://klasma.github.io/Logging_0483/artfynd/A 1150-2025 artfynd.xlsx", "A 1150-2025")</f>
        <v/>
      </c>
      <c r="T47">
        <f>HYPERLINK("https://klasma.github.io/Logging_0483/kartor/A 1150-2025 karta.png", "A 1150-2025")</f>
        <v/>
      </c>
      <c r="V47">
        <f>HYPERLINK("https://klasma.github.io/Logging_0483/klagomål/A 1150-2025 FSC-klagomål.docx", "A 1150-2025")</f>
        <v/>
      </c>
      <c r="W47">
        <f>HYPERLINK("https://klasma.github.io/Logging_0483/klagomålsmail/A 1150-2025 FSC-klagomål mail.docx", "A 1150-2025")</f>
        <v/>
      </c>
      <c r="X47">
        <f>HYPERLINK("https://klasma.github.io/Logging_0483/tillsyn/A 1150-2025 tillsynsbegäran.docx", "A 1150-2025")</f>
        <v/>
      </c>
      <c r="Y47">
        <f>HYPERLINK("https://klasma.github.io/Logging_0483/tillsynsmail/A 1150-2025 tillsynsbegäran mail.docx", "A 1150-2025")</f>
        <v/>
      </c>
    </row>
    <row r="48" ht="15" customHeight="1">
      <c r="A48" t="inlineStr">
        <is>
          <t>A 53471-2024</t>
        </is>
      </c>
      <c r="B48" s="1" t="n">
        <v>45614</v>
      </c>
      <c r="C48" s="1" t="n">
        <v>46194</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53154-2023</t>
        </is>
      </c>
      <c r="B49" s="1" t="n">
        <v>45229</v>
      </c>
      <c r="C49" s="1" t="n">
        <v>46194</v>
      </c>
      <c r="D49" t="inlineStr">
        <is>
          <t>SÖDERMANLANDS LÄN</t>
        </is>
      </c>
      <c r="E49" t="inlineStr">
        <is>
          <t>KATRINEHOLM</t>
        </is>
      </c>
      <c r="G49" t="n">
        <v>2.1</v>
      </c>
      <c r="H49" t="n">
        <v>1</v>
      </c>
      <c r="I49" t="n">
        <v>0</v>
      </c>
      <c r="J49" t="n">
        <v>0</v>
      </c>
      <c r="K49" t="n">
        <v>0</v>
      </c>
      <c r="L49" t="n">
        <v>1</v>
      </c>
      <c r="M49" t="n">
        <v>0</v>
      </c>
      <c r="N49" t="n">
        <v>0</v>
      </c>
      <c r="O49" t="n">
        <v>1</v>
      </c>
      <c r="P49" t="n">
        <v>1</v>
      </c>
      <c r="Q49" t="n">
        <v>2</v>
      </c>
      <c r="R49" s="2" t="inlineStr">
        <is>
          <t>Ask
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16435-2026</t>
        </is>
      </c>
      <c r="B50" s="1" t="n">
        <v>46111</v>
      </c>
      <c r="C50" s="1" t="n">
        <v>46194</v>
      </c>
      <c r="D50" t="inlineStr">
        <is>
          <t>SÖDERMANLANDS LÄN</t>
        </is>
      </c>
      <c r="E50" t="inlineStr">
        <is>
          <t>KATRINEHOLM</t>
        </is>
      </c>
      <c r="G50" t="n">
        <v>5.7</v>
      </c>
      <c r="H50" t="n">
        <v>1</v>
      </c>
      <c r="I50" t="n">
        <v>0</v>
      </c>
      <c r="J50" t="n">
        <v>1</v>
      </c>
      <c r="K50" t="n">
        <v>0</v>
      </c>
      <c r="L50" t="n">
        <v>0</v>
      </c>
      <c r="M50" t="n">
        <v>0</v>
      </c>
      <c r="N50" t="n">
        <v>0</v>
      </c>
      <c r="O50" t="n">
        <v>1</v>
      </c>
      <c r="P50" t="n">
        <v>0</v>
      </c>
      <c r="Q50" t="n">
        <v>2</v>
      </c>
      <c r="R50" s="2" t="inlineStr">
        <is>
          <t>Dropptaggsvamp
Mattlummer</t>
        </is>
      </c>
      <c r="S50">
        <f>HYPERLINK("https://klasma.github.io/Logging_0483/artfynd/A 16435-2026 artfynd.xlsx", "A 16435-2026")</f>
        <v/>
      </c>
      <c r="T50">
        <f>HYPERLINK("https://klasma.github.io/Logging_0483/kartor/A 16435-2026 karta.png", "A 16435-2026")</f>
        <v/>
      </c>
      <c r="V50">
        <f>HYPERLINK("https://klasma.github.io/Logging_0483/klagomål/A 16435-2026 FSC-klagomål.docx", "A 16435-2026")</f>
        <v/>
      </c>
      <c r="W50">
        <f>HYPERLINK("https://klasma.github.io/Logging_0483/klagomålsmail/A 16435-2026 FSC-klagomål mail.docx", "A 16435-2026")</f>
        <v/>
      </c>
      <c r="X50">
        <f>HYPERLINK("https://klasma.github.io/Logging_0483/tillsyn/A 16435-2026 tillsynsbegäran.docx", "A 16435-2026")</f>
        <v/>
      </c>
      <c r="Y50">
        <f>HYPERLINK("https://klasma.github.io/Logging_0483/tillsynsmail/A 16435-2026 tillsynsbegäran mail.docx", "A 16435-2026")</f>
        <v/>
      </c>
    </row>
    <row r="51" ht="15" customHeight="1">
      <c r="A51" t="inlineStr">
        <is>
          <t>A 23804-2026</t>
        </is>
      </c>
      <c r="B51" s="1" t="n">
        <v>46164</v>
      </c>
      <c r="C51" s="1" t="n">
        <v>46194</v>
      </c>
      <c r="D51" t="inlineStr">
        <is>
          <t>SÖDERMANLANDS LÄN</t>
        </is>
      </c>
      <c r="E51" t="inlineStr">
        <is>
          <t>KATRINEHOLM</t>
        </is>
      </c>
      <c r="G51" t="n">
        <v>4.6</v>
      </c>
      <c r="H51" t="n">
        <v>1</v>
      </c>
      <c r="I51" t="n">
        <v>0</v>
      </c>
      <c r="J51" t="n">
        <v>1</v>
      </c>
      <c r="K51" t="n">
        <v>0</v>
      </c>
      <c r="L51" t="n">
        <v>0</v>
      </c>
      <c r="M51" t="n">
        <v>0</v>
      </c>
      <c r="N51" t="n">
        <v>0</v>
      </c>
      <c r="O51" t="n">
        <v>1</v>
      </c>
      <c r="P51" t="n">
        <v>0</v>
      </c>
      <c r="Q51" t="n">
        <v>2</v>
      </c>
      <c r="R51" s="2" t="inlineStr">
        <is>
          <t>Tallticka
Revlummer</t>
        </is>
      </c>
      <c r="S51">
        <f>HYPERLINK("https://klasma.github.io/Logging_0483/artfynd/A 23804-2026 artfynd.xlsx", "A 23804-2026")</f>
        <v/>
      </c>
      <c r="T51">
        <f>HYPERLINK("https://klasma.github.io/Logging_0483/kartor/A 23804-2026 karta.png", "A 23804-2026")</f>
        <v/>
      </c>
      <c r="V51">
        <f>HYPERLINK("https://klasma.github.io/Logging_0483/klagomål/A 23804-2026 FSC-klagomål.docx", "A 23804-2026")</f>
        <v/>
      </c>
      <c r="W51">
        <f>HYPERLINK("https://klasma.github.io/Logging_0483/klagomålsmail/A 23804-2026 FSC-klagomål mail.docx", "A 23804-2026")</f>
        <v/>
      </c>
      <c r="X51">
        <f>HYPERLINK("https://klasma.github.io/Logging_0483/tillsyn/A 23804-2026 tillsynsbegäran.docx", "A 23804-2026")</f>
        <v/>
      </c>
      <c r="Y51">
        <f>HYPERLINK("https://klasma.github.io/Logging_0483/tillsynsmail/A 23804-2026 tillsynsbegäran mail.docx", "A 23804-2026")</f>
        <v/>
      </c>
    </row>
    <row r="52" ht="15" customHeight="1">
      <c r="A52" t="inlineStr">
        <is>
          <t>A 11890-2023</t>
        </is>
      </c>
      <c r="B52" s="1" t="n">
        <v>44995</v>
      </c>
      <c r="C52" s="1" t="n">
        <v>46194</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11890-2023</t>
        </is>
      </c>
      <c r="B53" s="1" t="n">
        <v>44995</v>
      </c>
      <c r="C53" s="1" t="n">
        <v>46194</v>
      </c>
      <c r="D53" t="inlineStr">
        <is>
          <t>SÖDERMANLANDS LÄN</t>
        </is>
      </c>
      <c r="E53" t="inlineStr">
        <is>
          <t>KATRINEHOLM</t>
        </is>
      </c>
      <c r="F53" t="inlineStr">
        <is>
          <t>Kommuner</t>
        </is>
      </c>
      <c r="G53" t="n">
        <v>6.7</v>
      </c>
      <c r="H53" t="n">
        <v>1</v>
      </c>
      <c r="I53" t="n">
        <v>1</v>
      </c>
      <c r="J53" t="n">
        <v>0</v>
      </c>
      <c r="K53" t="n">
        <v>1</v>
      </c>
      <c r="L53" t="n">
        <v>0</v>
      </c>
      <c r="M53" t="n">
        <v>0</v>
      </c>
      <c r="N53" t="n">
        <v>0</v>
      </c>
      <c r="O53" t="n">
        <v>1</v>
      </c>
      <c r="P53" t="n">
        <v>1</v>
      </c>
      <c r="Q53" t="n">
        <v>2</v>
      </c>
      <c r="R53" s="2" t="inlineStr">
        <is>
          <t>Skrovlig taggsvamp
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23239-2022</t>
        </is>
      </c>
      <c r="B54" s="1" t="n">
        <v>44719</v>
      </c>
      <c r="C54" s="1" t="n">
        <v>46194</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46194</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46194</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46194</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c r="Z57">
        <f>HYPERLINK("https://klasma.github.io/Logging_0483/fåglar/A 2877-2022 prioriterade fågelarter.docx", "A 2877-2022")</f>
        <v/>
      </c>
    </row>
    <row r="58" ht="15" customHeight="1">
      <c r="A58" t="inlineStr">
        <is>
          <t>A 11875-2023</t>
        </is>
      </c>
      <c r="B58" s="1" t="n">
        <v>44995</v>
      </c>
      <c r="C58" s="1" t="n">
        <v>46194</v>
      </c>
      <c r="D58" t="inlineStr">
        <is>
          <t>SÖDERMANLANDS LÄN</t>
        </is>
      </c>
      <c r="E58" t="inlineStr">
        <is>
          <t>KATRINEHOLM</t>
        </is>
      </c>
      <c r="F58" t="inlineStr">
        <is>
          <t>Kommuner</t>
        </is>
      </c>
      <c r="G58" t="n">
        <v>1.1</v>
      </c>
      <c r="H58" t="n">
        <v>0</v>
      </c>
      <c r="I58" t="n">
        <v>0</v>
      </c>
      <c r="J58" t="n">
        <v>1</v>
      </c>
      <c r="K58" t="n">
        <v>0</v>
      </c>
      <c r="L58" t="n">
        <v>0</v>
      </c>
      <c r="M58" t="n">
        <v>0</v>
      </c>
      <c r="N58" t="n">
        <v>0</v>
      </c>
      <c r="O58" t="n">
        <v>1</v>
      </c>
      <c r="P58" t="n">
        <v>0</v>
      </c>
      <c r="Q58" t="n">
        <v>1</v>
      </c>
      <c r="R58" s="2" t="inlineStr">
        <is>
          <t>Slåtterfibbla</t>
        </is>
      </c>
      <c r="S58">
        <f>HYPERLINK("https://klasma.github.io/Logging_0483/artfynd/A 11875-2023 artfynd.xlsx", "A 11875-2023")</f>
        <v/>
      </c>
      <c r="T58">
        <f>HYPERLINK("https://klasma.github.io/Logging_0483/kartor/A 11875-2023 karta.png", "A 11875-2023")</f>
        <v/>
      </c>
      <c r="V58">
        <f>HYPERLINK("https://klasma.github.io/Logging_0483/klagomål/A 11875-2023 FSC-klagomål.docx", "A 11875-2023")</f>
        <v/>
      </c>
      <c r="W58">
        <f>HYPERLINK("https://klasma.github.io/Logging_0483/klagomålsmail/A 11875-2023 FSC-klagomål mail.docx", "A 11875-2023")</f>
        <v/>
      </c>
      <c r="X58">
        <f>HYPERLINK("https://klasma.github.io/Logging_0483/tillsyn/A 11875-2023 tillsynsbegäran.docx", "A 11875-2023")</f>
        <v/>
      </c>
      <c r="Y58">
        <f>HYPERLINK("https://klasma.github.io/Logging_0483/tillsynsmail/A 11875-2023 tillsynsbegäran mail.docx", "A 11875-2023")</f>
        <v/>
      </c>
    </row>
    <row r="59" ht="15" customHeight="1">
      <c r="A59" t="inlineStr">
        <is>
          <t>A 6076-2022</t>
        </is>
      </c>
      <c r="B59" s="1" t="n">
        <v>44599</v>
      </c>
      <c r="C59" s="1" t="n">
        <v>46194</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48253-2022</t>
        </is>
      </c>
      <c r="B60" s="1" t="n">
        <v>44858</v>
      </c>
      <c r="C60" s="1" t="n">
        <v>46194</v>
      </c>
      <c r="D60" t="inlineStr">
        <is>
          <t>SÖDERMANLANDS LÄN</t>
        </is>
      </c>
      <c r="E60" t="inlineStr">
        <is>
          <t>KATRINEHOLM</t>
        </is>
      </c>
      <c r="G60" t="n">
        <v>4.7</v>
      </c>
      <c r="H60" t="n">
        <v>1</v>
      </c>
      <c r="I60" t="n">
        <v>0</v>
      </c>
      <c r="J60" t="n">
        <v>0</v>
      </c>
      <c r="K60" t="n">
        <v>0</v>
      </c>
      <c r="L60" t="n">
        <v>0</v>
      </c>
      <c r="M60" t="n">
        <v>0</v>
      </c>
      <c r="N60" t="n">
        <v>0</v>
      </c>
      <c r="O60" t="n">
        <v>0</v>
      </c>
      <c r="P60" t="n">
        <v>0</v>
      </c>
      <c r="Q60" t="n">
        <v>1</v>
      </c>
      <c r="R60" s="2" t="inlineStr">
        <is>
          <t>Spillkråka</t>
        </is>
      </c>
      <c r="S60">
        <f>HYPERLINK("https://klasma.github.io/Logging_0483/artfynd/A 48253-2022 artfynd.xlsx", "A 48253-2022")</f>
        <v/>
      </c>
      <c r="T60">
        <f>HYPERLINK("https://klasma.github.io/Logging_0483/kartor/A 48253-2022 karta.png", "A 48253-2022")</f>
        <v/>
      </c>
      <c r="V60">
        <f>HYPERLINK("https://klasma.github.io/Logging_0483/klagomål/A 48253-2022 FSC-klagomål.docx", "A 48253-2022")</f>
        <v/>
      </c>
      <c r="W60">
        <f>HYPERLINK("https://klasma.github.io/Logging_0483/klagomålsmail/A 48253-2022 FSC-klagomål mail.docx", "A 48253-2022")</f>
        <v/>
      </c>
      <c r="X60">
        <f>HYPERLINK("https://klasma.github.io/Logging_0483/tillsyn/A 48253-2022 tillsynsbegäran.docx", "A 48253-2022")</f>
        <v/>
      </c>
      <c r="Y60">
        <f>HYPERLINK("https://klasma.github.io/Logging_0483/tillsynsmail/A 48253-2022 tillsynsbegäran mail.docx", "A 48253-2022")</f>
        <v/>
      </c>
      <c r="Z60">
        <f>HYPERLINK("https://klasma.github.io/Logging_0483/fåglar/A 48253-2022 prioriterade fågelarter.docx", "A 48253-2022")</f>
        <v/>
      </c>
    </row>
    <row r="61" ht="15" customHeight="1">
      <c r="A61" t="inlineStr">
        <is>
          <t>A 42745-2022</t>
        </is>
      </c>
      <c r="B61" s="1" t="n">
        <v>44831</v>
      </c>
      <c r="C61" s="1" t="n">
        <v>46194</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12238-2023</t>
        </is>
      </c>
      <c r="B62" s="1" t="n">
        <v>44995</v>
      </c>
      <c r="C62" s="1" t="n">
        <v>46194</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51848-2022</t>
        </is>
      </c>
      <c r="B63" s="1" t="n">
        <v>44872</v>
      </c>
      <c r="C63" s="1" t="n">
        <v>46194</v>
      </c>
      <c r="D63" t="inlineStr">
        <is>
          <t>SÖDERMANLANDS LÄN</t>
        </is>
      </c>
      <c r="E63" t="inlineStr">
        <is>
          <t>KATRINEHOLM</t>
        </is>
      </c>
      <c r="G63" t="n">
        <v>1.8</v>
      </c>
      <c r="H63" t="n">
        <v>0</v>
      </c>
      <c r="I63" t="n">
        <v>0</v>
      </c>
      <c r="J63" t="n">
        <v>1</v>
      </c>
      <c r="K63" t="n">
        <v>0</v>
      </c>
      <c r="L63" t="n">
        <v>0</v>
      </c>
      <c r="M63" t="n">
        <v>0</v>
      </c>
      <c r="N63" t="n">
        <v>0</v>
      </c>
      <c r="O63" t="n">
        <v>1</v>
      </c>
      <c r="P63" t="n">
        <v>0</v>
      </c>
      <c r="Q63" t="n">
        <v>1</v>
      </c>
      <c r="R63" s="2" t="inlineStr">
        <is>
          <t>Svinrot</t>
        </is>
      </c>
      <c r="S63">
        <f>HYPERLINK("https://klasma.github.io/Logging_0483/artfynd/A 51848-2022 artfynd.xlsx", "A 51848-2022")</f>
        <v/>
      </c>
      <c r="T63">
        <f>HYPERLINK("https://klasma.github.io/Logging_0483/kartor/A 51848-2022 karta.png", "A 51848-2022")</f>
        <v/>
      </c>
      <c r="V63">
        <f>HYPERLINK("https://klasma.github.io/Logging_0483/klagomål/A 51848-2022 FSC-klagomål.docx", "A 51848-2022")</f>
        <v/>
      </c>
      <c r="W63">
        <f>HYPERLINK("https://klasma.github.io/Logging_0483/klagomålsmail/A 51848-2022 FSC-klagomål mail.docx", "A 51848-2022")</f>
        <v/>
      </c>
      <c r="X63">
        <f>HYPERLINK("https://klasma.github.io/Logging_0483/tillsyn/A 51848-2022 tillsynsbegäran.docx", "A 51848-2022")</f>
        <v/>
      </c>
      <c r="Y63">
        <f>HYPERLINK("https://klasma.github.io/Logging_0483/tillsynsmail/A 51848-2022 tillsynsbegäran mail.docx", "A 51848-2022")</f>
        <v/>
      </c>
    </row>
    <row r="64" ht="15" customHeight="1">
      <c r="A64" t="inlineStr">
        <is>
          <t>A 3980-2024</t>
        </is>
      </c>
      <c r="B64" s="1" t="n">
        <v>45322</v>
      </c>
      <c r="C64" s="1" t="n">
        <v>46194</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64713-2023</t>
        </is>
      </c>
      <c r="B65" s="1" t="n">
        <v>45281</v>
      </c>
      <c r="C65" s="1" t="n">
        <v>46194</v>
      </c>
      <c r="D65" t="inlineStr">
        <is>
          <t>SÖDERMANLANDS LÄN</t>
        </is>
      </c>
      <c r="E65" t="inlineStr">
        <is>
          <t>KATRINEHOLM</t>
        </is>
      </c>
      <c r="G65" t="n">
        <v>4.9</v>
      </c>
      <c r="H65" t="n">
        <v>1</v>
      </c>
      <c r="I65" t="n">
        <v>0</v>
      </c>
      <c r="J65" t="n">
        <v>0</v>
      </c>
      <c r="K65" t="n">
        <v>0</v>
      </c>
      <c r="L65" t="n">
        <v>0</v>
      </c>
      <c r="M65" t="n">
        <v>0</v>
      </c>
      <c r="N65" t="n">
        <v>0</v>
      </c>
      <c r="O65" t="n">
        <v>0</v>
      </c>
      <c r="P65" t="n">
        <v>0</v>
      </c>
      <c r="Q65" t="n">
        <v>1</v>
      </c>
      <c r="R65" s="2" t="inlineStr">
        <is>
          <t>Gröngöling</t>
        </is>
      </c>
      <c r="S65">
        <f>HYPERLINK("https://klasma.github.io/Logging_0483/artfynd/A 64713-2023 artfynd.xlsx", "A 64713-2023")</f>
        <v/>
      </c>
      <c r="T65">
        <f>HYPERLINK("https://klasma.github.io/Logging_0483/kartor/A 64713-2023 karta.png", "A 64713-2023")</f>
        <v/>
      </c>
      <c r="V65">
        <f>HYPERLINK("https://klasma.github.io/Logging_0483/klagomål/A 64713-2023 FSC-klagomål.docx", "A 64713-2023")</f>
        <v/>
      </c>
      <c r="W65">
        <f>HYPERLINK("https://klasma.github.io/Logging_0483/klagomålsmail/A 64713-2023 FSC-klagomål mail.docx", "A 64713-2023")</f>
        <v/>
      </c>
      <c r="X65">
        <f>HYPERLINK("https://klasma.github.io/Logging_0483/tillsyn/A 64713-2023 tillsynsbegäran.docx", "A 64713-2023")</f>
        <v/>
      </c>
      <c r="Y65">
        <f>HYPERLINK("https://klasma.github.io/Logging_0483/tillsynsmail/A 64713-2023 tillsynsbegäran mail.docx", "A 64713-2023")</f>
        <v/>
      </c>
      <c r="Z65">
        <f>HYPERLINK("https://klasma.github.io/Logging_0483/fåglar/A 64713-2023 prioriterade fågelarter.docx", "A 64713-2023")</f>
        <v/>
      </c>
    </row>
    <row r="66" ht="15" customHeight="1">
      <c r="A66" t="inlineStr">
        <is>
          <t>A 28985-2022</t>
        </is>
      </c>
      <c r="B66" s="1" t="n">
        <v>44749</v>
      </c>
      <c r="C66" s="1" t="n">
        <v>46194</v>
      </c>
      <c r="D66" t="inlineStr">
        <is>
          <t>SÖDERMANLANDS LÄN</t>
        </is>
      </c>
      <c r="E66" t="inlineStr">
        <is>
          <t>KATRINEHOLM</t>
        </is>
      </c>
      <c r="G66" t="n">
        <v>6.4</v>
      </c>
      <c r="H66" t="n">
        <v>0</v>
      </c>
      <c r="I66" t="n">
        <v>0</v>
      </c>
      <c r="J66" t="n">
        <v>0</v>
      </c>
      <c r="K66" t="n">
        <v>1</v>
      </c>
      <c r="L66" t="n">
        <v>0</v>
      </c>
      <c r="M66" t="n">
        <v>0</v>
      </c>
      <c r="N66" t="n">
        <v>0</v>
      </c>
      <c r="O66" t="n">
        <v>1</v>
      </c>
      <c r="P66" t="n">
        <v>1</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57519-2021</t>
        </is>
      </c>
      <c r="B67" s="1" t="n">
        <v>44483</v>
      </c>
      <c r="C67" s="1" t="n">
        <v>46194</v>
      </c>
      <c r="D67" t="inlineStr">
        <is>
          <t>SÖDERMANLANDS LÄN</t>
        </is>
      </c>
      <c r="E67" t="inlineStr">
        <is>
          <t>KATRINEHOLM</t>
        </is>
      </c>
      <c r="G67" t="n">
        <v>0.7</v>
      </c>
      <c r="H67" t="n">
        <v>1</v>
      </c>
      <c r="I67" t="n">
        <v>0</v>
      </c>
      <c r="J67" t="n">
        <v>0</v>
      </c>
      <c r="K67" t="n">
        <v>0</v>
      </c>
      <c r="L67" t="n">
        <v>0</v>
      </c>
      <c r="M67" t="n">
        <v>0</v>
      </c>
      <c r="N67" t="n">
        <v>0</v>
      </c>
      <c r="O67" t="n">
        <v>0</v>
      </c>
      <c r="P67" t="n">
        <v>0</v>
      </c>
      <c r="Q67" t="n">
        <v>1</v>
      </c>
      <c r="R67" s="2" t="inlineStr">
        <is>
          <t>Blåsippa</t>
        </is>
      </c>
      <c r="S67">
        <f>HYPERLINK("https://klasma.github.io/Logging_0483/artfynd/A 57519-2021 artfynd.xlsx", "A 57519-2021")</f>
        <v/>
      </c>
      <c r="T67">
        <f>HYPERLINK("https://klasma.github.io/Logging_0483/kartor/A 57519-2021 karta.png", "A 57519-2021")</f>
        <v/>
      </c>
      <c r="V67">
        <f>HYPERLINK("https://klasma.github.io/Logging_0483/klagomål/A 57519-2021 FSC-klagomål.docx", "A 57519-2021")</f>
        <v/>
      </c>
      <c r="W67">
        <f>HYPERLINK("https://klasma.github.io/Logging_0483/klagomålsmail/A 57519-2021 FSC-klagomål mail.docx", "A 57519-2021")</f>
        <v/>
      </c>
      <c r="X67">
        <f>HYPERLINK("https://klasma.github.io/Logging_0483/tillsyn/A 57519-2021 tillsynsbegäran.docx", "A 57519-2021")</f>
        <v/>
      </c>
      <c r="Y67">
        <f>HYPERLINK("https://klasma.github.io/Logging_0483/tillsynsmail/A 57519-2021 tillsynsbegäran mail.docx", "A 57519-2021")</f>
        <v/>
      </c>
    </row>
    <row r="68" ht="15" customHeight="1">
      <c r="A68" t="inlineStr">
        <is>
          <t>A 56074-2022</t>
        </is>
      </c>
      <c r="B68" s="1" t="n">
        <v>44889</v>
      </c>
      <c r="C68" s="1" t="n">
        <v>46194</v>
      </c>
      <c r="D68" t="inlineStr">
        <is>
          <t>SÖDERMANLANDS LÄN</t>
        </is>
      </c>
      <c r="E68" t="inlineStr">
        <is>
          <t>KATRINEHOLM</t>
        </is>
      </c>
      <c r="G68" t="n">
        <v>12.5</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44486-2023</t>
        </is>
      </c>
      <c r="B69" s="1" t="n">
        <v>45183</v>
      </c>
      <c r="C69" s="1" t="n">
        <v>46194</v>
      </c>
      <c r="D69" t="inlineStr">
        <is>
          <t>SÖDERMANLANDS LÄN</t>
        </is>
      </c>
      <c r="E69" t="inlineStr">
        <is>
          <t>KATRINEHOLM</t>
        </is>
      </c>
      <c r="G69" t="n">
        <v>1.7</v>
      </c>
      <c r="H69" t="n">
        <v>0</v>
      </c>
      <c r="I69" t="n">
        <v>0</v>
      </c>
      <c r="J69" t="n">
        <v>1</v>
      </c>
      <c r="K69" t="n">
        <v>0</v>
      </c>
      <c r="L69" t="n">
        <v>0</v>
      </c>
      <c r="M69" t="n">
        <v>0</v>
      </c>
      <c r="N69" t="n">
        <v>0</v>
      </c>
      <c r="O69" t="n">
        <v>1</v>
      </c>
      <c r="P69" t="n">
        <v>0</v>
      </c>
      <c r="Q69" t="n">
        <v>1</v>
      </c>
      <c r="R69" s="2" t="inlineStr">
        <is>
          <t>Svedjenäva</t>
        </is>
      </c>
      <c r="S69">
        <f>HYPERLINK("https://klasma.github.io/Logging_0483/artfynd/A 44486-2023 artfynd.xlsx", "A 44486-2023")</f>
        <v/>
      </c>
      <c r="T69">
        <f>HYPERLINK("https://klasma.github.io/Logging_0483/kartor/A 44486-2023 karta.png", "A 44486-2023")</f>
        <v/>
      </c>
      <c r="V69">
        <f>HYPERLINK("https://klasma.github.io/Logging_0483/klagomål/A 44486-2023 FSC-klagomål.docx", "A 44486-2023")</f>
        <v/>
      </c>
      <c r="W69">
        <f>HYPERLINK("https://klasma.github.io/Logging_0483/klagomålsmail/A 44486-2023 FSC-klagomål mail.docx", "A 44486-2023")</f>
        <v/>
      </c>
      <c r="X69">
        <f>HYPERLINK("https://klasma.github.io/Logging_0483/tillsyn/A 44486-2023 tillsynsbegäran.docx", "A 44486-2023")</f>
        <v/>
      </c>
      <c r="Y69">
        <f>HYPERLINK("https://klasma.github.io/Logging_0483/tillsynsmail/A 44486-2023 tillsynsbegäran mail.docx", "A 44486-2023")</f>
        <v/>
      </c>
    </row>
    <row r="70" ht="15" customHeight="1">
      <c r="A70" t="inlineStr">
        <is>
          <t>A 6808-2023</t>
        </is>
      </c>
      <c r="B70" s="1" t="n">
        <v>44964</v>
      </c>
      <c r="C70" s="1" t="n">
        <v>46194</v>
      </c>
      <c r="D70" t="inlineStr">
        <is>
          <t>SÖDERMANLANDS LÄN</t>
        </is>
      </c>
      <c r="E70" t="inlineStr">
        <is>
          <t>KATRINEHOLM</t>
        </is>
      </c>
      <c r="G70" t="n">
        <v>1.5</v>
      </c>
      <c r="H70" t="n">
        <v>1</v>
      </c>
      <c r="I70" t="n">
        <v>0</v>
      </c>
      <c r="J70" t="n">
        <v>1</v>
      </c>
      <c r="K70" t="n">
        <v>0</v>
      </c>
      <c r="L70" t="n">
        <v>0</v>
      </c>
      <c r="M70" t="n">
        <v>0</v>
      </c>
      <c r="N70" t="n">
        <v>0</v>
      </c>
      <c r="O70" t="n">
        <v>1</v>
      </c>
      <c r="P70" t="n">
        <v>0</v>
      </c>
      <c r="Q70" t="n">
        <v>1</v>
      </c>
      <c r="R70" s="2" t="inlineStr">
        <is>
          <t>Grönsångare</t>
        </is>
      </c>
      <c r="S70">
        <f>HYPERLINK("https://klasma.github.io/Logging_0483/artfynd/A 6808-2023 artfynd.xlsx", "A 6808-2023")</f>
        <v/>
      </c>
      <c r="T70">
        <f>HYPERLINK("https://klasma.github.io/Logging_0483/kartor/A 6808-2023 karta.png", "A 6808-2023")</f>
        <v/>
      </c>
      <c r="V70">
        <f>HYPERLINK("https://klasma.github.io/Logging_0483/klagomål/A 6808-2023 FSC-klagomål.docx", "A 6808-2023")</f>
        <v/>
      </c>
      <c r="W70">
        <f>HYPERLINK("https://klasma.github.io/Logging_0483/klagomålsmail/A 6808-2023 FSC-klagomål mail.docx", "A 6808-2023")</f>
        <v/>
      </c>
      <c r="X70">
        <f>HYPERLINK("https://klasma.github.io/Logging_0483/tillsyn/A 6808-2023 tillsynsbegäran.docx", "A 6808-2023")</f>
        <v/>
      </c>
      <c r="Y70">
        <f>HYPERLINK("https://klasma.github.io/Logging_0483/tillsynsmail/A 6808-2023 tillsynsbegäran mail.docx", "A 6808-2023")</f>
        <v/>
      </c>
      <c r="Z70">
        <f>HYPERLINK("https://klasma.github.io/Logging_0483/fåglar/A 6808-2023 prioriterade fågelarter.docx", "A 6808-2023")</f>
        <v/>
      </c>
    </row>
    <row r="71" ht="15" customHeight="1">
      <c r="A71" t="inlineStr">
        <is>
          <t>A 27376-2024</t>
        </is>
      </c>
      <c r="B71" s="1" t="n">
        <v>45473</v>
      </c>
      <c r="C71" s="1" t="n">
        <v>46194</v>
      </c>
      <c r="D71" t="inlineStr">
        <is>
          <t>SÖDERMANLANDS LÄN</t>
        </is>
      </c>
      <c r="E71" t="inlineStr">
        <is>
          <t>KATRINEHOLM</t>
        </is>
      </c>
      <c r="F71" t="inlineStr">
        <is>
          <t>Kommuner</t>
        </is>
      </c>
      <c r="G71" t="n">
        <v>2.8</v>
      </c>
      <c r="H71" t="n">
        <v>1</v>
      </c>
      <c r="I71" t="n">
        <v>0</v>
      </c>
      <c r="J71" t="n">
        <v>0</v>
      </c>
      <c r="K71" t="n">
        <v>0</v>
      </c>
      <c r="L71" t="n">
        <v>1</v>
      </c>
      <c r="M71" t="n">
        <v>0</v>
      </c>
      <c r="N71" t="n">
        <v>0</v>
      </c>
      <c r="O71" t="n">
        <v>1</v>
      </c>
      <c r="P71" t="n">
        <v>1</v>
      </c>
      <c r="Q71" t="n">
        <v>1</v>
      </c>
      <c r="R71" s="2" t="inlineStr">
        <is>
          <t>Bombmurkla</t>
        </is>
      </c>
      <c r="S71">
        <f>HYPERLINK("https://klasma.github.io/Logging_0483/artfynd/A 27376-2024 artfynd.xlsx", "A 27376-2024")</f>
        <v/>
      </c>
      <c r="T71">
        <f>HYPERLINK("https://klasma.github.io/Logging_0483/kartor/A 27376-2024 karta.png", "A 27376-2024")</f>
        <v/>
      </c>
      <c r="V71">
        <f>HYPERLINK("https://klasma.github.io/Logging_0483/klagomål/A 27376-2024 FSC-klagomål.docx", "A 27376-2024")</f>
        <v/>
      </c>
      <c r="W71">
        <f>HYPERLINK("https://klasma.github.io/Logging_0483/klagomålsmail/A 27376-2024 FSC-klagomål mail.docx", "A 27376-2024")</f>
        <v/>
      </c>
      <c r="X71">
        <f>HYPERLINK("https://klasma.github.io/Logging_0483/tillsyn/A 27376-2024 tillsynsbegäran.docx", "A 27376-2024")</f>
        <v/>
      </c>
      <c r="Y71">
        <f>HYPERLINK("https://klasma.github.io/Logging_0483/tillsynsmail/A 27376-2024 tillsynsbegäran mail.docx", "A 27376-2024")</f>
        <v/>
      </c>
    </row>
    <row r="72" ht="15" customHeight="1">
      <c r="A72" t="inlineStr">
        <is>
          <t>A 41074-2025</t>
        </is>
      </c>
      <c r="B72" s="1" t="n">
        <v>45898</v>
      </c>
      <c r="C72" s="1" t="n">
        <v>46194</v>
      </c>
      <c r="D72" t="inlineStr">
        <is>
          <t>SÖDERMANLANDS LÄN</t>
        </is>
      </c>
      <c r="E72" t="inlineStr">
        <is>
          <t>KATRINEHOLM</t>
        </is>
      </c>
      <c r="F72" t="inlineStr">
        <is>
          <t>Allmännings- och besparingsskogar</t>
        </is>
      </c>
      <c r="G72" t="n">
        <v>4.8</v>
      </c>
      <c r="H72" t="n">
        <v>1</v>
      </c>
      <c r="I72" t="n">
        <v>0</v>
      </c>
      <c r="J72" t="n">
        <v>0</v>
      </c>
      <c r="K72" t="n">
        <v>0</v>
      </c>
      <c r="L72" t="n">
        <v>0</v>
      </c>
      <c r="M72" t="n">
        <v>0</v>
      </c>
      <c r="N72" t="n">
        <v>0</v>
      </c>
      <c r="O72" t="n">
        <v>0</v>
      </c>
      <c r="P72" t="n">
        <v>0</v>
      </c>
      <c r="Q72" t="n">
        <v>1</v>
      </c>
      <c r="R72" s="2" t="inlineStr">
        <is>
          <t>Utter</t>
        </is>
      </c>
      <c r="S72">
        <f>HYPERLINK("https://klasma.github.io/Logging_0483/artfynd/A 41074-2025 artfynd.xlsx", "A 41074-2025")</f>
        <v/>
      </c>
      <c r="T72">
        <f>HYPERLINK("https://klasma.github.io/Logging_0483/kartor/A 41074-2025 karta.png", "A 41074-2025")</f>
        <v/>
      </c>
      <c r="V72">
        <f>HYPERLINK("https://klasma.github.io/Logging_0483/klagomål/A 41074-2025 FSC-klagomål.docx", "A 41074-2025")</f>
        <v/>
      </c>
      <c r="W72">
        <f>HYPERLINK("https://klasma.github.io/Logging_0483/klagomålsmail/A 41074-2025 FSC-klagomål mail.docx", "A 41074-2025")</f>
        <v/>
      </c>
      <c r="X72">
        <f>HYPERLINK("https://klasma.github.io/Logging_0483/tillsyn/A 41074-2025 tillsynsbegäran.docx", "A 41074-2025")</f>
        <v/>
      </c>
      <c r="Y72">
        <f>HYPERLINK("https://klasma.github.io/Logging_0483/tillsynsmail/A 41074-2025 tillsynsbegäran mail.docx", "A 41074-2025")</f>
        <v/>
      </c>
    </row>
    <row r="73" ht="15" customHeight="1">
      <c r="A73" t="inlineStr">
        <is>
          <t>A 44413-2024</t>
        </is>
      </c>
      <c r="B73" s="1" t="n">
        <v>45573</v>
      </c>
      <c r="C73" s="1" t="n">
        <v>46194</v>
      </c>
      <c r="D73" t="inlineStr">
        <is>
          <t>SÖDERMANLANDS LÄN</t>
        </is>
      </c>
      <c r="E73" t="inlineStr">
        <is>
          <t>KATRINEHOLM</t>
        </is>
      </c>
      <c r="G73" t="n">
        <v>0.7</v>
      </c>
      <c r="H73" t="n">
        <v>1</v>
      </c>
      <c r="I73" t="n">
        <v>0</v>
      </c>
      <c r="J73" t="n">
        <v>0</v>
      </c>
      <c r="K73" t="n">
        <v>1</v>
      </c>
      <c r="L73" t="n">
        <v>0</v>
      </c>
      <c r="M73" t="n">
        <v>0</v>
      </c>
      <c r="N73" t="n">
        <v>0</v>
      </c>
      <c r="O73" t="n">
        <v>1</v>
      </c>
      <c r="P73" t="n">
        <v>1</v>
      </c>
      <c r="Q73" t="n">
        <v>1</v>
      </c>
      <c r="R73" s="2" t="inlineStr">
        <is>
          <t>Knärot</t>
        </is>
      </c>
      <c r="S73">
        <f>HYPERLINK("https://klasma.github.io/Logging_0483/artfynd/A 44413-2024 artfynd.xlsx", "A 44413-2024")</f>
        <v/>
      </c>
      <c r="T73">
        <f>HYPERLINK("https://klasma.github.io/Logging_0483/kartor/A 44413-2024 karta.png", "A 44413-2024")</f>
        <v/>
      </c>
      <c r="U73">
        <f>HYPERLINK("https://klasma.github.io/Logging_0483/knärot/A 44413-2024 karta knärot.png", "A 44413-2024")</f>
        <v/>
      </c>
      <c r="V73">
        <f>HYPERLINK("https://klasma.github.io/Logging_0483/klagomål/A 44413-2024 FSC-klagomål.docx", "A 44413-2024")</f>
        <v/>
      </c>
      <c r="W73">
        <f>HYPERLINK("https://klasma.github.io/Logging_0483/klagomålsmail/A 44413-2024 FSC-klagomål mail.docx", "A 44413-2024")</f>
        <v/>
      </c>
      <c r="X73">
        <f>HYPERLINK("https://klasma.github.io/Logging_0483/tillsyn/A 44413-2024 tillsynsbegäran.docx", "A 44413-2024")</f>
        <v/>
      </c>
      <c r="Y73">
        <f>HYPERLINK("https://klasma.github.io/Logging_0483/tillsynsmail/A 44413-2024 tillsynsbegäran mail.docx", "A 44413-2024")</f>
        <v/>
      </c>
    </row>
    <row r="74" ht="15" customHeight="1">
      <c r="A74" t="inlineStr">
        <is>
          <t>A 1091-2025</t>
        </is>
      </c>
      <c r="B74" s="1" t="n">
        <v>45666</v>
      </c>
      <c r="C74" s="1" t="n">
        <v>46194</v>
      </c>
      <c r="D74" t="inlineStr">
        <is>
          <t>SÖDERMANLANDS LÄN</t>
        </is>
      </c>
      <c r="E74" t="inlineStr">
        <is>
          <t>KATRINEHOLM</t>
        </is>
      </c>
      <c r="F74" t="inlineStr">
        <is>
          <t>Övriga Aktiebolag</t>
        </is>
      </c>
      <c r="G74" t="n">
        <v>0.8</v>
      </c>
      <c r="H74" t="n">
        <v>0</v>
      </c>
      <c r="I74" t="n">
        <v>0</v>
      </c>
      <c r="J74" t="n">
        <v>1</v>
      </c>
      <c r="K74" t="n">
        <v>0</v>
      </c>
      <c r="L74" t="n">
        <v>0</v>
      </c>
      <c r="M74" t="n">
        <v>0</v>
      </c>
      <c r="N74" t="n">
        <v>0</v>
      </c>
      <c r="O74" t="n">
        <v>1</v>
      </c>
      <c r="P74" t="n">
        <v>0</v>
      </c>
      <c r="Q74" t="n">
        <v>1</v>
      </c>
      <c r="R74" s="2" t="inlineStr">
        <is>
          <t>Fjällig taggsvamp s.str.</t>
        </is>
      </c>
      <c r="S74">
        <f>HYPERLINK("https://klasma.github.io/Logging_0483/artfynd/A 1091-2025 artfynd.xlsx", "A 1091-2025")</f>
        <v/>
      </c>
      <c r="T74">
        <f>HYPERLINK("https://klasma.github.io/Logging_0483/kartor/A 1091-2025 karta.png", "A 1091-2025")</f>
        <v/>
      </c>
      <c r="V74">
        <f>HYPERLINK("https://klasma.github.io/Logging_0483/klagomål/A 1091-2025 FSC-klagomål.docx", "A 1091-2025")</f>
        <v/>
      </c>
      <c r="W74">
        <f>HYPERLINK("https://klasma.github.io/Logging_0483/klagomålsmail/A 1091-2025 FSC-klagomål mail.docx", "A 1091-2025")</f>
        <v/>
      </c>
      <c r="X74">
        <f>HYPERLINK("https://klasma.github.io/Logging_0483/tillsyn/A 1091-2025 tillsynsbegäran.docx", "A 1091-2025")</f>
        <v/>
      </c>
      <c r="Y74">
        <f>HYPERLINK("https://klasma.github.io/Logging_0483/tillsynsmail/A 1091-2025 tillsynsbegäran mail.docx", "A 1091-2025")</f>
        <v/>
      </c>
    </row>
    <row r="75" ht="15" customHeight="1">
      <c r="A75" t="inlineStr">
        <is>
          <t>A 33801-2023</t>
        </is>
      </c>
      <c r="B75" s="1" t="n">
        <v>45133</v>
      </c>
      <c r="C75" s="1" t="n">
        <v>46194</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Blåsippa</t>
        </is>
      </c>
      <c r="S75">
        <f>HYPERLINK("https://klasma.github.io/Logging_0483/artfynd/A 33801-2023 artfynd.xlsx", "A 33801-2023")</f>
        <v/>
      </c>
      <c r="T75">
        <f>HYPERLINK("https://klasma.github.io/Logging_0483/kartor/A 33801-2023 karta.png", "A 33801-2023")</f>
        <v/>
      </c>
      <c r="V75">
        <f>HYPERLINK("https://klasma.github.io/Logging_0483/klagomål/A 33801-2023 FSC-klagomål.docx", "A 33801-2023")</f>
        <v/>
      </c>
      <c r="W75">
        <f>HYPERLINK("https://klasma.github.io/Logging_0483/klagomålsmail/A 33801-2023 FSC-klagomål mail.docx", "A 33801-2023")</f>
        <v/>
      </c>
      <c r="X75">
        <f>HYPERLINK("https://klasma.github.io/Logging_0483/tillsyn/A 33801-2023 tillsynsbegäran.docx", "A 33801-2023")</f>
        <v/>
      </c>
      <c r="Y75">
        <f>HYPERLINK("https://klasma.github.io/Logging_0483/tillsynsmail/A 33801-2023 tillsynsbegäran mail.docx", "A 33801-2023")</f>
        <v/>
      </c>
    </row>
    <row r="76" ht="15" customHeight="1">
      <c r="A76" t="inlineStr">
        <is>
          <t>A 36220-2022</t>
        </is>
      </c>
      <c r="B76" s="1" t="n">
        <v>44803</v>
      </c>
      <c r="C76" s="1" t="n">
        <v>46194</v>
      </c>
      <c r="D76" t="inlineStr">
        <is>
          <t>SÖDERMANLANDS LÄN</t>
        </is>
      </c>
      <c r="E76" t="inlineStr">
        <is>
          <t>KATRINEHOLM</t>
        </is>
      </c>
      <c r="G76" t="n">
        <v>3.1</v>
      </c>
      <c r="H76" t="n">
        <v>0</v>
      </c>
      <c r="I76" t="n">
        <v>1</v>
      </c>
      <c r="J76" t="n">
        <v>0</v>
      </c>
      <c r="K76" t="n">
        <v>0</v>
      </c>
      <c r="L76" t="n">
        <v>0</v>
      </c>
      <c r="M76" t="n">
        <v>0</v>
      </c>
      <c r="N76" t="n">
        <v>0</v>
      </c>
      <c r="O76" t="n">
        <v>0</v>
      </c>
      <c r="P76" t="n">
        <v>0</v>
      </c>
      <c r="Q76" t="n">
        <v>1</v>
      </c>
      <c r="R76" s="2" t="inlineStr">
        <is>
          <t>Granbräken</t>
        </is>
      </c>
      <c r="S76">
        <f>HYPERLINK("https://klasma.github.io/Logging_0483/artfynd/A 36220-2022 artfynd.xlsx", "A 36220-2022")</f>
        <v/>
      </c>
      <c r="T76">
        <f>HYPERLINK("https://klasma.github.io/Logging_0483/kartor/A 36220-2022 karta.png", "A 36220-2022")</f>
        <v/>
      </c>
      <c r="V76">
        <f>HYPERLINK("https://klasma.github.io/Logging_0483/klagomål/A 36220-2022 FSC-klagomål.docx", "A 36220-2022")</f>
        <v/>
      </c>
      <c r="W76">
        <f>HYPERLINK("https://klasma.github.io/Logging_0483/klagomålsmail/A 36220-2022 FSC-klagomål mail.docx", "A 36220-2022")</f>
        <v/>
      </c>
      <c r="X76">
        <f>HYPERLINK("https://klasma.github.io/Logging_0483/tillsyn/A 36220-2022 tillsynsbegäran.docx", "A 36220-2022")</f>
        <v/>
      </c>
      <c r="Y76">
        <f>HYPERLINK("https://klasma.github.io/Logging_0483/tillsynsmail/A 36220-2022 tillsynsbegäran mail.docx", "A 36220-2022")</f>
        <v/>
      </c>
    </row>
    <row r="77" ht="15" customHeight="1">
      <c r="A77" t="inlineStr">
        <is>
          <t>A 53750-2022</t>
        </is>
      </c>
      <c r="B77" s="1" t="n">
        <v>44875</v>
      </c>
      <c r="C77" s="1" t="n">
        <v>46194</v>
      </c>
      <c r="D77" t="inlineStr">
        <is>
          <t>SÖDERMANLANDS LÄN</t>
        </is>
      </c>
      <c r="E77" t="inlineStr">
        <is>
          <t>KATRINEHOLM</t>
        </is>
      </c>
      <c r="F77" t="inlineStr">
        <is>
          <t>Övriga Aktiebolag</t>
        </is>
      </c>
      <c r="G77" t="n">
        <v>12.6</v>
      </c>
      <c r="H77" t="n">
        <v>1</v>
      </c>
      <c r="I77" t="n">
        <v>0</v>
      </c>
      <c r="J77" t="n">
        <v>0</v>
      </c>
      <c r="K77" t="n">
        <v>0</v>
      </c>
      <c r="L77" t="n">
        <v>0</v>
      </c>
      <c r="M77" t="n">
        <v>0</v>
      </c>
      <c r="N77" t="n">
        <v>0</v>
      </c>
      <c r="O77" t="n">
        <v>0</v>
      </c>
      <c r="P77" t="n">
        <v>0</v>
      </c>
      <c r="Q77" t="n">
        <v>1</v>
      </c>
      <c r="R77" s="2" t="inlineStr">
        <is>
          <t>Kungsfågel</t>
        </is>
      </c>
      <c r="S77">
        <f>HYPERLINK("https://klasma.github.io/Logging_0483/artfynd/A 53750-2022 artfynd.xlsx", "A 53750-2022")</f>
        <v/>
      </c>
      <c r="T77">
        <f>HYPERLINK("https://klasma.github.io/Logging_0483/kartor/A 53750-2022 karta.png", "A 53750-2022")</f>
        <v/>
      </c>
      <c r="V77">
        <f>HYPERLINK("https://klasma.github.io/Logging_0483/klagomål/A 53750-2022 FSC-klagomål.docx", "A 53750-2022")</f>
        <v/>
      </c>
      <c r="W77">
        <f>HYPERLINK("https://klasma.github.io/Logging_0483/klagomålsmail/A 53750-2022 FSC-klagomål mail.docx", "A 53750-2022")</f>
        <v/>
      </c>
      <c r="X77">
        <f>HYPERLINK("https://klasma.github.io/Logging_0483/tillsyn/A 53750-2022 tillsynsbegäran.docx", "A 53750-2022")</f>
        <v/>
      </c>
      <c r="Y77">
        <f>HYPERLINK("https://klasma.github.io/Logging_0483/tillsynsmail/A 53750-2022 tillsynsbegäran mail.docx", "A 53750-2022")</f>
        <v/>
      </c>
      <c r="Z77">
        <f>HYPERLINK("https://klasma.github.io/Logging_0483/fåglar/A 53750-2022 prioriterade fågelarter.docx", "A 53750-2022")</f>
        <v/>
      </c>
    </row>
    <row r="78" ht="15" customHeight="1">
      <c r="A78" t="inlineStr">
        <is>
          <t>A 13113-2023</t>
        </is>
      </c>
      <c r="B78" s="1" t="n">
        <v>45002</v>
      </c>
      <c r="C78" s="1" t="n">
        <v>46194</v>
      </c>
      <c r="D78" t="inlineStr">
        <is>
          <t>SÖDERMANLANDS LÄN</t>
        </is>
      </c>
      <c r="E78" t="inlineStr">
        <is>
          <t>KATRINEHOLM</t>
        </is>
      </c>
      <c r="F78" t="inlineStr">
        <is>
          <t>Allmännings- och besparingsskogar</t>
        </is>
      </c>
      <c r="G78" t="n">
        <v>3.6</v>
      </c>
      <c r="H78" t="n">
        <v>0</v>
      </c>
      <c r="I78" t="n">
        <v>0</v>
      </c>
      <c r="J78" t="n">
        <v>0</v>
      </c>
      <c r="K78" t="n">
        <v>1</v>
      </c>
      <c r="L78" t="n">
        <v>0</v>
      </c>
      <c r="M78" t="n">
        <v>0</v>
      </c>
      <c r="N78" t="n">
        <v>0</v>
      </c>
      <c r="O78" t="n">
        <v>1</v>
      </c>
      <c r="P78" t="n">
        <v>1</v>
      </c>
      <c r="Q78" t="n">
        <v>1</v>
      </c>
      <c r="R78" s="2" t="inlineStr">
        <is>
          <t>Igelkott</t>
        </is>
      </c>
      <c r="S78">
        <f>HYPERLINK("https://klasma.github.io/Logging_0483/artfynd/A 13113-2023 artfynd.xlsx", "A 13113-2023")</f>
        <v/>
      </c>
      <c r="T78">
        <f>HYPERLINK("https://klasma.github.io/Logging_0483/kartor/A 13113-2023 karta.png", "A 13113-2023")</f>
        <v/>
      </c>
      <c r="V78">
        <f>HYPERLINK("https://klasma.github.io/Logging_0483/klagomål/A 13113-2023 FSC-klagomål.docx", "A 13113-2023")</f>
        <v/>
      </c>
      <c r="W78">
        <f>HYPERLINK("https://klasma.github.io/Logging_0483/klagomålsmail/A 13113-2023 FSC-klagomål mail.docx", "A 13113-2023")</f>
        <v/>
      </c>
      <c r="X78">
        <f>HYPERLINK("https://klasma.github.io/Logging_0483/tillsyn/A 13113-2023 tillsynsbegäran.docx", "A 13113-2023")</f>
        <v/>
      </c>
      <c r="Y78">
        <f>HYPERLINK("https://klasma.github.io/Logging_0483/tillsynsmail/A 13113-2023 tillsynsbegäran mail.docx", "A 13113-2023")</f>
        <v/>
      </c>
    </row>
    <row r="79" ht="15" customHeight="1">
      <c r="A79" t="inlineStr">
        <is>
          <t>A 23341-2023</t>
        </is>
      </c>
      <c r="B79" s="1" t="n">
        <v>45076</v>
      </c>
      <c r="C79" s="1" t="n">
        <v>46194</v>
      </c>
      <c r="D79" t="inlineStr">
        <is>
          <t>SÖDERMANLANDS LÄN</t>
        </is>
      </c>
      <c r="E79" t="inlineStr">
        <is>
          <t>KATRINEHOLM</t>
        </is>
      </c>
      <c r="G79" t="n">
        <v>3.5</v>
      </c>
      <c r="H79" t="n">
        <v>0</v>
      </c>
      <c r="I79" t="n">
        <v>1</v>
      </c>
      <c r="J79" t="n">
        <v>0</v>
      </c>
      <c r="K79" t="n">
        <v>0</v>
      </c>
      <c r="L79" t="n">
        <v>0</v>
      </c>
      <c r="M79" t="n">
        <v>0</v>
      </c>
      <c r="N79" t="n">
        <v>0</v>
      </c>
      <c r="O79" t="n">
        <v>0</v>
      </c>
      <c r="P79" t="n">
        <v>0</v>
      </c>
      <c r="Q79" t="n">
        <v>1</v>
      </c>
      <c r="R79" s="2" t="inlineStr">
        <is>
          <t>Grönpyrola</t>
        </is>
      </c>
      <c r="S79">
        <f>HYPERLINK("https://klasma.github.io/Logging_0483/artfynd/A 23341-2023 artfynd.xlsx", "A 23341-2023")</f>
        <v/>
      </c>
      <c r="T79">
        <f>HYPERLINK("https://klasma.github.io/Logging_0483/kartor/A 23341-2023 karta.png", "A 23341-2023")</f>
        <v/>
      </c>
      <c r="V79">
        <f>HYPERLINK("https://klasma.github.io/Logging_0483/klagomål/A 23341-2023 FSC-klagomål.docx", "A 23341-2023")</f>
        <v/>
      </c>
      <c r="W79">
        <f>HYPERLINK("https://klasma.github.io/Logging_0483/klagomålsmail/A 23341-2023 FSC-klagomål mail.docx", "A 23341-2023")</f>
        <v/>
      </c>
      <c r="X79">
        <f>HYPERLINK("https://klasma.github.io/Logging_0483/tillsyn/A 23341-2023 tillsynsbegäran.docx", "A 23341-2023")</f>
        <v/>
      </c>
      <c r="Y79">
        <f>HYPERLINK("https://klasma.github.io/Logging_0483/tillsynsmail/A 23341-2023 tillsynsbegäran mail.docx", "A 23341-2023")</f>
        <v/>
      </c>
    </row>
    <row r="80" ht="15" customHeight="1">
      <c r="A80" t="inlineStr">
        <is>
          <t>A 35163-2025</t>
        </is>
      </c>
      <c r="B80" s="1" t="n">
        <v>45852</v>
      </c>
      <c r="C80" s="1" t="n">
        <v>46194</v>
      </c>
      <c r="D80" t="inlineStr">
        <is>
          <t>SÖDERMANLANDS LÄN</t>
        </is>
      </c>
      <c r="E80" t="inlineStr">
        <is>
          <t>KATRINEHOLM</t>
        </is>
      </c>
      <c r="F80" t="inlineStr">
        <is>
          <t>Övriga Aktiebolag</t>
        </is>
      </c>
      <c r="G80" t="n">
        <v>1.1</v>
      </c>
      <c r="H80" t="n">
        <v>0</v>
      </c>
      <c r="I80" t="n">
        <v>0</v>
      </c>
      <c r="J80" t="n">
        <v>1</v>
      </c>
      <c r="K80" t="n">
        <v>0</v>
      </c>
      <c r="L80" t="n">
        <v>0</v>
      </c>
      <c r="M80" t="n">
        <v>0</v>
      </c>
      <c r="N80" t="n">
        <v>0</v>
      </c>
      <c r="O80" t="n">
        <v>1</v>
      </c>
      <c r="P80" t="n">
        <v>0</v>
      </c>
      <c r="Q80" t="n">
        <v>1</v>
      </c>
      <c r="R80" s="2" t="inlineStr">
        <is>
          <t>Kattfotslav</t>
        </is>
      </c>
      <c r="S80">
        <f>HYPERLINK("https://klasma.github.io/Logging_0483/artfynd/A 35163-2025 artfynd.xlsx", "A 35163-2025")</f>
        <v/>
      </c>
      <c r="T80">
        <f>HYPERLINK("https://klasma.github.io/Logging_0483/kartor/A 35163-2025 karta.png", "A 35163-2025")</f>
        <v/>
      </c>
      <c r="V80">
        <f>HYPERLINK("https://klasma.github.io/Logging_0483/klagomål/A 35163-2025 FSC-klagomål.docx", "A 35163-2025")</f>
        <v/>
      </c>
      <c r="W80">
        <f>HYPERLINK("https://klasma.github.io/Logging_0483/klagomålsmail/A 35163-2025 FSC-klagomål mail.docx", "A 35163-2025")</f>
        <v/>
      </c>
      <c r="X80">
        <f>HYPERLINK("https://klasma.github.io/Logging_0483/tillsyn/A 35163-2025 tillsynsbegäran.docx", "A 35163-2025")</f>
        <v/>
      </c>
      <c r="Y80">
        <f>HYPERLINK("https://klasma.github.io/Logging_0483/tillsynsmail/A 35163-2025 tillsynsbegäran mail.docx", "A 35163-2025")</f>
        <v/>
      </c>
    </row>
    <row r="81" ht="15" customHeight="1">
      <c r="A81" t="inlineStr">
        <is>
          <t>A 35152-2025</t>
        </is>
      </c>
      <c r="B81" s="1" t="n">
        <v>45852</v>
      </c>
      <c r="C81" s="1" t="n">
        <v>46194</v>
      </c>
      <c r="D81" t="inlineStr">
        <is>
          <t>SÖDERMANLANDS LÄN</t>
        </is>
      </c>
      <c r="E81" t="inlineStr">
        <is>
          <t>KATRINEHOLM</t>
        </is>
      </c>
      <c r="G81" t="n">
        <v>4.6</v>
      </c>
      <c r="H81" t="n">
        <v>0</v>
      </c>
      <c r="I81" t="n">
        <v>0</v>
      </c>
      <c r="J81" t="n">
        <v>0</v>
      </c>
      <c r="K81" t="n">
        <v>1</v>
      </c>
      <c r="L81" t="n">
        <v>0</v>
      </c>
      <c r="M81" t="n">
        <v>0</v>
      </c>
      <c r="N81" t="n">
        <v>0</v>
      </c>
      <c r="O81" t="n">
        <v>1</v>
      </c>
      <c r="P81" t="n">
        <v>1</v>
      </c>
      <c r="Q81" t="n">
        <v>1</v>
      </c>
      <c r="R81" s="2" t="inlineStr">
        <is>
          <t>Kopparspindling</t>
        </is>
      </c>
      <c r="S81">
        <f>HYPERLINK("https://klasma.github.io/Logging_0483/artfynd/A 35152-2025 artfynd.xlsx", "A 35152-2025")</f>
        <v/>
      </c>
      <c r="T81">
        <f>HYPERLINK("https://klasma.github.io/Logging_0483/kartor/A 35152-2025 karta.png", "A 35152-2025")</f>
        <v/>
      </c>
      <c r="V81">
        <f>HYPERLINK("https://klasma.github.io/Logging_0483/klagomål/A 35152-2025 FSC-klagomål.docx", "A 35152-2025")</f>
        <v/>
      </c>
      <c r="W81">
        <f>HYPERLINK("https://klasma.github.io/Logging_0483/klagomålsmail/A 35152-2025 FSC-klagomål mail.docx", "A 35152-2025")</f>
        <v/>
      </c>
      <c r="X81">
        <f>HYPERLINK("https://klasma.github.io/Logging_0483/tillsyn/A 35152-2025 tillsynsbegäran.docx", "A 35152-2025")</f>
        <v/>
      </c>
      <c r="Y81">
        <f>HYPERLINK("https://klasma.github.io/Logging_0483/tillsynsmail/A 35152-2025 tillsynsbegäran mail.docx", "A 35152-2025")</f>
        <v/>
      </c>
    </row>
    <row r="82" ht="15" customHeight="1">
      <c r="A82" t="inlineStr">
        <is>
          <t>A 63945-2025</t>
        </is>
      </c>
      <c r="B82" s="1" t="n">
        <v>46010</v>
      </c>
      <c r="C82" s="1" t="n">
        <v>46194</v>
      </c>
      <c r="D82" t="inlineStr">
        <is>
          <t>SÖDERMANLANDS LÄN</t>
        </is>
      </c>
      <c r="E82" t="inlineStr">
        <is>
          <t>KATRINEHOLM</t>
        </is>
      </c>
      <c r="F82" t="inlineStr">
        <is>
          <t>Allmännings- och besparingsskogar</t>
        </is>
      </c>
      <c r="G82" t="n">
        <v>1.2</v>
      </c>
      <c r="H82" t="n">
        <v>1</v>
      </c>
      <c r="I82" t="n">
        <v>0</v>
      </c>
      <c r="J82" t="n">
        <v>0</v>
      </c>
      <c r="K82" t="n">
        <v>0</v>
      </c>
      <c r="L82" t="n">
        <v>0</v>
      </c>
      <c r="M82" t="n">
        <v>0</v>
      </c>
      <c r="N82" t="n">
        <v>0</v>
      </c>
      <c r="O82" t="n">
        <v>0</v>
      </c>
      <c r="P82" t="n">
        <v>0</v>
      </c>
      <c r="Q82" t="n">
        <v>1</v>
      </c>
      <c r="R82" s="2" t="inlineStr">
        <is>
          <t>Tjäder</t>
        </is>
      </c>
      <c r="S82">
        <f>HYPERLINK("https://klasma.github.io/Logging_0483/artfynd/A 63945-2025 artfynd.xlsx", "A 63945-2025")</f>
        <v/>
      </c>
      <c r="T82">
        <f>HYPERLINK("https://klasma.github.io/Logging_0483/kartor/A 63945-2025 karta.png", "A 63945-2025")</f>
        <v/>
      </c>
      <c r="V82">
        <f>HYPERLINK("https://klasma.github.io/Logging_0483/klagomål/A 63945-2025 FSC-klagomål.docx", "A 63945-2025")</f>
        <v/>
      </c>
      <c r="W82">
        <f>HYPERLINK("https://klasma.github.io/Logging_0483/klagomålsmail/A 63945-2025 FSC-klagomål mail.docx", "A 63945-2025")</f>
        <v/>
      </c>
      <c r="X82">
        <f>HYPERLINK("https://klasma.github.io/Logging_0483/tillsyn/A 63945-2025 tillsynsbegäran.docx", "A 63945-2025")</f>
        <v/>
      </c>
      <c r="Y82">
        <f>HYPERLINK("https://klasma.github.io/Logging_0483/tillsynsmail/A 63945-2025 tillsynsbegäran mail.docx", "A 63945-2025")</f>
        <v/>
      </c>
      <c r="Z82">
        <f>HYPERLINK("https://klasma.github.io/Logging_0483/fåglar/A 63945-2025 prioriterade fågelarter.docx", "A 63945-2025")</f>
        <v/>
      </c>
    </row>
    <row r="83" ht="15" customHeight="1">
      <c r="A83" t="inlineStr">
        <is>
          <t>A 62957-2025</t>
        </is>
      </c>
      <c r="B83" s="1" t="n">
        <v>46009</v>
      </c>
      <c r="C83" s="1" t="n">
        <v>46194</v>
      </c>
      <c r="D83" t="inlineStr">
        <is>
          <t>SÖDERMANLANDS LÄN</t>
        </is>
      </c>
      <c r="E83" t="inlineStr">
        <is>
          <t>KATRINEHOLM</t>
        </is>
      </c>
      <c r="F83" t="inlineStr">
        <is>
          <t>Allmännings- och besparingsskogar</t>
        </is>
      </c>
      <c r="G83" t="n">
        <v>1.7</v>
      </c>
      <c r="H83" t="n">
        <v>1</v>
      </c>
      <c r="I83" t="n">
        <v>0</v>
      </c>
      <c r="J83" t="n">
        <v>0</v>
      </c>
      <c r="K83" t="n">
        <v>0</v>
      </c>
      <c r="L83" t="n">
        <v>0</v>
      </c>
      <c r="M83" t="n">
        <v>0</v>
      </c>
      <c r="N83" t="n">
        <v>0</v>
      </c>
      <c r="O83" t="n">
        <v>0</v>
      </c>
      <c r="P83" t="n">
        <v>0</v>
      </c>
      <c r="Q83" t="n">
        <v>1</v>
      </c>
      <c r="R83" s="2" t="inlineStr">
        <is>
          <t>Utter</t>
        </is>
      </c>
      <c r="S83">
        <f>HYPERLINK("https://klasma.github.io/Logging_0483/artfynd/A 62957-2025 artfynd.xlsx", "A 62957-2025")</f>
        <v/>
      </c>
      <c r="T83">
        <f>HYPERLINK("https://klasma.github.io/Logging_0483/kartor/A 62957-2025 karta.png", "A 62957-2025")</f>
        <v/>
      </c>
      <c r="V83">
        <f>HYPERLINK("https://klasma.github.io/Logging_0483/klagomål/A 62957-2025 FSC-klagomål.docx", "A 62957-2025")</f>
        <v/>
      </c>
      <c r="W83">
        <f>HYPERLINK("https://klasma.github.io/Logging_0483/klagomålsmail/A 62957-2025 FSC-klagomål mail.docx", "A 62957-2025")</f>
        <v/>
      </c>
      <c r="X83">
        <f>HYPERLINK("https://klasma.github.io/Logging_0483/tillsyn/A 62957-2025 tillsynsbegäran.docx", "A 62957-2025")</f>
        <v/>
      </c>
      <c r="Y83">
        <f>HYPERLINK("https://klasma.github.io/Logging_0483/tillsynsmail/A 62957-2025 tillsynsbegäran mail.docx", "A 62957-2025")</f>
        <v/>
      </c>
    </row>
    <row r="84" ht="15" customHeight="1">
      <c r="A84" t="inlineStr">
        <is>
          <t>A 52658-2023</t>
        </is>
      </c>
      <c r="B84" s="1" t="n">
        <v>45225</v>
      </c>
      <c r="C84" s="1" t="n">
        <v>46194</v>
      </c>
      <c r="D84" t="inlineStr">
        <is>
          <t>SÖDERMANLANDS LÄN</t>
        </is>
      </c>
      <c r="E84" t="inlineStr">
        <is>
          <t>KATRINEHOLM</t>
        </is>
      </c>
      <c r="G84" t="n">
        <v>1.2</v>
      </c>
      <c r="H84" t="n">
        <v>1</v>
      </c>
      <c r="I84" t="n">
        <v>0</v>
      </c>
      <c r="J84" t="n">
        <v>0</v>
      </c>
      <c r="K84" t="n">
        <v>0</v>
      </c>
      <c r="L84" t="n">
        <v>0</v>
      </c>
      <c r="M84" t="n">
        <v>0</v>
      </c>
      <c r="N84" t="n">
        <v>0</v>
      </c>
      <c r="O84" t="n">
        <v>0</v>
      </c>
      <c r="P84" t="n">
        <v>0</v>
      </c>
      <c r="Q84" t="n">
        <v>1</v>
      </c>
      <c r="R84" s="2" t="inlineStr">
        <is>
          <t>Kungsfågel</t>
        </is>
      </c>
      <c r="S84">
        <f>HYPERLINK("https://klasma.github.io/Logging_0483/artfynd/A 52658-2023 artfynd.xlsx", "A 52658-2023")</f>
        <v/>
      </c>
      <c r="T84">
        <f>HYPERLINK("https://klasma.github.io/Logging_0483/kartor/A 52658-2023 karta.png", "A 52658-2023")</f>
        <v/>
      </c>
      <c r="V84">
        <f>HYPERLINK("https://klasma.github.io/Logging_0483/klagomål/A 52658-2023 FSC-klagomål.docx", "A 52658-2023")</f>
        <v/>
      </c>
      <c r="W84">
        <f>HYPERLINK("https://klasma.github.io/Logging_0483/klagomålsmail/A 52658-2023 FSC-klagomål mail.docx", "A 52658-2023")</f>
        <v/>
      </c>
      <c r="X84">
        <f>HYPERLINK("https://klasma.github.io/Logging_0483/tillsyn/A 52658-2023 tillsynsbegäran.docx", "A 52658-2023")</f>
        <v/>
      </c>
      <c r="Y84">
        <f>HYPERLINK("https://klasma.github.io/Logging_0483/tillsynsmail/A 52658-2023 tillsynsbegäran mail.docx", "A 52658-2023")</f>
        <v/>
      </c>
      <c r="Z84">
        <f>HYPERLINK("https://klasma.github.io/Logging_0483/fåglar/A 52658-2023 prioriterade fågelarter.docx", "A 52658-2023")</f>
        <v/>
      </c>
    </row>
    <row r="85" ht="15" customHeight="1">
      <c r="A85" t="inlineStr">
        <is>
          <t>A 53990-2023</t>
        </is>
      </c>
      <c r="B85" s="1" t="n">
        <v>45231</v>
      </c>
      <c r="C85" s="1" t="n">
        <v>46194</v>
      </c>
      <c r="D85" t="inlineStr">
        <is>
          <t>SÖDERMANLANDS LÄN</t>
        </is>
      </c>
      <c r="E85" t="inlineStr">
        <is>
          <t>KATRINEHOLM</t>
        </is>
      </c>
      <c r="G85" t="n">
        <v>6.1</v>
      </c>
      <c r="H85" t="n">
        <v>0</v>
      </c>
      <c r="I85" t="n">
        <v>0</v>
      </c>
      <c r="J85" t="n">
        <v>1</v>
      </c>
      <c r="K85" t="n">
        <v>0</v>
      </c>
      <c r="L85" t="n">
        <v>0</v>
      </c>
      <c r="M85" t="n">
        <v>0</v>
      </c>
      <c r="N85" t="n">
        <v>0</v>
      </c>
      <c r="O85" t="n">
        <v>1</v>
      </c>
      <c r="P85" t="n">
        <v>0</v>
      </c>
      <c r="Q85" t="n">
        <v>1</v>
      </c>
      <c r="R85" s="2" t="inlineStr">
        <is>
          <t>Motaggsvamp</t>
        </is>
      </c>
      <c r="S85">
        <f>HYPERLINK("https://klasma.github.io/Logging_0483/artfynd/A 53990-2023 artfynd.xlsx", "A 53990-2023")</f>
        <v/>
      </c>
      <c r="T85">
        <f>HYPERLINK("https://klasma.github.io/Logging_0483/kartor/A 53990-2023 karta.png", "A 53990-2023")</f>
        <v/>
      </c>
      <c r="V85">
        <f>HYPERLINK("https://klasma.github.io/Logging_0483/klagomål/A 53990-2023 FSC-klagomål.docx", "A 53990-2023")</f>
        <v/>
      </c>
      <c r="W85">
        <f>HYPERLINK("https://klasma.github.io/Logging_0483/klagomålsmail/A 53990-2023 FSC-klagomål mail.docx", "A 53990-2023")</f>
        <v/>
      </c>
      <c r="X85">
        <f>HYPERLINK("https://klasma.github.io/Logging_0483/tillsyn/A 53990-2023 tillsynsbegäran.docx", "A 53990-2023")</f>
        <v/>
      </c>
      <c r="Y85">
        <f>HYPERLINK("https://klasma.github.io/Logging_0483/tillsynsmail/A 53990-2023 tillsynsbegäran mail.docx", "A 53990-2023")</f>
        <v/>
      </c>
    </row>
    <row r="86" ht="15" customHeight="1">
      <c r="A86" t="inlineStr">
        <is>
          <t>A 13848-2026</t>
        </is>
      </c>
      <c r="B86" s="1" t="n">
        <v>46098</v>
      </c>
      <c r="C86" s="1" t="n">
        <v>46194</v>
      </c>
      <c r="D86" t="inlineStr">
        <is>
          <t>SÖDERMANLANDS LÄN</t>
        </is>
      </c>
      <c r="E86" t="inlineStr">
        <is>
          <t>KATRINEHOLM</t>
        </is>
      </c>
      <c r="G86" t="n">
        <v>3.1</v>
      </c>
      <c r="H86" t="n">
        <v>1</v>
      </c>
      <c r="I86" t="n">
        <v>0</v>
      </c>
      <c r="J86" t="n">
        <v>0</v>
      </c>
      <c r="K86" t="n">
        <v>0</v>
      </c>
      <c r="L86" t="n">
        <v>0</v>
      </c>
      <c r="M86" t="n">
        <v>0</v>
      </c>
      <c r="N86" t="n">
        <v>0</v>
      </c>
      <c r="O86" t="n">
        <v>0</v>
      </c>
      <c r="P86" t="n">
        <v>0</v>
      </c>
      <c r="Q86" t="n">
        <v>1</v>
      </c>
      <c r="R86" s="2" t="inlineStr">
        <is>
          <t>Gröngöling</t>
        </is>
      </c>
      <c r="S86">
        <f>HYPERLINK("https://klasma.github.io/Logging_0483/artfynd/A 13848-2026 artfynd.xlsx", "A 13848-2026")</f>
        <v/>
      </c>
      <c r="T86">
        <f>HYPERLINK("https://klasma.github.io/Logging_0483/kartor/A 13848-2026 karta.png", "A 13848-2026")</f>
        <v/>
      </c>
      <c r="V86">
        <f>HYPERLINK("https://klasma.github.io/Logging_0483/klagomål/A 13848-2026 FSC-klagomål.docx", "A 13848-2026")</f>
        <v/>
      </c>
      <c r="W86">
        <f>HYPERLINK("https://klasma.github.io/Logging_0483/klagomålsmail/A 13848-2026 FSC-klagomål mail.docx", "A 13848-2026")</f>
        <v/>
      </c>
      <c r="X86">
        <f>HYPERLINK("https://klasma.github.io/Logging_0483/tillsyn/A 13848-2026 tillsynsbegäran.docx", "A 13848-2026")</f>
        <v/>
      </c>
      <c r="Y86">
        <f>HYPERLINK("https://klasma.github.io/Logging_0483/tillsynsmail/A 13848-2026 tillsynsbegäran mail.docx", "A 13848-2026")</f>
        <v/>
      </c>
      <c r="Z86">
        <f>HYPERLINK("https://klasma.github.io/Logging_0483/fåglar/A 13848-2026 prioriterade fågelarter.docx", "A 13848-2026")</f>
        <v/>
      </c>
    </row>
    <row r="87" ht="15" customHeight="1">
      <c r="A87" t="inlineStr">
        <is>
          <t>A 23077-2026</t>
        </is>
      </c>
      <c r="B87" s="1" t="n">
        <v>46161</v>
      </c>
      <c r="C87" s="1" t="n">
        <v>46194</v>
      </c>
      <c r="D87" t="inlineStr">
        <is>
          <t>SÖDERMANLANDS LÄN</t>
        </is>
      </c>
      <c r="E87" t="inlineStr">
        <is>
          <t>KATRINEHOLM</t>
        </is>
      </c>
      <c r="F87" t="inlineStr">
        <is>
          <t>Kommuner</t>
        </is>
      </c>
      <c r="G87" t="n">
        <v>1.3</v>
      </c>
      <c r="H87" t="n">
        <v>0</v>
      </c>
      <c r="I87" t="n">
        <v>0</v>
      </c>
      <c r="J87" t="n">
        <v>1</v>
      </c>
      <c r="K87" t="n">
        <v>0</v>
      </c>
      <c r="L87" t="n">
        <v>0</v>
      </c>
      <c r="M87" t="n">
        <v>0</v>
      </c>
      <c r="N87" t="n">
        <v>0</v>
      </c>
      <c r="O87" t="n">
        <v>1</v>
      </c>
      <c r="P87" t="n">
        <v>0</v>
      </c>
      <c r="Q87" t="n">
        <v>1</v>
      </c>
      <c r="R87" s="2" t="inlineStr">
        <is>
          <t>Svart skogssnigel</t>
        </is>
      </c>
      <c r="S87">
        <f>HYPERLINK("https://klasma.github.io/Logging_0483/artfynd/A 23077-2026 artfynd.xlsx", "A 23077-2026")</f>
        <v/>
      </c>
      <c r="T87">
        <f>HYPERLINK("https://klasma.github.io/Logging_0483/kartor/A 23077-2026 karta.png", "A 23077-2026")</f>
        <v/>
      </c>
      <c r="V87">
        <f>HYPERLINK("https://klasma.github.io/Logging_0483/klagomål/A 23077-2026 FSC-klagomål.docx", "A 23077-2026")</f>
        <v/>
      </c>
      <c r="W87">
        <f>HYPERLINK("https://klasma.github.io/Logging_0483/klagomålsmail/A 23077-2026 FSC-klagomål mail.docx", "A 23077-2026")</f>
        <v/>
      </c>
      <c r="X87">
        <f>HYPERLINK("https://klasma.github.io/Logging_0483/tillsyn/A 23077-2026 tillsynsbegäran.docx", "A 23077-2026")</f>
        <v/>
      </c>
      <c r="Y87">
        <f>HYPERLINK("https://klasma.github.io/Logging_0483/tillsynsmail/A 23077-2026 tillsynsbegäran mail.docx", "A 23077-2026")</f>
        <v/>
      </c>
    </row>
    <row r="88" ht="15" customHeight="1">
      <c r="A88" t="inlineStr">
        <is>
          <t>A 36856-2021</t>
        </is>
      </c>
      <c r="B88" s="1" t="n">
        <v>44393</v>
      </c>
      <c r="C88" s="1" t="n">
        <v>46194</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46194</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46194</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46194</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46194</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46194</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46194</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46194</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46194</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46194</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46194</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46194</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46194</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46194</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46194</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46194</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6145-2022</t>
        </is>
      </c>
      <c r="B104" s="1" t="n">
        <v>44599</v>
      </c>
      <c r="C104" s="1" t="n">
        <v>46194</v>
      </c>
      <c r="D104" t="inlineStr">
        <is>
          <t>SÖDERMANLANDS LÄN</t>
        </is>
      </c>
      <c r="E104" t="inlineStr">
        <is>
          <t>KATRINEHOLM</t>
        </is>
      </c>
      <c r="G104" t="n">
        <v>2.3</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46194</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46194</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46194</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46194</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46194</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46194</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46194</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46194</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46194</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46194</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46194</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46194</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46194</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46194</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53349-2021</t>
        </is>
      </c>
      <c r="B119" s="1" t="n">
        <v>44468</v>
      </c>
      <c r="C119" s="1" t="n">
        <v>46194</v>
      </c>
      <c r="D119" t="inlineStr">
        <is>
          <t>SÖDERMANLANDS LÄN</t>
        </is>
      </c>
      <c r="E119" t="inlineStr">
        <is>
          <t>KATRINEHOLM</t>
        </is>
      </c>
      <c r="G119" t="n">
        <v>4</v>
      </c>
      <c r="H119" t="n">
        <v>0</v>
      </c>
      <c r="I119" t="n">
        <v>0</v>
      </c>
      <c r="J119" t="n">
        <v>0</v>
      </c>
      <c r="K119" t="n">
        <v>0</v>
      </c>
      <c r="L119" t="n">
        <v>0</v>
      </c>
      <c r="M119" t="n">
        <v>0</v>
      </c>
      <c r="N119" t="n">
        <v>0</v>
      </c>
      <c r="O119" t="n">
        <v>0</v>
      </c>
      <c r="P119" t="n">
        <v>0</v>
      </c>
      <c r="Q119" t="n">
        <v>0</v>
      </c>
      <c r="R119" s="2" t="inlineStr"/>
    </row>
    <row r="120" ht="15" customHeight="1">
      <c r="A120" t="inlineStr">
        <is>
          <t>A 65589-2021</t>
        </is>
      </c>
      <c r="B120" s="1" t="n">
        <v>44515</v>
      </c>
      <c r="C120" s="1" t="n">
        <v>46194</v>
      </c>
      <c r="D120" t="inlineStr">
        <is>
          <t>SÖDERMANLANDS LÄN</t>
        </is>
      </c>
      <c r="E120" t="inlineStr">
        <is>
          <t>KATRINEHOLM</t>
        </is>
      </c>
      <c r="G120" t="n">
        <v>2.6</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46194</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46194</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46194</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46194</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46194</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46194</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46194</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32632-2022</t>
        </is>
      </c>
      <c r="B128" s="1" t="n">
        <v>44783</v>
      </c>
      <c r="C128" s="1" t="n">
        <v>46194</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32639-2022</t>
        </is>
      </c>
      <c r="B129" s="1" t="n">
        <v>44783</v>
      </c>
      <c r="C129" s="1" t="n">
        <v>46194</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46194</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46194</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46194</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46194</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46194</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46194</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46194</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46194</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46194</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46194</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46194</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55349-2021</t>
        </is>
      </c>
      <c r="B141" s="1" t="n">
        <v>44475</v>
      </c>
      <c r="C141" s="1" t="n">
        <v>46194</v>
      </c>
      <c r="D141" t="inlineStr">
        <is>
          <t>SÖDERMANLANDS LÄN</t>
        </is>
      </c>
      <c r="E141" t="inlineStr">
        <is>
          <t>KATRINEHOLM</t>
        </is>
      </c>
      <c r="G141" t="n">
        <v>2.8</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46194</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46194</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46194</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46194</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46194</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46194</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46194</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46194</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46194</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46194</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46194</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46194</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46194</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46194</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46194</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46194</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46194</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46194</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46194</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46194</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46194</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46194</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46194</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46194</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46194</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46194</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46194</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46194</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46194</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46194</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46194</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v>
      </c>
      <c r="C173" s="1" t="n">
        <v>46194</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46194</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28992-2024</t>
        </is>
      </c>
      <c r="B175" s="1" t="n">
        <v>45481</v>
      </c>
      <c r="C175" s="1" t="n">
        <v>46194</v>
      </c>
      <c r="D175" t="inlineStr">
        <is>
          <t>SÖDERMANLANDS LÄN</t>
        </is>
      </c>
      <c r="E175" t="inlineStr">
        <is>
          <t>KATRINEHOLM</t>
        </is>
      </c>
      <c r="G175" t="n">
        <v>2.3</v>
      </c>
      <c r="H175" t="n">
        <v>0</v>
      </c>
      <c r="I175" t="n">
        <v>0</v>
      </c>
      <c r="J175" t="n">
        <v>0</v>
      </c>
      <c r="K175" t="n">
        <v>0</v>
      </c>
      <c r="L175" t="n">
        <v>0</v>
      </c>
      <c r="M175" t="n">
        <v>0</v>
      </c>
      <c r="N175" t="n">
        <v>0</v>
      </c>
      <c r="O175" t="n">
        <v>0</v>
      </c>
      <c r="P175" t="n">
        <v>0</v>
      </c>
      <c r="Q175" t="n">
        <v>0</v>
      </c>
      <c r="R175" s="2" t="inlineStr"/>
    </row>
    <row r="176" ht="15" customHeight="1">
      <c r="A176" t="inlineStr">
        <is>
          <t>A 2093-2025</t>
        </is>
      </c>
      <c r="B176" s="1" t="n">
        <v>45672</v>
      </c>
      <c r="C176" s="1" t="n">
        <v>46194</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12658-2022</t>
        </is>
      </c>
      <c r="B177" s="1" t="n">
        <v>44641</v>
      </c>
      <c r="C177" s="1" t="n">
        <v>46194</v>
      </c>
      <c r="D177" t="inlineStr">
        <is>
          <t>SÖDERMANLANDS LÄN</t>
        </is>
      </c>
      <c r="E177" t="inlineStr">
        <is>
          <t>KATRINEHOLM</t>
        </is>
      </c>
      <c r="G177" t="n">
        <v>1.4</v>
      </c>
      <c r="H177" t="n">
        <v>0</v>
      </c>
      <c r="I177" t="n">
        <v>0</v>
      </c>
      <c r="J177" t="n">
        <v>0</v>
      </c>
      <c r="K177" t="n">
        <v>0</v>
      </c>
      <c r="L177" t="n">
        <v>0</v>
      </c>
      <c r="M177" t="n">
        <v>0</v>
      </c>
      <c r="N177" t="n">
        <v>0</v>
      </c>
      <c r="O177" t="n">
        <v>0</v>
      </c>
      <c r="P177" t="n">
        <v>0</v>
      </c>
      <c r="Q177" t="n">
        <v>0</v>
      </c>
      <c r="R177" s="2" t="inlineStr"/>
    </row>
    <row r="178" ht="15" customHeight="1">
      <c r="A178" t="inlineStr">
        <is>
          <t>A 46412-2022</t>
        </is>
      </c>
      <c r="B178" s="1" t="n">
        <v>44848</v>
      </c>
      <c r="C178" s="1" t="n">
        <v>46194</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6628-2022</t>
        </is>
      </c>
      <c r="B179" s="1" t="n">
        <v>44601</v>
      </c>
      <c r="C179" s="1" t="n">
        <v>46194</v>
      </c>
      <c r="D179" t="inlineStr">
        <is>
          <t>SÖDERMANLANDS LÄN</t>
        </is>
      </c>
      <c r="E179" t="inlineStr">
        <is>
          <t>KATRINEHOLM</t>
        </is>
      </c>
      <c r="G179" t="n">
        <v>0.6</v>
      </c>
      <c r="H179" t="n">
        <v>0</v>
      </c>
      <c r="I179" t="n">
        <v>0</v>
      </c>
      <c r="J179" t="n">
        <v>0</v>
      </c>
      <c r="K179" t="n">
        <v>0</v>
      </c>
      <c r="L179" t="n">
        <v>0</v>
      </c>
      <c r="M179" t="n">
        <v>0</v>
      </c>
      <c r="N179" t="n">
        <v>0</v>
      </c>
      <c r="O179" t="n">
        <v>0</v>
      </c>
      <c r="P179" t="n">
        <v>0</v>
      </c>
      <c r="Q179" t="n">
        <v>0</v>
      </c>
      <c r="R179" s="2" t="inlineStr"/>
    </row>
    <row r="180" ht="15" customHeight="1">
      <c r="A180" t="inlineStr">
        <is>
          <t>A 72984-2021</t>
        </is>
      </c>
      <c r="B180" s="1" t="n">
        <v>44549</v>
      </c>
      <c r="C180" s="1" t="n">
        <v>46194</v>
      </c>
      <c r="D180" t="inlineStr">
        <is>
          <t>SÖDERMANLANDS LÄN</t>
        </is>
      </c>
      <c r="E180" t="inlineStr">
        <is>
          <t>KATRINEHOLM</t>
        </is>
      </c>
      <c r="G180" t="n">
        <v>4.9</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46194</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25363-2023</t>
        </is>
      </c>
      <c r="B182" s="1" t="n">
        <v>45088</v>
      </c>
      <c r="C182" s="1" t="n">
        <v>46194</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6722-2022</t>
        </is>
      </c>
      <c r="B183" s="1" t="n">
        <v>44602</v>
      </c>
      <c r="C183" s="1" t="n">
        <v>46194</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6763-2022</t>
        </is>
      </c>
      <c r="B184" s="1" t="n">
        <v>44602</v>
      </c>
      <c r="C184" s="1" t="n">
        <v>46194</v>
      </c>
      <c r="D184" t="inlineStr">
        <is>
          <t>SÖDERMANLANDS LÄN</t>
        </is>
      </c>
      <c r="E184" t="inlineStr">
        <is>
          <t>KATRINEHOLM</t>
        </is>
      </c>
      <c r="G184" t="n">
        <v>6.7</v>
      </c>
      <c r="H184" t="n">
        <v>0</v>
      </c>
      <c r="I184" t="n">
        <v>0</v>
      </c>
      <c r="J184" t="n">
        <v>0</v>
      </c>
      <c r="K184" t="n">
        <v>0</v>
      </c>
      <c r="L184" t="n">
        <v>0</v>
      </c>
      <c r="M184" t="n">
        <v>0</v>
      </c>
      <c r="N184" t="n">
        <v>0</v>
      </c>
      <c r="O184" t="n">
        <v>0</v>
      </c>
      <c r="P184" t="n">
        <v>0</v>
      </c>
      <c r="Q184" t="n">
        <v>0</v>
      </c>
      <c r="R184" s="2" t="inlineStr"/>
    </row>
    <row r="185" ht="15" customHeight="1">
      <c r="A185" t="inlineStr">
        <is>
          <t>A 5790-2022</t>
        </is>
      </c>
      <c r="B185" s="1" t="n">
        <v>44596</v>
      </c>
      <c r="C185" s="1" t="n">
        <v>46194</v>
      </c>
      <c r="D185" t="inlineStr">
        <is>
          <t>SÖDERMANLANDS LÄN</t>
        </is>
      </c>
      <c r="E185" t="inlineStr">
        <is>
          <t>KATRINEHOLM</t>
        </is>
      </c>
      <c r="G185" t="n">
        <v>0.6</v>
      </c>
      <c r="H185" t="n">
        <v>0</v>
      </c>
      <c r="I185" t="n">
        <v>0</v>
      </c>
      <c r="J185" t="n">
        <v>0</v>
      </c>
      <c r="K185" t="n">
        <v>0</v>
      </c>
      <c r="L185" t="n">
        <v>0</v>
      </c>
      <c r="M185" t="n">
        <v>0</v>
      </c>
      <c r="N185" t="n">
        <v>0</v>
      </c>
      <c r="O185" t="n">
        <v>0</v>
      </c>
      <c r="P185" t="n">
        <v>0</v>
      </c>
      <c r="Q185" t="n">
        <v>0</v>
      </c>
      <c r="R185" s="2" t="inlineStr"/>
    </row>
    <row r="186" ht="15" customHeight="1">
      <c r="A186" t="inlineStr">
        <is>
          <t>A 14313-2024</t>
        </is>
      </c>
      <c r="B186" s="1" t="n">
        <v>45393</v>
      </c>
      <c r="C186" s="1" t="n">
        <v>46194</v>
      </c>
      <c r="D186" t="inlineStr">
        <is>
          <t>SÖDERMANLANDS LÄN</t>
        </is>
      </c>
      <c r="E186" t="inlineStr">
        <is>
          <t>KATRINEHOLM</t>
        </is>
      </c>
      <c r="G186" t="n">
        <v>3.1</v>
      </c>
      <c r="H186" t="n">
        <v>0</v>
      </c>
      <c r="I186" t="n">
        <v>0</v>
      </c>
      <c r="J186" t="n">
        <v>0</v>
      </c>
      <c r="K186" t="n">
        <v>0</v>
      </c>
      <c r="L186" t="n">
        <v>0</v>
      </c>
      <c r="M186" t="n">
        <v>0</v>
      </c>
      <c r="N186" t="n">
        <v>0</v>
      </c>
      <c r="O186" t="n">
        <v>0</v>
      </c>
      <c r="P186" t="n">
        <v>0</v>
      </c>
      <c r="Q186" t="n">
        <v>0</v>
      </c>
      <c r="R186" s="2" t="inlineStr"/>
    </row>
    <row r="187" ht="15" customHeight="1">
      <c r="A187" t="inlineStr">
        <is>
          <t>A 2325-2023</t>
        </is>
      </c>
      <c r="B187" s="1" t="n">
        <v>44942</v>
      </c>
      <c r="C187" s="1" t="n">
        <v>46194</v>
      </c>
      <c r="D187" t="inlineStr">
        <is>
          <t>SÖDERMANLANDS LÄN</t>
        </is>
      </c>
      <c r="E187" t="inlineStr">
        <is>
          <t>KATRINEHOLM</t>
        </is>
      </c>
      <c r="G187" t="n">
        <v>5.6</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46194</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29397-2024</t>
        </is>
      </c>
      <c r="B189" s="1" t="n">
        <v>45483</v>
      </c>
      <c r="C189" s="1" t="n">
        <v>46194</v>
      </c>
      <c r="D189" t="inlineStr">
        <is>
          <t>SÖDERMANLANDS LÄN</t>
        </is>
      </c>
      <c r="E189" t="inlineStr">
        <is>
          <t>KATRINEHOLM</t>
        </is>
      </c>
      <c r="G189" t="n">
        <v>3.4</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v>
      </c>
      <c r="C190" s="1" t="n">
        <v>46194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46194</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66801-2021</t>
        </is>
      </c>
      <c r="B192" s="1" t="n">
        <v>44522</v>
      </c>
      <c r="C192" s="1" t="n">
        <v>46194</v>
      </c>
      <c r="D192" t="inlineStr">
        <is>
          <t>SÖDERMANLANDS LÄN</t>
        </is>
      </c>
      <c r="E192" t="inlineStr">
        <is>
          <t>KATRINEHOLM</t>
        </is>
      </c>
      <c r="F192" t="inlineStr">
        <is>
          <t>Holmen skog AB</t>
        </is>
      </c>
      <c r="G192" t="n">
        <v>0.2</v>
      </c>
      <c r="H192" t="n">
        <v>0</v>
      </c>
      <c r="I192" t="n">
        <v>0</v>
      </c>
      <c r="J192" t="n">
        <v>0</v>
      </c>
      <c r="K192" t="n">
        <v>0</v>
      </c>
      <c r="L192" t="n">
        <v>0</v>
      </c>
      <c r="M192" t="n">
        <v>0</v>
      </c>
      <c r="N192" t="n">
        <v>0</v>
      </c>
      <c r="O192" t="n">
        <v>0</v>
      </c>
      <c r="P192" t="n">
        <v>0</v>
      </c>
      <c r="Q192" t="n">
        <v>0</v>
      </c>
      <c r="R192" s="2" t="inlineStr"/>
    </row>
    <row r="193" ht="15" customHeight="1">
      <c r="A193" t="inlineStr">
        <is>
          <t>A 46011-2021</t>
        </is>
      </c>
      <c r="B193" s="1" t="n">
        <v>44441</v>
      </c>
      <c r="C193" s="1" t="n">
        <v>46194</v>
      </c>
      <c r="D193" t="inlineStr">
        <is>
          <t>SÖDERMANLANDS LÄN</t>
        </is>
      </c>
      <c r="E193" t="inlineStr">
        <is>
          <t>KATRINEHOLM</t>
        </is>
      </c>
      <c r="G193" t="n">
        <v>4.7</v>
      </c>
      <c r="H193" t="n">
        <v>0</v>
      </c>
      <c r="I193" t="n">
        <v>0</v>
      </c>
      <c r="J193" t="n">
        <v>0</v>
      </c>
      <c r="K193" t="n">
        <v>0</v>
      </c>
      <c r="L193" t="n">
        <v>0</v>
      </c>
      <c r="M193" t="n">
        <v>0</v>
      </c>
      <c r="N193" t="n">
        <v>0</v>
      </c>
      <c r="O193" t="n">
        <v>0</v>
      </c>
      <c r="P193" t="n">
        <v>0</v>
      </c>
      <c r="Q193" t="n">
        <v>0</v>
      </c>
      <c r="R193" s="2" t="inlineStr"/>
    </row>
    <row r="194" ht="15" customHeight="1">
      <c r="A194" t="inlineStr">
        <is>
          <t>A 45038-2022</t>
        </is>
      </c>
      <c r="B194" s="1" t="n">
        <v>44840</v>
      </c>
      <c r="C194" s="1" t="n">
        <v>46194</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62140-2022</t>
        </is>
      </c>
      <c r="B195" s="1" t="n">
        <v>44922</v>
      </c>
      <c r="C195" s="1" t="n">
        <v>46194</v>
      </c>
      <c r="D195" t="inlineStr">
        <is>
          <t>SÖDERMANLANDS LÄN</t>
        </is>
      </c>
      <c r="E195" t="inlineStr">
        <is>
          <t>KATRINEHOLM</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33278-2024</t>
        </is>
      </c>
      <c r="B196" s="1" t="n">
        <v>45518</v>
      </c>
      <c r="C196" s="1" t="n">
        <v>46194</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46194</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13171-2024</t>
        </is>
      </c>
      <c r="B198" s="1" t="n">
        <v>45386</v>
      </c>
      <c r="C198" s="1" t="n">
        <v>46194</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59384-2022</t>
        </is>
      </c>
      <c r="B199" s="1" t="n">
        <v>44905</v>
      </c>
      <c r="C199" s="1" t="n">
        <v>46194</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9714-2024</t>
        </is>
      </c>
      <c r="B200" s="1" t="n">
        <v>45362</v>
      </c>
      <c r="C200" s="1" t="n">
        <v>46194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13086-2023</t>
        </is>
      </c>
      <c r="B201" s="1" t="n">
        <v>45002</v>
      </c>
      <c r="C201" s="1" t="n">
        <v>46194</v>
      </c>
      <c r="D201" t="inlineStr">
        <is>
          <t>SÖDERMANLANDS LÄN</t>
        </is>
      </c>
      <c r="E201" t="inlineStr">
        <is>
          <t>KATRINEHOLM</t>
        </is>
      </c>
      <c r="G201" t="n">
        <v>2.2</v>
      </c>
      <c r="H201" t="n">
        <v>0</v>
      </c>
      <c r="I201" t="n">
        <v>0</v>
      </c>
      <c r="J201" t="n">
        <v>0</v>
      </c>
      <c r="K201" t="n">
        <v>0</v>
      </c>
      <c r="L201" t="n">
        <v>0</v>
      </c>
      <c r="M201" t="n">
        <v>0</v>
      </c>
      <c r="N201" t="n">
        <v>0</v>
      </c>
      <c r="O201" t="n">
        <v>0</v>
      </c>
      <c r="P201" t="n">
        <v>0</v>
      </c>
      <c r="Q201" t="n">
        <v>0</v>
      </c>
      <c r="R201" s="2" t="inlineStr"/>
    </row>
    <row r="202" ht="15" customHeight="1">
      <c r="A202" t="inlineStr">
        <is>
          <t>A 19670-2022</t>
        </is>
      </c>
      <c r="B202" s="1" t="n">
        <v>44694</v>
      </c>
      <c r="C202" s="1" t="n">
        <v>46194</v>
      </c>
      <c r="D202" t="inlineStr">
        <is>
          <t>SÖDERMANLANDS LÄN</t>
        </is>
      </c>
      <c r="E202" t="inlineStr">
        <is>
          <t>KATRINEHOLM</t>
        </is>
      </c>
      <c r="G202" t="n">
        <v>13.6</v>
      </c>
      <c r="H202" t="n">
        <v>0</v>
      </c>
      <c r="I202" t="n">
        <v>0</v>
      </c>
      <c r="J202" t="n">
        <v>0</v>
      </c>
      <c r="K202" t="n">
        <v>0</v>
      </c>
      <c r="L202" t="n">
        <v>0</v>
      </c>
      <c r="M202" t="n">
        <v>0</v>
      </c>
      <c r="N202" t="n">
        <v>0</v>
      </c>
      <c r="O202" t="n">
        <v>0</v>
      </c>
      <c r="P202" t="n">
        <v>0</v>
      </c>
      <c r="Q202" t="n">
        <v>0</v>
      </c>
      <c r="R202" s="2" t="inlineStr"/>
    </row>
    <row r="203" ht="15" customHeight="1">
      <c r="A203" t="inlineStr">
        <is>
          <t>A 24619-2024</t>
        </is>
      </c>
      <c r="B203" s="1" t="n">
        <v>45460</v>
      </c>
      <c r="C203" s="1" t="n">
        <v>46194</v>
      </c>
      <c r="D203" t="inlineStr">
        <is>
          <t>SÖDERMANLANDS LÄN</t>
        </is>
      </c>
      <c r="E203" t="inlineStr">
        <is>
          <t>KATRINEHOLM</t>
        </is>
      </c>
      <c r="G203" t="n">
        <v>4.7</v>
      </c>
      <c r="H203" t="n">
        <v>0</v>
      </c>
      <c r="I203" t="n">
        <v>0</v>
      </c>
      <c r="J203" t="n">
        <v>0</v>
      </c>
      <c r="K203" t="n">
        <v>0</v>
      </c>
      <c r="L203" t="n">
        <v>0</v>
      </c>
      <c r="M203" t="n">
        <v>0</v>
      </c>
      <c r="N203" t="n">
        <v>0</v>
      </c>
      <c r="O203" t="n">
        <v>0</v>
      </c>
      <c r="P203" t="n">
        <v>0</v>
      </c>
      <c r="Q203" t="n">
        <v>0</v>
      </c>
      <c r="R203" s="2" t="inlineStr"/>
    </row>
    <row r="204" ht="15" customHeight="1">
      <c r="A204" t="inlineStr">
        <is>
          <t>A 9699-2024</t>
        </is>
      </c>
      <c r="B204" s="1" t="n">
        <v>45362</v>
      </c>
      <c r="C204" s="1" t="n">
        <v>46194</v>
      </c>
      <c r="D204" t="inlineStr">
        <is>
          <t>SÖDERMANLANDS LÄN</t>
        </is>
      </c>
      <c r="E204" t="inlineStr">
        <is>
          <t>KATRINEHOLM</t>
        </is>
      </c>
      <c r="G204" t="n">
        <v>7.7</v>
      </c>
      <c r="H204" t="n">
        <v>0</v>
      </c>
      <c r="I204" t="n">
        <v>0</v>
      </c>
      <c r="J204" t="n">
        <v>0</v>
      </c>
      <c r="K204" t="n">
        <v>0</v>
      </c>
      <c r="L204" t="n">
        <v>0</v>
      </c>
      <c r="M204" t="n">
        <v>0</v>
      </c>
      <c r="N204" t="n">
        <v>0</v>
      </c>
      <c r="O204" t="n">
        <v>0</v>
      </c>
      <c r="P204" t="n">
        <v>0</v>
      </c>
      <c r="Q204" t="n">
        <v>0</v>
      </c>
      <c r="R204" s="2" t="inlineStr"/>
    </row>
    <row r="205" ht="15" customHeight="1">
      <c r="A205" t="inlineStr">
        <is>
          <t>A 19107-2022</t>
        </is>
      </c>
      <c r="B205" s="1" t="n">
        <v>44691</v>
      </c>
      <c r="C205" s="1" t="n">
        <v>46194</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38607-2021</t>
        </is>
      </c>
      <c r="B206" s="1" t="n">
        <v>44409</v>
      </c>
      <c r="C206" s="1" t="n">
        <v>46194</v>
      </c>
      <c r="D206" t="inlineStr">
        <is>
          <t>SÖDERMANLANDS LÄN</t>
        </is>
      </c>
      <c r="E206" t="inlineStr">
        <is>
          <t>KATRINEHOLM</t>
        </is>
      </c>
      <c r="G206" t="n">
        <v>2.9</v>
      </c>
      <c r="H206" t="n">
        <v>0</v>
      </c>
      <c r="I206" t="n">
        <v>0</v>
      </c>
      <c r="J206" t="n">
        <v>0</v>
      </c>
      <c r="K206" t="n">
        <v>0</v>
      </c>
      <c r="L206" t="n">
        <v>0</v>
      </c>
      <c r="M206" t="n">
        <v>0</v>
      </c>
      <c r="N206" t="n">
        <v>0</v>
      </c>
      <c r="O206" t="n">
        <v>0</v>
      </c>
      <c r="P206" t="n">
        <v>0</v>
      </c>
      <c r="Q206" t="n">
        <v>0</v>
      </c>
      <c r="R206" s="2" t="inlineStr"/>
    </row>
    <row r="207" ht="15" customHeight="1">
      <c r="A207" t="inlineStr">
        <is>
          <t>A 67351-2021</t>
        </is>
      </c>
      <c r="B207" s="1" t="n">
        <v>44523</v>
      </c>
      <c r="C207" s="1" t="n">
        <v>46194</v>
      </c>
      <c r="D207" t="inlineStr">
        <is>
          <t>SÖDERMANLANDS LÄN</t>
        </is>
      </c>
      <c r="E207" t="inlineStr">
        <is>
          <t>KATRINEHOLM</t>
        </is>
      </c>
      <c r="G207" t="n">
        <v>5.4</v>
      </c>
      <c r="H207" t="n">
        <v>0</v>
      </c>
      <c r="I207" t="n">
        <v>0</v>
      </c>
      <c r="J207" t="n">
        <v>0</v>
      </c>
      <c r="K207" t="n">
        <v>0</v>
      </c>
      <c r="L207" t="n">
        <v>0</v>
      </c>
      <c r="M207" t="n">
        <v>0</v>
      </c>
      <c r="N207" t="n">
        <v>0</v>
      </c>
      <c r="O207" t="n">
        <v>0</v>
      </c>
      <c r="P207" t="n">
        <v>0</v>
      </c>
      <c r="Q207" t="n">
        <v>0</v>
      </c>
      <c r="R207" s="2" t="inlineStr"/>
    </row>
    <row r="208" ht="15" customHeight="1">
      <c r="A208" t="inlineStr">
        <is>
          <t>A 6796-2022</t>
        </is>
      </c>
      <c r="B208" s="1" t="n">
        <v>44602</v>
      </c>
      <c r="C208" s="1" t="n">
        <v>46194</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59474-2021</t>
        </is>
      </c>
      <c r="B209" s="1" t="n">
        <v>44491</v>
      </c>
      <c r="C209" s="1" t="n">
        <v>46194</v>
      </c>
      <c r="D209" t="inlineStr">
        <is>
          <t>SÖDERMANLANDS LÄN</t>
        </is>
      </c>
      <c r="E209" t="inlineStr">
        <is>
          <t>KATRINEHOLM</t>
        </is>
      </c>
      <c r="G209" t="n">
        <v>2.7</v>
      </c>
      <c r="H209" t="n">
        <v>0</v>
      </c>
      <c r="I209" t="n">
        <v>0</v>
      </c>
      <c r="J209" t="n">
        <v>0</v>
      </c>
      <c r="K209" t="n">
        <v>0</v>
      </c>
      <c r="L209" t="n">
        <v>0</v>
      </c>
      <c r="M209" t="n">
        <v>0</v>
      </c>
      <c r="N209" t="n">
        <v>0</v>
      </c>
      <c r="O209" t="n">
        <v>0</v>
      </c>
      <c r="P209" t="n">
        <v>0</v>
      </c>
      <c r="Q209" t="n">
        <v>0</v>
      </c>
      <c r="R209" s="2" t="inlineStr"/>
    </row>
    <row r="210" ht="15" customHeight="1">
      <c r="A210" t="inlineStr">
        <is>
          <t>A 38606-2021</t>
        </is>
      </c>
      <c r="B210" s="1" t="n">
        <v>44409</v>
      </c>
      <c r="C210" s="1" t="n">
        <v>46194</v>
      </c>
      <c r="D210" t="inlineStr">
        <is>
          <t>SÖDERMANLANDS LÄN</t>
        </is>
      </c>
      <c r="E210" t="inlineStr">
        <is>
          <t>KATRINEHOLM</t>
        </is>
      </c>
      <c r="G210" t="n">
        <v>2.2</v>
      </c>
      <c r="H210" t="n">
        <v>0</v>
      </c>
      <c r="I210" t="n">
        <v>0</v>
      </c>
      <c r="J210" t="n">
        <v>0</v>
      </c>
      <c r="K210" t="n">
        <v>0</v>
      </c>
      <c r="L210" t="n">
        <v>0</v>
      </c>
      <c r="M210" t="n">
        <v>0</v>
      </c>
      <c r="N210" t="n">
        <v>0</v>
      </c>
      <c r="O210" t="n">
        <v>0</v>
      </c>
      <c r="P210" t="n">
        <v>0</v>
      </c>
      <c r="Q210" t="n">
        <v>0</v>
      </c>
      <c r="R210" s="2" t="inlineStr"/>
    </row>
    <row r="211" ht="15" customHeight="1">
      <c r="A211" t="inlineStr">
        <is>
          <t>A 14239-2024</t>
        </is>
      </c>
      <c r="B211" s="1" t="n">
        <v>45393</v>
      </c>
      <c r="C211" s="1" t="n">
        <v>46194</v>
      </c>
      <c r="D211" t="inlineStr">
        <is>
          <t>SÖDERMANLANDS LÄN</t>
        </is>
      </c>
      <c r="E211" t="inlineStr">
        <is>
          <t>KATRINEHOLM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14248-2024</t>
        </is>
      </c>
      <c r="B212" s="1" t="n">
        <v>45393</v>
      </c>
      <c r="C212" s="1" t="n">
        <v>46194</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11635-2023</t>
        </is>
      </c>
      <c r="B213" s="1" t="n">
        <v>44994</v>
      </c>
      <c r="C213" s="1" t="n">
        <v>46194</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13612-2023</t>
        </is>
      </c>
      <c r="B214" s="1" t="n">
        <v>45006</v>
      </c>
      <c r="C214" s="1" t="n">
        <v>46194</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24098-2022</t>
        </is>
      </c>
      <c r="B215" s="1" t="n">
        <v>44725</v>
      </c>
      <c r="C215" s="1" t="n">
        <v>46194</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10932-2023</t>
        </is>
      </c>
      <c r="B216" s="1" t="n">
        <v>44985</v>
      </c>
      <c r="C216" s="1" t="n">
        <v>46194</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6087-2022</t>
        </is>
      </c>
      <c r="B217" s="1" t="n">
        <v>44599</v>
      </c>
      <c r="C217" s="1" t="n">
        <v>46194</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8957-2024</t>
        </is>
      </c>
      <c r="B218" s="1" t="n">
        <v>45357</v>
      </c>
      <c r="C218" s="1" t="n">
        <v>46194</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65162-2021</t>
        </is>
      </c>
      <c r="B219" s="1" t="n">
        <v>44512</v>
      </c>
      <c r="C219" s="1" t="n">
        <v>46194</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30567-2022</t>
        </is>
      </c>
      <c r="B220" s="1" t="n">
        <v>44762</v>
      </c>
      <c r="C220" s="1" t="n">
        <v>46194</v>
      </c>
      <c r="D220" t="inlineStr">
        <is>
          <t>SÖDERMANLANDS LÄN</t>
        </is>
      </c>
      <c r="E220" t="inlineStr">
        <is>
          <t>KATRINEHOLM</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39068-2022</t>
        </is>
      </c>
      <c r="B221" s="1" t="n">
        <v>44816</v>
      </c>
      <c r="C221" s="1" t="n">
        <v>46194</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34040-2022</t>
        </is>
      </c>
      <c r="B222" s="1" t="n">
        <v>44790</v>
      </c>
      <c r="C222" s="1" t="n">
        <v>46194</v>
      </c>
      <c r="D222" t="inlineStr">
        <is>
          <t>SÖDERMANLANDS LÄN</t>
        </is>
      </c>
      <c r="E222" t="inlineStr">
        <is>
          <t>KATRINEHOLM</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8765-2023</t>
        </is>
      </c>
      <c r="B223" s="1" t="n">
        <v>44978</v>
      </c>
      <c r="C223" s="1" t="n">
        <v>46194</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71129-2021</t>
        </is>
      </c>
      <c r="B224" s="1" t="n">
        <v>44539</v>
      </c>
      <c r="C224" s="1" t="n">
        <v>46194</v>
      </c>
      <c r="D224" t="inlineStr">
        <is>
          <t>SÖDERMANLANDS LÄN</t>
        </is>
      </c>
      <c r="E224" t="inlineStr">
        <is>
          <t>KATRINEHOLM</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57154-2023</t>
        </is>
      </c>
      <c r="B225" s="1" t="n">
        <v>45245</v>
      </c>
      <c r="C225" s="1" t="n">
        <v>46194</v>
      </c>
      <c r="D225" t="inlineStr">
        <is>
          <t>SÖDERMANLANDS LÄN</t>
        </is>
      </c>
      <c r="E225" t="inlineStr">
        <is>
          <t>KATRINEHOLM</t>
        </is>
      </c>
      <c r="F225" t="inlineStr">
        <is>
          <t>Allmännings- och besparingsskogar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42896-2024</t>
        </is>
      </c>
      <c r="B226" s="1" t="n">
        <v>45566</v>
      </c>
      <c r="C226" s="1" t="n">
        <v>46194</v>
      </c>
      <c r="D226" t="inlineStr">
        <is>
          <t>SÖDERMANLANDS LÄN</t>
        </is>
      </c>
      <c r="E226" t="inlineStr">
        <is>
          <t>KATRINEHOLM</t>
        </is>
      </c>
      <c r="G226" t="n">
        <v>4.3</v>
      </c>
      <c r="H226" t="n">
        <v>0</v>
      </c>
      <c r="I226" t="n">
        <v>0</v>
      </c>
      <c r="J226" t="n">
        <v>0</v>
      </c>
      <c r="K226" t="n">
        <v>0</v>
      </c>
      <c r="L226" t="n">
        <v>0</v>
      </c>
      <c r="M226" t="n">
        <v>0</v>
      </c>
      <c r="N226" t="n">
        <v>0</v>
      </c>
      <c r="O226" t="n">
        <v>0</v>
      </c>
      <c r="P226" t="n">
        <v>0</v>
      </c>
      <c r="Q226" t="n">
        <v>0</v>
      </c>
      <c r="R226" s="2" t="inlineStr"/>
    </row>
    <row r="227" ht="15" customHeight="1">
      <c r="A227" t="inlineStr">
        <is>
          <t>A 45147-2021</t>
        </is>
      </c>
      <c r="B227" s="1" t="n">
        <v>44439</v>
      </c>
      <c r="C227" s="1" t="n">
        <v>46194</v>
      </c>
      <c r="D227" t="inlineStr">
        <is>
          <t>SÖDERMANLANDS LÄN</t>
        </is>
      </c>
      <c r="E227" t="inlineStr">
        <is>
          <t>KATRINEHOLM</t>
        </is>
      </c>
      <c r="G227" t="n">
        <v>3.2</v>
      </c>
      <c r="H227" t="n">
        <v>0</v>
      </c>
      <c r="I227" t="n">
        <v>0</v>
      </c>
      <c r="J227" t="n">
        <v>0</v>
      </c>
      <c r="K227" t="n">
        <v>0</v>
      </c>
      <c r="L227" t="n">
        <v>0</v>
      </c>
      <c r="M227" t="n">
        <v>0</v>
      </c>
      <c r="N227" t="n">
        <v>0</v>
      </c>
      <c r="O227" t="n">
        <v>0</v>
      </c>
      <c r="P227" t="n">
        <v>0</v>
      </c>
      <c r="Q227" t="n">
        <v>0</v>
      </c>
      <c r="R227" s="2" t="inlineStr"/>
    </row>
    <row r="228" ht="15" customHeight="1">
      <c r="A228" t="inlineStr">
        <is>
          <t>A 7747-2024</t>
        </is>
      </c>
      <c r="B228" s="1" t="n">
        <v>45348</v>
      </c>
      <c r="C228" s="1" t="n">
        <v>46194</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7753-2024</t>
        </is>
      </c>
      <c r="B229" s="1" t="n">
        <v>45348</v>
      </c>
      <c r="C229" s="1" t="n">
        <v>46194</v>
      </c>
      <c r="D229" t="inlineStr">
        <is>
          <t>SÖDERMANLANDS LÄN</t>
        </is>
      </c>
      <c r="E229" t="inlineStr">
        <is>
          <t>KATRINEHOLM</t>
        </is>
      </c>
      <c r="G229" t="n">
        <v>13.4</v>
      </c>
      <c r="H229" t="n">
        <v>0</v>
      </c>
      <c r="I229" t="n">
        <v>0</v>
      </c>
      <c r="J229" t="n">
        <v>0</v>
      </c>
      <c r="K229" t="n">
        <v>0</v>
      </c>
      <c r="L229" t="n">
        <v>0</v>
      </c>
      <c r="M229" t="n">
        <v>0</v>
      </c>
      <c r="N229" t="n">
        <v>0</v>
      </c>
      <c r="O229" t="n">
        <v>0</v>
      </c>
      <c r="P229" t="n">
        <v>0</v>
      </c>
      <c r="Q229" t="n">
        <v>0</v>
      </c>
      <c r="R229" s="2" t="inlineStr"/>
    </row>
    <row r="230" ht="15" customHeight="1">
      <c r="A230" t="inlineStr">
        <is>
          <t>A 21959-2022</t>
        </is>
      </c>
      <c r="B230" s="1" t="n">
        <v>44708</v>
      </c>
      <c r="C230" s="1" t="n">
        <v>46194</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51530-2023</t>
        </is>
      </c>
      <c r="B231" s="1" t="n">
        <v>45222</v>
      </c>
      <c r="C231" s="1" t="n">
        <v>46194</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5935-2023</t>
        </is>
      </c>
      <c r="B232" s="1" t="n">
        <v>44963</v>
      </c>
      <c r="C232" s="1" t="n">
        <v>46194</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40749-2022</t>
        </is>
      </c>
      <c r="B233" s="1" t="n">
        <v>44824</v>
      </c>
      <c r="C233" s="1" t="n">
        <v>46194</v>
      </c>
      <c r="D233" t="inlineStr">
        <is>
          <t>SÖDERMANLANDS LÄN</t>
        </is>
      </c>
      <c r="E233" t="inlineStr">
        <is>
          <t>KATRINEHOLM</t>
        </is>
      </c>
      <c r="G233" t="n">
        <v>0.2</v>
      </c>
      <c r="H233" t="n">
        <v>0</v>
      </c>
      <c r="I233" t="n">
        <v>0</v>
      </c>
      <c r="J233" t="n">
        <v>0</v>
      </c>
      <c r="K233" t="n">
        <v>0</v>
      </c>
      <c r="L233" t="n">
        <v>0</v>
      </c>
      <c r="M233" t="n">
        <v>0</v>
      </c>
      <c r="N233" t="n">
        <v>0</v>
      </c>
      <c r="O233" t="n">
        <v>0</v>
      </c>
      <c r="P233" t="n">
        <v>0</v>
      </c>
      <c r="Q233" t="n">
        <v>0</v>
      </c>
      <c r="R233" s="2" t="inlineStr"/>
    </row>
    <row r="234" ht="15" customHeight="1">
      <c r="A234" t="inlineStr">
        <is>
          <t>A 23916-2023</t>
        </is>
      </c>
      <c r="B234" s="1" t="n">
        <v>45075</v>
      </c>
      <c r="C234" s="1" t="n">
        <v>46194</v>
      </c>
      <c r="D234" t="inlineStr">
        <is>
          <t>SÖDERMANLANDS LÄN</t>
        </is>
      </c>
      <c r="E234" t="inlineStr">
        <is>
          <t>KATRINEHOLM</t>
        </is>
      </c>
      <c r="G234" t="n">
        <v>8</v>
      </c>
      <c r="H234" t="n">
        <v>0</v>
      </c>
      <c r="I234" t="n">
        <v>0</v>
      </c>
      <c r="J234" t="n">
        <v>0</v>
      </c>
      <c r="K234" t="n">
        <v>0</v>
      </c>
      <c r="L234" t="n">
        <v>0</v>
      </c>
      <c r="M234" t="n">
        <v>0</v>
      </c>
      <c r="N234" t="n">
        <v>0</v>
      </c>
      <c r="O234" t="n">
        <v>0</v>
      </c>
      <c r="P234" t="n">
        <v>0</v>
      </c>
      <c r="Q234" t="n">
        <v>0</v>
      </c>
      <c r="R234" s="2" t="inlineStr"/>
    </row>
    <row r="235" ht="15" customHeight="1">
      <c r="A235" t="inlineStr">
        <is>
          <t>A 38879-2024</t>
        </is>
      </c>
      <c r="B235" s="1" t="n">
        <v>45547</v>
      </c>
      <c r="C235" s="1" t="n">
        <v>46194</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10732-2022</t>
        </is>
      </c>
      <c r="B236" s="1" t="n">
        <v>44627</v>
      </c>
      <c r="C236" s="1" t="n">
        <v>46194</v>
      </c>
      <c r="D236" t="inlineStr">
        <is>
          <t>SÖDERMANLANDS LÄN</t>
        </is>
      </c>
      <c r="E236" t="inlineStr">
        <is>
          <t>KATRINEHOLM</t>
        </is>
      </c>
      <c r="G236" t="n">
        <v>2.4</v>
      </c>
      <c r="H236" t="n">
        <v>0</v>
      </c>
      <c r="I236" t="n">
        <v>0</v>
      </c>
      <c r="J236" t="n">
        <v>0</v>
      </c>
      <c r="K236" t="n">
        <v>0</v>
      </c>
      <c r="L236" t="n">
        <v>0</v>
      </c>
      <c r="M236" t="n">
        <v>0</v>
      </c>
      <c r="N236" t="n">
        <v>0</v>
      </c>
      <c r="O236" t="n">
        <v>0</v>
      </c>
      <c r="P236" t="n">
        <v>0</v>
      </c>
      <c r="Q236" t="n">
        <v>0</v>
      </c>
      <c r="R236" s="2" t="inlineStr"/>
    </row>
    <row r="237" ht="15" customHeight="1">
      <c r="A237" t="inlineStr">
        <is>
          <t>A 9437-2022</t>
        </is>
      </c>
      <c r="B237" s="1" t="n">
        <v>44616</v>
      </c>
      <c r="C237" s="1" t="n">
        <v>46194</v>
      </c>
      <c r="D237" t="inlineStr">
        <is>
          <t>SÖDERMANLANDS LÄN</t>
        </is>
      </c>
      <c r="E237" t="inlineStr">
        <is>
          <t>KATRINEHOLM</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25362-2023</t>
        </is>
      </c>
      <c r="B238" s="1" t="n">
        <v>45088</v>
      </c>
      <c r="C238" s="1" t="n">
        <v>46194</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46194</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3939-2022</t>
        </is>
      </c>
      <c r="B240" s="1" t="n">
        <v>44587</v>
      </c>
      <c r="C240" s="1" t="n">
        <v>46194</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56074-2022</t>
        </is>
      </c>
      <c r="B241" s="1" t="n">
        <v>44889</v>
      </c>
      <c r="C241" s="1" t="n">
        <v>46194</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c r="T241">
        <f>HYPERLINK("https://klasma.github.io/Logging_0483/kartor/A 56074-2022 karta.png", "A 56074-2022")</f>
        <v/>
      </c>
      <c r="V241">
        <f>HYPERLINK("https://klasma.github.io/Logging_0483/klagomål/A 56074-2022 FSC-klagomål.docx", "A 56074-2022")</f>
        <v/>
      </c>
      <c r="W241">
        <f>HYPERLINK("https://klasma.github.io/Logging_0483/klagomålsmail/A 56074-2022 FSC-klagomål mail.docx", "A 56074-2022")</f>
        <v/>
      </c>
      <c r="X241">
        <f>HYPERLINK("https://klasma.github.io/Logging_0483/tillsyn/A 56074-2022 tillsynsbegäran.docx", "A 56074-2022")</f>
        <v/>
      </c>
      <c r="Y241">
        <f>HYPERLINK("https://klasma.github.io/Logging_0483/tillsynsmail/A 56074-2022 tillsynsbegäran mail.docx", "A 56074-2022")</f>
        <v/>
      </c>
    </row>
    <row r="242" ht="15" customHeight="1">
      <c r="A242" t="inlineStr">
        <is>
          <t>A 4662-2023</t>
        </is>
      </c>
      <c r="B242" s="1" t="n">
        <v>44957</v>
      </c>
      <c r="C242" s="1" t="n">
        <v>46194</v>
      </c>
      <c r="D242" t="inlineStr">
        <is>
          <t>SÖDERMANLANDS LÄN</t>
        </is>
      </c>
      <c r="E242" t="inlineStr">
        <is>
          <t>KATRINEHOLM</t>
        </is>
      </c>
      <c r="F242" t="inlineStr">
        <is>
          <t>Holmen skog AB</t>
        </is>
      </c>
      <c r="G242" t="n">
        <v>0.4</v>
      </c>
      <c r="H242" t="n">
        <v>0</v>
      </c>
      <c r="I242" t="n">
        <v>0</v>
      </c>
      <c r="J242" t="n">
        <v>0</v>
      </c>
      <c r="K242" t="n">
        <v>0</v>
      </c>
      <c r="L242" t="n">
        <v>0</v>
      </c>
      <c r="M242" t="n">
        <v>0</v>
      </c>
      <c r="N242" t="n">
        <v>0</v>
      </c>
      <c r="O242" t="n">
        <v>0</v>
      </c>
      <c r="P242" t="n">
        <v>0</v>
      </c>
      <c r="Q242" t="n">
        <v>0</v>
      </c>
      <c r="R242" s="2" t="inlineStr"/>
    </row>
    <row r="243" ht="15" customHeight="1">
      <c r="A243" t="inlineStr">
        <is>
          <t>A 19685-2022</t>
        </is>
      </c>
      <c r="B243" s="1" t="n">
        <v>44694</v>
      </c>
      <c r="C243" s="1" t="n">
        <v>46194</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61915-2021</t>
        </is>
      </c>
      <c r="B244" s="1" t="n">
        <v>44502</v>
      </c>
      <c r="C244" s="1" t="n">
        <v>46194</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35188-2022</t>
        </is>
      </c>
      <c r="B245" s="1" t="n">
        <v>44797</v>
      </c>
      <c r="C245" s="1" t="n">
        <v>46194</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62419-2023</t>
        </is>
      </c>
      <c r="B246" s="1" t="n">
        <v>45268</v>
      </c>
      <c r="C246" s="1" t="n">
        <v>46194</v>
      </c>
      <c r="D246" t="inlineStr">
        <is>
          <t>SÖDERMANLANDS LÄN</t>
        </is>
      </c>
      <c r="E246" t="inlineStr">
        <is>
          <t>KATRINEHOLM</t>
        </is>
      </c>
      <c r="G246" t="n">
        <v>9</v>
      </c>
      <c r="H246" t="n">
        <v>0</v>
      </c>
      <c r="I246" t="n">
        <v>0</v>
      </c>
      <c r="J246" t="n">
        <v>0</v>
      </c>
      <c r="K246" t="n">
        <v>0</v>
      </c>
      <c r="L246" t="n">
        <v>0</v>
      </c>
      <c r="M246" t="n">
        <v>0</v>
      </c>
      <c r="N246" t="n">
        <v>0</v>
      </c>
      <c r="O246" t="n">
        <v>0</v>
      </c>
      <c r="P246" t="n">
        <v>0</v>
      </c>
      <c r="Q246" t="n">
        <v>0</v>
      </c>
      <c r="R246" s="2" t="inlineStr"/>
    </row>
    <row r="247" ht="15" customHeight="1">
      <c r="A247" t="inlineStr">
        <is>
          <t>A 39897-2023</t>
        </is>
      </c>
      <c r="B247" s="1" t="n">
        <v>45168</v>
      </c>
      <c r="C247" s="1" t="n">
        <v>46194</v>
      </c>
      <c r="D247" t="inlineStr">
        <is>
          <t>SÖDERMANLANDS LÄN</t>
        </is>
      </c>
      <c r="E247" t="inlineStr">
        <is>
          <t>KATRINEHOLM</t>
        </is>
      </c>
      <c r="G247" t="n">
        <v>15.6</v>
      </c>
      <c r="H247" t="n">
        <v>0</v>
      </c>
      <c r="I247" t="n">
        <v>0</v>
      </c>
      <c r="J247" t="n">
        <v>0</v>
      </c>
      <c r="K247" t="n">
        <v>0</v>
      </c>
      <c r="L247" t="n">
        <v>0</v>
      </c>
      <c r="M247" t="n">
        <v>0</v>
      </c>
      <c r="N247" t="n">
        <v>0</v>
      </c>
      <c r="O247" t="n">
        <v>0</v>
      </c>
      <c r="P247" t="n">
        <v>0</v>
      </c>
      <c r="Q247" t="n">
        <v>0</v>
      </c>
      <c r="R247" s="2" t="inlineStr"/>
    </row>
    <row r="248" ht="15" customHeight="1">
      <c r="A248" t="inlineStr">
        <is>
          <t>A 23207-2023</t>
        </is>
      </c>
      <c r="B248" s="1" t="n">
        <v>45071</v>
      </c>
      <c r="C248" s="1" t="n">
        <v>46194</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41966-2023</t>
        </is>
      </c>
      <c r="B249" s="1" t="n">
        <v>45177</v>
      </c>
      <c r="C249" s="1" t="n">
        <v>46194</v>
      </c>
      <c r="D249" t="inlineStr">
        <is>
          <t>SÖDERMANLANDS LÄN</t>
        </is>
      </c>
      <c r="E249" t="inlineStr">
        <is>
          <t>KATRINEHOLM</t>
        </is>
      </c>
      <c r="G249" t="n">
        <v>36.9</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46194</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33538-2022</t>
        </is>
      </c>
      <c r="B251" s="1" t="n">
        <v>44789</v>
      </c>
      <c r="C251" s="1" t="n">
        <v>46194</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42025-2022</t>
        </is>
      </c>
      <c r="B252" s="1" t="n">
        <v>44830</v>
      </c>
      <c r="C252" s="1" t="n">
        <v>46194</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4656-2023</t>
        </is>
      </c>
      <c r="B253" s="1" t="n">
        <v>44957</v>
      </c>
      <c r="C253" s="1" t="n">
        <v>46194</v>
      </c>
      <c r="D253" t="inlineStr">
        <is>
          <t>SÖDERMANLANDS LÄN</t>
        </is>
      </c>
      <c r="E253" t="inlineStr">
        <is>
          <t>KATRINEHOLM</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8791-2023</t>
        </is>
      </c>
      <c r="B254" s="1" t="n">
        <v>44978</v>
      </c>
      <c r="C254" s="1" t="n">
        <v>46194</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59093-2024</t>
        </is>
      </c>
      <c r="B255" s="1" t="n">
        <v>45636</v>
      </c>
      <c r="C255" s="1" t="n">
        <v>46194</v>
      </c>
      <c r="D255" t="inlineStr">
        <is>
          <t>SÖDERMANLANDS LÄN</t>
        </is>
      </c>
      <c r="E255" t="inlineStr">
        <is>
          <t>KATRINEHOLM</t>
        </is>
      </c>
      <c r="G255" t="n">
        <v>2.8</v>
      </c>
      <c r="H255" t="n">
        <v>0</v>
      </c>
      <c r="I255" t="n">
        <v>0</v>
      </c>
      <c r="J255" t="n">
        <v>0</v>
      </c>
      <c r="K255" t="n">
        <v>0</v>
      </c>
      <c r="L255" t="n">
        <v>0</v>
      </c>
      <c r="M255" t="n">
        <v>0</v>
      </c>
      <c r="N255" t="n">
        <v>0</v>
      </c>
      <c r="O255" t="n">
        <v>0</v>
      </c>
      <c r="P255" t="n">
        <v>0</v>
      </c>
      <c r="Q255" t="n">
        <v>0</v>
      </c>
      <c r="R255" s="2" t="inlineStr"/>
    </row>
    <row r="256" ht="15" customHeight="1">
      <c r="A256" t="inlineStr">
        <is>
          <t>A 53809-2021</t>
        </is>
      </c>
      <c r="B256" s="1" t="n">
        <v>44467</v>
      </c>
      <c r="C256" s="1" t="n">
        <v>46194</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31719-2024</t>
        </is>
      </c>
      <c r="B257" s="1" t="n">
        <v>45509</v>
      </c>
      <c r="C257" s="1" t="n">
        <v>46194</v>
      </c>
      <c r="D257" t="inlineStr">
        <is>
          <t>SÖDERMANLANDS LÄN</t>
        </is>
      </c>
      <c r="E257" t="inlineStr">
        <is>
          <t>KATRINEHOLM</t>
        </is>
      </c>
      <c r="F257" t="inlineStr">
        <is>
          <t>Kyrkan</t>
        </is>
      </c>
      <c r="G257" t="n">
        <v>11.9</v>
      </c>
      <c r="H257" t="n">
        <v>0</v>
      </c>
      <c r="I257" t="n">
        <v>0</v>
      </c>
      <c r="J257" t="n">
        <v>0</v>
      </c>
      <c r="K257" t="n">
        <v>0</v>
      </c>
      <c r="L257" t="n">
        <v>0</v>
      </c>
      <c r="M257" t="n">
        <v>0</v>
      </c>
      <c r="N257" t="n">
        <v>0</v>
      </c>
      <c r="O257" t="n">
        <v>0</v>
      </c>
      <c r="P257" t="n">
        <v>0</v>
      </c>
      <c r="Q257" t="n">
        <v>0</v>
      </c>
      <c r="R257" s="2" t="inlineStr"/>
    </row>
    <row r="258" ht="15" customHeight="1">
      <c r="A258" t="inlineStr">
        <is>
          <t>A 36210-2022</t>
        </is>
      </c>
      <c r="B258" s="1" t="n">
        <v>44803</v>
      </c>
      <c r="C258" s="1" t="n">
        <v>46194</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13175-2024</t>
        </is>
      </c>
      <c r="B259" s="1" t="n">
        <v>45386</v>
      </c>
      <c r="C259" s="1" t="n">
        <v>46194</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40744-2022</t>
        </is>
      </c>
      <c r="B260" s="1" t="n">
        <v>44824</v>
      </c>
      <c r="C260" s="1" t="n">
        <v>46194</v>
      </c>
      <c r="D260" t="inlineStr">
        <is>
          <t>SÖDERMANLANDS LÄN</t>
        </is>
      </c>
      <c r="E260" t="inlineStr">
        <is>
          <t>KATRINEHOLM</t>
        </is>
      </c>
      <c r="G260" t="n">
        <v>3.7</v>
      </c>
      <c r="H260" t="n">
        <v>0</v>
      </c>
      <c r="I260" t="n">
        <v>0</v>
      </c>
      <c r="J260" t="n">
        <v>0</v>
      </c>
      <c r="K260" t="n">
        <v>0</v>
      </c>
      <c r="L260" t="n">
        <v>0</v>
      </c>
      <c r="M260" t="n">
        <v>0</v>
      </c>
      <c r="N260" t="n">
        <v>0</v>
      </c>
      <c r="O260" t="n">
        <v>0</v>
      </c>
      <c r="P260" t="n">
        <v>0</v>
      </c>
      <c r="Q260" t="n">
        <v>0</v>
      </c>
      <c r="R260" s="2" t="inlineStr"/>
    </row>
    <row r="261" ht="15" customHeight="1">
      <c r="A261" t="inlineStr">
        <is>
          <t>A 8761-2023</t>
        </is>
      </c>
      <c r="B261" s="1" t="n">
        <v>44978</v>
      </c>
      <c r="C261" s="1" t="n">
        <v>46194</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8778-2023</t>
        </is>
      </c>
      <c r="B262" s="1" t="n">
        <v>44978</v>
      </c>
      <c r="C262" s="1" t="n">
        <v>46194</v>
      </c>
      <c r="D262" t="inlineStr">
        <is>
          <t>SÖDERMANLANDS LÄN</t>
        </is>
      </c>
      <c r="E262" t="inlineStr">
        <is>
          <t>KATRINEHOLM</t>
        </is>
      </c>
      <c r="G262" t="n">
        <v>4.5</v>
      </c>
      <c r="H262" t="n">
        <v>0</v>
      </c>
      <c r="I262" t="n">
        <v>0</v>
      </c>
      <c r="J262" t="n">
        <v>0</v>
      </c>
      <c r="K262" t="n">
        <v>0</v>
      </c>
      <c r="L262" t="n">
        <v>0</v>
      </c>
      <c r="M262" t="n">
        <v>0</v>
      </c>
      <c r="N262" t="n">
        <v>0</v>
      </c>
      <c r="O262" t="n">
        <v>0</v>
      </c>
      <c r="P262" t="n">
        <v>0</v>
      </c>
      <c r="Q262" t="n">
        <v>0</v>
      </c>
      <c r="R262" s="2" t="inlineStr"/>
    </row>
    <row r="263" ht="15" customHeight="1">
      <c r="A263" t="inlineStr">
        <is>
          <t>A 48682-2022</t>
        </is>
      </c>
      <c r="B263" s="1" t="n">
        <v>44859</v>
      </c>
      <c r="C263" s="1" t="n">
        <v>46194</v>
      </c>
      <c r="D263" t="inlineStr">
        <is>
          <t>SÖDERMANLANDS LÄN</t>
        </is>
      </c>
      <c r="E263" t="inlineStr">
        <is>
          <t>KATRINEHOLM</t>
        </is>
      </c>
      <c r="G263" t="n">
        <v>2</v>
      </c>
      <c r="H263" t="n">
        <v>0</v>
      </c>
      <c r="I263" t="n">
        <v>0</v>
      </c>
      <c r="J263" t="n">
        <v>0</v>
      </c>
      <c r="K263" t="n">
        <v>0</v>
      </c>
      <c r="L263" t="n">
        <v>0</v>
      </c>
      <c r="M263" t="n">
        <v>0</v>
      </c>
      <c r="N263" t="n">
        <v>0</v>
      </c>
      <c r="O263" t="n">
        <v>0</v>
      </c>
      <c r="P263" t="n">
        <v>0</v>
      </c>
      <c r="Q263" t="n">
        <v>0</v>
      </c>
      <c r="R263" s="2" t="inlineStr"/>
    </row>
    <row r="264" ht="15" customHeight="1">
      <c r="A264" t="inlineStr">
        <is>
          <t>A 7189-2022</t>
        </is>
      </c>
      <c r="B264" s="1" t="n">
        <v>44605</v>
      </c>
      <c r="C264" s="1" t="n">
        <v>46194</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8457-2023</t>
        </is>
      </c>
      <c r="B265" s="1" t="n">
        <v>44977</v>
      </c>
      <c r="C265" s="1" t="n">
        <v>46194</v>
      </c>
      <c r="D265" t="inlineStr">
        <is>
          <t>SÖDERMANLANDS LÄN</t>
        </is>
      </c>
      <c r="E265" t="inlineStr">
        <is>
          <t>KATRINEHOLM</t>
        </is>
      </c>
      <c r="F265" t="inlineStr">
        <is>
          <t>Allmännings- och besparingsskogar</t>
        </is>
      </c>
      <c r="G265" t="n">
        <v>16.1</v>
      </c>
      <c r="H265" t="n">
        <v>0</v>
      </c>
      <c r="I265" t="n">
        <v>0</v>
      </c>
      <c r="J265" t="n">
        <v>0</v>
      </c>
      <c r="K265" t="n">
        <v>0</v>
      </c>
      <c r="L265" t="n">
        <v>0</v>
      </c>
      <c r="M265" t="n">
        <v>0</v>
      </c>
      <c r="N265" t="n">
        <v>0</v>
      </c>
      <c r="O265" t="n">
        <v>0</v>
      </c>
      <c r="P265" t="n">
        <v>0</v>
      </c>
      <c r="Q265" t="n">
        <v>0</v>
      </c>
      <c r="R265" s="2" t="inlineStr"/>
    </row>
    <row r="266" ht="15" customHeight="1">
      <c r="A266" t="inlineStr">
        <is>
          <t>A 54698-2021</t>
        </is>
      </c>
      <c r="B266" s="1" t="n">
        <v>44473</v>
      </c>
      <c r="C266" s="1" t="n">
        <v>46194</v>
      </c>
      <c r="D266" t="inlineStr">
        <is>
          <t>SÖDERMANLANDS LÄN</t>
        </is>
      </c>
      <c r="E266" t="inlineStr">
        <is>
          <t>KATRINEHOLM</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9932-2023</t>
        </is>
      </c>
      <c r="B267" s="1" t="n">
        <v>44985</v>
      </c>
      <c r="C267" s="1" t="n">
        <v>46194</v>
      </c>
      <c r="D267" t="inlineStr">
        <is>
          <t>SÖDERMANLANDS LÄN</t>
        </is>
      </c>
      <c r="E267" t="inlineStr">
        <is>
          <t>KATRINEHOLM</t>
        </is>
      </c>
      <c r="G267" t="n">
        <v>0.3</v>
      </c>
      <c r="H267" t="n">
        <v>0</v>
      </c>
      <c r="I267" t="n">
        <v>0</v>
      </c>
      <c r="J267" t="n">
        <v>0</v>
      </c>
      <c r="K267" t="n">
        <v>0</v>
      </c>
      <c r="L267" t="n">
        <v>0</v>
      </c>
      <c r="M267" t="n">
        <v>0</v>
      </c>
      <c r="N267" t="n">
        <v>0</v>
      </c>
      <c r="O267" t="n">
        <v>0</v>
      </c>
      <c r="P267" t="n">
        <v>0</v>
      </c>
      <c r="Q267" t="n">
        <v>0</v>
      </c>
      <c r="R267" s="2" t="inlineStr"/>
    </row>
    <row r="268" ht="15" customHeight="1">
      <c r="A268" t="inlineStr">
        <is>
          <t>A 7056-2022</t>
        </is>
      </c>
      <c r="B268" s="1" t="n">
        <v>44603</v>
      </c>
      <c r="C268" s="1" t="n">
        <v>46194</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9192-2023</t>
        </is>
      </c>
      <c r="B269" s="1" t="n">
        <v>44980</v>
      </c>
      <c r="C269" s="1" t="n">
        <v>46194</v>
      </c>
      <c r="D269" t="inlineStr">
        <is>
          <t>SÖDERMANLANDS LÄN</t>
        </is>
      </c>
      <c r="E269" t="inlineStr">
        <is>
          <t>KATRINEHOLM</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15399-2022</t>
        </is>
      </c>
      <c r="B270" s="1" t="n">
        <v>44659</v>
      </c>
      <c r="C270" s="1" t="n">
        <v>46194</v>
      </c>
      <c r="D270" t="inlineStr">
        <is>
          <t>SÖDERMANLANDS LÄN</t>
        </is>
      </c>
      <c r="E270" t="inlineStr">
        <is>
          <t>KATRINEHOLM</t>
        </is>
      </c>
      <c r="G270" t="n">
        <v>5.6</v>
      </c>
      <c r="H270" t="n">
        <v>0</v>
      </c>
      <c r="I270" t="n">
        <v>0</v>
      </c>
      <c r="J270" t="n">
        <v>0</v>
      </c>
      <c r="K270" t="n">
        <v>0</v>
      </c>
      <c r="L270" t="n">
        <v>0</v>
      </c>
      <c r="M270" t="n">
        <v>0</v>
      </c>
      <c r="N270" t="n">
        <v>0</v>
      </c>
      <c r="O270" t="n">
        <v>0</v>
      </c>
      <c r="P270" t="n">
        <v>0</v>
      </c>
      <c r="Q270" t="n">
        <v>0</v>
      </c>
      <c r="R270" s="2" t="inlineStr"/>
    </row>
    <row r="271" ht="15" customHeight="1">
      <c r="A271" t="inlineStr">
        <is>
          <t>A 11872-2023</t>
        </is>
      </c>
      <c r="B271" s="1" t="n">
        <v>44995</v>
      </c>
      <c r="C271" s="1" t="n">
        <v>46194</v>
      </c>
      <c r="D271" t="inlineStr">
        <is>
          <t>SÖDERMANLANDS LÄN</t>
        </is>
      </c>
      <c r="E271" t="inlineStr">
        <is>
          <t>KATRINEHOLM</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32786-2022</t>
        </is>
      </c>
      <c r="B272" s="1" t="n">
        <v>44784</v>
      </c>
      <c r="C272" s="1" t="n">
        <v>46194</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7223-2022</t>
        </is>
      </c>
      <c r="B273" s="1" t="n">
        <v>44603</v>
      </c>
      <c r="C273" s="1" t="n">
        <v>46194</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v>
      </c>
      <c r="C274" s="1" t="n">
        <v>46194</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49092-2024</t>
        </is>
      </c>
      <c r="B275" s="1" t="n">
        <v>45594</v>
      </c>
      <c r="C275" s="1" t="n">
        <v>46194</v>
      </c>
      <c r="D275" t="inlineStr">
        <is>
          <t>SÖDERMANLANDS LÄN</t>
        </is>
      </c>
      <c r="E275" t="inlineStr">
        <is>
          <t>KATRINEHOLM</t>
        </is>
      </c>
      <c r="F275" t="inlineStr">
        <is>
          <t>Övriga Aktiebolag</t>
        </is>
      </c>
      <c r="G275" t="n">
        <v>0.4</v>
      </c>
      <c r="H275" t="n">
        <v>0</v>
      </c>
      <c r="I275" t="n">
        <v>0</v>
      </c>
      <c r="J275" t="n">
        <v>0</v>
      </c>
      <c r="K275" t="n">
        <v>0</v>
      </c>
      <c r="L275" t="n">
        <v>0</v>
      </c>
      <c r="M275" t="n">
        <v>0</v>
      </c>
      <c r="N275" t="n">
        <v>0</v>
      </c>
      <c r="O275" t="n">
        <v>0</v>
      </c>
      <c r="P275" t="n">
        <v>0</v>
      </c>
      <c r="Q275" t="n">
        <v>0</v>
      </c>
      <c r="R275" s="2" t="inlineStr"/>
    </row>
    <row r="276" ht="15" customHeight="1">
      <c r="A276" t="inlineStr">
        <is>
          <t>A 49095-2024</t>
        </is>
      </c>
      <c r="B276" s="1" t="n">
        <v>45594</v>
      </c>
      <c r="C276" s="1" t="n">
        <v>46194</v>
      </c>
      <c r="D276" t="inlineStr">
        <is>
          <t>SÖDERMANLANDS LÄN</t>
        </is>
      </c>
      <c r="E276" t="inlineStr">
        <is>
          <t>KATRINEHOLM</t>
        </is>
      </c>
      <c r="F276" t="inlineStr">
        <is>
          <t>Övriga Aktiebolag</t>
        </is>
      </c>
      <c r="G276" t="n">
        <v>0.4</v>
      </c>
      <c r="H276" t="n">
        <v>0</v>
      </c>
      <c r="I276" t="n">
        <v>0</v>
      </c>
      <c r="J276" t="n">
        <v>0</v>
      </c>
      <c r="K276" t="n">
        <v>0</v>
      </c>
      <c r="L276" t="n">
        <v>0</v>
      </c>
      <c r="M276" t="n">
        <v>0</v>
      </c>
      <c r="N276" t="n">
        <v>0</v>
      </c>
      <c r="O276" t="n">
        <v>0</v>
      </c>
      <c r="P276" t="n">
        <v>0</v>
      </c>
      <c r="Q276" t="n">
        <v>0</v>
      </c>
      <c r="R276" s="2" t="inlineStr"/>
    </row>
    <row r="277" ht="15" customHeight="1">
      <c r="A277" t="inlineStr">
        <is>
          <t>A 36-2023</t>
        </is>
      </c>
      <c r="B277" s="1" t="n">
        <v>44928</v>
      </c>
      <c r="C277" s="1" t="n">
        <v>46194</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20768-2022</t>
        </is>
      </c>
      <c r="B278" s="1" t="n">
        <v>44701</v>
      </c>
      <c r="C278" s="1" t="n">
        <v>46194</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10341-2022</t>
        </is>
      </c>
      <c r="B279" s="1" t="n">
        <v>44623</v>
      </c>
      <c r="C279" s="1" t="n">
        <v>46194</v>
      </c>
      <c r="D279" t="inlineStr">
        <is>
          <t>SÖDERMANLANDS LÄN</t>
        </is>
      </c>
      <c r="E279" t="inlineStr">
        <is>
          <t>KATRINEHOLM</t>
        </is>
      </c>
      <c r="G279" t="n">
        <v>2.3</v>
      </c>
      <c r="H279" t="n">
        <v>0</v>
      </c>
      <c r="I279" t="n">
        <v>0</v>
      </c>
      <c r="J279" t="n">
        <v>0</v>
      </c>
      <c r="K279" t="n">
        <v>0</v>
      </c>
      <c r="L279" t="n">
        <v>0</v>
      </c>
      <c r="M279" t="n">
        <v>0</v>
      </c>
      <c r="N279" t="n">
        <v>0</v>
      </c>
      <c r="O279" t="n">
        <v>0</v>
      </c>
      <c r="P279" t="n">
        <v>0</v>
      </c>
      <c r="Q279" t="n">
        <v>0</v>
      </c>
      <c r="R279" s="2" t="inlineStr"/>
    </row>
    <row r="280" ht="15" customHeight="1">
      <c r="A280" t="inlineStr">
        <is>
          <t>A 20460-2025</t>
        </is>
      </c>
      <c r="B280" s="1" t="n">
        <v>45775</v>
      </c>
      <c r="C280" s="1" t="n">
        <v>46194</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9693-2024</t>
        </is>
      </c>
      <c r="B281" s="1" t="n">
        <v>45362</v>
      </c>
      <c r="C281" s="1" t="n">
        <v>46194</v>
      </c>
      <c r="D281" t="inlineStr">
        <is>
          <t>SÖDERMANLANDS LÄN</t>
        </is>
      </c>
      <c r="E281" t="inlineStr">
        <is>
          <t>KATRINEHOLM</t>
        </is>
      </c>
      <c r="G281" t="n">
        <v>5.9</v>
      </c>
      <c r="H281" t="n">
        <v>0</v>
      </c>
      <c r="I281" t="n">
        <v>0</v>
      </c>
      <c r="J281" t="n">
        <v>0</v>
      </c>
      <c r="K281" t="n">
        <v>0</v>
      </c>
      <c r="L281" t="n">
        <v>0</v>
      </c>
      <c r="M281" t="n">
        <v>0</v>
      </c>
      <c r="N281" t="n">
        <v>0</v>
      </c>
      <c r="O281" t="n">
        <v>0</v>
      </c>
      <c r="P281" t="n">
        <v>0</v>
      </c>
      <c r="Q281" t="n">
        <v>0</v>
      </c>
      <c r="R281" s="2" t="inlineStr"/>
    </row>
    <row r="282" ht="15" customHeight="1">
      <c r="A282" t="inlineStr">
        <is>
          <t>A 43964-2022</t>
        </is>
      </c>
      <c r="B282" s="1" t="n">
        <v>44837</v>
      </c>
      <c r="C282" s="1" t="n">
        <v>46194</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12835-2024</t>
        </is>
      </c>
      <c r="B283" s="1" t="n">
        <v>45384</v>
      </c>
      <c r="C283" s="1" t="n">
        <v>46194</v>
      </c>
      <c r="D283" t="inlineStr">
        <is>
          <t>SÖDERMANLANDS LÄN</t>
        </is>
      </c>
      <c r="E283" t="inlineStr">
        <is>
          <t>KATRINEHOLM</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42015-2022</t>
        </is>
      </c>
      <c r="B284" s="1" t="n">
        <v>44830</v>
      </c>
      <c r="C284" s="1" t="n">
        <v>46194</v>
      </c>
      <c r="D284" t="inlineStr">
        <is>
          <t>SÖDERMANLANDS LÄN</t>
        </is>
      </c>
      <c r="E284" t="inlineStr">
        <is>
          <t>KATRINEHOLM</t>
        </is>
      </c>
      <c r="G284" t="n">
        <v>3.8</v>
      </c>
      <c r="H284" t="n">
        <v>0</v>
      </c>
      <c r="I284" t="n">
        <v>0</v>
      </c>
      <c r="J284" t="n">
        <v>0</v>
      </c>
      <c r="K284" t="n">
        <v>0</v>
      </c>
      <c r="L284" t="n">
        <v>0</v>
      </c>
      <c r="M284" t="n">
        <v>0</v>
      </c>
      <c r="N284" t="n">
        <v>0</v>
      </c>
      <c r="O284" t="n">
        <v>0</v>
      </c>
      <c r="P284" t="n">
        <v>0</v>
      </c>
      <c r="Q284" t="n">
        <v>0</v>
      </c>
      <c r="R284" s="2" t="inlineStr"/>
    </row>
    <row r="285" ht="15" customHeight="1">
      <c r="A285" t="inlineStr">
        <is>
          <t>A 42020-2022</t>
        </is>
      </c>
      <c r="B285" s="1" t="n">
        <v>44830</v>
      </c>
      <c r="C285" s="1" t="n">
        <v>46194</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25716-2022</t>
        </is>
      </c>
      <c r="B286" s="1" t="n">
        <v>44733</v>
      </c>
      <c r="C286" s="1" t="n">
        <v>46194</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55846-2022</t>
        </is>
      </c>
      <c r="B287" s="1" t="n">
        <v>44888</v>
      </c>
      <c r="C287" s="1" t="n">
        <v>46194</v>
      </c>
      <c r="D287" t="inlineStr">
        <is>
          <t>SÖDERMANLANDS LÄN</t>
        </is>
      </c>
      <c r="E287" t="inlineStr">
        <is>
          <t>KATRINEHOLM</t>
        </is>
      </c>
      <c r="G287" t="n">
        <v>6.5</v>
      </c>
      <c r="H287" t="n">
        <v>0</v>
      </c>
      <c r="I287" t="n">
        <v>0</v>
      </c>
      <c r="J287" t="n">
        <v>0</v>
      </c>
      <c r="K287" t="n">
        <v>0</v>
      </c>
      <c r="L287" t="n">
        <v>0</v>
      </c>
      <c r="M287" t="n">
        <v>0</v>
      </c>
      <c r="N287" t="n">
        <v>0</v>
      </c>
      <c r="O287" t="n">
        <v>0</v>
      </c>
      <c r="P287" t="n">
        <v>0</v>
      </c>
      <c r="Q287" t="n">
        <v>0</v>
      </c>
      <c r="R287" s="2" t="inlineStr"/>
    </row>
    <row r="288" ht="15" customHeight="1">
      <c r="A288" t="inlineStr">
        <is>
          <t>A 15284-2023</t>
        </is>
      </c>
      <c r="B288" s="1" t="n">
        <v>45019</v>
      </c>
      <c r="C288" s="1" t="n">
        <v>46194</v>
      </c>
      <c r="D288" t="inlineStr">
        <is>
          <t>SÖDERMANLANDS LÄN</t>
        </is>
      </c>
      <c r="E288" t="inlineStr">
        <is>
          <t>KATRINEHOLM</t>
        </is>
      </c>
      <c r="F288" t="inlineStr">
        <is>
          <t>Allmännings- och besparingsskogar</t>
        </is>
      </c>
      <c r="G288" t="n">
        <v>17.4</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46194</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v>
      </c>
      <c r="C290" s="1" t="n">
        <v>46194</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9044-2022</t>
        </is>
      </c>
      <c r="B291" s="1" t="n">
        <v>44602</v>
      </c>
      <c r="C291" s="1" t="n">
        <v>46194</v>
      </c>
      <c r="D291" t="inlineStr">
        <is>
          <t>SÖDERMANLANDS LÄN</t>
        </is>
      </c>
      <c r="E291" t="inlineStr">
        <is>
          <t>KATRINEHOLM</t>
        </is>
      </c>
      <c r="G291" t="n">
        <v>5.8</v>
      </c>
      <c r="H291" t="n">
        <v>0</v>
      </c>
      <c r="I291" t="n">
        <v>0</v>
      </c>
      <c r="J291" t="n">
        <v>0</v>
      </c>
      <c r="K291" t="n">
        <v>0</v>
      </c>
      <c r="L291" t="n">
        <v>0</v>
      </c>
      <c r="M291" t="n">
        <v>0</v>
      </c>
      <c r="N291" t="n">
        <v>0</v>
      </c>
      <c r="O291" t="n">
        <v>0</v>
      </c>
      <c r="P291" t="n">
        <v>0</v>
      </c>
      <c r="Q291" t="n">
        <v>0</v>
      </c>
      <c r="R291" s="2" t="inlineStr"/>
    </row>
    <row r="292" ht="15" customHeight="1">
      <c r="A292" t="inlineStr">
        <is>
          <t>A 53722-2023</t>
        </is>
      </c>
      <c r="B292" s="1" t="n">
        <v>45230</v>
      </c>
      <c r="C292" s="1" t="n">
        <v>46194</v>
      </c>
      <c r="D292" t="inlineStr">
        <is>
          <t>SÖDERMANLANDS LÄN</t>
        </is>
      </c>
      <c r="E292" t="inlineStr">
        <is>
          <t>KATRINEHOLM</t>
        </is>
      </c>
      <c r="F292" t="inlineStr">
        <is>
          <t>Allmännings- och besparingsskogar</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51613-2022</t>
        </is>
      </c>
      <c r="B293" s="1" t="n">
        <v>44871</v>
      </c>
      <c r="C293" s="1" t="n">
        <v>46194</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37834-2023</t>
        </is>
      </c>
      <c r="B294" s="1" t="n">
        <v>45160</v>
      </c>
      <c r="C294" s="1" t="n">
        <v>46194</v>
      </c>
      <c r="D294" t="inlineStr">
        <is>
          <t>SÖDERMANLANDS LÄN</t>
        </is>
      </c>
      <c r="E294" t="inlineStr">
        <is>
          <t>KATRINEHOLM</t>
        </is>
      </c>
      <c r="F294" t="inlineStr">
        <is>
          <t>Kyrkan</t>
        </is>
      </c>
      <c r="G294" t="n">
        <v>2.8</v>
      </c>
      <c r="H294" t="n">
        <v>0</v>
      </c>
      <c r="I294" t="n">
        <v>0</v>
      </c>
      <c r="J294" t="n">
        <v>0</v>
      </c>
      <c r="K294" t="n">
        <v>0</v>
      </c>
      <c r="L294" t="n">
        <v>0</v>
      </c>
      <c r="M294" t="n">
        <v>0</v>
      </c>
      <c r="N294" t="n">
        <v>0</v>
      </c>
      <c r="O294" t="n">
        <v>0</v>
      </c>
      <c r="P294" t="n">
        <v>0</v>
      </c>
      <c r="Q294" t="n">
        <v>0</v>
      </c>
      <c r="R294" s="2" t="inlineStr"/>
    </row>
    <row r="295" ht="15" customHeight="1">
      <c r="A295" t="inlineStr">
        <is>
          <t>A 55863-2022</t>
        </is>
      </c>
      <c r="B295" s="1" t="n">
        <v>44888</v>
      </c>
      <c r="C295" s="1" t="n">
        <v>46194</v>
      </c>
      <c r="D295" t="inlineStr">
        <is>
          <t>SÖDERMANLANDS LÄN</t>
        </is>
      </c>
      <c r="E295" t="inlineStr">
        <is>
          <t>KATRINEHOLM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55865-2022</t>
        </is>
      </c>
      <c r="B296" s="1" t="n">
        <v>44888</v>
      </c>
      <c r="C296" s="1" t="n">
        <v>46194</v>
      </c>
      <c r="D296" t="inlineStr">
        <is>
          <t>SÖDERMANLANDS LÄN</t>
        </is>
      </c>
      <c r="E296" t="inlineStr">
        <is>
          <t>KATRINEHOLM</t>
        </is>
      </c>
      <c r="G296" t="n">
        <v>9.1</v>
      </c>
      <c r="H296" t="n">
        <v>0</v>
      </c>
      <c r="I296" t="n">
        <v>0</v>
      </c>
      <c r="J296" t="n">
        <v>0</v>
      </c>
      <c r="K296" t="n">
        <v>0</v>
      </c>
      <c r="L296" t="n">
        <v>0</v>
      </c>
      <c r="M296" t="n">
        <v>0</v>
      </c>
      <c r="N296" t="n">
        <v>0</v>
      </c>
      <c r="O296" t="n">
        <v>0</v>
      </c>
      <c r="P296" t="n">
        <v>0</v>
      </c>
      <c r="Q296" t="n">
        <v>0</v>
      </c>
      <c r="R296" s="2" t="inlineStr"/>
    </row>
    <row r="297" ht="15" customHeight="1">
      <c r="A297" t="inlineStr">
        <is>
          <t>A 8475-2023</t>
        </is>
      </c>
      <c r="B297" s="1" t="n">
        <v>44977</v>
      </c>
      <c r="C297" s="1" t="n">
        <v>46194</v>
      </c>
      <c r="D297" t="inlineStr">
        <is>
          <t>SÖDERMANLANDS LÄN</t>
        </is>
      </c>
      <c r="E297" t="inlineStr">
        <is>
          <t>KATRINEHOLM</t>
        </is>
      </c>
      <c r="F297" t="inlineStr">
        <is>
          <t>Allmännings- och besparingsskogar</t>
        </is>
      </c>
      <c r="G297" t="n">
        <v>8.1</v>
      </c>
      <c r="H297" t="n">
        <v>0</v>
      </c>
      <c r="I297" t="n">
        <v>0</v>
      </c>
      <c r="J297" t="n">
        <v>0</v>
      </c>
      <c r="K297" t="n">
        <v>0</v>
      </c>
      <c r="L297" t="n">
        <v>0</v>
      </c>
      <c r="M297" t="n">
        <v>0</v>
      </c>
      <c r="N297" t="n">
        <v>0</v>
      </c>
      <c r="O297" t="n">
        <v>0</v>
      </c>
      <c r="P297" t="n">
        <v>0</v>
      </c>
      <c r="Q297" t="n">
        <v>0</v>
      </c>
      <c r="R297" s="2" t="inlineStr"/>
    </row>
    <row r="298" ht="15" customHeight="1">
      <c r="A298" t="inlineStr">
        <is>
          <t>A 32890-2024</t>
        </is>
      </c>
      <c r="B298" s="1" t="n">
        <v>45516</v>
      </c>
      <c r="C298" s="1" t="n">
        <v>46194</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2320-2023</t>
        </is>
      </c>
      <c r="B299" s="1" t="n">
        <v>44942</v>
      </c>
      <c r="C299" s="1" t="n">
        <v>46194</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59898-2022</t>
        </is>
      </c>
      <c r="B300" s="1" t="n">
        <v>44908</v>
      </c>
      <c r="C300" s="1" t="n">
        <v>46194</v>
      </c>
      <c r="D300" t="inlineStr">
        <is>
          <t>SÖDERMANLANDS LÄN</t>
        </is>
      </c>
      <c r="E300" t="inlineStr">
        <is>
          <t>KATRINEHOLM</t>
        </is>
      </c>
      <c r="G300" t="n">
        <v>4.8</v>
      </c>
      <c r="H300" t="n">
        <v>0</v>
      </c>
      <c r="I300" t="n">
        <v>0</v>
      </c>
      <c r="J300" t="n">
        <v>0</v>
      </c>
      <c r="K300" t="n">
        <v>0</v>
      </c>
      <c r="L300" t="n">
        <v>0</v>
      </c>
      <c r="M300" t="n">
        <v>0</v>
      </c>
      <c r="N300" t="n">
        <v>0</v>
      </c>
      <c r="O300" t="n">
        <v>0</v>
      </c>
      <c r="P300" t="n">
        <v>0</v>
      </c>
      <c r="Q300" t="n">
        <v>0</v>
      </c>
      <c r="R300" s="2" t="inlineStr"/>
    </row>
    <row r="301" ht="15" customHeight="1">
      <c r="A301" t="inlineStr">
        <is>
          <t>A 48520-2023</t>
        </is>
      </c>
      <c r="B301" s="1" t="n">
        <v>45208</v>
      </c>
      <c r="C301" s="1" t="n">
        <v>46194</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20326-2023</t>
        </is>
      </c>
      <c r="B302" s="1" t="n">
        <v>45056</v>
      </c>
      <c r="C302" s="1" t="n">
        <v>46194</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56661-2021</t>
        </is>
      </c>
      <c r="B303" s="1" t="n">
        <v>44481</v>
      </c>
      <c r="C303" s="1" t="n">
        <v>46194</v>
      </c>
      <c r="D303" t="inlineStr">
        <is>
          <t>SÖDERMANLANDS LÄN</t>
        </is>
      </c>
      <c r="E303" t="inlineStr">
        <is>
          <t>KATRINEHOLM</t>
        </is>
      </c>
      <c r="G303" t="n">
        <v>5.8</v>
      </c>
      <c r="H303" t="n">
        <v>0</v>
      </c>
      <c r="I303" t="n">
        <v>0</v>
      </c>
      <c r="J303" t="n">
        <v>0</v>
      </c>
      <c r="K303" t="n">
        <v>0</v>
      </c>
      <c r="L303" t="n">
        <v>0</v>
      </c>
      <c r="M303" t="n">
        <v>0</v>
      </c>
      <c r="N303" t="n">
        <v>0</v>
      </c>
      <c r="O303" t="n">
        <v>0</v>
      </c>
      <c r="P303" t="n">
        <v>0</v>
      </c>
      <c r="Q303" t="n">
        <v>0</v>
      </c>
      <c r="R303" s="2" t="inlineStr"/>
    </row>
    <row r="304" ht="15" customHeight="1">
      <c r="A304" t="inlineStr">
        <is>
          <t>A 35228-2025</t>
        </is>
      </c>
      <c r="B304" s="1" t="n">
        <v>45853</v>
      </c>
      <c r="C304" s="1" t="n">
        <v>46194</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46194</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46194</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15392-2023</t>
        </is>
      </c>
      <c r="B307" s="1" t="n">
        <v>45016</v>
      </c>
      <c r="C307" s="1" t="n">
        <v>46194</v>
      </c>
      <c r="D307" t="inlineStr">
        <is>
          <t>SÖDERMANLANDS LÄN</t>
        </is>
      </c>
      <c r="E307" t="inlineStr">
        <is>
          <t>KATRINEHOLM</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48091-2024</t>
        </is>
      </c>
      <c r="B308" s="1" t="n">
        <v>45590</v>
      </c>
      <c r="C308" s="1" t="n">
        <v>46194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24097-2022</t>
        </is>
      </c>
      <c r="B309" s="1" t="n">
        <v>44725</v>
      </c>
      <c r="C309" s="1" t="n">
        <v>46194</v>
      </c>
      <c r="D309" t="inlineStr">
        <is>
          <t>SÖDERMANLANDS LÄN</t>
        </is>
      </c>
      <c r="E309" t="inlineStr">
        <is>
          <t>KATRINEHOLM</t>
        </is>
      </c>
      <c r="G309" t="n">
        <v>6.5</v>
      </c>
      <c r="H309" t="n">
        <v>0</v>
      </c>
      <c r="I309" t="n">
        <v>0</v>
      </c>
      <c r="J309" t="n">
        <v>0</v>
      </c>
      <c r="K309" t="n">
        <v>0</v>
      </c>
      <c r="L309" t="n">
        <v>0</v>
      </c>
      <c r="M309" t="n">
        <v>0</v>
      </c>
      <c r="N309" t="n">
        <v>0</v>
      </c>
      <c r="O309" t="n">
        <v>0</v>
      </c>
      <c r="P309" t="n">
        <v>0</v>
      </c>
      <c r="Q309" t="n">
        <v>0</v>
      </c>
      <c r="R309" s="2" t="inlineStr"/>
    </row>
    <row r="310" ht="15" customHeight="1">
      <c r="A310" t="inlineStr">
        <is>
          <t>A 46670-2021</t>
        </is>
      </c>
      <c r="B310" s="1" t="n">
        <v>44445</v>
      </c>
      <c r="C310" s="1" t="n">
        <v>46194</v>
      </c>
      <c r="D310" t="inlineStr">
        <is>
          <t>SÖDERMANLANDS LÄN</t>
        </is>
      </c>
      <c r="E310" t="inlineStr">
        <is>
          <t>KATRINEHOLM</t>
        </is>
      </c>
      <c r="G310" t="n">
        <v>4.4</v>
      </c>
      <c r="H310" t="n">
        <v>0</v>
      </c>
      <c r="I310" t="n">
        <v>0</v>
      </c>
      <c r="J310" t="n">
        <v>0</v>
      </c>
      <c r="K310" t="n">
        <v>0</v>
      </c>
      <c r="L310" t="n">
        <v>0</v>
      </c>
      <c r="M310" t="n">
        <v>0</v>
      </c>
      <c r="N310" t="n">
        <v>0</v>
      </c>
      <c r="O310" t="n">
        <v>0</v>
      </c>
      <c r="P310" t="n">
        <v>0</v>
      </c>
      <c r="Q310" t="n">
        <v>0</v>
      </c>
      <c r="R310" s="2" t="inlineStr"/>
    </row>
    <row r="311" ht="15" customHeight="1">
      <c r="A311" t="inlineStr">
        <is>
          <t>A 45246-2023</t>
        </is>
      </c>
      <c r="B311" s="1" t="n">
        <v>45191</v>
      </c>
      <c r="C311" s="1" t="n">
        <v>46194</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55795-2023</t>
        </is>
      </c>
      <c r="B312" s="1" t="n">
        <v>45239</v>
      </c>
      <c r="C312" s="1" t="n">
        <v>46194</v>
      </c>
      <c r="D312" t="inlineStr">
        <is>
          <t>SÖDERMANLANDS LÄN</t>
        </is>
      </c>
      <c r="E312" t="inlineStr">
        <is>
          <t>KATRINEHOLM</t>
        </is>
      </c>
      <c r="G312" t="n">
        <v>7</v>
      </c>
      <c r="H312" t="n">
        <v>0</v>
      </c>
      <c r="I312" t="n">
        <v>0</v>
      </c>
      <c r="J312" t="n">
        <v>0</v>
      </c>
      <c r="K312" t="n">
        <v>0</v>
      </c>
      <c r="L312" t="n">
        <v>0</v>
      </c>
      <c r="M312" t="n">
        <v>0</v>
      </c>
      <c r="N312" t="n">
        <v>0</v>
      </c>
      <c r="O312" t="n">
        <v>0</v>
      </c>
      <c r="P312" t="n">
        <v>0</v>
      </c>
      <c r="Q312" t="n">
        <v>0</v>
      </c>
      <c r="R312" s="2" t="inlineStr"/>
    </row>
    <row r="313" ht="15" customHeight="1">
      <c r="A313" t="inlineStr">
        <is>
          <t>A 2735-2025</t>
        </is>
      </c>
      <c r="B313" s="1" t="n">
        <v>45677</v>
      </c>
      <c r="C313" s="1" t="n">
        <v>46194</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49914-2023</t>
        </is>
      </c>
      <c r="B314" s="1" t="n">
        <v>45214</v>
      </c>
      <c r="C314" s="1" t="n">
        <v>46194</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24284-2024</t>
        </is>
      </c>
      <c r="B315" s="1" t="n">
        <v>45457</v>
      </c>
      <c r="C315" s="1" t="n">
        <v>46194</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29502-2023</t>
        </is>
      </c>
      <c r="B316" s="1" t="n">
        <v>45106</v>
      </c>
      <c r="C316" s="1" t="n">
        <v>46194</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62954-2023</t>
        </is>
      </c>
      <c r="B317" s="1" t="n">
        <v>45272</v>
      </c>
      <c r="C317" s="1" t="n">
        <v>46194</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42111-2022</t>
        </is>
      </c>
      <c r="B318" s="1" t="n">
        <v>44830</v>
      </c>
      <c r="C318" s="1" t="n">
        <v>46194</v>
      </c>
      <c r="D318" t="inlineStr">
        <is>
          <t>SÖDERMANLANDS LÄN</t>
        </is>
      </c>
      <c r="E318" t="inlineStr">
        <is>
          <t>KATRINEHOLM</t>
        </is>
      </c>
      <c r="G318" t="n">
        <v>2.5</v>
      </c>
      <c r="H318" t="n">
        <v>0</v>
      </c>
      <c r="I318" t="n">
        <v>0</v>
      </c>
      <c r="J318" t="n">
        <v>0</v>
      </c>
      <c r="K318" t="n">
        <v>0</v>
      </c>
      <c r="L318" t="n">
        <v>0</v>
      </c>
      <c r="M318" t="n">
        <v>0</v>
      </c>
      <c r="N318" t="n">
        <v>0</v>
      </c>
      <c r="O318" t="n">
        <v>0</v>
      </c>
      <c r="P318" t="n">
        <v>0</v>
      </c>
      <c r="Q318" t="n">
        <v>0</v>
      </c>
      <c r="R318" s="2" t="inlineStr"/>
    </row>
    <row r="319" ht="15" customHeight="1">
      <c r="A319" t="inlineStr">
        <is>
          <t>A 17335-2023</t>
        </is>
      </c>
      <c r="B319" s="1" t="n">
        <v>45033</v>
      </c>
      <c r="C319" s="1" t="n">
        <v>46194</v>
      </c>
      <c r="D319" t="inlineStr">
        <is>
          <t>SÖDERMANLANDS LÄN</t>
        </is>
      </c>
      <c r="E319" t="inlineStr">
        <is>
          <t>KATRINEHOLM</t>
        </is>
      </c>
      <c r="G319" t="n">
        <v>3.3</v>
      </c>
      <c r="H319" t="n">
        <v>0</v>
      </c>
      <c r="I319" t="n">
        <v>0</v>
      </c>
      <c r="J319" t="n">
        <v>0</v>
      </c>
      <c r="K319" t="n">
        <v>0</v>
      </c>
      <c r="L319" t="n">
        <v>0</v>
      </c>
      <c r="M319" t="n">
        <v>0</v>
      </c>
      <c r="N319" t="n">
        <v>0</v>
      </c>
      <c r="O319" t="n">
        <v>0</v>
      </c>
      <c r="P319" t="n">
        <v>0</v>
      </c>
      <c r="Q319" t="n">
        <v>0</v>
      </c>
      <c r="R319" s="2" t="inlineStr"/>
    </row>
    <row r="320" ht="15" customHeight="1">
      <c r="A320" t="inlineStr">
        <is>
          <t>A 58651-2023</t>
        </is>
      </c>
      <c r="B320" s="1" t="n">
        <v>45247</v>
      </c>
      <c r="C320" s="1" t="n">
        <v>46194</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36767-2022</t>
        </is>
      </c>
      <c r="B321" s="1" t="n">
        <v>44805</v>
      </c>
      <c r="C321" s="1" t="n">
        <v>46194</v>
      </c>
      <c r="D321" t="inlineStr">
        <is>
          <t>SÖDERMANLANDS LÄN</t>
        </is>
      </c>
      <c r="E321" t="inlineStr">
        <is>
          <t>KATRINEHOLM</t>
        </is>
      </c>
      <c r="G321" t="n">
        <v>1.1</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46194</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46194</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46194</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6446-2022</t>
        </is>
      </c>
      <c r="B325" s="1" t="n">
        <v>44600</v>
      </c>
      <c r="C325" s="1" t="n">
        <v>46194</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33752-2023</t>
        </is>
      </c>
      <c r="B326" s="1" t="n">
        <v>45120</v>
      </c>
      <c r="C326" s="1" t="n">
        <v>46194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16605-2025</t>
        </is>
      </c>
      <c r="B327" s="1" t="n">
        <v>45753</v>
      </c>
      <c r="C327" s="1" t="n">
        <v>46194</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45376-2022</t>
        </is>
      </c>
      <c r="B328" s="1" t="n">
        <v>44844</v>
      </c>
      <c r="C328" s="1" t="n">
        <v>46194</v>
      </c>
      <c r="D328" t="inlineStr">
        <is>
          <t>SÖDERMANLANDS LÄN</t>
        </is>
      </c>
      <c r="E328" t="inlineStr">
        <is>
          <t>KATRINEHOLM</t>
        </is>
      </c>
      <c r="G328" t="n">
        <v>4.7</v>
      </c>
      <c r="H328" t="n">
        <v>0</v>
      </c>
      <c r="I328" t="n">
        <v>0</v>
      </c>
      <c r="J328" t="n">
        <v>0</v>
      </c>
      <c r="K328" t="n">
        <v>0</v>
      </c>
      <c r="L328" t="n">
        <v>0</v>
      </c>
      <c r="M328" t="n">
        <v>0</v>
      </c>
      <c r="N328" t="n">
        <v>0</v>
      </c>
      <c r="O328" t="n">
        <v>0</v>
      </c>
      <c r="P328" t="n">
        <v>0</v>
      </c>
      <c r="Q328" t="n">
        <v>0</v>
      </c>
      <c r="R328" s="2" t="inlineStr"/>
    </row>
    <row r="329" ht="15" customHeight="1">
      <c r="A329" t="inlineStr">
        <is>
          <t>A 55122-2022</t>
        </is>
      </c>
      <c r="B329" s="1" t="n">
        <v>44886</v>
      </c>
      <c r="C329" s="1" t="n">
        <v>46194</v>
      </c>
      <c r="D329" t="inlineStr">
        <is>
          <t>SÖDERMANLANDS LÄN</t>
        </is>
      </c>
      <c r="E329" t="inlineStr">
        <is>
          <t>KATRINEHOLM</t>
        </is>
      </c>
      <c r="G329" t="n">
        <v>6.5</v>
      </c>
      <c r="H329" t="n">
        <v>0</v>
      </c>
      <c r="I329" t="n">
        <v>0</v>
      </c>
      <c r="J329" t="n">
        <v>0</v>
      </c>
      <c r="K329" t="n">
        <v>0</v>
      </c>
      <c r="L329" t="n">
        <v>0</v>
      </c>
      <c r="M329" t="n">
        <v>0</v>
      </c>
      <c r="N329" t="n">
        <v>0</v>
      </c>
      <c r="O329" t="n">
        <v>0</v>
      </c>
      <c r="P329" t="n">
        <v>0</v>
      </c>
      <c r="Q329" t="n">
        <v>0</v>
      </c>
      <c r="R329" s="2" t="inlineStr"/>
    </row>
    <row r="330" ht="15" customHeight="1">
      <c r="A330" t="inlineStr">
        <is>
          <t>A 17746-2024</t>
        </is>
      </c>
      <c r="B330" s="1" t="n">
        <v>45415</v>
      </c>
      <c r="C330" s="1" t="n">
        <v>46194</v>
      </c>
      <c r="D330" t="inlineStr">
        <is>
          <t>SÖDERMANLANDS LÄN</t>
        </is>
      </c>
      <c r="E330" t="inlineStr">
        <is>
          <t>KATRINEHOLM</t>
        </is>
      </c>
      <c r="G330" t="n">
        <v>7.8</v>
      </c>
      <c r="H330" t="n">
        <v>0</v>
      </c>
      <c r="I330" t="n">
        <v>0</v>
      </c>
      <c r="J330" t="n">
        <v>0</v>
      </c>
      <c r="K330" t="n">
        <v>0</v>
      </c>
      <c r="L330" t="n">
        <v>0</v>
      </c>
      <c r="M330" t="n">
        <v>0</v>
      </c>
      <c r="N330" t="n">
        <v>0</v>
      </c>
      <c r="O330" t="n">
        <v>0</v>
      </c>
      <c r="P330" t="n">
        <v>0</v>
      </c>
      <c r="Q330" t="n">
        <v>0</v>
      </c>
      <c r="R330" s="2" t="inlineStr"/>
    </row>
    <row r="331" ht="15" customHeight="1">
      <c r="A331" t="inlineStr">
        <is>
          <t>A 51923-2023</t>
        </is>
      </c>
      <c r="B331" s="1" t="n">
        <v>45223</v>
      </c>
      <c r="C331" s="1" t="n">
        <v>46194</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33141-2023</t>
        </is>
      </c>
      <c r="B332" s="1" t="n">
        <v>45126</v>
      </c>
      <c r="C332" s="1" t="n">
        <v>46194</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24179-2024</t>
        </is>
      </c>
      <c r="B333" s="1" t="n">
        <v>45456</v>
      </c>
      <c r="C333" s="1" t="n">
        <v>46194</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51264-2021</t>
        </is>
      </c>
      <c r="B334" s="1" t="n">
        <v>44461</v>
      </c>
      <c r="C334" s="1" t="n">
        <v>46194</v>
      </c>
      <c r="D334" t="inlineStr">
        <is>
          <t>SÖDERMANLANDS LÄN</t>
        </is>
      </c>
      <c r="E334" t="inlineStr">
        <is>
          <t>KATRINEHOLM</t>
        </is>
      </c>
      <c r="G334" t="n">
        <v>3.1</v>
      </c>
      <c r="H334" t="n">
        <v>0</v>
      </c>
      <c r="I334" t="n">
        <v>0</v>
      </c>
      <c r="J334" t="n">
        <v>0</v>
      </c>
      <c r="K334" t="n">
        <v>0</v>
      </c>
      <c r="L334" t="n">
        <v>0</v>
      </c>
      <c r="M334" t="n">
        <v>0</v>
      </c>
      <c r="N334" t="n">
        <v>0</v>
      </c>
      <c r="O334" t="n">
        <v>0</v>
      </c>
      <c r="P334" t="n">
        <v>0</v>
      </c>
      <c r="Q334" t="n">
        <v>0</v>
      </c>
      <c r="R334" s="2" t="inlineStr"/>
    </row>
    <row r="335" ht="15" customHeight="1">
      <c r="A335" t="inlineStr">
        <is>
          <t>A 9899-2023</t>
        </is>
      </c>
      <c r="B335" s="1" t="n">
        <v>44985</v>
      </c>
      <c r="C335" s="1" t="n">
        <v>46194</v>
      </c>
      <c r="D335" t="inlineStr">
        <is>
          <t>SÖDERMANLANDS LÄN</t>
        </is>
      </c>
      <c r="E335" t="inlineStr">
        <is>
          <t>KATRINEHOLM</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51128-2021</t>
        </is>
      </c>
      <c r="B336" s="1" t="n">
        <v>44460</v>
      </c>
      <c r="C336" s="1" t="n">
        <v>46194</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8288-2023</t>
        </is>
      </c>
      <c r="B337" s="1" t="n">
        <v>44974</v>
      </c>
      <c r="C337" s="1" t="n">
        <v>46194</v>
      </c>
      <c r="D337" t="inlineStr">
        <is>
          <t>SÖDERMANLANDS LÄN</t>
        </is>
      </c>
      <c r="E337" t="inlineStr">
        <is>
          <t>KATRINEHOLM</t>
        </is>
      </c>
      <c r="F337" t="inlineStr">
        <is>
          <t>Allmännings- och besparingsskogar</t>
        </is>
      </c>
      <c r="G337" t="n">
        <v>5.6</v>
      </c>
      <c r="H337" t="n">
        <v>0</v>
      </c>
      <c r="I337" t="n">
        <v>0</v>
      </c>
      <c r="J337" t="n">
        <v>0</v>
      </c>
      <c r="K337" t="n">
        <v>0</v>
      </c>
      <c r="L337" t="n">
        <v>0</v>
      </c>
      <c r="M337" t="n">
        <v>0</v>
      </c>
      <c r="N337" t="n">
        <v>0</v>
      </c>
      <c r="O337" t="n">
        <v>0</v>
      </c>
      <c r="P337" t="n">
        <v>0</v>
      </c>
      <c r="Q337" t="n">
        <v>0</v>
      </c>
      <c r="R337" s="2" t="inlineStr"/>
    </row>
    <row r="338" ht="15" customHeight="1">
      <c r="A338" t="inlineStr">
        <is>
          <t>A 3317-2023</t>
        </is>
      </c>
      <c r="B338" s="1" t="n">
        <v>44945</v>
      </c>
      <c r="C338" s="1" t="n">
        <v>46194</v>
      </c>
      <c r="D338" t="inlineStr">
        <is>
          <t>SÖDERMANLANDS LÄN</t>
        </is>
      </c>
      <c r="E338" t="inlineStr">
        <is>
          <t>KATRINEHOLM</t>
        </is>
      </c>
      <c r="G338" t="n">
        <v>3.2</v>
      </c>
      <c r="H338" t="n">
        <v>0</v>
      </c>
      <c r="I338" t="n">
        <v>0</v>
      </c>
      <c r="J338" t="n">
        <v>0</v>
      </c>
      <c r="K338" t="n">
        <v>0</v>
      </c>
      <c r="L338" t="n">
        <v>0</v>
      </c>
      <c r="M338" t="n">
        <v>0</v>
      </c>
      <c r="N338" t="n">
        <v>0</v>
      </c>
      <c r="O338" t="n">
        <v>0</v>
      </c>
      <c r="P338" t="n">
        <v>0</v>
      </c>
      <c r="Q338" t="n">
        <v>0</v>
      </c>
      <c r="R338" s="2" t="inlineStr"/>
    </row>
    <row r="339" ht="15" customHeight="1">
      <c r="A339" t="inlineStr">
        <is>
          <t>A 18386-2025</t>
        </is>
      </c>
      <c r="B339" s="1" t="n">
        <v>45762</v>
      </c>
      <c r="C339" s="1" t="n">
        <v>46194</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37185-2023</t>
        </is>
      </c>
      <c r="B340" s="1" t="n">
        <v>45154</v>
      </c>
      <c r="C340" s="1" t="n">
        <v>46194</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3125-2024</t>
        </is>
      </c>
      <c r="B341" s="1" t="n">
        <v>45316</v>
      </c>
      <c r="C341" s="1" t="n">
        <v>46194</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35183-2022</t>
        </is>
      </c>
      <c r="B342" s="1" t="n">
        <v>44797</v>
      </c>
      <c r="C342" s="1" t="n">
        <v>46194</v>
      </c>
      <c r="D342" t="inlineStr">
        <is>
          <t>SÖDERMANLANDS LÄN</t>
        </is>
      </c>
      <c r="E342" t="inlineStr">
        <is>
          <t>KATRINEHOLM</t>
        </is>
      </c>
      <c r="G342" t="n">
        <v>4.6</v>
      </c>
      <c r="H342" t="n">
        <v>0</v>
      </c>
      <c r="I342" t="n">
        <v>0</v>
      </c>
      <c r="J342" t="n">
        <v>0</v>
      </c>
      <c r="K342" t="n">
        <v>0</v>
      </c>
      <c r="L342" t="n">
        <v>0</v>
      </c>
      <c r="M342" t="n">
        <v>0</v>
      </c>
      <c r="N342" t="n">
        <v>0</v>
      </c>
      <c r="O342" t="n">
        <v>0</v>
      </c>
      <c r="P342" t="n">
        <v>0</v>
      </c>
      <c r="Q342" t="n">
        <v>0</v>
      </c>
      <c r="R342" s="2" t="inlineStr"/>
    </row>
    <row r="343" ht="15" customHeight="1">
      <c r="A343" t="inlineStr">
        <is>
          <t>A 49218-2023</t>
        </is>
      </c>
      <c r="B343" s="1" t="n">
        <v>45205</v>
      </c>
      <c r="C343" s="1" t="n">
        <v>46194</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42519-2024</t>
        </is>
      </c>
      <c r="B344" s="1" t="n">
        <v>45565</v>
      </c>
      <c r="C344" s="1" t="n">
        <v>46194</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46194</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20826-2022</t>
        </is>
      </c>
      <c r="B346" s="1" t="n">
        <v>44701</v>
      </c>
      <c r="C346" s="1" t="n">
        <v>46194</v>
      </c>
      <c r="D346" t="inlineStr">
        <is>
          <t>SÖDERMANLANDS LÄN</t>
        </is>
      </c>
      <c r="E346" t="inlineStr">
        <is>
          <t>KATRINEHOLM</t>
        </is>
      </c>
      <c r="G346" t="n">
        <v>6.8</v>
      </c>
      <c r="H346" t="n">
        <v>0</v>
      </c>
      <c r="I346" t="n">
        <v>0</v>
      </c>
      <c r="J346" t="n">
        <v>0</v>
      </c>
      <c r="K346" t="n">
        <v>0</v>
      </c>
      <c r="L346" t="n">
        <v>0</v>
      </c>
      <c r="M346" t="n">
        <v>0</v>
      </c>
      <c r="N346" t="n">
        <v>0</v>
      </c>
      <c r="O346" t="n">
        <v>0</v>
      </c>
      <c r="P346" t="n">
        <v>0</v>
      </c>
      <c r="Q346" t="n">
        <v>0</v>
      </c>
      <c r="R346" s="2" t="inlineStr"/>
    </row>
    <row r="347" ht="15" customHeight="1">
      <c r="A347" t="inlineStr">
        <is>
          <t>A 20846-2022</t>
        </is>
      </c>
      <c r="B347" s="1" t="n">
        <v>44701</v>
      </c>
      <c r="C347" s="1" t="n">
        <v>46194</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43088-2022</t>
        </is>
      </c>
      <c r="B348" s="1" t="n">
        <v>44833</v>
      </c>
      <c r="C348" s="1" t="n">
        <v>46194</v>
      </c>
      <c r="D348" t="inlineStr">
        <is>
          <t>SÖDERMANLANDS LÄN</t>
        </is>
      </c>
      <c r="E348" t="inlineStr">
        <is>
          <t>KATRINEHOLM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64605-2023</t>
        </is>
      </c>
      <c r="B349" s="1" t="n">
        <v>45281</v>
      </c>
      <c r="C349" s="1" t="n">
        <v>46194</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49078-2024</t>
        </is>
      </c>
      <c r="B350" s="1" t="n">
        <v>45594</v>
      </c>
      <c r="C350" s="1" t="n">
        <v>46194</v>
      </c>
      <c r="D350" t="inlineStr">
        <is>
          <t>SÖDERMANLANDS LÄN</t>
        </is>
      </c>
      <c r="E350" t="inlineStr">
        <is>
          <t>KATRINEHOLM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47879-2023</t>
        </is>
      </c>
      <c r="B351" s="1" t="n">
        <v>45204</v>
      </c>
      <c r="C351" s="1" t="n">
        <v>46194</v>
      </c>
      <c r="D351" t="inlineStr">
        <is>
          <t>SÖDERMANLANDS LÄN</t>
        </is>
      </c>
      <c r="E351" t="inlineStr">
        <is>
          <t>KATRINEHOLM</t>
        </is>
      </c>
      <c r="F351" t="inlineStr">
        <is>
          <t>Övriga Aktiebolag</t>
        </is>
      </c>
      <c r="G351" t="n">
        <v>2.3</v>
      </c>
      <c r="H351" t="n">
        <v>0</v>
      </c>
      <c r="I351" t="n">
        <v>0</v>
      </c>
      <c r="J351" t="n">
        <v>0</v>
      </c>
      <c r="K351" t="n">
        <v>0</v>
      </c>
      <c r="L351" t="n">
        <v>0</v>
      </c>
      <c r="M351" t="n">
        <v>0</v>
      </c>
      <c r="N351" t="n">
        <v>0</v>
      </c>
      <c r="O351" t="n">
        <v>0</v>
      </c>
      <c r="P351" t="n">
        <v>0</v>
      </c>
      <c r="Q351" t="n">
        <v>0</v>
      </c>
      <c r="R351" s="2" t="inlineStr"/>
    </row>
    <row r="352" ht="15" customHeight="1">
      <c r="A352" t="inlineStr">
        <is>
          <t>A 55169-2022</t>
        </is>
      </c>
      <c r="B352" s="1" t="n">
        <v>44886</v>
      </c>
      <c r="C352" s="1" t="n">
        <v>46194</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12975-2022</t>
        </is>
      </c>
      <c r="B353" s="1" t="n">
        <v>44643</v>
      </c>
      <c r="C353" s="1" t="n">
        <v>46194</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51260-2021</t>
        </is>
      </c>
      <c r="B354" s="1" t="n">
        <v>44461</v>
      </c>
      <c r="C354" s="1" t="n">
        <v>46194</v>
      </c>
      <c r="D354" t="inlineStr">
        <is>
          <t>SÖDERMANLANDS LÄN</t>
        </is>
      </c>
      <c r="E354" t="inlineStr">
        <is>
          <t>KATRINEHOLM</t>
        </is>
      </c>
      <c r="G354" t="n">
        <v>0.7</v>
      </c>
      <c r="H354" t="n">
        <v>0</v>
      </c>
      <c r="I354" t="n">
        <v>0</v>
      </c>
      <c r="J354" t="n">
        <v>0</v>
      </c>
      <c r="K354" t="n">
        <v>0</v>
      </c>
      <c r="L354" t="n">
        <v>0</v>
      </c>
      <c r="M354" t="n">
        <v>0</v>
      </c>
      <c r="N354" t="n">
        <v>0</v>
      </c>
      <c r="O354" t="n">
        <v>0</v>
      </c>
      <c r="P354" t="n">
        <v>0</v>
      </c>
      <c r="Q354" t="n">
        <v>0</v>
      </c>
      <c r="R354" s="2" t="inlineStr"/>
    </row>
    <row r="355" ht="15" customHeight="1">
      <c r="A355" t="inlineStr">
        <is>
          <t>A 53843-2023</t>
        </is>
      </c>
      <c r="B355" s="1" t="n">
        <v>45230</v>
      </c>
      <c r="C355" s="1" t="n">
        <v>46194</v>
      </c>
      <c r="D355" t="inlineStr">
        <is>
          <t>SÖDERMANLANDS LÄN</t>
        </is>
      </c>
      <c r="E355" t="inlineStr">
        <is>
          <t>KATRINEHOLM</t>
        </is>
      </c>
      <c r="G355" t="n">
        <v>14.2</v>
      </c>
      <c r="H355" t="n">
        <v>0</v>
      </c>
      <c r="I355" t="n">
        <v>0</v>
      </c>
      <c r="J355" t="n">
        <v>0</v>
      </c>
      <c r="K355" t="n">
        <v>0</v>
      </c>
      <c r="L355" t="n">
        <v>0</v>
      </c>
      <c r="M355" t="n">
        <v>0</v>
      </c>
      <c r="N355" t="n">
        <v>0</v>
      </c>
      <c r="O355" t="n">
        <v>0</v>
      </c>
      <c r="P355" t="n">
        <v>0</v>
      </c>
      <c r="Q355" t="n">
        <v>0</v>
      </c>
      <c r="R355" s="2" t="inlineStr"/>
    </row>
    <row r="356" ht="15" customHeight="1">
      <c r="A356" t="inlineStr">
        <is>
          <t>A 48763-2024</t>
        </is>
      </c>
      <c r="B356" s="1" t="n">
        <v>45593</v>
      </c>
      <c r="C356" s="1" t="n">
        <v>46194</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61398-2024</t>
        </is>
      </c>
      <c r="B357" s="1" t="n">
        <v>45646</v>
      </c>
      <c r="C357" s="1" t="n">
        <v>46194</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v>
      </c>
      <c r="C358" s="1" t="n">
        <v>46194</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v>
      </c>
      <c r="C359" s="1" t="n">
        <v>46194</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39645-2025</t>
        </is>
      </c>
      <c r="B360" s="1" t="n">
        <v>45890</v>
      </c>
      <c r="C360" s="1" t="n">
        <v>46194</v>
      </c>
      <c r="D360" t="inlineStr">
        <is>
          <t>SÖDERMANLANDS LÄN</t>
        </is>
      </c>
      <c r="E360" t="inlineStr">
        <is>
          <t>KATRINEHOLM</t>
        </is>
      </c>
      <c r="G360" t="n">
        <v>0.2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46194</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24287-2024</t>
        </is>
      </c>
      <c r="B362" s="1" t="n">
        <v>45457</v>
      </c>
      <c r="C362" s="1" t="n">
        <v>46194</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8518-2023</t>
        </is>
      </c>
      <c r="B363" s="1" t="n">
        <v>44977</v>
      </c>
      <c r="C363" s="1" t="n">
        <v>46194</v>
      </c>
      <c r="D363" t="inlineStr">
        <is>
          <t>SÖDERMANLANDS LÄN</t>
        </is>
      </c>
      <c r="E363" t="inlineStr">
        <is>
          <t>KATRINEHOLM</t>
        </is>
      </c>
      <c r="F363" t="inlineStr">
        <is>
          <t>Allmännings- och besparingsskogar</t>
        </is>
      </c>
      <c r="G363" t="n">
        <v>35.3</v>
      </c>
      <c r="H363" t="n">
        <v>0</v>
      </c>
      <c r="I363" t="n">
        <v>0</v>
      </c>
      <c r="J363" t="n">
        <v>0</v>
      </c>
      <c r="K363" t="n">
        <v>0</v>
      </c>
      <c r="L363" t="n">
        <v>0</v>
      </c>
      <c r="M363" t="n">
        <v>0</v>
      </c>
      <c r="N363" t="n">
        <v>0</v>
      </c>
      <c r="O363" t="n">
        <v>0</v>
      </c>
      <c r="P363" t="n">
        <v>0</v>
      </c>
      <c r="Q363" t="n">
        <v>0</v>
      </c>
      <c r="R363" s="2" t="inlineStr"/>
    </row>
    <row r="364" ht="15" customHeight="1">
      <c r="A364" t="inlineStr">
        <is>
          <t>A 26081-2024</t>
        </is>
      </c>
      <c r="B364" s="1" t="n">
        <v>45462</v>
      </c>
      <c r="C364" s="1" t="n">
        <v>46194</v>
      </c>
      <c r="D364" t="inlineStr">
        <is>
          <t>SÖDERMANLANDS LÄN</t>
        </is>
      </c>
      <c r="E364" t="inlineStr">
        <is>
          <t>KATRINEHOLM</t>
        </is>
      </c>
      <c r="G364" t="n">
        <v>4.1</v>
      </c>
      <c r="H364" t="n">
        <v>0</v>
      </c>
      <c r="I364" t="n">
        <v>0</v>
      </c>
      <c r="J364" t="n">
        <v>0</v>
      </c>
      <c r="K364" t="n">
        <v>0</v>
      </c>
      <c r="L364" t="n">
        <v>0</v>
      </c>
      <c r="M364" t="n">
        <v>0</v>
      </c>
      <c r="N364" t="n">
        <v>0</v>
      </c>
      <c r="O364" t="n">
        <v>0</v>
      </c>
      <c r="P364" t="n">
        <v>0</v>
      </c>
      <c r="Q364" t="n">
        <v>0</v>
      </c>
      <c r="R364" s="2" t="inlineStr"/>
    </row>
    <row r="365" ht="15" customHeight="1">
      <c r="A365" t="inlineStr">
        <is>
          <t>A 48030-2022</t>
        </is>
      </c>
      <c r="B365" s="1" t="n">
        <v>44855</v>
      </c>
      <c r="C365" s="1" t="n">
        <v>46194</v>
      </c>
      <c r="D365" t="inlineStr">
        <is>
          <t>SÖDERMANLANDS LÄN</t>
        </is>
      </c>
      <c r="E365" t="inlineStr">
        <is>
          <t>KATRINEHOLM</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12930-2023</t>
        </is>
      </c>
      <c r="B366" s="1" t="n">
        <v>45001</v>
      </c>
      <c r="C366" s="1" t="n">
        <v>46194</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12938-2023</t>
        </is>
      </c>
      <c r="B367" s="1" t="n">
        <v>45001</v>
      </c>
      <c r="C367" s="1" t="n">
        <v>46194</v>
      </c>
      <c r="D367" t="inlineStr">
        <is>
          <t>SÖDERMANLANDS LÄN</t>
        </is>
      </c>
      <c r="E367" t="inlineStr">
        <is>
          <t>KATRINEHOLM</t>
        </is>
      </c>
      <c r="G367" t="n">
        <v>0.4</v>
      </c>
      <c r="H367" t="n">
        <v>0</v>
      </c>
      <c r="I367" t="n">
        <v>0</v>
      </c>
      <c r="J367" t="n">
        <v>0</v>
      </c>
      <c r="K367" t="n">
        <v>0</v>
      </c>
      <c r="L367" t="n">
        <v>0</v>
      </c>
      <c r="M367" t="n">
        <v>0</v>
      </c>
      <c r="N367" t="n">
        <v>0</v>
      </c>
      <c r="O367" t="n">
        <v>0</v>
      </c>
      <c r="P367" t="n">
        <v>0</v>
      </c>
      <c r="Q367" t="n">
        <v>0</v>
      </c>
      <c r="R367" s="2" t="inlineStr"/>
    </row>
    <row r="368" ht="15" customHeight="1">
      <c r="A368" t="inlineStr">
        <is>
          <t>A 12559-2023</t>
        </is>
      </c>
      <c r="B368" s="1" t="n">
        <v>45000</v>
      </c>
      <c r="C368" s="1" t="n">
        <v>46194</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7704-2023</t>
        </is>
      </c>
      <c r="B369" s="1" t="n">
        <v>44968</v>
      </c>
      <c r="C369" s="1" t="n">
        <v>46194</v>
      </c>
      <c r="D369" t="inlineStr">
        <is>
          <t>SÖDERMANLANDS LÄN</t>
        </is>
      </c>
      <c r="E369" t="inlineStr">
        <is>
          <t>KATRINEHOLM</t>
        </is>
      </c>
      <c r="G369" t="n">
        <v>7.3</v>
      </c>
      <c r="H369" t="n">
        <v>0</v>
      </c>
      <c r="I369" t="n">
        <v>0</v>
      </c>
      <c r="J369" t="n">
        <v>0</v>
      </c>
      <c r="K369" t="n">
        <v>0</v>
      </c>
      <c r="L369" t="n">
        <v>0</v>
      </c>
      <c r="M369" t="n">
        <v>0</v>
      </c>
      <c r="N369" t="n">
        <v>0</v>
      </c>
      <c r="O369" t="n">
        <v>0</v>
      </c>
      <c r="P369" t="n">
        <v>0</v>
      </c>
      <c r="Q369" t="n">
        <v>0</v>
      </c>
      <c r="R369" s="2" t="inlineStr"/>
    </row>
    <row r="370" ht="15" customHeight="1">
      <c r="A370" t="inlineStr">
        <is>
          <t>A 49122-2024</t>
        </is>
      </c>
      <c r="B370" s="1" t="n">
        <v>45594</v>
      </c>
      <c r="C370" s="1" t="n">
        <v>46194</v>
      </c>
      <c r="D370" t="inlineStr">
        <is>
          <t>SÖDERMANLANDS LÄN</t>
        </is>
      </c>
      <c r="E370" t="inlineStr">
        <is>
          <t>KATRINEHOLM</t>
        </is>
      </c>
      <c r="G370" t="n">
        <v>19.4</v>
      </c>
      <c r="H370" t="n">
        <v>0</v>
      </c>
      <c r="I370" t="n">
        <v>0</v>
      </c>
      <c r="J370" t="n">
        <v>0</v>
      </c>
      <c r="K370" t="n">
        <v>0</v>
      </c>
      <c r="L370" t="n">
        <v>0</v>
      </c>
      <c r="M370" t="n">
        <v>0</v>
      </c>
      <c r="N370" t="n">
        <v>0</v>
      </c>
      <c r="O370" t="n">
        <v>0</v>
      </c>
      <c r="P370" t="n">
        <v>0</v>
      </c>
      <c r="Q370" t="n">
        <v>0</v>
      </c>
      <c r="R370" s="2" t="inlineStr"/>
    </row>
    <row r="371" ht="15" customHeight="1">
      <c r="A371" t="inlineStr">
        <is>
          <t>A 11127-2023</t>
        </is>
      </c>
      <c r="B371" s="1" t="n">
        <v>44987</v>
      </c>
      <c r="C371" s="1" t="n">
        <v>46194</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948-2023</t>
        </is>
      </c>
      <c r="B372" s="1" t="n">
        <v>44934</v>
      </c>
      <c r="C372" s="1" t="n">
        <v>46194</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37542-2022</t>
        </is>
      </c>
      <c r="B373" s="1" t="n">
        <v>44809</v>
      </c>
      <c r="C373" s="1" t="n">
        <v>46194</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41229-2022</t>
        </is>
      </c>
      <c r="B374" s="1" t="n">
        <v>44825</v>
      </c>
      <c r="C374" s="1" t="n">
        <v>46194</v>
      </c>
      <c r="D374" t="inlineStr">
        <is>
          <t>SÖDERMANLANDS LÄN</t>
        </is>
      </c>
      <c r="E374" t="inlineStr">
        <is>
          <t>KATRINEHOLM</t>
        </is>
      </c>
      <c r="G374" t="n">
        <v>3.8</v>
      </c>
      <c r="H374" t="n">
        <v>0</v>
      </c>
      <c r="I374" t="n">
        <v>0</v>
      </c>
      <c r="J374" t="n">
        <v>0</v>
      </c>
      <c r="K374" t="n">
        <v>0</v>
      </c>
      <c r="L374" t="n">
        <v>0</v>
      </c>
      <c r="M374" t="n">
        <v>0</v>
      </c>
      <c r="N374" t="n">
        <v>0</v>
      </c>
      <c r="O374" t="n">
        <v>0</v>
      </c>
      <c r="P374" t="n">
        <v>0</v>
      </c>
      <c r="Q374" t="n">
        <v>0</v>
      </c>
      <c r="R374" s="2" t="inlineStr"/>
    </row>
    <row r="375" ht="15" customHeight="1">
      <c r="A375" t="inlineStr">
        <is>
          <t>A 64652-2023</t>
        </is>
      </c>
      <c r="B375" s="1" t="n">
        <v>45281</v>
      </c>
      <c r="C375" s="1" t="n">
        <v>46194</v>
      </c>
      <c r="D375" t="inlineStr">
        <is>
          <t>SÖDERMANLANDS LÄN</t>
        </is>
      </c>
      <c r="E375" t="inlineStr">
        <is>
          <t>KATRINEHOLM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69117-2021</t>
        </is>
      </c>
      <c r="B376" s="1" t="n">
        <v>44530</v>
      </c>
      <c r="C376" s="1" t="n">
        <v>46194</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27345-2023</t>
        </is>
      </c>
      <c r="B377" s="1" t="n">
        <v>45096</v>
      </c>
      <c r="C377" s="1" t="n">
        <v>46194</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38308-2021</t>
        </is>
      </c>
      <c r="B378" s="1" t="n">
        <v>44406</v>
      </c>
      <c r="C378" s="1" t="n">
        <v>46194</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55172-2022</t>
        </is>
      </c>
      <c r="B379" s="1" t="n">
        <v>44886</v>
      </c>
      <c r="C379" s="1" t="n">
        <v>46194</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67337-2021</t>
        </is>
      </c>
      <c r="B380" s="1" t="n">
        <v>44523</v>
      </c>
      <c r="C380" s="1" t="n">
        <v>46194</v>
      </c>
      <c r="D380" t="inlineStr">
        <is>
          <t>SÖDERMANLANDS LÄN</t>
        </is>
      </c>
      <c r="E380" t="inlineStr">
        <is>
          <t>KATRINEHOLM</t>
        </is>
      </c>
      <c r="G380" t="n">
        <v>5.2</v>
      </c>
      <c r="H380" t="n">
        <v>0</v>
      </c>
      <c r="I380" t="n">
        <v>0</v>
      </c>
      <c r="J380" t="n">
        <v>0</v>
      </c>
      <c r="K380" t="n">
        <v>0</v>
      </c>
      <c r="L380" t="n">
        <v>0</v>
      </c>
      <c r="M380" t="n">
        <v>0</v>
      </c>
      <c r="N380" t="n">
        <v>0</v>
      </c>
      <c r="O380" t="n">
        <v>0</v>
      </c>
      <c r="P380" t="n">
        <v>0</v>
      </c>
      <c r="Q380" t="n">
        <v>0</v>
      </c>
      <c r="R380" s="2" t="inlineStr"/>
    </row>
    <row r="381" ht="15" customHeight="1">
      <c r="A381" t="inlineStr">
        <is>
          <t>A 1151-2025</t>
        </is>
      </c>
      <c r="B381" s="1" t="n">
        <v>45666</v>
      </c>
      <c r="C381" s="1" t="n">
        <v>46194</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29394-2024</t>
        </is>
      </c>
      <c r="B382" s="1" t="n">
        <v>45483</v>
      </c>
      <c r="C382" s="1" t="n">
        <v>46194</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39663-2025</t>
        </is>
      </c>
      <c r="B383" s="1" t="n">
        <v>45890</v>
      </c>
      <c r="C383" s="1" t="n">
        <v>46194</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50032-2022</t>
        </is>
      </c>
      <c r="B384" s="1" t="n">
        <v>44860</v>
      </c>
      <c r="C384" s="1" t="n">
        <v>46194</v>
      </c>
      <c r="D384" t="inlineStr">
        <is>
          <t>SÖDERMANLANDS LÄN</t>
        </is>
      </c>
      <c r="E384" t="inlineStr">
        <is>
          <t>KATRINEHOLM</t>
        </is>
      </c>
      <c r="G384" t="n">
        <v>7.5</v>
      </c>
      <c r="H384" t="n">
        <v>0</v>
      </c>
      <c r="I384" t="n">
        <v>0</v>
      </c>
      <c r="J384" t="n">
        <v>0</v>
      </c>
      <c r="K384" t="n">
        <v>0</v>
      </c>
      <c r="L384" t="n">
        <v>0</v>
      </c>
      <c r="M384" t="n">
        <v>0</v>
      </c>
      <c r="N384" t="n">
        <v>0</v>
      </c>
      <c r="O384" t="n">
        <v>0</v>
      </c>
      <c r="P384" t="n">
        <v>0</v>
      </c>
      <c r="Q384" t="n">
        <v>0</v>
      </c>
      <c r="R384" s="2" t="inlineStr"/>
    </row>
    <row r="385" ht="15" customHeight="1">
      <c r="A385" t="inlineStr">
        <is>
          <t>A 26713-2024</t>
        </is>
      </c>
      <c r="B385" s="1" t="n">
        <v>45470</v>
      </c>
      <c r="C385" s="1" t="n">
        <v>46194</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43837-2022</t>
        </is>
      </c>
      <c r="B386" s="1" t="n">
        <v>44838</v>
      </c>
      <c r="C386" s="1" t="n">
        <v>46194</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57510-2021</t>
        </is>
      </c>
      <c r="B387" s="1" t="n">
        <v>44483</v>
      </c>
      <c r="C387" s="1" t="n">
        <v>46194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61394-2024</t>
        </is>
      </c>
      <c r="B388" s="1" t="n">
        <v>45646</v>
      </c>
      <c r="C388" s="1" t="n">
        <v>46194</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46194</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41946-2022</t>
        </is>
      </c>
      <c r="B390" s="1" t="n">
        <v>44830</v>
      </c>
      <c r="C390" s="1" t="n">
        <v>46194</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3115-2024</t>
        </is>
      </c>
      <c r="B391" s="1" t="n">
        <v>45316</v>
      </c>
      <c r="C391" s="1" t="n">
        <v>46194</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55732-2023</t>
        </is>
      </c>
      <c r="B392" s="1" t="n">
        <v>45239</v>
      </c>
      <c r="C392" s="1" t="n">
        <v>46194</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40159-2023</t>
        </is>
      </c>
      <c r="B393" s="1" t="n">
        <v>45169</v>
      </c>
      <c r="C393" s="1" t="n">
        <v>46194</v>
      </c>
      <c r="D393" t="inlineStr">
        <is>
          <t>SÖDERMANLANDS LÄN</t>
        </is>
      </c>
      <c r="E393" t="inlineStr">
        <is>
          <t>KATRINEHOLM</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28675-2024</t>
        </is>
      </c>
      <c r="B394" s="1" t="n">
        <v>45478</v>
      </c>
      <c r="C394" s="1" t="n">
        <v>46194</v>
      </c>
      <c r="D394" t="inlineStr">
        <is>
          <t>SÖDERMANLANDS LÄN</t>
        </is>
      </c>
      <c r="E394" t="inlineStr">
        <is>
          <t>KATRINEHOLM</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27875-2024</t>
        </is>
      </c>
      <c r="B395" s="1" t="n">
        <v>45475</v>
      </c>
      <c r="C395" s="1" t="n">
        <v>46194</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61431-2024</t>
        </is>
      </c>
      <c r="B396" s="1" t="n">
        <v>45646</v>
      </c>
      <c r="C396" s="1" t="n">
        <v>46194</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18339-2023</t>
        </is>
      </c>
      <c r="B397" s="1" t="n">
        <v>45041</v>
      </c>
      <c r="C397" s="1" t="n">
        <v>46194</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28995-2024</t>
        </is>
      </c>
      <c r="B398" s="1" t="n">
        <v>45481</v>
      </c>
      <c r="C398" s="1" t="n">
        <v>46194</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44659-2023</t>
        </is>
      </c>
      <c r="B399" s="1" t="n">
        <v>45189</v>
      </c>
      <c r="C399" s="1" t="n">
        <v>46194</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51446-2023</t>
        </is>
      </c>
      <c r="B400" s="1" t="n">
        <v>45220</v>
      </c>
      <c r="C400" s="1" t="n">
        <v>46194</v>
      </c>
      <c r="D400" t="inlineStr">
        <is>
          <t>SÖDERMANLANDS LÄN</t>
        </is>
      </c>
      <c r="E400" t="inlineStr">
        <is>
          <t>KATRINEHOLM</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44989-2022</t>
        </is>
      </c>
      <c r="B401" s="1" t="n">
        <v>44840</v>
      </c>
      <c r="C401" s="1" t="n">
        <v>46194</v>
      </c>
      <c r="D401" t="inlineStr">
        <is>
          <t>SÖDERMANLANDS LÄN</t>
        </is>
      </c>
      <c r="E401" t="inlineStr">
        <is>
          <t>KATRINEHOLM</t>
        </is>
      </c>
      <c r="G401" t="n">
        <v>6</v>
      </c>
      <c r="H401" t="n">
        <v>0</v>
      </c>
      <c r="I401" t="n">
        <v>0</v>
      </c>
      <c r="J401" t="n">
        <v>0</v>
      </c>
      <c r="K401" t="n">
        <v>0</v>
      </c>
      <c r="L401" t="n">
        <v>0</v>
      </c>
      <c r="M401" t="n">
        <v>0</v>
      </c>
      <c r="N401" t="n">
        <v>0</v>
      </c>
      <c r="O401" t="n">
        <v>0</v>
      </c>
      <c r="P401" t="n">
        <v>0</v>
      </c>
      <c r="Q401" t="n">
        <v>0</v>
      </c>
      <c r="R401" s="2" t="inlineStr"/>
    </row>
    <row r="402" ht="15" customHeight="1">
      <c r="A402" t="inlineStr">
        <is>
          <t>A 48259-2022</t>
        </is>
      </c>
      <c r="B402" s="1" t="n">
        <v>44858</v>
      </c>
      <c r="C402" s="1" t="n">
        <v>46194</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27955-2023</t>
        </is>
      </c>
      <c r="B403" s="1" t="n">
        <v>45098</v>
      </c>
      <c r="C403" s="1" t="n">
        <v>46194</v>
      </c>
      <c r="D403" t="inlineStr">
        <is>
          <t>SÖDERMANLANDS LÄN</t>
        </is>
      </c>
      <c r="E403" t="inlineStr">
        <is>
          <t>KATRINEHOLM</t>
        </is>
      </c>
      <c r="G403" t="n">
        <v>5.9</v>
      </c>
      <c r="H403" t="n">
        <v>0</v>
      </c>
      <c r="I403" t="n">
        <v>0</v>
      </c>
      <c r="J403" t="n">
        <v>0</v>
      </c>
      <c r="K403" t="n">
        <v>0</v>
      </c>
      <c r="L403" t="n">
        <v>0</v>
      </c>
      <c r="M403" t="n">
        <v>0</v>
      </c>
      <c r="N403" t="n">
        <v>0</v>
      </c>
      <c r="O403" t="n">
        <v>0</v>
      </c>
      <c r="P403" t="n">
        <v>0</v>
      </c>
      <c r="Q403" t="n">
        <v>0</v>
      </c>
      <c r="R403" s="2" t="inlineStr"/>
    </row>
    <row r="404" ht="15" customHeight="1">
      <c r="A404" t="inlineStr">
        <is>
          <t>A 47889-2023</t>
        </is>
      </c>
      <c r="B404" s="1" t="n">
        <v>45204</v>
      </c>
      <c r="C404" s="1" t="n">
        <v>46194</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4669-2023</t>
        </is>
      </c>
      <c r="B405" s="1" t="n">
        <v>44957</v>
      </c>
      <c r="C405" s="1" t="n">
        <v>46194</v>
      </c>
      <c r="D405" t="inlineStr">
        <is>
          <t>SÖDERMANLANDS LÄN</t>
        </is>
      </c>
      <c r="E405" t="inlineStr">
        <is>
          <t>KATRINEHOLM</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34732-2022</t>
        </is>
      </c>
      <c r="B406" s="1" t="n">
        <v>44795</v>
      </c>
      <c r="C406" s="1" t="n">
        <v>46194</v>
      </c>
      <c r="D406" t="inlineStr">
        <is>
          <t>SÖDERMANLANDS LÄN</t>
        </is>
      </c>
      <c r="E406" t="inlineStr">
        <is>
          <t>KATRINEHOLM</t>
        </is>
      </c>
      <c r="G406" t="n">
        <v>3</v>
      </c>
      <c r="H406" t="n">
        <v>0</v>
      </c>
      <c r="I406" t="n">
        <v>0</v>
      </c>
      <c r="J406" t="n">
        <v>0</v>
      </c>
      <c r="K406" t="n">
        <v>0</v>
      </c>
      <c r="L406" t="n">
        <v>0</v>
      </c>
      <c r="M406" t="n">
        <v>0</v>
      </c>
      <c r="N406" t="n">
        <v>0</v>
      </c>
      <c r="O406" t="n">
        <v>0</v>
      </c>
      <c r="P406" t="n">
        <v>0</v>
      </c>
      <c r="Q406" t="n">
        <v>0</v>
      </c>
      <c r="R406" s="2" t="inlineStr"/>
    </row>
    <row r="407" ht="15" customHeight="1">
      <c r="A407" t="inlineStr">
        <is>
          <t>A 4724-2023</t>
        </is>
      </c>
      <c r="B407" s="1" t="n">
        <v>44957</v>
      </c>
      <c r="C407" s="1" t="n">
        <v>46194</v>
      </c>
      <c r="D407" t="inlineStr">
        <is>
          <t>SÖDERMANLANDS LÄN</t>
        </is>
      </c>
      <c r="E407" t="inlineStr">
        <is>
          <t>KATRINEHOLM</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49341-2024</t>
        </is>
      </c>
      <c r="B408" s="1" t="n">
        <v>45595</v>
      </c>
      <c r="C408" s="1" t="n">
        <v>46194</v>
      </c>
      <c r="D408" t="inlineStr">
        <is>
          <t>SÖDERMANLANDS LÄN</t>
        </is>
      </c>
      <c r="E408" t="inlineStr">
        <is>
          <t>KATRINEHOLM</t>
        </is>
      </c>
      <c r="G408" t="n">
        <v>10</v>
      </c>
      <c r="H408" t="n">
        <v>0</v>
      </c>
      <c r="I408" t="n">
        <v>0</v>
      </c>
      <c r="J408" t="n">
        <v>0</v>
      </c>
      <c r="K408" t="n">
        <v>0</v>
      </c>
      <c r="L408" t="n">
        <v>0</v>
      </c>
      <c r="M408" t="n">
        <v>0</v>
      </c>
      <c r="N408" t="n">
        <v>0</v>
      </c>
      <c r="O408" t="n">
        <v>0</v>
      </c>
      <c r="P408" t="n">
        <v>0</v>
      </c>
      <c r="Q408" t="n">
        <v>0</v>
      </c>
      <c r="R408" s="2" t="inlineStr"/>
    </row>
    <row r="409" ht="15" customHeight="1">
      <c r="A409" t="inlineStr">
        <is>
          <t>A 32166-2022</t>
        </is>
      </c>
      <c r="B409" s="1" t="n">
        <v>44781</v>
      </c>
      <c r="C409" s="1" t="n">
        <v>46194</v>
      </c>
      <c r="D409" t="inlineStr">
        <is>
          <t>SÖDERMANLANDS LÄN</t>
        </is>
      </c>
      <c r="E409" t="inlineStr">
        <is>
          <t>KATRINEHOLM</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32169-2022</t>
        </is>
      </c>
      <c r="B410" s="1" t="n">
        <v>44781</v>
      </c>
      <c r="C410" s="1" t="n">
        <v>46194</v>
      </c>
      <c r="D410" t="inlineStr">
        <is>
          <t>SÖDERMANLANDS LÄN</t>
        </is>
      </c>
      <c r="E410" t="inlineStr">
        <is>
          <t>KATRINEHOLM</t>
        </is>
      </c>
      <c r="F410" t="inlineStr">
        <is>
          <t>Kommuner</t>
        </is>
      </c>
      <c r="G410" t="n">
        <v>0.9</v>
      </c>
      <c r="H410" t="n">
        <v>0</v>
      </c>
      <c r="I410" t="n">
        <v>0</v>
      </c>
      <c r="J410" t="n">
        <v>0</v>
      </c>
      <c r="K410" t="n">
        <v>0</v>
      </c>
      <c r="L410" t="n">
        <v>0</v>
      </c>
      <c r="M410" t="n">
        <v>0</v>
      </c>
      <c r="N410" t="n">
        <v>0</v>
      </c>
      <c r="O410" t="n">
        <v>0</v>
      </c>
      <c r="P410" t="n">
        <v>0</v>
      </c>
      <c r="Q410" t="n">
        <v>0</v>
      </c>
      <c r="R410" s="2" t="inlineStr"/>
    </row>
    <row r="411" ht="15" customHeight="1">
      <c r="A411" t="inlineStr">
        <is>
          <t>A 35864-2023</t>
        </is>
      </c>
      <c r="B411" s="1" t="n">
        <v>45147</v>
      </c>
      <c r="C411" s="1" t="n">
        <v>46194</v>
      </c>
      <c r="D411" t="inlineStr">
        <is>
          <t>SÖDERMANLANDS LÄN</t>
        </is>
      </c>
      <c r="E411" t="inlineStr">
        <is>
          <t>KATRINEHOLM</t>
        </is>
      </c>
      <c r="F411" t="inlineStr">
        <is>
          <t>Övriga Aktiebolag</t>
        </is>
      </c>
      <c r="G411" t="n">
        <v>4.7</v>
      </c>
      <c r="H411" t="n">
        <v>0</v>
      </c>
      <c r="I411" t="n">
        <v>0</v>
      </c>
      <c r="J411" t="n">
        <v>0</v>
      </c>
      <c r="K411" t="n">
        <v>0</v>
      </c>
      <c r="L411" t="n">
        <v>0</v>
      </c>
      <c r="M411" t="n">
        <v>0</v>
      </c>
      <c r="N411" t="n">
        <v>0</v>
      </c>
      <c r="O411" t="n">
        <v>0</v>
      </c>
      <c r="P411" t="n">
        <v>0</v>
      </c>
      <c r="Q411" t="n">
        <v>0</v>
      </c>
      <c r="R411" s="2" t="inlineStr"/>
    </row>
    <row r="412" ht="15" customHeight="1">
      <c r="A412" t="inlineStr">
        <is>
          <t>A 7197-2023</t>
        </is>
      </c>
      <c r="B412" s="1" t="n">
        <v>44965</v>
      </c>
      <c r="C412" s="1" t="n">
        <v>46194</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44637-2023</t>
        </is>
      </c>
      <c r="B413" s="1" t="n">
        <v>45189</v>
      </c>
      <c r="C413" s="1" t="n">
        <v>46194</v>
      </c>
      <c r="D413" t="inlineStr">
        <is>
          <t>SÖDERMANLANDS LÄN</t>
        </is>
      </c>
      <c r="E413" t="inlineStr">
        <is>
          <t>KATRINEHOLM</t>
        </is>
      </c>
      <c r="G413" t="n">
        <v>5.1</v>
      </c>
      <c r="H413" t="n">
        <v>0</v>
      </c>
      <c r="I413" t="n">
        <v>0</v>
      </c>
      <c r="J413" t="n">
        <v>0</v>
      </c>
      <c r="K413" t="n">
        <v>0</v>
      </c>
      <c r="L413" t="n">
        <v>0</v>
      </c>
      <c r="M413" t="n">
        <v>0</v>
      </c>
      <c r="N413" t="n">
        <v>0</v>
      </c>
      <c r="O413" t="n">
        <v>0</v>
      </c>
      <c r="P413" t="n">
        <v>0</v>
      </c>
      <c r="Q413" t="n">
        <v>0</v>
      </c>
      <c r="R413" s="2" t="inlineStr"/>
    </row>
    <row r="414" ht="15" customHeight="1">
      <c r="A414" t="inlineStr">
        <is>
          <t>A 5327-2025</t>
        </is>
      </c>
      <c r="B414" s="1" t="n">
        <v>45692</v>
      </c>
      <c r="C414" s="1" t="n">
        <v>46194</v>
      </c>
      <c r="D414" t="inlineStr">
        <is>
          <t>SÖDERMANLANDS LÄN</t>
        </is>
      </c>
      <c r="E414" t="inlineStr">
        <is>
          <t>KATRINEHOLM</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12929-2023</t>
        </is>
      </c>
      <c r="B415" s="1" t="n">
        <v>45001</v>
      </c>
      <c r="C415" s="1" t="n">
        <v>46194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12932-2023</t>
        </is>
      </c>
      <c r="B416" s="1" t="n">
        <v>45001</v>
      </c>
      <c r="C416" s="1" t="n">
        <v>46194</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42799-2025</t>
        </is>
      </c>
      <c r="B417" s="1" t="n">
        <v>45907</v>
      </c>
      <c r="C417" s="1" t="n">
        <v>46194</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50626-2024</t>
        </is>
      </c>
      <c r="B418" s="1" t="n">
        <v>45601</v>
      </c>
      <c r="C418" s="1" t="n">
        <v>46194</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7398-2024</t>
        </is>
      </c>
      <c r="B419" s="1" t="n">
        <v>45345</v>
      </c>
      <c r="C419" s="1" t="n">
        <v>46194</v>
      </c>
      <c r="D419" t="inlineStr">
        <is>
          <t>SÖDERMANLANDS LÄN</t>
        </is>
      </c>
      <c r="E419" t="inlineStr">
        <is>
          <t>KATRINEHOLM</t>
        </is>
      </c>
      <c r="G419" t="n">
        <v>4.4</v>
      </c>
      <c r="H419" t="n">
        <v>0</v>
      </c>
      <c r="I419" t="n">
        <v>0</v>
      </c>
      <c r="J419" t="n">
        <v>0</v>
      </c>
      <c r="K419" t="n">
        <v>0</v>
      </c>
      <c r="L419" t="n">
        <v>0</v>
      </c>
      <c r="M419" t="n">
        <v>0</v>
      </c>
      <c r="N419" t="n">
        <v>0</v>
      </c>
      <c r="O419" t="n">
        <v>0</v>
      </c>
      <c r="P419" t="n">
        <v>0</v>
      </c>
      <c r="Q419" t="n">
        <v>0</v>
      </c>
      <c r="R419" s="2" t="inlineStr"/>
    </row>
    <row r="420" ht="15" customHeight="1">
      <c r="A420" t="inlineStr">
        <is>
          <t>A 36590-2025</t>
        </is>
      </c>
      <c r="B420" s="1" t="n">
        <v>45870</v>
      </c>
      <c r="C420" s="1" t="n">
        <v>46194</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14629-2023</t>
        </is>
      </c>
      <c r="B421" s="1" t="n">
        <v>45013</v>
      </c>
      <c r="C421" s="1" t="n">
        <v>46194</v>
      </c>
      <c r="D421" t="inlineStr">
        <is>
          <t>SÖDERMANLANDS LÄN</t>
        </is>
      </c>
      <c r="E421" t="inlineStr">
        <is>
          <t>KATRINEHOLM</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49116-2024</t>
        </is>
      </c>
      <c r="B422" s="1" t="n">
        <v>45594</v>
      </c>
      <c r="C422" s="1" t="n">
        <v>46194</v>
      </c>
      <c r="D422" t="inlineStr">
        <is>
          <t>SÖDERMANLANDS LÄN</t>
        </is>
      </c>
      <c r="E422" t="inlineStr">
        <is>
          <t>KATRINEHOLM</t>
        </is>
      </c>
      <c r="G422" t="n">
        <v>0.9</v>
      </c>
      <c r="H422" t="n">
        <v>0</v>
      </c>
      <c r="I422" t="n">
        <v>0</v>
      </c>
      <c r="J422" t="n">
        <v>0</v>
      </c>
      <c r="K422" t="n">
        <v>0</v>
      </c>
      <c r="L422" t="n">
        <v>0</v>
      </c>
      <c r="M422" t="n">
        <v>0</v>
      </c>
      <c r="N422" t="n">
        <v>0</v>
      </c>
      <c r="O422" t="n">
        <v>0</v>
      </c>
      <c r="P422" t="n">
        <v>0</v>
      </c>
      <c r="Q422" t="n">
        <v>0</v>
      </c>
      <c r="R422" s="2" t="inlineStr"/>
    </row>
    <row r="423" ht="15" customHeight="1">
      <c r="A423" t="inlineStr">
        <is>
          <t>A 39055-2022</t>
        </is>
      </c>
      <c r="B423" s="1" t="n">
        <v>44817</v>
      </c>
      <c r="C423" s="1" t="n">
        <v>46194</v>
      </c>
      <c r="D423" t="inlineStr">
        <is>
          <t>SÖDERMANLANDS LÄN</t>
        </is>
      </c>
      <c r="E423" t="inlineStr">
        <is>
          <t>KATRINEHOLM</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46257-2021</t>
        </is>
      </c>
      <c r="B424" s="1" t="n">
        <v>44442</v>
      </c>
      <c r="C424" s="1" t="n">
        <v>46194</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52769-2023</t>
        </is>
      </c>
      <c r="B425" s="1" t="n">
        <v>45226</v>
      </c>
      <c r="C425" s="1" t="n">
        <v>46194</v>
      </c>
      <c r="D425" t="inlineStr">
        <is>
          <t>SÖDERMANLANDS LÄN</t>
        </is>
      </c>
      <c r="E425" t="inlineStr">
        <is>
          <t>KATRINEHOLM</t>
        </is>
      </c>
      <c r="G425" t="n">
        <v>0.5</v>
      </c>
      <c r="H425" t="n">
        <v>0</v>
      </c>
      <c r="I425" t="n">
        <v>0</v>
      </c>
      <c r="J425" t="n">
        <v>0</v>
      </c>
      <c r="K425" t="n">
        <v>0</v>
      </c>
      <c r="L425" t="n">
        <v>0</v>
      </c>
      <c r="M425" t="n">
        <v>0</v>
      </c>
      <c r="N425" t="n">
        <v>0</v>
      </c>
      <c r="O425" t="n">
        <v>0</v>
      </c>
      <c r="P425" t="n">
        <v>0</v>
      </c>
      <c r="Q425" t="n">
        <v>0</v>
      </c>
      <c r="R425" s="2" t="inlineStr"/>
    </row>
    <row r="426" ht="15" customHeight="1">
      <c r="A426" t="inlineStr">
        <is>
          <t>A 4758-2025</t>
        </is>
      </c>
      <c r="B426" s="1" t="n">
        <v>45688</v>
      </c>
      <c r="C426" s="1" t="n">
        <v>46194</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2683-2025</t>
        </is>
      </c>
      <c r="B427" s="1" t="n">
        <v>45677</v>
      </c>
      <c r="C427" s="1" t="n">
        <v>46194</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27852-2023</t>
        </is>
      </c>
      <c r="B428" s="1" t="n">
        <v>45098</v>
      </c>
      <c r="C428" s="1" t="n">
        <v>46194</v>
      </c>
      <c r="D428" t="inlineStr">
        <is>
          <t>SÖDERMANLANDS LÄN</t>
        </is>
      </c>
      <c r="E428" t="inlineStr">
        <is>
          <t>KATRINEHOLM</t>
        </is>
      </c>
      <c r="G428" t="n">
        <v>7.4</v>
      </c>
      <c r="H428" t="n">
        <v>0</v>
      </c>
      <c r="I428" t="n">
        <v>0</v>
      </c>
      <c r="J428" t="n">
        <v>0</v>
      </c>
      <c r="K428" t="n">
        <v>0</v>
      </c>
      <c r="L428" t="n">
        <v>0</v>
      </c>
      <c r="M428" t="n">
        <v>0</v>
      </c>
      <c r="N428" t="n">
        <v>0</v>
      </c>
      <c r="O428" t="n">
        <v>0</v>
      </c>
      <c r="P428" t="n">
        <v>0</v>
      </c>
      <c r="Q428" t="n">
        <v>0</v>
      </c>
      <c r="R428" s="2" t="inlineStr"/>
    </row>
    <row r="429" ht="15" customHeight="1">
      <c r="A429" t="inlineStr">
        <is>
          <t>A 42945-2023</t>
        </is>
      </c>
      <c r="B429" s="1" t="n">
        <v>45182</v>
      </c>
      <c r="C429" s="1" t="n">
        <v>46194</v>
      </c>
      <c r="D429" t="inlineStr">
        <is>
          <t>SÖDERMANLANDS LÄN</t>
        </is>
      </c>
      <c r="E429" t="inlineStr">
        <is>
          <t>KATRINEHOLM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42962-2023</t>
        </is>
      </c>
      <c r="B430" s="1" t="n">
        <v>45182</v>
      </c>
      <c r="C430" s="1" t="n">
        <v>46194</v>
      </c>
      <c r="D430" t="inlineStr">
        <is>
          <t>SÖDERMANLANDS LÄN</t>
        </is>
      </c>
      <c r="E430" t="inlineStr">
        <is>
          <t>KATRINEHOLM</t>
        </is>
      </c>
      <c r="F430" t="inlineStr">
        <is>
          <t>Övriga Aktiebolag</t>
        </is>
      </c>
      <c r="G430" t="n">
        <v>10.6</v>
      </c>
      <c r="H430" t="n">
        <v>0</v>
      </c>
      <c r="I430" t="n">
        <v>0</v>
      </c>
      <c r="J430" t="n">
        <v>0</v>
      </c>
      <c r="K430" t="n">
        <v>0</v>
      </c>
      <c r="L430" t="n">
        <v>0</v>
      </c>
      <c r="M430" t="n">
        <v>0</v>
      </c>
      <c r="N430" t="n">
        <v>0</v>
      </c>
      <c r="O430" t="n">
        <v>0</v>
      </c>
      <c r="P430" t="n">
        <v>0</v>
      </c>
      <c r="Q430" t="n">
        <v>0</v>
      </c>
      <c r="R430" s="2" t="inlineStr"/>
    </row>
    <row r="431" ht="15" customHeight="1">
      <c r="A431" t="inlineStr">
        <is>
          <t>A 43975-2025</t>
        </is>
      </c>
      <c r="B431" s="1" t="n">
        <v>45915</v>
      </c>
      <c r="C431" s="1" t="n">
        <v>46194</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61410-2024</t>
        </is>
      </c>
      <c r="B432" s="1" t="n">
        <v>45646</v>
      </c>
      <c r="C432" s="1" t="n">
        <v>46194</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44915-2022</t>
        </is>
      </c>
      <c r="B433" s="1" t="n">
        <v>44840</v>
      </c>
      <c r="C433" s="1" t="n">
        <v>46194</v>
      </c>
      <c r="D433" t="inlineStr">
        <is>
          <t>SÖDERMANLANDS LÄN</t>
        </is>
      </c>
      <c r="E433" t="inlineStr">
        <is>
          <t>KATRINEHOLM</t>
        </is>
      </c>
      <c r="G433" t="n">
        <v>6.3</v>
      </c>
      <c r="H433" t="n">
        <v>0</v>
      </c>
      <c r="I433" t="n">
        <v>0</v>
      </c>
      <c r="J433" t="n">
        <v>0</v>
      </c>
      <c r="K433" t="n">
        <v>0</v>
      </c>
      <c r="L433" t="n">
        <v>0</v>
      </c>
      <c r="M433" t="n">
        <v>0</v>
      </c>
      <c r="N433" t="n">
        <v>0</v>
      </c>
      <c r="O433" t="n">
        <v>0</v>
      </c>
      <c r="P433" t="n">
        <v>0</v>
      </c>
      <c r="Q433" t="n">
        <v>0</v>
      </c>
      <c r="R433" s="2" t="inlineStr"/>
    </row>
    <row r="434" ht="15" customHeight="1">
      <c r="A434" t="inlineStr">
        <is>
          <t>A 3315-2023</t>
        </is>
      </c>
      <c r="B434" s="1" t="n">
        <v>44945</v>
      </c>
      <c r="C434" s="1" t="n">
        <v>46194</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7867-2024</t>
        </is>
      </c>
      <c r="B435" s="1" t="n">
        <v>45350</v>
      </c>
      <c r="C435" s="1" t="n">
        <v>46194</v>
      </c>
      <c r="D435" t="inlineStr">
        <is>
          <t>SÖDERMANLANDS LÄN</t>
        </is>
      </c>
      <c r="E435" t="inlineStr">
        <is>
          <t>KATRINEHOLM</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38869-2024</t>
        </is>
      </c>
      <c r="B436" s="1" t="n">
        <v>45547</v>
      </c>
      <c r="C436" s="1" t="n">
        <v>46194</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39010-2021</t>
        </is>
      </c>
      <c r="B437" s="1" t="n">
        <v>44412</v>
      </c>
      <c r="C437" s="1" t="n">
        <v>46194</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48097-2023</t>
        </is>
      </c>
      <c r="B438" s="1" t="n">
        <v>45205</v>
      </c>
      <c r="C438" s="1" t="n">
        <v>46194</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20185-2026</t>
        </is>
      </c>
      <c r="B439" s="1" t="n">
        <v>46136</v>
      </c>
      <c r="C439" s="1" t="n">
        <v>46194</v>
      </c>
      <c r="D439" t="inlineStr">
        <is>
          <t>SÖDERMANLANDS LÄN</t>
        </is>
      </c>
      <c r="E439" t="inlineStr">
        <is>
          <t>KATRINEHOLM</t>
        </is>
      </c>
      <c r="G439" t="n">
        <v>2.7</v>
      </c>
      <c r="H439" t="n">
        <v>0</v>
      </c>
      <c r="I439" t="n">
        <v>0</v>
      </c>
      <c r="J439" t="n">
        <v>0</v>
      </c>
      <c r="K439" t="n">
        <v>0</v>
      </c>
      <c r="L439" t="n">
        <v>0</v>
      </c>
      <c r="M439" t="n">
        <v>0</v>
      </c>
      <c r="N439" t="n">
        <v>0</v>
      </c>
      <c r="O439" t="n">
        <v>0</v>
      </c>
      <c r="P439" t="n">
        <v>0</v>
      </c>
      <c r="Q439" t="n">
        <v>0</v>
      </c>
      <c r="R439" s="2" t="inlineStr"/>
    </row>
    <row r="440" ht="15" customHeight="1">
      <c r="A440" t="inlineStr">
        <is>
          <t>A 45793-2022</t>
        </is>
      </c>
      <c r="B440" s="1" t="n">
        <v>44844</v>
      </c>
      <c r="C440" s="1" t="n">
        <v>46194</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48685-2022</t>
        </is>
      </c>
      <c r="B441" s="1" t="n">
        <v>44859</v>
      </c>
      <c r="C441" s="1" t="n">
        <v>46194</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36133-2021</t>
        </is>
      </c>
      <c r="B442" s="1" t="n">
        <v>44386</v>
      </c>
      <c r="C442" s="1" t="n">
        <v>46194</v>
      </c>
      <c r="D442" t="inlineStr">
        <is>
          <t>SÖDERMANLANDS LÄN</t>
        </is>
      </c>
      <c r="E442" t="inlineStr">
        <is>
          <t>KATRINEHOLM</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49700-2022</t>
        </is>
      </c>
      <c r="B443" s="1" t="n">
        <v>44862</v>
      </c>
      <c r="C443" s="1" t="n">
        <v>46194</v>
      </c>
      <c r="D443" t="inlineStr">
        <is>
          <t>SÖDERMANLANDS LÄN</t>
        </is>
      </c>
      <c r="E443" t="inlineStr">
        <is>
          <t>KATRINEHOLM</t>
        </is>
      </c>
      <c r="G443" t="n">
        <v>19.5</v>
      </c>
      <c r="H443" t="n">
        <v>0</v>
      </c>
      <c r="I443" t="n">
        <v>0</v>
      </c>
      <c r="J443" t="n">
        <v>0</v>
      </c>
      <c r="K443" t="n">
        <v>0</v>
      </c>
      <c r="L443" t="n">
        <v>0</v>
      </c>
      <c r="M443" t="n">
        <v>0</v>
      </c>
      <c r="N443" t="n">
        <v>0</v>
      </c>
      <c r="O443" t="n">
        <v>0</v>
      </c>
      <c r="P443" t="n">
        <v>0</v>
      </c>
      <c r="Q443" t="n">
        <v>0</v>
      </c>
      <c r="R443" s="2" t="inlineStr"/>
    </row>
    <row r="444" ht="15" customHeight="1">
      <c r="A444" t="inlineStr">
        <is>
          <t>A 6311-2025</t>
        </is>
      </c>
      <c r="B444" s="1" t="n">
        <v>45698</v>
      </c>
      <c r="C444" s="1" t="n">
        <v>46194</v>
      </c>
      <c r="D444" t="inlineStr">
        <is>
          <t>SÖDERMANLANDS LÄN</t>
        </is>
      </c>
      <c r="E444" t="inlineStr">
        <is>
          <t>KATRINEHOLM</t>
        </is>
      </c>
      <c r="G444" t="n">
        <v>0.3</v>
      </c>
      <c r="H444" t="n">
        <v>0</v>
      </c>
      <c r="I444" t="n">
        <v>0</v>
      </c>
      <c r="J444" t="n">
        <v>0</v>
      </c>
      <c r="K444" t="n">
        <v>0</v>
      </c>
      <c r="L444" t="n">
        <v>0</v>
      </c>
      <c r="M444" t="n">
        <v>0</v>
      </c>
      <c r="N444" t="n">
        <v>0</v>
      </c>
      <c r="O444" t="n">
        <v>0</v>
      </c>
      <c r="P444" t="n">
        <v>0</v>
      </c>
      <c r="Q444" t="n">
        <v>0</v>
      </c>
      <c r="R444" s="2" t="inlineStr"/>
    </row>
    <row r="445" ht="15" customHeight="1">
      <c r="A445" t="inlineStr">
        <is>
          <t>A 46288-2025</t>
        </is>
      </c>
      <c r="B445" s="1" t="n">
        <v>45925</v>
      </c>
      <c r="C445" s="1" t="n">
        <v>46194</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54395-2025</t>
        </is>
      </c>
      <c r="B446" s="1" t="n">
        <v>45964</v>
      </c>
      <c r="C446" s="1" t="n">
        <v>46194</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20202-2026</t>
        </is>
      </c>
      <c r="B447" s="1" t="n">
        <v>46136</v>
      </c>
      <c r="C447" s="1" t="n">
        <v>46194</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30276-2023</t>
        </is>
      </c>
      <c r="B448" s="1" t="n">
        <v>45110</v>
      </c>
      <c r="C448" s="1" t="n">
        <v>46194</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57265-2022</t>
        </is>
      </c>
      <c r="B449" s="1" t="n">
        <v>44895</v>
      </c>
      <c r="C449" s="1" t="n">
        <v>46194</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32943-2024</t>
        </is>
      </c>
      <c r="B450" s="1" t="n">
        <v>45517</v>
      </c>
      <c r="C450" s="1" t="n">
        <v>46194</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50316-2023</t>
        </is>
      </c>
      <c r="B451" s="1" t="n">
        <v>45209</v>
      </c>
      <c r="C451" s="1" t="n">
        <v>46194</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46194</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60160-2022</t>
        </is>
      </c>
      <c r="B453" s="1" t="n">
        <v>44909</v>
      </c>
      <c r="C453" s="1" t="n">
        <v>46194</v>
      </c>
      <c r="D453" t="inlineStr">
        <is>
          <t>SÖDERMANLANDS LÄN</t>
        </is>
      </c>
      <c r="E453" t="inlineStr">
        <is>
          <t>KATRINEHOLM</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19442-2023</t>
        </is>
      </c>
      <c r="B454" s="1" t="n">
        <v>45050</v>
      </c>
      <c r="C454" s="1" t="n">
        <v>46194</v>
      </c>
      <c r="D454" t="inlineStr">
        <is>
          <t>SÖDERMANLANDS LÄN</t>
        </is>
      </c>
      <c r="E454" t="inlineStr">
        <is>
          <t>KATRINEHOLM</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22119-2025</t>
        </is>
      </c>
      <c r="B455" s="1" t="n">
        <v>45785</v>
      </c>
      <c r="C455" s="1" t="n">
        <v>46194</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50840-2022</t>
        </is>
      </c>
      <c r="B456" s="1" t="n">
        <v>44862</v>
      </c>
      <c r="C456" s="1" t="n">
        <v>46194</v>
      </c>
      <c r="D456" t="inlineStr">
        <is>
          <t>SÖDERMANLANDS LÄN</t>
        </is>
      </c>
      <c r="E456" t="inlineStr">
        <is>
          <t>KATRINEHOLM</t>
        </is>
      </c>
      <c r="G456" t="n">
        <v>4.2</v>
      </c>
      <c r="H456" t="n">
        <v>0</v>
      </c>
      <c r="I456" t="n">
        <v>0</v>
      </c>
      <c r="J456" t="n">
        <v>0</v>
      </c>
      <c r="K456" t="n">
        <v>0</v>
      </c>
      <c r="L456" t="n">
        <v>0</v>
      </c>
      <c r="M456" t="n">
        <v>0</v>
      </c>
      <c r="N456" t="n">
        <v>0</v>
      </c>
      <c r="O456" t="n">
        <v>0</v>
      </c>
      <c r="P456" t="n">
        <v>0</v>
      </c>
      <c r="Q456" t="n">
        <v>0</v>
      </c>
      <c r="R456" s="2" t="inlineStr"/>
    </row>
    <row r="457" ht="15" customHeight="1">
      <c r="A457" t="inlineStr">
        <is>
          <t>A 3060-2022</t>
        </is>
      </c>
      <c r="B457" s="1" t="n">
        <v>44582</v>
      </c>
      <c r="C457" s="1" t="n">
        <v>46194</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24983-2024</t>
        </is>
      </c>
      <c r="B458" s="1" t="n">
        <v>45461</v>
      </c>
      <c r="C458" s="1" t="n">
        <v>46194</v>
      </c>
      <c r="D458" t="inlineStr">
        <is>
          <t>SÖDERMANLANDS LÄN</t>
        </is>
      </c>
      <c r="E458" t="inlineStr">
        <is>
          <t>KATRINEHOLM</t>
        </is>
      </c>
      <c r="G458" t="n">
        <v>2.6</v>
      </c>
      <c r="H458" t="n">
        <v>0</v>
      </c>
      <c r="I458" t="n">
        <v>0</v>
      </c>
      <c r="J458" t="n">
        <v>0</v>
      </c>
      <c r="K458" t="n">
        <v>0</v>
      </c>
      <c r="L458" t="n">
        <v>0</v>
      </c>
      <c r="M458" t="n">
        <v>0</v>
      </c>
      <c r="N458" t="n">
        <v>0</v>
      </c>
      <c r="O458" t="n">
        <v>0</v>
      </c>
      <c r="P458" t="n">
        <v>0</v>
      </c>
      <c r="Q458" t="n">
        <v>0</v>
      </c>
      <c r="R458" s="2" t="inlineStr"/>
    </row>
    <row r="459" ht="15" customHeight="1">
      <c r="A459" t="inlineStr">
        <is>
          <t>A 26553-2026</t>
        </is>
      </c>
      <c r="B459" s="1" t="n">
        <v>46183</v>
      </c>
      <c r="C459" s="1" t="n">
        <v>46194</v>
      </c>
      <c r="D459" t="inlineStr">
        <is>
          <t>SÖDERMANLANDS LÄN</t>
        </is>
      </c>
      <c r="E459" t="inlineStr">
        <is>
          <t>KATRINEHOLM</t>
        </is>
      </c>
      <c r="G459" t="n">
        <v>3.2</v>
      </c>
      <c r="H459" t="n">
        <v>0</v>
      </c>
      <c r="I459" t="n">
        <v>0</v>
      </c>
      <c r="J459" t="n">
        <v>0</v>
      </c>
      <c r="K459" t="n">
        <v>0</v>
      </c>
      <c r="L459" t="n">
        <v>0</v>
      </c>
      <c r="M459" t="n">
        <v>0</v>
      </c>
      <c r="N459" t="n">
        <v>0</v>
      </c>
      <c r="O459" t="n">
        <v>0</v>
      </c>
      <c r="P459" t="n">
        <v>0</v>
      </c>
      <c r="Q459" t="n">
        <v>0</v>
      </c>
      <c r="R459" s="2" t="inlineStr"/>
    </row>
    <row r="460" ht="15" customHeight="1">
      <c r="A460" t="inlineStr">
        <is>
          <t>A 6611-2023</t>
        </is>
      </c>
      <c r="B460" s="1" t="n">
        <v>44963</v>
      </c>
      <c r="C460" s="1" t="n">
        <v>46194</v>
      </c>
      <c r="D460" t="inlineStr">
        <is>
          <t>SÖDERMANLANDS LÄN</t>
        </is>
      </c>
      <c r="E460" t="inlineStr">
        <is>
          <t>KATRINEHOLM</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50804-2023</t>
        </is>
      </c>
      <c r="B461" s="1" t="n">
        <v>45211</v>
      </c>
      <c r="C461" s="1" t="n">
        <v>46194</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43499-2021</t>
        </is>
      </c>
      <c r="B462" s="1" t="n">
        <v>44433</v>
      </c>
      <c r="C462" s="1" t="n">
        <v>46194</v>
      </c>
      <c r="D462" t="inlineStr">
        <is>
          <t>SÖDERMANLANDS LÄN</t>
        </is>
      </c>
      <c r="E462" t="inlineStr">
        <is>
          <t>KATRINEHOLM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53996-2023</t>
        </is>
      </c>
      <c r="B463" s="1" t="n">
        <v>45231</v>
      </c>
      <c r="C463" s="1" t="n">
        <v>46194</v>
      </c>
      <c r="D463" t="inlineStr">
        <is>
          <t>SÖDERMANLANDS LÄN</t>
        </is>
      </c>
      <c r="E463" t="inlineStr">
        <is>
          <t>KATRINEHOLM</t>
        </is>
      </c>
      <c r="G463" t="n">
        <v>4.9</v>
      </c>
      <c r="H463" t="n">
        <v>0</v>
      </c>
      <c r="I463" t="n">
        <v>0</v>
      </c>
      <c r="J463" t="n">
        <v>0</v>
      </c>
      <c r="K463" t="n">
        <v>0</v>
      </c>
      <c r="L463" t="n">
        <v>0</v>
      </c>
      <c r="M463" t="n">
        <v>0</v>
      </c>
      <c r="N463" t="n">
        <v>0</v>
      </c>
      <c r="O463" t="n">
        <v>0</v>
      </c>
      <c r="P463" t="n">
        <v>0</v>
      </c>
      <c r="Q463" t="n">
        <v>0</v>
      </c>
      <c r="R463" s="2" t="inlineStr"/>
    </row>
    <row r="464" ht="15" customHeight="1">
      <c r="A464" t="inlineStr">
        <is>
          <t>A 33790-2024</t>
        </is>
      </c>
      <c r="B464" s="1" t="n">
        <v>45520</v>
      </c>
      <c r="C464" s="1" t="n">
        <v>46194</v>
      </c>
      <c r="D464" t="inlineStr">
        <is>
          <t>SÖDERMANLANDS LÄN</t>
        </is>
      </c>
      <c r="E464" t="inlineStr">
        <is>
          <t>KATRINEHOLM</t>
        </is>
      </c>
      <c r="G464" t="n">
        <v>14</v>
      </c>
      <c r="H464" t="n">
        <v>0</v>
      </c>
      <c r="I464" t="n">
        <v>0</v>
      </c>
      <c r="J464" t="n">
        <v>0</v>
      </c>
      <c r="K464" t="n">
        <v>0</v>
      </c>
      <c r="L464" t="n">
        <v>0</v>
      </c>
      <c r="M464" t="n">
        <v>0</v>
      </c>
      <c r="N464" t="n">
        <v>0</v>
      </c>
      <c r="O464" t="n">
        <v>0</v>
      </c>
      <c r="P464" t="n">
        <v>0</v>
      </c>
      <c r="Q464" t="n">
        <v>0</v>
      </c>
      <c r="R464" s="2" t="inlineStr"/>
    </row>
    <row r="465" ht="15" customHeight="1">
      <c r="A465" t="inlineStr">
        <is>
          <t>A 47456-2022</t>
        </is>
      </c>
      <c r="B465" s="1" t="n">
        <v>44852</v>
      </c>
      <c r="C465" s="1" t="n">
        <v>46194</v>
      </c>
      <c r="D465" t="inlineStr">
        <is>
          <t>SÖDERMANLANDS LÄN</t>
        </is>
      </c>
      <c r="E465" t="inlineStr">
        <is>
          <t>KATRINEHOLM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23347-2023</t>
        </is>
      </c>
      <c r="B466" s="1" t="n">
        <v>45076</v>
      </c>
      <c r="C466" s="1" t="n">
        <v>46194</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74354-2021</t>
        </is>
      </c>
      <c r="B467" s="1" t="n">
        <v>44559</v>
      </c>
      <c r="C467" s="1" t="n">
        <v>46194</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52348-2021</t>
        </is>
      </c>
      <c r="B468" s="1" t="n">
        <v>44464</v>
      </c>
      <c r="C468" s="1" t="n">
        <v>46194</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46194</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45438-2021</t>
        </is>
      </c>
      <c r="B470" s="1" t="n">
        <v>44440</v>
      </c>
      <c r="C470" s="1" t="n">
        <v>46194</v>
      </c>
      <c r="D470" t="inlineStr">
        <is>
          <t>SÖDERMANLANDS LÄN</t>
        </is>
      </c>
      <c r="E470" t="inlineStr">
        <is>
          <t>KATRINEHOLM</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26498-2026</t>
        </is>
      </c>
      <c r="B471" s="1" t="n">
        <v>46183</v>
      </c>
      <c r="C471" s="1" t="n">
        <v>46194</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50061-2022</t>
        </is>
      </c>
      <c r="B472" s="1" t="n">
        <v>44865</v>
      </c>
      <c r="C472" s="1" t="n">
        <v>46194</v>
      </c>
      <c r="D472" t="inlineStr">
        <is>
          <t>SÖDERMANLANDS LÄN</t>
        </is>
      </c>
      <c r="E472" t="inlineStr">
        <is>
          <t>KATRINEHOLM</t>
        </is>
      </c>
      <c r="G472" t="n">
        <v>4.9</v>
      </c>
      <c r="H472" t="n">
        <v>0</v>
      </c>
      <c r="I472" t="n">
        <v>0</v>
      </c>
      <c r="J472" t="n">
        <v>0</v>
      </c>
      <c r="K472" t="n">
        <v>0</v>
      </c>
      <c r="L472" t="n">
        <v>0</v>
      </c>
      <c r="M472" t="n">
        <v>0</v>
      </c>
      <c r="N472" t="n">
        <v>0</v>
      </c>
      <c r="O472" t="n">
        <v>0</v>
      </c>
      <c r="P472" t="n">
        <v>0</v>
      </c>
      <c r="Q472" t="n">
        <v>0</v>
      </c>
      <c r="R472" s="2" t="inlineStr"/>
    </row>
    <row r="473" ht="15" customHeight="1">
      <c r="A473" t="inlineStr">
        <is>
          <t>A 10446-2024</t>
        </is>
      </c>
      <c r="B473" s="1" t="n">
        <v>45366</v>
      </c>
      <c r="C473" s="1" t="n">
        <v>46194</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50934-2025</t>
        </is>
      </c>
      <c r="B474" s="1" t="n">
        <v>45946</v>
      </c>
      <c r="C474" s="1" t="n">
        <v>46194</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2603-2025</t>
        </is>
      </c>
      <c r="B475" s="1" t="n">
        <v>45674</v>
      </c>
      <c r="C475" s="1" t="n">
        <v>46194</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24566-2025</t>
        </is>
      </c>
      <c r="B476" s="1" t="n">
        <v>45798</v>
      </c>
      <c r="C476" s="1" t="n">
        <v>46194</v>
      </c>
      <c r="D476" t="inlineStr">
        <is>
          <t>SÖDERMANLANDS LÄN</t>
        </is>
      </c>
      <c r="E476" t="inlineStr">
        <is>
          <t>KATRINEHOLM</t>
        </is>
      </c>
      <c r="G476" t="n">
        <v>6.3</v>
      </c>
      <c r="H476" t="n">
        <v>0</v>
      </c>
      <c r="I476" t="n">
        <v>0</v>
      </c>
      <c r="J476" t="n">
        <v>0</v>
      </c>
      <c r="K476" t="n">
        <v>0</v>
      </c>
      <c r="L476" t="n">
        <v>0</v>
      </c>
      <c r="M476" t="n">
        <v>0</v>
      </c>
      <c r="N476" t="n">
        <v>0</v>
      </c>
      <c r="O476" t="n">
        <v>0</v>
      </c>
      <c r="P476" t="n">
        <v>0</v>
      </c>
      <c r="Q476" t="n">
        <v>0</v>
      </c>
      <c r="R476" s="2" t="inlineStr"/>
    </row>
    <row r="477" ht="15" customHeight="1">
      <c r="A477" t="inlineStr">
        <is>
          <t>A 24605-2025</t>
        </is>
      </c>
      <c r="B477" s="1" t="n">
        <v>45798</v>
      </c>
      <c r="C477" s="1" t="n">
        <v>46194</v>
      </c>
      <c r="D477" t="inlineStr">
        <is>
          <t>SÖDERMANLANDS LÄN</t>
        </is>
      </c>
      <c r="E477" t="inlineStr">
        <is>
          <t>KATRINEHOLM</t>
        </is>
      </c>
      <c r="G477" t="n">
        <v>7</v>
      </c>
      <c r="H477" t="n">
        <v>0</v>
      </c>
      <c r="I477" t="n">
        <v>0</v>
      </c>
      <c r="J477" t="n">
        <v>0</v>
      </c>
      <c r="K477" t="n">
        <v>0</v>
      </c>
      <c r="L477" t="n">
        <v>0</v>
      </c>
      <c r="M477" t="n">
        <v>0</v>
      </c>
      <c r="N477" t="n">
        <v>0</v>
      </c>
      <c r="O477" t="n">
        <v>0</v>
      </c>
      <c r="P477" t="n">
        <v>0</v>
      </c>
      <c r="Q477" t="n">
        <v>0</v>
      </c>
      <c r="R477" s="2" t="inlineStr"/>
    </row>
    <row r="478" ht="15" customHeight="1">
      <c r="A478" t="inlineStr">
        <is>
          <t>A 53860-2021</t>
        </is>
      </c>
      <c r="B478" s="1" t="n">
        <v>44467</v>
      </c>
      <c r="C478" s="1" t="n">
        <v>46194</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51367-2025</t>
        </is>
      </c>
      <c r="B479" s="1" t="n">
        <v>45950</v>
      </c>
      <c r="C479" s="1" t="n">
        <v>46194</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56086-2023</t>
        </is>
      </c>
      <c r="B480" s="1" t="n">
        <v>45240</v>
      </c>
      <c r="C480" s="1" t="n">
        <v>46194</v>
      </c>
      <c r="D480" t="inlineStr">
        <is>
          <t>SÖDERMANLANDS LÄN</t>
        </is>
      </c>
      <c r="E480" t="inlineStr">
        <is>
          <t>KATRINEHOLM</t>
        </is>
      </c>
      <c r="F480" t="inlineStr">
        <is>
          <t>Kyrkan</t>
        </is>
      </c>
      <c r="G480" t="n">
        <v>17</v>
      </c>
      <c r="H480" t="n">
        <v>0</v>
      </c>
      <c r="I480" t="n">
        <v>0</v>
      </c>
      <c r="J480" t="n">
        <v>0</v>
      </c>
      <c r="K480" t="n">
        <v>0</v>
      </c>
      <c r="L480" t="n">
        <v>0</v>
      </c>
      <c r="M480" t="n">
        <v>0</v>
      </c>
      <c r="N480" t="n">
        <v>0</v>
      </c>
      <c r="O480" t="n">
        <v>0</v>
      </c>
      <c r="P480" t="n">
        <v>0</v>
      </c>
      <c r="Q480" t="n">
        <v>0</v>
      </c>
      <c r="R480" s="2" t="inlineStr"/>
    </row>
    <row r="481" ht="15" customHeight="1">
      <c r="A481" t="inlineStr">
        <is>
          <t>A 23842-2023</t>
        </is>
      </c>
      <c r="B481" s="1" t="n">
        <v>45075</v>
      </c>
      <c r="C481" s="1" t="n">
        <v>46194</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34263-2023</t>
        </is>
      </c>
      <c r="B482" s="1" t="n">
        <v>45138</v>
      </c>
      <c r="C482" s="1" t="n">
        <v>46194</v>
      </c>
      <c r="D482" t="inlineStr">
        <is>
          <t>SÖDERMANLANDS LÄN</t>
        </is>
      </c>
      <c r="E482" t="inlineStr">
        <is>
          <t>KATRINEHOLM</t>
        </is>
      </c>
      <c r="G482" t="n">
        <v>0.7</v>
      </c>
      <c r="H482" t="n">
        <v>0</v>
      </c>
      <c r="I482" t="n">
        <v>0</v>
      </c>
      <c r="J482" t="n">
        <v>0</v>
      </c>
      <c r="K482" t="n">
        <v>0</v>
      </c>
      <c r="L482" t="n">
        <v>0</v>
      </c>
      <c r="M482" t="n">
        <v>0</v>
      </c>
      <c r="N482" t="n">
        <v>0</v>
      </c>
      <c r="O482" t="n">
        <v>0</v>
      </c>
      <c r="P482" t="n">
        <v>0</v>
      </c>
      <c r="Q482" t="n">
        <v>0</v>
      </c>
      <c r="R482" s="2" t="inlineStr"/>
    </row>
    <row r="483" ht="15" customHeight="1">
      <c r="A483" t="inlineStr">
        <is>
          <t>A 26491-2026</t>
        </is>
      </c>
      <c r="B483" s="1" t="n">
        <v>46183</v>
      </c>
      <c r="C483" s="1" t="n">
        <v>46194</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61423-2024</t>
        </is>
      </c>
      <c r="B484" s="1" t="n">
        <v>45646</v>
      </c>
      <c r="C484" s="1" t="n">
        <v>46194</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41727-2024</t>
        </is>
      </c>
      <c r="B485" s="1" t="n">
        <v>45560</v>
      </c>
      <c r="C485" s="1" t="n">
        <v>46194</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46899-2022</t>
        </is>
      </c>
      <c r="B486" s="1" t="n">
        <v>44848</v>
      </c>
      <c r="C486" s="1" t="n">
        <v>46194</v>
      </c>
      <c r="D486" t="inlineStr">
        <is>
          <t>SÖDERMANLANDS LÄN</t>
        </is>
      </c>
      <c r="E486" t="inlineStr">
        <is>
          <t>KATRINEHOLM</t>
        </is>
      </c>
      <c r="G486" t="n">
        <v>2</v>
      </c>
      <c r="H486" t="n">
        <v>0</v>
      </c>
      <c r="I486" t="n">
        <v>0</v>
      </c>
      <c r="J486" t="n">
        <v>0</v>
      </c>
      <c r="K486" t="n">
        <v>0</v>
      </c>
      <c r="L486" t="n">
        <v>0</v>
      </c>
      <c r="M486" t="n">
        <v>0</v>
      </c>
      <c r="N486" t="n">
        <v>0</v>
      </c>
      <c r="O486" t="n">
        <v>0</v>
      </c>
      <c r="P486" t="n">
        <v>0</v>
      </c>
      <c r="Q486" t="n">
        <v>0</v>
      </c>
      <c r="R486" s="2" t="inlineStr"/>
    </row>
    <row r="487" ht="15" customHeight="1">
      <c r="A487" t="inlineStr">
        <is>
          <t>A 55296-2022</t>
        </is>
      </c>
      <c r="B487" s="1" t="n">
        <v>44887</v>
      </c>
      <c r="C487" s="1" t="n">
        <v>46194</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51780-2025</t>
        </is>
      </c>
      <c r="B488" s="1" t="n">
        <v>45951</v>
      </c>
      <c r="C488" s="1" t="n">
        <v>46194</v>
      </c>
      <c r="D488" t="inlineStr">
        <is>
          <t>SÖDERMANLANDS LÄN</t>
        </is>
      </c>
      <c r="E488" t="inlineStr">
        <is>
          <t>KATRINEHOLM</t>
        </is>
      </c>
      <c r="F488" t="inlineStr">
        <is>
          <t>Allmännings- och besparingsskogar</t>
        </is>
      </c>
      <c r="G488" t="n">
        <v>1.3</v>
      </c>
      <c r="H488" t="n">
        <v>0</v>
      </c>
      <c r="I488" t="n">
        <v>0</v>
      </c>
      <c r="J488" t="n">
        <v>0</v>
      </c>
      <c r="K488" t="n">
        <v>0</v>
      </c>
      <c r="L488" t="n">
        <v>0</v>
      </c>
      <c r="M488" t="n">
        <v>0</v>
      </c>
      <c r="N488" t="n">
        <v>0</v>
      </c>
      <c r="O488" t="n">
        <v>0</v>
      </c>
      <c r="P488" t="n">
        <v>0</v>
      </c>
      <c r="Q488" t="n">
        <v>0</v>
      </c>
      <c r="R488" s="2" t="inlineStr"/>
    </row>
    <row r="489" ht="15" customHeight="1">
      <c r="A489" t="inlineStr">
        <is>
          <t>A 24717-2025</t>
        </is>
      </c>
      <c r="B489" s="1" t="n">
        <v>45799</v>
      </c>
      <c r="C489" s="1" t="n">
        <v>46194</v>
      </c>
      <c r="D489" t="inlineStr">
        <is>
          <t>SÖDERMANLANDS LÄN</t>
        </is>
      </c>
      <c r="E489" t="inlineStr">
        <is>
          <t>KATRINEHOLM</t>
        </is>
      </c>
      <c r="G489" t="n">
        <v>24.5</v>
      </c>
      <c r="H489" t="n">
        <v>0</v>
      </c>
      <c r="I489" t="n">
        <v>0</v>
      </c>
      <c r="J489" t="n">
        <v>0</v>
      </c>
      <c r="K489" t="n">
        <v>0</v>
      </c>
      <c r="L489" t="n">
        <v>0</v>
      </c>
      <c r="M489" t="n">
        <v>0</v>
      </c>
      <c r="N489" t="n">
        <v>0</v>
      </c>
      <c r="O489" t="n">
        <v>0</v>
      </c>
      <c r="P489" t="n">
        <v>0</v>
      </c>
      <c r="Q489" t="n">
        <v>0</v>
      </c>
      <c r="R489" s="2" t="inlineStr"/>
    </row>
    <row r="490" ht="15" customHeight="1">
      <c r="A490" t="inlineStr">
        <is>
          <t>A 53999-2023</t>
        </is>
      </c>
      <c r="B490" s="1" t="n">
        <v>45231</v>
      </c>
      <c r="C490" s="1" t="n">
        <v>46194</v>
      </c>
      <c r="D490" t="inlineStr">
        <is>
          <t>SÖDERMANLANDS LÄN</t>
        </is>
      </c>
      <c r="E490" t="inlineStr">
        <is>
          <t>KATRINEHOLM</t>
        </is>
      </c>
      <c r="G490" t="n">
        <v>5.4</v>
      </c>
      <c r="H490" t="n">
        <v>0</v>
      </c>
      <c r="I490" t="n">
        <v>0</v>
      </c>
      <c r="J490" t="n">
        <v>0</v>
      </c>
      <c r="K490" t="n">
        <v>0</v>
      </c>
      <c r="L490" t="n">
        <v>0</v>
      </c>
      <c r="M490" t="n">
        <v>0</v>
      </c>
      <c r="N490" t="n">
        <v>0</v>
      </c>
      <c r="O490" t="n">
        <v>0</v>
      </c>
      <c r="P490" t="n">
        <v>0</v>
      </c>
      <c r="Q490" t="n">
        <v>0</v>
      </c>
      <c r="R490" s="2" t="inlineStr"/>
    </row>
    <row r="491" ht="15" customHeight="1">
      <c r="A491" t="inlineStr">
        <is>
          <t>A 57524-2021</t>
        </is>
      </c>
      <c r="B491" s="1" t="n">
        <v>44483</v>
      </c>
      <c r="C491" s="1" t="n">
        <v>46194</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24719-2025</t>
        </is>
      </c>
      <c r="B492" s="1" t="n">
        <v>45799</v>
      </c>
      <c r="C492" s="1" t="n">
        <v>46194</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26483-2026</t>
        </is>
      </c>
      <c r="B493" s="1" t="n">
        <v>46183</v>
      </c>
      <c r="C493" s="1" t="n">
        <v>46194</v>
      </c>
      <c r="D493" t="inlineStr">
        <is>
          <t>SÖDERMANLANDS LÄN</t>
        </is>
      </c>
      <c r="E493" t="inlineStr">
        <is>
          <t>KATRINEHOLM</t>
        </is>
      </c>
      <c r="G493" t="n">
        <v>10.6</v>
      </c>
      <c r="H493" t="n">
        <v>0</v>
      </c>
      <c r="I493" t="n">
        <v>0</v>
      </c>
      <c r="J493" t="n">
        <v>0</v>
      </c>
      <c r="K493" t="n">
        <v>0</v>
      </c>
      <c r="L493" t="n">
        <v>0</v>
      </c>
      <c r="M493" t="n">
        <v>0</v>
      </c>
      <c r="N493" t="n">
        <v>0</v>
      </c>
      <c r="O493" t="n">
        <v>0</v>
      </c>
      <c r="P493" t="n">
        <v>0</v>
      </c>
      <c r="Q493" t="n">
        <v>0</v>
      </c>
      <c r="R493" s="2" t="inlineStr"/>
    </row>
    <row r="494" ht="15" customHeight="1">
      <c r="A494" t="inlineStr">
        <is>
          <t>A 931-2023</t>
        </is>
      </c>
      <c r="B494" s="1" t="n">
        <v>44932</v>
      </c>
      <c r="C494" s="1" t="n">
        <v>46194</v>
      </c>
      <c r="D494" t="inlineStr">
        <is>
          <t>SÖDERMANLANDS LÄN</t>
        </is>
      </c>
      <c r="E494" t="inlineStr">
        <is>
          <t>KATRINEHOLM</t>
        </is>
      </c>
      <c r="G494" t="n">
        <v>4</v>
      </c>
      <c r="H494" t="n">
        <v>0</v>
      </c>
      <c r="I494" t="n">
        <v>0</v>
      </c>
      <c r="J494" t="n">
        <v>0</v>
      </c>
      <c r="K494" t="n">
        <v>0</v>
      </c>
      <c r="L494" t="n">
        <v>0</v>
      </c>
      <c r="M494" t="n">
        <v>0</v>
      </c>
      <c r="N494" t="n">
        <v>0</v>
      </c>
      <c r="O494" t="n">
        <v>0</v>
      </c>
      <c r="P494" t="n">
        <v>0</v>
      </c>
      <c r="Q494" t="n">
        <v>0</v>
      </c>
      <c r="R494" s="2" t="inlineStr"/>
    </row>
    <row r="495" ht="15" customHeight="1">
      <c r="A495" t="inlineStr">
        <is>
          <t>A 20956-2026</t>
        </is>
      </c>
      <c r="B495" s="1" t="n">
        <v>46142</v>
      </c>
      <c r="C495" s="1" t="n">
        <v>46194</v>
      </c>
      <c r="D495" t="inlineStr">
        <is>
          <t>SÖDERMANLANDS LÄN</t>
        </is>
      </c>
      <c r="E495" t="inlineStr">
        <is>
          <t>KATRINEHOLM</t>
        </is>
      </c>
      <c r="G495" t="n">
        <v>3.6</v>
      </c>
      <c r="H495" t="n">
        <v>0</v>
      </c>
      <c r="I495" t="n">
        <v>0</v>
      </c>
      <c r="J495" t="n">
        <v>0</v>
      </c>
      <c r="K495" t="n">
        <v>0</v>
      </c>
      <c r="L495" t="n">
        <v>0</v>
      </c>
      <c r="M495" t="n">
        <v>0</v>
      </c>
      <c r="N495" t="n">
        <v>0</v>
      </c>
      <c r="O495" t="n">
        <v>0</v>
      </c>
      <c r="P495" t="n">
        <v>0</v>
      </c>
      <c r="Q495" t="n">
        <v>0</v>
      </c>
      <c r="R495" s="2" t="inlineStr"/>
    </row>
    <row r="496" ht="15" customHeight="1">
      <c r="A496" t="inlineStr">
        <is>
          <t>A 55171-2023</t>
        </is>
      </c>
      <c r="B496" s="1" t="n">
        <v>45231</v>
      </c>
      <c r="C496" s="1" t="n">
        <v>46194</v>
      </c>
      <c r="D496" t="inlineStr">
        <is>
          <t>SÖDERMANLANDS LÄN</t>
        </is>
      </c>
      <c r="E496" t="inlineStr">
        <is>
          <t>KATRINEHOLM</t>
        </is>
      </c>
      <c r="G496" t="n">
        <v>4.2</v>
      </c>
      <c r="H496" t="n">
        <v>0</v>
      </c>
      <c r="I496" t="n">
        <v>0</v>
      </c>
      <c r="J496" t="n">
        <v>0</v>
      </c>
      <c r="K496" t="n">
        <v>0</v>
      </c>
      <c r="L496" t="n">
        <v>0</v>
      </c>
      <c r="M496" t="n">
        <v>0</v>
      </c>
      <c r="N496" t="n">
        <v>0</v>
      </c>
      <c r="O496" t="n">
        <v>0</v>
      </c>
      <c r="P496" t="n">
        <v>0</v>
      </c>
      <c r="Q496" t="n">
        <v>0</v>
      </c>
      <c r="R496" s="2" t="inlineStr"/>
    </row>
    <row r="497" ht="15" customHeight="1">
      <c r="A497" t="inlineStr">
        <is>
          <t>A 51783-2025</t>
        </is>
      </c>
      <c r="B497" s="1" t="n">
        <v>45951</v>
      </c>
      <c r="C497" s="1" t="n">
        <v>46194</v>
      </c>
      <c r="D497" t="inlineStr">
        <is>
          <t>SÖDERMANLANDS LÄN</t>
        </is>
      </c>
      <c r="E497" t="inlineStr">
        <is>
          <t>KATRINEHOLM</t>
        </is>
      </c>
      <c r="F497" t="inlineStr">
        <is>
          <t>Allmännings- och besparingsskogar</t>
        </is>
      </c>
      <c r="G497" t="n">
        <v>5.8</v>
      </c>
      <c r="H497" t="n">
        <v>0</v>
      </c>
      <c r="I497" t="n">
        <v>0</v>
      </c>
      <c r="J497" t="n">
        <v>0</v>
      </c>
      <c r="K497" t="n">
        <v>0</v>
      </c>
      <c r="L497" t="n">
        <v>0</v>
      </c>
      <c r="M497" t="n">
        <v>0</v>
      </c>
      <c r="N497" t="n">
        <v>0</v>
      </c>
      <c r="O497" t="n">
        <v>0</v>
      </c>
      <c r="P497" t="n">
        <v>0</v>
      </c>
      <c r="Q497" t="n">
        <v>0</v>
      </c>
      <c r="R497" s="2" t="inlineStr"/>
    </row>
    <row r="498" ht="15" customHeight="1">
      <c r="A498" t="inlineStr">
        <is>
          <t>A 53393-2023</t>
        </is>
      </c>
      <c r="B498" s="1" t="n">
        <v>45229</v>
      </c>
      <c r="C498" s="1" t="n">
        <v>46194</v>
      </c>
      <c r="D498" t="inlineStr">
        <is>
          <t>SÖDERMANLANDS LÄN</t>
        </is>
      </c>
      <c r="E498" t="inlineStr">
        <is>
          <t>KATRINEHOLM</t>
        </is>
      </c>
      <c r="F498" t="inlineStr">
        <is>
          <t>Kyrkan</t>
        </is>
      </c>
      <c r="G498" t="n">
        <v>5.6</v>
      </c>
      <c r="H498" t="n">
        <v>0</v>
      </c>
      <c r="I498" t="n">
        <v>0</v>
      </c>
      <c r="J498" t="n">
        <v>0</v>
      </c>
      <c r="K498" t="n">
        <v>0</v>
      </c>
      <c r="L498" t="n">
        <v>0</v>
      </c>
      <c r="M498" t="n">
        <v>0</v>
      </c>
      <c r="N498" t="n">
        <v>0</v>
      </c>
      <c r="O498" t="n">
        <v>0</v>
      </c>
      <c r="P498" t="n">
        <v>0</v>
      </c>
      <c r="Q498" t="n">
        <v>0</v>
      </c>
      <c r="R498" s="2" t="inlineStr"/>
    </row>
    <row r="499" ht="15" customHeight="1">
      <c r="A499" t="inlineStr">
        <is>
          <t>A 52239-2025</t>
        </is>
      </c>
      <c r="B499" s="1" t="n">
        <v>45953</v>
      </c>
      <c r="C499" s="1" t="n">
        <v>46194</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2645-2026</t>
        </is>
      </c>
      <c r="B500" s="1" t="n">
        <v>46037</v>
      </c>
      <c r="C500" s="1" t="n">
        <v>46194</v>
      </c>
      <c r="D500" t="inlineStr">
        <is>
          <t>SÖDERMANLANDS LÄN</t>
        </is>
      </c>
      <c r="E500" t="inlineStr">
        <is>
          <t>KATRINEHOLM</t>
        </is>
      </c>
      <c r="G500" t="n">
        <v>2.1</v>
      </c>
      <c r="H500" t="n">
        <v>0</v>
      </c>
      <c r="I500" t="n">
        <v>0</v>
      </c>
      <c r="J500" t="n">
        <v>0</v>
      </c>
      <c r="K500" t="n">
        <v>0</v>
      </c>
      <c r="L500" t="n">
        <v>0</v>
      </c>
      <c r="M500" t="n">
        <v>0</v>
      </c>
      <c r="N500" t="n">
        <v>0</v>
      </c>
      <c r="O500" t="n">
        <v>0</v>
      </c>
      <c r="P500" t="n">
        <v>0</v>
      </c>
      <c r="Q500" t="n">
        <v>0</v>
      </c>
      <c r="R500" s="2" t="inlineStr"/>
    </row>
    <row r="501" ht="15" customHeight="1">
      <c r="A501" t="inlineStr">
        <is>
          <t>A 20987-2026</t>
        </is>
      </c>
      <c r="B501" s="1" t="n">
        <v>46142</v>
      </c>
      <c r="C501" s="1" t="n">
        <v>46194</v>
      </c>
      <c r="D501" t="inlineStr">
        <is>
          <t>SÖDERMANLANDS LÄN</t>
        </is>
      </c>
      <c r="E501" t="inlineStr">
        <is>
          <t>KATRINEHOLM</t>
        </is>
      </c>
      <c r="G501" t="n">
        <v>2.8</v>
      </c>
      <c r="H501" t="n">
        <v>0</v>
      </c>
      <c r="I501" t="n">
        <v>0</v>
      </c>
      <c r="J501" t="n">
        <v>0</v>
      </c>
      <c r="K501" t="n">
        <v>0</v>
      </c>
      <c r="L501" t="n">
        <v>0</v>
      </c>
      <c r="M501" t="n">
        <v>0</v>
      </c>
      <c r="N501" t="n">
        <v>0</v>
      </c>
      <c r="O501" t="n">
        <v>0</v>
      </c>
      <c r="P501" t="n">
        <v>0</v>
      </c>
      <c r="Q501" t="n">
        <v>0</v>
      </c>
      <c r="R501" s="2" t="inlineStr"/>
    </row>
    <row r="502" ht="15" customHeight="1">
      <c r="A502" t="inlineStr">
        <is>
          <t>A 23031-2024</t>
        </is>
      </c>
      <c r="B502" s="1" t="n">
        <v>45450</v>
      </c>
      <c r="C502" s="1" t="n">
        <v>46194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22506-2023</t>
        </is>
      </c>
      <c r="B503" s="1" t="n">
        <v>45071</v>
      </c>
      <c r="C503" s="1" t="n">
        <v>46194</v>
      </c>
      <c r="D503" t="inlineStr">
        <is>
          <t>SÖDERMANLANDS LÄN</t>
        </is>
      </c>
      <c r="E503" t="inlineStr">
        <is>
          <t>KATRINEHOLM</t>
        </is>
      </c>
      <c r="F503" t="inlineStr">
        <is>
          <t>Kyrkan</t>
        </is>
      </c>
      <c r="G503" t="n">
        <v>5.9</v>
      </c>
      <c r="H503" t="n">
        <v>0</v>
      </c>
      <c r="I503" t="n">
        <v>0</v>
      </c>
      <c r="J503" t="n">
        <v>0</v>
      </c>
      <c r="K503" t="n">
        <v>0</v>
      </c>
      <c r="L503" t="n">
        <v>0</v>
      </c>
      <c r="M503" t="n">
        <v>0</v>
      </c>
      <c r="N503" t="n">
        <v>0</v>
      </c>
      <c r="O503" t="n">
        <v>0</v>
      </c>
      <c r="P503" t="n">
        <v>0</v>
      </c>
      <c r="Q503" t="n">
        <v>0</v>
      </c>
      <c r="R503" s="2" t="inlineStr"/>
    </row>
    <row r="504" ht="15" customHeight="1">
      <c r="A504" t="inlineStr">
        <is>
          <t>A 12888-2025</t>
        </is>
      </c>
      <c r="B504" s="1" t="n">
        <v>45733</v>
      </c>
      <c r="C504" s="1" t="n">
        <v>46194</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22345-2023</t>
        </is>
      </c>
      <c r="B505" s="1" t="n">
        <v>45070</v>
      </c>
      <c r="C505" s="1" t="n">
        <v>46194</v>
      </c>
      <c r="D505" t="inlineStr">
        <is>
          <t>SÖDERMANLANDS LÄN</t>
        </is>
      </c>
      <c r="E505" t="inlineStr">
        <is>
          <t>KATRINEHOLM</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48877-2022</t>
        </is>
      </c>
      <c r="B506" s="1" t="n">
        <v>44859</v>
      </c>
      <c r="C506" s="1" t="n">
        <v>46194</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19868-2022</t>
        </is>
      </c>
      <c r="B507" s="1" t="n">
        <v>44696</v>
      </c>
      <c r="C507" s="1" t="n">
        <v>46194</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63188-2021</t>
        </is>
      </c>
      <c r="B508" s="1" t="n">
        <v>44507</v>
      </c>
      <c r="C508" s="1" t="n">
        <v>46194</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29843-2023</t>
        </is>
      </c>
      <c r="B509" s="1" t="n">
        <v>45107</v>
      </c>
      <c r="C509" s="1" t="n">
        <v>46194</v>
      </c>
      <c r="D509" t="inlineStr">
        <is>
          <t>SÖDERMANLANDS LÄN</t>
        </is>
      </c>
      <c r="E509" t="inlineStr">
        <is>
          <t>KATRINEHOLM</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41548-2025</t>
        </is>
      </c>
      <c r="B510" s="1" t="n">
        <v>45901</v>
      </c>
      <c r="C510" s="1" t="n">
        <v>46194</v>
      </c>
      <c r="D510" t="inlineStr">
        <is>
          <t>SÖDERMANLANDS LÄN</t>
        </is>
      </c>
      <c r="E510" t="inlineStr">
        <is>
          <t>KATRINEHOLM</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5834-2025</t>
        </is>
      </c>
      <c r="B511" s="1" t="n">
        <v>45694</v>
      </c>
      <c r="C511" s="1" t="n">
        <v>46194</v>
      </c>
      <c r="D511" t="inlineStr">
        <is>
          <t>SÖDERMANLANDS LÄN</t>
        </is>
      </c>
      <c r="E511" t="inlineStr">
        <is>
          <t>KATRINEHOLM</t>
        </is>
      </c>
      <c r="G511" t="n">
        <v>3.3</v>
      </c>
      <c r="H511" t="n">
        <v>0</v>
      </c>
      <c r="I511" t="n">
        <v>0</v>
      </c>
      <c r="J511" t="n">
        <v>0</v>
      </c>
      <c r="K511" t="n">
        <v>0</v>
      </c>
      <c r="L511" t="n">
        <v>0</v>
      </c>
      <c r="M511" t="n">
        <v>0</v>
      </c>
      <c r="N511" t="n">
        <v>0</v>
      </c>
      <c r="O511" t="n">
        <v>0</v>
      </c>
      <c r="P511" t="n">
        <v>0</v>
      </c>
      <c r="Q511" t="n">
        <v>0</v>
      </c>
      <c r="R511" s="2" t="inlineStr"/>
    </row>
    <row r="512" ht="15" customHeight="1">
      <c r="A512" t="inlineStr">
        <is>
          <t>A 34981-2023</t>
        </is>
      </c>
      <c r="B512" s="1" t="n">
        <v>45142</v>
      </c>
      <c r="C512" s="1" t="n">
        <v>46194</v>
      </c>
      <c r="D512" t="inlineStr">
        <is>
          <t>SÖDERMANLANDS LÄN</t>
        </is>
      </c>
      <c r="E512" t="inlineStr">
        <is>
          <t>KATRINEHOLM</t>
        </is>
      </c>
      <c r="G512" t="n">
        <v>10</v>
      </c>
      <c r="H512" t="n">
        <v>0</v>
      </c>
      <c r="I512" t="n">
        <v>0</v>
      </c>
      <c r="J512" t="n">
        <v>0</v>
      </c>
      <c r="K512" t="n">
        <v>0</v>
      </c>
      <c r="L512" t="n">
        <v>0</v>
      </c>
      <c r="M512" t="n">
        <v>0</v>
      </c>
      <c r="N512" t="n">
        <v>0</v>
      </c>
      <c r="O512" t="n">
        <v>0</v>
      </c>
      <c r="P512" t="n">
        <v>0</v>
      </c>
      <c r="Q512" t="n">
        <v>0</v>
      </c>
      <c r="R512" s="2" t="inlineStr"/>
    </row>
    <row r="513" ht="15" customHeight="1">
      <c r="A513" t="inlineStr">
        <is>
          <t>A 27534-2025</t>
        </is>
      </c>
      <c r="B513" s="1" t="n">
        <v>45813</v>
      </c>
      <c r="C513" s="1" t="n">
        <v>46194</v>
      </c>
      <c r="D513" t="inlineStr">
        <is>
          <t>SÖDERMANLANDS LÄN</t>
        </is>
      </c>
      <c r="E513" t="inlineStr">
        <is>
          <t>KATRINEHOLM</t>
        </is>
      </c>
      <c r="G513" t="n">
        <v>0.7</v>
      </c>
      <c r="H513" t="n">
        <v>0</v>
      </c>
      <c r="I513" t="n">
        <v>0</v>
      </c>
      <c r="J513" t="n">
        <v>0</v>
      </c>
      <c r="K513" t="n">
        <v>0</v>
      </c>
      <c r="L513" t="n">
        <v>0</v>
      </c>
      <c r="M513" t="n">
        <v>0</v>
      </c>
      <c r="N513" t="n">
        <v>0</v>
      </c>
      <c r="O513" t="n">
        <v>0</v>
      </c>
      <c r="P513" t="n">
        <v>0</v>
      </c>
      <c r="Q513" t="n">
        <v>0</v>
      </c>
      <c r="R513" s="2" t="inlineStr"/>
    </row>
    <row r="514" ht="15" customHeight="1">
      <c r="A514" t="inlineStr">
        <is>
          <t>A 73412-2021</t>
        </is>
      </c>
      <c r="B514" s="1" t="n">
        <v>44551</v>
      </c>
      <c r="C514" s="1" t="n">
        <v>46194</v>
      </c>
      <c r="D514" t="inlineStr">
        <is>
          <t>SÖDERMANLANDS LÄN</t>
        </is>
      </c>
      <c r="E514" t="inlineStr">
        <is>
          <t>KATRINEHOLM</t>
        </is>
      </c>
      <c r="G514" t="n">
        <v>2</v>
      </c>
      <c r="H514" t="n">
        <v>0</v>
      </c>
      <c r="I514" t="n">
        <v>0</v>
      </c>
      <c r="J514" t="n">
        <v>0</v>
      </c>
      <c r="K514" t="n">
        <v>0</v>
      </c>
      <c r="L514" t="n">
        <v>0</v>
      </c>
      <c r="M514" t="n">
        <v>0</v>
      </c>
      <c r="N514" t="n">
        <v>0</v>
      </c>
      <c r="O514" t="n">
        <v>0</v>
      </c>
      <c r="P514" t="n">
        <v>0</v>
      </c>
      <c r="Q514" t="n">
        <v>0</v>
      </c>
      <c r="R514" s="2" t="inlineStr"/>
    </row>
    <row r="515" ht="15" customHeight="1">
      <c r="A515" t="inlineStr">
        <is>
          <t>A 27636-2025</t>
        </is>
      </c>
      <c r="B515" s="1" t="n">
        <v>45813</v>
      </c>
      <c r="C515" s="1" t="n">
        <v>46194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24600-2025</t>
        </is>
      </c>
      <c r="B516" s="1" t="n">
        <v>45798</v>
      </c>
      <c r="C516" s="1" t="n">
        <v>46194</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14245-2024</t>
        </is>
      </c>
      <c r="B517" s="1" t="n">
        <v>45393</v>
      </c>
      <c r="C517" s="1" t="n">
        <v>46194</v>
      </c>
      <c r="D517" t="inlineStr">
        <is>
          <t>SÖDERMANLANDS LÄN</t>
        </is>
      </c>
      <c r="E517" t="inlineStr">
        <is>
          <t>KATRINEHOLM</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11104-2023</t>
        </is>
      </c>
      <c r="B518" s="1" t="n">
        <v>44992</v>
      </c>
      <c r="C518" s="1" t="n">
        <v>46194</v>
      </c>
      <c r="D518" t="inlineStr">
        <is>
          <t>SÖDERMANLANDS LÄN</t>
        </is>
      </c>
      <c r="E518" t="inlineStr">
        <is>
          <t>KATRINEHOLM</t>
        </is>
      </c>
      <c r="F518" t="inlineStr">
        <is>
          <t>Allmännings- och besparingsskogar</t>
        </is>
      </c>
      <c r="G518" t="n">
        <v>7.8</v>
      </c>
      <c r="H518" t="n">
        <v>0</v>
      </c>
      <c r="I518" t="n">
        <v>0</v>
      </c>
      <c r="J518" t="n">
        <v>0</v>
      </c>
      <c r="K518" t="n">
        <v>0</v>
      </c>
      <c r="L518" t="n">
        <v>0</v>
      </c>
      <c r="M518" t="n">
        <v>0</v>
      </c>
      <c r="N518" t="n">
        <v>0</v>
      </c>
      <c r="O518" t="n">
        <v>0</v>
      </c>
      <c r="P518" t="n">
        <v>0</v>
      </c>
      <c r="Q518" t="n">
        <v>0</v>
      </c>
      <c r="R518" s="2" t="inlineStr"/>
    </row>
    <row r="519" ht="15" customHeight="1">
      <c r="A519" t="inlineStr">
        <is>
          <t>A 35608-2024</t>
        </is>
      </c>
      <c r="B519" s="1" t="n">
        <v>45531</v>
      </c>
      <c r="C519" s="1" t="n">
        <v>46194</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4387-2024</t>
        </is>
      </c>
      <c r="B520" s="1" t="n">
        <v>45327</v>
      </c>
      <c r="C520" s="1" t="n">
        <v>46194</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4872-2024</t>
        </is>
      </c>
      <c r="B521" s="1" t="n">
        <v>45329</v>
      </c>
      <c r="C521" s="1" t="n">
        <v>46194</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3986-2024</t>
        </is>
      </c>
      <c r="B522" s="1" t="n">
        <v>45322</v>
      </c>
      <c r="C522" s="1" t="n">
        <v>46194</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10996-2022</t>
        </is>
      </c>
      <c r="B523" s="1" t="n">
        <v>44628</v>
      </c>
      <c r="C523" s="1" t="n">
        <v>46194</v>
      </c>
      <c r="D523" t="inlineStr">
        <is>
          <t>SÖDERMANLANDS LÄN</t>
        </is>
      </c>
      <c r="E523" t="inlineStr">
        <is>
          <t>KATRINEHOLM</t>
        </is>
      </c>
      <c r="G523" t="n">
        <v>0.3</v>
      </c>
      <c r="H523" t="n">
        <v>0</v>
      </c>
      <c r="I523" t="n">
        <v>0</v>
      </c>
      <c r="J523" t="n">
        <v>0</v>
      </c>
      <c r="K523" t="n">
        <v>0</v>
      </c>
      <c r="L523" t="n">
        <v>0</v>
      </c>
      <c r="M523" t="n">
        <v>0</v>
      </c>
      <c r="N523" t="n">
        <v>0</v>
      </c>
      <c r="O523" t="n">
        <v>0</v>
      </c>
      <c r="P523" t="n">
        <v>0</v>
      </c>
      <c r="Q523" t="n">
        <v>0</v>
      </c>
      <c r="R523" s="2" t="inlineStr"/>
    </row>
    <row r="524" ht="15" customHeight="1">
      <c r="A524" t="inlineStr">
        <is>
          <t>A 29189-2025</t>
        </is>
      </c>
      <c r="B524" s="1" t="n">
        <v>45822</v>
      </c>
      <c r="C524" s="1" t="n">
        <v>46194</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42451-2023</t>
        </is>
      </c>
      <c r="B525" s="1" t="n">
        <v>45180</v>
      </c>
      <c r="C525" s="1" t="n">
        <v>46194</v>
      </c>
      <c r="D525" t="inlineStr">
        <is>
          <t>SÖDERMANLANDS LÄN</t>
        </is>
      </c>
      <c r="E525" t="inlineStr">
        <is>
          <t>KATRINEHOLM</t>
        </is>
      </c>
      <c r="G525" t="n">
        <v>3.8</v>
      </c>
      <c r="H525" t="n">
        <v>0</v>
      </c>
      <c r="I525" t="n">
        <v>0</v>
      </c>
      <c r="J525" t="n">
        <v>0</v>
      </c>
      <c r="K525" t="n">
        <v>0</v>
      </c>
      <c r="L525" t="n">
        <v>0</v>
      </c>
      <c r="M525" t="n">
        <v>0</v>
      </c>
      <c r="N525" t="n">
        <v>0</v>
      </c>
      <c r="O525" t="n">
        <v>0</v>
      </c>
      <c r="P525" t="n">
        <v>0</v>
      </c>
      <c r="Q525" t="n">
        <v>0</v>
      </c>
      <c r="R525" s="2" t="inlineStr"/>
    </row>
    <row r="526" ht="15" customHeight="1">
      <c r="A526" t="inlineStr">
        <is>
          <t>A 6606-2022</t>
        </is>
      </c>
      <c r="B526" s="1" t="n">
        <v>44601</v>
      </c>
      <c r="C526" s="1" t="n">
        <v>46194</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21087-2026</t>
        </is>
      </c>
      <c r="B527" s="1" t="n">
        <v>46146</v>
      </c>
      <c r="C527" s="1" t="n">
        <v>46194</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27646-2023</t>
        </is>
      </c>
      <c r="B528" s="1" t="n">
        <v>45097</v>
      </c>
      <c r="C528" s="1" t="n">
        <v>46194</v>
      </c>
      <c r="D528" t="inlineStr">
        <is>
          <t>SÖDERMANLANDS LÄN</t>
        </is>
      </c>
      <c r="E528" t="inlineStr">
        <is>
          <t>KATRINEHOLM</t>
        </is>
      </c>
      <c r="G528" t="n">
        <v>2.4</v>
      </c>
      <c r="H528" t="n">
        <v>0</v>
      </c>
      <c r="I528" t="n">
        <v>0</v>
      </c>
      <c r="J528" t="n">
        <v>0</v>
      </c>
      <c r="K528" t="n">
        <v>0</v>
      </c>
      <c r="L528" t="n">
        <v>0</v>
      </c>
      <c r="M528" t="n">
        <v>0</v>
      </c>
      <c r="N528" t="n">
        <v>0</v>
      </c>
      <c r="O528" t="n">
        <v>0</v>
      </c>
      <c r="P528" t="n">
        <v>0</v>
      </c>
      <c r="Q528" t="n">
        <v>0</v>
      </c>
      <c r="R528" s="2" t="inlineStr"/>
    </row>
    <row r="529" ht="15" customHeight="1">
      <c r="A529" t="inlineStr">
        <is>
          <t>A 15235-2023</t>
        </is>
      </c>
      <c r="B529" s="1" t="n">
        <v>45019</v>
      </c>
      <c r="C529" s="1" t="n">
        <v>46194</v>
      </c>
      <c r="D529" t="inlineStr">
        <is>
          <t>SÖDERMANLANDS LÄN</t>
        </is>
      </c>
      <c r="E529" t="inlineStr">
        <is>
          <t>KATRINEHOLM</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46194</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22304-2024</t>
        </is>
      </c>
      <c r="B531" s="1" t="n">
        <v>45446</v>
      </c>
      <c r="C531" s="1" t="n">
        <v>46194</v>
      </c>
      <c r="D531" t="inlineStr">
        <is>
          <t>SÖDERMANLANDS LÄN</t>
        </is>
      </c>
      <c r="E531" t="inlineStr">
        <is>
          <t>KATRINEHOLM</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14224-2024</t>
        </is>
      </c>
      <c r="B532" s="1" t="n">
        <v>45393</v>
      </c>
      <c r="C532" s="1" t="n">
        <v>46194</v>
      </c>
      <c r="D532" t="inlineStr">
        <is>
          <t>SÖDERMANLANDS LÄN</t>
        </is>
      </c>
      <c r="E532" t="inlineStr">
        <is>
          <t>KATRINEHOLM</t>
        </is>
      </c>
      <c r="F532" t="inlineStr">
        <is>
          <t>Sveaskog</t>
        </is>
      </c>
      <c r="G532" t="n">
        <v>7.6</v>
      </c>
      <c r="H532" t="n">
        <v>0</v>
      </c>
      <c r="I532" t="n">
        <v>0</v>
      </c>
      <c r="J532" t="n">
        <v>0</v>
      </c>
      <c r="K532" t="n">
        <v>0</v>
      </c>
      <c r="L532" t="n">
        <v>0</v>
      </c>
      <c r="M532" t="n">
        <v>0</v>
      </c>
      <c r="N532" t="n">
        <v>0</v>
      </c>
      <c r="O532" t="n">
        <v>0</v>
      </c>
      <c r="P532" t="n">
        <v>0</v>
      </c>
      <c r="Q532" t="n">
        <v>0</v>
      </c>
      <c r="R532" s="2" t="inlineStr"/>
    </row>
    <row r="533" ht="15" customHeight="1">
      <c r="A533" t="inlineStr">
        <is>
          <t>A 28317-2024</t>
        </is>
      </c>
      <c r="B533" s="1" t="n">
        <v>45477</v>
      </c>
      <c r="C533" s="1" t="n">
        <v>46194</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36366-2023</t>
        </is>
      </c>
      <c r="B534" s="1" t="n">
        <v>45152</v>
      </c>
      <c r="C534" s="1" t="n">
        <v>46194</v>
      </c>
      <c r="D534" t="inlineStr">
        <is>
          <t>SÖDERMANLANDS LÄN</t>
        </is>
      </c>
      <c r="E534" t="inlineStr">
        <is>
          <t>KATRINEHOLM</t>
        </is>
      </c>
      <c r="G534" t="n">
        <v>0.8</v>
      </c>
      <c r="H534" t="n">
        <v>0</v>
      </c>
      <c r="I534" t="n">
        <v>0</v>
      </c>
      <c r="J534" t="n">
        <v>0</v>
      </c>
      <c r="K534" t="n">
        <v>0</v>
      </c>
      <c r="L534" t="n">
        <v>0</v>
      </c>
      <c r="M534" t="n">
        <v>0</v>
      </c>
      <c r="N534" t="n">
        <v>0</v>
      </c>
      <c r="O534" t="n">
        <v>0</v>
      </c>
      <c r="P534" t="n">
        <v>0</v>
      </c>
      <c r="Q534" t="n">
        <v>0</v>
      </c>
      <c r="R534" s="2" t="inlineStr"/>
    </row>
    <row r="535" ht="15" customHeight="1">
      <c r="A535" t="inlineStr">
        <is>
          <t>A 36021-2023</t>
        </is>
      </c>
      <c r="B535" s="1" t="n">
        <v>45148</v>
      </c>
      <c r="C535" s="1" t="n">
        <v>46194</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56597-2025</t>
        </is>
      </c>
      <c r="B536" s="1" t="n">
        <v>45975</v>
      </c>
      <c r="C536" s="1" t="n">
        <v>46194</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28597-2024</t>
        </is>
      </c>
      <c r="B537" s="1" t="n">
        <v>45478</v>
      </c>
      <c r="C537" s="1" t="n">
        <v>46194</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31990-2025</t>
        </is>
      </c>
      <c r="B538" s="1" t="n">
        <v>45835</v>
      </c>
      <c r="C538" s="1" t="n">
        <v>46194</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29198-2023</t>
        </is>
      </c>
      <c r="B539" s="1" t="n">
        <v>45105</v>
      </c>
      <c r="C539" s="1" t="n">
        <v>46194</v>
      </c>
      <c r="D539" t="inlineStr">
        <is>
          <t>SÖDERMANLANDS LÄN</t>
        </is>
      </c>
      <c r="E539" t="inlineStr">
        <is>
          <t>KATRINEHOLM</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v>
      </c>
      <c r="C540" s="1" t="n">
        <v>46194</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9992-2022</t>
        </is>
      </c>
      <c r="B541" s="1" t="n">
        <v>44621</v>
      </c>
      <c r="C541" s="1" t="n">
        <v>46194</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41267-2023</t>
        </is>
      </c>
      <c r="B542" s="1" t="n">
        <v>45174</v>
      </c>
      <c r="C542" s="1" t="n">
        <v>46194</v>
      </c>
      <c r="D542" t="inlineStr">
        <is>
          <t>SÖDERMANLANDS LÄN</t>
        </is>
      </c>
      <c r="E542" t="inlineStr">
        <is>
          <t>KATRINEHOLM</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6762-2025</t>
        </is>
      </c>
      <c r="B543" s="1" t="n">
        <v>45700</v>
      </c>
      <c r="C543" s="1" t="n">
        <v>46194</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20213-2025</t>
        </is>
      </c>
      <c r="B544" s="1" t="n">
        <v>45772</v>
      </c>
      <c r="C544" s="1" t="n">
        <v>46194</v>
      </c>
      <c r="D544" t="inlineStr">
        <is>
          <t>SÖDERMANLANDS LÄN</t>
        </is>
      </c>
      <c r="E544" t="inlineStr">
        <is>
          <t>KATRINEHOLM</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4650-2024</t>
        </is>
      </c>
      <c r="B545" s="1" t="n">
        <v>45328</v>
      </c>
      <c r="C545" s="1" t="n">
        <v>46194</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4652-2024</t>
        </is>
      </c>
      <c r="B546" s="1" t="n">
        <v>45328</v>
      </c>
      <c r="C546" s="1" t="n">
        <v>46194</v>
      </c>
      <c r="D546" t="inlineStr">
        <is>
          <t>SÖDERMANLANDS LÄN</t>
        </is>
      </c>
      <c r="E546" t="inlineStr">
        <is>
          <t>KATRINEHOLM</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46194</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9936-2023</t>
        </is>
      </c>
      <c r="B548" s="1" t="n">
        <v>44985</v>
      </c>
      <c r="C548" s="1" t="n">
        <v>46194</v>
      </c>
      <c r="D548" t="inlineStr">
        <is>
          <t>SÖDERMANLANDS LÄN</t>
        </is>
      </c>
      <c r="E548" t="inlineStr">
        <is>
          <t>KATRINEHOLM</t>
        </is>
      </c>
      <c r="G548" t="n">
        <v>0.4</v>
      </c>
      <c r="H548" t="n">
        <v>0</v>
      </c>
      <c r="I548" t="n">
        <v>0</v>
      </c>
      <c r="J548" t="n">
        <v>0</v>
      </c>
      <c r="K548" t="n">
        <v>0</v>
      </c>
      <c r="L548" t="n">
        <v>0</v>
      </c>
      <c r="M548" t="n">
        <v>0</v>
      </c>
      <c r="N548" t="n">
        <v>0</v>
      </c>
      <c r="O548" t="n">
        <v>0</v>
      </c>
      <c r="P548" t="n">
        <v>0</v>
      </c>
      <c r="Q548" t="n">
        <v>0</v>
      </c>
      <c r="R548" s="2" t="inlineStr"/>
    </row>
    <row r="549" ht="15" customHeight="1">
      <c r="A549" t="inlineStr">
        <is>
          <t>A 4645-2024</t>
        </is>
      </c>
      <c r="B549" s="1" t="n">
        <v>45328</v>
      </c>
      <c r="C549" s="1" t="n">
        <v>46194</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36001-2024</t>
        </is>
      </c>
      <c r="B550" s="1" t="n">
        <v>45533</v>
      </c>
      <c r="C550" s="1" t="n">
        <v>46194</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35165-2025</t>
        </is>
      </c>
      <c r="B551" s="1" t="n">
        <v>45852</v>
      </c>
      <c r="C551" s="1" t="n">
        <v>46194</v>
      </c>
      <c r="D551" t="inlineStr">
        <is>
          <t>SÖDERMANLANDS LÄN</t>
        </is>
      </c>
      <c r="E551" t="inlineStr">
        <is>
          <t>KATRINEHOLM</t>
        </is>
      </c>
      <c r="F551" t="inlineStr">
        <is>
          <t>Övriga Aktiebolag</t>
        </is>
      </c>
      <c r="G551" t="n">
        <v>20.7</v>
      </c>
      <c r="H551" t="n">
        <v>0</v>
      </c>
      <c r="I551" t="n">
        <v>0</v>
      </c>
      <c r="J551" t="n">
        <v>0</v>
      </c>
      <c r="K551" t="n">
        <v>0</v>
      </c>
      <c r="L551" t="n">
        <v>0</v>
      </c>
      <c r="M551" t="n">
        <v>0</v>
      </c>
      <c r="N551" t="n">
        <v>0</v>
      </c>
      <c r="O551" t="n">
        <v>0</v>
      </c>
      <c r="P551" t="n">
        <v>0</v>
      </c>
      <c r="Q551" t="n">
        <v>0</v>
      </c>
      <c r="R551" s="2" t="inlineStr"/>
    </row>
    <row r="552" ht="15" customHeight="1">
      <c r="A552" t="inlineStr">
        <is>
          <t>A 35084-2025</t>
        </is>
      </c>
      <c r="B552" s="1" t="n">
        <v>45852</v>
      </c>
      <c r="C552" s="1" t="n">
        <v>46194</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34439-2025</t>
        </is>
      </c>
      <c r="B553" s="1" t="n">
        <v>45845</v>
      </c>
      <c r="C553" s="1" t="n">
        <v>46194</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35157-2025</t>
        </is>
      </c>
      <c r="B554" s="1" t="n">
        <v>45852</v>
      </c>
      <c r="C554" s="1" t="n">
        <v>46194</v>
      </c>
      <c r="D554" t="inlineStr">
        <is>
          <t>SÖDERMANLANDS LÄN</t>
        </is>
      </c>
      <c r="E554" t="inlineStr">
        <is>
          <t>KATRINEHOLM</t>
        </is>
      </c>
      <c r="G554" t="n">
        <v>3.7</v>
      </c>
      <c r="H554" t="n">
        <v>0</v>
      </c>
      <c r="I554" t="n">
        <v>0</v>
      </c>
      <c r="J554" t="n">
        <v>0</v>
      </c>
      <c r="K554" t="n">
        <v>0</v>
      </c>
      <c r="L554" t="n">
        <v>0</v>
      </c>
      <c r="M554" t="n">
        <v>0</v>
      </c>
      <c r="N554" t="n">
        <v>0</v>
      </c>
      <c r="O554" t="n">
        <v>0</v>
      </c>
      <c r="P554" t="n">
        <v>0</v>
      </c>
      <c r="Q554" t="n">
        <v>0</v>
      </c>
      <c r="R554" s="2" t="inlineStr"/>
    </row>
    <row r="555" ht="15" customHeight="1">
      <c r="A555" t="inlineStr">
        <is>
          <t>A 35158-2025</t>
        </is>
      </c>
      <c r="B555" s="1" t="n">
        <v>45852</v>
      </c>
      <c r="C555" s="1" t="n">
        <v>46194</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36832-2023</t>
        </is>
      </c>
      <c r="B556" s="1" t="n">
        <v>45153</v>
      </c>
      <c r="C556" s="1" t="n">
        <v>46194</v>
      </c>
      <c r="D556" t="inlineStr">
        <is>
          <t>SÖDERMANLANDS LÄN</t>
        </is>
      </c>
      <c r="E556" t="inlineStr">
        <is>
          <t>KATRINEHOLM</t>
        </is>
      </c>
      <c r="F556" t="inlineStr">
        <is>
          <t>Övriga Aktiebolag</t>
        </is>
      </c>
      <c r="G556" t="n">
        <v>9</v>
      </c>
      <c r="H556" t="n">
        <v>0</v>
      </c>
      <c r="I556" t="n">
        <v>0</v>
      </c>
      <c r="J556" t="n">
        <v>0</v>
      </c>
      <c r="K556" t="n">
        <v>0</v>
      </c>
      <c r="L556" t="n">
        <v>0</v>
      </c>
      <c r="M556" t="n">
        <v>0</v>
      </c>
      <c r="N556" t="n">
        <v>0</v>
      </c>
      <c r="O556" t="n">
        <v>0</v>
      </c>
      <c r="P556" t="n">
        <v>0</v>
      </c>
      <c r="Q556" t="n">
        <v>0</v>
      </c>
      <c r="R556" s="2" t="inlineStr"/>
    </row>
    <row r="557" ht="15" customHeight="1">
      <c r="A557" t="inlineStr">
        <is>
          <t>A 34176-2025</t>
        </is>
      </c>
      <c r="B557" s="1" t="n">
        <v>45845</v>
      </c>
      <c r="C557" s="1" t="n">
        <v>46194</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6810-2023</t>
        </is>
      </c>
      <c r="B558" s="1" t="n">
        <v>44964</v>
      </c>
      <c r="C558" s="1" t="n">
        <v>46194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44024-2021</t>
        </is>
      </c>
      <c r="B559" s="1" t="n">
        <v>44434</v>
      </c>
      <c r="C559" s="1" t="n">
        <v>46194</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46194</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60678-2025</t>
        </is>
      </c>
      <c r="B561" s="1" t="n">
        <v>45996</v>
      </c>
      <c r="C561" s="1" t="n">
        <v>46194</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46194</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52744-2025</t>
        </is>
      </c>
      <c r="B563" s="1" t="n">
        <v>45957</v>
      </c>
      <c r="C563" s="1" t="n">
        <v>46194</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5788-2022</t>
        </is>
      </c>
      <c r="B564" s="1" t="n">
        <v>44596</v>
      </c>
      <c r="C564" s="1" t="n">
        <v>46194</v>
      </c>
      <c r="D564" t="inlineStr">
        <is>
          <t>SÖDERMANLANDS LÄN</t>
        </is>
      </c>
      <c r="E564" t="inlineStr">
        <is>
          <t>KATRINEHOLM</t>
        </is>
      </c>
      <c r="G564" t="n">
        <v>4.1</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46194</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3075-2022</t>
        </is>
      </c>
      <c r="B566" s="1" t="n">
        <v>44582</v>
      </c>
      <c r="C566" s="1" t="n">
        <v>46194</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61121-2025</t>
        </is>
      </c>
      <c r="B567" s="1" t="n">
        <v>46000</v>
      </c>
      <c r="C567" s="1" t="n">
        <v>46194</v>
      </c>
      <c r="D567" t="inlineStr">
        <is>
          <t>SÖDERMANLANDS LÄN</t>
        </is>
      </c>
      <c r="E567" t="inlineStr">
        <is>
          <t>KATRINEHOLM</t>
        </is>
      </c>
      <c r="G567" t="n">
        <v>0.2</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46194</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61066-2025</t>
        </is>
      </c>
      <c r="B569" s="1" t="n">
        <v>46000</v>
      </c>
      <c r="C569" s="1" t="n">
        <v>46194</v>
      </c>
      <c r="D569" t="inlineStr">
        <is>
          <t>SÖDERMANLANDS LÄN</t>
        </is>
      </c>
      <c r="E569" t="inlineStr">
        <is>
          <t>KATRINEHOLM</t>
        </is>
      </c>
      <c r="F569" t="inlineStr">
        <is>
          <t>Kyrkan</t>
        </is>
      </c>
      <c r="G569" t="n">
        <v>5</v>
      </c>
      <c r="H569" t="n">
        <v>0</v>
      </c>
      <c r="I569" t="n">
        <v>0</v>
      </c>
      <c r="J569" t="n">
        <v>0</v>
      </c>
      <c r="K569" t="n">
        <v>0</v>
      </c>
      <c r="L569" t="n">
        <v>0</v>
      </c>
      <c r="M569" t="n">
        <v>0</v>
      </c>
      <c r="N569" t="n">
        <v>0</v>
      </c>
      <c r="O569" t="n">
        <v>0</v>
      </c>
      <c r="P569" t="n">
        <v>0</v>
      </c>
      <c r="Q569" t="n">
        <v>0</v>
      </c>
      <c r="R569" s="2" t="inlineStr"/>
    </row>
    <row r="570" ht="15" customHeight="1">
      <c r="A570" t="inlineStr">
        <is>
          <t>A 73409-2021</t>
        </is>
      </c>
      <c r="B570" s="1" t="n">
        <v>44551</v>
      </c>
      <c r="C570" s="1" t="n">
        <v>46194</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73415-2021</t>
        </is>
      </c>
      <c r="B571" s="1" t="n">
        <v>44551</v>
      </c>
      <c r="C571" s="1" t="n">
        <v>46194</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61721-2025</t>
        </is>
      </c>
      <c r="B572" s="1" t="n">
        <v>46002</v>
      </c>
      <c r="C572" s="1" t="n">
        <v>46194</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46194</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27109-2026</t>
        </is>
      </c>
      <c r="B574" s="1" t="n">
        <v>46188</v>
      </c>
      <c r="C574" s="1" t="n">
        <v>46194</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50935-2023</t>
        </is>
      </c>
      <c r="B575" s="1" t="n">
        <v>45211</v>
      </c>
      <c r="C575" s="1" t="n">
        <v>46194</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6298-2024</t>
        </is>
      </c>
      <c r="B576" s="1" t="n">
        <v>45338</v>
      </c>
      <c r="C576" s="1" t="n">
        <v>46194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33001-2024</t>
        </is>
      </c>
      <c r="B577" s="1" t="n">
        <v>45517</v>
      </c>
      <c r="C577" s="1" t="n">
        <v>46194</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12227-2025</t>
        </is>
      </c>
      <c r="B578" s="1" t="n">
        <v>45729</v>
      </c>
      <c r="C578" s="1" t="n">
        <v>46194</v>
      </c>
      <c r="D578" t="inlineStr">
        <is>
          <t>SÖDERMANLANDS LÄN</t>
        </is>
      </c>
      <c r="E578" t="inlineStr">
        <is>
          <t>KATRINEHOLM</t>
        </is>
      </c>
      <c r="G578" t="n">
        <v>7</v>
      </c>
      <c r="H578" t="n">
        <v>0</v>
      </c>
      <c r="I578" t="n">
        <v>0</v>
      </c>
      <c r="J578" t="n">
        <v>0</v>
      </c>
      <c r="K578" t="n">
        <v>0</v>
      </c>
      <c r="L578" t="n">
        <v>0</v>
      </c>
      <c r="M578" t="n">
        <v>0</v>
      </c>
      <c r="N578" t="n">
        <v>0</v>
      </c>
      <c r="O578" t="n">
        <v>0</v>
      </c>
      <c r="P578" t="n">
        <v>0</v>
      </c>
      <c r="Q578" t="n">
        <v>0</v>
      </c>
      <c r="R578" s="2" t="inlineStr"/>
    </row>
    <row r="579" ht="15" customHeight="1">
      <c r="A579" t="inlineStr">
        <is>
          <t>A 58175-2024</t>
        </is>
      </c>
      <c r="B579" s="1" t="n">
        <v>45632</v>
      </c>
      <c r="C579" s="1" t="n">
        <v>46194</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53715-2023</t>
        </is>
      </c>
      <c r="B580" s="1" t="n">
        <v>45230</v>
      </c>
      <c r="C580" s="1" t="n">
        <v>46194</v>
      </c>
      <c r="D580" t="inlineStr">
        <is>
          <t>SÖDERMANLANDS LÄN</t>
        </is>
      </c>
      <c r="E580" t="inlineStr">
        <is>
          <t>KATRINEHOLM</t>
        </is>
      </c>
      <c r="F580" t="inlineStr">
        <is>
          <t>Allmännings- och besparingsskogar</t>
        </is>
      </c>
      <c r="G580" t="n">
        <v>5.6</v>
      </c>
      <c r="H580" t="n">
        <v>0</v>
      </c>
      <c r="I580" t="n">
        <v>0</v>
      </c>
      <c r="J580" t="n">
        <v>0</v>
      </c>
      <c r="K580" t="n">
        <v>0</v>
      </c>
      <c r="L580" t="n">
        <v>0</v>
      </c>
      <c r="M580" t="n">
        <v>0</v>
      </c>
      <c r="N580" t="n">
        <v>0</v>
      </c>
      <c r="O580" t="n">
        <v>0</v>
      </c>
      <c r="P580" t="n">
        <v>0</v>
      </c>
      <c r="Q580" t="n">
        <v>0</v>
      </c>
      <c r="R580" s="2" t="inlineStr"/>
    </row>
    <row r="581" ht="15" customHeight="1">
      <c r="A581" t="inlineStr">
        <is>
          <t>A 37043-2025</t>
        </is>
      </c>
      <c r="B581" s="1" t="n">
        <v>45875</v>
      </c>
      <c r="C581" s="1" t="n">
        <v>46194</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23705-2023</t>
        </is>
      </c>
      <c r="B582" s="1" t="n">
        <v>45077</v>
      </c>
      <c r="C582" s="1" t="n">
        <v>46194</v>
      </c>
      <c r="D582" t="inlineStr">
        <is>
          <t>SÖDERMANLANDS LÄN</t>
        </is>
      </c>
      <c r="E582" t="inlineStr">
        <is>
          <t>KATRINEHOLM</t>
        </is>
      </c>
      <c r="F582" t="inlineStr">
        <is>
          <t>Kyrkan</t>
        </is>
      </c>
      <c r="G582" t="n">
        <v>11.9</v>
      </c>
      <c r="H582" t="n">
        <v>0</v>
      </c>
      <c r="I582" t="n">
        <v>0</v>
      </c>
      <c r="J582" t="n">
        <v>0</v>
      </c>
      <c r="K582" t="n">
        <v>0</v>
      </c>
      <c r="L582" t="n">
        <v>0</v>
      </c>
      <c r="M582" t="n">
        <v>0</v>
      </c>
      <c r="N582" t="n">
        <v>0</v>
      </c>
      <c r="O582" t="n">
        <v>0</v>
      </c>
      <c r="P582" t="n">
        <v>0</v>
      </c>
      <c r="Q582" t="n">
        <v>0</v>
      </c>
      <c r="R582" s="2" t="inlineStr"/>
    </row>
    <row r="583" ht="15" customHeight="1">
      <c r="A583" t="inlineStr">
        <is>
          <t>A 63947-2025</t>
        </is>
      </c>
      <c r="B583" s="1" t="n">
        <v>46010</v>
      </c>
      <c r="C583" s="1" t="n">
        <v>46194</v>
      </c>
      <c r="D583" t="inlineStr">
        <is>
          <t>SÖDERMANLANDS LÄN</t>
        </is>
      </c>
      <c r="E583" t="inlineStr">
        <is>
          <t>KATRINEHOLM</t>
        </is>
      </c>
      <c r="F583" t="inlineStr">
        <is>
          <t>Allmännings- och besparingsskogar</t>
        </is>
      </c>
      <c r="G583" t="n">
        <v>4.8</v>
      </c>
      <c r="H583" t="n">
        <v>0</v>
      </c>
      <c r="I583" t="n">
        <v>0</v>
      </c>
      <c r="J583" t="n">
        <v>0</v>
      </c>
      <c r="K583" t="n">
        <v>0</v>
      </c>
      <c r="L583" t="n">
        <v>0</v>
      </c>
      <c r="M583" t="n">
        <v>0</v>
      </c>
      <c r="N583" t="n">
        <v>0</v>
      </c>
      <c r="O583" t="n">
        <v>0</v>
      </c>
      <c r="P583" t="n">
        <v>0</v>
      </c>
      <c r="Q583" t="n">
        <v>0</v>
      </c>
      <c r="R583" s="2" t="inlineStr"/>
    </row>
    <row r="584" ht="15" customHeight="1">
      <c r="A584" t="inlineStr">
        <is>
          <t>A 63949-2025</t>
        </is>
      </c>
      <c r="B584" s="1" t="n">
        <v>46010</v>
      </c>
      <c r="C584" s="1" t="n">
        <v>46194</v>
      </c>
      <c r="D584" t="inlineStr">
        <is>
          <t>SÖDERMANLANDS LÄN</t>
        </is>
      </c>
      <c r="E584" t="inlineStr">
        <is>
          <t>KATRINEHOLM</t>
        </is>
      </c>
      <c r="F584" t="inlineStr">
        <is>
          <t>Allmännings- och besparingsskogar</t>
        </is>
      </c>
      <c r="G584" t="n">
        <v>5.1</v>
      </c>
      <c r="H584" t="n">
        <v>0</v>
      </c>
      <c r="I584" t="n">
        <v>0</v>
      </c>
      <c r="J584" t="n">
        <v>0</v>
      </c>
      <c r="K584" t="n">
        <v>0</v>
      </c>
      <c r="L584" t="n">
        <v>0</v>
      </c>
      <c r="M584" t="n">
        <v>0</v>
      </c>
      <c r="N584" t="n">
        <v>0</v>
      </c>
      <c r="O584" t="n">
        <v>0</v>
      </c>
      <c r="P584" t="n">
        <v>0</v>
      </c>
      <c r="Q584" t="n">
        <v>0</v>
      </c>
      <c r="R584" s="2" t="inlineStr"/>
    </row>
    <row r="585" ht="15" customHeight="1">
      <c r="A585" t="inlineStr">
        <is>
          <t>A 63948-2025</t>
        </is>
      </c>
      <c r="B585" s="1" t="n">
        <v>46010</v>
      </c>
      <c r="C585" s="1" t="n">
        <v>46194</v>
      </c>
      <c r="D585" t="inlineStr">
        <is>
          <t>SÖDERMANLANDS LÄN</t>
        </is>
      </c>
      <c r="E585" t="inlineStr">
        <is>
          <t>KATRINEHOLM</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11543-2025</t>
        </is>
      </c>
      <c r="B586" s="1" t="n">
        <v>45727</v>
      </c>
      <c r="C586" s="1" t="n">
        <v>46194</v>
      </c>
      <c r="D586" t="inlineStr">
        <is>
          <t>SÖDERMANLANDS LÄN</t>
        </is>
      </c>
      <c r="E586" t="inlineStr">
        <is>
          <t>KATRINEHOLM</t>
        </is>
      </c>
      <c r="G586" t="n">
        <v>3.6</v>
      </c>
      <c r="H586" t="n">
        <v>0</v>
      </c>
      <c r="I586" t="n">
        <v>0</v>
      </c>
      <c r="J586" t="n">
        <v>0</v>
      </c>
      <c r="K586" t="n">
        <v>0</v>
      </c>
      <c r="L586" t="n">
        <v>0</v>
      </c>
      <c r="M586" t="n">
        <v>0</v>
      </c>
      <c r="N586" t="n">
        <v>0</v>
      </c>
      <c r="O586" t="n">
        <v>0</v>
      </c>
      <c r="P586" t="n">
        <v>0</v>
      </c>
      <c r="Q586" t="n">
        <v>0</v>
      </c>
      <c r="R586" s="2" t="inlineStr"/>
    </row>
    <row r="587" ht="15" customHeight="1">
      <c r="A587" t="inlineStr">
        <is>
          <t>A 37827-2025</t>
        </is>
      </c>
      <c r="B587" s="1" t="n">
        <v>45881</v>
      </c>
      <c r="C587" s="1" t="n">
        <v>46194</v>
      </c>
      <c r="D587" t="inlineStr">
        <is>
          <t>SÖDERMANLANDS LÄN</t>
        </is>
      </c>
      <c r="E587" t="inlineStr">
        <is>
          <t>KATRINEHOLM</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39120-2023</t>
        </is>
      </c>
      <c r="B588" s="1" t="n">
        <v>45165</v>
      </c>
      <c r="C588" s="1" t="n">
        <v>46194</v>
      </c>
      <c r="D588" t="inlineStr">
        <is>
          <t>SÖDERMANLANDS LÄN</t>
        </is>
      </c>
      <c r="E588" t="inlineStr">
        <is>
          <t>KATRINEHOLM</t>
        </is>
      </c>
      <c r="G588" t="n">
        <v>4.4</v>
      </c>
      <c r="H588" t="n">
        <v>0</v>
      </c>
      <c r="I588" t="n">
        <v>0</v>
      </c>
      <c r="J588" t="n">
        <v>0</v>
      </c>
      <c r="K588" t="n">
        <v>0</v>
      </c>
      <c r="L588" t="n">
        <v>0</v>
      </c>
      <c r="M588" t="n">
        <v>0</v>
      </c>
      <c r="N588" t="n">
        <v>0</v>
      </c>
      <c r="O588" t="n">
        <v>0</v>
      </c>
      <c r="P588" t="n">
        <v>0</v>
      </c>
      <c r="Q588" t="n">
        <v>0</v>
      </c>
      <c r="R588" s="2" t="inlineStr"/>
    </row>
    <row r="589" ht="15" customHeight="1">
      <c r="A589" t="inlineStr">
        <is>
          <t>A 21863-2026</t>
        </is>
      </c>
      <c r="B589" s="1" t="n">
        <v>46150</v>
      </c>
      <c r="C589" s="1" t="n">
        <v>46194</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51397-2023</t>
        </is>
      </c>
      <c r="B590" s="1" t="n">
        <v>45214</v>
      </c>
      <c r="C590" s="1" t="n">
        <v>46194</v>
      </c>
      <c r="D590" t="inlineStr">
        <is>
          <t>SÖDERMANLANDS LÄN</t>
        </is>
      </c>
      <c r="E590" t="inlineStr">
        <is>
          <t>KATRINEHOLM</t>
        </is>
      </c>
      <c r="G590" t="n">
        <v>4.9</v>
      </c>
      <c r="H590" t="n">
        <v>0</v>
      </c>
      <c r="I590" t="n">
        <v>0</v>
      </c>
      <c r="J590" t="n">
        <v>0</v>
      </c>
      <c r="K590" t="n">
        <v>0</v>
      </c>
      <c r="L590" t="n">
        <v>0</v>
      </c>
      <c r="M590" t="n">
        <v>0</v>
      </c>
      <c r="N590" t="n">
        <v>0</v>
      </c>
      <c r="O590" t="n">
        <v>0</v>
      </c>
      <c r="P590" t="n">
        <v>0</v>
      </c>
      <c r="Q590" t="n">
        <v>0</v>
      </c>
      <c r="R590" s="2" t="inlineStr"/>
    </row>
    <row r="591" ht="15" customHeight="1">
      <c r="A591" t="inlineStr">
        <is>
          <t>A 19452-2023</t>
        </is>
      </c>
      <c r="B591" s="1" t="n">
        <v>45050</v>
      </c>
      <c r="C591" s="1" t="n">
        <v>46194</v>
      </c>
      <c r="D591" t="inlineStr">
        <is>
          <t>SÖDERMANLANDS LÄN</t>
        </is>
      </c>
      <c r="E591" t="inlineStr">
        <is>
          <t>KATRINEHOLM</t>
        </is>
      </c>
      <c r="F591" t="inlineStr">
        <is>
          <t>Holmen skog AB</t>
        </is>
      </c>
      <c r="G591" t="n">
        <v>4.7</v>
      </c>
      <c r="H591" t="n">
        <v>0</v>
      </c>
      <c r="I591" t="n">
        <v>0</v>
      </c>
      <c r="J591" t="n">
        <v>0</v>
      </c>
      <c r="K591" t="n">
        <v>0</v>
      </c>
      <c r="L591" t="n">
        <v>0</v>
      </c>
      <c r="M591" t="n">
        <v>0</v>
      </c>
      <c r="N591" t="n">
        <v>0</v>
      </c>
      <c r="O591" t="n">
        <v>0</v>
      </c>
      <c r="P591" t="n">
        <v>0</v>
      </c>
      <c r="Q591" t="n">
        <v>0</v>
      </c>
      <c r="R591" s="2" t="inlineStr"/>
    </row>
    <row r="592" ht="15" customHeight="1">
      <c r="A592" t="inlineStr">
        <is>
          <t>A 63895-2025</t>
        </is>
      </c>
      <c r="B592" s="1" t="n">
        <v>46020</v>
      </c>
      <c r="C592" s="1" t="n">
        <v>46194</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54873-2025</t>
        </is>
      </c>
      <c r="B593" s="1" t="n">
        <v>45967</v>
      </c>
      <c r="C593" s="1" t="n">
        <v>46194</v>
      </c>
      <c r="D593" t="inlineStr">
        <is>
          <t>SÖDERMANLANDS LÄN</t>
        </is>
      </c>
      <c r="E593" t="inlineStr">
        <is>
          <t>KATRINEHOLM</t>
        </is>
      </c>
      <c r="G593" t="n">
        <v>2.7</v>
      </c>
      <c r="H593" t="n">
        <v>0</v>
      </c>
      <c r="I593" t="n">
        <v>0</v>
      </c>
      <c r="J593" t="n">
        <v>0</v>
      </c>
      <c r="K593" t="n">
        <v>0</v>
      </c>
      <c r="L593" t="n">
        <v>0</v>
      </c>
      <c r="M593" t="n">
        <v>0</v>
      </c>
      <c r="N593" t="n">
        <v>0</v>
      </c>
      <c r="O593" t="n">
        <v>0</v>
      </c>
      <c r="P593" t="n">
        <v>0</v>
      </c>
      <c r="Q593" t="n">
        <v>0</v>
      </c>
      <c r="R593" s="2" t="inlineStr"/>
    </row>
    <row r="594" ht="15" customHeight="1">
      <c r="A594" t="inlineStr">
        <is>
          <t>A 5320-2025</t>
        </is>
      </c>
      <c r="B594" s="1" t="n">
        <v>45692</v>
      </c>
      <c r="C594" s="1" t="n">
        <v>46194</v>
      </c>
      <c r="D594" t="inlineStr">
        <is>
          <t>SÖDERMANLANDS LÄN</t>
        </is>
      </c>
      <c r="E594" t="inlineStr">
        <is>
          <t>KATRINEHOLM</t>
        </is>
      </c>
      <c r="F594" t="inlineStr">
        <is>
          <t>Kommuner</t>
        </is>
      </c>
      <c r="G594" t="n">
        <v>0.9</v>
      </c>
      <c r="H594" t="n">
        <v>0</v>
      </c>
      <c r="I594" t="n">
        <v>0</v>
      </c>
      <c r="J594" t="n">
        <v>0</v>
      </c>
      <c r="K594" t="n">
        <v>0</v>
      </c>
      <c r="L594" t="n">
        <v>0</v>
      </c>
      <c r="M594" t="n">
        <v>0</v>
      </c>
      <c r="N594" t="n">
        <v>0</v>
      </c>
      <c r="O594" t="n">
        <v>0</v>
      </c>
      <c r="P594" t="n">
        <v>0</v>
      </c>
      <c r="Q594" t="n">
        <v>0</v>
      </c>
      <c r="R594" s="2" t="inlineStr"/>
    </row>
    <row r="595" ht="15" customHeight="1">
      <c r="A595" t="inlineStr">
        <is>
          <t>A 1098-2026</t>
        </is>
      </c>
      <c r="B595" s="1" t="n">
        <v>46030</v>
      </c>
      <c r="C595" s="1" t="n">
        <v>46194</v>
      </c>
      <c r="D595" t="inlineStr">
        <is>
          <t>SÖDERMANLANDS LÄN</t>
        </is>
      </c>
      <c r="E595" t="inlineStr">
        <is>
          <t>KATRINEHOLM</t>
        </is>
      </c>
      <c r="G595" t="n">
        <v>3.4</v>
      </c>
      <c r="H595" t="n">
        <v>0</v>
      </c>
      <c r="I595" t="n">
        <v>0</v>
      </c>
      <c r="J595" t="n">
        <v>0</v>
      </c>
      <c r="K595" t="n">
        <v>0</v>
      </c>
      <c r="L595" t="n">
        <v>0</v>
      </c>
      <c r="M595" t="n">
        <v>0</v>
      </c>
      <c r="N595" t="n">
        <v>0</v>
      </c>
      <c r="O595" t="n">
        <v>0</v>
      </c>
      <c r="P595" t="n">
        <v>0</v>
      </c>
      <c r="Q595" t="n">
        <v>0</v>
      </c>
      <c r="R595" s="2" t="inlineStr"/>
    </row>
    <row r="596" ht="15" customHeight="1">
      <c r="A596" t="inlineStr">
        <is>
          <t>A 2606-2025</t>
        </is>
      </c>
      <c r="B596" s="1" t="n">
        <v>45674</v>
      </c>
      <c r="C596" s="1" t="n">
        <v>46194</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39748-2022</t>
        </is>
      </c>
      <c r="B597" s="1" t="n">
        <v>44817</v>
      </c>
      <c r="C597" s="1" t="n">
        <v>46194</v>
      </c>
      <c r="D597" t="inlineStr">
        <is>
          <t>SÖDERMANLANDS LÄN</t>
        </is>
      </c>
      <c r="E597" t="inlineStr">
        <is>
          <t>KATRINEHOLM</t>
        </is>
      </c>
      <c r="G597" t="n">
        <v>10.2</v>
      </c>
      <c r="H597" t="n">
        <v>0</v>
      </c>
      <c r="I597" t="n">
        <v>0</v>
      </c>
      <c r="J597" t="n">
        <v>0</v>
      </c>
      <c r="K597" t="n">
        <v>0</v>
      </c>
      <c r="L597" t="n">
        <v>0</v>
      </c>
      <c r="M597" t="n">
        <v>0</v>
      </c>
      <c r="N597" t="n">
        <v>0</v>
      </c>
      <c r="O597" t="n">
        <v>0</v>
      </c>
      <c r="P597" t="n">
        <v>0</v>
      </c>
      <c r="Q597" t="n">
        <v>0</v>
      </c>
      <c r="R597" s="2" t="inlineStr"/>
    </row>
    <row r="598" ht="15" customHeight="1">
      <c r="A598" t="inlineStr">
        <is>
          <t>A 34731-2023</t>
        </is>
      </c>
      <c r="B598" s="1" t="n">
        <v>45141</v>
      </c>
      <c r="C598" s="1" t="n">
        <v>46194</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34739-2023</t>
        </is>
      </c>
      <c r="B599" s="1" t="n">
        <v>45141</v>
      </c>
      <c r="C599" s="1" t="n">
        <v>46194</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1114-2026</t>
        </is>
      </c>
      <c r="B600" s="1" t="n">
        <v>46030</v>
      </c>
      <c r="C600" s="1" t="n">
        <v>46194</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46194</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50017-2023</t>
        </is>
      </c>
      <c r="B602" s="1" t="n">
        <v>45215</v>
      </c>
      <c r="C602" s="1" t="n">
        <v>46194</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28508-2023</t>
        </is>
      </c>
      <c r="B603" s="1" t="n">
        <v>45103</v>
      </c>
      <c r="C603" s="1" t="n">
        <v>46194</v>
      </c>
      <c r="D603" t="inlineStr">
        <is>
          <t>SÖDERMANLANDS LÄN</t>
        </is>
      </c>
      <c r="E603" t="inlineStr">
        <is>
          <t>KATRINEHOLM</t>
        </is>
      </c>
      <c r="F603" t="inlineStr">
        <is>
          <t>Kyrkan</t>
        </is>
      </c>
      <c r="G603" t="n">
        <v>20.5</v>
      </c>
      <c r="H603" t="n">
        <v>0</v>
      </c>
      <c r="I603" t="n">
        <v>0</v>
      </c>
      <c r="J603" t="n">
        <v>0</v>
      </c>
      <c r="K603" t="n">
        <v>0</v>
      </c>
      <c r="L603" t="n">
        <v>0</v>
      </c>
      <c r="M603" t="n">
        <v>0</v>
      </c>
      <c r="N603" t="n">
        <v>0</v>
      </c>
      <c r="O603" t="n">
        <v>0</v>
      </c>
      <c r="P603" t="n">
        <v>0</v>
      </c>
      <c r="Q603" t="n">
        <v>0</v>
      </c>
      <c r="R603" s="2" t="inlineStr"/>
    </row>
    <row r="604" ht="15" customHeight="1">
      <c r="A604" t="inlineStr">
        <is>
          <t>A 46075-2023</t>
        </is>
      </c>
      <c r="B604" s="1" t="n">
        <v>45196</v>
      </c>
      <c r="C604" s="1" t="n">
        <v>46194</v>
      </c>
      <c r="D604" t="inlineStr">
        <is>
          <t>SÖDERMANLANDS LÄN</t>
        </is>
      </c>
      <c r="E604" t="inlineStr">
        <is>
          <t>KATRINEHOLM</t>
        </is>
      </c>
      <c r="F604" t="inlineStr">
        <is>
          <t>Övriga Aktiebolag</t>
        </is>
      </c>
      <c r="G604" t="n">
        <v>9.5</v>
      </c>
      <c r="H604" t="n">
        <v>0</v>
      </c>
      <c r="I604" t="n">
        <v>0</v>
      </c>
      <c r="J604" t="n">
        <v>0</v>
      </c>
      <c r="K604" t="n">
        <v>0</v>
      </c>
      <c r="L604" t="n">
        <v>0</v>
      </c>
      <c r="M604" t="n">
        <v>0</v>
      </c>
      <c r="N604" t="n">
        <v>0</v>
      </c>
      <c r="O604" t="n">
        <v>0</v>
      </c>
      <c r="P604" t="n">
        <v>0</v>
      </c>
      <c r="Q604" t="n">
        <v>0</v>
      </c>
      <c r="R604" s="2" t="inlineStr"/>
    </row>
    <row r="605" ht="15" customHeight="1">
      <c r="A605" t="inlineStr">
        <is>
          <t>A 25823-2023</t>
        </is>
      </c>
      <c r="B605" s="1" t="n">
        <v>45090</v>
      </c>
      <c r="C605" s="1" t="n">
        <v>46194</v>
      </c>
      <c r="D605" t="inlineStr">
        <is>
          <t>SÖDERMANLANDS LÄN</t>
        </is>
      </c>
      <c r="E605" t="inlineStr">
        <is>
          <t>KATRINEHOLM</t>
        </is>
      </c>
      <c r="F605" t="inlineStr">
        <is>
          <t>Kyrkan</t>
        </is>
      </c>
      <c r="G605" t="n">
        <v>10.2</v>
      </c>
      <c r="H605" t="n">
        <v>0</v>
      </c>
      <c r="I605" t="n">
        <v>0</v>
      </c>
      <c r="J605" t="n">
        <v>0</v>
      </c>
      <c r="K605" t="n">
        <v>0</v>
      </c>
      <c r="L605" t="n">
        <v>0</v>
      </c>
      <c r="M605" t="n">
        <v>0</v>
      </c>
      <c r="N605" t="n">
        <v>0</v>
      </c>
      <c r="O605" t="n">
        <v>0</v>
      </c>
      <c r="P605" t="n">
        <v>0</v>
      </c>
      <c r="Q605" t="n">
        <v>0</v>
      </c>
      <c r="R605" s="2" t="inlineStr"/>
    </row>
    <row r="606" ht="15" customHeight="1">
      <c r="A606" t="inlineStr">
        <is>
          <t>A 17360-2022</t>
        </is>
      </c>
      <c r="B606" s="1" t="n">
        <v>44678</v>
      </c>
      <c r="C606" s="1" t="n">
        <v>46194</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2672-2026</t>
        </is>
      </c>
      <c r="B607" s="1" t="n">
        <v>46037</v>
      </c>
      <c r="C607" s="1" t="n">
        <v>46194</v>
      </c>
      <c r="D607" t="inlineStr">
        <is>
          <t>SÖDERMANLANDS LÄN</t>
        </is>
      </c>
      <c r="E607" t="inlineStr">
        <is>
          <t>KATRINEHOLM</t>
        </is>
      </c>
      <c r="G607" t="n">
        <v>2.1</v>
      </c>
      <c r="H607" t="n">
        <v>0</v>
      </c>
      <c r="I607" t="n">
        <v>0</v>
      </c>
      <c r="J607" t="n">
        <v>0</v>
      </c>
      <c r="K607" t="n">
        <v>0</v>
      </c>
      <c r="L607" t="n">
        <v>0</v>
      </c>
      <c r="M607" t="n">
        <v>0</v>
      </c>
      <c r="N607" t="n">
        <v>0</v>
      </c>
      <c r="O607" t="n">
        <v>0</v>
      </c>
      <c r="P607" t="n">
        <v>0</v>
      </c>
      <c r="Q607" t="n">
        <v>0</v>
      </c>
      <c r="R607" s="2" t="inlineStr"/>
    </row>
    <row r="608" ht="15" customHeight="1">
      <c r="A608" t="inlineStr">
        <is>
          <t>A 22295-2024</t>
        </is>
      </c>
      <c r="B608" s="1" t="n">
        <v>45446</v>
      </c>
      <c r="C608" s="1" t="n">
        <v>46194</v>
      </c>
      <c r="D608" t="inlineStr">
        <is>
          <t>SÖDERMANLANDS LÄN</t>
        </is>
      </c>
      <c r="E608" t="inlineStr">
        <is>
          <t>KATRINEHOLM</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55590-2023</t>
        </is>
      </c>
      <c r="B609" s="1" t="n">
        <v>45238</v>
      </c>
      <c r="C609" s="1" t="n">
        <v>46194</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15898-2022</t>
        </is>
      </c>
      <c r="B610" s="1" t="n">
        <v>44664</v>
      </c>
      <c r="C610" s="1" t="n">
        <v>46194</v>
      </c>
      <c r="D610" t="inlineStr">
        <is>
          <t>SÖDERMANLANDS LÄN</t>
        </is>
      </c>
      <c r="E610" t="inlineStr">
        <is>
          <t>KATRINEHOLM</t>
        </is>
      </c>
      <c r="G610" t="n">
        <v>6.5</v>
      </c>
      <c r="H610" t="n">
        <v>0</v>
      </c>
      <c r="I610" t="n">
        <v>0</v>
      </c>
      <c r="J610" t="n">
        <v>0</v>
      </c>
      <c r="K610" t="n">
        <v>0</v>
      </c>
      <c r="L610" t="n">
        <v>0</v>
      </c>
      <c r="M610" t="n">
        <v>0</v>
      </c>
      <c r="N610" t="n">
        <v>0</v>
      </c>
      <c r="O610" t="n">
        <v>0</v>
      </c>
      <c r="P610" t="n">
        <v>0</v>
      </c>
      <c r="Q610" t="n">
        <v>0</v>
      </c>
      <c r="R610" s="2" t="inlineStr"/>
    </row>
    <row r="611" ht="15" customHeight="1">
      <c r="A611" t="inlineStr">
        <is>
          <t>A 15910-2022</t>
        </is>
      </c>
      <c r="B611" s="1" t="n">
        <v>44664</v>
      </c>
      <c r="C611" s="1" t="n">
        <v>46194</v>
      </c>
      <c r="D611" t="inlineStr">
        <is>
          <t>SÖDERMANLANDS LÄN</t>
        </is>
      </c>
      <c r="E611" t="inlineStr">
        <is>
          <t>KATRINEHOLM</t>
        </is>
      </c>
      <c r="G611" t="n">
        <v>5.6</v>
      </c>
      <c r="H611" t="n">
        <v>0</v>
      </c>
      <c r="I611" t="n">
        <v>0</v>
      </c>
      <c r="J611" t="n">
        <v>0</v>
      </c>
      <c r="K611" t="n">
        <v>0</v>
      </c>
      <c r="L611" t="n">
        <v>0</v>
      </c>
      <c r="M611" t="n">
        <v>0</v>
      </c>
      <c r="N611" t="n">
        <v>0</v>
      </c>
      <c r="O611" t="n">
        <v>0</v>
      </c>
      <c r="P611" t="n">
        <v>0</v>
      </c>
      <c r="Q611" t="n">
        <v>0</v>
      </c>
      <c r="R611" s="2" t="inlineStr"/>
    </row>
    <row r="612" ht="15" customHeight="1">
      <c r="A612" t="inlineStr">
        <is>
          <t>A 32818-2023</t>
        </is>
      </c>
      <c r="B612" s="1" t="n">
        <v>45124</v>
      </c>
      <c r="C612" s="1" t="n">
        <v>46194</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20214-2025</t>
        </is>
      </c>
      <c r="B613" s="1" t="n">
        <v>45772</v>
      </c>
      <c r="C613" s="1" t="n">
        <v>46194</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22272-2022</t>
        </is>
      </c>
      <c r="B614" s="1" t="n">
        <v>44712</v>
      </c>
      <c r="C614" s="1" t="n">
        <v>46194</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27334-2023</t>
        </is>
      </c>
      <c r="B615" s="1" t="n">
        <v>45096</v>
      </c>
      <c r="C615" s="1" t="n">
        <v>46194</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4889-2026</t>
        </is>
      </c>
      <c r="B616" s="1" t="n">
        <v>46048</v>
      </c>
      <c r="C616" s="1" t="n">
        <v>46194</v>
      </c>
      <c r="D616" t="inlineStr">
        <is>
          <t>SÖDERMANLANDS LÄN</t>
        </is>
      </c>
      <c r="E616" t="inlineStr">
        <is>
          <t>KATRINEHOLM</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46194</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36562-2023</t>
        </is>
      </c>
      <c r="B618" s="1" t="n">
        <v>45153</v>
      </c>
      <c r="C618" s="1" t="n">
        <v>46194</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34539-2022</t>
        </is>
      </c>
      <c r="B619" s="1" t="n">
        <v>44793</v>
      </c>
      <c r="C619" s="1" t="n">
        <v>46194</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24748-2024</t>
        </is>
      </c>
      <c r="B620" s="1" t="n">
        <v>45460</v>
      </c>
      <c r="C620" s="1" t="n">
        <v>46194</v>
      </c>
      <c r="D620" t="inlineStr">
        <is>
          <t>SÖDERMANLANDS LÄN</t>
        </is>
      </c>
      <c r="E620" t="inlineStr">
        <is>
          <t>KATRINEHOLM</t>
        </is>
      </c>
      <c r="G620" t="n">
        <v>3.3</v>
      </c>
      <c r="H620" t="n">
        <v>0</v>
      </c>
      <c r="I620" t="n">
        <v>0</v>
      </c>
      <c r="J620" t="n">
        <v>0</v>
      </c>
      <c r="K620" t="n">
        <v>0</v>
      </c>
      <c r="L620" t="n">
        <v>0</v>
      </c>
      <c r="M620" t="n">
        <v>0</v>
      </c>
      <c r="N620" t="n">
        <v>0</v>
      </c>
      <c r="O620" t="n">
        <v>0</v>
      </c>
      <c r="P620" t="n">
        <v>0</v>
      </c>
      <c r="Q620" t="n">
        <v>0</v>
      </c>
      <c r="R620" s="2" t="inlineStr"/>
    </row>
    <row r="621" ht="15" customHeight="1">
      <c r="A621" t="inlineStr">
        <is>
          <t>A 5703-2026</t>
        </is>
      </c>
      <c r="B621" s="1" t="n">
        <v>46051</v>
      </c>
      <c r="C621" s="1" t="n">
        <v>46194</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40402-2022</t>
        </is>
      </c>
      <c r="B622" s="1" t="n">
        <v>44823</v>
      </c>
      <c r="C622" s="1" t="n">
        <v>46194</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17820-2025</t>
        </is>
      </c>
      <c r="B623" s="1" t="n">
        <v>45758</v>
      </c>
      <c r="C623" s="1" t="n">
        <v>46194</v>
      </c>
      <c r="D623" t="inlineStr">
        <is>
          <t>SÖDERMANLANDS LÄN</t>
        </is>
      </c>
      <c r="E623" t="inlineStr">
        <is>
          <t>KATRINEHOLM</t>
        </is>
      </c>
      <c r="G623" t="n">
        <v>5.9</v>
      </c>
      <c r="H623" t="n">
        <v>0</v>
      </c>
      <c r="I623" t="n">
        <v>0</v>
      </c>
      <c r="J623" t="n">
        <v>0</v>
      </c>
      <c r="K623" t="n">
        <v>0</v>
      </c>
      <c r="L623" t="n">
        <v>0</v>
      </c>
      <c r="M623" t="n">
        <v>0</v>
      </c>
      <c r="N623" t="n">
        <v>0</v>
      </c>
      <c r="O623" t="n">
        <v>0</v>
      </c>
      <c r="P623" t="n">
        <v>0</v>
      </c>
      <c r="Q623" t="n">
        <v>0</v>
      </c>
      <c r="R623" s="2" t="inlineStr"/>
    </row>
    <row r="624" ht="15" customHeight="1">
      <c r="A624" t="inlineStr">
        <is>
          <t>A 30387-2022</t>
        </is>
      </c>
      <c r="B624" s="1" t="n">
        <v>44760</v>
      </c>
      <c r="C624" s="1" t="n">
        <v>46194</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39052-2023</t>
        </is>
      </c>
      <c r="B625" s="1" t="n">
        <v>45163</v>
      </c>
      <c r="C625" s="1" t="n">
        <v>46194</v>
      </c>
      <c r="D625" t="inlineStr">
        <is>
          <t>SÖDERMANLANDS LÄN</t>
        </is>
      </c>
      <c r="E625" t="inlineStr">
        <is>
          <t>KATRINEHOLM</t>
        </is>
      </c>
      <c r="G625" t="n">
        <v>3</v>
      </c>
      <c r="H625" t="n">
        <v>0</v>
      </c>
      <c r="I625" t="n">
        <v>0</v>
      </c>
      <c r="J625" t="n">
        <v>0</v>
      </c>
      <c r="K625" t="n">
        <v>0</v>
      </c>
      <c r="L625" t="n">
        <v>0</v>
      </c>
      <c r="M625" t="n">
        <v>0</v>
      </c>
      <c r="N625" t="n">
        <v>0</v>
      </c>
      <c r="O625" t="n">
        <v>0</v>
      </c>
      <c r="P625" t="n">
        <v>0</v>
      </c>
      <c r="Q625" t="n">
        <v>0</v>
      </c>
      <c r="R625" s="2" t="inlineStr"/>
    </row>
    <row r="626" ht="15" customHeight="1">
      <c r="A626" t="inlineStr">
        <is>
          <t>A 8922-2024</t>
        </is>
      </c>
      <c r="B626" s="1" t="n">
        <v>45357</v>
      </c>
      <c r="C626" s="1" t="n">
        <v>46194</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48160-2022</t>
        </is>
      </c>
      <c r="B627" s="1" t="n">
        <v>44853</v>
      </c>
      <c r="C627" s="1" t="n">
        <v>46194</v>
      </c>
      <c r="D627" t="inlineStr">
        <is>
          <t>SÖDERMANLANDS LÄN</t>
        </is>
      </c>
      <c r="E627" t="inlineStr">
        <is>
          <t>KATRINEHOLM</t>
        </is>
      </c>
      <c r="F627" t="inlineStr">
        <is>
          <t>Övriga statliga verk och myndigheter</t>
        </is>
      </c>
      <c r="G627" t="n">
        <v>2.2</v>
      </c>
      <c r="H627" t="n">
        <v>0</v>
      </c>
      <c r="I627" t="n">
        <v>0</v>
      </c>
      <c r="J627" t="n">
        <v>0</v>
      </c>
      <c r="K627" t="n">
        <v>0</v>
      </c>
      <c r="L627" t="n">
        <v>0</v>
      </c>
      <c r="M627" t="n">
        <v>0</v>
      </c>
      <c r="N627" t="n">
        <v>0</v>
      </c>
      <c r="O627" t="n">
        <v>0</v>
      </c>
      <c r="P627" t="n">
        <v>0</v>
      </c>
      <c r="Q627" t="n">
        <v>0</v>
      </c>
      <c r="R627" s="2" t="inlineStr"/>
    </row>
    <row r="628" ht="15" customHeight="1">
      <c r="A628" t="inlineStr">
        <is>
          <t>A 7513-2026</t>
        </is>
      </c>
      <c r="B628" s="1" t="n">
        <v>46059</v>
      </c>
      <c r="C628" s="1" t="n">
        <v>46194</v>
      </c>
      <c r="D628" t="inlineStr">
        <is>
          <t>SÖDERMANLANDS LÄN</t>
        </is>
      </c>
      <c r="E628" t="inlineStr">
        <is>
          <t>KATRINEHOLM</t>
        </is>
      </c>
      <c r="F628" t="inlineStr">
        <is>
          <t>Övriga Aktiebolag</t>
        </is>
      </c>
      <c r="G628" t="n">
        <v>5</v>
      </c>
      <c r="H628" t="n">
        <v>0</v>
      </c>
      <c r="I628" t="n">
        <v>0</v>
      </c>
      <c r="J628" t="n">
        <v>0</v>
      </c>
      <c r="K628" t="n">
        <v>0</v>
      </c>
      <c r="L628" t="n">
        <v>0</v>
      </c>
      <c r="M628" t="n">
        <v>0</v>
      </c>
      <c r="N628" t="n">
        <v>0</v>
      </c>
      <c r="O628" t="n">
        <v>0</v>
      </c>
      <c r="P628" t="n">
        <v>0</v>
      </c>
      <c r="Q628" t="n">
        <v>0</v>
      </c>
      <c r="R628" s="2" t="inlineStr"/>
    </row>
    <row r="629" ht="15" customHeight="1">
      <c r="A629" t="inlineStr">
        <is>
          <t>A 66393-2021</t>
        </is>
      </c>
      <c r="B629" s="1" t="n">
        <v>44518</v>
      </c>
      <c r="C629" s="1" t="n">
        <v>46194</v>
      </c>
      <c r="D629" t="inlineStr">
        <is>
          <t>SÖDERMANLANDS LÄN</t>
        </is>
      </c>
      <c r="E629" t="inlineStr">
        <is>
          <t>KATRINEHOLM</t>
        </is>
      </c>
      <c r="F629" t="inlineStr">
        <is>
          <t>Holmen skog AB</t>
        </is>
      </c>
      <c r="G629" t="n">
        <v>0.4</v>
      </c>
      <c r="H629" t="n">
        <v>0</v>
      </c>
      <c r="I629" t="n">
        <v>0</v>
      </c>
      <c r="J629" t="n">
        <v>0</v>
      </c>
      <c r="K629" t="n">
        <v>0</v>
      </c>
      <c r="L629" t="n">
        <v>0</v>
      </c>
      <c r="M629" t="n">
        <v>0</v>
      </c>
      <c r="N629" t="n">
        <v>0</v>
      </c>
      <c r="O629" t="n">
        <v>0</v>
      </c>
      <c r="P629" t="n">
        <v>0</v>
      </c>
      <c r="Q629" t="n">
        <v>0</v>
      </c>
      <c r="R629" s="2" t="inlineStr"/>
    </row>
    <row r="630" ht="15" customHeight="1">
      <c r="A630" t="inlineStr">
        <is>
          <t>A 47134-2022</t>
        </is>
      </c>
      <c r="B630" s="1" t="n">
        <v>44851</v>
      </c>
      <c r="C630" s="1" t="n">
        <v>46194</v>
      </c>
      <c r="D630" t="inlineStr">
        <is>
          <t>SÖDERMANLANDS LÄN</t>
        </is>
      </c>
      <c r="E630" t="inlineStr">
        <is>
          <t>KATRINEHOLM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1143-2024</t>
        </is>
      </c>
      <c r="B631" s="1" t="n">
        <v>45302</v>
      </c>
      <c r="C631" s="1" t="n">
        <v>46194</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3982-2024</t>
        </is>
      </c>
      <c r="B632" s="1" t="n">
        <v>45322</v>
      </c>
      <c r="C632" s="1" t="n">
        <v>46194</v>
      </c>
      <c r="D632" t="inlineStr">
        <is>
          <t>SÖDERMANLANDS LÄN</t>
        </is>
      </c>
      <c r="E632" t="inlineStr">
        <is>
          <t>KATRINEHOLM</t>
        </is>
      </c>
      <c r="G632" t="n">
        <v>3.7</v>
      </c>
      <c r="H632" t="n">
        <v>0</v>
      </c>
      <c r="I632" t="n">
        <v>0</v>
      </c>
      <c r="J632" t="n">
        <v>0</v>
      </c>
      <c r="K632" t="n">
        <v>0</v>
      </c>
      <c r="L632" t="n">
        <v>0</v>
      </c>
      <c r="M632" t="n">
        <v>0</v>
      </c>
      <c r="N632" t="n">
        <v>0</v>
      </c>
      <c r="O632" t="n">
        <v>0</v>
      </c>
      <c r="P632" t="n">
        <v>0</v>
      </c>
      <c r="Q632" t="n">
        <v>0</v>
      </c>
      <c r="R632" s="2" t="inlineStr"/>
    </row>
    <row r="633" ht="15" customHeight="1">
      <c r="A633" t="inlineStr">
        <is>
          <t>A 57263-2022</t>
        </is>
      </c>
      <c r="B633" s="1" t="n">
        <v>44895</v>
      </c>
      <c r="C633" s="1" t="n">
        <v>46194</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62418-2023</t>
        </is>
      </c>
      <c r="B634" s="1" t="n">
        <v>45268</v>
      </c>
      <c r="C634" s="1" t="n">
        <v>46194</v>
      </c>
      <c r="D634" t="inlineStr">
        <is>
          <t>SÖDERMANLANDS LÄN</t>
        </is>
      </c>
      <c r="E634" t="inlineStr">
        <is>
          <t>KATRINEHOLM</t>
        </is>
      </c>
      <c r="G634" t="n">
        <v>3</v>
      </c>
      <c r="H634" t="n">
        <v>0</v>
      </c>
      <c r="I634" t="n">
        <v>0</v>
      </c>
      <c r="J634" t="n">
        <v>0</v>
      </c>
      <c r="K634" t="n">
        <v>0</v>
      </c>
      <c r="L634" t="n">
        <v>0</v>
      </c>
      <c r="M634" t="n">
        <v>0</v>
      </c>
      <c r="N634" t="n">
        <v>0</v>
      </c>
      <c r="O634" t="n">
        <v>0</v>
      </c>
      <c r="P634" t="n">
        <v>0</v>
      </c>
      <c r="Q634" t="n">
        <v>0</v>
      </c>
      <c r="R634" s="2" t="inlineStr"/>
    </row>
    <row r="635" ht="15" customHeight="1">
      <c r="A635" t="inlineStr">
        <is>
          <t>A 45142-2021</t>
        </is>
      </c>
      <c r="B635" s="1" t="n">
        <v>44439</v>
      </c>
      <c r="C635" s="1" t="n">
        <v>46194</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7191-2023</t>
        </is>
      </c>
      <c r="B636" s="1" t="n">
        <v>44965</v>
      </c>
      <c r="C636" s="1" t="n">
        <v>46194</v>
      </c>
      <c r="D636" t="inlineStr">
        <is>
          <t>SÖDERMANLANDS LÄN</t>
        </is>
      </c>
      <c r="E636" t="inlineStr">
        <is>
          <t>KATRINEHOLM</t>
        </is>
      </c>
      <c r="G636" t="n">
        <v>14.1</v>
      </c>
      <c r="H636" t="n">
        <v>0</v>
      </c>
      <c r="I636" t="n">
        <v>0</v>
      </c>
      <c r="J636" t="n">
        <v>0</v>
      </c>
      <c r="K636" t="n">
        <v>0</v>
      </c>
      <c r="L636" t="n">
        <v>0</v>
      </c>
      <c r="M636" t="n">
        <v>0</v>
      </c>
      <c r="N636" t="n">
        <v>0</v>
      </c>
      <c r="O636" t="n">
        <v>0</v>
      </c>
      <c r="P636" t="n">
        <v>0</v>
      </c>
      <c r="Q636" t="n">
        <v>0</v>
      </c>
      <c r="R636" s="2" t="inlineStr"/>
    </row>
    <row r="637" ht="15" customHeight="1">
      <c r="A637" t="inlineStr">
        <is>
          <t>A 66540-2021</t>
        </is>
      </c>
      <c r="B637" s="1" t="n">
        <v>44519</v>
      </c>
      <c r="C637" s="1" t="n">
        <v>46194</v>
      </c>
      <c r="D637" t="inlineStr">
        <is>
          <t>SÖDERMANLANDS LÄN</t>
        </is>
      </c>
      <c r="E637" t="inlineStr">
        <is>
          <t>KATRINEHOLM</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8394-2024</t>
        </is>
      </c>
      <c r="B638" s="1" t="n">
        <v>45352</v>
      </c>
      <c r="C638" s="1" t="n">
        <v>46194</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13658-2023</t>
        </is>
      </c>
      <c r="B639" s="1" t="n">
        <v>45006</v>
      </c>
      <c r="C639" s="1" t="n">
        <v>46194</v>
      </c>
      <c r="D639" t="inlineStr">
        <is>
          <t>SÖDERMANLANDS LÄN</t>
        </is>
      </c>
      <c r="E639" t="inlineStr">
        <is>
          <t>KATRINEHOLM</t>
        </is>
      </c>
      <c r="F639" t="inlineStr">
        <is>
          <t>Kyrkan</t>
        </is>
      </c>
      <c r="G639" t="n">
        <v>24.3</v>
      </c>
      <c r="H639" t="n">
        <v>0</v>
      </c>
      <c r="I639" t="n">
        <v>0</v>
      </c>
      <c r="J639" t="n">
        <v>0</v>
      </c>
      <c r="K639" t="n">
        <v>0</v>
      </c>
      <c r="L639" t="n">
        <v>0</v>
      </c>
      <c r="M639" t="n">
        <v>0</v>
      </c>
      <c r="N639" t="n">
        <v>0</v>
      </c>
      <c r="O639" t="n">
        <v>0</v>
      </c>
      <c r="P639" t="n">
        <v>0</v>
      </c>
      <c r="Q639" t="n">
        <v>0</v>
      </c>
      <c r="R639" s="2" t="inlineStr"/>
    </row>
    <row r="640" ht="15" customHeight="1">
      <c r="A640" t="inlineStr">
        <is>
          <t>A 61385-2023</t>
        </is>
      </c>
      <c r="B640" s="1" t="n">
        <v>45264</v>
      </c>
      <c r="C640" s="1" t="n">
        <v>46194</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55825-2022</t>
        </is>
      </c>
      <c r="B641" s="1" t="n">
        <v>44886</v>
      </c>
      <c r="C641" s="1" t="n">
        <v>46194</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55856-2022</t>
        </is>
      </c>
      <c r="B642" s="1" t="n">
        <v>44888</v>
      </c>
      <c r="C642" s="1" t="n">
        <v>46194</v>
      </c>
      <c r="D642" t="inlineStr">
        <is>
          <t>SÖDERMANLANDS LÄN</t>
        </is>
      </c>
      <c r="E642" t="inlineStr">
        <is>
          <t>KATRINEHOLM</t>
        </is>
      </c>
      <c r="G642" t="n">
        <v>5.6</v>
      </c>
      <c r="H642" t="n">
        <v>0</v>
      </c>
      <c r="I642" t="n">
        <v>0</v>
      </c>
      <c r="J642" t="n">
        <v>0</v>
      </c>
      <c r="K642" t="n">
        <v>0</v>
      </c>
      <c r="L642" t="n">
        <v>0</v>
      </c>
      <c r="M642" t="n">
        <v>0</v>
      </c>
      <c r="N642" t="n">
        <v>0</v>
      </c>
      <c r="O642" t="n">
        <v>0</v>
      </c>
      <c r="P642" t="n">
        <v>0</v>
      </c>
      <c r="Q642" t="n">
        <v>0</v>
      </c>
      <c r="R642" s="2" t="inlineStr"/>
    </row>
    <row r="643" ht="15" customHeight="1">
      <c r="A643" t="inlineStr">
        <is>
          <t>A 43513-2023</t>
        </is>
      </c>
      <c r="B643" s="1" t="n">
        <v>45184</v>
      </c>
      <c r="C643" s="1" t="n">
        <v>46194</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10086-2026</t>
        </is>
      </c>
      <c r="B644" s="1" t="n">
        <v>46073</v>
      </c>
      <c r="C644" s="1" t="n">
        <v>46194</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8951-2024</t>
        </is>
      </c>
      <c r="B645" s="1" t="n">
        <v>45357</v>
      </c>
      <c r="C645" s="1" t="n">
        <v>46194</v>
      </c>
      <c r="D645" t="inlineStr">
        <is>
          <t>SÖDERMANLANDS LÄN</t>
        </is>
      </c>
      <c r="E645" t="inlineStr">
        <is>
          <t>KATRINEHOLM</t>
        </is>
      </c>
      <c r="G645" t="n">
        <v>3.3</v>
      </c>
      <c r="H645" t="n">
        <v>0</v>
      </c>
      <c r="I645" t="n">
        <v>0</v>
      </c>
      <c r="J645" t="n">
        <v>0</v>
      </c>
      <c r="K645" t="n">
        <v>0</v>
      </c>
      <c r="L645" t="n">
        <v>0</v>
      </c>
      <c r="M645" t="n">
        <v>0</v>
      </c>
      <c r="N645" t="n">
        <v>0</v>
      </c>
      <c r="O645" t="n">
        <v>0</v>
      </c>
      <c r="P645" t="n">
        <v>0</v>
      </c>
      <c r="Q645" t="n">
        <v>0</v>
      </c>
      <c r="R645" s="2" t="inlineStr"/>
    </row>
    <row r="646" ht="15" customHeight="1">
      <c r="A646" t="inlineStr">
        <is>
          <t>A 8955-2024</t>
        </is>
      </c>
      <c r="B646" s="1" t="n">
        <v>45357</v>
      </c>
      <c r="C646" s="1" t="n">
        <v>46194</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15945-2024</t>
        </is>
      </c>
      <c r="B647" s="1" t="n">
        <v>45405</v>
      </c>
      <c r="C647" s="1" t="n">
        <v>46194</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4655-2024</t>
        </is>
      </c>
      <c r="B648" s="1" t="n">
        <v>45328</v>
      </c>
      <c r="C648" s="1" t="n">
        <v>46194</v>
      </c>
      <c r="D648" t="inlineStr">
        <is>
          <t>SÖDERMANLANDS LÄN</t>
        </is>
      </c>
      <c r="E648" t="inlineStr">
        <is>
          <t>KATRINEHOLM</t>
        </is>
      </c>
      <c r="G648" t="n">
        <v>17.7</v>
      </c>
      <c r="H648" t="n">
        <v>0</v>
      </c>
      <c r="I648" t="n">
        <v>0</v>
      </c>
      <c r="J648" t="n">
        <v>0</v>
      </c>
      <c r="K648" t="n">
        <v>0</v>
      </c>
      <c r="L648" t="n">
        <v>0</v>
      </c>
      <c r="M648" t="n">
        <v>0</v>
      </c>
      <c r="N648" t="n">
        <v>0</v>
      </c>
      <c r="O648" t="n">
        <v>0</v>
      </c>
      <c r="P648" t="n">
        <v>0</v>
      </c>
      <c r="Q648" t="n">
        <v>0</v>
      </c>
      <c r="R648" s="2" t="inlineStr"/>
    </row>
    <row r="649" ht="15" customHeight="1">
      <c r="A649" t="inlineStr">
        <is>
          <t>A 11130-2026</t>
        </is>
      </c>
      <c r="B649" s="1" t="n">
        <v>46079</v>
      </c>
      <c r="C649" s="1" t="n">
        <v>46194</v>
      </c>
      <c r="D649" t="inlineStr">
        <is>
          <t>SÖDERMANLANDS LÄN</t>
        </is>
      </c>
      <c r="E649" t="inlineStr">
        <is>
          <t>KATRINEHOLM</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53387-2023</t>
        </is>
      </c>
      <c r="B650" s="1" t="n">
        <v>45229</v>
      </c>
      <c r="C650" s="1" t="n">
        <v>46194</v>
      </c>
      <c r="D650" t="inlineStr">
        <is>
          <t>SÖDERMANLANDS LÄN</t>
        </is>
      </c>
      <c r="E650" t="inlineStr">
        <is>
          <t>KATRINEHOLM</t>
        </is>
      </c>
      <c r="F650" t="inlineStr">
        <is>
          <t>Kyrkan</t>
        </is>
      </c>
      <c r="G650" t="n">
        <v>7.4</v>
      </c>
      <c r="H650" t="n">
        <v>0</v>
      </c>
      <c r="I650" t="n">
        <v>0</v>
      </c>
      <c r="J650" t="n">
        <v>0</v>
      </c>
      <c r="K650" t="n">
        <v>0</v>
      </c>
      <c r="L650" t="n">
        <v>0</v>
      </c>
      <c r="M650" t="n">
        <v>0</v>
      </c>
      <c r="N650" t="n">
        <v>0</v>
      </c>
      <c r="O650" t="n">
        <v>0</v>
      </c>
      <c r="P650" t="n">
        <v>0</v>
      </c>
      <c r="Q650" t="n">
        <v>0</v>
      </c>
      <c r="R650" s="2" t="inlineStr"/>
    </row>
    <row r="651" ht="15" customHeight="1">
      <c r="A651" t="inlineStr">
        <is>
          <t>A 14622-2026</t>
        </is>
      </c>
      <c r="B651" s="1" t="n">
        <v>46101</v>
      </c>
      <c r="C651" s="1" t="n">
        <v>46194</v>
      </c>
      <c r="D651" t="inlineStr">
        <is>
          <t>SÖDERMANLANDS LÄN</t>
        </is>
      </c>
      <c r="E651" t="inlineStr">
        <is>
          <t>KATRINEHOLM</t>
        </is>
      </c>
      <c r="G651" t="n">
        <v>2.5</v>
      </c>
      <c r="H651" t="n">
        <v>0</v>
      </c>
      <c r="I651" t="n">
        <v>0</v>
      </c>
      <c r="J651" t="n">
        <v>0</v>
      </c>
      <c r="K651" t="n">
        <v>0</v>
      </c>
      <c r="L651" t="n">
        <v>0</v>
      </c>
      <c r="M651" t="n">
        <v>0</v>
      </c>
      <c r="N651" t="n">
        <v>0</v>
      </c>
      <c r="O651" t="n">
        <v>0</v>
      </c>
      <c r="P651" t="n">
        <v>0</v>
      </c>
      <c r="Q651" t="n">
        <v>0</v>
      </c>
      <c r="R651" s="2" t="inlineStr"/>
    </row>
    <row r="652" ht="15" customHeight="1">
      <c r="A652" t="inlineStr">
        <is>
          <t>A 42590-2022</t>
        </is>
      </c>
      <c r="B652" s="1" t="n">
        <v>44831</v>
      </c>
      <c r="C652" s="1" t="n">
        <v>46194</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11666-2026</t>
        </is>
      </c>
      <c r="B653" s="1" t="n">
        <v>46084</v>
      </c>
      <c r="C653" s="1" t="n">
        <v>46194</v>
      </c>
      <c r="D653" t="inlineStr">
        <is>
          <t>SÖDERMANLANDS LÄN</t>
        </is>
      </c>
      <c r="E653" t="inlineStr">
        <is>
          <t>KATRINEHOLM</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11621-2026</t>
        </is>
      </c>
      <c r="B654" s="1" t="n">
        <v>46084</v>
      </c>
      <c r="C654" s="1" t="n">
        <v>46194</v>
      </c>
      <c r="D654" t="inlineStr">
        <is>
          <t>SÖDERMANLANDS LÄN</t>
        </is>
      </c>
      <c r="E654" t="inlineStr">
        <is>
          <t>KATRINEHOLM</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38883-2024</t>
        </is>
      </c>
      <c r="B655" s="1" t="n">
        <v>45547</v>
      </c>
      <c r="C655" s="1" t="n">
        <v>46194</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v>
      </c>
      <c r="C656" s="1" t="n">
        <v>46194</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11677-2026</t>
        </is>
      </c>
      <c r="B657" s="1" t="n">
        <v>46084</v>
      </c>
      <c r="C657" s="1" t="n">
        <v>46194</v>
      </c>
      <c r="D657" t="inlineStr">
        <is>
          <t>SÖDERMANLANDS LÄN</t>
        </is>
      </c>
      <c r="E657" t="inlineStr">
        <is>
          <t>KATRINEHOLM</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39704-2023</t>
        </is>
      </c>
      <c r="B658" s="1" t="n">
        <v>45167</v>
      </c>
      <c r="C658" s="1" t="n">
        <v>46194</v>
      </c>
      <c r="D658" t="inlineStr">
        <is>
          <t>SÖDERMANLANDS LÄN</t>
        </is>
      </c>
      <c r="E658" t="inlineStr">
        <is>
          <t>KATRINEHOLM</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16087-2023</t>
        </is>
      </c>
      <c r="B659" s="1" t="n">
        <v>45026</v>
      </c>
      <c r="C659" s="1" t="n">
        <v>46194</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28652-2024</t>
        </is>
      </c>
      <c r="B660" s="1" t="n">
        <v>45478</v>
      </c>
      <c r="C660" s="1" t="n">
        <v>46194</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42791-2023</t>
        </is>
      </c>
      <c r="B661" s="1" t="n">
        <v>45181</v>
      </c>
      <c r="C661" s="1" t="n">
        <v>46194</v>
      </c>
      <c r="D661" t="inlineStr">
        <is>
          <t>SÖDERMANLANDS LÄN</t>
        </is>
      </c>
      <c r="E661" t="inlineStr">
        <is>
          <t>KATRINEHOLM</t>
        </is>
      </c>
      <c r="G661" t="n">
        <v>4.1</v>
      </c>
      <c r="H661" t="n">
        <v>0</v>
      </c>
      <c r="I661" t="n">
        <v>0</v>
      </c>
      <c r="J661" t="n">
        <v>0</v>
      </c>
      <c r="K661" t="n">
        <v>0</v>
      </c>
      <c r="L661" t="n">
        <v>0</v>
      </c>
      <c r="M661" t="n">
        <v>0</v>
      </c>
      <c r="N661" t="n">
        <v>0</v>
      </c>
      <c r="O661" t="n">
        <v>0</v>
      </c>
      <c r="P661" t="n">
        <v>0</v>
      </c>
      <c r="Q661" t="n">
        <v>0</v>
      </c>
      <c r="R661" s="2" t="inlineStr"/>
    </row>
    <row r="662" ht="15" customHeight="1">
      <c r="A662" t="inlineStr">
        <is>
          <t>A 42792-2023</t>
        </is>
      </c>
      <c r="B662" s="1" t="n">
        <v>45181</v>
      </c>
      <c r="C662" s="1" t="n">
        <v>46194</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31740-2022</t>
        </is>
      </c>
      <c r="B663" s="1" t="n">
        <v>44776</v>
      </c>
      <c r="C663" s="1" t="n">
        <v>46194</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4679-2023</t>
        </is>
      </c>
      <c r="B664" s="1" t="n">
        <v>44957</v>
      </c>
      <c r="C664" s="1" t="n">
        <v>46194</v>
      </c>
      <c r="D664" t="inlineStr">
        <is>
          <t>SÖDERMANLANDS LÄN</t>
        </is>
      </c>
      <c r="E664" t="inlineStr">
        <is>
          <t>KATRINEHOLM</t>
        </is>
      </c>
      <c r="G664" t="n">
        <v>5.3</v>
      </c>
      <c r="H664" t="n">
        <v>0</v>
      </c>
      <c r="I664" t="n">
        <v>0</v>
      </c>
      <c r="J664" t="n">
        <v>0</v>
      </c>
      <c r="K664" t="n">
        <v>0</v>
      </c>
      <c r="L664" t="n">
        <v>0</v>
      </c>
      <c r="M664" t="n">
        <v>0</v>
      </c>
      <c r="N664" t="n">
        <v>0</v>
      </c>
      <c r="O664" t="n">
        <v>0</v>
      </c>
      <c r="P664" t="n">
        <v>0</v>
      </c>
      <c r="Q664" t="n">
        <v>0</v>
      </c>
      <c r="R664" s="2" t="inlineStr"/>
    </row>
    <row r="665" ht="15" customHeight="1">
      <c r="A665" t="inlineStr">
        <is>
          <t>A 12831-2026</t>
        </is>
      </c>
      <c r="B665" s="1" t="n">
        <v>46092</v>
      </c>
      <c r="C665" s="1" t="n">
        <v>46194</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48528-2021</t>
        </is>
      </c>
      <c r="B666" s="1" t="n">
        <v>44449</v>
      </c>
      <c r="C666" s="1" t="n">
        <v>46194</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48398-2022</t>
        </is>
      </c>
      <c r="B667" s="1" t="n">
        <v>44858</v>
      </c>
      <c r="C667" s="1" t="n">
        <v>46194</v>
      </c>
      <c r="D667" t="inlineStr">
        <is>
          <t>SÖDERMANLANDS LÄN</t>
        </is>
      </c>
      <c r="E667" t="inlineStr">
        <is>
          <t>KATRINEHOLM</t>
        </is>
      </c>
      <c r="G667" t="n">
        <v>1.9</v>
      </c>
      <c r="H667" t="n">
        <v>0</v>
      </c>
      <c r="I667" t="n">
        <v>0</v>
      </c>
      <c r="J667" t="n">
        <v>0</v>
      </c>
      <c r="K667" t="n">
        <v>0</v>
      </c>
      <c r="L667" t="n">
        <v>0</v>
      </c>
      <c r="M667" t="n">
        <v>0</v>
      </c>
      <c r="N667" t="n">
        <v>0</v>
      </c>
      <c r="O667" t="n">
        <v>0</v>
      </c>
      <c r="P667" t="n">
        <v>0</v>
      </c>
      <c r="Q667" t="n">
        <v>0</v>
      </c>
      <c r="R667" s="2" t="inlineStr"/>
    </row>
    <row r="668" ht="15" customHeight="1">
      <c r="A668" t="inlineStr">
        <is>
          <t>A 6753-2022</t>
        </is>
      </c>
      <c r="B668" s="1" t="n">
        <v>44602</v>
      </c>
      <c r="C668" s="1" t="n">
        <v>46194</v>
      </c>
      <c r="D668" t="inlineStr">
        <is>
          <t>SÖDERMANLANDS LÄN</t>
        </is>
      </c>
      <c r="E668" t="inlineStr">
        <is>
          <t>KATRINEHOLM</t>
        </is>
      </c>
      <c r="G668" t="n">
        <v>4.3</v>
      </c>
      <c r="H668" t="n">
        <v>0</v>
      </c>
      <c r="I668" t="n">
        <v>0</v>
      </c>
      <c r="J668" t="n">
        <v>0</v>
      </c>
      <c r="K668" t="n">
        <v>0</v>
      </c>
      <c r="L668" t="n">
        <v>0</v>
      </c>
      <c r="M668" t="n">
        <v>0</v>
      </c>
      <c r="N668" t="n">
        <v>0</v>
      </c>
      <c r="O668" t="n">
        <v>0</v>
      </c>
      <c r="P668" t="n">
        <v>0</v>
      </c>
      <c r="Q668" t="n">
        <v>0</v>
      </c>
      <c r="R668" s="2" t="inlineStr"/>
    </row>
    <row r="669" ht="15" customHeight="1">
      <c r="A669" t="inlineStr">
        <is>
          <t>A 15184-2023</t>
        </is>
      </c>
      <c r="B669" s="1" t="n">
        <v>45016</v>
      </c>
      <c r="C669" s="1" t="n">
        <v>46194</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38826-2021</t>
        </is>
      </c>
      <c r="B670" s="1" t="n">
        <v>44411</v>
      </c>
      <c r="C670" s="1" t="n">
        <v>46194</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13655-2026</t>
        </is>
      </c>
      <c r="B671" s="1" t="n">
        <v>46097</v>
      </c>
      <c r="C671" s="1" t="n">
        <v>46194</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13633-2026</t>
        </is>
      </c>
      <c r="B672" s="1" t="n">
        <v>46097</v>
      </c>
      <c r="C672" s="1" t="n">
        <v>46194</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13630-2026</t>
        </is>
      </c>
      <c r="B673" s="1" t="n">
        <v>46097</v>
      </c>
      <c r="C673" s="1" t="n">
        <v>46194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13632-2026</t>
        </is>
      </c>
      <c r="B674" s="1" t="n">
        <v>46097</v>
      </c>
      <c r="C674" s="1" t="n">
        <v>46194</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29830-2023</t>
        </is>
      </c>
      <c r="B675" s="1" t="n">
        <v>45107</v>
      </c>
      <c r="C675" s="1" t="n">
        <v>46194</v>
      </c>
      <c r="D675" t="inlineStr">
        <is>
          <t>SÖDERMANLANDS LÄN</t>
        </is>
      </c>
      <c r="E675" t="inlineStr">
        <is>
          <t>KATRINEHOLM</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13841-2026</t>
        </is>
      </c>
      <c r="B676" s="1" t="n">
        <v>46098</v>
      </c>
      <c r="C676" s="1" t="n">
        <v>46194</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19098-2022</t>
        </is>
      </c>
      <c r="B677" s="1" t="n">
        <v>44691</v>
      </c>
      <c r="C677" s="1" t="n">
        <v>46194</v>
      </c>
      <c r="D677" t="inlineStr">
        <is>
          <t>SÖDERMANLANDS LÄN</t>
        </is>
      </c>
      <c r="E677" t="inlineStr">
        <is>
          <t>KATRINEHOLM</t>
        </is>
      </c>
      <c r="G677" t="n">
        <v>5.5</v>
      </c>
      <c r="H677" t="n">
        <v>0</v>
      </c>
      <c r="I677" t="n">
        <v>0</v>
      </c>
      <c r="J677" t="n">
        <v>0</v>
      </c>
      <c r="K677" t="n">
        <v>0</v>
      </c>
      <c r="L677" t="n">
        <v>0</v>
      </c>
      <c r="M677" t="n">
        <v>0</v>
      </c>
      <c r="N677" t="n">
        <v>0</v>
      </c>
      <c r="O677" t="n">
        <v>0</v>
      </c>
      <c r="P677" t="n">
        <v>0</v>
      </c>
      <c r="Q677" t="n">
        <v>0</v>
      </c>
      <c r="R677" s="2" t="inlineStr"/>
    </row>
    <row r="678" ht="15" customHeight="1">
      <c r="A678" t="inlineStr">
        <is>
          <t>A 14770-2026</t>
        </is>
      </c>
      <c r="B678" s="1" t="n">
        <v>46101</v>
      </c>
      <c r="C678" s="1" t="n">
        <v>46194</v>
      </c>
      <c r="D678" t="inlineStr">
        <is>
          <t>SÖDERMANLANDS LÄN</t>
        </is>
      </c>
      <c r="E678" t="inlineStr">
        <is>
          <t>KATRINEHOLM</t>
        </is>
      </c>
      <c r="G678" t="n">
        <v>7.5</v>
      </c>
      <c r="H678" t="n">
        <v>0</v>
      </c>
      <c r="I678" t="n">
        <v>0</v>
      </c>
      <c r="J678" t="n">
        <v>0</v>
      </c>
      <c r="K678" t="n">
        <v>0</v>
      </c>
      <c r="L678" t="n">
        <v>0</v>
      </c>
      <c r="M678" t="n">
        <v>0</v>
      </c>
      <c r="N678" t="n">
        <v>0</v>
      </c>
      <c r="O678" t="n">
        <v>0</v>
      </c>
      <c r="P678" t="n">
        <v>0</v>
      </c>
      <c r="Q678" t="n">
        <v>0</v>
      </c>
      <c r="R678" s="2" t="inlineStr"/>
    </row>
    <row r="679" ht="15" customHeight="1">
      <c r="A679" t="inlineStr">
        <is>
          <t>A 14751-2026</t>
        </is>
      </c>
      <c r="B679" s="1" t="n">
        <v>46101</v>
      </c>
      <c r="C679" s="1" t="n">
        <v>46194</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15191-2026</t>
        </is>
      </c>
      <c r="B680" s="1" t="n">
        <v>46105</v>
      </c>
      <c r="C680" s="1" t="n">
        <v>46194</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15819-2026</t>
        </is>
      </c>
      <c r="B681" s="1" t="n">
        <v>46107</v>
      </c>
      <c r="C681" s="1" t="n">
        <v>46194</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15701-2026</t>
        </is>
      </c>
      <c r="B682" s="1" t="n">
        <v>46106</v>
      </c>
      <c r="C682" s="1" t="n">
        <v>46194</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16113-2026</t>
        </is>
      </c>
      <c r="B683" s="1" t="n">
        <v>46108</v>
      </c>
      <c r="C683" s="1" t="n">
        <v>46194</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16432-2026</t>
        </is>
      </c>
      <c r="B684" s="1" t="n">
        <v>46111</v>
      </c>
      <c r="C684" s="1" t="n">
        <v>46194</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23753-2026</t>
        </is>
      </c>
      <c r="B685" s="1" t="n">
        <v>46164</v>
      </c>
      <c r="C685" s="1" t="n">
        <v>46194</v>
      </c>
      <c r="D685" t="inlineStr">
        <is>
          <t>SÖDERMANLANDS LÄN</t>
        </is>
      </c>
      <c r="E685" t="inlineStr">
        <is>
          <t>KATRINEHOLM</t>
        </is>
      </c>
      <c r="G685" t="n">
        <v>24.4</v>
      </c>
      <c r="H685" t="n">
        <v>0</v>
      </c>
      <c r="I685" t="n">
        <v>0</v>
      </c>
      <c r="J685" t="n">
        <v>0</v>
      </c>
      <c r="K685" t="n">
        <v>0</v>
      </c>
      <c r="L685" t="n">
        <v>0</v>
      </c>
      <c r="M685" t="n">
        <v>0</v>
      </c>
      <c r="N685" t="n">
        <v>0</v>
      </c>
      <c r="O685" t="n">
        <v>0</v>
      </c>
      <c r="P685" t="n">
        <v>0</v>
      </c>
      <c r="Q685" t="n">
        <v>0</v>
      </c>
      <c r="R685" s="2" t="inlineStr"/>
    </row>
    <row r="686" ht="15" customHeight="1">
      <c r="A686" t="inlineStr">
        <is>
          <t>A 22509-2026</t>
        </is>
      </c>
      <c r="B686" s="1" t="n">
        <v>46155</v>
      </c>
      <c r="C686" s="1" t="n">
        <v>46194</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49743-2025</t>
        </is>
      </c>
      <c r="B687" s="1" t="n">
        <v>45940</v>
      </c>
      <c r="C687" s="1" t="n">
        <v>46194</v>
      </c>
      <c r="D687" t="inlineStr">
        <is>
          <t>SÖDERMANLANDS LÄN</t>
        </is>
      </c>
      <c r="E687" t="inlineStr">
        <is>
          <t>KATRINEHOLM</t>
        </is>
      </c>
      <c r="G687" t="n">
        <v>1.1</v>
      </c>
      <c r="H687" t="n">
        <v>0</v>
      </c>
      <c r="I687" t="n">
        <v>0</v>
      </c>
      <c r="J687" t="n">
        <v>0</v>
      </c>
      <c r="K687" t="n">
        <v>0</v>
      </c>
      <c r="L687" t="n">
        <v>0</v>
      </c>
      <c r="M687" t="n">
        <v>0</v>
      </c>
      <c r="N687" t="n">
        <v>0</v>
      </c>
      <c r="O687" t="n">
        <v>0</v>
      </c>
      <c r="P687" t="n">
        <v>0</v>
      </c>
      <c r="Q687" t="n">
        <v>0</v>
      </c>
      <c r="R687" s="2" t="inlineStr"/>
    </row>
    <row r="688" ht="15" customHeight="1">
      <c r="A688" t="inlineStr">
        <is>
          <t>A 23806-2026</t>
        </is>
      </c>
      <c r="B688" s="1" t="n">
        <v>46164</v>
      </c>
      <c r="C688" s="1" t="n">
        <v>46194</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v>
      </c>
      <c r="C689" s="1" t="n">
        <v>46194</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18300-2026</t>
        </is>
      </c>
      <c r="B690" s="1" t="n">
        <v>46126</v>
      </c>
      <c r="C690" s="1" t="n">
        <v>46194</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18301-2026</t>
        </is>
      </c>
      <c r="B691" s="1" t="n">
        <v>46126</v>
      </c>
      <c r="C691" s="1" t="n">
        <v>46194</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18302-2026</t>
        </is>
      </c>
      <c r="B692" s="1" t="n">
        <v>46126</v>
      </c>
      <c r="C692" s="1" t="n">
        <v>46194</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18383-2026</t>
        </is>
      </c>
      <c r="B693" s="1" t="n">
        <v>46126</v>
      </c>
      <c r="C693" s="1" t="n">
        <v>46194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18306-2026</t>
        </is>
      </c>
      <c r="B694" s="1" t="n">
        <v>46126</v>
      </c>
      <c r="C694" s="1" t="n">
        <v>46194</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18308-2026</t>
        </is>
      </c>
      <c r="B695" s="1" t="n">
        <v>46126</v>
      </c>
      <c r="C695" s="1" t="n">
        <v>46194</v>
      </c>
      <c r="D695" t="inlineStr">
        <is>
          <t>SÖDERMANLANDS LÄN</t>
        </is>
      </c>
      <c r="E695" t="inlineStr">
        <is>
          <t>KATRINEHOLM</t>
        </is>
      </c>
      <c r="G695" t="n">
        <v>4.2</v>
      </c>
      <c r="H695" t="n">
        <v>0</v>
      </c>
      <c r="I695" t="n">
        <v>0</v>
      </c>
      <c r="J695" t="n">
        <v>0</v>
      </c>
      <c r="K695" t="n">
        <v>0</v>
      </c>
      <c r="L695" t="n">
        <v>0</v>
      </c>
      <c r="M695" t="n">
        <v>0</v>
      </c>
      <c r="N695" t="n">
        <v>0</v>
      </c>
      <c r="O695" t="n">
        <v>0</v>
      </c>
      <c r="P695" t="n">
        <v>0</v>
      </c>
      <c r="Q695" t="n">
        <v>0</v>
      </c>
      <c r="R695" s="2" t="inlineStr"/>
    </row>
    <row r="696" ht="15" customHeight="1">
      <c r="A696" t="inlineStr">
        <is>
          <t>A 18316-2026</t>
        </is>
      </c>
      <c r="B696" s="1" t="n">
        <v>46126</v>
      </c>
      <c r="C696" s="1" t="n">
        <v>46194</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18384-2026</t>
        </is>
      </c>
      <c r="B697" s="1" t="n">
        <v>46126</v>
      </c>
      <c r="C697" s="1" t="n">
        <v>46194</v>
      </c>
      <c r="D697" t="inlineStr">
        <is>
          <t>SÖDERMANLANDS LÄN</t>
        </is>
      </c>
      <c r="E697" t="inlineStr">
        <is>
          <t>KATRINEHOLM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19187-2026</t>
        </is>
      </c>
      <c r="B698" s="1" t="n">
        <v>46132</v>
      </c>
      <c r="C698" s="1" t="n">
        <v>46194</v>
      </c>
      <c r="D698" t="inlineStr">
        <is>
          <t>SÖDERMANLANDS LÄN</t>
        </is>
      </c>
      <c r="E698" t="inlineStr">
        <is>
          <t>KATRINEHOLM</t>
        </is>
      </c>
      <c r="G698" t="n">
        <v>3.7</v>
      </c>
      <c r="H698" t="n">
        <v>0</v>
      </c>
      <c r="I698" t="n">
        <v>0</v>
      </c>
      <c r="J698" t="n">
        <v>0</v>
      </c>
      <c r="K698" t="n">
        <v>0</v>
      </c>
      <c r="L698" t="n">
        <v>0</v>
      </c>
      <c r="M698" t="n">
        <v>0</v>
      </c>
      <c r="N698" t="n">
        <v>0</v>
      </c>
      <c r="O698" t="n">
        <v>0</v>
      </c>
      <c r="P698" t="n">
        <v>0</v>
      </c>
      <c r="Q698" t="n">
        <v>0</v>
      </c>
      <c r="R698" s="2" t="inlineStr"/>
    </row>
    <row r="699" ht="15" customHeight="1">
      <c r="A699" t="inlineStr">
        <is>
          <t>A 19098-2026</t>
        </is>
      </c>
      <c r="B699" s="1" t="n">
        <v>46132</v>
      </c>
      <c r="C699" s="1" t="n">
        <v>46194</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18966-2026</t>
        </is>
      </c>
      <c r="B700" s="1" t="n">
        <v>46129</v>
      </c>
      <c r="C700" s="1" t="n">
        <v>46194</v>
      </c>
      <c r="D700" t="inlineStr">
        <is>
          <t>SÖDERMANLANDS LÄN</t>
        </is>
      </c>
      <c r="E700" t="inlineStr">
        <is>
          <t>KATRINEHOLM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35145-2025</t>
        </is>
      </c>
      <c r="B701" s="1" t="n">
        <v>45852</v>
      </c>
      <c r="C701" s="1" t="n">
        <v>46194</v>
      </c>
      <c r="D701" t="inlineStr">
        <is>
          <t>SÖDERMANLANDS LÄN</t>
        </is>
      </c>
      <c r="E701" t="inlineStr">
        <is>
          <t>KATRINEHOLM</t>
        </is>
      </c>
      <c r="G701" t="n">
        <v>3.1</v>
      </c>
      <c r="H701" t="n">
        <v>0</v>
      </c>
      <c r="I701" t="n">
        <v>0</v>
      </c>
      <c r="J701" t="n">
        <v>0</v>
      </c>
      <c r="K701" t="n">
        <v>0</v>
      </c>
      <c r="L701" t="n">
        <v>0</v>
      </c>
      <c r="M701" t="n">
        <v>0</v>
      </c>
      <c r="N701" t="n">
        <v>0</v>
      </c>
      <c r="O701" t="n">
        <v>0</v>
      </c>
      <c r="P701" t="n">
        <v>0</v>
      </c>
      <c r="Q701" t="n">
        <v>0</v>
      </c>
      <c r="R701" s="2" t="inlineStr"/>
    </row>
    <row r="702" ht="15" customHeight="1">
      <c r="A702" t="inlineStr">
        <is>
          <t>A 31392-2025</t>
        </is>
      </c>
      <c r="B702" s="1" t="n">
        <v>45833</v>
      </c>
      <c r="C702" s="1" t="n">
        <v>46194</v>
      </c>
      <c r="D702" t="inlineStr">
        <is>
          <t>SÖDERMANLANDS LÄN</t>
        </is>
      </c>
      <c r="E702" t="inlineStr">
        <is>
          <t>KATRINEHOLM</t>
        </is>
      </c>
      <c r="G702" t="n">
        <v>5</v>
      </c>
      <c r="H702" t="n">
        <v>0</v>
      </c>
      <c r="I702" t="n">
        <v>0</v>
      </c>
      <c r="J702" t="n">
        <v>0</v>
      </c>
      <c r="K702" t="n">
        <v>0</v>
      </c>
      <c r="L702" t="n">
        <v>0</v>
      </c>
      <c r="M702" t="n">
        <v>0</v>
      </c>
      <c r="N702" t="n">
        <v>0</v>
      </c>
      <c r="O702" t="n">
        <v>0</v>
      </c>
      <c r="P702" t="n">
        <v>0</v>
      </c>
      <c r="Q702" t="n">
        <v>0</v>
      </c>
      <c r="R702" s="2" t="inlineStr"/>
    </row>
    <row r="703" ht="15" customHeight="1">
      <c r="A703" t="inlineStr">
        <is>
          <t>A 41793-2025</t>
        </is>
      </c>
      <c r="B703" s="1" t="n">
        <v>45902</v>
      </c>
      <c r="C703" s="1" t="n">
        <v>46194</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19813-2026</t>
        </is>
      </c>
      <c r="B704" s="1" t="n">
        <v>46135</v>
      </c>
      <c r="C704" s="1" t="n">
        <v>46194</v>
      </c>
      <c r="D704" t="inlineStr">
        <is>
          <t>SÖDERMANLANDS LÄN</t>
        </is>
      </c>
      <c r="E704" t="inlineStr">
        <is>
          <t>KATRINEHOLM</t>
        </is>
      </c>
      <c r="G704" t="n">
        <v>4.7</v>
      </c>
      <c r="H704" t="n">
        <v>0</v>
      </c>
      <c r="I704" t="n">
        <v>0</v>
      </c>
      <c r="J704" t="n">
        <v>0</v>
      </c>
      <c r="K704" t="n">
        <v>0</v>
      </c>
      <c r="L704" t="n">
        <v>0</v>
      </c>
      <c r="M704" t="n">
        <v>0</v>
      </c>
      <c r="N704" t="n">
        <v>0</v>
      </c>
      <c r="O704" t="n">
        <v>0</v>
      </c>
      <c r="P704" t="n">
        <v>0</v>
      </c>
      <c r="Q704" t="n">
        <v>0</v>
      </c>
      <c r="R704" s="2" t="inlineStr"/>
    </row>
    <row r="705" ht="15" customHeight="1">
      <c r="A705" t="inlineStr">
        <is>
          <t>A 18309-2026</t>
        </is>
      </c>
      <c r="B705" s="1" t="n">
        <v>46126</v>
      </c>
      <c r="C705" s="1" t="n">
        <v>46194</v>
      </c>
      <c r="D705" t="inlineStr">
        <is>
          <t>SÖDERMANLANDS LÄN</t>
        </is>
      </c>
      <c r="E705" t="inlineStr">
        <is>
          <t>KATRINEHOLM</t>
        </is>
      </c>
      <c r="G705" t="n">
        <v>1.9</v>
      </c>
      <c r="H705" t="n">
        <v>0</v>
      </c>
      <c r="I705" t="n">
        <v>0</v>
      </c>
      <c r="J705" t="n">
        <v>0</v>
      </c>
      <c r="K705" t="n">
        <v>0</v>
      </c>
      <c r="L705" t="n">
        <v>0</v>
      </c>
      <c r="M705" t="n">
        <v>0</v>
      </c>
      <c r="N705" t="n">
        <v>0</v>
      </c>
      <c r="O705" t="n">
        <v>0</v>
      </c>
      <c r="P705" t="n">
        <v>0</v>
      </c>
      <c r="Q705" t="n">
        <v>0</v>
      </c>
      <c r="R705" s="2" t="inlineStr"/>
    </row>
    <row r="706" ht="15" customHeight="1">
      <c r="A706" t="inlineStr">
        <is>
          <t>A 22336-2025</t>
        </is>
      </c>
      <c r="B706" s="1" t="n">
        <v>45786</v>
      </c>
      <c r="C706" s="1" t="n">
        <v>46194</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30386-2025</t>
        </is>
      </c>
      <c r="B707" s="1" t="n">
        <v>45827</v>
      </c>
      <c r="C707" s="1" t="n">
        <v>46194</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30350-2025</t>
        </is>
      </c>
      <c r="B708" s="1" t="n">
        <v>45827</v>
      </c>
      <c r="C708" s="1" t="n">
        <v>46194</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28931-2024</t>
        </is>
      </c>
      <c r="B709" s="1" t="n">
        <v>45479</v>
      </c>
      <c r="C709" s="1" t="n">
        <v>46194</v>
      </c>
      <c r="D709" t="inlineStr">
        <is>
          <t>SÖDERMANLANDS LÄN</t>
        </is>
      </c>
      <c r="E709" t="inlineStr">
        <is>
          <t>KATRINEHOLM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41498-2025</t>
        </is>
      </c>
      <c r="B710" s="1" t="n">
        <v>45901</v>
      </c>
      <c r="C710" s="1" t="n">
        <v>46194</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38019-2022</t>
        </is>
      </c>
      <c r="B711" s="1" t="n">
        <v>44811</v>
      </c>
      <c r="C711" s="1" t="n">
        <v>46194</v>
      </c>
      <c r="D711" t="inlineStr">
        <is>
          <t>SÖDERMANLANDS LÄN</t>
        </is>
      </c>
      <c r="E711" t="inlineStr">
        <is>
          <t>KATRINEHOLM</t>
        </is>
      </c>
      <c r="G711" t="n">
        <v>5.8</v>
      </c>
      <c r="H711" t="n">
        <v>0</v>
      </c>
      <c r="I711" t="n">
        <v>0</v>
      </c>
      <c r="J711" t="n">
        <v>0</v>
      </c>
      <c r="K711" t="n">
        <v>0</v>
      </c>
      <c r="L711" t="n">
        <v>0</v>
      </c>
      <c r="M711" t="n">
        <v>0</v>
      </c>
      <c r="N711" t="n">
        <v>0</v>
      </c>
      <c r="O711" t="n">
        <v>0</v>
      </c>
      <c r="P711" t="n">
        <v>0</v>
      </c>
      <c r="Q711" t="n">
        <v>0</v>
      </c>
      <c r="R711" s="2" t="inlineStr"/>
    </row>
    <row r="712" ht="15" customHeight="1">
      <c r="A712" t="inlineStr">
        <is>
          <t>A 20200-2026</t>
        </is>
      </c>
      <c r="B712" s="1" t="n">
        <v>46136</v>
      </c>
      <c r="C712" s="1" t="n">
        <v>46194</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20464-2026</t>
        </is>
      </c>
      <c r="B713" s="1" t="n">
        <v>46140</v>
      </c>
      <c r="C713" s="1" t="n">
        <v>46194</v>
      </c>
      <c r="D713" t="inlineStr">
        <is>
          <t>SÖDERMANLANDS LÄN</t>
        </is>
      </c>
      <c r="E713" t="inlineStr">
        <is>
          <t>KATRINEHOLM</t>
        </is>
      </c>
      <c r="G713" t="n">
        <v>9.1</v>
      </c>
      <c r="H713" t="n">
        <v>0</v>
      </c>
      <c r="I713" t="n">
        <v>0</v>
      </c>
      <c r="J713" t="n">
        <v>0</v>
      </c>
      <c r="K713" t="n">
        <v>0</v>
      </c>
      <c r="L713" t="n">
        <v>0</v>
      </c>
      <c r="M713" t="n">
        <v>0</v>
      </c>
      <c r="N713" t="n">
        <v>0</v>
      </c>
      <c r="O713" t="n">
        <v>0</v>
      </c>
      <c r="P713" t="n">
        <v>0</v>
      </c>
      <c r="Q713" t="n">
        <v>0</v>
      </c>
      <c r="R713" s="2" t="inlineStr"/>
    </row>
    <row r="714" ht="15" customHeight="1">
      <c r="A714" t="inlineStr">
        <is>
          <t>A 30333-2023</t>
        </is>
      </c>
      <c r="B714" s="1" t="n">
        <v>45111</v>
      </c>
      <c r="C714" s="1" t="n">
        <v>46194</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28304-2024</t>
        </is>
      </c>
      <c r="B715" s="1" t="n">
        <v>45477</v>
      </c>
      <c r="C715" s="1" t="n">
        <v>46194</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55829-2025</t>
        </is>
      </c>
      <c r="B716" s="1" t="n">
        <v>45972</v>
      </c>
      <c r="C716" s="1" t="n">
        <v>46194</v>
      </c>
      <c r="D716" t="inlineStr">
        <is>
          <t>SÖDERMANLANDS LÄN</t>
        </is>
      </c>
      <c r="E716" t="inlineStr">
        <is>
          <t>KATRINEHOLM</t>
        </is>
      </c>
      <c r="G716" t="n">
        <v>3.2</v>
      </c>
      <c r="H716" t="n">
        <v>0</v>
      </c>
      <c r="I716" t="n">
        <v>0</v>
      </c>
      <c r="J716" t="n">
        <v>0</v>
      </c>
      <c r="K716" t="n">
        <v>0</v>
      </c>
      <c r="L716" t="n">
        <v>0</v>
      </c>
      <c r="M716" t="n">
        <v>0</v>
      </c>
      <c r="N716" t="n">
        <v>0</v>
      </c>
      <c r="O716" t="n">
        <v>0</v>
      </c>
      <c r="P716" t="n">
        <v>0</v>
      </c>
      <c r="Q716" t="n">
        <v>0</v>
      </c>
      <c r="R716" s="2" t="inlineStr"/>
    </row>
    <row r="717" ht="15" customHeight="1">
      <c r="A717" t="inlineStr">
        <is>
          <t>A 22113-2025</t>
        </is>
      </c>
      <c r="B717" s="1" t="n">
        <v>45785</v>
      </c>
      <c r="C717" s="1" t="n">
        <v>46194</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20221-2026</t>
        </is>
      </c>
      <c r="B718" s="1" t="n">
        <v>46139</v>
      </c>
      <c r="C718" s="1" t="n">
        <v>46194</v>
      </c>
      <c r="D718" t="inlineStr">
        <is>
          <t>SÖDERMANLANDS LÄN</t>
        </is>
      </c>
      <c r="E718" t="inlineStr">
        <is>
          <t>KATRINEHOLM</t>
        </is>
      </c>
      <c r="G718" t="n">
        <v>4.2</v>
      </c>
      <c r="H718" t="n">
        <v>0</v>
      </c>
      <c r="I718" t="n">
        <v>0</v>
      </c>
      <c r="J718" t="n">
        <v>0</v>
      </c>
      <c r="K718" t="n">
        <v>0</v>
      </c>
      <c r="L718" t="n">
        <v>0</v>
      </c>
      <c r="M718" t="n">
        <v>0</v>
      </c>
      <c r="N718" t="n">
        <v>0</v>
      </c>
      <c r="O718" t="n">
        <v>0</v>
      </c>
      <c r="P718" t="n">
        <v>0</v>
      </c>
      <c r="Q718" t="n">
        <v>0</v>
      </c>
      <c r="R718" s="2" t="inlineStr"/>
    </row>
    <row r="719" ht="15" customHeight="1">
      <c r="A719" t="inlineStr">
        <is>
          <t>A 28431-2024</t>
        </is>
      </c>
      <c r="B719" s="1" t="n">
        <v>45477</v>
      </c>
      <c r="C719" s="1" t="n">
        <v>46194</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c r="A720" t="inlineStr">
        <is>
          <t>A 10891-2026</t>
        </is>
      </c>
      <c r="B720" s="1" t="n">
        <v>46078</v>
      </c>
      <c r="C720" s="1" t="n">
        <v>46194</v>
      </c>
      <c r="D720" t="inlineStr">
        <is>
          <t>SÖDERMANLANDS LÄN</t>
        </is>
      </c>
      <c r="E720" t="inlineStr">
        <is>
          <t>KATRINEHOLM</t>
        </is>
      </c>
      <c r="F720" t="inlineStr">
        <is>
          <t>Allmännings- och besparingsskogar</t>
        </is>
      </c>
      <c r="G720" t="n">
        <v>1.6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2026-06-21T00:46:44Z</dcterms:created>
  <dcterms:modified xmlns:dcterms="http://purl.org/dc/terms/" xmlns:xsi="http://www.w3.org/2001/XMLSchema-instance" xsi:type="dcterms:W3CDTF">2026-06-21T00:46:44Z</dcterms:modified>
</cp:coreProperties>
</file>