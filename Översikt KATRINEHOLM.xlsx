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45982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45982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45982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45982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45982</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45982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45982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45982</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45982</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45982</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24718-2025</t>
        </is>
      </c>
      <c r="B23" s="1" t="n">
        <v>45799</v>
      </c>
      <c r="C23" s="1" t="n">
        <v>45982</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37537-2022</t>
        </is>
      </c>
      <c r="B24" s="1" t="n">
        <v>44809</v>
      </c>
      <c r="C24" s="1" t="n">
        <v>45982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56897-2021</t>
        </is>
      </c>
      <c r="B25" s="1" t="n">
        <v>44481</v>
      </c>
      <c r="C25" s="1" t="n">
        <v>45982</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45982</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45982</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45982</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45982</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45982</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45982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45982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45982</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45982</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45982</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45982</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45982</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7305-2024</t>
        </is>
      </c>
      <c r="B42" s="1" t="n">
        <v>45344</v>
      </c>
      <c r="C42" s="1" t="n">
        <v>45982</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45982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41980-2025</t>
        </is>
      </c>
      <c r="B44" s="1" t="n">
        <v>45903</v>
      </c>
      <c r="C44" s="1" t="n">
        <v>45982</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12238-2023</t>
        </is>
      </c>
      <c r="B45" s="1" t="n">
        <v>44995</v>
      </c>
      <c r="C45" s="1" t="n">
        <v>45982</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35163-2025</t>
        </is>
      </c>
      <c r="B46" s="1" t="n">
        <v>45852.71136574074</v>
      </c>
      <c r="C46" s="1" t="n">
        <v>45982</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53990-2023</t>
        </is>
      </c>
      <c r="B47" s="1" t="n">
        <v>45231</v>
      </c>
      <c r="C47" s="1" t="n">
        <v>45982</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55700-2025</t>
        </is>
      </c>
      <c r="B48" s="1" t="n">
        <v>45972.45605324074</v>
      </c>
      <c r="C48" s="1" t="n">
        <v>45982</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48199-2025</t>
        </is>
      </c>
      <c r="B49" s="1" t="n">
        <v>45933.47856481482</v>
      </c>
      <c r="C49" s="1" t="n">
        <v>45982</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11890-2023</t>
        </is>
      </c>
      <c r="B50" s="1" t="n">
        <v>44995</v>
      </c>
      <c r="C50" s="1" t="n">
        <v>45982</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33801-2023</t>
        </is>
      </c>
      <c r="B51" s="1" t="n">
        <v>45133</v>
      </c>
      <c r="C51" s="1" t="n">
        <v>45982</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44413-2024</t>
        </is>
      </c>
      <c r="B52" s="1" t="n">
        <v>45573.77701388889</v>
      </c>
      <c r="C52" s="1" t="n">
        <v>45982</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45982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45982</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45982</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45982</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45982</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45982</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45982</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45982</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45982</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45982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45982</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45982</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45982</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45982</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45982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45982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45982</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45982</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45982</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45982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45982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45982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45982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45982</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45982</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45982</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45982</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45982</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45982</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45982</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45982</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45982</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45982</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45982</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63694-2020</t>
        </is>
      </c>
      <c r="B92" s="1" t="n">
        <v>44166</v>
      </c>
      <c r="C92" s="1" t="n">
        <v>45982</v>
      </c>
      <c r="D92" t="inlineStr">
        <is>
          <t>SÖDERMANLANDS LÄN</t>
        </is>
      </c>
      <c r="E92" t="inlineStr">
        <is>
          <t>KATRINEHOLM</t>
        </is>
      </c>
      <c r="F92" t="inlineStr">
        <is>
          <t>Holmen skog AB</t>
        </is>
      </c>
      <c r="G92" t="n">
        <v>1.7</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45982</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45982</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45982</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45982</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45982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45982</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61174-2021</t>
        </is>
      </c>
      <c r="B99" s="1" t="n">
        <v>44466</v>
      </c>
      <c r="C99" s="1" t="n">
        <v>45982</v>
      </c>
      <c r="D99" t="inlineStr">
        <is>
          <t>SÖDERMANLANDS LÄN</t>
        </is>
      </c>
      <c r="E99" t="inlineStr">
        <is>
          <t>KATRINEHOLM</t>
        </is>
      </c>
      <c r="G99" t="n">
        <v>4</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45982</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45982</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45982</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45982</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45982</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45982</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45982</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45982</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45982</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45982</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45982</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45982</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45982</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45982</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45982</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45982</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45982</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45982</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45982</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45982</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45982</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45982</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45982</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45982</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45982</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45982</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45982</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45982</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45982</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45982</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45982</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45982</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45982</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45982</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45982</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45982</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45982</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45982</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45982</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45982</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45982</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45982</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45982</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45982</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45982</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45982</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45982</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45982</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45982</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45982</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45982</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45982</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45982</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45982</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45982</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45982</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45982</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45982</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45982</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45982</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45982</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45982</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45982</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45982</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45982</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45982</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45982</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53791-2021</t>
        </is>
      </c>
      <c r="B176" s="1" t="n">
        <v>44467</v>
      </c>
      <c r="C176" s="1" t="n">
        <v>45982</v>
      </c>
      <c r="D176" t="inlineStr">
        <is>
          <t>SÖDERMANLANDS LÄN</t>
        </is>
      </c>
      <c r="E176" t="inlineStr">
        <is>
          <t>KATRINEHOLM</t>
        </is>
      </c>
      <c r="G176" t="n">
        <v>2.7</v>
      </c>
      <c r="H176" t="n">
        <v>0</v>
      </c>
      <c r="I176" t="n">
        <v>0</v>
      </c>
      <c r="J176" t="n">
        <v>0</v>
      </c>
      <c r="K176" t="n">
        <v>0</v>
      </c>
      <c r="L176" t="n">
        <v>0</v>
      </c>
      <c r="M176" t="n">
        <v>0</v>
      </c>
      <c r="N176" t="n">
        <v>0</v>
      </c>
      <c r="O176" t="n">
        <v>0</v>
      </c>
      <c r="P176" t="n">
        <v>0</v>
      </c>
      <c r="Q176" t="n">
        <v>0</v>
      </c>
      <c r="R176" s="2" t="inlineStr"/>
    </row>
    <row r="177" ht="15" customHeight="1">
      <c r="A177" t="inlineStr">
        <is>
          <t>A 60596-2021</t>
        </is>
      </c>
      <c r="B177" s="1" t="n">
        <v>44496.58033564815</v>
      </c>
      <c r="C177" s="1" t="n">
        <v>45982</v>
      </c>
      <c r="D177" t="inlineStr">
        <is>
          <t>SÖDERMANLANDS LÄN</t>
        </is>
      </c>
      <c r="E177" t="inlineStr">
        <is>
          <t>KATRINEHOLM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45982</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45982</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38606-2021</t>
        </is>
      </c>
      <c r="B180" s="1" t="n">
        <v>44409.40363425926</v>
      </c>
      <c r="C180" s="1" t="n">
        <v>45982</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45982</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45982</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45982</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45982</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45982</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45982</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45982</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66801-2021</t>
        </is>
      </c>
      <c r="B188" s="1" t="n">
        <v>44522</v>
      </c>
      <c r="C188" s="1" t="n">
        <v>45982</v>
      </c>
      <c r="D188" t="inlineStr">
        <is>
          <t>SÖDERMANLANDS LÄN</t>
        </is>
      </c>
      <c r="E188" t="inlineStr">
        <is>
          <t>KATRINEHOLM</t>
        </is>
      </c>
      <c r="F188" t="inlineStr">
        <is>
          <t>Holmen skog AB</t>
        </is>
      </c>
      <c r="G188" t="n">
        <v>0.2</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45982</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45038-2022</t>
        </is>
      </c>
      <c r="B190" s="1" t="n">
        <v>44840</v>
      </c>
      <c r="C190" s="1" t="n">
        <v>45982</v>
      </c>
      <c r="D190" t="inlineStr">
        <is>
          <t>SÖDERMANLANDS LÄN</t>
        </is>
      </c>
      <c r="E190" t="inlineStr">
        <is>
          <t>KATRINEHOLM</t>
        </is>
      </c>
      <c r="G190" t="n">
        <v>3.6</v>
      </c>
      <c r="H190" t="n">
        <v>0</v>
      </c>
      <c r="I190" t="n">
        <v>0</v>
      </c>
      <c r="J190" t="n">
        <v>0</v>
      </c>
      <c r="K190" t="n">
        <v>0</v>
      </c>
      <c r="L190" t="n">
        <v>0</v>
      </c>
      <c r="M190" t="n">
        <v>0</v>
      </c>
      <c r="N190" t="n">
        <v>0</v>
      </c>
      <c r="O190" t="n">
        <v>0</v>
      </c>
      <c r="P190" t="n">
        <v>0</v>
      </c>
      <c r="Q190" t="n">
        <v>0</v>
      </c>
      <c r="R190" s="2" t="inlineStr"/>
    </row>
    <row r="191" ht="15" customHeight="1">
      <c r="A191" t="inlineStr">
        <is>
          <t>A 51885-2022</t>
        </is>
      </c>
      <c r="B191" s="1" t="n">
        <v>44872.60384259259</v>
      </c>
      <c r="C191" s="1" t="n">
        <v>45982</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45982</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45982</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67351-2021</t>
        </is>
      </c>
      <c r="B194" s="1" t="n">
        <v>44523</v>
      </c>
      <c r="C194" s="1" t="n">
        <v>45982</v>
      </c>
      <c r="D194" t="inlineStr">
        <is>
          <t>SÖDERMANLANDS LÄN</t>
        </is>
      </c>
      <c r="E194" t="inlineStr">
        <is>
          <t>KATRINEHOLM</t>
        </is>
      </c>
      <c r="G194" t="n">
        <v>5.4</v>
      </c>
      <c r="H194" t="n">
        <v>0</v>
      </c>
      <c r="I194" t="n">
        <v>0</v>
      </c>
      <c r="J194" t="n">
        <v>0</v>
      </c>
      <c r="K194" t="n">
        <v>0</v>
      </c>
      <c r="L194" t="n">
        <v>0</v>
      </c>
      <c r="M194" t="n">
        <v>0</v>
      </c>
      <c r="N194" t="n">
        <v>0</v>
      </c>
      <c r="O194" t="n">
        <v>0</v>
      </c>
      <c r="P194" t="n">
        <v>0</v>
      </c>
      <c r="Q194" t="n">
        <v>0</v>
      </c>
      <c r="R194" s="2" t="inlineStr"/>
    </row>
    <row r="195" ht="15" customHeight="1">
      <c r="A195" t="inlineStr">
        <is>
          <t>A 24098-2022</t>
        </is>
      </c>
      <c r="B195" s="1" t="n">
        <v>44725</v>
      </c>
      <c r="C195" s="1" t="n">
        <v>45982</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45982</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45982</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45982</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45982</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71129-2021</t>
        </is>
      </c>
      <c r="B200" s="1" t="n">
        <v>44539</v>
      </c>
      <c r="C200" s="1" t="n">
        <v>45982</v>
      </c>
      <c r="D200" t="inlineStr">
        <is>
          <t>SÖDERMANLANDS LÄN</t>
        </is>
      </c>
      <c r="E200" t="inlineStr">
        <is>
          <t>KATRINEHOLM</t>
        </is>
      </c>
      <c r="F200" t="inlineStr">
        <is>
          <t>Holmen skog AB</t>
        </is>
      </c>
      <c r="G200" t="n">
        <v>1.3</v>
      </c>
      <c r="H200" t="n">
        <v>0</v>
      </c>
      <c r="I200" t="n">
        <v>0</v>
      </c>
      <c r="J200" t="n">
        <v>0</v>
      </c>
      <c r="K200" t="n">
        <v>0</v>
      </c>
      <c r="L200" t="n">
        <v>0</v>
      </c>
      <c r="M200" t="n">
        <v>0</v>
      </c>
      <c r="N200" t="n">
        <v>0</v>
      </c>
      <c r="O200" t="n">
        <v>0</v>
      </c>
      <c r="P200" t="n">
        <v>0</v>
      </c>
      <c r="Q200" t="n">
        <v>0</v>
      </c>
      <c r="R200" s="2" t="inlineStr"/>
    </row>
    <row r="201" ht="15" customHeight="1">
      <c r="A201" t="inlineStr">
        <is>
          <t>A 45147-2021</t>
        </is>
      </c>
      <c r="B201" s="1" t="n">
        <v>44439</v>
      </c>
      <c r="C201" s="1" t="n">
        <v>45982</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34040-2022</t>
        </is>
      </c>
      <c r="B202" s="1" t="n">
        <v>44790</v>
      </c>
      <c r="C202" s="1" t="n">
        <v>45982</v>
      </c>
      <c r="D202" t="inlineStr">
        <is>
          <t>SÖDERMANLANDS LÄN</t>
        </is>
      </c>
      <c r="E202" t="inlineStr">
        <is>
          <t>KATRINEHOLM</t>
        </is>
      </c>
      <c r="F202" t="inlineStr">
        <is>
          <t>Allmännings- och besparingsskogar</t>
        </is>
      </c>
      <c r="G202" t="n">
        <v>2.5</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45982</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45982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50061-2022</t>
        </is>
      </c>
      <c r="B205" s="1" t="n">
        <v>44865</v>
      </c>
      <c r="C205" s="1" t="n">
        <v>45982</v>
      </c>
      <c r="D205" t="inlineStr">
        <is>
          <t>SÖDERMANLANDS LÄN</t>
        </is>
      </c>
      <c r="E205" t="inlineStr">
        <is>
          <t>KATRINEHOLM</t>
        </is>
      </c>
      <c r="G205" t="n">
        <v>4.9</v>
      </c>
      <c r="H205" t="n">
        <v>0</v>
      </c>
      <c r="I205" t="n">
        <v>0</v>
      </c>
      <c r="J205" t="n">
        <v>0</v>
      </c>
      <c r="K205" t="n">
        <v>0</v>
      </c>
      <c r="L205" t="n">
        <v>0</v>
      </c>
      <c r="M205" t="n">
        <v>0</v>
      </c>
      <c r="N205" t="n">
        <v>0</v>
      </c>
      <c r="O205" t="n">
        <v>0</v>
      </c>
      <c r="P205" t="n">
        <v>0</v>
      </c>
      <c r="Q205" t="n">
        <v>0</v>
      </c>
      <c r="R205" s="2" t="inlineStr"/>
    </row>
    <row r="206" ht="15" customHeight="1">
      <c r="A206" t="inlineStr">
        <is>
          <t>A 39120-2023</t>
        </is>
      </c>
      <c r="B206" s="1" t="n">
        <v>45165</v>
      </c>
      <c r="C206" s="1" t="n">
        <v>45982</v>
      </c>
      <c r="D206" t="inlineStr">
        <is>
          <t>SÖDERMANLANDS LÄN</t>
        </is>
      </c>
      <c r="E206" t="inlineStr">
        <is>
          <t>KATRINEHOLM</t>
        </is>
      </c>
      <c r="G206" t="n">
        <v>4.4</v>
      </c>
      <c r="H206" t="n">
        <v>0</v>
      </c>
      <c r="I206" t="n">
        <v>0</v>
      </c>
      <c r="J206" t="n">
        <v>0</v>
      </c>
      <c r="K206" t="n">
        <v>0</v>
      </c>
      <c r="L206" t="n">
        <v>0</v>
      </c>
      <c r="M206" t="n">
        <v>0</v>
      </c>
      <c r="N206" t="n">
        <v>0</v>
      </c>
      <c r="O206" t="n">
        <v>0</v>
      </c>
      <c r="P206" t="n">
        <v>0</v>
      </c>
      <c r="Q206" t="n">
        <v>0</v>
      </c>
      <c r="R206" s="2" t="inlineStr"/>
    </row>
    <row r="207" ht="15" customHeight="1">
      <c r="A207" t="inlineStr">
        <is>
          <t>A 30333-2023</t>
        </is>
      </c>
      <c r="B207" s="1" t="n">
        <v>45111</v>
      </c>
      <c r="C207" s="1" t="n">
        <v>45982</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6628-2022</t>
        </is>
      </c>
      <c r="B208" s="1" t="n">
        <v>44601.78850694445</v>
      </c>
      <c r="C208" s="1" t="n">
        <v>45982</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45982</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10732-2022</t>
        </is>
      </c>
      <c r="B210" s="1" t="n">
        <v>44627.34033564815</v>
      </c>
      <c r="C210" s="1" t="n">
        <v>45982</v>
      </c>
      <c r="D210" t="inlineStr">
        <is>
          <t>SÖDERMANLANDS LÄN</t>
        </is>
      </c>
      <c r="E210" t="inlineStr">
        <is>
          <t>KATRINEHOLM</t>
        </is>
      </c>
      <c r="G210" t="n">
        <v>2.4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45982</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9699-2024</t>
        </is>
      </c>
      <c r="B212" s="1" t="n">
        <v>45362</v>
      </c>
      <c r="C212" s="1" t="n">
        <v>45982</v>
      </c>
      <c r="D212" t="inlineStr">
        <is>
          <t>SÖDERMANLANDS LÄN</t>
        </is>
      </c>
      <c r="E212" t="inlineStr">
        <is>
          <t>KATRINEHOLM</t>
        </is>
      </c>
      <c r="G212" t="n">
        <v>7.7</v>
      </c>
      <c r="H212" t="n">
        <v>0</v>
      </c>
      <c r="I212" t="n">
        <v>0</v>
      </c>
      <c r="J212" t="n">
        <v>0</v>
      </c>
      <c r="K212" t="n">
        <v>0</v>
      </c>
      <c r="L212" t="n">
        <v>0</v>
      </c>
      <c r="M212" t="n">
        <v>0</v>
      </c>
      <c r="N212" t="n">
        <v>0</v>
      </c>
      <c r="O212" t="n">
        <v>0</v>
      </c>
      <c r="P212" t="n">
        <v>0</v>
      </c>
      <c r="Q212" t="n">
        <v>0</v>
      </c>
      <c r="R212" s="2" t="inlineStr"/>
    </row>
    <row r="213" ht="15" customHeight="1">
      <c r="A213" t="inlineStr">
        <is>
          <t>A 48259-2022</t>
        </is>
      </c>
      <c r="B213" s="1" t="n">
        <v>44858</v>
      </c>
      <c r="C213" s="1" t="n">
        <v>45982</v>
      </c>
      <c r="D213" t="inlineStr">
        <is>
          <t>SÖDERMANLANDS LÄN</t>
        </is>
      </c>
      <c r="E213" t="inlineStr">
        <is>
          <t>KATRINEHOLM</t>
        </is>
      </c>
      <c r="G213" t="n">
        <v>3.5</v>
      </c>
      <c r="H213" t="n">
        <v>0</v>
      </c>
      <c r="I213" t="n">
        <v>0</v>
      </c>
      <c r="J213" t="n">
        <v>0</v>
      </c>
      <c r="K213" t="n">
        <v>0</v>
      </c>
      <c r="L213" t="n">
        <v>0</v>
      </c>
      <c r="M213" t="n">
        <v>0</v>
      </c>
      <c r="N213" t="n">
        <v>0</v>
      </c>
      <c r="O213" t="n">
        <v>0</v>
      </c>
      <c r="P213" t="n">
        <v>0</v>
      </c>
      <c r="Q213" t="n">
        <v>0</v>
      </c>
      <c r="R213" s="2" t="inlineStr"/>
    </row>
    <row r="214" ht="15" customHeight="1">
      <c r="A214" t="inlineStr">
        <is>
          <t>A 33001-2024</t>
        </is>
      </c>
      <c r="B214" s="1" t="n">
        <v>45517</v>
      </c>
      <c r="C214" s="1" t="n">
        <v>45982</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45982</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29397-2024</t>
        </is>
      </c>
      <c r="B216" s="1" t="n">
        <v>45483</v>
      </c>
      <c r="C216" s="1" t="n">
        <v>45982</v>
      </c>
      <c r="D216" t="inlineStr">
        <is>
          <t>SÖDERMANLANDS LÄN</t>
        </is>
      </c>
      <c r="E216" t="inlineStr">
        <is>
          <t>KATRINEHOLM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45982</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45982</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45982</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45982</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45982</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24287-2024</t>
        </is>
      </c>
      <c r="B222" s="1" t="n">
        <v>45457</v>
      </c>
      <c r="C222" s="1" t="n">
        <v>45982</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45982</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45982</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45982</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45982</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45982</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13658-2023</t>
        </is>
      </c>
      <c r="B228" s="1" t="n">
        <v>45006</v>
      </c>
      <c r="C228" s="1" t="n">
        <v>45982</v>
      </c>
      <c r="D228" t="inlineStr">
        <is>
          <t>SÖDERMANLANDS LÄN</t>
        </is>
      </c>
      <c r="E228" t="inlineStr">
        <is>
          <t>KATRINEHOLM</t>
        </is>
      </c>
      <c r="F228" t="inlineStr">
        <is>
          <t>Kyrkan</t>
        </is>
      </c>
      <c r="G228" t="n">
        <v>24.3</v>
      </c>
      <c r="H228" t="n">
        <v>0</v>
      </c>
      <c r="I228" t="n">
        <v>0</v>
      </c>
      <c r="J228" t="n">
        <v>0</v>
      </c>
      <c r="K228" t="n">
        <v>0</v>
      </c>
      <c r="L228" t="n">
        <v>0</v>
      </c>
      <c r="M228" t="n">
        <v>0</v>
      </c>
      <c r="N228" t="n">
        <v>0</v>
      </c>
      <c r="O228" t="n">
        <v>0</v>
      </c>
      <c r="P228" t="n">
        <v>0</v>
      </c>
      <c r="Q228" t="n">
        <v>0</v>
      </c>
      <c r="R228" s="2" t="inlineStr"/>
    </row>
    <row r="229" ht="15" customHeight="1">
      <c r="A229" t="inlineStr">
        <is>
          <t>A 32890-2024</t>
        </is>
      </c>
      <c r="B229" s="1" t="n">
        <v>45516</v>
      </c>
      <c r="C229" s="1" t="n">
        <v>45982</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24748-2024</t>
        </is>
      </c>
      <c r="B230" s="1" t="n">
        <v>45460.66567129629</v>
      </c>
      <c r="C230" s="1" t="n">
        <v>45982</v>
      </c>
      <c r="D230" t="inlineStr">
        <is>
          <t>SÖDERMANLANDS LÄN</t>
        </is>
      </c>
      <c r="E230" t="inlineStr">
        <is>
          <t>KATRINEHOLM</t>
        </is>
      </c>
      <c r="G230" t="n">
        <v>3.3</v>
      </c>
      <c r="H230" t="n">
        <v>0</v>
      </c>
      <c r="I230" t="n">
        <v>0</v>
      </c>
      <c r="J230" t="n">
        <v>0</v>
      </c>
      <c r="K230" t="n">
        <v>0</v>
      </c>
      <c r="L230" t="n">
        <v>0</v>
      </c>
      <c r="M230" t="n">
        <v>0</v>
      </c>
      <c r="N230" t="n">
        <v>0</v>
      </c>
      <c r="O230" t="n">
        <v>0</v>
      </c>
      <c r="P230" t="n">
        <v>0</v>
      </c>
      <c r="Q230" t="n">
        <v>0</v>
      </c>
      <c r="R230" s="2" t="inlineStr"/>
    </row>
    <row r="231" ht="15" customHeight="1">
      <c r="A231" t="inlineStr">
        <is>
          <t>A 39704-2023</t>
        </is>
      </c>
      <c r="B231" s="1" t="n">
        <v>45167</v>
      </c>
      <c r="C231" s="1" t="n">
        <v>45982</v>
      </c>
      <c r="D231" t="inlineStr">
        <is>
          <t>SÖDERMANLANDS LÄN</t>
        </is>
      </c>
      <c r="E231" t="inlineStr">
        <is>
          <t>KATRINEHOLM</t>
        </is>
      </c>
      <c r="F231" t="inlineStr">
        <is>
          <t>Övriga Aktiebolag</t>
        </is>
      </c>
      <c r="G231" t="n">
        <v>3.4</v>
      </c>
      <c r="H231" t="n">
        <v>0</v>
      </c>
      <c r="I231" t="n">
        <v>0</v>
      </c>
      <c r="J231" t="n">
        <v>0</v>
      </c>
      <c r="K231" t="n">
        <v>0</v>
      </c>
      <c r="L231" t="n">
        <v>0</v>
      </c>
      <c r="M231" t="n">
        <v>0</v>
      </c>
      <c r="N231" t="n">
        <v>0</v>
      </c>
      <c r="O231" t="n">
        <v>0</v>
      </c>
      <c r="P231" t="n">
        <v>0</v>
      </c>
      <c r="Q231" t="n">
        <v>0</v>
      </c>
      <c r="R231" s="2" t="inlineStr"/>
    </row>
    <row r="232" ht="15" customHeight="1">
      <c r="A232" t="inlineStr">
        <is>
          <t>A 45793-2022</t>
        </is>
      </c>
      <c r="B232" s="1" t="n">
        <v>44844</v>
      </c>
      <c r="C232" s="1" t="n">
        <v>45982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45438-2021</t>
        </is>
      </c>
      <c r="B233" s="1" t="n">
        <v>44440</v>
      </c>
      <c r="C233" s="1" t="n">
        <v>45982</v>
      </c>
      <c r="D233" t="inlineStr">
        <is>
          <t>SÖDERMANLANDS LÄN</t>
        </is>
      </c>
      <c r="E233" t="inlineStr">
        <is>
          <t>KATRINEHOLM</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44915-2022</t>
        </is>
      </c>
      <c r="B234" s="1" t="n">
        <v>44840</v>
      </c>
      <c r="C234" s="1" t="n">
        <v>45982</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28427-2024</t>
        </is>
      </c>
      <c r="B235" s="1" t="n">
        <v>45477.64910879629</v>
      </c>
      <c r="C235" s="1" t="n">
        <v>45982</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15184-2023</t>
        </is>
      </c>
      <c r="B236" s="1" t="n">
        <v>45016</v>
      </c>
      <c r="C236" s="1" t="n">
        <v>45982</v>
      </c>
      <c r="D236" t="inlineStr">
        <is>
          <t>SÖDERMANLANDS LÄN</t>
        </is>
      </c>
      <c r="E236" t="inlineStr">
        <is>
          <t>KATRINEHOLM</t>
        </is>
      </c>
      <c r="G236" t="n">
        <v>1.1</v>
      </c>
      <c r="H236" t="n">
        <v>0</v>
      </c>
      <c r="I236" t="n">
        <v>0</v>
      </c>
      <c r="J236" t="n">
        <v>0</v>
      </c>
      <c r="K236" t="n">
        <v>0</v>
      </c>
      <c r="L236" t="n">
        <v>0</v>
      </c>
      <c r="M236" t="n">
        <v>0</v>
      </c>
      <c r="N236" t="n">
        <v>0</v>
      </c>
      <c r="O236" t="n">
        <v>0</v>
      </c>
      <c r="P236" t="n">
        <v>0</v>
      </c>
      <c r="Q236" t="n">
        <v>0</v>
      </c>
      <c r="R236" s="2" t="inlineStr"/>
    </row>
    <row r="237" ht="15" customHeight="1">
      <c r="A237" t="inlineStr">
        <is>
          <t>A 15235-2023</t>
        </is>
      </c>
      <c r="B237" s="1" t="n">
        <v>45019</v>
      </c>
      <c r="C237" s="1" t="n">
        <v>45982</v>
      </c>
      <c r="D237" t="inlineStr">
        <is>
          <t>SÖDERMANLANDS LÄN</t>
        </is>
      </c>
      <c r="E237" t="inlineStr">
        <is>
          <t>KATRINEHOLM</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22476-2025</t>
        </is>
      </c>
      <c r="B238" s="1" t="n">
        <v>45786</v>
      </c>
      <c r="C238" s="1" t="n">
        <v>45982</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23838-2021</t>
        </is>
      </c>
      <c r="B239" s="1" t="n">
        <v>44335</v>
      </c>
      <c r="C239" s="1" t="n">
        <v>45982</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4387-2024</t>
        </is>
      </c>
      <c r="B240" s="1" t="n">
        <v>45327.35068287037</v>
      </c>
      <c r="C240" s="1" t="n">
        <v>45982</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18386-2025</t>
        </is>
      </c>
      <c r="B241" s="1" t="n">
        <v>45762</v>
      </c>
      <c r="C241" s="1" t="n">
        <v>45982</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23050-2025</t>
        </is>
      </c>
      <c r="B242" s="1" t="n">
        <v>45790.69971064815</v>
      </c>
      <c r="C242" s="1" t="n">
        <v>45982</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14313-2024</t>
        </is>
      </c>
      <c r="B243" s="1" t="n">
        <v>45393</v>
      </c>
      <c r="C243" s="1" t="n">
        <v>45982</v>
      </c>
      <c r="D243" t="inlineStr">
        <is>
          <t>SÖDERMANLANDS LÄN</t>
        </is>
      </c>
      <c r="E243" t="inlineStr">
        <is>
          <t>KATRINEHOLM</t>
        </is>
      </c>
      <c r="G243" t="n">
        <v>3.1</v>
      </c>
      <c r="H243" t="n">
        <v>0</v>
      </c>
      <c r="I243" t="n">
        <v>0</v>
      </c>
      <c r="J243" t="n">
        <v>0</v>
      </c>
      <c r="K243" t="n">
        <v>0</v>
      </c>
      <c r="L243" t="n">
        <v>0</v>
      </c>
      <c r="M243" t="n">
        <v>0</v>
      </c>
      <c r="N243" t="n">
        <v>0</v>
      </c>
      <c r="O243" t="n">
        <v>0</v>
      </c>
      <c r="P243" t="n">
        <v>0</v>
      </c>
      <c r="Q243" t="n">
        <v>0</v>
      </c>
      <c r="R243" s="2" t="inlineStr"/>
    </row>
    <row r="244" ht="15" customHeight="1">
      <c r="A244" t="inlineStr">
        <is>
          <t>A 12938-2023</t>
        </is>
      </c>
      <c r="B244" s="1" t="n">
        <v>45001</v>
      </c>
      <c r="C244" s="1" t="n">
        <v>45982</v>
      </c>
      <c r="D244" t="inlineStr">
        <is>
          <t>SÖDERMANLANDS LÄN</t>
        </is>
      </c>
      <c r="E244" t="inlineStr">
        <is>
          <t>KATRINEHOLM</t>
        </is>
      </c>
      <c r="G244" t="n">
        <v>0.4</v>
      </c>
      <c r="H244" t="n">
        <v>0</v>
      </c>
      <c r="I244" t="n">
        <v>0</v>
      </c>
      <c r="J244" t="n">
        <v>0</v>
      </c>
      <c r="K244" t="n">
        <v>0</v>
      </c>
      <c r="L244" t="n">
        <v>0</v>
      </c>
      <c r="M244" t="n">
        <v>0</v>
      </c>
      <c r="N244" t="n">
        <v>0</v>
      </c>
      <c r="O244" t="n">
        <v>0</v>
      </c>
      <c r="P244" t="n">
        <v>0</v>
      </c>
      <c r="Q244" t="n">
        <v>0</v>
      </c>
      <c r="R244" s="2" t="inlineStr"/>
    </row>
    <row r="245" ht="15" customHeight="1">
      <c r="A245" t="inlineStr">
        <is>
          <t>A 38708-2025</t>
        </is>
      </c>
      <c r="B245" s="1" t="n">
        <v>45885</v>
      </c>
      <c r="C245" s="1" t="n">
        <v>45982</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7398-2024</t>
        </is>
      </c>
      <c r="B246" s="1" t="n">
        <v>45345</v>
      </c>
      <c r="C246" s="1" t="n">
        <v>45982</v>
      </c>
      <c r="D246" t="inlineStr">
        <is>
          <t>SÖDERMANLANDS LÄN</t>
        </is>
      </c>
      <c r="E246" t="inlineStr">
        <is>
          <t>KATRINEHOLM</t>
        </is>
      </c>
      <c r="G246" t="n">
        <v>4.4</v>
      </c>
      <c r="H246" t="n">
        <v>0</v>
      </c>
      <c r="I246" t="n">
        <v>0</v>
      </c>
      <c r="J246" t="n">
        <v>0</v>
      </c>
      <c r="K246" t="n">
        <v>0</v>
      </c>
      <c r="L246" t="n">
        <v>0</v>
      </c>
      <c r="M246" t="n">
        <v>0</v>
      </c>
      <c r="N246" t="n">
        <v>0</v>
      </c>
      <c r="O246" t="n">
        <v>0</v>
      </c>
      <c r="P246" t="n">
        <v>0</v>
      </c>
      <c r="Q246" t="n">
        <v>0</v>
      </c>
      <c r="R246" s="2" t="inlineStr"/>
    </row>
    <row r="247" ht="15" customHeight="1">
      <c r="A247" t="inlineStr">
        <is>
          <t>A 8955-2024</t>
        </is>
      </c>
      <c r="B247" s="1" t="n">
        <v>45357.44873842593</v>
      </c>
      <c r="C247" s="1" t="n">
        <v>45982</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24902-2024</t>
        </is>
      </c>
      <c r="B248" s="1" t="n">
        <v>45461</v>
      </c>
      <c r="C248" s="1" t="n">
        <v>45982</v>
      </c>
      <c r="D248" t="inlineStr">
        <is>
          <t>SÖDERMANLANDS LÄN</t>
        </is>
      </c>
      <c r="E248" t="inlineStr">
        <is>
          <t>KATRINEHOLM</t>
        </is>
      </c>
      <c r="G248" t="n">
        <v>3.5</v>
      </c>
      <c r="H248" t="n">
        <v>0</v>
      </c>
      <c r="I248" t="n">
        <v>0</v>
      </c>
      <c r="J248" t="n">
        <v>0</v>
      </c>
      <c r="K248" t="n">
        <v>0</v>
      </c>
      <c r="L248" t="n">
        <v>0</v>
      </c>
      <c r="M248" t="n">
        <v>0</v>
      </c>
      <c r="N248" t="n">
        <v>0</v>
      </c>
      <c r="O248" t="n">
        <v>0</v>
      </c>
      <c r="P248" t="n">
        <v>0</v>
      </c>
      <c r="Q248" t="n">
        <v>0</v>
      </c>
      <c r="R248" s="2" t="inlineStr"/>
    </row>
    <row r="249" ht="15" customHeight="1">
      <c r="A249" t="inlineStr">
        <is>
          <t>A 36001-2024</t>
        </is>
      </c>
      <c r="B249" s="1" t="n">
        <v>45533.54609953704</v>
      </c>
      <c r="C249" s="1" t="n">
        <v>45982</v>
      </c>
      <c r="D249" t="inlineStr">
        <is>
          <t>SÖDERMANLANDS LÄN</t>
        </is>
      </c>
      <c r="E249" t="inlineStr">
        <is>
          <t>KATRINEHOLM</t>
        </is>
      </c>
      <c r="G249" t="n">
        <v>1</v>
      </c>
      <c r="H249" t="n">
        <v>0</v>
      </c>
      <c r="I249" t="n">
        <v>0</v>
      </c>
      <c r="J249" t="n">
        <v>0</v>
      </c>
      <c r="K249" t="n">
        <v>0</v>
      </c>
      <c r="L249" t="n">
        <v>0</v>
      </c>
      <c r="M249" t="n">
        <v>0</v>
      </c>
      <c r="N249" t="n">
        <v>0</v>
      </c>
      <c r="O249" t="n">
        <v>0</v>
      </c>
      <c r="P249" t="n">
        <v>0</v>
      </c>
      <c r="Q249" t="n">
        <v>0</v>
      </c>
      <c r="R249" s="2" t="inlineStr"/>
    </row>
    <row r="250" ht="15" customHeight="1">
      <c r="A250" t="inlineStr">
        <is>
          <t>A 36-2023</t>
        </is>
      </c>
      <c r="B250" s="1" t="n">
        <v>44928.36578703704</v>
      </c>
      <c r="C250" s="1" t="n">
        <v>45982</v>
      </c>
      <c r="D250" t="inlineStr">
        <is>
          <t>SÖDERMANLANDS LÄN</t>
        </is>
      </c>
      <c r="E250" t="inlineStr">
        <is>
          <t>KATRINEHOLM</t>
        </is>
      </c>
      <c r="G250" t="n">
        <v>3.7</v>
      </c>
      <c r="H250" t="n">
        <v>0</v>
      </c>
      <c r="I250" t="n">
        <v>0</v>
      </c>
      <c r="J250" t="n">
        <v>0</v>
      </c>
      <c r="K250" t="n">
        <v>0</v>
      </c>
      <c r="L250" t="n">
        <v>0</v>
      </c>
      <c r="M250" t="n">
        <v>0</v>
      </c>
      <c r="N250" t="n">
        <v>0</v>
      </c>
      <c r="O250" t="n">
        <v>0</v>
      </c>
      <c r="P250" t="n">
        <v>0</v>
      </c>
      <c r="Q250" t="n">
        <v>0</v>
      </c>
      <c r="R250" s="2" t="inlineStr"/>
    </row>
    <row r="251" ht="15" customHeight="1">
      <c r="A251" t="inlineStr">
        <is>
          <t>A 2603-2025</t>
        </is>
      </c>
      <c r="B251" s="1" t="n">
        <v>45674</v>
      </c>
      <c r="C251" s="1" t="n">
        <v>45982</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61423-2024</t>
        </is>
      </c>
      <c r="B252" s="1" t="n">
        <v>45646.45209490741</v>
      </c>
      <c r="C252" s="1" t="n">
        <v>45982</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39668-2025</t>
        </is>
      </c>
      <c r="B253" s="1" t="n">
        <v>45890</v>
      </c>
      <c r="C253" s="1" t="n">
        <v>45982</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39737-2025</t>
        </is>
      </c>
      <c r="B254" s="1" t="n">
        <v>45891</v>
      </c>
      <c r="C254" s="1" t="n">
        <v>45982</v>
      </c>
      <c r="D254" t="inlineStr">
        <is>
          <t>SÖDERMANLANDS LÄN</t>
        </is>
      </c>
      <c r="E254" t="inlineStr">
        <is>
          <t>KATRINEHOLM</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39847-2025</t>
        </is>
      </c>
      <c r="B255" s="1" t="n">
        <v>45891.58381944444</v>
      </c>
      <c r="C255" s="1" t="n">
        <v>45982</v>
      </c>
      <c r="D255" t="inlineStr">
        <is>
          <t>SÖDERMANLANDS LÄN</t>
        </is>
      </c>
      <c r="E255" t="inlineStr">
        <is>
          <t>KATRINEHOLM</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39663-2025</t>
        </is>
      </c>
      <c r="B256" s="1" t="n">
        <v>45890</v>
      </c>
      <c r="C256" s="1" t="n">
        <v>45982</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46569-2022</t>
        </is>
      </c>
      <c r="B257" s="1" t="n">
        <v>44847</v>
      </c>
      <c r="C257" s="1" t="n">
        <v>45982</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19098-2022</t>
        </is>
      </c>
      <c r="B258" s="1" t="n">
        <v>44691.52616898148</v>
      </c>
      <c r="C258" s="1" t="n">
        <v>45982</v>
      </c>
      <c r="D258" t="inlineStr">
        <is>
          <t>SÖDERMANLANDS LÄN</t>
        </is>
      </c>
      <c r="E258" t="inlineStr">
        <is>
          <t>KATRINEHOLM</t>
        </is>
      </c>
      <c r="G258" t="n">
        <v>5.5</v>
      </c>
      <c r="H258" t="n">
        <v>0</v>
      </c>
      <c r="I258" t="n">
        <v>0</v>
      </c>
      <c r="J258" t="n">
        <v>0</v>
      </c>
      <c r="K258" t="n">
        <v>0</v>
      </c>
      <c r="L258" t="n">
        <v>0</v>
      </c>
      <c r="M258" t="n">
        <v>0</v>
      </c>
      <c r="N258" t="n">
        <v>0</v>
      </c>
      <c r="O258" t="n">
        <v>0</v>
      </c>
      <c r="P258" t="n">
        <v>0</v>
      </c>
      <c r="Q258" t="n">
        <v>0</v>
      </c>
      <c r="R258" s="2" t="inlineStr"/>
    </row>
    <row r="259" ht="15" customHeight="1">
      <c r="A259" t="inlineStr">
        <is>
          <t>A 39645-2025</t>
        </is>
      </c>
      <c r="B259" s="1" t="n">
        <v>45890</v>
      </c>
      <c r="C259" s="1" t="n">
        <v>45982</v>
      </c>
      <c r="D259" t="inlineStr">
        <is>
          <t>SÖDERMANLANDS LÄN</t>
        </is>
      </c>
      <c r="E259" t="inlineStr">
        <is>
          <t>KATRINEHOLM</t>
        </is>
      </c>
      <c r="G259" t="n">
        <v>0.2</v>
      </c>
      <c r="H259" t="n">
        <v>0</v>
      </c>
      <c r="I259" t="n">
        <v>0</v>
      </c>
      <c r="J259" t="n">
        <v>0</v>
      </c>
      <c r="K259" t="n">
        <v>0</v>
      </c>
      <c r="L259" t="n">
        <v>0</v>
      </c>
      <c r="M259" t="n">
        <v>0</v>
      </c>
      <c r="N259" t="n">
        <v>0</v>
      </c>
      <c r="O259" t="n">
        <v>0</v>
      </c>
      <c r="P259" t="n">
        <v>0</v>
      </c>
      <c r="Q259" t="n">
        <v>0</v>
      </c>
      <c r="R259" s="2" t="inlineStr"/>
    </row>
    <row r="260" ht="15" customHeight="1">
      <c r="A260" t="inlineStr">
        <is>
          <t>A 24605-2025</t>
        </is>
      </c>
      <c r="B260" s="1" t="n">
        <v>45798.57403935185</v>
      </c>
      <c r="C260" s="1" t="n">
        <v>45982</v>
      </c>
      <c r="D260" t="inlineStr">
        <is>
          <t>SÖDERMANLANDS LÄN</t>
        </is>
      </c>
      <c r="E260" t="inlineStr">
        <is>
          <t>KATRINEHOLM</t>
        </is>
      </c>
      <c r="G260" t="n">
        <v>7</v>
      </c>
      <c r="H260" t="n">
        <v>0</v>
      </c>
      <c r="I260" t="n">
        <v>0</v>
      </c>
      <c r="J260" t="n">
        <v>0</v>
      </c>
      <c r="K260" t="n">
        <v>0</v>
      </c>
      <c r="L260" t="n">
        <v>0</v>
      </c>
      <c r="M260" t="n">
        <v>0</v>
      </c>
      <c r="N260" t="n">
        <v>0</v>
      </c>
      <c r="O260" t="n">
        <v>0</v>
      </c>
      <c r="P260" t="n">
        <v>0</v>
      </c>
      <c r="Q260" t="n">
        <v>0</v>
      </c>
      <c r="R260" s="2" t="inlineStr"/>
    </row>
    <row r="261" ht="15" customHeight="1">
      <c r="A261" t="inlineStr">
        <is>
          <t>A 53999-2023</t>
        </is>
      </c>
      <c r="B261" s="1" t="n">
        <v>45231</v>
      </c>
      <c r="C261" s="1" t="n">
        <v>45982</v>
      </c>
      <c r="D261" t="inlineStr">
        <is>
          <t>SÖDERMANLANDS LÄN</t>
        </is>
      </c>
      <c r="E261" t="inlineStr">
        <is>
          <t>KATRINEHOLM</t>
        </is>
      </c>
      <c r="G261" t="n">
        <v>5.4</v>
      </c>
      <c r="H261" t="n">
        <v>0</v>
      </c>
      <c r="I261" t="n">
        <v>0</v>
      </c>
      <c r="J261" t="n">
        <v>0</v>
      </c>
      <c r="K261" t="n">
        <v>0</v>
      </c>
      <c r="L261" t="n">
        <v>0</v>
      </c>
      <c r="M261" t="n">
        <v>0</v>
      </c>
      <c r="N261" t="n">
        <v>0</v>
      </c>
      <c r="O261" t="n">
        <v>0</v>
      </c>
      <c r="P261" t="n">
        <v>0</v>
      </c>
      <c r="Q261" t="n">
        <v>0</v>
      </c>
      <c r="R261" s="2" t="inlineStr"/>
    </row>
    <row r="262" ht="15" customHeight="1">
      <c r="A262" t="inlineStr">
        <is>
          <t>A 51530-2023</t>
        </is>
      </c>
      <c r="B262" s="1" t="n">
        <v>45222</v>
      </c>
      <c r="C262" s="1" t="n">
        <v>45982</v>
      </c>
      <c r="D262" t="inlineStr">
        <is>
          <t>SÖDERMANLANDS LÄN</t>
        </is>
      </c>
      <c r="E262" t="inlineStr">
        <is>
          <t>KATRINEHOLM</t>
        </is>
      </c>
      <c r="G262" t="n">
        <v>0.9</v>
      </c>
      <c r="H262" t="n">
        <v>0</v>
      </c>
      <c r="I262" t="n">
        <v>0</v>
      </c>
      <c r="J262" t="n">
        <v>0</v>
      </c>
      <c r="K262" t="n">
        <v>0</v>
      </c>
      <c r="L262" t="n">
        <v>0</v>
      </c>
      <c r="M262" t="n">
        <v>0</v>
      </c>
      <c r="N262" t="n">
        <v>0</v>
      </c>
      <c r="O262" t="n">
        <v>0</v>
      </c>
      <c r="P262" t="n">
        <v>0</v>
      </c>
      <c r="Q262" t="n">
        <v>0</v>
      </c>
      <c r="R262" s="2" t="inlineStr"/>
    </row>
    <row r="263" ht="15" customHeight="1">
      <c r="A263" t="inlineStr">
        <is>
          <t>A 41727-2024</t>
        </is>
      </c>
      <c r="B263" s="1" t="n">
        <v>45560</v>
      </c>
      <c r="C263" s="1" t="n">
        <v>45982</v>
      </c>
      <c r="D263" t="inlineStr">
        <is>
          <t>SÖDERMANLANDS LÄN</t>
        </is>
      </c>
      <c r="E263" t="inlineStr">
        <is>
          <t>KATRINEHOLM</t>
        </is>
      </c>
      <c r="G263" t="n">
        <v>3.9</v>
      </c>
      <c r="H263" t="n">
        <v>0</v>
      </c>
      <c r="I263" t="n">
        <v>0</v>
      </c>
      <c r="J263" t="n">
        <v>0</v>
      </c>
      <c r="K263" t="n">
        <v>0</v>
      </c>
      <c r="L263" t="n">
        <v>0</v>
      </c>
      <c r="M263" t="n">
        <v>0</v>
      </c>
      <c r="N263" t="n">
        <v>0</v>
      </c>
      <c r="O263" t="n">
        <v>0</v>
      </c>
      <c r="P263" t="n">
        <v>0</v>
      </c>
      <c r="Q263" t="n">
        <v>0</v>
      </c>
      <c r="R263" s="2" t="inlineStr"/>
    </row>
    <row r="264" ht="15" customHeight="1">
      <c r="A264" t="inlineStr">
        <is>
          <t>A 24566-2025</t>
        </is>
      </c>
      <c r="B264" s="1" t="n">
        <v>45798.46452546296</v>
      </c>
      <c r="C264" s="1" t="n">
        <v>45982</v>
      </c>
      <c r="D264" t="inlineStr">
        <is>
          <t>SÖDERMANLANDS LÄN</t>
        </is>
      </c>
      <c r="E264" t="inlineStr">
        <is>
          <t>KATRINEHOLM</t>
        </is>
      </c>
      <c r="G264" t="n">
        <v>6.3</v>
      </c>
      <c r="H264" t="n">
        <v>0</v>
      </c>
      <c r="I264" t="n">
        <v>0</v>
      </c>
      <c r="J264" t="n">
        <v>0</v>
      </c>
      <c r="K264" t="n">
        <v>0</v>
      </c>
      <c r="L264" t="n">
        <v>0</v>
      </c>
      <c r="M264" t="n">
        <v>0</v>
      </c>
      <c r="N264" t="n">
        <v>0</v>
      </c>
      <c r="O264" t="n">
        <v>0</v>
      </c>
      <c r="P264" t="n">
        <v>0</v>
      </c>
      <c r="Q264" t="n">
        <v>0</v>
      </c>
      <c r="R264" s="2" t="inlineStr"/>
    </row>
    <row r="265" ht="15" customHeight="1">
      <c r="A265" t="inlineStr">
        <is>
          <t>A 3315-2023</t>
        </is>
      </c>
      <c r="B265" s="1" t="n">
        <v>44945</v>
      </c>
      <c r="C265" s="1" t="n">
        <v>45982</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56086-2023</t>
        </is>
      </c>
      <c r="B266" s="1" t="n">
        <v>45240</v>
      </c>
      <c r="C266" s="1" t="n">
        <v>45982</v>
      </c>
      <c r="D266" t="inlineStr">
        <is>
          <t>SÖDERMANLANDS LÄN</t>
        </is>
      </c>
      <c r="E266" t="inlineStr">
        <is>
          <t>KATRINEHOLM</t>
        </is>
      </c>
      <c r="F266" t="inlineStr">
        <is>
          <t>Kyrkan</t>
        </is>
      </c>
      <c r="G266" t="n">
        <v>17</v>
      </c>
      <c r="H266" t="n">
        <v>0</v>
      </c>
      <c r="I266" t="n">
        <v>0</v>
      </c>
      <c r="J266" t="n">
        <v>0</v>
      </c>
      <c r="K266" t="n">
        <v>0</v>
      </c>
      <c r="L266" t="n">
        <v>0</v>
      </c>
      <c r="M266" t="n">
        <v>0</v>
      </c>
      <c r="N266" t="n">
        <v>0</v>
      </c>
      <c r="O266" t="n">
        <v>0</v>
      </c>
      <c r="P266" t="n">
        <v>0</v>
      </c>
      <c r="Q266" t="n">
        <v>0</v>
      </c>
      <c r="R266" s="2" t="inlineStr"/>
    </row>
    <row r="267" ht="15" customHeight="1">
      <c r="A267" t="inlineStr">
        <is>
          <t>A 2093-2025</t>
        </is>
      </c>
      <c r="B267" s="1" t="n">
        <v>45672</v>
      </c>
      <c r="C267" s="1" t="n">
        <v>45982</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24719-2025</t>
        </is>
      </c>
      <c r="B268" s="1" t="n">
        <v>45799</v>
      </c>
      <c r="C268" s="1" t="n">
        <v>45982</v>
      </c>
      <c r="D268" t="inlineStr">
        <is>
          <t>SÖDERMANLANDS LÄN</t>
        </is>
      </c>
      <c r="E268" t="inlineStr">
        <is>
          <t>KATRINEHOLM</t>
        </is>
      </c>
      <c r="G268" t="n">
        <v>1.8</v>
      </c>
      <c r="H268" t="n">
        <v>0</v>
      </c>
      <c r="I268" t="n">
        <v>0</v>
      </c>
      <c r="J268" t="n">
        <v>0</v>
      </c>
      <c r="K268" t="n">
        <v>0</v>
      </c>
      <c r="L268" t="n">
        <v>0</v>
      </c>
      <c r="M268" t="n">
        <v>0</v>
      </c>
      <c r="N268" t="n">
        <v>0</v>
      </c>
      <c r="O268" t="n">
        <v>0</v>
      </c>
      <c r="P268" t="n">
        <v>0</v>
      </c>
      <c r="Q268" t="n">
        <v>0</v>
      </c>
      <c r="R268" s="2" t="inlineStr"/>
    </row>
    <row r="269" ht="15" customHeight="1">
      <c r="A269" t="inlineStr">
        <is>
          <t>A 24717-2025</t>
        </is>
      </c>
      <c r="B269" s="1" t="n">
        <v>45799.27168981481</v>
      </c>
      <c r="C269" s="1" t="n">
        <v>45982</v>
      </c>
      <c r="D269" t="inlineStr">
        <is>
          <t>SÖDERMANLANDS LÄN</t>
        </is>
      </c>
      <c r="E269" t="inlineStr">
        <is>
          <t>KATRINEHOLM</t>
        </is>
      </c>
      <c r="G269" t="n">
        <v>24.5</v>
      </c>
      <c r="H269" t="n">
        <v>0</v>
      </c>
      <c r="I269" t="n">
        <v>0</v>
      </c>
      <c r="J269" t="n">
        <v>0</v>
      </c>
      <c r="K269" t="n">
        <v>0</v>
      </c>
      <c r="L269" t="n">
        <v>0</v>
      </c>
      <c r="M269" t="n">
        <v>0</v>
      </c>
      <c r="N269" t="n">
        <v>0</v>
      </c>
      <c r="O269" t="n">
        <v>0</v>
      </c>
      <c r="P269" t="n">
        <v>0</v>
      </c>
      <c r="Q269" t="n">
        <v>0</v>
      </c>
      <c r="R269" s="2" t="inlineStr"/>
    </row>
    <row r="270" ht="15" customHeight="1">
      <c r="A270" t="inlineStr">
        <is>
          <t>A 64657-2020</t>
        </is>
      </c>
      <c r="B270" s="1" t="n">
        <v>44169</v>
      </c>
      <c r="C270" s="1" t="n">
        <v>45982</v>
      </c>
      <c r="D270" t="inlineStr">
        <is>
          <t>SÖDERMANLANDS LÄN</t>
        </is>
      </c>
      <c r="E270" t="inlineStr">
        <is>
          <t>KATRINEHOLM</t>
        </is>
      </c>
      <c r="F270" t="inlineStr">
        <is>
          <t>Kyrkan</t>
        </is>
      </c>
      <c r="G270" t="n">
        <v>7.6</v>
      </c>
      <c r="H270" t="n">
        <v>0</v>
      </c>
      <c r="I270" t="n">
        <v>0</v>
      </c>
      <c r="J270" t="n">
        <v>0</v>
      </c>
      <c r="K270" t="n">
        <v>0</v>
      </c>
      <c r="L270" t="n">
        <v>0</v>
      </c>
      <c r="M270" t="n">
        <v>0</v>
      </c>
      <c r="N270" t="n">
        <v>0</v>
      </c>
      <c r="O270" t="n">
        <v>0</v>
      </c>
      <c r="P270" t="n">
        <v>0</v>
      </c>
      <c r="Q270" t="n">
        <v>0</v>
      </c>
      <c r="R270" s="2" t="inlineStr"/>
    </row>
    <row r="271" ht="15" customHeight="1">
      <c r="A271" t="inlineStr">
        <is>
          <t>A 20826-2022</t>
        </is>
      </c>
      <c r="B271" s="1" t="n">
        <v>44701.44754629629</v>
      </c>
      <c r="C271" s="1" t="n">
        <v>45982</v>
      </c>
      <c r="D271" t="inlineStr">
        <is>
          <t>SÖDERMANLANDS LÄN</t>
        </is>
      </c>
      <c r="E271" t="inlineStr">
        <is>
          <t>KATRINEHOLM</t>
        </is>
      </c>
      <c r="G271" t="n">
        <v>6.8</v>
      </c>
      <c r="H271" t="n">
        <v>0</v>
      </c>
      <c r="I271" t="n">
        <v>0</v>
      </c>
      <c r="J271" t="n">
        <v>0</v>
      </c>
      <c r="K271" t="n">
        <v>0</v>
      </c>
      <c r="L271" t="n">
        <v>0</v>
      </c>
      <c r="M271" t="n">
        <v>0</v>
      </c>
      <c r="N271" t="n">
        <v>0</v>
      </c>
      <c r="O271" t="n">
        <v>0</v>
      </c>
      <c r="P271" t="n">
        <v>0</v>
      </c>
      <c r="Q271" t="n">
        <v>0</v>
      </c>
      <c r="R271" s="2" t="inlineStr"/>
    </row>
    <row r="272" ht="15" customHeight="1">
      <c r="A272" t="inlineStr">
        <is>
          <t>A 20846-2022</t>
        </is>
      </c>
      <c r="B272" s="1" t="n">
        <v>44701.4744212963</v>
      </c>
      <c r="C272" s="1" t="n">
        <v>45982</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17246-2024</t>
        </is>
      </c>
      <c r="B273" s="1" t="n">
        <v>45414</v>
      </c>
      <c r="C273" s="1" t="n">
        <v>45982</v>
      </c>
      <c r="D273" t="inlineStr">
        <is>
          <t>SÖDERMANLANDS LÄN</t>
        </is>
      </c>
      <c r="E273" t="inlineStr">
        <is>
          <t>KATRINEHOLM</t>
        </is>
      </c>
      <c r="F273" t="inlineStr">
        <is>
          <t>Allmännings- och besparingsskogar</t>
        </is>
      </c>
      <c r="G273" t="n">
        <v>13.7</v>
      </c>
      <c r="H273" t="n">
        <v>0</v>
      </c>
      <c r="I273" t="n">
        <v>0</v>
      </c>
      <c r="J273" t="n">
        <v>0</v>
      </c>
      <c r="K273" t="n">
        <v>0</v>
      </c>
      <c r="L273" t="n">
        <v>0</v>
      </c>
      <c r="M273" t="n">
        <v>0</v>
      </c>
      <c r="N273" t="n">
        <v>0</v>
      </c>
      <c r="O273" t="n">
        <v>0</v>
      </c>
      <c r="P273" t="n">
        <v>0</v>
      </c>
      <c r="Q273" t="n">
        <v>0</v>
      </c>
      <c r="R273" s="2" t="inlineStr"/>
    </row>
    <row r="274" ht="15" customHeight="1">
      <c r="A274" t="inlineStr">
        <is>
          <t>A 25786-2025</t>
        </is>
      </c>
      <c r="B274" s="1" t="n">
        <v>45804.37456018518</v>
      </c>
      <c r="C274" s="1" t="n">
        <v>45982</v>
      </c>
      <c r="D274" t="inlineStr">
        <is>
          <t>SÖDERMANLANDS LÄN</t>
        </is>
      </c>
      <c r="E274" t="inlineStr">
        <is>
          <t>KATRINEHOLM</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41074-2025</t>
        </is>
      </c>
      <c r="B275" s="1" t="n">
        <v>45898</v>
      </c>
      <c r="C275" s="1" t="n">
        <v>45982</v>
      </c>
      <c r="D275" t="inlineStr">
        <is>
          <t>SÖDERMANLANDS LÄN</t>
        </is>
      </c>
      <c r="E275" t="inlineStr">
        <is>
          <t>KATRINEHOLM</t>
        </is>
      </c>
      <c r="F275" t="inlineStr">
        <is>
          <t>Allmännings- och besparingsskogar</t>
        </is>
      </c>
      <c r="G275" t="n">
        <v>4.8</v>
      </c>
      <c r="H275" t="n">
        <v>0</v>
      </c>
      <c r="I275" t="n">
        <v>0</v>
      </c>
      <c r="J275" t="n">
        <v>0</v>
      </c>
      <c r="K275" t="n">
        <v>0</v>
      </c>
      <c r="L275" t="n">
        <v>0</v>
      </c>
      <c r="M275" t="n">
        <v>0</v>
      </c>
      <c r="N275" t="n">
        <v>0</v>
      </c>
      <c r="O275" t="n">
        <v>0</v>
      </c>
      <c r="P275" t="n">
        <v>0</v>
      </c>
      <c r="Q275" t="n">
        <v>0</v>
      </c>
      <c r="R275" s="2" t="inlineStr"/>
    </row>
    <row r="276" ht="15" customHeight="1">
      <c r="A276" t="inlineStr">
        <is>
          <t>A 49743-2025</t>
        </is>
      </c>
      <c r="B276" s="1" t="n">
        <v>45940</v>
      </c>
      <c r="C276" s="1" t="n">
        <v>45982</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26154-2025</t>
        </is>
      </c>
      <c r="B277" s="1" t="n">
        <v>45805.43341435185</v>
      </c>
      <c r="C277" s="1" t="n">
        <v>45982</v>
      </c>
      <c r="D277" t="inlineStr">
        <is>
          <t>SÖDERMANLANDS LÄN</t>
        </is>
      </c>
      <c r="E277" t="inlineStr">
        <is>
          <t>KATRINEHOLM</t>
        </is>
      </c>
      <c r="G277" t="n">
        <v>4.5</v>
      </c>
      <c r="H277" t="n">
        <v>0</v>
      </c>
      <c r="I277" t="n">
        <v>0</v>
      </c>
      <c r="J277" t="n">
        <v>0</v>
      </c>
      <c r="K277" t="n">
        <v>0</v>
      </c>
      <c r="L277" t="n">
        <v>0</v>
      </c>
      <c r="M277" t="n">
        <v>0</v>
      </c>
      <c r="N277" t="n">
        <v>0</v>
      </c>
      <c r="O277" t="n">
        <v>0</v>
      </c>
      <c r="P277" t="n">
        <v>0</v>
      </c>
      <c r="Q277" t="n">
        <v>0</v>
      </c>
      <c r="R277" s="2" t="inlineStr"/>
    </row>
    <row r="278" ht="15" customHeight="1">
      <c r="A278" t="inlineStr">
        <is>
          <t>A 12930-2023</t>
        </is>
      </c>
      <c r="B278" s="1" t="n">
        <v>45001</v>
      </c>
      <c r="C278" s="1" t="n">
        <v>45982</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38308-2021</t>
        </is>
      </c>
      <c r="B279" s="1" t="n">
        <v>44406</v>
      </c>
      <c r="C279" s="1" t="n">
        <v>45982</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23031-2024</t>
        </is>
      </c>
      <c r="B280" s="1" t="n">
        <v>45450.38120370371</v>
      </c>
      <c r="C280" s="1" t="n">
        <v>45982</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26156-2025</t>
        </is>
      </c>
      <c r="B281" s="1" t="n">
        <v>45805.43864583333</v>
      </c>
      <c r="C281" s="1" t="n">
        <v>45982</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41548-2025</t>
        </is>
      </c>
      <c r="B282" s="1" t="n">
        <v>45901</v>
      </c>
      <c r="C282" s="1" t="n">
        <v>45982</v>
      </c>
      <c r="D282" t="inlineStr">
        <is>
          <t>SÖDERMANLANDS LÄN</t>
        </is>
      </c>
      <c r="E282" t="inlineStr">
        <is>
          <t>KATRINEHOLM</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15284-2023</t>
        </is>
      </c>
      <c r="B283" s="1" t="n">
        <v>45019</v>
      </c>
      <c r="C283" s="1" t="n">
        <v>45982</v>
      </c>
      <c r="D283" t="inlineStr">
        <is>
          <t>SÖDERMANLANDS LÄN</t>
        </is>
      </c>
      <c r="E283" t="inlineStr">
        <is>
          <t>KATRINEHOLM</t>
        </is>
      </c>
      <c r="F283" t="inlineStr">
        <is>
          <t>Allmännings- och besparingsskogar</t>
        </is>
      </c>
      <c r="G283" t="n">
        <v>17.4</v>
      </c>
      <c r="H283" t="n">
        <v>0</v>
      </c>
      <c r="I283" t="n">
        <v>0</v>
      </c>
      <c r="J283" t="n">
        <v>0</v>
      </c>
      <c r="K283" t="n">
        <v>0</v>
      </c>
      <c r="L283" t="n">
        <v>0</v>
      </c>
      <c r="M283" t="n">
        <v>0</v>
      </c>
      <c r="N283" t="n">
        <v>0</v>
      </c>
      <c r="O283" t="n">
        <v>0</v>
      </c>
      <c r="P283" t="n">
        <v>0</v>
      </c>
      <c r="Q283" t="n">
        <v>0</v>
      </c>
      <c r="R283" s="2" t="inlineStr"/>
    </row>
    <row r="284" ht="15" customHeight="1">
      <c r="A284" t="inlineStr">
        <is>
          <t>A 41633-2025</t>
        </is>
      </c>
      <c r="B284" s="1" t="n">
        <v>45901</v>
      </c>
      <c r="C284" s="1" t="n">
        <v>45982</v>
      </c>
      <c r="D284" t="inlineStr">
        <is>
          <t>SÖDERMANLANDS LÄN</t>
        </is>
      </c>
      <c r="E284" t="inlineStr">
        <is>
          <t>KATRINEHOLM</t>
        </is>
      </c>
      <c r="G284" t="n">
        <v>2.1</v>
      </c>
      <c r="H284" t="n">
        <v>0</v>
      </c>
      <c r="I284" t="n">
        <v>0</v>
      </c>
      <c r="J284" t="n">
        <v>0</v>
      </c>
      <c r="K284" t="n">
        <v>0</v>
      </c>
      <c r="L284" t="n">
        <v>0</v>
      </c>
      <c r="M284" t="n">
        <v>0</v>
      </c>
      <c r="N284" t="n">
        <v>0</v>
      </c>
      <c r="O284" t="n">
        <v>0</v>
      </c>
      <c r="P284" t="n">
        <v>0</v>
      </c>
      <c r="Q284" t="n">
        <v>0</v>
      </c>
      <c r="R284" s="2" t="inlineStr"/>
    </row>
    <row r="285" ht="15" customHeight="1">
      <c r="A285" t="inlineStr">
        <is>
          <t>A 55856-2022</t>
        </is>
      </c>
      <c r="B285" s="1" t="n">
        <v>44888</v>
      </c>
      <c r="C285" s="1" t="n">
        <v>45982</v>
      </c>
      <c r="D285" t="inlineStr">
        <is>
          <t>SÖDERMANLANDS LÄN</t>
        </is>
      </c>
      <c r="E285" t="inlineStr">
        <is>
          <t>KATRINEHOLM</t>
        </is>
      </c>
      <c r="G285" t="n">
        <v>5.6</v>
      </c>
      <c r="H285" t="n">
        <v>0</v>
      </c>
      <c r="I285" t="n">
        <v>0</v>
      </c>
      <c r="J285" t="n">
        <v>0</v>
      </c>
      <c r="K285" t="n">
        <v>0</v>
      </c>
      <c r="L285" t="n">
        <v>0</v>
      </c>
      <c r="M285" t="n">
        <v>0</v>
      </c>
      <c r="N285" t="n">
        <v>0</v>
      </c>
      <c r="O285" t="n">
        <v>0</v>
      </c>
      <c r="P285" t="n">
        <v>0</v>
      </c>
      <c r="Q285" t="n">
        <v>0</v>
      </c>
      <c r="R285" s="2" t="inlineStr"/>
    </row>
    <row r="286" ht="15" customHeight="1">
      <c r="A286" t="inlineStr">
        <is>
          <t>A 37542-2022</t>
        </is>
      </c>
      <c r="B286" s="1" t="n">
        <v>44809</v>
      </c>
      <c r="C286" s="1" t="n">
        <v>45982</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34739-2023</t>
        </is>
      </c>
      <c r="B287" s="1" t="n">
        <v>45141</v>
      </c>
      <c r="C287" s="1" t="n">
        <v>45982</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41632-2025</t>
        </is>
      </c>
      <c r="B288" s="1" t="n">
        <v>45901</v>
      </c>
      <c r="C288" s="1" t="n">
        <v>45982</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36366-2023</t>
        </is>
      </c>
      <c r="B289" s="1" t="n">
        <v>45152</v>
      </c>
      <c r="C289" s="1" t="n">
        <v>45982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41498-2025</t>
        </is>
      </c>
      <c r="B290" s="1" t="n">
        <v>45901.49755787037</v>
      </c>
      <c r="C290" s="1" t="n">
        <v>45982</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41648-2025</t>
        </is>
      </c>
      <c r="B291" s="1" t="n">
        <v>45902.32601851852</v>
      </c>
      <c r="C291" s="1" t="n">
        <v>45982</v>
      </c>
      <c r="D291" t="inlineStr">
        <is>
          <t>SÖDERMANLANDS LÄN</t>
        </is>
      </c>
      <c r="E291" t="inlineStr">
        <is>
          <t>KATRINEHOLM</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27552-2025</t>
        </is>
      </c>
      <c r="B292" s="1" t="n">
        <v>45813</v>
      </c>
      <c r="C292" s="1" t="n">
        <v>45982</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27534-2025</t>
        </is>
      </c>
      <c r="B293" s="1" t="n">
        <v>45813</v>
      </c>
      <c r="C293" s="1" t="n">
        <v>45982</v>
      </c>
      <c r="D293" t="inlineStr">
        <is>
          <t>SÖDERMANLANDS LÄN</t>
        </is>
      </c>
      <c r="E293" t="inlineStr">
        <is>
          <t>KATRINEHOLM</t>
        </is>
      </c>
      <c r="G293" t="n">
        <v>0.7</v>
      </c>
      <c r="H293" t="n">
        <v>0</v>
      </c>
      <c r="I293" t="n">
        <v>0</v>
      </c>
      <c r="J293" t="n">
        <v>0</v>
      </c>
      <c r="K293" t="n">
        <v>0</v>
      </c>
      <c r="L293" t="n">
        <v>0</v>
      </c>
      <c r="M293" t="n">
        <v>0</v>
      </c>
      <c r="N293" t="n">
        <v>0</v>
      </c>
      <c r="O293" t="n">
        <v>0</v>
      </c>
      <c r="P293" t="n">
        <v>0</v>
      </c>
      <c r="Q293" t="n">
        <v>0</v>
      </c>
      <c r="R293" s="2" t="inlineStr"/>
    </row>
    <row r="294" ht="15" customHeight="1">
      <c r="A294" t="inlineStr">
        <is>
          <t>A 49341-2024</t>
        </is>
      </c>
      <c r="B294" s="1" t="n">
        <v>45595</v>
      </c>
      <c r="C294" s="1" t="n">
        <v>45982</v>
      </c>
      <c r="D294" t="inlineStr">
        <is>
          <t>SÖDERMANLANDS LÄN</t>
        </is>
      </c>
      <c r="E294" t="inlineStr">
        <is>
          <t>KATRINEHOLM</t>
        </is>
      </c>
      <c r="G294" t="n">
        <v>10</v>
      </c>
      <c r="H294" t="n">
        <v>0</v>
      </c>
      <c r="I294" t="n">
        <v>0</v>
      </c>
      <c r="J294" t="n">
        <v>0</v>
      </c>
      <c r="K294" t="n">
        <v>0</v>
      </c>
      <c r="L294" t="n">
        <v>0</v>
      </c>
      <c r="M294" t="n">
        <v>0</v>
      </c>
      <c r="N294" t="n">
        <v>0</v>
      </c>
      <c r="O294" t="n">
        <v>0</v>
      </c>
      <c r="P294" t="n">
        <v>0</v>
      </c>
      <c r="Q294" t="n">
        <v>0</v>
      </c>
      <c r="R294" s="2" t="inlineStr"/>
    </row>
    <row r="295" ht="15" customHeight="1">
      <c r="A295" t="inlineStr">
        <is>
          <t>A 41793-2025</t>
        </is>
      </c>
      <c r="B295" s="1" t="n">
        <v>45902</v>
      </c>
      <c r="C295" s="1" t="n">
        <v>45982</v>
      </c>
      <c r="D295" t="inlineStr">
        <is>
          <t>SÖDERMANLANDS LÄN</t>
        </is>
      </c>
      <c r="E295" t="inlineStr">
        <is>
          <t>KATRINEHOLM</t>
        </is>
      </c>
      <c r="G295" t="n">
        <v>1.1</v>
      </c>
      <c r="H295" t="n">
        <v>0</v>
      </c>
      <c r="I295" t="n">
        <v>0</v>
      </c>
      <c r="J295" t="n">
        <v>0</v>
      </c>
      <c r="K295" t="n">
        <v>0</v>
      </c>
      <c r="L295" t="n">
        <v>0</v>
      </c>
      <c r="M295" t="n">
        <v>0</v>
      </c>
      <c r="N295" t="n">
        <v>0</v>
      </c>
      <c r="O295" t="n">
        <v>0</v>
      </c>
      <c r="P295" t="n">
        <v>0</v>
      </c>
      <c r="Q295" t="n">
        <v>0</v>
      </c>
      <c r="R295" s="2" t="inlineStr"/>
    </row>
    <row r="296" ht="15" customHeight="1">
      <c r="A296" t="inlineStr">
        <is>
          <t>A 61867-2020</t>
        </is>
      </c>
      <c r="B296" s="1" t="n">
        <v>44159</v>
      </c>
      <c r="C296" s="1" t="n">
        <v>45982</v>
      </c>
      <c r="D296" t="inlineStr">
        <is>
          <t>SÖDERMANLANDS LÄN</t>
        </is>
      </c>
      <c r="E296" t="inlineStr">
        <is>
          <t>KATRINEHOLM</t>
        </is>
      </c>
      <c r="G296" t="n">
        <v>2.9</v>
      </c>
      <c r="H296" t="n">
        <v>0</v>
      </c>
      <c r="I296" t="n">
        <v>0</v>
      </c>
      <c r="J296" t="n">
        <v>0</v>
      </c>
      <c r="K296" t="n">
        <v>0</v>
      </c>
      <c r="L296" t="n">
        <v>0</v>
      </c>
      <c r="M296" t="n">
        <v>0</v>
      </c>
      <c r="N296" t="n">
        <v>0</v>
      </c>
      <c r="O296" t="n">
        <v>0</v>
      </c>
      <c r="P296" t="n">
        <v>0</v>
      </c>
      <c r="Q296" t="n">
        <v>0</v>
      </c>
      <c r="R296" s="2" t="inlineStr"/>
    </row>
    <row r="297" ht="15" customHeight="1">
      <c r="A297" t="inlineStr">
        <is>
          <t>A 27636-2025</t>
        </is>
      </c>
      <c r="B297" s="1" t="n">
        <v>45813.57603009259</v>
      </c>
      <c r="C297" s="1" t="n">
        <v>45982</v>
      </c>
      <c r="D297" t="inlineStr">
        <is>
          <t>SÖDERMANLANDS LÄN</t>
        </is>
      </c>
      <c r="E297" t="inlineStr">
        <is>
          <t>KATRINEHOLM</t>
        </is>
      </c>
      <c r="G297" t="n">
        <v>0.6</v>
      </c>
      <c r="H297" t="n">
        <v>0</v>
      </c>
      <c r="I297" t="n">
        <v>0</v>
      </c>
      <c r="J297" t="n">
        <v>0</v>
      </c>
      <c r="K297" t="n">
        <v>0</v>
      </c>
      <c r="L297" t="n">
        <v>0</v>
      </c>
      <c r="M297" t="n">
        <v>0</v>
      </c>
      <c r="N297" t="n">
        <v>0</v>
      </c>
      <c r="O297" t="n">
        <v>0</v>
      </c>
      <c r="P297" t="n">
        <v>0</v>
      </c>
      <c r="Q297" t="n">
        <v>0</v>
      </c>
      <c r="R297" s="2" t="inlineStr"/>
    </row>
    <row r="298" ht="15" customHeight="1">
      <c r="A298" t="inlineStr">
        <is>
          <t>A 41205-2021</t>
        </is>
      </c>
      <c r="B298" s="1" t="n">
        <v>44424.38577546296</v>
      </c>
      <c r="C298" s="1" t="n">
        <v>45982</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55296-2022</t>
        </is>
      </c>
      <c r="B299" s="1" t="n">
        <v>44887</v>
      </c>
      <c r="C299" s="1" t="n">
        <v>45982</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9932-2023</t>
        </is>
      </c>
      <c r="B300" s="1" t="n">
        <v>44985.46709490741</v>
      </c>
      <c r="C300" s="1" t="n">
        <v>45982</v>
      </c>
      <c r="D300" t="inlineStr">
        <is>
          <t>SÖDERMANLANDS LÄN</t>
        </is>
      </c>
      <c r="E300" t="inlineStr">
        <is>
          <t>KATRINEHOLM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42590-2022</t>
        </is>
      </c>
      <c r="B301" s="1" t="n">
        <v>44831</v>
      </c>
      <c r="C301" s="1" t="n">
        <v>45982</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24600-2025</t>
        </is>
      </c>
      <c r="B302" s="1" t="n">
        <v>45798.56348379629</v>
      </c>
      <c r="C302" s="1" t="n">
        <v>45982</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17360-2022</t>
        </is>
      </c>
      <c r="B303" s="1" t="n">
        <v>44678</v>
      </c>
      <c r="C303" s="1" t="n">
        <v>45982</v>
      </c>
      <c r="D303" t="inlineStr">
        <is>
          <t>SÖDERMANLANDS LÄN</t>
        </is>
      </c>
      <c r="E303" t="inlineStr">
        <is>
          <t>KATRINEHOLM</t>
        </is>
      </c>
      <c r="G303" t="n">
        <v>4.5</v>
      </c>
      <c r="H303" t="n">
        <v>0</v>
      </c>
      <c r="I303" t="n">
        <v>0</v>
      </c>
      <c r="J303" t="n">
        <v>0</v>
      </c>
      <c r="K303" t="n">
        <v>0</v>
      </c>
      <c r="L303" t="n">
        <v>0</v>
      </c>
      <c r="M303" t="n">
        <v>0</v>
      </c>
      <c r="N303" t="n">
        <v>0</v>
      </c>
      <c r="O303" t="n">
        <v>0</v>
      </c>
      <c r="P303" t="n">
        <v>0</v>
      </c>
      <c r="Q303" t="n">
        <v>0</v>
      </c>
      <c r="R303" s="2" t="inlineStr"/>
    </row>
    <row r="304" ht="15" customHeight="1">
      <c r="A304" t="inlineStr">
        <is>
          <t>A 48520-2023</t>
        </is>
      </c>
      <c r="B304" s="1" t="n">
        <v>45208</v>
      </c>
      <c r="C304" s="1" t="n">
        <v>45982</v>
      </c>
      <c r="D304" t="inlineStr">
        <is>
          <t>SÖDERMANLANDS LÄN</t>
        </is>
      </c>
      <c r="E304" t="inlineStr">
        <is>
          <t>KATRINEHOLM</t>
        </is>
      </c>
      <c r="G304" t="n">
        <v>1</v>
      </c>
      <c r="H304" t="n">
        <v>0</v>
      </c>
      <c r="I304" t="n">
        <v>0</v>
      </c>
      <c r="J304" t="n">
        <v>0</v>
      </c>
      <c r="K304" t="n">
        <v>0</v>
      </c>
      <c r="L304" t="n">
        <v>0</v>
      </c>
      <c r="M304" t="n">
        <v>0</v>
      </c>
      <c r="N304" t="n">
        <v>0</v>
      </c>
      <c r="O304" t="n">
        <v>0</v>
      </c>
      <c r="P304" t="n">
        <v>0</v>
      </c>
      <c r="Q304" t="n">
        <v>0</v>
      </c>
      <c r="R304" s="2" t="inlineStr"/>
    </row>
    <row r="305" ht="15" customHeight="1">
      <c r="A305" t="inlineStr">
        <is>
          <t>A 9693-2024</t>
        </is>
      </c>
      <c r="B305" s="1" t="n">
        <v>45362</v>
      </c>
      <c r="C305" s="1" t="n">
        <v>45982</v>
      </c>
      <c r="D305" t="inlineStr">
        <is>
          <t>SÖDERMANLANDS LÄN</t>
        </is>
      </c>
      <c r="E305" t="inlineStr">
        <is>
          <t>KATRINEHOLM</t>
        </is>
      </c>
      <c r="G305" t="n">
        <v>5.9</v>
      </c>
      <c r="H305" t="n">
        <v>0</v>
      </c>
      <c r="I305" t="n">
        <v>0</v>
      </c>
      <c r="J305" t="n">
        <v>0</v>
      </c>
      <c r="K305" t="n">
        <v>0</v>
      </c>
      <c r="L305" t="n">
        <v>0</v>
      </c>
      <c r="M305" t="n">
        <v>0</v>
      </c>
      <c r="N305" t="n">
        <v>0</v>
      </c>
      <c r="O305" t="n">
        <v>0</v>
      </c>
      <c r="P305" t="n">
        <v>0</v>
      </c>
      <c r="Q305" t="n">
        <v>0</v>
      </c>
      <c r="R305" s="2" t="inlineStr"/>
    </row>
    <row r="306" ht="15" customHeight="1">
      <c r="A306" t="inlineStr">
        <is>
          <t>A 32818-2023</t>
        </is>
      </c>
      <c r="B306" s="1" t="n">
        <v>45124.55633101852</v>
      </c>
      <c r="C306" s="1" t="n">
        <v>45982</v>
      </c>
      <c r="D306" t="inlineStr">
        <is>
          <t>SÖDERMANLANDS LÄN</t>
        </is>
      </c>
      <c r="E306" t="inlineStr">
        <is>
          <t>KATRINEHOLM</t>
        </is>
      </c>
      <c r="G306" t="n">
        <v>3.4</v>
      </c>
      <c r="H306" t="n">
        <v>0</v>
      </c>
      <c r="I306" t="n">
        <v>0</v>
      </c>
      <c r="J306" t="n">
        <v>0</v>
      </c>
      <c r="K306" t="n">
        <v>0</v>
      </c>
      <c r="L306" t="n">
        <v>0</v>
      </c>
      <c r="M306" t="n">
        <v>0</v>
      </c>
      <c r="N306" t="n">
        <v>0</v>
      </c>
      <c r="O306" t="n">
        <v>0</v>
      </c>
      <c r="P306" t="n">
        <v>0</v>
      </c>
      <c r="Q306" t="n">
        <v>0</v>
      </c>
      <c r="R306" s="2" t="inlineStr"/>
    </row>
    <row r="307" ht="15" customHeight="1">
      <c r="A307" t="inlineStr">
        <is>
          <t>A 42474-2025</t>
        </is>
      </c>
      <c r="B307" s="1" t="n">
        <v>45905.46659722222</v>
      </c>
      <c r="C307" s="1" t="n">
        <v>45982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35608-2024</t>
        </is>
      </c>
      <c r="B308" s="1" t="n">
        <v>45531</v>
      </c>
      <c r="C308" s="1" t="n">
        <v>45982</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50934-2025</t>
        </is>
      </c>
      <c r="B309" s="1" t="n">
        <v>45946.69195601852</v>
      </c>
      <c r="C309" s="1" t="n">
        <v>45982</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35864-2023</t>
        </is>
      </c>
      <c r="B310" s="1" t="n">
        <v>45147</v>
      </c>
      <c r="C310" s="1" t="n">
        <v>45982</v>
      </c>
      <c r="D310" t="inlineStr">
        <is>
          <t>SÖDERMANLANDS LÄN</t>
        </is>
      </c>
      <c r="E310" t="inlineStr">
        <is>
          <t>KATRINEHOLM</t>
        </is>
      </c>
      <c r="F310" t="inlineStr">
        <is>
          <t>Övriga Aktiebolag</t>
        </is>
      </c>
      <c r="G310" t="n">
        <v>4.7</v>
      </c>
      <c r="H310" t="n">
        <v>0</v>
      </c>
      <c r="I310" t="n">
        <v>0</v>
      </c>
      <c r="J310" t="n">
        <v>0</v>
      </c>
      <c r="K310" t="n">
        <v>0</v>
      </c>
      <c r="L310" t="n">
        <v>0</v>
      </c>
      <c r="M310" t="n">
        <v>0</v>
      </c>
      <c r="N310" t="n">
        <v>0</v>
      </c>
      <c r="O310" t="n">
        <v>0</v>
      </c>
      <c r="P310" t="n">
        <v>0</v>
      </c>
      <c r="Q310" t="n">
        <v>0</v>
      </c>
      <c r="R310" s="2" t="inlineStr"/>
    </row>
    <row r="311" ht="15" customHeight="1">
      <c r="A311" t="inlineStr">
        <is>
          <t>A 12633-2022</t>
        </is>
      </c>
      <c r="B311" s="1" t="n">
        <v>44638</v>
      </c>
      <c r="C311" s="1" t="n">
        <v>45982</v>
      </c>
      <c r="D311" t="inlineStr">
        <is>
          <t>SÖDERMANLANDS LÄN</t>
        </is>
      </c>
      <c r="E311" t="inlineStr">
        <is>
          <t>KATRINEHOLM</t>
        </is>
      </c>
      <c r="G311" t="n">
        <v>6.4</v>
      </c>
      <c r="H311" t="n">
        <v>0</v>
      </c>
      <c r="I311" t="n">
        <v>0</v>
      </c>
      <c r="J311" t="n">
        <v>0</v>
      </c>
      <c r="K311" t="n">
        <v>0</v>
      </c>
      <c r="L311" t="n">
        <v>0</v>
      </c>
      <c r="M311" t="n">
        <v>0</v>
      </c>
      <c r="N311" t="n">
        <v>0</v>
      </c>
      <c r="O311" t="n">
        <v>0</v>
      </c>
      <c r="P311" t="n">
        <v>0</v>
      </c>
      <c r="Q311" t="n">
        <v>0</v>
      </c>
      <c r="R311" s="2" t="inlineStr"/>
    </row>
    <row r="312" ht="15" customHeight="1">
      <c r="A312" t="inlineStr">
        <is>
          <t>A 51367-2025</t>
        </is>
      </c>
      <c r="B312" s="1" t="n">
        <v>45950.44700231482</v>
      </c>
      <c r="C312" s="1" t="n">
        <v>45982</v>
      </c>
      <c r="D312" t="inlineStr">
        <is>
          <t>SÖDERMANLANDS LÄN</t>
        </is>
      </c>
      <c r="E312" t="inlineStr">
        <is>
          <t>KATRINEHOLM</t>
        </is>
      </c>
      <c r="G312" t="n">
        <v>2.7</v>
      </c>
      <c r="H312" t="n">
        <v>0</v>
      </c>
      <c r="I312" t="n">
        <v>0</v>
      </c>
      <c r="J312" t="n">
        <v>0</v>
      </c>
      <c r="K312" t="n">
        <v>0</v>
      </c>
      <c r="L312" t="n">
        <v>0</v>
      </c>
      <c r="M312" t="n">
        <v>0</v>
      </c>
      <c r="N312" t="n">
        <v>0</v>
      </c>
      <c r="O312" t="n">
        <v>0</v>
      </c>
      <c r="P312" t="n">
        <v>0</v>
      </c>
      <c r="Q312" t="n">
        <v>0</v>
      </c>
      <c r="R312" s="2" t="inlineStr"/>
    </row>
    <row r="313" ht="15" customHeight="1">
      <c r="A313" t="inlineStr">
        <is>
          <t>A 42799-2025</t>
        </is>
      </c>
      <c r="B313" s="1" t="n">
        <v>45907</v>
      </c>
      <c r="C313" s="1" t="n">
        <v>45982</v>
      </c>
      <c r="D313" t="inlineStr">
        <is>
          <t>SÖDERMANLANDS LÄN</t>
        </is>
      </c>
      <c r="E313" t="inlineStr">
        <is>
          <t>KATRINEHOLM</t>
        </is>
      </c>
      <c r="G313" t="n">
        <v>3.9</v>
      </c>
      <c r="H313" t="n">
        <v>0</v>
      </c>
      <c r="I313" t="n">
        <v>0</v>
      </c>
      <c r="J313" t="n">
        <v>0</v>
      </c>
      <c r="K313" t="n">
        <v>0</v>
      </c>
      <c r="L313" t="n">
        <v>0</v>
      </c>
      <c r="M313" t="n">
        <v>0</v>
      </c>
      <c r="N313" t="n">
        <v>0</v>
      </c>
      <c r="O313" t="n">
        <v>0</v>
      </c>
      <c r="P313" t="n">
        <v>0</v>
      </c>
      <c r="Q313" t="n">
        <v>0</v>
      </c>
      <c r="R313" s="2" t="inlineStr"/>
    </row>
    <row r="314" ht="15" customHeight="1">
      <c r="A314" t="inlineStr">
        <is>
          <t>A 6810-2023</t>
        </is>
      </c>
      <c r="B314" s="1" t="n">
        <v>44964</v>
      </c>
      <c r="C314" s="1" t="n">
        <v>45982</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11635-2023</t>
        </is>
      </c>
      <c r="B315" s="1" t="n">
        <v>44994</v>
      </c>
      <c r="C315" s="1" t="n">
        <v>45982</v>
      </c>
      <c r="D315" t="inlineStr">
        <is>
          <t>SÖDERMANLANDS LÄN</t>
        </is>
      </c>
      <c r="E315" t="inlineStr">
        <is>
          <t>KATRINEHOLM</t>
        </is>
      </c>
      <c r="G315" t="n">
        <v>4.3</v>
      </c>
      <c r="H315" t="n">
        <v>0</v>
      </c>
      <c r="I315" t="n">
        <v>0</v>
      </c>
      <c r="J315" t="n">
        <v>0</v>
      </c>
      <c r="K315" t="n">
        <v>0</v>
      </c>
      <c r="L315" t="n">
        <v>0</v>
      </c>
      <c r="M315" t="n">
        <v>0</v>
      </c>
      <c r="N315" t="n">
        <v>0</v>
      </c>
      <c r="O315" t="n">
        <v>0</v>
      </c>
      <c r="P315" t="n">
        <v>0</v>
      </c>
      <c r="Q315" t="n">
        <v>0</v>
      </c>
      <c r="R315" s="2" t="inlineStr"/>
    </row>
    <row r="316" ht="15" customHeight="1">
      <c r="A316" t="inlineStr">
        <is>
          <t>A 34732-2022</t>
        </is>
      </c>
      <c r="B316" s="1" t="n">
        <v>44795</v>
      </c>
      <c r="C316" s="1" t="n">
        <v>45982</v>
      </c>
      <c r="D316" t="inlineStr">
        <is>
          <t>SÖDERMANLANDS LÄN</t>
        </is>
      </c>
      <c r="E316" t="inlineStr">
        <is>
          <t>KATRINEHOLM</t>
        </is>
      </c>
      <c r="G316" t="n">
        <v>3</v>
      </c>
      <c r="H316" t="n">
        <v>0</v>
      </c>
      <c r="I316" t="n">
        <v>0</v>
      </c>
      <c r="J316" t="n">
        <v>0</v>
      </c>
      <c r="K316" t="n">
        <v>0</v>
      </c>
      <c r="L316" t="n">
        <v>0</v>
      </c>
      <c r="M316" t="n">
        <v>0</v>
      </c>
      <c r="N316" t="n">
        <v>0</v>
      </c>
      <c r="O316" t="n">
        <v>0</v>
      </c>
      <c r="P316" t="n">
        <v>0</v>
      </c>
      <c r="Q316" t="n">
        <v>0</v>
      </c>
      <c r="R316" s="2" t="inlineStr"/>
    </row>
    <row r="317" ht="15" customHeight="1">
      <c r="A317" t="inlineStr">
        <is>
          <t>A 51774-2025</t>
        </is>
      </c>
      <c r="B317" s="1" t="n">
        <v>45951.65359953704</v>
      </c>
      <c r="C317" s="1" t="n">
        <v>45982</v>
      </c>
      <c r="D317" t="inlineStr">
        <is>
          <t>SÖDERMANLANDS LÄN</t>
        </is>
      </c>
      <c r="E317" t="inlineStr">
        <is>
          <t>KATRINEHOLM</t>
        </is>
      </c>
      <c r="F317" t="inlineStr">
        <is>
          <t>Allmännings- och besparingsskogar</t>
        </is>
      </c>
      <c r="G317" t="n">
        <v>3.7</v>
      </c>
      <c r="H317" t="n">
        <v>0</v>
      </c>
      <c r="I317" t="n">
        <v>0</v>
      </c>
      <c r="J317" t="n">
        <v>0</v>
      </c>
      <c r="K317" t="n">
        <v>0</v>
      </c>
      <c r="L317" t="n">
        <v>0</v>
      </c>
      <c r="M317" t="n">
        <v>0</v>
      </c>
      <c r="N317" t="n">
        <v>0</v>
      </c>
      <c r="O317" t="n">
        <v>0</v>
      </c>
      <c r="P317" t="n">
        <v>0</v>
      </c>
      <c r="Q317" t="n">
        <v>0</v>
      </c>
      <c r="R317" s="2" t="inlineStr"/>
    </row>
    <row r="318" ht="15" customHeight="1">
      <c r="A318" t="inlineStr">
        <is>
          <t>A 51783-2025</t>
        </is>
      </c>
      <c r="B318" s="1" t="n">
        <v>45951.67546296296</v>
      </c>
      <c r="C318" s="1" t="n">
        <v>45982</v>
      </c>
      <c r="D318" t="inlineStr">
        <is>
          <t>SÖDERMANLANDS LÄN</t>
        </is>
      </c>
      <c r="E318" t="inlineStr">
        <is>
          <t>KATRINEHOLM</t>
        </is>
      </c>
      <c r="F318" t="inlineStr">
        <is>
          <t>Allmännings- och besparingsskogar</t>
        </is>
      </c>
      <c r="G318" t="n">
        <v>5.8</v>
      </c>
      <c r="H318" t="n">
        <v>0</v>
      </c>
      <c r="I318" t="n">
        <v>0</v>
      </c>
      <c r="J318" t="n">
        <v>0</v>
      </c>
      <c r="K318" t="n">
        <v>0</v>
      </c>
      <c r="L318" t="n">
        <v>0</v>
      </c>
      <c r="M318" t="n">
        <v>0</v>
      </c>
      <c r="N318" t="n">
        <v>0</v>
      </c>
      <c r="O318" t="n">
        <v>0</v>
      </c>
      <c r="P318" t="n">
        <v>0</v>
      </c>
      <c r="Q318" t="n">
        <v>0</v>
      </c>
      <c r="R318" s="2" t="inlineStr"/>
    </row>
    <row r="319" ht="15" customHeight="1">
      <c r="A319" t="inlineStr">
        <is>
          <t>A 51780-2025</t>
        </is>
      </c>
      <c r="B319" s="1" t="n">
        <v>45951.65725694445</v>
      </c>
      <c r="C319" s="1" t="n">
        <v>45982</v>
      </c>
      <c r="D319" t="inlineStr">
        <is>
          <t>SÖDERMANLANDS LÄN</t>
        </is>
      </c>
      <c r="E319" t="inlineStr">
        <is>
          <t>KATRINEHOLM</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3982-2024</t>
        </is>
      </c>
      <c r="B320" s="1" t="n">
        <v>45322</v>
      </c>
      <c r="C320" s="1" t="n">
        <v>45982</v>
      </c>
      <c r="D320" t="inlineStr">
        <is>
          <t>SÖDERMANLANDS LÄN</t>
        </is>
      </c>
      <c r="E320" t="inlineStr">
        <is>
          <t>KATRINEHOLM</t>
        </is>
      </c>
      <c r="G320" t="n">
        <v>3.7</v>
      </c>
      <c r="H320" t="n">
        <v>0</v>
      </c>
      <c r="I320" t="n">
        <v>0</v>
      </c>
      <c r="J320" t="n">
        <v>0</v>
      </c>
      <c r="K320" t="n">
        <v>0</v>
      </c>
      <c r="L320" t="n">
        <v>0</v>
      </c>
      <c r="M320" t="n">
        <v>0</v>
      </c>
      <c r="N320" t="n">
        <v>0</v>
      </c>
      <c r="O320" t="n">
        <v>0</v>
      </c>
      <c r="P320" t="n">
        <v>0</v>
      </c>
      <c r="Q320" t="n">
        <v>0</v>
      </c>
      <c r="R320" s="2" t="inlineStr"/>
    </row>
    <row r="321" ht="15" customHeight="1">
      <c r="A321" t="inlineStr">
        <is>
          <t>A 29189-2025</t>
        </is>
      </c>
      <c r="B321" s="1" t="n">
        <v>45822</v>
      </c>
      <c r="C321" s="1" t="n">
        <v>45982</v>
      </c>
      <c r="D321" t="inlineStr">
        <is>
          <t>SÖDERMANLANDS LÄN</t>
        </is>
      </c>
      <c r="E321" t="inlineStr">
        <is>
          <t>KATRINEHOLM</t>
        </is>
      </c>
      <c r="G321" t="n">
        <v>3.5</v>
      </c>
      <c r="H321" t="n">
        <v>0</v>
      </c>
      <c r="I321" t="n">
        <v>0</v>
      </c>
      <c r="J321" t="n">
        <v>0</v>
      </c>
      <c r="K321" t="n">
        <v>0</v>
      </c>
      <c r="L321" t="n">
        <v>0</v>
      </c>
      <c r="M321" t="n">
        <v>0</v>
      </c>
      <c r="N321" t="n">
        <v>0</v>
      </c>
      <c r="O321" t="n">
        <v>0</v>
      </c>
      <c r="P321" t="n">
        <v>0</v>
      </c>
      <c r="Q321" t="n">
        <v>0</v>
      </c>
      <c r="R321" s="2" t="inlineStr"/>
    </row>
    <row r="322" ht="15" customHeight="1">
      <c r="A322" t="inlineStr">
        <is>
          <t>A 13086-2023</t>
        </is>
      </c>
      <c r="B322" s="1" t="n">
        <v>45002.42188657408</v>
      </c>
      <c r="C322" s="1" t="n">
        <v>45982</v>
      </c>
      <c r="D322" t="inlineStr">
        <is>
          <t>SÖDERMANLANDS LÄN</t>
        </is>
      </c>
      <c r="E322" t="inlineStr">
        <is>
          <t>KATRINEHOLM</t>
        </is>
      </c>
      <c r="G322" t="n">
        <v>2.2</v>
      </c>
      <c r="H322" t="n">
        <v>0</v>
      </c>
      <c r="I322" t="n">
        <v>0</v>
      </c>
      <c r="J322" t="n">
        <v>0</v>
      </c>
      <c r="K322" t="n">
        <v>0</v>
      </c>
      <c r="L322" t="n">
        <v>0</v>
      </c>
      <c r="M322" t="n">
        <v>0</v>
      </c>
      <c r="N322" t="n">
        <v>0</v>
      </c>
      <c r="O322" t="n">
        <v>0</v>
      </c>
      <c r="P322" t="n">
        <v>0</v>
      </c>
      <c r="Q322" t="n">
        <v>0</v>
      </c>
      <c r="R322" s="2" t="inlineStr"/>
    </row>
    <row r="323" ht="15" customHeight="1">
      <c r="A323" t="inlineStr">
        <is>
          <t>A 17820-2025</t>
        </is>
      </c>
      <c r="B323" s="1" t="n">
        <v>45758</v>
      </c>
      <c r="C323" s="1" t="n">
        <v>45982</v>
      </c>
      <c r="D323" t="inlineStr">
        <is>
          <t>SÖDERMANLANDS LÄN</t>
        </is>
      </c>
      <c r="E323" t="inlineStr">
        <is>
          <t>KATRINEHOLM</t>
        </is>
      </c>
      <c r="G323" t="n">
        <v>5.9</v>
      </c>
      <c r="H323" t="n">
        <v>0</v>
      </c>
      <c r="I323" t="n">
        <v>0</v>
      </c>
      <c r="J323" t="n">
        <v>0</v>
      </c>
      <c r="K323" t="n">
        <v>0</v>
      </c>
      <c r="L323" t="n">
        <v>0</v>
      </c>
      <c r="M323" t="n">
        <v>0</v>
      </c>
      <c r="N323" t="n">
        <v>0</v>
      </c>
      <c r="O323" t="n">
        <v>0</v>
      </c>
      <c r="P323" t="n">
        <v>0</v>
      </c>
      <c r="Q323" t="n">
        <v>0</v>
      </c>
      <c r="R323" s="2" t="inlineStr"/>
    </row>
    <row r="324" ht="15" customHeight="1">
      <c r="A324" t="inlineStr">
        <is>
          <t>A 42686-2025</t>
        </is>
      </c>
      <c r="B324" s="1" t="n">
        <v>45908.35550925926</v>
      </c>
      <c r="C324" s="1" t="n">
        <v>45982</v>
      </c>
      <c r="D324" t="inlineStr">
        <is>
          <t>SÖDERMANLANDS LÄN</t>
        </is>
      </c>
      <c r="E324" t="inlineStr">
        <is>
          <t>KATRINEHOLM</t>
        </is>
      </c>
      <c r="G324" t="n">
        <v>0.9</v>
      </c>
      <c r="H324" t="n">
        <v>0</v>
      </c>
      <c r="I324" t="n">
        <v>0</v>
      </c>
      <c r="J324" t="n">
        <v>0</v>
      </c>
      <c r="K324" t="n">
        <v>0</v>
      </c>
      <c r="L324" t="n">
        <v>0</v>
      </c>
      <c r="M324" t="n">
        <v>0</v>
      </c>
      <c r="N324" t="n">
        <v>0</v>
      </c>
      <c r="O324" t="n">
        <v>0</v>
      </c>
      <c r="P324" t="n">
        <v>0</v>
      </c>
      <c r="Q324" t="n">
        <v>0</v>
      </c>
      <c r="R324" s="2" t="inlineStr"/>
    </row>
    <row r="325" ht="15" customHeight="1">
      <c r="A325" t="inlineStr">
        <is>
          <t>A 57154-2023</t>
        </is>
      </c>
      <c r="B325" s="1" t="n">
        <v>45245</v>
      </c>
      <c r="C325" s="1" t="n">
        <v>45982</v>
      </c>
      <c r="D325" t="inlineStr">
        <is>
          <t>SÖDERMANLANDS LÄN</t>
        </is>
      </c>
      <c r="E325" t="inlineStr">
        <is>
          <t>KATRINEHOLM</t>
        </is>
      </c>
      <c r="F325" t="inlineStr">
        <is>
          <t>Allmännings- och besparingsskogar</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30287-2025</t>
        </is>
      </c>
      <c r="B326" s="1" t="n">
        <v>45827</v>
      </c>
      <c r="C326" s="1" t="n">
        <v>45982</v>
      </c>
      <c r="D326" t="inlineStr">
        <is>
          <t>SÖDERMANLANDS LÄN</t>
        </is>
      </c>
      <c r="E326" t="inlineStr">
        <is>
          <t>KATRINEHOLM</t>
        </is>
      </c>
      <c r="G326" t="n">
        <v>10.2</v>
      </c>
      <c r="H326" t="n">
        <v>0</v>
      </c>
      <c r="I326" t="n">
        <v>0</v>
      </c>
      <c r="J326" t="n">
        <v>0</v>
      </c>
      <c r="K326" t="n">
        <v>0</v>
      </c>
      <c r="L326" t="n">
        <v>0</v>
      </c>
      <c r="M326" t="n">
        <v>0</v>
      </c>
      <c r="N326" t="n">
        <v>0</v>
      </c>
      <c r="O326" t="n">
        <v>0</v>
      </c>
      <c r="P326" t="n">
        <v>0</v>
      </c>
      <c r="Q326" t="n">
        <v>0</v>
      </c>
      <c r="R326" s="2" t="inlineStr"/>
    </row>
    <row r="327" ht="15" customHeight="1">
      <c r="A327" t="inlineStr">
        <is>
          <t>A 30352-2025</t>
        </is>
      </c>
      <c r="B327" s="1" t="n">
        <v>45827</v>
      </c>
      <c r="C327" s="1" t="n">
        <v>45982</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30050-2025</t>
        </is>
      </c>
      <c r="B328" s="1" t="n">
        <v>45826.59151620371</v>
      </c>
      <c r="C328" s="1" t="n">
        <v>45982</v>
      </c>
      <c r="D328" t="inlineStr">
        <is>
          <t>SÖDERMANLANDS LÄN</t>
        </is>
      </c>
      <c r="E328" t="inlineStr">
        <is>
          <t>KATRINEHOLM</t>
        </is>
      </c>
      <c r="G328" t="n">
        <v>7.9</v>
      </c>
      <c r="H328" t="n">
        <v>0</v>
      </c>
      <c r="I328" t="n">
        <v>0</v>
      </c>
      <c r="J328" t="n">
        <v>0</v>
      </c>
      <c r="K328" t="n">
        <v>0</v>
      </c>
      <c r="L328" t="n">
        <v>0</v>
      </c>
      <c r="M328" t="n">
        <v>0</v>
      </c>
      <c r="N328" t="n">
        <v>0</v>
      </c>
      <c r="O328" t="n">
        <v>0</v>
      </c>
      <c r="P328" t="n">
        <v>0</v>
      </c>
      <c r="Q328" t="n">
        <v>0</v>
      </c>
      <c r="R328" s="2" t="inlineStr"/>
    </row>
    <row r="329" ht="15" customHeight="1">
      <c r="A329" t="inlineStr">
        <is>
          <t>A 52239-2025</t>
        </is>
      </c>
      <c r="B329" s="1" t="n">
        <v>45953.46193287037</v>
      </c>
      <c r="C329" s="1" t="n">
        <v>45982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30350-2025</t>
        </is>
      </c>
      <c r="B330" s="1" t="n">
        <v>45827.53319444445</v>
      </c>
      <c r="C330" s="1" t="n">
        <v>45982</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30386-2025</t>
        </is>
      </c>
      <c r="B331" s="1" t="n">
        <v>45827</v>
      </c>
      <c r="C331" s="1" t="n">
        <v>45982</v>
      </c>
      <c r="D331" t="inlineStr">
        <is>
          <t>SÖDERMANLANDS LÄN</t>
        </is>
      </c>
      <c r="E331" t="inlineStr">
        <is>
          <t>KATRINEHOLM</t>
        </is>
      </c>
      <c r="G331" t="n">
        <v>5.6</v>
      </c>
      <c r="H331" t="n">
        <v>0</v>
      </c>
      <c r="I331" t="n">
        <v>0</v>
      </c>
      <c r="J331" t="n">
        <v>0</v>
      </c>
      <c r="K331" t="n">
        <v>0</v>
      </c>
      <c r="L331" t="n">
        <v>0</v>
      </c>
      <c r="M331" t="n">
        <v>0</v>
      </c>
      <c r="N331" t="n">
        <v>0</v>
      </c>
      <c r="O331" t="n">
        <v>0</v>
      </c>
      <c r="P331" t="n">
        <v>0</v>
      </c>
      <c r="Q331" t="n">
        <v>0</v>
      </c>
      <c r="R331" s="2" t="inlineStr"/>
    </row>
    <row r="332" ht="15" customHeight="1">
      <c r="A332" t="inlineStr">
        <is>
          <t>A 30070-2025</t>
        </is>
      </c>
      <c r="B332" s="1" t="n">
        <v>45826.63324074074</v>
      </c>
      <c r="C332" s="1" t="n">
        <v>45982</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30242-2023</t>
        </is>
      </c>
      <c r="B333" s="1" t="n">
        <v>45099</v>
      </c>
      <c r="C333" s="1" t="n">
        <v>45982</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30402-2025</t>
        </is>
      </c>
      <c r="B334" s="1" t="n">
        <v>45827</v>
      </c>
      <c r="C334" s="1" t="n">
        <v>45982</v>
      </c>
      <c r="D334" t="inlineStr">
        <is>
          <t>SÖDERMANLANDS LÄN</t>
        </is>
      </c>
      <c r="E334" t="inlineStr">
        <is>
          <t>KATRINEHOLM</t>
        </is>
      </c>
      <c r="G334" t="n">
        <v>7.1</v>
      </c>
      <c r="H334" t="n">
        <v>0</v>
      </c>
      <c r="I334" t="n">
        <v>0</v>
      </c>
      <c r="J334" t="n">
        <v>0</v>
      </c>
      <c r="K334" t="n">
        <v>0</v>
      </c>
      <c r="L334" t="n">
        <v>0</v>
      </c>
      <c r="M334" t="n">
        <v>0</v>
      </c>
      <c r="N334" t="n">
        <v>0</v>
      </c>
      <c r="O334" t="n">
        <v>0</v>
      </c>
      <c r="P334" t="n">
        <v>0</v>
      </c>
      <c r="Q334" t="n">
        <v>0</v>
      </c>
      <c r="R334" s="2" t="inlineStr"/>
    </row>
    <row r="335" ht="15" customHeight="1">
      <c r="A335" t="inlineStr">
        <is>
          <t>A 57265-2022</t>
        </is>
      </c>
      <c r="B335" s="1" t="n">
        <v>44895</v>
      </c>
      <c r="C335" s="1" t="n">
        <v>45982</v>
      </c>
      <c r="D335" t="inlineStr">
        <is>
          <t>SÖDERMANLANDS LÄN</t>
        </is>
      </c>
      <c r="E335" t="inlineStr">
        <is>
          <t>KATRINEHOLM</t>
        </is>
      </c>
      <c r="G335" t="n">
        <v>2</v>
      </c>
      <c r="H335" t="n">
        <v>0</v>
      </c>
      <c r="I335" t="n">
        <v>0</v>
      </c>
      <c r="J335" t="n">
        <v>0</v>
      </c>
      <c r="K335" t="n">
        <v>0</v>
      </c>
      <c r="L335" t="n">
        <v>0</v>
      </c>
      <c r="M335" t="n">
        <v>0</v>
      </c>
      <c r="N335" t="n">
        <v>0</v>
      </c>
      <c r="O335" t="n">
        <v>0</v>
      </c>
      <c r="P335" t="n">
        <v>0</v>
      </c>
      <c r="Q335" t="n">
        <v>0</v>
      </c>
      <c r="R335" s="2" t="inlineStr"/>
    </row>
    <row r="336" ht="15" customHeight="1">
      <c r="A336" t="inlineStr">
        <is>
          <t>A 52242-2025</t>
        </is>
      </c>
      <c r="B336" s="1" t="n">
        <v>45953.46886574074</v>
      </c>
      <c r="C336" s="1" t="n">
        <v>45982</v>
      </c>
      <c r="D336" t="inlineStr">
        <is>
          <t>SÖDERMANLANDS LÄN</t>
        </is>
      </c>
      <c r="E336" t="inlineStr">
        <is>
          <t>KATRINEHOLM</t>
        </is>
      </c>
      <c r="G336" t="n">
        <v>5.3</v>
      </c>
      <c r="H336" t="n">
        <v>0</v>
      </c>
      <c r="I336" t="n">
        <v>0</v>
      </c>
      <c r="J336" t="n">
        <v>0</v>
      </c>
      <c r="K336" t="n">
        <v>0</v>
      </c>
      <c r="L336" t="n">
        <v>0</v>
      </c>
      <c r="M336" t="n">
        <v>0</v>
      </c>
      <c r="N336" t="n">
        <v>0</v>
      </c>
      <c r="O336" t="n">
        <v>0</v>
      </c>
      <c r="P336" t="n">
        <v>0</v>
      </c>
      <c r="Q336" t="n">
        <v>0</v>
      </c>
      <c r="R336" s="2" t="inlineStr"/>
    </row>
    <row r="337" ht="15" customHeight="1">
      <c r="A337" t="inlineStr">
        <is>
          <t>A 6298-2024</t>
        </is>
      </c>
      <c r="B337" s="1" t="n">
        <v>45338.34245370371</v>
      </c>
      <c r="C337" s="1" t="n">
        <v>45982</v>
      </c>
      <c r="D337" t="inlineStr">
        <is>
          <t>SÖDERMANLANDS LÄN</t>
        </is>
      </c>
      <c r="E337" t="inlineStr">
        <is>
          <t>KATRINEHOLM</t>
        </is>
      </c>
      <c r="G337" t="n">
        <v>1.4</v>
      </c>
      <c r="H337" t="n">
        <v>0</v>
      </c>
      <c r="I337" t="n">
        <v>0</v>
      </c>
      <c r="J337" t="n">
        <v>0</v>
      </c>
      <c r="K337" t="n">
        <v>0</v>
      </c>
      <c r="L337" t="n">
        <v>0</v>
      </c>
      <c r="M337" t="n">
        <v>0</v>
      </c>
      <c r="N337" t="n">
        <v>0</v>
      </c>
      <c r="O337" t="n">
        <v>0</v>
      </c>
      <c r="P337" t="n">
        <v>0</v>
      </c>
      <c r="Q337" t="n">
        <v>0</v>
      </c>
      <c r="R337" s="2" t="inlineStr"/>
    </row>
    <row r="338" ht="15" customHeight="1">
      <c r="A338" t="inlineStr">
        <is>
          <t>A 52744-2025</t>
        </is>
      </c>
      <c r="B338" s="1" t="n">
        <v>45957.38387731482</v>
      </c>
      <c r="C338" s="1" t="n">
        <v>45982</v>
      </c>
      <c r="D338" t="inlineStr">
        <is>
          <t>SÖDERMANLANDS LÄN</t>
        </is>
      </c>
      <c r="E338" t="inlineStr">
        <is>
          <t>KATRINEHOLM</t>
        </is>
      </c>
      <c r="G338" t="n">
        <v>4</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45982</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45982</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31386-2025</t>
        </is>
      </c>
      <c r="B341" s="1" t="n">
        <v>45833.45259259259</v>
      </c>
      <c r="C341" s="1" t="n">
        <v>45982</v>
      </c>
      <c r="D341" t="inlineStr">
        <is>
          <t>SÖDERMANLANDS LÄN</t>
        </is>
      </c>
      <c r="E341" t="inlineStr">
        <is>
          <t>KATRINEHOLM</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48877-2022</t>
        </is>
      </c>
      <c r="B342" s="1" t="n">
        <v>44859</v>
      </c>
      <c r="C342" s="1" t="n">
        <v>45982</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43975-2025</t>
        </is>
      </c>
      <c r="B343" s="1" t="n">
        <v>45915.41148148148</v>
      </c>
      <c r="C343" s="1" t="n">
        <v>45982</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34539-2022</t>
        </is>
      </c>
      <c r="B344" s="1" t="n">
        <v>44793.50563657407</v>
      </c>
      <c r="C344" s="1" t="n">
        <v>45982</v>
      </c>
      <c r="D344" t="inlineStr">
        <is>
          <t>SÖDERMANLANDS LÄN</t>
        </is>
      </c>
      <c r="E344" t="inlineStr">
        <is>
          <t>KATRINEHOLM</t>
        </is>
      </c>
      <c r="G344" t="n">
        <v>1</v>
      </c>
      <c r="H344" t="n">
        <v>0</v>
      </c>
      <c r="I344" t="n">
        <v>0</v>
      </c>
      <c r="J344" t="n">
        <v>0</v>
      </c>
      <c r="K344" t="n">
        <v>0</v>
      </c>
      <c r="L344" t="n">
        <v>0</v>
      </c>
      <c r="M344" t="n">
        <v>0</v>
      </c>
      <c r="N344" t="n">
        <v>0</v>
      </c>
      <c r="O344" t="n">
        <v>0</v>
      </c>
      <c r="P344" t="n">
        <v>0</v>
      </c>
      <c r="Q344" t="n">
        <v>0</v>
      </c>
      <c r="R344" s="2" t="inlineStr"/>
    </row>
    <row r="345" ht="15" customHeight="1">
      <c r="A345" t="inlineStr">
        <is>
          <t>A 3115-2024</t>
        </is>
      </c>
      <c r="B345" s="1" t="n">
        <v>45316.49630787037</v>
      </c>
      <c r="C345" s="1" t="n">
        <v>45982</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23705-2023</t>
        </is>
      </c>
      <c r="B346" s="1" t="n">
        <v>45077</v>
      </c>
      <c r="C346" s="1" t="n">
        <v>45982</v>
      </c>
      <c r="D346" t="inlineStr">
        <is>
          <t>SÖDERMANLANDS LÄN</t>
        </is>
      </c>
      <c r="E346" t="inlineStr">
        <is>
          <t>KATRINEHOLM</t>
        </is>
      </c>
      <c r="F346" t="inlineStr">
        <is>
          <t>Kyrkan</t>
        </is>
      </c>
      <c r="G346" t="n">
        <v>11.9</v>
      </c>
      <c r="H346" t="n">
        <v>0</v>
      </c>
      <c r="I346" t="n">
        <v>0</v>
      </c>
      <c r="J346" t="n">
        <v>0</v>
      </c>
      <c r="K346" t="n">
        <v>0</v>
      </c>
      <c r="L346" t="n">
        <v>0</v>
      </c>
      <c r="M346" t="n">
        <v>0</v>
      </c>
      <c r="N346" t="n">
        <v>0</v>
      </c>
      <c r="O346" t="n">
        <v>0</v>
      </c>
      <c r="P346" t="n">
        <v>0</v>
      </c>
      <c r="Q346" t="n">
        <v>0</v>
      </c>
      <c r="R346" s="2" t="inlineStr"/>
    </row>
    <row r="347" ht="15" customHeight="1">
      <c r="A347" t="inlineStr">
        <is>
          <t>A 52769-2023</t>
        </is>
      </c>
      <c r="B347" s="1" t="n">
        <v>45226</v>
      </c>
      <c r="C347" s="1" t="n">
        <v>45982</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44071-2025</t>
        </is>
      </c>
      <c r="B348" s="1" t="n">
        <v>45915</v>
      </c>
      <c r="C348" s="1" t="n">
        <v>45982</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7223-2022</t>
        </is>
      </c>
      <c r="B349" s="1" t="n">
        <v>44603</v>
      </c>
      <c r="C349" s="1" t="n">
        <v>45982</v>
      </c>
      <c r="D349" t="inlineStr">
        <is>
          <t>SÖDERMANLANDS LÄN</t>
        </is>
      </c>
      <c r="E349" t="inlineStr">
        <is>
          <t>KATRINEHOLM</t>
        </is>
      </c>
      <c r="G349" t="n">
        <v>0.8</v>
      </c>
      <c r="H349" t="n">
        <v>0</v>
      </c>
      <c r="I349" t="n">
        <v>0</v>
      </c>
      <c r="J349" t="n">
        <v>0</v>
      </c>
      <c r="K349" t="n">
        <v>0</v>
      </c>
      <c r="L349" t="n">
        <v>0</v>
      </c>
      <c r="M349" t="n">
        <v>0</v>
      </c>
      <c r="N349" t="n">
        <v>0</v>
      </c>
      <c r="O349" t="n">
        <v>0</v>
      </c>
      <c r="P349" t="n">
        <v>0</v>
      </c>
      <c r="Q349" t="n">
        <v>0</v>
      </c>
      <c r="R349" s="2" t="inlineStr"/>
    </row>
    <row r="350" ht="15" customHeight="1">
      <c r="A350" t="inlineStr">
        <is>
          <t>A 31990-2025</t>
        </is>
      </c>
      <c r="B350" s="1" t="n">
        <v>45835.36697916667</v>
      </c>
      <c r="C350" s="1" t="n">
        <v>45982</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51446-2023</t>
        </is>
      </c>
      <c r="B351" s="1" t="n">
        <v>45220.48068287037</v>
      </c>
      <c r="C351" s="1" t="n">
        <v>45982</v>
      </c>
      <c r="D351" t="inlineStr">
        <is>
          <t>SÖDERMANLANDS LÄN</t>
        </is>
      </c>
      <c r="E351" t="inlineStr">
        <is>
          <t>KATRINEHOLM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28931-2024</t>
        </is>
      </c>
      <c r="B352" s="1" t="n">
        <v>45479</v>
      </c>
      <c r="C352" s="1" t="n">
        <v>45982</v>
      </c>
      <c r="D352" t="inlineStr">
        <is>
          <t>SÖDERMANLANDS LÄN</t>
        </is>
      </c>
      <c r="E352" t="inlineStr">
        <is>
          <t>KATRINEHOLM</t>
        </is>
      </c>
      <c r="G352" t="n">
        <v>7.4</v>
      </c>
      <c r="H352" t="n">
        <v>0</v>
      </c>
      <c r="I352" t="n">
        <v>0</v>
      </c>
      <c r="J352" t="n">
        <v>0</v>
      </c>
      <c r="K352" t="n">
        <v>0</v>
      </c>
      <c r="L352" t="n">
        <v>0</v>
      </c>
      <c r="M352" t="n">
        <v>0</v>
      </c>
      <c r="N352" t="n">
        <v>0</v>
      </c>
      <c r="O352" t="n">
        <v>0</v>
      </c>
      <c r="P352" t="n">
        <v>0</v>
      </c>
      <c r="Q352" t="n">
        <v>0</v>
      </c>
      <c r="R352" s="2" t="inlineStr"/>
    </row>
    <row r="353" ht="15" customHeight="1">
      <c r="A353" t="inlineStr">
        <is>
          <t>A 27646-2023</t>
        </is>
      </c>
      <c r="B353" s="1" t="n">
        <v>45097</v>
      </c>
      <c r="C353" s="1" t="n">
        <v>45982</v>
      </c>
      <c r="D353" t="inlineStr">
        <is>
          <t>SÖDERMANLANDS LÄN</t>
        </is>
      </c>
      <c r="E353" t="inlineStr">
        <is>
          <t>KATRINEHOLM</t>
        </is>
      </c>
      <c r="G353" t="n">
        <v>2.4</v>
      </c>
      <c r="H353" t="n">
        <v>0</v>
      </c>
      <c r="I353" t="n">
        <v>0</v>
      </c>
      <c r="J353" t="n">
        <v>0</v>
      </c>
      <c r="K353" t="n">
        <v>0</v>
      </c>
      <c r="L353" t="n">
        <v>0</v>
      </c>
      <c r="M353" t="n">
        <v>0</v>
      </c>
      <c r="N353" t="n">
        <v>0</v>
      </c>
      <c r="O353" t="n">
        <v>0</v>
      </c>
      <c r="P353" t="n">
        <v>0</v>
      </c>
      <c r="Q353" t="n">
        <v>0</v>
      </c>
      <c r="R353" s="2" t="inlineStr"/>
    </row>
    <row r="354" ht="15" customHeight="1">
      <c r="A354" t="inlineStr">
        <is>
          <t>A 50626-2024</t>
        </is>
      </c>
      <c r="B354" s="1" t="n">
        <v>45601</v>
      </c>
      <c r="C354" s="1" t="n">
        <v>45982</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35183-2022</t>
        </is>
      </c>
      <c r="B355" s="1" t="n">
        <v>44797</v>
      </c>
      <c r="C355" s="1" t="n">
        <v>45982</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33469-2025</t>
        </is>
      </c>
      <c r="B356" s="1" t="n">
        <v>45841.48686342593</v>
      </c>
      <c r="C356" s="1" t="n">
        <v>45982</v>
      </c>
      <c r="D356" t="inlineStr">
        <is>
          <t>SÖDERMANLANDS LÄN</t>
        </is>
      </c>
      <c r="E356" t="inlineStr">
        <is>
          <t>KATRINEHOLM</t>
        </is>
      </c>
      <c r="G356" t="n">
        <v>2.1</v>
      </c>
      <c r="H356" t="n">
        <v>0</v>
      </c>
      <c r="I356" t="n">
        <v>0</v>
      </c>
      <c r="J356" t="n">
        <v>0</v>
      </c>
      <c r="K356" t="n">
        <v>0</v>
      </c>
      <c r="L356" t="n">
        <v>0</v>
      </c>
      <c r="M356" t="n">
        <v>0</v>
      </c>
      <c r="N356" t="n">
        <v>0</v>
      </c>
      <c r="O356" t="n">
        <v>0</v>
      </c>
      <c r="P356" t="n">
        <v>0</v>
      </c>
      <c r="Q356" t="n">
        <v>0</v>
      </c>
      <c r="R356" s="2" t="inlineStr"/>
    </row>
    <row r="357" ht="15" customHeight="1">
      <c r="A357" t="inlineStr">
        <is>
          <t>A 33084-2025</t>
        </is>
      </c>
      <c r="B357" s="1" t="n">
        <v>45840.46559027778</v>
      </c>
      <c r="C357" s="1" t="n">
        <v>45982</v>
      </c>
      <c r="D357" t="inlineStr">
        <is>
          <t>SÖDERMANLANDS LÄN</t>
        </is>
      </c>
      <c r="E357" t="inlineStr">
        <is>
          <t>KATRINEHOLM</t>
        </is>
      </c>
      <c r="G357" t="n">
        <v>0.6</v>
      </c>
      <c r="H357" t="n">
        <v>0</v>
      </c>
      <c r="I357" t="n">
        <v>0</v>
      </c>
      <c r="J357" t="n">
        <v>0</v>
      </c>
      <c r="K357" t="n">
        <v>0</v>
      </c>
      <c r="L357" t="n">
        <v>0</v>
      </c>
      <c r="M357" t="n">
        <v>0</v>
      </c>
      <c r="N357" t="n">
        <v>0</v>
      </c>
      <c r="O357" t="n">
        <v>0</v>
      </c>
      <c r="P357" t="n">
        <v>0</v>
      </c>
      <c r="Q357" t="n">
        <v>0</v>
      </c>
      <c r="R357" s="2" t="inlineStr"/>
    </row>
    <row r="358" ht="15" customHeight="1">
      <c r="A358" t="inlineStr">
        <is>
          <t>A 33129-2025</t>
        </is>
      </c>
      <c r="B358" s="1" t="n">
        <v>45840.50141203704</v>
      </c>
      <c r="C358" s="1" t="n">
        <v>45982</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33577-2025</t>
        </is>
      </c>
      <c r="B359" s="1" t="n">
        <v>45841.59056712963</v>
      </c>
      <c r="C359" s="1" t="n">
        <v>45982</v>
      </c>
      <c r="D359" t="inlineStr">
        <is>
          <t>SÖDERMANLANDS LÄN</t>
        </is>
      </c>
      <c r="E359" t="inlineStr">
        <is>
          <t>KATRINEHOLM</t>
        </is>
      </c>
      <c r="F359" t="inlineStr">
        <is>
          <t>Holmen skog AB</t>
        </is>
      </c>
      <c r="G359" t="n">
        <v>0.3</v>
      </c>
      <c r="H359" t="n">
        <v>0</v>
      </c>
      <c r="I359" t="n">
        <v>0</v>
      </c>
      <c r="J359" t="n">
        <v>0</v>
      </c>
      <c r="K359" t="n">
        <v>0</v>
      </c>
      <c r="L359" t="n">
        <v>0</v>
      </c>
      <c r="M359" t="n">
        <v>0</v>
      </c>
      <c r="N359" t="n">
        <v>0</v>
      </c>
      <c r="O359" t="n">
        <v>0</v>
      </c>
      <c r="P359" t="n">
        <v>0</v>
      </c>
      <c r="Q359" t="n">
        <v>0</v>
      </c>
      <c r="R359" s="2" t="inlineStr"/>
    </row>
    <row r="360" ht="15" customHeight="1">
      <c r="A360" t="inlineStr">
        <is>
          <t>A 33077-2025</t>
        </is>
      </c>
      <c r="B360" s="1" t="n">
        <v>45840.45864583334</v>
      </c>
      <c r="C360" s="1" t="n">
        <v>45982</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12888-2025</t>
        </is>
      </c>
      <c r="B361" s="1" t="n">
        <v>45733</v>
      </c>
      <c r="C361" s="1" t="n">
        <v>45982</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33090-2025</t>
        </is>
      </c>
      <c r="B362" s="1" t="n">
        <v>45840.46840277778</v>
      </c>
      <c r="C362" s="1" t="n">
        <v>45982</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33096-2025</t>
        </is>
      </c>
      <c r="B363" s="1" t="n">
        <v>45840.47563657408</v>
      </c>
      <c r="C363" s="1" t="n">
        <v>45982</v>
      </c>
      <c r="D363" t="inlineStr">
        <is>
          <t>SÖDERMANLANDS LÄN</t>
        </is>
      </c>
      <c r="E363" t="inlineStr">
        <is>
          <t>KATRINEHOLM</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33101-2025</t>
        </is>
      </c>
      <c r="B364" s="1" t="n">
        <v>45840.47953703703</v>
      </c>
      <c r="C364" s="1" t="n">
        <v>45982</v>
      </c>
      <c r="D364" t="inlineStr">
        <is>
          <t>SÖDERMANLANDS LÄN</t>
        </is>
      </c>
      <c r="E364" t="inlineStr">
        <is>
          <t>KATRINEHOLM</t>
        </is>
      </c>
      <c r="G364" t="n">
        <v>4.4</v>
      </c>
      <c r="H364" t="n">
        <v>0</v>
      </c>
      <c r="I364" t="n">
        <v>0</v>
      </c>
      <c r="J364" t="n">
        <v>0</v>
      </c>
      <c r="K364" t="n">
        <v>0</v>
      </c>
      <c r="L364" t="n">
        <v>0</v>
      </c>
      <c r="M364" t="n">
        <v>0</v>
      </c>
      <c r="N364" t="n">
        <v>0</v>
      </c>
      <c r="O364" t="n">
        <v>0</v>
      </c>
      <c r="P364" t="n">
        <v>0</v>
      </c>
      <c r="Q364" t="n">
        <v>0</v>
      </c>
      <c r="R364" s="2" t="inlineStr"/>
    </row>
    <row r="365" ht="15" customHeight="1">
      <c r="A365" t="inlineStr">
        <is>
          <t>A 7197-2023</t>
        </is>
      </c>
      <c r="B365" s="1" t="n">
        <v>44965</v>
      </c>
      <c r="C365" s="1" t="n">
        <v>45982</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53338-2025</t>
        </is>
      </c>
      <c r="B366" s="1" t="n">
        <v>45959.40447916667</v>
      </c>
      <c r="C366" s="1" t="n">
        <v>45982</v>
      </c>
      <c r="D366" t="inlineStr">
        <is>
          <t>SÖDERMANLANDS LÄN</t>
        </is>
      </c>
      <c r="E366" t="inlineStr">
        <is>
          <t>KATRINEHOLM</t>
        </is>
      </c>
      <c r="G366" t="n">
        <v>2.9</v>
      </c>
      <c r="H366" t="n">
        <v>0</v>
      </c>
      <c r="I366" t="n">
        <v>0</v>
      </c>
      <c r="J366" t="n">
        <v>0</v>
      </c>
      <c r="K366" t="n">
        <v>0</v>
      </c>
      <c r="L366" t="n">
        <v>0</v>
      </c>
      <c r="M366" t="n">
        <v>0</v>
      </c>
      <c r="N366" t="n">
        <v>0</v>
      </c>
      <c r="O366" t="n">
        <v>0</v>
      </c>
      <c r="P366" t="n">
        <v>0</v>
      </c>
      <c r="Q366" t="n">
        <v>0</v>
      </c>
      <c r="R366" s="2" t="inlineStr"/>
    </row>
    <row r="367" ht="15" customHeight="1">
      <c r="A367" t="inlineStr">
        <is>
          <t>A 28394-2023</t>
        </is>
      </c>
      <c r="B367" s="1" t="n">
        <v>45100</v>
      </c>
      <c r="C367" s="1" t="n">
        <v>45982</v>
      </c>
      <c r="D367" t="inlineStr">
        <is>
          <t>SÖDERMANLANDS LÄN</t>
        </is>
      </c>
      <c r="E367" t="inlineStr">
        <is>
          <t>KATRINEHOLM</t>
        </is>
      </c>
      <c r="G367" t="n">
        <v>4.2</v>
      </c>
      <c r="H367" t="n">
        <v>0</v>
      </c>
      <c r="I367" t="n">
        <v>0</v>
      </c>
      <c r="J367" t="n">
        <v>0</v>
      </c>
      <c r="K367" t="n">
        <v>0</v>
      </c>
      <c r="L367" t="n">
        <v>0</v>
      </c>
      <c r="M367" t="n">
        <v>0</v>
      </c>
      <c r="N367" t="n">
        <v>0</v>
      </c>
      <c r="O367" t="n">
        <v>0</v>
      </c>
      <c r="P367" t="n">
        <v>0</v>
      </c>
      <c r="Q367" t="n">
        <v>0</v>
      </c>
      <c r="R367" s="2" t="inlineStr"/>
    </row>
    <row r="368" ht="15" customHeight="1">
      <c r="A368" t="inlineStr">
        <is>
          <t>A 33812-2025</t>
        </is>
      </c>
      <c r="B368" s="1" t="n">
        <v>45842</v>
      </c>
      <c r="C368" s="1" t="n">
        <v>45982</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25362-2023</t>
        </is>
      </c>
      <c r="B369" s="1" t="n">
        <v>45088.83430555555</v>
      </c>
      <c r="C369" s="1" t="n">
        <v>45982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47456-2022</t>
        </is>
      </c>
      <c r="B370" s="1" t="n">
        <v>44852</v>
      </c>
      <c r="C370" s="1" t="n">
        <v>45982</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6762-2025</t>
        </is>
      </c>
      <c r="B371" s="1" t="n">
        <v>45700</v>
      </c>
      <c r="C371" s="1" t="n">
        <v>45982</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row>
    <row r="372" ht="15" customHeight="1">
      <c r="A372" t="inlineStr">
        <is>
          <t>A 33815-2025</t>
        </is>
      </c>
      <c r="B372" s="1" t="n">
        <v>45842</v>
      </c>
      <c r="C372" s="1" t="n">
        <v>45982</v>
      </c>
      <c r="D372" t="inlineStr">
        <is>
          <t>SÖDERMANLANDS LÄN</t>
        </is>
      </c>
      <c r="E372" t="inlineStr">
        <is>
          <t>KATRINEHOLM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4656-2023</t>
        </is>
      </c>
      <c r="B373" s="1" t="n">
        <v>44957</v>
      </c>
      <c r="C373" s="1" t="n">
        <v>45982</v>
      </c>
      <c r="D373" t="inlineStr">
        <is>
          <t>SÖDERMANLANDS LÄN</t>
        </is>
      </c>
      <c r="E373" t="inlineStr">
        <is>
          <t>KATRINEHOLM</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49078-2024</t>
        </is>
      </c>
      <c r="B374" s="1" t="n">
        <v>45594.62556712963</v>
      </c>
      <c r="C374" s="1" t="n">
        <v>45982</v>
      </c>
      <c r="D374" t="inlineStr">
        <is>
          <t>SÖDERMANLANDS LÄN</t>
        </is>
      </c>
      <c r="E374" t="inlineStr">
        <is>
          <t>KATRINEHOLM</t>
        </is>
      </c>
      <c r="F374" t="inlineStr">
        <is>
          <t>Övriga Aktiebolag</t>
        </is>
      </c>
      <c r="G374" t="n">
        <v>0.4</v>
      </c>
      <c r="H374" t="n">
        <v>0</v>
      </c>
      <c r="I374" t="n">
        <v>0</v>
      </c>
      <c r="J374" t="n">
        <v>0</v>
      </c>
      <c r="K374" t="n">
        <v>0</v>
      </c>
      <c r="L374" t="n">
        <v>0</v>
      </c>
      <c r="M374" t="n">
        <v>0</v>
      </c>
      <c r="N374" t="n">
        <v>0</v>
      </c>
      <c r="O374" t="n">
        <v>0</v>
      </c>
      <c r="P374" t="n">
        <v>0</v>
      </c>
      <c r="Q374" t="n">
        <v>0</v>
      </c>
      <c r="R374" s="2" t="inlineStr"/>
    </row>
    <row r="375" ht="15" customHeight="1">
      <c r="A375" t="inlineStr">
        <is>
          <t>A 20213-2025</t>
        </is>
      </c>
      <c r="B375" s="1" t="n">
        <v>45772.63453703704</v>
      </c>
      <c r="C375" s="1" t="n">
        <v>45982</v>
      </c>
      <c r="D375" t="inlineStr">
        <is>
          <t>SÖDERMANLANDS LÄN</t>
        </is>
      </c>
      <c r="E375" t="inlineStr">
        <is>
          <t>KATRINEHOLM</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35188-2022</t>
        </is>
      </c>
      <c r="B376" s="1" t="n">
        <v>44797</v>
      </c>
      <c r="C376" s="1" t="n">
        <v>45982</v>
      </c>
      <c r="D376" t="inlineStr">
        <is>
          <t>SÖDERMANLANDS LÄN</t>
        </is>
      </c>
      <c r="E376" t="inlineStr">
        <is>
          <t>KATRINEHOLM</t>
        </is>
      </c>
      <c r="G376" t="n">
        <v>3</v>
      </c>
      <c r="H376" t="n">
        <v>0</v>
      </c>
      <c r="I376" t="n">
        <v>0</v>
      </c>
      <c r="J376" t="n">
        <v>0</v>
      </c>
      <c r="K376" t="n">
        <v>0</v>
      </c>
      <c r="L376" t="n">
        <v>0</v>
      </c>
      <c r="M376" t="n">
        <v>0</v>
      </c>
      <c r="N376" t="n">
        <v>0</v>
      </c>
      <c r="O376" t="n">
        <v>0</v>
      </c>
      <c r="P376" t="n">
        <v>0</v>
      </c>
      <c r="Q376" t="n">
        <v>0</v>
      </c>
      <c r="R376" s="2" t="inlineStr"/>
    </row>
    <row r="377" ht="15" customHeight="1">
      <c r="A377" t="inlineStr">
        <is>
          <t>A 5327-2025</t>
        </is>
      </c>
      <c r="B377" s="1" t="n">
        <v>45692</v>
      </c>
      <c r="C377" s="1" t="n">
        <v>45982</v>
      </c>
      <c r="D377" t="inlineStr">
        <is>
          <t>SÖDERMANLANDS LÄN</t>
        </is>
      </c>
      <c r="E377" t="inlineStr">
        <is>
          <t>KATRINEHOLM</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54359-2025</t>
        </is>
      </c>
      <c r="B378" s="1" t="n">
        <v>45964</v>
      </c>
      <c r="C378" s="1" t="n">
        <v>45982</v>
      </c>
      <c r="D378" t="inlineStr">
        <is>
          <t>SÖDERMANLANDS LÄN</t>
        </is>
      </c>
      <c r="E378" t="inlineStr">
        <is>
          <t>KATRINEHOLM</t>
        </is>
      </c>
      <c r="G378" t="n">
        <v>2.5</v>
      </c>
      <c r="H378" t="n">
        <v>0</v>
      </c>
      <c r="I378" t="n">
        <v>0</v>
      </c>
      <c r="J378" t="n">
        <v>0</v>
      </c>
      <c r="K378" t="n">
        <v>0</v>
      </c>
      <c r="L378" t="n">
        <v>0</v>
      </c>
      <c r="M378" t="n">
        <v>0</v>
      </c>
      <c r="N378" t="n">
        <v>0</v>
      </c>
      <c r="O378" t="n">
        <v>0</v>
      </c>
      <c r="P378" t="n">
        <v>0</v>
      </c>
      <c r="Q378" t="n">
        <v>0</v>
      </c>
      <c r="R378" s="2" t="inlineStr"/>
    </row>
    <row r="379" ht="15" customHeight="1">
      <c r="A379" t="inlineStr">
        <is>
          <t>A 6175-2023</t>
        </is>
      </c>
      <c r="B379" s="1" t="n">
        <v>44964</v>
      </c>
      <c r="C379" s="1" t="n">
        <v>45982</v>
      </c>
      <c r="D379" t="inlineStr">
        <is>
          <t>SÖDERMANLANDS LÄN</t>
        </is>
      </c>
      <c r="E379" t="inlineStr">
        <is>
          <t>KATRINEHOLM</t>
        </is>
      </c>
      <c r="G379" t="n">
        <v>11.2</v>
      </c>
      <c r="H379" t="n">
        <v>0</v>
      </c>
      <c r="I379" t="n">
        <v>0</v>
      </c>
      <c r="J379" t="n">
        <v>0</v>
      </c>
      <c r="K379" t="n">
        <v>0</v>
      </c>
      <c r="L379" t="n">
        <v>0</v>
      </c>
      <c r="M379" t="n">
        <v>0</v>
      </c>
      <c r="N379" t="n">
        <v>0</v>
      </c>
      <c r="O379" t="n">
        <v>0</v>
      </c>
      <c r="P379" t="n">
        <v>0</v>
      </c>
      <c r="Q379" t="n">
        <v>0</v>
      </c>
      <c r="R379" s="2" t="inlineStr"/>
    </row>
    <row r="380" ht="15" customHeight="1">
      <c r="A380" t="inlineStr">
        <is>
          <t>A 4655-2024</t>
        </is>
      </c>
      <c r="B380" s="1" t="n">
        <v>45328</v>
      </c>
      <c r="C380" s="1" t="n">
        <v>45982</v>
      </c>
      <c r="D380" t="inlineStr">
        <is>
          <t>SÖDERMANLANDS LÄN</t>
        </is>
      </c>
      <c r="E380" t="inlineStr">
        <is>
          <t>KATRINEHOLM</t>
        </is>
      </c>
      <c r="G380" t="n">
        <v>17.7</v>
      </c>
      <c r="H380" t="n">
        <v>0</v>
      </c>
      <c r="I380" t="n">
        <v>0</v>
      </c>
      <c r="J380" t="n">
        <v>0</v>
      </c>
      <c r="K380" t="n">
        <v>0</v>
      </c>
      <c r="L380" t="n">
        <v>0</v>
      </c>
      <c r="M380" t="n">
        <v>0</v>
      </c>
      <c r="N380" t="n">
        <v>0</v>
      </c>
      <c r="O380" t="n">
        <v>0</v>
      </c>
      <c r="P380" t="n">
        <v>0</v>
      </c>
      <c r="Q380" t="n">
        <v>0</v>
      </c>
      <c r="R380" s="2" t="inlineStr"/>
    </row>
    <row r="381" ht="15" customHeight="1">
      <c r="A381" t="inlineStr">
        <is>
          <t>A 52244-2025</t>
        </is>
      </c>
      <c r="B381" s="1" t="n">
        <v>45953</v>
      </c>
      <c r="C381" s="1" t="n">
        <v>45982</v>
      </c>
      <c r="D381" t="inlineStr">
        <is>
          <t>SÖDERMANLANDS LÄN</t>
        </is>
      </c>
      <c r="E381" t="inlineStr">
        <is>
          <t>KATRINEHOLM</t>
        </is>
      </c>
      <c r="G381" t="n">
        <v>1.3</v>
      </c>
      <c r="H381" t="n">
        <v>0</v>
      </c>
      <c r="I381" t="n">
        <v>0</v>
      </c>
      <c r="J381" t="n">
        <v>0</v>
      </c>
      <c r="K381" t="n">
        <v>0</v>
      </c>
      <c r="L381" t="n">
        <v>0</v>
      </c>
      <c r="M381" t="n">
        <v>0</v>
      </c>
      <c r="N381" t="n">
        <v>0</v>
      </c>
      <c r="O381" t="n">
        <v>0</v>
      </c>
      <c r="P381" t="n">
        <v>0</v>
      </c>
      <c r="Q381" t="n">
        <v>0</v>
      </c>
      <c r="R381" s="2" t="inlineStr"/>
    </row>
    <row r="382" ht="15" customHeight="1">
      <c r="A382" t="inlineStr">
        <is>
          <t>A 35156-2025</t>
        </is>
      </c>
      <c r="B382" s="1" t="n">
        <v>45852</v>
      </c>
      <c r="C382" s="1" t="n">
        <v>45982</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35145-2025</t>
        </is>
      </c>
      <c r="B383" s="1" t="n">
        <v>45852</v>
      </c>
      <c r="C383" s="1" t="n">
        <v>45982</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35157-2025</t>
        </is>
      </c>
      <c r="B384" s="1" t="n">
        <v>45852</v>
      </c>
      <c r="C384" s="1" t="n">
        <v>45982</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50316-2023</t>
        </is>
      </c>
      <c r="B385" s="1" t="n">
        <v>45209</v>
      </c>
      <c r="C385" s="1" t="n">
        <v>45982</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35084-2025</t>
        </is>
      </c>
      <c r="B386" s="1" t="n">
        <v>45852</v>
      </c>
      <c r="C386" s="1" t="n">
        <v>45982</v>
      </c>
      <c r="D386" t="inlineStr">
        <is>
          <t>SÖDERMANLANDS LÄN</t>
        </is>
      </c>
      <c r="E386" t="inlineStr">
        <is>
          <t>KATRINEHOLM</t>
        </is>
      </c>
      <c r="G386" t="n">
        <v>3.2</v>
      </c>
      <c r="H386" t="n">
        <v>0</v>
      </c>
      <c r="I386" t="n">
        <v>0</v>
      </c>
      <c r="J386" t="n">
        <v>0</v>
      </c>
      <c r="K386" t="n">
        <v>0</v>
      </c>
      <c r="L386" t="n">
        <v>0</v>
      </c>
      <c r="M386" t="n">
        <v>0</v>
      </c>
      <c r="N386" t="n">
        <v>0</v>
      </c>
      <c r="O386" t="n">
        <v>0</v>
      </c>
      <c r="P386" t="n">
        <v>0</v>
      </c>
      <c r="Q386" t="n">
        <v>0</v>
      </c>
      <c r="R386" s="2" t="inlineStr"/>
    </row>
    <row r="387" ht="15" customHeight="1">
      <c r="A387" t="inlineStr">
        <is>
          <t>A 35149-2025</t>
        </is>
      </c>
      <c r="B387" s="1" t="n">
        <v>45852</v>
      </c>
      <c r="C387" s="1" t="n">
        <v>45982</v>
      </c>
      <c r="D387" t="inlineStr">
        <is>
          <t>SÖDERMANLANDS LÄN</t>
        </is>
      </c>
      <c r="E387" t="inlineStr">
        <is>
          <t>KATRINEHOLM</t>
        </is>
      </c>
      <c r="G387" t="n">
        <v>2.3</v>
      </c>
      <c r="H387" t="n">
        <v>0</v>
      </c>
      <c r="I387" t="n">
        <v>0</v>
      </c>
      <c r="J387" t="n">
        <v>0</v>
      </c>
      <c r="K387" t="n">
        <v>0</v>
      </c>
      <c r="L387" t="n">
        <v>0</v>
      </c>
      <c r="M387" t="n">
        <v>0</v>
      </c>
      <c r="N387" t="n">
        <v>0</v>
      </c>
      <c r="O387" t="n">
        <v>0</v>
      </c>
      <c r="P387" t="n">
        <v>0</v>
      </c>
      <c r="Q387" t="n">
        <v>0</v>
      </c>
      <c r="R387" s="2" t="inlineStr"/>
    </row>
    <row r="388" ht="15" customHeight="1">
      <c r="A388" t="inlineStr">
        <is>
          <t>A 35161-2025</t>
        </is>
      </c>
      <c r="B388" s="1" t="n">
        <v>45852.70716435185</v>
      </c>
      <c r="C388" s="1" t="n">
        <v>45982</v>
      </c>
      <c r="D388" t="inlineStr">
        <is>
          <t>SÖDERMANLANDS LÄN</t>
        </is>
      </c>
      <c r="E388" t="inlineStr">
        <is>
          <t>KATRINEHOLM</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35152-2025</t>
        </is>
      </c>
      <c r="B389" s="1" t="n">
        <v>45852</v>
      </c>
      <c r="C389" s="1" t="n">
        <v>45982</v>
      </c>
      <c r="D389" t="inlineStr">
        <is>
          <t>SÖDERMANLANDS LÄN</t>
        </is>
      </c>
      <c r="E389" t="inlineStr">
        <is>
          <t>KATRINEHOLM</t>
        </is>
      </c>
      <c r="G389" t="n">
        <v>4.6</v>
      </c>
      <c r="H389" t="n">
        <v>0</v>
      </c>
      <c r="I389" t="n">
        <v>0</v>
      </c>
      <c r="J389" t="n">
        <v>0</v>
      </c>
      <c r="K389" t="n">
        <v>0</v>
      </c>
      <c r="L389" t="n">
        <v>0</v>
      </c>
      <c r="M389" t="n">
        <v>0</v>
      </c>
      <c r="N389" t="n">
        <v>0</v>
      </c>
      <c r="O389" t="n">
        <v>0</v>
      </c>
      <c r="P389" t="n">
        <v>0</v>
      </c>
      <c r="Q389" t="n">
        <v>0</v>
      </c>
      <c r="R389" s="2" t="inlineStr"/>
    </row>
    <row r="390" ht="15" customHeight="1">
      <c r="A390" t="inlineStr">
        <is>
          <t>A 35165-2025</t>
        </is>
      </c>
      <c r="B390" s="1" t="n">
        <v>45852.72320601852</v>
      </c>
      <c r="C390" s="1" t="n">
        <v>45982</v>
      </c>
      <c r="D390" t="inlineStr">
        <is>
          <t>SÖDERMANLANDS LÄN</t>
        </is>
      </c>
      <c r="E390" t="inlineStr">
        <is>
          <t>KATRINEHOLM</t>
        </is>
      </c>
      <c r="F390" t="inlineStr">
        <is>
          <t>Övriga Aktiebolag</t>
        </is>
      </c>
      <c r="G390" t="n">
        <v>20.7</v>
      </c>
      <c r="H390" t="n">
        <v>0</v>
      </c>
      <c r="I390" t="n">
        <v>0</v>
      </c>
      <c r="J390" t="n">
        <v>0</v>
      </c>
      <c r="K390" t="n">
        <v>0</v>
      </c>
      <c r="L390" t="n">
        <v>0</v>
      </c>
      <c r="M390" t="n">
        <v>0</v>
      </c>
      <c r="N390" t="n">
        <v>0</v>
      </c>
      <c r="O390" t="n">
        <v>0</v>
      </c>
      <c r="P390" t="n">
        <v>0</v>
      </c>
      <c r="Q390" t="n">
        <v>0</v>
      </c>
      <c r="R390" s="2" t="inlineStr"/>
    </row>
    <row r="391" ht="15" customHeight="1">
      <c r="A391" t="inlineStr">
        <is>
          <t>A 51404-2023</t>
        </is>
      </c>
      <c r="B391" s="1" t="n">
        <v>45214</v>
      </c>
      <c r="C391" s="1" t="n">
        <v>45982</v>
      </c>
      <c r="D391" t="inlineStr">
        <is>
          <t>SÖDERMANLANDS LÄN</t>
        </is>
      </c>
      <c r="E391" t="inlineStr">
        <is>
          <t>KATRINEHOLM</t>
        </is>
      </c>
      <c r="G391" t="n">
        <v>9</v>
      </c>
      <c r="H391" t="n">
        <v>0</v>
      </c>
      <c r="I391" t="n">
        <v>0</v>
      </c>
      <c r="J391" t="n">
        <v>0</v>
      </c>
      <c r="K391" t="n">
        <v>0</v>
      </c>
      <c r="L391" t="n">
        <v>0</v>
      </c>
      <c r="M391" t="n">
        <v>0</v>
      </c>
      <c r="N391" t="n">
        <v>0</v>
      </c>
      <c r="O391" t="n">
        <v>0</v>
      </c>
      <c r="P391" t="n">
        <v>0</v>
      </c>
      <c r="Q391" t="n">
        <v>0</v>
      </c>
      <c r="R391" s="2" t="inlineStr"/>
    </row>
    <row r="392" ht="15" customHeight="1">
      <c r="A392" t="inlineStr">
        <is>
          <t>A 35158-2025</t>
        </is>
      </c>
      <c r="B392" s="1" t="n">
        <v>45852</v>
      </c>
      <c r="C392" s="1" t="n">
        <v>45982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34439-2025</t>
        </is>
      </c>
      <c r="B393" s="1" t="n">
        <v>45845</v>
      </c>
      <c r="C393" s="1" t="n">
        <v>45982</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15898-2022</t>
        </is>
      </c>
      <c r="B394" s="1" t="n">
        <v>44664.55688657407</v>
      </c>
      <c r="C394" s="1" t="n">
        <v>45982</v>
      </c>
      <c r="D394" t="inlineStr">
        <is>
          <t>SÖDERMANLANDS LÄN</t>
        </is>
      </c>
      <c r="E394" t="inlineStr">
        <is>
          <t>KATRINEHOLM</t>
        </is>
      </c>
      <c r="G394" t="n">
        <v>6.5</v>
      </c>
      <c r="H394" t="n">
        <v>0</v>
      </c>
      <c r="I394" t="n">
        <v>0</v>
      </c>
      <c r="J394" t="n">
        <v>0</v>
      </c>
      <c r="K394" t="n">
        <v>0</v>
      </c>
      <c r="L394" t="n">
        <v>0</v>
      </c>
      <c r="M394" t="n">
        <v>0</v>
      </c>
      <c r="N394" t="n">
        <v>0</v>
      </c>
      <c r="O394" t="n">
        <v>0</v>
      </c>
      <c r="P394" t="n">
        <v>0</v>
      </c>
      <c r="Q394" t="n">
        <v>0</v>
      </c>
      <c r="R394" s="2" t="inlineStr"/>
    </row>
    <row r="395" ht="15" customHeight="1">
      <c r="A395" t="inlineStr">
        <is>
          <t>A 15910-2022</t>
        </is>
      </c>
      <c r="B395" s="1" t="n">
        <v>44664</v>
      </c>
      <c r="C395" s="1" t="n">
        <v>45982</v>
      </c>
      <c r="D395" t="inlineStr">
        <is>
          <t>SÖDERMANLANDS LÄN</t>
        </is>
      </c>
      <c r="E395" t="inlineStr">
        <is>
          <t>KATRINEHOLM</t>
        </is>
      </c>
      <c r="G395" t="n">
        <v>5.6</v>
      </c>
      <c r="H395" t="n">
        <v>0</v>
      </c>
      <c r="I395" t="n">
        <v>0</v>
      </c>
      <c r="J395" t="n">
        <v>0</v>
      </c>
      <c r="K395" t="n">
        <v>0</v>
      </c>
      <c r="L395" t="n">
        <v>0</v>
      </c>
      <c r="M395" t="n">
        <v>0</v>
      </c>
      <c r="N395" t="n">
        <v>0</v>
      </c>
      <c r="O395" t="n">
        <v>0</v>
      </c>
      <c r="P395" t="n">
        <v>0</v>
      </c>
      <c r="Q395" t="n">
        <v>0</v>
      </c>
      <c r="R395" s="2" t="inlineStr"/>
    </row>
    <row r="396" ht="15" customHeight="1">
      <c r="A396" t="inlineStr">
        <is>
          <t>A 64605-2023</t>
        </is>
      </c>
      <c r="B396" s="1" t="n">
        <v>45281</v>
      </c>
      <c r="C396" s="1" t="n">
        <v>45982</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64652-2023</t>
        </is>
      </c>
      <c r="B397" s="1" t="n">
        <v>45281</v>
      </c>
      <c r="C397" s="1" t="n">
        <v>45982</v>
      </c>
      <c r="D397" t="inlineStr">
        <is>
          <t>SÖDERMANLANDS LÄN</t>
        </is>
      </c>
      <c r="E397" t="inlineStr">
        <is>
          <t>KATRINEHOLM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54395-2025</t>
        </is>
      </c>
      <c r="B398" s="1" t="n">
        <v>45964</v>
      </c>
      <c r="C398" s="1" t="n">
        <v>45982</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29830-2023</t>
        </is>
      </c>
      <c r="B399" s="1" t="n">
        <v>45107</v>
      </c>
      <c r="C399" s="1" t="n">
        <v>45982</v>
      </c>
      <c r="D399" t="inlineStr">
        <is>
          <t>SÖDERMANLANDS LÄN</t>
        </is>
      </c>
      <c r="E399" t="inlineStr">
        <is>
          <t>KATRINEHOLM</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54999-2025</t>
        </is>
      </c>
      <c r="B400" s="1" t="n">
        <v>45967.59880787037</v>
      </c>
      <c r="C400" s="1" t="n">
        <v>45982</v>
      </c>
      <c r="D400" t="inlineStr">
        <is>
          <t>SÖDERMANLANDS LÄN</t>
        </is>
      </c>
      <c r="E400" t="inlineStr">
        <is>
          <t>KATRINEHOLM</t>
        </is>
      </c>
      <c r="G400" t="n">
        <v>8.5</v>
      </c>
      <c r="H400" t="n">
        <v>0</v>
      </c>
      <c r="I400" t="n">
        <v>0</v>
      </c>
      <c r="J400" t="n">
        <v>0</v>
      </c>
      <c r="K400" t="n">
        <v>0</v>
      </c>
      <c r="L400" t="n">
        <v>0</v>
      </c>
      <c r="M400" t="n">
        <v>0</v>
      </c>
      <c r="N400" t="n">
        <v>0</v>
      </c>
      <c r="O400" t="n">
        <v>0</v>
      </c>
      <c r="P400" t="n">
        <v>0</v>
      </c>
      <c r="Q400" t="n">
        <v>0</v>
      </c>
      <c r="R400" s="2" t="inlineStr"/>
    </row>
    <row r="401" ht="15" customHeight="1">
      <c r="A401" t="inlineStr">
        <is>
          <t>A 28582-2024</t>
        </is>
      </c>
      <c r="B401" s="1" t="n">
        <v>45478.40751157407</v>
      </c>
      <c r="C401" s="1" t="n">
        <v>45982</v>
      </c>
      <c r="D401" t="inlineStr">
        <is>
          <t>SÖDERMANLANDS LÄN</t>
        </is>
      </c>
      <c r="E401" t="inlineStr">
        <is>
          <t>KATRINEHOLM</t>
        </is>
      </c>
      <c r="F401" t="inlineStr">
        <is>
          <t>Övriga Aktiebolag</t>
        </is>
      </c>
      <c r="G401" t="n">
        <v>4</v>
      </c>
      <c r="H401" t="n">
        <v>0</v>
      </c>
      <c r="I401" t="n">
        <v>0</v>
      </c>
      <c r="J401" t="n">
        <v>0</v>
      </c>
      <c r="K401" t="n">
        <v>0</v>
      </c>
      <c r="L401" t="n">
        <v>0</v>
      </c>
      <c r="M401" t="n">
        <v>0</v>
      </c>
      <c r="N401" t="n">
        <v>0</v>
      </c>
      <c r="O401" t="n">
        <v>0</v>
      </c>
      <c r="P401" t="n">
        <v>0</v>
      </c>
      <c r="Q401" t="n">
        <v>0</v>
      </c>
      <c r="R401" s="2" t="inlineStr"/>
    </row>
    <row r="402" ht="15" customHeight="1">
      <c r="A402" t="inlineStr">
        <is>
          <t>A 29394-2024</t>
        </is>
      </c>
      <c r="B402" s="1" t="n">
        <v>45483</v>
      </c>
      <c r="C402" s="1" t="n">
        <v>45982</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54873-2025</t>
        </is>
      </c>
      <c r="B403" s="1" t="n">
        <v>45967.30731481482</v>
      </c>
      <c r="C403" s="1" t="n">
        <v>45982</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46011-2021</t>
        </is>
      </c>
      <c r="B404" s="1" t="n">
        <v>44441.88092592593</v>
      </c>
      <c r="C404" s="1" t="n">
        <v>45982</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34176-2025</t>
        </is>
      </c>
      <c r="B405" s="1" t="n">
        <v>45845</v>
      </c>
      <c r="C405" s="1" t="n">
        <v>45982</v>
      </c>
      <c r="D405" t="inlineStr">
        <is>
          <t>SÖDERMANLANDS LÄN</t>
        </is>
      </c>
      <c r="E405" t="inlineStr">
        <is>
          <t>KATRINEHOLM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46288-2025</t>
        </is>
      </c>
      <c r="B406" s="1" t="n">
        <v>45925.38545138889</v>
      </c>
      <c r="C406" s="1" t="n">
        <v>45982</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30387-2022</t>
        </is>
      </c>
      <c r="B407" s="1" t="n">
        <v>44760</v>
      </c>
      <c r="C407" s="1" t="n">
        <v>45982</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44024-2021</t>
        </is>
      </c>
      <c r="B408" s="1" t="n">
        <v>44434</v>
      </c>
      <c r="C408" s="1" t="n">
        <v>45982</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55029-2025</t>
        </is>
      </c>
      <c r="B409" s="1" t="n">
        <v>45967.63784722222</v>
      </c>
      <c r="C409" s="1" t="n">
        <v>45982</v>
      </c>
      <c r="D409" t="inlineStr">
        <is>
          <t>SÖDERMANLANDS LÄN</t>
        </is>
      </c>
      <c r="E409" t="inlineStr">
        <is>
          <t>KATRINEHOLM</t>
        </is>
      </c>
      <c r="G409" t="n">
        <v>10.1</v>
      </c>
      <c r="H409" t="n">
        <v>0</v>
      </c>
      <c r="I409" t="n">
        <v>0</v>
      </c>
      <c r="J409" t="n">
        <v>0</v>
      </c>
      <c r="K409" t="n">
        <v>0</v>
      </c>
      <c r="L409" t="n">
        <v>0</v>
      </c>
      <c r="M409" t="n">
        <v>0</v>
      </c>
      <c r="N409" t="n">
        <v>0</v>
      </c>
      <c r="O409" t="n">
        <v>0</v>
      </c>
      <c r="P409" t="n">
        <v>0</v>
      </c>
      <c r="Q409" t="n">
        <v>0</v>
      </c>
      <c r="R409" s="2" t="inlineStr"/>
    </row>
    <row r="410" ht="15" customHeight="1">
      <c r="A410" t="inlineStr">
        <is>
          <t>A 61394-2024</t>
        </is>
      </c>
      <c r="B410" s="1" t="n">
        <v>45646.42061342593</v>
      </c>
      <c r="C410" s="1" t="n">
        <v>45982</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931-2023</t>
        </is>
      </c>
      <c r="B411" s="1" t="n">
        <v>44932.74261574074</v>
      </c>
      <c r="C411" s="1" t="n">
        <v>45982</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38883-2024</t>
        </is>
      </c>
      <c r="B412" s="1" t="n">
        <v>45547</v>
      </c>
      <c r="C412" s="1" t="n">
        <v>45982</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6796-2022</t>
        </is>
      </c>
      <c r="B413" s="1" t="n">
        <v>44602</v>
      </c>
      <c r="C413" s="1" t="n">
        <v>45982</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52857-2021</t>
        </is>
      </c>
      <c r="B414" s="1" t="n">
        <v>44466</v>
      </c>
      <c r="C414" s="1" t="n">
        <v>45982</v>
      </c>
      <c r="D414" t="inlineStr">
        <is>
          <t>SÖDERMANLANDS LÄN</t>
        </is>
      </c>
      <c r="E414" t="inlineStr">
        <is>
          <t>KATRINEHOLM</t>
        </is>
      </c>
      <c r="G414" t="n">
        <v>0.8</v>
      </c>
      <c r="H414" t="n">
        <v>0</v>
      </c>
      <c r="I414" t="n">
        <v>0</v>
      </c>
      <c r="J414" t="n">
        <v>0</v>
      </c>
      <c r="K414" t="n">
        <v>0</v>
      </c>
      <c r="L414" t="n">
        <v>0</v>
      </c>
      <c r="M414" t="n">
        <v>0</v>
      </c>
      <c r="N414" t="n">
        <v>0</v>
      </c>
      <c r="O414" t="n">
        <v>0</v>
      </c>
      <c r="P414" t="n">
        <v>0</v>
      </c>
      <c r="Q414" t="n">
        <v>0</v>
      </c>
      <c r="R414" s="2" t="inlineStr"/>
    </row>
    <row r="415" ht="15" customHeight="1">
      <c r="A415" t="inlineStr">
        <is>
          <t>A 12227-2025</t>
        </is>
      </c>
      <c r="B415" s="1" t="n">
        <v>45729.56836805555</v>
      </c>
      <c r="C415" s="1" t="n">
        <v>45982</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42015-2022</t>
        </is>
      </c>
      <c r="B416" s="1" t="n">
        <v>44830.4649074074</v>
      </c>
      <c r="C416" s="1" t="n">
        <v>45982</v>
      </c>
      <c r="D416" t="inlineStr">
        <is>
          <t>SÖDERMANLANDS LÄN</t>
        </is>
      </c>
      <c r="E416" t="inlineStr">
        <is>
          <t>KATRINEHOLM</t>
        </is>
      </c>
      <c r="G416" t="n">
        <v>3.8</v>
      </c>
      <c r="H416" t="n">
        <v>0</v>
      </c>
      <c r="I416" t="n">
        <v>0</v>
      </c>
      <c r="J416" t="n">
        <v>0</v>
      </c>
      <c r="K416" t="n">
        <v>0</v>
      </c>
      <c r="L416" t="n">
        <v>0</v>
      </c>
      <c r="M416" t="n">
        <v>0</v>
      </c>
      <c r="N416" t="n">
        <v>0</v>
      </c>
      <c r="O416" t="n">
        <v>0</v>
      </c>
      <c r="P416" t="n">
        <v>0</v>
      </c>
      <c r="Q416" t="n">
        <v>0</v>
      </c>
      <c r="R416" s="2" t="inlineStr"/>
    </row>
    <row r="417" ht="15" customHeight="1">
      <c r="A417" t="inlineStr">
        <is>
          <t>A 42020-2022</t>
        </is>
      </c>
      <c r="B417" s="1" t="n">
        <v>44830.46849537037</v>
      </c>
      <c r="C417" s="1" t="n">
        <v>45982</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8394-2024</t>
        </is>
      </c>
      <c r="B418" s="1" t="n">
        <v>45352</v>
      </c>
      <c r="C418" s="1" t="n">
        <v>45982</v>
      </c>
      <c r="D418" t="inlineStr">
        <is>
          <t>SÖDERMANLANDS LÄN</t>
        </is>
      </c>
      <c r="E418" t="inlineStr">
        <is>
          <t>KATRINEHOLM</t>
        </is>
      </c>
      <c r="G418" t="n">
        <v>4</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45982</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14239-2024</t>
        </is>
      </c>
      <c r="B420" s="1" t="n">
        <v>45393</v>
      </c>
      <c r="C420" s="1" t="n">
        <v>45982</v>
      </c>
      <c r="D420" t="inlineStr">
        <is>
          <t>SÖDERMANLANDS LÄN</t>
        </is>
      </c>
      <c r="E420" t="inlineStr">
        <is>
          <t>KATRINEHOLM</t>
        </is>
      </c>
      <c r="G420" t="n">
        <v>2.7</v>
      </c>
      <c r="H420" t="n">
        <v>0</v>
      </c>
      <c r="I420" t="n">
        <v>0</v>
      </c>
      <c r="J420" t="n">
        <v>0</v>
      </c>
      <c r="K420" t="n">
        <v>0</v>
      </c>
      <c r="L420" t="n">
        <v>0</v>
      </c>
      <c r="M420" t="n">
        <v>0</v>
      </c>
      <c r="N420" t="n">
        <v>0</v>
      </c>
      <c r="O420" t="n">
        <v>0</v>
      </c>
      <c r="P420" t="n">
        <v>0</v>
      </c>
      <c r="Q420" t="n">
        <v>0</v>
      </c>
      <c r="R420" s="2" t="inlineStr"/>
    </row>
    <row r="421" ht="15" customHeight="1">
      <c r="A421" t="inlineStr">
        <is>
          <t>A 14248-2024</t>
        </is>
      </c>
      <c r="B421" s="1" t="n">
        <v>45393</v>
      </c>
      <c r="C421" s="1" t="n">
        <v>45982</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25716-2022</t>
        </is>
      </c>
      <c r="B422" s="1" t="n">
        <v>44733.39600694444</v>
      </c>
      <c r="C422" s="1" t="n">
        <v>45982</v>
      </c>
      <c r="D422" t="inlineStr">
        <is>
          <t>SÖDERMANLANDS LÄN</t>
        </is>
      </c>
      <c r="E422" t="inlineStr">
        <is>
          <t>KATRINEHOLM</t>
        </is>
      </c>
      <c r="G422" t="n">
        <v>3.4</v>
      </c>
      <c r="H422" t="n">
        <v>0</v>
      </c>
      <c r="I422" t="n">
        <v>0</v>
      </c>
      <c r="J422" t="n">
        <v>0</v>
      </c>
      <c r="K422" t="n">
        <v>0</v>
      </c>
      <c r="L422" t="n">
        <v>0</v>
      </c>
      <c r="M422" t="n">
        <v>0</v>
      </c>
      <c r="N422" t="n">
        <v>0</v>
      </c>
      <c r="O422" t="n">
        <v>0</v>
      </c>
      <c r="P422" t="n">
        <v>0</v>
      </c>
      <c r="Q422" t="n">
        <v>0</v>
      </c>
      <c r="R422" s="2" t="inlineStr"/>
    </row>
    <row r="423" ht="15" customHeight="1">
      <c r="A423" t="inlineStr">
        <is>
          <t>A 23842-2023</t>
        </is>
      </c>
      <c r="B423" s="1" t="n">
        <v>45075</v>
      </c>
      <c r="C423" s="1" t="n">
        <v>45982</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50021-2023</t>
        </is>
      </c>
      <c r="B424" s="1" t="n">
        <v>45215</v>
      </c>
      <c r="C424" s="1" t="n">
        <v>45982</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46700-2023</t>
        </is>
      </c>
      <c r="B425" s="1" t="n">
        <v>45194</v>
      </c>
      <c r="C425" s="1" t="n">
        <v>45982</v>
      </c>
      <c r="D425" t="inlineStr">
        <is>
          <t>SÖDERMANLANDS LÄN</t>
        </is>
      </c>
      <c r="E425" t="inlineStr">
        <is>
          <t>KATRINEHOLM</t>
        </is>
      </c>
      <c r="G425" t="n">
        <v>3</v>
      </c>
      <c r="H425" t="n">
        <v>0</v>
      </c>
      <c r="I425" t="n">
        <v>0</v>
      </c>
      <c r="J425" t="n">
        <v>0</v>
      </c>
      <c r="K425" t="n">
        <v>0</v>
      </c>
      <c r="L425" t="n">
        <v>0</v>
      </c>
      <c r="M425" t="n">
        <v>0</v>
      </c>
      <c r="N425" t="n">
        <v>0</v>
      </c>
      <c r="O425" t="n">
        <v>0</v>
      </c>
      <c r="P425" t="n">
        <v>0</v>
      </c>
      <c r="Q425" t="n">
        <v>0</v>
      </c>
      <c r="R425" s="2" t="inlineStr"/>
    </row>
    <row r="426" ht="15" customHeight="1">
      <c r="A426" t="inlineStr">
        <is>
          <t>A 26684-2025</t>
        </is>
      </c>
      <c r="B426" s="1" t="n">
        <v>45810</v>
      </c>
      <c r="C426" s="1" t="n">
        <v>45982</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46524-2025</t>
        </is>
      </c>
      <c r="B427" s="1" t="n">
        <v>45926</v>
      </c>
      <c r="C427" s="1" t="n">
        <v>45982</v>
      </c>
      <c r="D427" t="inlineStr">
        <is>
          <t>SÖDERMANLANDS LÄN</t>
        </is>
      </c>
      <c r="E427" t="inlineStr">
        <is>
          <t>KATRINEHOLM</t>
        </is>
      </c>
      <c r="G427" t="n">
        <v>5.7</v>
      </c>
      <c r="H427" t="n">
        <v>0</v>
      </c>
      <c r="I427" t="n">
        <v>0</v>
      </c>
      <c r="J427" t="n">
        <v>0</v>
      </c>
      <c r="K427" t="n">
        <v>0</v>
      </c>
      <c r="L427" t="n">
        <v>0</v>
      </c>
      <c r="M427" t="n">
        <v>0</v>
      </c>
      <c r="N427" t="n">
        <v>0</v>
      </c>
      <c r="O427" t="n">
        <v>0</v>
      </c>
      <c r="P427" t="n">
        <v>0</v>
      </c>
      <c r="Q427" t="n">
        <v>0</v>
      </c>
      <c r="R427" s="2" t="inlineStr"/>
    </row>
    <row r="428" ht="15" customHeight="1">
      <c r="A428" t="inlineStr">
        <is>
          <t>A 37043-2025</t>
        </is>
      </c>
      <c r="B428" s="1" t="n">
        <v>45875.3396412037</v>
      </c>
      <c r="C428" s="1" t="n">
        <v>45982</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55831-2025</t>
        </is>
      </c>
      <c r="B429" s="1" t="n">
        <v>45972.81034722222</v>
      </c>
      <c r="C429" s="1" t="n">
        <v>45982</v>
      </c>
      <c r="D429" t="inlineStr">
        <is>
          <t>SÖDERMANLANDS LÄN</t>
        </is>
      </c>
      <c r="E429" t="inlineStr">
        <is>
          <t>KATRINEHOLM</t>
        </is>
      </c>
      <c r="G429" t="n">
        <v>6.2</v>
      </c>
      <c r="H429" t="n">
        <v>0</v>
      </c>
      <c r="I429" t="n">
        <v>0</v>
      </c>
      <c r="J429" t="n">
        <v>0</v>
      </c>
      <c r="K429" t="n">
        <v>0</v>
      </c>
      <c r="L429" t="n">
        <v>0</v>
      </c>
      <c r="M429" t="n">
        <v>0</v>
      </c>
      <c r="N429" t="n">
        <v>0</v>
      </c>
      <c r="O429" t="n">
        <v>0</v>
      </c>
      <c r="P429" t="n">
        <v>0</v>
      </c>
      <c r="Q429" t="n">
        <v>0</v>
      </c>
      <c r="R429" s="2" t="inlineStr"/>
    </row>
    <row r="430" ht="15" customHeight="1">
      <c r="A430" t="inlineStr">
        <is>
          <t>A 55832-2025</t>
        </is>
      </c>
      <c r="B430" s="1" t="n">
        <v>45972.81768518518</v>
      </c>
      <c r="C430" s="1" t="n">
        <v>45982</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50032-2022</t>
        </is>
      </c>
      <c r="B431" s="1" t="n">
        <v>44860</v>
      </c>
      <c r="C431" s="1" t="n">
        <v>45982</v>
      </c>
      <c r="D431" t="inlineStr">
        <is>
          <t>SÖDERMANLANDS LÄN</t>
        </is>
      </c>
      <c r="E431" t="inlineStr">
        <is>
          <t>KATRINEHOLM</t>
        </is>
      </c>
      <c r="G431" t="n">
        <v>7.5</v>
      </c>
      <c r="H431" t="n">
        <v>0</v>
      </c>
      <c r="I431" t="n">
        <v>0</v>
      </c>
      <c r="J431" t="n">
        <v>0</v>
      </c>
      <c r="K431" t="n">
        <v>0</v>
      </c>
      <c r="L431" t="n">
        <v>0</v>
      </c>
      <c r="M431" t="n">
        <v>0</v>
      </c>
      <c r="N431" t="n">
        <v>0</v>
      </c>
      <c r="O431" t="n">
        <v>0</v>
      </c>
      <c r="P431" t="n">
        <v>0</v>
      </c>
      <c r="Q431" t="n">
        <v>0</v>
      </c>
      <c r="R431" s="2" t="inlineStr"/>
    </row>
    <row r="432" ht="15" customHeight="1">
      <c r="A432" t="inlineStr">
        <is>
          <t>A 50804-2023</t>
        </is>
      </c>
      <c r="B432" s="1" t="n">
        <v>45211</v>
      </c>
      <c r="C432" s="1" t="n">
        <v>45982</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29502-2023</t>
        </is>
      </c>
      <c r="B433" s="1" t="n">
        <v>45106</v>
      </c>
      <c r="C433" s="1" t="n">
        <v>45982</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56074-2022</t>
        </is>
      </c>
      <c r="B434" s="1" t="n">
        <v>44889</v>
      </c>
      <c r="C434" s="1" t="n">
        <v>45982</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c r="T434">
        <f>HYPERLINK("https://klasma.github.io/Logging_0483/kartor/A 56074-2022 karta.png", "A 56074-2022")</f>
        <v/>
      </c>
      <c r="V434">
        <f>HYPERLINK("https://klasma.github.io/Logging_0483/klagomål/A 56074-2022 FSC-klagomål.docx", "A 56074-2022")</f>
        <v/>
      </c>
      <c r="W434">
        <f>HYPERLINK("https://klasma.github.io/Logging_0483/klagomålsmail/A 56074-2022 FSC-klagomål mail.docx", "A 56074-2022")</f>
        <v/>
      </c>
      <c r="X434">
        <f>HYPERLINK("https://klasma.github.io/Logging_0483/tillsyn/A 56074-2022 tillsynsbegäran.docx", "A 56074-2022")</f>
        <v/>
      </c>
      <c r="Y434">
        <f>HYPERLINK("https://klasma.github.io/Logging_0483/tillsynsmail/A 56074-2022 tillsynsbegäran mail.docx", "A 56074-2022")</f>
        <v/>
      </c>
    </row>
    <row r="435" ht="15" customHeight="1">
      <c r="A435" t="inlineStr">
        <is>
          <t>A 55829-2025</t>
        </is>
      </c>
      <c r="B435" s="1" t="n">
        <v>45972.79274305556</v>
      </c>
      <c r="C435" s="1" t="n">
        <v>45982</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8922-2024</t>
        </is>
      </c>
      <c r="B436" s="1" t="n">
        <v>45357.38601851852</v>
      </c>
      <c r="C436" s="1" t="n">
        <v>45982</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37827-2025</t>
        </is>
      </c>
      <c r="B437" s="1" t="n">
        <v>45881.40907407407</v>
      </c>
      <c r="C437" s="1" t="n">
        <v>45982</v>
      </c>
      <c r="D437" t="inlineStr">
        <is>
          <t>SÖDERMANLANDS LÄN</t>
        </is>
      </c>
      <c r="E437" t="inlineStr">
        <is>
          <t>KATRINEHOLM</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45376-2022</t>
        </is>
      </c>
      <c r="B438" s="1" t="n">
        <v>44844</v>
      </c>
      <c r="C438" s="1" t="n">
        <v>45982</v>
      </c>
      <c r="D438" t="inlineStr">
        <is>
          <t>SÖDERMANLANDS LÄN</t>
        </is>
      </c>
      <c r="E438" t="inlineStr">
        <is>
          <t>KATRINEHOLM</t>
        </is>
      </c>
      <c r="G438" t="n">
        <v>4.7</v>
      </c>
      <c r="H438" t="n">
        <v>0</v>
      </c>
      <c r="I438" t="n">
        <v>0</v>
      </c>
      <c r="J438" t="n">
        <v>0</v>
      </c>
      <c r="K438" t="n">
        <v>0</v>
      </c>
      <c r="L438" t="n">
        <v>0</v>
      </c>
      <c r="M438" t="n">
        <v>0</v>
      </c>
      <c r="N438" t="n">
        <v>0</v>
      </c>
      <c r="O438" t="n">
        <v>0</v>
      </c>
      <c r="P438" t="n">
        <v>0</v>
      </c>
      <c r="Q438" t="n">
        <v>0</v>
      </c>
      <c r="R438" s="2" t="inlineStr"/>
    </row>
    <row r="439" ht="15" customHeight="1">
      <c r="A439" t="inlineStr">
        <is>
          <t>A 39748-2022</t>
        </is>
      </c>
      <c r="B439" s="1" t="n">
        <v>44817</v>
      </c>
      <c r="C439" s="1" t="n">
        <v>45982</v>
      </c>
      <c r="D439" t="inlineStr">
        <is>
          <t>SÖDERMANLANDS LÄN</t>
        </is>
      </c>
      <c r="E439" t="inlineStr">
        <is>
          <t>KATRINEHOLM</t>
        </is>
      </c>
      <c r="G439" t="n">
        <v>10.2</v>
      </c>
      <c r="H439" t="n">
        <v>0</v>
      </c>
      <c r="I439" t="n">
        <v>0</v>
      </c>
      <c r="J439" t="n">
        <v>0</v>
      </c>
      <c r="K439" t="n">
        <v>0</v>
      </c>
      <c r="L439" t="n">
        <v>0</v>
      </c>
      <c r="M439" t="n">
        <v>0</v>
      </c>
      <c r="N439" t="n">
        <v>0</v>
      </c>
      <c r="O439" t="n">
        <v>0</v>
      </c>
      <c r="P439" t="n">
        <v>0</v>
      </c>
      <c r="Q439" t="n">
        <v>0</v>
      </c>
      <c r="R439" s="2" t="inlineStr"/>
    </row>
    <row r="440" ht="15" customHeight="1">
      <c r="A440" t="inlineStr">
        <is>
          <t>A 3090-2025</t>
        </is>
      </c>
      <c r="B440" s="1" t="n">
        <v>45678</v>
      </c>
      <c r="C440" s="1" t="n">
        <v>45982</v>
      </c>
      <c r="D440" t="inlineStr">
        <is>
          <t>SÖDERMANLANDS LÄN</t>
        </is>
      </c>
      <c r="E440" t="inlineStr">
        <is>
          <t>KATRINEHOLM</t>
        </is>
      </c>
      <c r="F440" t="inlineStr">
        <is>
          <t>Kyrkan</t>
        </is>
      </c>
      <c r="G440" t="n">
        <v>6.9</v>
      </c>
      <c r="H440" t="n">
        <v>0</v>
      </c>
      <c r="I440" t="n">
        <v>0</v>
      </c>
      <c r="J440" t="n">
        <v>0</v>
      </c>
      <c r="K440" t="n">
        <v>0</v>
      </c>
      <c r="L440" t="n">
        <v>0</v>
      </c>
      <c r="M440" t="n">
        <v>0</v>
      </c>
      <c r="N440" t="n">
        <v>0</v>
      </c>
      <c r="O440" t="n">
        <v>0</v>
      </c>
      <c r="P440" t="n">
        <v>0</v>
      </c>
      <c r="Q440" t="n">
        <v>0</v>
      </c>
      <c r="R440" s="2" t="inlineStr"/>
    </row>
    <row r="441" ht="15" customHeight="1">
      <c r="A441" t="inlineStr">
        <is>
          <t>A 28431-2024</t>
        </is>
      </c>
      <c r="B441" s="1" t="n">
        <v>45477.65216435185</v>
      </c>
      <c r="C441" s="1" t="n">
        <v>45982</v>
      </c>
      <c r="D441" t="inlineStr">
        <is>
          <t>SÖDERMANLANDS LÄN</t>
        </is>
      </c>
      <c r="E441" t="inlineStr">
        <is>
          <t>KATRINEHOLM</t>
        </is>
      </c>
      <c r="G441" t="n">
        <v>3.5</v>
      </c>
      <c r="H441" t="n">
        <v>0</v>
      </c>
      <c r="I441" t="n">
        <v>0</v>
      </c>
      <c r="J441" t="n">
        <v>0</v>
      </c>
      <c r="K441" t="n">
        <v>0</v>
      </c>
      <c r="L441" t="n">
        <v>0</v>
      </c>
      <c r="M441" t="n">
        <v>0</v>
      </c>
      <c r="N441" t="n">
        <v>0</v>
      </c>
      <c r="O441" t="n">
        <v>0</v>
      </c>
      <c r="P441" t="n">
        <v>0</v>
      </c>
      <c r="Q441" t="n">
        <v>0</v>
      </c>
      <c r="R441" s="2" t="inlineStr"/>
    </row>
    <row r="442" ht="15" customHeight="1">
      <c r="A442" t="inlineStr">
        <is>
          <t>A 56330-2025</t>
        </is>
      </c>
      <c r="B442" s="1" t="n">
        <v>45974.64094907408</v>
      </c>
      <c r="C442" s="1" t="n">
        <v>45982</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34981-2023</t>
        </is>
      </c>
      <c r="B443" s="1" t="n">
        <v>45142</v>
      </c>
      <c r="C443" s="1" t="n">
        <v>45982</v>
      </c>
      <c r="D443" t="inlineStr">
        <is>
          <t>SÖDERMANLANDS LÄN</t>
        </is>
      </c>
      <c r="E443" t="inlineStr">
        <is>
          <t>KATRINEHOLM</t>
        </is>
      </c>
      <c r="G443" t="n">
        <v>10</v>
      </c>
      <c r="H443" t="n">
        <v>0</v>
      </c>
      <c r="I443" t="n">
        <v>0</v>
      </c>
      <c r="J443" t="n">
        <v>0</v>
      </c>
      <c r="K443" t="n">
        <v>0</v>
      </c>
      <c r="L443" t="n">
        <v>0</v>
      </c>
      <c r="M443" t="n">
        <v>0</v>
      </c>
      <c r="N443" t="n">
        <v>0</v>
      </c>
      <c r="O443" t="n">
        <v>0</v>
      </c>
      <c r="P443" t="n">
        <v>0</v>
      </c>
      <c r="Q443" t="n">
        <v>0</v>
      </c>
      <c r="R443" s="2" t="inlineStr"/>
    </row>
    <row r="444" ht="15" customHeight="1">
      <c r="A444" t="inlineStr">
        <is>
          <t>A 11543-2025</t>
        </is>
      </c>
      <c r="B444" s="1" t="n">
        <v>45727.34248842593</v>
      </c>
      <c r="C444" s="1" t="n">
        <v>45982</v>
      </c>
      <c r="D444" t="inlineStr">
        <is>
          <t>SÖDERMANLANDS LÄN</t>
        </is>
      </c>
      <c r="E444" t="inlineStr">
        <is>
          <t>KATRINEHOLM</t>
        </is>
      </c>
      <c r="G444" t="n">
        <v>3.6</v>
      </c>
      <c r="H444" t="n">
        <v>0</v>
      </c>
      <c r="I444" t="n">
        <v>0</v>
      </c>
      <c r="J444" t="n">
        <v>0</v>
      </c>
      <c r="K444" t="n">
        <v>0</v>
      </c>
      <c r="L444" t="n">
        <v>0</v>
      </c>
      <c r="M444" t="n">
        <v>0</v>
      </c>
      <c r="N444" t="n">
        <v>0</v>
      </c>
      <c r="O444" t="n">
        <v>0</v>
      </c>
      <c r="P444" t="n">
        <v>0</v>
      </c>
      <c r="Q444" t="n">
        <v>0</v>
      </c>
      <c r="R444" s="2" t="inlineStr"/>
    </row>
    <row r="445" ht="15" customHeight="1">
      <c r="A445" t="inlineStr">
        <is>
          <t>A 35228-2025</t>
        </is>
      </c>
      <c r="B445" s="1" t="n">
        <v>45853</v>
      </c>
      <c r="C445" s="1" t="n">
        <v>45982</v>
      </c>
      <c r="D445" t="inlineStr">
        <is>
          <t>SÖDERMANLANDS LÄN</t>
        </is>
      </c>
      <c r="E445" t="inlineStr">
        <is>
          <t>KATRINEHOLM</t>
        </is>
      </c>
      <c r="G445" t="n">
        <v>1.1</v>
      </c>
      <c r="H445" t="n">
        <v>0</v>
      </c>
      <c r="I445" t="n">
        <v>0</v>
      </c>
      <c r="J445" t="n">
        <v>0</v>
      </c>
      <c r="K445" t="n">
        <v>0</v>
      </c>
      <c r="L445" t="n">
        <v>0</v>
      </c>
      <c r="M445" t="n">
        <v>0</v>
      </c>
      <c r="N445" t="n">
        <v>0</v>
      </c>
      <c r="O445" t="n">
        <v>0</v>
      </c>
      <c r="P445" t="n">
        <v>0</v>
      </c>
      <c r="Q445" t="n">
        <v>0</v>
      </c>
      <c r="R445" s="2" t="inlineStr"/>
    </row>
    <row r="446" ht="15" customHeight="1">
      <c r="A446" t="inlineStr">
        <is>
          <t>A 31740-2022</t>
        </is>
      </c>
      <c r="B446" s="1" t="n">
        <v>44776</v>
      </c>
      <c r="C446" s="1" t="n">
        <v>45982</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53750-2022</t>
        </is>
      </c>
      <c r="B447" s="1" t="n">
        <v>44875</v>
      </c>
      <c r="C447" s="1" t="n">
        <v>45982</v>
      </c>
      <c r="D447" t="inlineStr">
        <is>
          <t>SÖDERMANLANDS LÄN</t>
        </is>
      </c>
      <c r="E447" t="inlineStr">
        <is>
          <t>KATRINEHOLM</t>
        </is>
      </c>
      <c r="F447" t="inlineStr">
        <is>
          <t>Övriga Aktiebolag</t>
        </is>
      </c>
      <c r="G447" t="n">
        <v>12.6</v>
      </c>
      <c r="H447" t="n">
        <v>0</v>
      </c>
      <c r="I447" t="n">
        <v>0</v>
      </c>
      <c r="J447" t="n">
        <v>0</v>
      </c>
      <c r="K447" t="n">
        <v>0</v>
      </c>
      <c r="L447" t="n">
        <v>0</v>
      </c>
      <c r="M447" t="n">
        <v>0</v>
      </c>
      <c r="N447" t="n">
        <v>0</v>
      </c>
      <c r="O447" t="n">
        <v>0</v>
      </c>
      <c r="P447" t="n">
        <v>0</v>
      </c>
      <c r="Q447" t="n">
        <v>0</v>
      </c>
      <c r="R447" s="2" t="inlineStr"/>
    </row>
    <row r="448" ht="15" customHeight="1">
      <c r="A448" t="inlineStr">
        <is>
          <t>A 56597-2025</t>
        </is>
      </c>
      <c r="B448" s="1" t="n">
        <v>45975.57271990741</v>
      </c>
      <c r="C448" s="1" t="n">
        <v>45982</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47886-2023</t>
        </is>
      </c>
      <c r="B449" s="1" t="n">
        <v>45204</v>
      </c>
      <c r="C449" s="1" t="n">
        <v>45982</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3125-2024</t>
        </is>
      </c>
      <c r="B450" s="1" t="n">
        <v>45316</v>
      </c>
      <c r="C450" s="1" t="n">
        <v>45982</v>
      </c>
      <c r="D450" t="inlineStr">
        <is>
          <t>SÖDERMANLANDS LÄN</t>
        </is>
      </c>
      <c r="E450" t="inlineStr">
        <is>
          <t>KATRINEHOLM</t>
        </is>
      </c>
      <c r="G450" t="n">
        <v>3.4</v>
      </c>
      <c r="H450" t="n">
        <v>0</v>
      </c>
      <c r="I450" t="n">
        <v>0</v>
      </c>
      <c r="J450" t="n">
        <v>0</v>
      </c>
      <c r="K450" t="n">
        <v>0</v>
      </c>
      <c r="L450" t="n">
        <v>0</v>
      </c>
      <c r="M450" t="n">
        <v>0</v>
      </c>
      <c r="N450" t="n">
        <v>0</v>
      </c>
      <c r="O450" t="n">
        <v>0</v>
      </c>
      <c r="P450" t="n">
        <v>0</v>
      </c>
      <c r="Q450" t="n">
        <v>0</v>
      </c>
      <c r="R450" s="2" t="inlineStr"/>
    </row>
    <row r="451" ht="15" customHeight="1">
      <c r="A451" t="inlineStr">
        <is>
          <t>A 8087-2022</t>
        </is>
      </c>
      <c r="B451" s="1" t="n">
        <v>44609.53502314815</v>
      </c>
      <c r="C451" s="1" t="n">
        <v>45982</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64657-2020</t>
        </is>
      </c>
      <c r="B452" s="1" t="n">
        <v>44169</v>
      </c>
      <c r="C452" s="1" t="n">
        <v>45982</v>
      </c>
      <c r="D452" t="inlineStr">
        <is>
          <t>SÖDERMANLANDS LÄN</t>
        </is>
      </c>
      <c r="E452" t="inlineStr">
        <is>
          <t>KATRINEHOLM</t>
        </is>
      </c>
      <c r="F452" t="inlineStr">
        <is>
          <t>Kyrkan</t>
        </is>
      </c>
      <c r="G452" t="n">
        <v>7.6</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45982</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1143-2024</t>
        </is>
      </c>
      <c r="B454" s="1" t="n">
        <v>45302</v>
      </c>
      <c r="C454" s="1" t="n">
        <v>45982</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3980-2024</t>
        </is>
      </c>
      <c r="B455" s="1" t="n">
        <v>45322</v>
      </c>
      <c r="C455" s="1" t="n">
        <v>45982</v>
      </c>
      <c r="D455" t="inlineStr">
        <is>
          <t>SÖDERMANLANDS LÄN</t>
        </is>
      </c>
      <c r="E455" t="inlineStr">
        <is>
          <t>KATRINEHOLM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17335-2023</t>
        </is>
      </c>
      <c r="B456" s="1" t="n">
        <v>45033</v>
      </c>
      <c r="C456" s="1" t="n">
        <v>45982</v>
      </c>
      <c r="D456" t="inlineStr">
        <is>
          <t>SÖDERMANLANDS LÄN</t>
        </is>
      </c>
      <c r="E456" t="inlineStr">
        <is>
          <t>KATRINEHOLM</t>
        </is>
      </c>
      <c r="G456" t="n">
        <v>3.3</v>
      </c>
      <c r="H456" t="n">
        <v>0</v>
      </c>
      <c r="I456" t="n">
        <v>0</v>
      </c>
      <c r="J456" t="n">
        <v>0</v>
      </c>
      <c r="K456" t="n">
        <v>0</v>
      </c>
      <c r="L456" t="n">
        <v>0</v>
      </c>
      <c r="M456" t="n">
        <v>0</v>
      </c>
      <c r="N456" t="n">
        <v>0</v>
      </c>
      <c r="O456" t="n">
        <v>0</v>
      </c>
      <c r="P456" t="n">
        <v>0</v>
      </c>
      <c r="Q456" t="n">
        <v>0</v>
      </c>
      <c r="R456" s="2" t="inlineStr"/>
    </row>
    <row r="457" ht="15" customHeight="1">
      <c r="A457" t="inlineStr">
        <is>
          <t>A 59898-2022</t>
        </is>
      </c>
      <c r="B457" s="1" t="n">
        <v>44908</v>
      </c>
      <c r="C457" s="1" t="n">
        <v>45982</v>
      </c>
      <c r="D457" t="inlineStr">
        <is>
          <t>SÖDERMANLANDS LÄN</t>
        </is>
      </c>
      <c r="E457" t="inlineStr">
        <is>
          <t>KATRINEHOLM</t>
        </is>
      </c>
      <c r="G457" t="n">
        <v>4.8</v>
      </c>
      <c r="H457" t="n">
        <v>0</v>
      </c>
      <c r="I457" t="n">
        <v>0</v>
      </c>
      <c r="J457" t="n">
        <v>0</v>
      </c>
      <c r="K457" t="n">
        <v>0</v>
      </c>
      <c r="L457" t="n">
        <v>0</v>
      </c>
      <c r="M457" t="n">
        <v>0</v>
      </c>
      <c r="N457" t="n">
        <v>0</v>
      </c>
      <c r="O457" t="n">
        <v>0</v>
      </c>
      <c r="P457" t="n">
        <v>0</v>
      </c>
      <c r="Q457" t="n">
        <v>0</v>
      </c>
      <c r="R457" s="2" t="inlineStr"/>
    </row>
    <row r="458" ht="15" customHeight="1">
      <c r="A458" t="inlineStr">
        <is>
          <t>A 73412-2021</t>
        </is>
      </c>
      <c r="B458" s="1" t="n">
        <v>44551</v>
      </c>
      <c r="C458" s="1" t="n">
        <v>45982</v>
      </c>
      <c r="D458" t="inlineStr">
        <is>
          <t>SÖDERMANLANDS LÄN</t>
        </is>
      </c>
      <c r="E458" t="inlineStr">
        <is>
          <t>KATRINEHOLM</t>
        </is>
      </c>
      <c r="G458" t="n">
        <v>2</v>
      </c>
      <c r="H458" t="n">
        <v>0</v>
      </c>
      <c r="I458" t="n">
        <v>0</v>
      </c>
      <c r="J458" t="n">
        <v>0</v>
      </c>
      <c r="K458" t="n">
        <v>0</v>
      </c>
      <c r="L458" t="n">
        <v>0</v>
      </c>
      <c r="M458" t="n">
        <v>0</v>
      </c>
      <c r="N458" t="n">
        <v>0</v>
      </c>
      <c r="O458" t="n">
        <v>0</v>
      </c>
      <c r="P458" t="n">
        <v>0</v>
      </c>
      <c r="Q458" t="n">
        <v>0</v>
      </c>
      <c r="R458" s="2" t="inlineStr"/>
    </row>
    <row r="459" ht="15" customHeight="1">
      <c r="A459" t="inlineStr">
        <is>
          <t>A 28995-2024</t>
        </is>
      </c>
      <c r="B459" s="1" t="n">
        <v>45481.49899305555</v>
      </c>
      <c r="C459" s="1" t="n">
        <v>45982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28597-2024</t>
        </is>
      </c>
      <c r="B460" s="1" t="n">
        <v>45478</v>
      </c>
      <c r="C460" s="1" t="n">
        <v>45982</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41966-2023</t>
        </is>
      </c>
      <c r="B461" s="1" t="n">
        <v>45177</v>
      </c>
      <c r="C461" s="1" t="n">
        <v>45982</v>
      </c>
      <c r="D461" t="inlineStr">
        <is>
          <t>SÖDERMANLANDS LÄN</t>
        </is>
      </c>
      <c r="E461" t="inlineStr">
        <is>
          <t>KATRINEHOLM</t>
        </is>
      </c>
      <c r="G461" t="n">
        <v>36.9</v>
      </c>
      <c r="H461" t="n">
        <v>0</v>
      </c>
      <c r="I461" t="n">
        <v>0</v>
      </c>
      <c r="J461" t="n">
        <v>0</v>
      </c>
      <c r="K461" t="n">
        <v>0</v>
      </c>
      <c r="L461" t="n">
        <v>0</v>
      </c>
      <c r="M461" t="n">
        <v>0</v>
      </c>
      <c r="N461" t="n">
        <v>0</v>
      </c>
      <c r="O461" t="n">
        <v>0</v>
      </c>
      <c r="P461" t="n">
        <v>0</v>
      </c>
      <c r="Q461" t="n">
        <v>0</v>
      </c>
      <c r="R461" s="2" t="inlineStr"/>
    </row>
    <row r="462" ht="15" customHeight="1">
      <c r="A462" t="inlineStr">
        <is>
          <t>A 10446-2024</t>
        </is>
      </c>
      <c r="B462" s="1" t="n">
        <v>45366</v>
      </c>
      <c r="C462" s="1" t="n">
        <v>45982</v>
      </c>
      <c r="D462" t="inlineStr">
        <is>
          <t>SÖDERMANLANDS LÄN</t>
        </is>
      </c>
      <c r="E462" t="inlineStr">
        <is>
          <t>KATRINEHOLM</t>
        </is>
      </c>
      <c r="G462" t="n">
        <v>2.3</v>
      </c>
      <c r="H462" t="n">
        <v>0</v>
      </c>
      <c r="I462" t="n">
        <v>0</v>
      </c>
      <c r="J462" t="n">
        <v>0</v>
      </c>
      <c r="K462" t="n">
        <v>0</v>
      </c>
      <c r="L462" t="n">
        <v>0</v>
      </c>
      <c r="M462" t="n">
        <v>0</v>
      </c>
      <c r="N462" t="n">
        <v>0</v>
      </c>
      <c r="O462" t="n">
        <v>0</v>
      </c>
      <c r="P462" t="n">
        <v>0</v>
      </c>
      <c r="Q462" t="n">
        <v>0</v>
      </c>
      <c r="R462" s="2" t="inlineStr"/>
    </row>
    <row r="463" ht="15" customHeight="1">
      <c r="A463" t="inlineStr">
        <is>
          <t>A 8761-2023</t>
        </is>
      </c>
      <c r="B463" s="1" t="n">
        <v>44978.49685185185</v>
      </c>
      <c r="C463" s="1" t="n">
        <v>45982</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8778-2023</t>
        </is>
      </c>
      <c r="B464" s="1" t="n">
        <v>44978.5737037037</v>
      </c>
      <c r="C464" s="1" t="n">
        <v>45982</v>
      </c>
      <c r="D464" t="inlineStr">
        <is>
          <t>SÖDERMANLANDS LÄN</t>
        </is>
      </c>
      <c r="E464" t="inlineStr">
        <is>
          <t>KATRINEHOLM</t>
        </is>
      </c>
      <c r="G464" t="n">
        <v>4.5</v>
      </c>
      <c r="H464" t="n">
        <v>0</v>
      </c>
      <c r="I464" t="n">
        <v>0</v>
      </c>
      <c r="J464" t="n">
        <v>0</v>
      </c>
      <c r="K464" t="n">
        <v>0</v>
      </c>
      <c r="L464" t="n">
        <v>0</v>
      </c>
      <c r="M464" t="n">
        <v>0</v>
      </c>
      <c r="N464" t="n">
        <v>0</v>
      </c>
      <c r="O464" t="n">
        <v>0</v>
      </c>
      <c r="P464" t="n">
        <v>0</v>
      </c>
      <c r="Q464" t="n">
        <v>0</v>
      </c>
      <c r="R464" s="2" t="inlineStr"/>
    </row>
    <row r="465" ht="15" customHeight="1">
      <c r="A465" t="inlineStr">
        <is>
          <t>A 63677-2020</t>
        </is>
      </c>
      <c r="B465" s="1" t="n">
        <v>44166</v>
      </c>
      <c r="C465" s="1" t="n">
        <v>45982</v>
      </c>
      <c r="D465" t="inlineStr">
        <is>
          <t>SÖDERMANLANDS LÄN</t>
        </is>
      </c>
      <c r="E465" t="inlineStr">
        <is>
          <t>KATRINEHOLM</t>
        </is>
      </c>
      <c r="F465" t="inlineStr">
        <is>
          <t>Holmen skog AB</t>
        </is>
      </c>
      <c r="G465" t="n">
        <v>2</v>
      </c>
      <c r="H465" t="n">
        <v>0</v>
      </c>
      <c r="I465" t="n">
        <v>0</v>
      </c>
      <c r="J465" t="n">
        <v>0</v>
      </c>
      <c r="K465" t="n">
        <v>0</v>
      </c>
      <c r="L465" t="n">
        <v>0</v>
      </c>
      <c r="M465" t="n">
        <v>0</v>
      </c>
      <c r="N465" t="n">
        <v>0</v>
      </c>
      <c r="O465" t="n">
        <v>0</v>
      </c>
      <c r="P465" t="n">
        <v>0</v>
      </c>
      <c r="Q465" t="n">
        <v>0</v>
      </c>
      <c r="R465" s="2" t="inlineStr"/>
    </row>
    <row r="466" ht="15" customHeight="1">
      <c r="A466" t="inlineStr">
        <is>
          <t>A 15399-2022</t>
        </is>
      </c>
      <c r="B466" s="1" t="n">
        <v>44659</v>
      </c>
      <c r="C466" s="1" t="n">
        <v>45982</v>
      </c>
      <c r="D466" t="inlineStr">
        <is>
          <t>SÖDERMANLANDS LÄN</t>
        </is>
      </c>
      <c r="E466" t="inlineStr">
        <is>
          <t>KATRINEHOLM</t>
        </is>
      </c>
      <c r="G466" t="n">
        <v>5.6</v>
      </c>
      <c r="H466" t="n">
        <v>0</v>
      </c>
      <c r="I466" t="n">
        <v>0</v>
      </c>
      <c r="J466" t="n">
        <v>0</v>
      </c>
      <c r="K466" t="n">
        <v>0</v>
      </c>
      <c r="L466" t="n">
        <v>0</v>
      </c>
      <c r="M466" t="n">
        <v>0</v>
      </c>
      <c r="N466" t="n">
        <v>0</v>
      </c>
      <c r="O466" t="n">
        <v>0</v>
      </c>
      <c r="P466" t="n">
        <v>0</v>
      </c>
      <c r="Q466" t="n">
        <v>0</v>
      </c>
      <c r="R466" s="2" t="inlineStr"/>
    </row>
    <row r="467" ht="15" customHeight="1">
      <c r="A467" t="inlineStr">
        <is>
          <t>A 49116-2024</t>
        </is>
      </c>
      <c r="B467" s="1" t="n">
        <v>45594.6605787037</v>
      </c>
      <c r="C467" s="1" t="n">
        <v>45982</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6753-2022</t>
        </is>
      </c>
      <c r="B468" s="1" t="n">
        <v>44602</v>
      </c>
      <c r="C468" s="1" t="n">
        <v>45982</v>
      </c>
      <c r="D468" t="inlineStr">
        <is>
          <t>SÖDERMANLANDS LÄN</t>
        </is>
      </c>
      <c r="E468" t="inlineStr">
        <is>
          <t>KATRINEHOLM</t>
        </is>
      </c>
      <c r="G468" t="n">
        <v>4.3</v>
      </c>
      <c r="H468" t="n">
        <v>0</v>
      </c>
      <c r="I468" t="n">
        <v>0</v>
      </c>
      <c r="J468" t="n">
        <v>0</v>
      </c>
      <c r="K468" t="n">
        <v>0</v>
      </c>
      <c r="L468" t="n">
        <v>0</v>
      </c>
      <c r="M468" t="n">
        <v>0</v>
      </c>
      <c r="N468" t="n">
        <v>0</v>
      </c>
      <c r="O468" t="n">
        <v>0</v>
      </c>
      <c r="P468" t="n">
        <v>0</v>
      </c>
      <c r="Q468" t="n">
        <v>0</v>
      </c>
      <c r="R468" s="2" t="inlineStr"/>
    </row>
    <row r="469" ht="15" customHeight="1">
      <c r="A469" t="inlineStr">
        <is>
          <t>A 6763-2022</t>
        </is>
      </c>
      <c r="B469" s="1" t="n">
        <v>44602</v>
      </c>
      <c r="C469" s="1" t="n">
        <v>45982</v>
      </c>
      <c r="D469" t="inlineStr">
        <is>
          <t>SÖDERMANLANDS LÄN</t>
        </is>
      </c>
      <c r="E469" t="inlineStr">
        <is>
          <t>KATRINEHOLM</t>
        </is>
      </c>
      <c r="G469" t="n">
        <v>6.7</v>
      </c>
      <c r="H469" t="n">
        <v>0</v>
      </c>
      <c r="I469" t="n">
        <v>0</v>
      </c>
      <c r="J469" t="n">
        <v>0</v>
      </c>
      <c r="K469" t="n">
        <v>0</v>
      </c>
      <c r="L469" t="n">
        <v>0</v>
      </c>
      <c r="M469" t="n">
        <v>0</v>
      </c>
      <c r="N469" t="n">
        <v>0</v>
      </c>
      <c r="O469" t="n">
        <v>0</v>
      </c>
      <c r="P469" t="n">
        <v>0</v>
      </c>
      <c r="Q469" t="n">
        <v>0</v>
      </c>
      <c r="R469" s="2" t="inlineStr"/>
    </row>
    <row r="470" ht="15" customHeight="1">
      <c r="A470" t="inlineStr">
        <is>
          <t>A 39068-2022</t>
        </is>
      </c>
      <c r="B470" s="1" t="n">
        <v>44816</v>
      </c>
      <c r="C470" s="1" t="n">
        <v>45982</v>
      </c>
      <c r="D470" t="inlineStr">
        <is>
          <t>SÖDERMANLANDS LÄN</t>
        </is>
      </c>
      <c r="E470" t="inlineStr">
        <is>
          <t>KATRINEHOLM</t>
        </is>
      </c>
      <c r="G470" t="n">
        <v>3.6</v>
      </c>
      <c r="H470" t="n">
        <v>0</v>
      </c>
      <c r="I470" t="n">
        <v>0</v>
      </c>
      <c r="J470" t="n">
        <v>0</v>
      </c>
      <c r="K470" t="n">
        <v>0</v>
      </c>
      <c r="L470" t="n">
        <v>0</v>
      </c>
      <c r="M470" t="n">
        <v>0</v>
      </c>
      <c r="N470" t="n">
        <v>0</v>
      </c>
      <c r="O470" t="n">
        <v>0</v>
      </c>
      <c r="P470" t="n">
        <v>0</v>
      </c>
      <c r="Q470" t="n">
        <v>0</v>
      </c>
      <c r="R470" s="2" t="inlineStr"/>
    </row>
    <row r="471" ht="15" customHeight="1">
      <c r="A471" t="inlineStr">
        <is>
          <t>A 66540-2021</t>
        </is>
      </c>
      <c r="B471" s="1" t="n">
        <v>44519</v>
      </c>
      <c r="C471" s="1" t="n">
        <v>45982</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57323-2025</t>
        </is>
      </c>
      <c r="B472" s="1" t="n">
        <v>45980.32501157407</v>
      </c>
      <c r="C472" s="1" t="n">
        <v>45982</v>
      </c>
      <c r="D472" t="inlineStr">
        <is>
          <t>SÖDERMANLANDS LÄN</t>
        </is>
      </c>
      <c r="E472" t="inlineStr">
        <is>
          <t>KATRINEHOLM</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8288-2023</t>
        </is>
      </c>
      <c r="B473" s="1" t="n">
        <v>44974</v>
      </c>
      <c r="C473" s="1" t="n">
        <v>45982</v>
      </c>
      <c r="D473" t="inlineStr">
        <is>
          <t>SÖDERMANLANDS LÄN</t>
        </is>
      </c>
      <c r="E473" t="inlineStr">
        <is>
          <t>KATRINEHOLM</t>
        </is>
      </c>
      <c r="F473" t="inlineStr">
        <is>
          <t>Allmännings- och besparingsskogar</t>
        </is>
      </c>
      <c r="G473" t="n">
        <v>5.6</v>
      </c>
      <c r="H473" t="n">
        <v>0</v>
      </c>
      <c r="I473" t="n">
        <v>0</v>
      </c>
      <c r="J473" t="n">
        <v>0</v>
      </c>
      <c r="K473" t="n">
        <v>0</v>
      </c>
      <c r="L473" t="n">
        <v>0</v>
      </c>
      <c r="M473" t="n">
        <v>0</v>
      </c>
      <c r="N473" t="n">
        <v>0</v>
      </c>
      <c r="O473" t="n">
        <v>0</v>
      </c>
      <c r="P473" t="n">
        <v>0</v>
      </c>
      <c r="Q473" t="n">
        <v>0</v>
      </c>
      <c r="R473" s="2" t="inlineStr"/>
    </row>
    <row r="474" ht="15" customHeight="1">
      <c r="A474" t="inlineStr">
        <is>
          <t>A 45142-2021</t>
        </is>
      </c>
      <c r="B474" s="1" t="n">
        <v>44439</v>
      </c>
      <c r="C474" s="1" t="n">
        <v>45982</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5788-2022</t>
        </is>
      </c>
      <c r="B475" s="1" t="n">
        <v>44596.54990740741</v>
      </c>
      <c r="C475" s="1" t="n">
        <v>45982</v>
      </c>
      <c r="D475" t="inlineStr">
        <is>
          <t>SÖDERMANLANDS LÄN</t>
        </is>
      </c>
      <c r="E475" t="inlineStr">
        <is>
          <t>KATRINEHOLM</t>
        </is>
      </c>
      <c r="G475" t="n">
        <v>4.1</v>
      </c>
      <c r="H475" t="n">
        <v>0</v>
      </c>
      <c r="I475" t="n">
        <v>0</v>
      </c>
      <c r="J475" t="n">
        <v>0</v>
      </c>
      <c r="K475" t="n">
        <v>0</v>
      </c>
      <c r="L475" t="n">
        <v>0</v>
      </c>
      <c r="M475" t="n">
        <v>0</v>
      </c>
      <c r="N475" t="n">
        <v>0</v>
      </c>
      <c r="O475" t="n">
        <v>0</v>
      </c>
      <c r="P475" t="n">
        <v>0</v>
      </c>
      <c r="Q475" t="n">
        <v>0</v>
      </c>
      <c r="R475" s="2" t="inlineStr"/>
    </row>
    <row r="476" ht="15" customHeight="1">
      <c r="A476" t="inlineStr">
        <is>
          <t>A 5790-2022</t>
        </is>
      </c>
      <c r="B476" s="1" t="n">
        <v>44596.55368055555</v>
      </c>
      <c r="C476" s="1" t="n">
        <v>45982</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53387-2023</t>
        </is>
      </c>
      <c r="B477" s="1" t="n">
        <v>45229</v>
      </c>
      <c r="C477" s="1" t="n">
        <v>45982</v>
      </c>
      <c r="D477" t="inlineStr">
        <is>
          <t>SÖDERMANLANDS LÄN</t>
        </is>
      </c>
      <c r="E477" t="inlineStr">
        <is>
          <t>KATRINEHOLM</t>
        </is>
      </c>
      <c r="F477" t="inlineStr">
        <is>
          <t>Kyrkan</t>
        </is>
      </c>
      <c r="G477" t="n">
        <v>7.4</v>
      </c>
      <c r="H477" t="n">
        <v>0</v>
      </c>
      <c r="I477" t="n">
        <v>0</v>
      </c>
      <c r="J477" t="n">
        <v>0</v>
      </c>
      <c r="K477" t="n">
        <v>0</v>
      </c>
      <c r="L477" t="n">
        <v>0</v>
      </c>
      <c r="M477" t="n">
        <v>0</v>
      </c>
      <c r="N477" t="n">
        <v>0</v>
      </c>
      <c r="O477" t="n">
        <v>0</v>
      </c>
      <c r="P477" t="n">
        <v>0</v>
      </c>
      <c r="Q477" t="n">
        <v>0</v>
      </c>
      <c r="R477" s="2" t="inlineStr"/>
    </row>
    <row r="478" ht="15" customHeight="1">
      <c r="A478" t="inlineStr">
        <is>
          <t>A 55169-2022</t>
        </is>
      </c>
      <c r="B478" s="1" t="n">
        <v>44886</v>
      </c>
      <c r="C478" s="1" t="n">
        <v>45982</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13612-2023</t>
        </is>
      </c>
      <c r="B479" s="1" t="n">
        <v>45006</v>
      </c>
      <c r="C479" s="1" t="n">
        <v>45982</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20949-2021</t>
        </is>
      </c>
      <c r="B480" s="1" t="n">
        <v>44319</v>
      </c>
      <c r="C480" s="1" t="n">
        <v>45982</v>
      </c>
      <c r="D480" t="inlineStr">
        <is>
          <t>SÖDERMANLANDS LÄN</t>
        </is>
      </c>
      <c r="E480" t="inlineStr">
        <is>
          <t>KATRINEHOLM</t>
        </is>
      </c>
      <c r="G480" t="n">
        <v>0.9</v>
      </c>
      <c r="H480" t="n">
        <v>0</v>
      </c>
      <c r="I480" t="n">
        <v>0</v>
      </c>
      <c r="J480" t="n">
        <v>0</v>
      </c>
      <c r="K480" t="n">
        <v>0</v>
      </c>
      <c r="L480" t="n">
        <v>0</v>
      </c>
      <c r="M480" t="n">
        <v>0</v>
      </c>
      <c r="N480" t="n">
        <v>0</v>
      </c>
      <c r="O480" t="n">
        <v>0</v>
      </c>
      <c r="P480" t="n">
        <v>0</v>
      </c>
      <c r="Q480" t="n">
        <v>0</v>
      </c>
      <c r="R480" s="2" t="inlineStr"/>
    </row>
    <row r="481" ht="15" customHeight="1">
      <c r="A481" t="inlineStr">
        <is>
          <t>A 7747-2024</t>
        </is>
      </c>
      <c r="B481" s="1" t="n">
        <v>45348</v>
      </c>
      <c r="C481" s="1" t="n">
        <v>45982</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4650-2024</t>
        </is>
      </c>
      <c r="B482" s="1" t="n">
        <v>45328</v>
      </c>
      <c r="C482" s="1" t="n">
        <v>45982</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4652-2024</t>
        </is>
      </c>
      <c r="B483" s="1" t="n">
        <v>45328</v>
      </c>
      <c r="C483" s="1" t="n">
        <v>45982</v>
      </c>
      <c r="D483" t="inlineStr">
        <is>
          <t>SÖDERMANLANDS LÄN</t>
        </is>
      </c>
      <c r="E483" t="inlineStr">
        <is>
          <t>KATRINEHOLM</t>
        </is>
      </c>
      <c r="F483" t="inlineStr">
        <is>
          <t>Övriga Aktiebolag</t>
        </is>
      </c>
      <c r="G483" t="n">
        <v>6.1</v>
      </c>
      <c r="H483" t="n">
        <v>0</v>
      </c>
      <c r="I483" t="n">
        <v>0</v>
      </c>
      <c r="J483" t="n">
        <v>0</v>
      </c>
      <c r="K483" t="n">
        <v>0</v>
      </c>
      <c r="L483" t="n">
        <v>0</v>
      </c>
      <c r="M483" t="n">
        <v>0</v>
      </c>
      <c r="N483" t="n">
        <v>0</v>
      </c>
      <c r="O483" t="n">
        <v>0</v>
      </c>
      <c r="P483" t="n">
        <v>0</v>
      </c>
      <c r="Q483" t="n">
        <v>0</v>
      </c>
      <c r="R483" s="2" t="inlineStr"/>
    </row>
    <row r="484" ht="15" customHeight="1">
      <c r="A484" t="inlineStr">
        <is>
          <t>A 48253-2022</t>
        </is>
      </c>
      <c r="B484" s="1" t="n">
        <v>44858</v>
      </c>
      <c r="C484" s="1" t="n">
        <v>45982</v>
      </c>
      <c r="D484" t="inlineStr">
        <is>
          <t>SÖDERMANLANDS LÄN</t>
        </is>
      </c>
      <c r="E484" t="inlineStr">
        <is>
          <t>KATRINEHOLM</t>
        </is>
      </c>
      <c r="G484" t="n">
        <v>4.7</v>
      </c>
      <c r="H484" t="n">
        <v>0</v>
      </c>
      <c r="I484" t="n">
        <v>0</v>
      </c>
      <c r="J484" t="n">
        <v>0</v>
      </c>
      <c r="K484" t="n">
        <v>0</v>
      </c>
      <c r="L484" t="n">
        <v>0</v>
      </c>
      <c r="M484" t="n">
        <v>0</v>
      </c>
      <c r="N484" t="n">
        <v>0</v>
      </c>
      <c r="O484" t="n">
        <v>0</v>
      </c>
      <c r="P484" t="n">
        <v>0</v>
      </c>
      <c r="Q484" t="n">
        <v>0</v>
      </c>
      <c r="R484" s="2" t="inlineStr"/>
    </row>
    <row r="485" ht="15" customHeight="1">
      <c r="A485" t="inlineStr">
        <is>
          <t>A 32166-2022</t>
        </is>
      </c>
      <c r="B485" s="1" t="n">
        <v>44781</v>
      </c>
      <c r="C485" s="1" t="n">
        <v>45982</v>
      </c>
      <c r="D485" t="inlineStr">
        <is>
          <t>SÖDERMANLANDS LÄN</t>
        </is>
      </c>
      <c r="E485" t="inlineStr">
        <is>
          <t>KATRINEHOLM</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59384-2022</t>
        </is>
      </c>
      <c r="B486" s="1" t="n">
        <v>44905</v>
      </c>
      <c r="C486" s="1" t="n">
        <v>45982</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10996-2022</t>
        </is>
      </c>
      <c r="B487" s="1" t="n">
        <v>44628</v>
      </c>
      <c r="C487" s="1" t="n">
        <v>45982</v>
      </c>
      <c r="D487" t="inlineStr">
        <is>
          <t>SÖDERMANLANDS LÄN</t>
        </is>
      </c>
      <c r="E487" t="inlineStr">
        <is>
          <t>KATRINEHOLM</t>
        </is>
      </c>
      <c r="G487" t="n">
        <v>0.3</v>
      </c>
      <c r="H487" t="n">
        <v>0</v>
      </c>
      <c r="I487" t="n">
        <v>0</v>
      </c>
      <c r="J487" t="n">
        <v>0</v>
      </c>
      <c r="K487" t="n">
        <v>0</v>
      </c>
      <c r="L487" t="n">
        <v>0</v>
      </c>
      <c r="M487" t="n">
        <v>0</v>
      </c>
      <c r="N487" t="n">
        <v>0</v>
      </c>
      <c r="O487" t="n">
        <v>0</v>
      </c>
      <c r="P487" t="n">
        <v>0</v>
      </c>
      <c r="Q487" t="n">
        <v>0</v>
      </c>
      <c r="R487" s="2" t="inlineStr"/>
    </row>
    <row r="488" ht="15" customHeight="1">
      <c r="A488" t="inlineStr">
        <is>
          <t>A 25363-2023</t>
        </is>
      </c>
      <c r="B488" s="1" t="n">
        <v>45088.83840277778</v>
      </c>
      <c r="C488" s="1" t="n">
        <v>45982</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7705-2021</t>
        </is>
      </c>
      <c r="B489" s="1" t="n">
        <v>44242</v>
      </c>
      <c r="C489" s="1" t="n">
        <v>45982</v>
      </c>
      <c r="D489" t="inlineStr">
        <is>
          <t>SÖDERMANLANDS LÄN</t>
        </is>
      </c>
      <c r="E489" t="inlineStr">
        <is>
          <t>KATRINEHOLM</t>
        </is>
      </c>
      <c r="F489" t="inlineStr">
        <is>
          <t>Allmännings- och besparingsskogar</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48398-2022</t>
        </is>
      </c>
      <c r="B490" s="1" t="n">
        <v>44858.60809027778</v>
      </c>
      <c r="C490" s="1" t="n">
        <v>45982</v>
      </c>
      <c r="D490" t="inlineStr">
        <is>
          <t>SÖDERMANLANDS LÄN</t>
        </is>
      </c>
      <c r="E490" t="inlineStr">
        <is>
          <t>KATRINEHOLM</t>
        </is>
      </c>
      <c r="G490" t="n">
        <v>1.9</v>
      </c>
      <c r="H490" t="n">
        <v>0</v>
      </c>
      <c r="I490" t="n">
        <v>0</v>
      </c>
      <c r="J490" t="n">
        <v>0</v>
      </c>
      <c r="K490" t="n">
        <v>0</v>
      </c>
      <c r="L490" t="n">
        <v>0</v>
      </c>
      <c r="M490" t="n">
        <v>0</v>
      </c>
      <c r="N490" t="n">
        <v>0</v>
      </c>
      <c r="O490" t="n">
        <v>0</v>
      </c>
      <c r="P490" t="n">
        <v>0</v>
      </c>
      <c r="Q490" t="n">
        <v>0</v>
      </c>
      <c r="R490" s="2" t="inlineStr"/>
    </row>
    <row r="491" ht="15" customHeight="1">
      <c r="A491" t="inlineStr">
        <is>
          <t>A 15945-2024</t>
        </is>
      </c>
      <c r="B491" s="1" t="n">
        <v>45405.48912037037</v>
      </c>
      <c r="C491" s="1" t="n">
        <v>45982</v>
      </c>
      <c r="D491" t="inlineStr">
        <is>
          <t>SÖDERMANLANDS LÄN</t>
        </is>
      </c>
      <c r="E491" t="inlineStr">
        <is>
          <t>KATRINEHOLM</t>
        </is>
      </c>
      <c r="G491" t="n">
        <v>1.8</v>
      </c>
      <c r="H491" t="n">
        <v>0</v>
      </c>
      <c r="I491" t="n">
        <v>0</v>
      </c>
      <c r="J491" t="n">
        <v>0</v>
      </c>
      <c r="K491" t="n">
        <v>0</v>
      </c>
      <c r="L491" t="n">
        <v>0</v>
      </c>
      <c r="M491" t="n">
        <v>0</v>
      </c>
      <c r="N491" t="n">
        <v>0</v>
      </c>
      <c r="O491" t="n">
        <v>0</v>
      </c>
      <c r="P491" t="n">
        <v>0</v>
      </c>
      <c r="Q491" t="n">
        <v>0</v>
      </c>
      <c r="R491" s="2" t="inlineStr"/>
    </row>
    <row r="492" ht="15" customHeight="1">
      <c r="A492" t="inlineStr">
        <is>
          <t>A 1329-2025</t>
        </is>
      </c>
      <c r="B492" s="1" t="n">
        <v>45667</v>
      </c>
      <c r="C492" s="1" t="n">
        <v>45982</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65358-2020</t>
        </is>
      </c>
      <c r="B493" s="1" t="n">
        <v>44173</v>
      </c>
      <c r="C493" s="1" t="n">
        <v>45982</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8475-2023</t>
        </is>
      </c>
      <c r="B494" s="1" t="n">
        <v>44977</v>
      </c>
      <c r="C494" s="1" t="n">
        <v>45982</v>
      </c>
      <c r="D494" t="inlineStr">
        <is>
          <t>SÖDERMANLANDS LÄN</t>
        </is>
      </c>
      <c r="E494" t="inlineStr">
        <is>
          <t>KATRINEHOLM</t>
        </is>
      </c>
      <c r="F494" t="inlineStr">
        <is>
          <t>Allmännings- och besparingsskogar</t>
        </is>
      </c>
      <c r="G494" t="n">
        <v>8.1</v>
      </c>
      <c r="H494" t="n">
        <v>0</v>
      </c>
      <c r="I494" t="n">
        <v>0</v>
      </c>
      <c r="J494" t="n">
        <v>0</v>
      </c>
      <c r="K494" t="n">
        <v>0</v>
      </c>
      <c r="L494" t="n">
        <v>0</v>
      </c>
      <c r="M494" t="n">
        <v>0</v>
      </c>
      <c r="N494" t="n">
        <v>0</v>
      </c>
      <c r="O494" t="n">
        <v>0</v>
      </c>
      <c r="P494" t="n">
        <v>0</v>
      </c>
      <c r="Q494" t="n">
        <v>0</v>
      </c>
      <c r="R494" s="2" t="inlineStr"/>
    </row>
    <row r="495" ht="15" customHeight="1">
      <c r="A495" t="inlineStr">
        <is>
          <t>A 8518-2023</t>
        </is>
      </c>
      <c r="B495" s="1" t="n">
        <v>44977</v>
      </c>
      <c r="C495" s="1" t="n">
        <v>45982</v>
      </c>
      <c r="D495" t="inlineStr">
        <is>
          <t>SÖDERMANLANDS LÄN</t>
        </is>
      </c>
      <c r="E495" t="inlineStr">
        <is>
          <t>KATRINEHOLM</t>
        </is>
      </c>
      <c r="F495" t="inlineStr">
        <is>
          <t>Allmännings- och besparingsskogar</t>
        </is>
      </c>
      <c r="G495" t="n">
        <v>35.3</v>
      </c>
      <c r="H495" t="n">
        <v>0</v>
      </c>
      <c r="I495" t="n">
        <v>0</v>
      </c>
      <c r="J495" t="n">
        <v>0</v>
      </c>
      <c r="K495" t="n">
        <v>0</v>
      </c>
      <c r="L495" t="n">
        <v>0</v>
      </c>
      <c r="M495" t="n">
        <v>0</v>
      </c>
      <c r="N495" t="n">
        <v>0</v>
      </c>
      <c r="O495" t="n">
        <v>0</v>
      </c>
      <c r="P495" t="n">
        <v>0</v>
      </c>
      <c r="Q495" t="n">
        <v>0</v>
      </c>
      <c r="R495" s="2" t="inlineStr"/>
    </row>
    <row r="496" ht="15" customHeight="1">
      <c r="A496" t="inlineStr">
        <is>
          <t>A 46670-2021</t>
        </is>
      </c>
      <c r="B496" s="1" t="n">
        <v>44445</v>
      </c>
      <c r="C496" s="1" t="n">
        <v>45982</v>
      </c>
      <c r="D496" t="inlineStr">
        <is>
          <t>SÖDERMANLANDS LÄN</t>
        </is>
      </c>
      <c r="E496" t="inlineStr">
        <is>
          <t>KATRINEHOLM</t>
        </is>
      </c>
      <c r="G496" t="n">
        <v>4.4</v>
      </c>
      <c r="H496" t="n">
        <v>0</v>
      </c>
      <c r="I496" t="n">
        <v>0</v>
      </c>
      <c r="J496" t="n">
        <v>0</v>
      </c>
      <c r="K496" t="n">
        <v>0</v>
      </c>
      <c r="L496" t="n">
        <v>0</v>
      </c>
      <c r="M496" t="n">
        <v>0</v>
      </c>
      <c r="N496" t="n">
        <v>0</v>
      </c>
      <c r="O496" t="n">
        <v>0</v>
      </c>
      <c r="P496" t="n">
        <v>0</v>
      </c>
      <c r="Q496" t="n">
        <v>0</v>
      </c>
      <c r="R496" s="2" t="inlineStr"/>
    </row>
    <row r="497" ht="15" customHeight="1">
      <c r="A497" t="inlineStr">
        <is>
          <t>A 61911-2021</t>
        </is>
      </c>
      <c r="B497" s="1" t="n">
        <v>44502.35746527778</v>
      </c>
      <c r="C497" s="1" t="n">
        <v>45982</v>
      </c>
      <c r="D497" t="inlineStr">
        <is>
          <t>SÖDERMANLANDS LÄN</t>
        </is>
      </c>
      <c r="E497" t="inlineStr">
        <is>
          <t>KATRINEHOLM</t>
        </is>
      </c>
      <c r="G497" t="n">
        <v>3.8</v>
      </c>
      <c r="H497" t="n">
        <v>0</v>
      </c>
      <c r="I497" t="n">
        <v>0</v>
      </c>
      <c r="J497" t="n">
        <v>0</v>
      </c>
      <c r="K497" t="n">
        <v>0</v>
      </c>
      <c r="L497" t="n">
        <v>0</v>
      </c>
      <c r="M497" t="n">
        <v>0</v>
      </c>
      <c r="N497" t="n">
        <v>0</v>
      </c>
      <c r="O497" t="n">
        <v>0</v>
      </c>
      <c r="P497" t="n">
        <v>0</v>
      </c>
      <c r="Q497" t="n">
        <v>0</v>
      </c>
      <c r="R497" s="2" t="inlineStr"/>
    </row>
    <row r="498" ht="15" customHeight="1">
      <c r="A498" t="inlineStr">
        <is>
          <t>A 43513-2023</t>
        </is>
      </c>
      <c r="B498" s="1" t="n">
        <v>45184</v>
      </c>
      <c r="C498" s="1" t="n">
        <v>45982</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2297-2021</t>
        </is>
      </c>
      <c r="B499" s="1" t="n">
        <v>44212</v>
      </c>
      <c r="C499" s="1" t="n">
        <v>45982</v>
      </c>
      <c r="D499" t="inlineStr">
        <is>
          <t>SÖDERMANLANDS LÄN</t>
        </is>
      </c>
      <c r="E499" t="inlineStr">
        <is>
          <t>KATRINEHOLM</t>
        </is>
      </c>
      <c r="G499" t="n">
        <v>14.4</v>
      </c>
      <c r="H499" t="n">
        <v>0</v>
      </c>
      <c r="I499" t="n">
        <v>0</v>
      </c>
      <c r="J499" t="n">
        <v>0</v>
      </c>
      <c r="K499" t="n">
        <v>0</v>
      </c>
      <c r="L499" t="n">
        <v>0</v>
      </c>
      <c r="M499" t="n">
        <v>0</v>
      </c>
      <c r="N499" t="n">
        <v>0</v>
      </c>
      <c r="O499" t="n">
        <v>0</v>
      </c>
      <c r="P499" t="n">
        <v>0</v>
      </c>
      <c r="Q499" t="n">
        <v>0</v>
      </c>
      <c r="R499" s="2" t="inlineStr"/>
    </row>
    <row r="500" ht="15" customHeight="1">
      <c r="A500" t="inlineStr">
        <is>
          <t>A 49122-2024</t>
        </is>
      </c>
      <c r="B500" s="1" t="n">
        <v>45594</v>
      </c>
      <c r="C500" s="1" t="n">
        <v>45982</v>
      </c>
      <c r="D500" t="inlineStr">
        <is>
          <t>SÖDERMANLANDS LÄN</t>
        </is>
      </c>
      <c r="E500" t="inlineStr">
        <is>
          <t>KATRINEHOLM</t>
        </is>
      </c>
      <c r="G500" t="n">
        <v>19.4</v>
      </c>
      <c r="H500" t="n">
        <v>0</v>
      </c>
      <c r="I500" t="n">
        <v>0</v>
      </c>
      <c r="J500" t="n">
        <v>0</v>
      </c>
      <c r="K500" t="n">
        <v>0</v>
      </c>
      <c r="L500" t="n">
        <v>0</v>
      </c>
      <c r="M500" t="n">
        <v>0</v>
      </c>
      <c r="N500" t="n">
        <v>0</v>
      </c>
      <c r="O500" t="n">
        <v>0</v>
      </c>
      <c r="P500" t="n">
        <v>0</v>
      </c>
      <c r="Q500" t="n">
        <v>0</v>
      </c>
      <c r="R500" s="2" t="inlineStr"/>
    </row>
    <row r="501" ht="15" customHeight="1">
      <c r="A501" t="inlineStr">
        <is>
          <t>A 8791-2023</t>
        </is>
      </c>
      <c r="B501" s="1" t="n">
        <v>44978</v>
      </c>
      <c r="C501" s="1" t="n">
        <v>45982</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55825-2022</t>
        </is>
      </c>
      <c r="B502" s="1" t="n">
        <v>44886</v>
      </c>
      <c r="C502" s="1" t="n">
        <v>45982</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62954-2023</t>
        </is>
      </c>
      <c r="B503" s="1" t="n">
        <v>45272.55362268518</v>
      </c>
      <c r="C503" s="1" t="n">
        <v>45982</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65485-2020</t>
        </is>
      </c>
      <c r="B504" s="1" t="n">
        <v>44173</v>
      </c>
      <c r="C504" s="1" t="n">
        <v>45982</v>
      </c>
      <c r="D504" t="inlineStr">
        <is>
          <t>SÖDERMANLANDS LÄN</t>
        </is>
      </c>
      <c r="E504" t="inlineStr">
        <is>
          <t>KATRINEHOLM</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7191-2023</t>
        </is>
      </c>
      <c r="B505" s="1" t="n">
        <v>44965</v>
      </c>
      <c r="C505" s="1" t="n">
        <v>45982</v>
      </c>
      <c r="D505" t="inlineStr">
        <is>
          <t>SÖDERMANLANDS LÄN</t>
        </is>
      </c>
      <c r="E505" t="inlineStr">
        <is>
          <t>KATRINEHOLM</t>
        </is>
      </c>
      <c r="G505" t="n">
        <v>14.1</v>
      </c>
      <c r="H505" t="n">
        <v>0</v>
      </c>
      <c r="I505" t="n">
        <v>0</v>
      </c>
      <c r="J505" t="n">
        <v>0</v>
      </c>
      <c r="K505" t="n">
        <v>0</v>
      </c>
      <c r="L505" t="n">
        <v>0</v>
      </c>
      <c r="M505" t="n">
        <v>0</v>
      </c>
      <c r="N505" t="n">
        <v>0</v>
      </c>
      <c r="O505" t="n">
        <v>0</v>
      </c>
      <c r="P505" t="n">
        <v>0</v>
      </c>
      <c r="Q505" t="n">
        <v>0</v>
      </c>
      <c r="R505" s="2" t="inlineStr"/>
    </row>
    <row r="506" ht="15" customHeight="1">
      <c r="A506" t="inlineStr">
        <is>
          <t>A 37834-2023</t>
        </is>
      </c>
      <c r="B506" s="1" t="n">
        <v>45160</v>
      </c>
      <c r="C506" s="1" t="n">
        <v>45982</v>
      </c>
      <c r="D506" t="inlineStr">
        <is>
          <t>SÖDERMANLANDS LÄN</t>
        </is>
      </c>
      <c r="E506" t="inlineStr">
        <is>
          <t>KATRINEHOLM</t>
        </is>
      </c>
      <c r="F506" t="inlineStr">
        <is>
          <t>Kyrkan</t>
        </is>
      </c>
      <c r="G506" t="n">
        <v>2.8</v>
      </c>
      <c r="H506" t="n">
        <v>0</v>
      </c>
      <c r="I506" t="n">
        <v>0</v>
      </c>
      <c r="J506" t="n">
        <v>0</v>
      </c>
      <c r="K506" t="n">
        <v>0</v>
      </c>
      <c r="L506" t="n">
        <v>0</v>
      </c>
      <c r="M506" t="n">
        <v>0</v>
      </c>
      <c r="N506" t="n">
        <v>0</v>
      </c>
      <c r="O506" t="n">
        <v>0</v>
      </c>
      <c r="P506" t="n">
        <v>0</v>
      </c>
      <c r="Q506" t="n">
        <v>0</v>
      </c>
      <c r="R506" s="2" t="inlineStr"/>
    </row>
    <row r="507" ht="15" customHeight="1">
      <c r="A507" t="inlineStr">
        <is>
          <t>A 36210-2022</t>
        </is>
      </c>
      <c r="B507" s="1" t="n">
        <v>44803.47950231482</v>
      </c>
      <c r="C507" s="1" t="n">
        <v>45982</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19685-2022</t>
        </is>
      </c>
      <c r="B508" s="1" t="n">
        <v>44694</v>
      </c>
      <c r="C508" s="1" t="n">
        <v>45982</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8951-2024</t>
        </is>
      </c>
      <c r="B509" s="1" t="n">
        <v>45357.44695601852</v>
      </c>
      <c r="C509" s="1" t="n">
        <v>45982</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14224-2024</t>
        </is>
      </c>
      <c r="B510" s="1" t="n">
        <v>45393</v>
      </c>
      <c r="C510" s="1" t="n">
        <v>45982</v>
      </c>
      <c r="D510" t="inlineStr">
        <is>
          <t>SÖDERMANLANDS LÄN</t>
        </is>
      </c>
      <c r="E510" t="inlineStr">
        <is>
          <t>KATRINEHOLM</t>
        </is>
      </c>
      <c r="F510" t="inlineStr">
        <is>
          <t>Sveaskog</t>
        </is>
      </c>
      <c r="G510" t="n">
        <v>7.6</v>
      </c>
      <c r="H510" t="n">
        <v>0</v>
      </c>
      <c r="I510" t="n">
        <v>0</v>
      </c>
      <c r="J510" t="n">
        <v>0</v>
      </c>
      <c r="K510" t="n">
        <v>0</v>
      </c>
      <c r="L510" t="n">
        <v>0</v>
      </c>
      <c r="M510" t="n">
        <v>0</v>
      </c>
      <c r="N510" t="n">
        <v>0</v>
      </c>
      <c r="O510" t="n">
        <v>0</v>
      </c>
      <c r="P510" t="n">
        <v>0</v>
      </c>
      <c r="Q510" t="n">
        <v>0</v>
      </c>
      <c r="R510" s="2" t="inlineStr"/>
    </row>
    <row r="511" ht="15" customHeight="1">
      <c r="A511" t="inlineStr">
        <is>
          <t>A 44989-2022</t>
        </is>
      </c>
      <c r="B511" s="1" t="n">
        <v>44840</v>
      </c>
      <c r="C511" s="1" t="n">
        <v>45982</v>
      </c>
      <c r="D511" t="inlineStr">
        <is>
          <t>SÖDERMANLANDS LÄN</t>
        </is>
      </c>
      <c r="E511" t="inlineStr">
        <is>
          <t>KATRINEHOLM</t>
        </is>
      </c>
      <c r="G511" t="n">
        <v>6</v>
      </c>
      <c r="H511" t="n">
        <v>0</v>
      </c>
      <c r="I511" t="n">
        <v>0</v>
      </c>
      <c r="J511" t="n">
        <v>0</v>
      </c>
      <c r="K511" t="n">
        <v>0</v>
      </c>
      <c r="L511" t="n">
        <v>0</v>
      </c>
      <c r="M511" t="n">
        <v>0</v>
      </c>
      <c r="N511" t="n">
        <v>0</v>
      </c>
      <c r="O511" t="n">
        <v>0</v>
      </c>
      <c r="P511" t="n">
        <v>0</v>
      </c>
      <c r="Q511" t="n">
        <v>0</v>
      </c>
      <c r="R511" s="2" t="inlineStr"/>
    </row>
    <row r="512" ht="15" customHeight="1">
      <c r="A512" t="inlineStr">
        <is>
          <t>A 57263-2022</t>
        </is>
      </c>
      <c r="B512" s="1" t="n">
        <v>44895</v>
      </c>
      <c r="C512" s="1" t="n">
        <v>45982</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65077-2020</t>
        </is>
      </c>
      <c r="B513" s="1" t="n">
        <v>44172</v>
      </c>
      <c r="C513" s="1" t="n">
        <v>45982</v>
      </c>
      <c r="D513" t="inlineStr">
        <is>
          <t>SÖDERMANLANDS LÄN</t>
        </is>
      </c>
      <c r="E513" t="inlineStr">
        <is>
          <t>KATRINEHOLM</t>
        </is>
      </c>
      <c r="G513" t="n">
        <v>1.6</v>
      </c>
      <c r="H513" t="n">
        <v>0</v>
      </c>
      <c r="I513" t="n">
        <v>0</v>
      </c>
      <c r="J513" t="n">
        <v>0</v>
      </c>
      <c r="K513" t="n">
        <v>0</v>
      </c>
      <c r="L513" t="n">
        <v>0</v>
      </c>
      <c r="M513" t="n">
        <v>0</v>
      </c>
      <c r="N513" t="n">
        <v>0</v>
      </c>
      <c r="O513" t="n">
        <v>0</v>
      </c>
      <c r="P513" t="n">
        <v>0</v>
      </c>
      <c r="Q513" t="n">
        <v>0</v>
      </c>
      <c r="R513" s="2" t="inlineStr"/>
    </row>
    <row r="514" ht="15" customHeight="1">
      <c r="A514" t="inlineStr">
        <is>
          <t>A 49218-2023</t>
        </is>
      </c>
      <c r="B514" s="1" t="n">
        <v>45205</v>
      </c>
      <c r="C514" s="1" t="n">
        <v>45982</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4679-2023</t>
        </is>
      </c>
      <c r="B515" s="1" t="n">
        <v>44957.44885416667</v>
      </c>
      <c r="C515" s="1" t="n">
        <v>45982</v>
      </c>
      <c r="D515" t="inlineStr">
        <is>
          <t>SÖDERMANLANDS LÄN</t>
        </is>
      </c>
      <c r="E515" t="inlineStr">
        <is>
          <t>KATRINEHOLM</t>
        </is>
      </c>
      <c r="G515" t="n">
        <v>5.3</v>
      </c>
      <c r="H515" t="n">
        <v>0</v>
      </c>
      <c r="I515" t="n">
        <v>0</v>
      </c>
      <c r="J515" t="n">
        <v>0</v>
      </c>
      <c r="K515" t="n">
        <v>0</v>
      </c>
      <c r="L515" t="n">
        <v>0</v>
      </c>
      <c r="M515" t="n">
        <v>0</v>
      </c>
      <c r="N515" t="n">
        <v>0</v>
      </c>
      <c r="O515" t="n">
        <v>0</v>
      </c>
      <c r="P515" t="n">
        <v>0</v>
      </c>
      <c r="Q515" t="n">
        <v>0</v>
      </c>
      <c r="R515" s="2" t="inlineStr"/>
    </row>
    <row r="516" ht="15" customHeight="1">
      <c r="A516" t="inlineStr">
        <is>
          <t>A 2320-2023</t>
        </is>
      </c>
      <c r="B516" s="1" t="n">
        <v>44942.58850694444</v>
      </c>
      <c r="C516" s="1" t="n">
        <v>45982</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2325-2023</t>
        </is>
      </c>
      <c r="B517" s="1" t="n">
        <v>44942</v>
      </c>
      <c r="C517" s="1" t="n">
        <v>45982</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55732-2023</t>
        </is>
      </c>
      <c r="B518" s="1" t="n">
        <v>45239</v>
      </c>
      <c r="C518" s="1" t="n">
        <v>45982</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17792-2025</t>
        </is>
      </c>
      <c r="B519" s="1" t="n">
        <v>45758</v>
      </c>
      <c r="C519" s="1" t="n">
        <v>45982</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58473-2021</t>
        </is>
      </c>
      <c r="B520" s="1" t="n">
        <v>44488</v>
      </c>
      <c r="C520" s="1" t="n">
        <v>45982</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53860-2021</t>
        </is>
      </c>
      <c r="B521" s="1" t="n">
        <v>44467</v>
      </c>
      <c r="C521" s="1" t="n">
        <v>45982</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45982</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29702-2021</t>
        </is>
      </c>
      <c r="B523" s="1" t="n">
        <v>44362</v>
      </c>
      <c r="C523" s="1" t="n">
        <v>45982</v>
      </c>
      <c r="D523" t="inlineStr">
        <is>
          <t>SÖDERMANLANDS LÄN</t>
        </is>
      </c>
      <c r="E523" t="inlineStr">
        <is>
          <t>KATRINEHOLM</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4662-2023</t>
        </is>
      </c>
      <c r="B524" s="1" t="n">
        <v>44957</v>
      </c>
      <c r="C524" s="1" t="n">
        <v>45982</v>
      </c>
      <c r="D524" t="inlineStr">
        <is>
          <t>SÖDERMANLANDS LÄN</t>
        </is>
      </c>
      <c r="E524" t="inlineStr">
        <is>
          <t>KATRINEHOLM</t>
        </is>
      </c>
      <c r="F524" t="inlineStr">
        <is>
          <t>Holmen skog AB</t>
        </is>
      </c>
      <c r="G524" t="n">
        <v>0.4</v>
      </c>
      <c r="H524" t="n">
        <v>0</v>
      </c>
      <c r="I524" t="n">
        <v>0</v>
      </c>
      <c r="J524" t="n">
        <v>0</v>
      </c>
      <c r="K524" t="n">
        <v>0</v>
      </c>
      <c r="L524" t="n">
        <v>0</v>
      </c>
      <c r="M524" t="n">
        <v>0</v>
      </c>
      <c r="N524" t="n">
        <v>0</v>
      </c>
      <c r="O524" t="n">
        <v>0</v>
      </c>
      <c r="P524" t="n">
        <v>0</v>
      </c>
      <c r="Q524" t="n">
        <v>0</v>
      </c>
      <c r="R524" s="2" t="inlineStr"/>
    </row>
    <row r="525" ht="15" customHeight="1">
      <c r="A525" t="inlineStr">
        <is>
          <t>A 22304-2024</t>
        </is>
      </c>
      <c r="B525" s="1" t="n">
        <v>45446.56626157407</v>
      </c>
      <c r="C525" s="1" t="n">
        <v>45982</v>
      </c>
      <c r="D525" t="inlineStr">
        <is>
          <t>SÖDERMANLANDS LÄN</t>
        </is>
      </c>
      <c r="E525" t="inlineStr">
        <is>
          <t>KATRINEHOLM</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13171-2024</t>
        </is>
      </c>
      <c r="B526" s="1" t="n">
        <v>45386</v>
      </c>
      <c r="C526" s="1" t="n">
        <v>45982</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33752-2023</t>
        </is>
      </c>
      <c r="B527" s="1" t="n">
        <v>45120</v>
      </c>
      <c r="C527" s="1" t="n">
        <v>45982</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28652-2024</t>
        </is>
      </c>
      <c r="B528" s="1" t="n">
        <v>45478</v>
      </c>
      <c r="C528" s="1" t="n">
        <v>45982</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9936-2023</t>
        </is>
      </c>
      <c r="B529" s="1" t="n">
        <v>44985.47086805556</v>
      </c>
      <c r="C529" s="1" t="n">
        <v>45982</v>
      </c>
      <c r="D529" t="inlineStr">
        <is>
          <t>SÖDERMANLANDS LÄN</t>
        </is>
      </c>
      <c r="E529" t="inlineStr">
        <is>
          <t>KATRINEHOLM</t>
        </is>
      </c>
      <c r="G529" t="n">
        <v>0.4</v>
      </c>
      <c r="H529" t="n">
        <v>0</v>
      </c>
      <c r="I529" t="n">
        <v>0</v>
      </c>
      <c r="J529" t="n">
        <v>0</v>
      </c>
      <c r="K529" t="n">
        <v>0</v>
      </c>
      <c r="L529" t="n">
        <v>0</v>
      </c>
      <c r="M529" t="n">
        <v>0</v>
      </c>
      <c r="N529" t="n">
        <v>0</v>
      </c>
      <c r="O529" t="n">
        <v>0</v>
      </c>
      <c r="P529" t="n">
        <v>0</v>
      </c>
      <c r="Q529" t="n">
        <v>0</v>
      </c>
      <c r="R529" s="2" t="inlineStr"/>
    </row>
    <row r="530" ht="15" customHeight="1">
      <c r="A530" t="inlineStr">
        <is>
          <t>A 9192-2023</t>
        </is>
      </c>
      <c r="B530" s="1" t="n">
        <v>44980</v>
      </c>
      <c r="C530" s="1" t="n">
        <v>45982</v>
      </c>
      <c r="D530" t="inlineStr">
        <is>
          <t>SÖDERMANLANDS LÄN</t>
        </is>
      </c>
      <c r="E530" t="inlineStr">
        <is>
          <t>KATRINEHOLM</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72984-2021</t>
        </is>
      </c>
      <c r="B531" s="1" t="n">
        <v>44549.74741898148</v>
      </c>
      <c r="C531" s="1" t="n">
        <v>45982</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33712-2022</t>
        </is>
      </c>
      <c r="B532" s="1" t="n">
        <v>44789</v>
      </c>
      <c r="C532" s="1" t="n">
        <v>45982</v>
      </c>
      <c r="D532" t="inlineStr">
        <is>
          <t>SÖDERMANLANDS LÄN</t>
        </is>
      </c>
      <c r="E532" t="inlineStr">
        <is>
          <t>KATRINEHOLM</t>
        </is>
      </c>
      <c r="G532" t="n">
        <v>4.3</v>
      </c>
      <c r="H532" t="n">
        <v>0</v>
      </c>
      <c r="I532" t="n">
        <v>0</v>
      </c>
      <c r="J532" t="n">
        <v>0</v>
      </c>
      <c r="K532" t="n">
        <v>0</v>
      </c>
      <c r="L532" t="n">
        <v>0</v>
      </c>
      <c r="M532" t="n">
        <v>0</v>
      </c>
      <c r="N532" t="n">
        <v>0</v>
      </c>
      <c r="O532" t="n">
        <v>0</v>
      </c>
      <c r="P532" t="n">
        <v>0</v>
      </c>
      <c r="Q532" t="n">
        <v>0</v>
      </c>
      <c r="R532" s="2" t="inlineStr"/>
    </row>
    <row r="533" ht="15" customHeight="1">
      <c r="A533" t="inlineStr">
        <is>
          <t>A 33717-2022</t>
        </is>
      </c>
      <c r="B533" s="1" t="n">
        <v>44789</v>
      </c>
      <c r="C533" s="1" t="n">
        <v>45982</v>
      </c>
      <c r="D533" t="inlineStr">
        <is>
          <t>SÖDERMANLANDS LÄN</t>
        </is>
      </c>
      <c r="E533" t="inlineStr">
        <is>
          <t>KATRINEHOLM</t>
        </is>
      </c>
      <c r="G533" t="n">
        <v>4.4</v>
      </c>
      <c r="H533" t="n">
        <v>0</v>
      </c>
      <c r="I533" t="n">
        <v>0</v>
      </c>
      <c r="J533" t="n">
        <v>0</v>
      </c>
      <c r="K533" t="n">
        <v>0</v>
      </c>
      <c r="L533" t="n">
        <v>0</v>
      </c>
      <c r="M533" t="n">
        <v>0</v>
      </c>
      <c r="N533" t="n">
        <v>0</v>
      </c>
      <c r="O533" t="n">
        <v>0</v>
      </c>
      <c r="P533" t="n">
        <v>0</v>
      </c>
      <c r="Q533" t="n">
        <v>0</v>
      </c>
      <c r="R533" s="2" t="inlineStr"/>
    </row>
    <row r="534" ht="15" customHeight="1">
      <c r="A534" t="inlineStr">
        <is>
          <t>A 51440-2024</t>
        </is>
      </c>
      <c r="B534" s="1" t="n">
        <v>45604</v>
      </c>
      <c r="C534" s="1" t="n">
        <v>45982</v>
      </c>
      <c r="D534" t="inlineStr">
        <is>
          <t>SÖDERMANLANDS LÄN</t>
        </is>
      </c>
      <c r="E534" t="inlineStr">
        <is>
          <t>KATRINEHOLM</t>
        </is>
      </c>
      <c r="G534" t="n">
        <v>4.7</v>
      </c>
      <c r="H534" t="n">
        <v>0</v>
      </c>
      <c r="I534" t="n">
        <v>0</v>
      </c>
      <c r="J534" t="n">
        <v>0</v>
      </c>
      <c r="K534" t="n">
        <v>0</v>
      </c>
      <c r="L534" t="n">
        <v>0</v>
      </c>
      <c r="M534" t="n">
        <v>0</v>
      </c>
      <c r="N534" t="n">
        <v>0</v>
      </c>
      <c r="O534" t="n">
        <v>0</v>
      </c>
      <c r="P534" t="n">
        <v>0</v>
      </c>
      <c r="Q534" t="n">
        <v>0</v>
      </c>
      <c r="R534" s="2" t="inlineStr"/>
    </row>
    <row r="535" ht="15" customHeight="1">
      <c r="A535" t="inlineStr">
        <is>
          <t>A 2298-2021</t>
        </is>
      </c>
      <c r="B535" s="1" t="n">
        <v>44212</v>
      </c>
      <c r="C535" s="1" t="n">
        <v>45982</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51260-2021</t>
        </is>
      </c>
      <c r="B536" s="1" t="n">
        <v>44461</v>
      </c>
      <c r="C536" s="1" t="n">
        <v>45982</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38879-2024</t>
        </is>
      </c>
      <c r="B537" s="1" t="n">
        <v>45547</v>
      </c>
      <c r="C537" s="1" t="n">
        <v>45982</v>
      </c>
      <c r="D537" t="inlineStr">
        <is>
          <t>SÖDERMANLANDS LÄN</t>
        </is>
      </c>
      <c r="E537" t="inlineStr">
        <is>
          <t>KATRINEHOLM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42945-2023</t>
        </is>
      </c>
      <c r="B538" s="1" t="n">
        <v>45182.5793287037</v>
      </c>
      <c r="C538" s="1" t="n">
        <v>45982</v>
      </c>
      <c r="D538" t="inlineStr">
        <is>
          <t>SÖDERMANLANDS LÄN</t>
        </is>
      </c>
      <c r="E538" t="inlineStr">
        <is>
          <t>KATRINEHOLM</t>
        </is>
      </c>
      <c r="F538" t="inlineStr">
        <is>
          <t>Övriga Aktiebolag</t>
        </is>
      </c>
      <c r="G538" t="n">
        <v>2.2</v>
      </c>
      <c r="H538" t="n">
        <v>0</v>
      </c>
      <c r="I538" t="n">
        <v>0</v>
      </c>
      <c r="J538" t="n">
        <v>0</v>
      </c>
      <c r="K538" t="n">
        <v>0</v>
      </c>
      <c r="L538" t="n">
        <v>0</v>
      </c>
      <c r="M538" t="n">
        <v>0</v>
      </c>
      <c r="N538" t="n">
        <v>0</v>
      </c>
      <c r="O538" t="n">
        <v>0</v>
      </c>
      <c r="P538" t="n">
        <v>0</v>
      </c>
      <c r="Q538" t="n">
        <v>0</v>
      </c>
      <c r="R538" s="2" t="inlineStr"/>
    </row>
    <row r="539" ht="15" customHeight="1">
      <c r="A539" t="inlineStr">
        <is>
          <t>A 42962-2023</t>
        </is>
      </c>
      <c r="B539" s="1" t="n">
        <v>45182</v>
      </c>
      <c r="C539" s="1" t="n">
        <v>45982</v>
      </c>
      <c r="D539" t="inlineStr">
        <is>
          <t>SÖDERMANLANDS LÄN</t>
        </is>
      </c>
      <c r="E539" t="inlineStr">
        <is>
          <t>KATRINEHOLM</t>
        </is>
      </c>
      <c r="F539" t="inlineStr">
        <is>
          <t>Övriga Aktiebolag</t>
        </is>
      </c>
      <c r="G539" t="n">
        <v>10.6</v>
      </c>
      <c r="H539" t="n">
        <v>0</v>
      </c>
      <c r="I539" t="n">
        <v>0</v>
      </c>
      <c r="J539" t="n">
        <v>0</v>
      </c>
      <c r="K539" t="n">
        <v>0</v>
      </c>
      <c r="L539" t="n">
        <v>0</v>
      </c>
      <c r="M539" t="n">
        <v>0</v>
      </c>
      <c r="N539" t="n">
        <v>0</v>
      </c>
      <c r="O539" t="n">
        <v>0</v>
      </c>
      <c r="P539" t="n">
        <v>0</v>
      </c>
      <c r="Q539" t="n">
        <v>0</v>
      </c>
      <c r="R539" s="2" t="inlineStr"/>
    </row>
    <row r="540" ht="15" customHeight="1">
      <c r="A540" t="inlineStr">
        <is>
          <t>A 33538-2022</t>
        </is>
      </c>
      <c r="B540" s="1" t="n">
        <v>44789</v>
      </c>
      <c r="C540" s="1" t="n">
        <v>45982</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16605-2025</t>
        </is>
      </c>
      <c r="B541" s="1" t="n">
        <v>45753.61614583333</v>
      </c>
      <c r="C541" s="1" t="n">
        <v>45982</v>
      </c>
      <c r="D541" t="inlineStr">
        <is>
          <t>SÖDERMANLANDS LÄN</t>
        </is>
      </c>
      <c r="E541" t="inlineStr">
        <is>
          <t>KATRINEHOLM</t>
        </is>
      </c>
      <c r="G541" t="n">
        <v>5.2</v>
      </c>
      <c r="H541" t="n">
        <v>0</v>
      </c>
      <c r="I541" t="n">
        <v>0</v>
      </c>
      <c r="J541" t="n">
        <v>0</v>
      </c>
      <c r="K541" t="n">
        <v>0</v>
      </c>
      <c r="L541" t="n">
        <v>0</v>
      </c>
      <c r="M541" t="n">
        <v>0</v>
      </c>
      <c r="N541" t="n">
        <v>0</v>
      </c>
      <c r="O541" t="n">
        <v>0</v>
      </c>
      <c r="P541" t="n">
        <v>0</v>
      </c>
      <c r="Q541" t="n">
        <v>0</v>
      </c>
      <c r="R541" s="2" t="inlineStr"/>
    </row>
    <row r="542" ht="15" customHeight="1">
      <c r="A542" t="inlineStr">
        <is>
          <t>A 73409-2021</t>
        </is>
      </c>
      <c r="B542" s="1" t="n">
        <v>44551</v>
      </c>
      <c r="C542" s="1" t="n">
        <v>45982</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73415-2021</t>
        </is>
      </c>
      <c r="B543" s="1" t="n">
        <v>44551</v>
      </c>
      <c r="C543" s="1" t="n">
        <v>45982</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63188-2021</t>
        </is>
      </c>
      <c r="B544" s="1" t="n">
        <v>44507.56865740741</v>
      </c>
      <c r="C544" s="1" t="n">
        <v>45982</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64713-2023</t>
        </is>
      </c>
      <c r="B545" s="1" t="n">
        <v>45281</v>
      </c>
      <c r="C545" s="1" t="n">
        <v>45982</v>
      </c>
      <c r="D545" t="inlineStr">
        <is>
          <t>SÖDERMANLANDS LÄN</t>
        </is>
      </c>
      <c r="E545" t="inlineStr">
        <is>
          <t>KATRINEHOLM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28304-2024</t>
        </is>
      </c>
      <c r="B546" s="1" t="n">
        <v>45477</v>
      </c>
      <c r="C546" s="1" t="n">
        <v>45982</v>
      </c>
      <c r="D546" t="inlineStr">
        <is>
          <t>SÖDERMANLANDS LÄN</t>
        </is>
      </c>
      <c r="E546" t="inlineStr">
        <is>
          <t>KATRINEHOLM</t>
        </is>
      </c>
      <c r="G546" t="n">
        <v>3.8</v>
      </c>
      <c r="H546" t="n">
        <v>0</v>
      </c>
      <c r="I546" t="n">
        <v>0</v>
      </c>
      <c r="J546" t="n">
        <v>0</v>
      </c>
      <c r="K546" t="n">
        <v>0</v>
      </c>
      <c r="L546" t="n">
        <v>0</v>
      </c>
      <c r="M546" t="n">
        <v>0</v>
      </c>
      <c r="N546" t="n">
        <v>0</v>
      </c>
      <c r="O546" t="n">
        <v>0</v>
      </c>
      <c r="P546" t="n">
        <v>0</v>
      </c>
      <c r="Q546" t="n">
        <v>0</v>
      </c>
      <c r="R546" s="2" t="inlineStr"/>
    </row>
    <row r="547" ht="15" customHeight="1">
      <c r="A547" t="inlineStr">
        <is>
          <t>A 8457-2023</t>
        </is>
      </c>
      <c r="B547" s="1" t="n">
        <v>44977</v>
      </c>
      <c r="C547" s="1" t="n">
        <v>45982</v>
      </c>
      <c r="D547" t="inlineStr">
        <is>
          <t>SÖDERMANLANDS LÄN</t>
        </is>
      </c>
      <c r="E547" t="inlineStr">
        <is>
          <t>KATRINEHOLM</t>
        </is>
      </c>
      <c r="F547" t="inlineStr">
        <is>
          <t>Allmännings- och besparingsskogar</t>
        </is>
      </c>
      <c r="G547" t="n">
        <v>16.1</v>
      </c>
      <c r="H547" t="n">
        <v>0</v>
      </c>
      <c r="I547" t="n">
        <v>0</v>
      </c>
      <c r="J547" t="n">
        <v>0</v>
      </c>
      <c r="K547" t="n">
        <v>0</v>
      </c>
      <c r="L547" t="n">
        <v>0</v>
      </c>
      <c r="M547" t="n">
        <v>0</v>
      </c>
      <c r="N547" t="n">
        <v>0</v>
      </c>
      <c r="O547" t="n">
        <v>0</v>
      </c>
      <c r="P547" t="n">
        <v>0</v>
      </c>
      <c r="Q547" t="n">
        <v>0</v>
      </c>
      <c r="R547" s="2" t="inlineStr"/>
    </row>
    <row r="548" ht="15" customHeight="1">
      <c r="A548" t="inlineStr">
        <is>
          <t>A 7322-2023</t>
        </is>
      </c>
      <c r="B548" s="1" t="n">
        <v>44970</v>
      </c>
      <c r="C548" s="1" t="n">
        <v>45982</v>
      </c>
      <c r="D548" t="inlineStr">
        <is>
          <t>SÖDERMANLANDS LÄN</t>
        </is>
      </c>
      <c r="E548" t="inlineStr">
        <is>
          <t>KATRINEHOLM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60160-2022</t>
        </is>
      </c>
      <c r="B549" s="1" t="n">
        <v>44909</v>
      </c>
      <c r="C549" s="1" t="n">
        <v>45982</v>
      </c>
      <c r="D549" t="inlineStr">
        <is>
          <t>SÖDERMANLANDS LÄN</t>
        </is>
      </c>
      <c r="E549" t="inlineStr">
        <is>
          <t>KATRINEHOLM</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12238-2021</t>
        </is>
      </c>
      <c r="B550" s="1" t="n">
        <v>44266</v>
      </c>
      <c r="C550" s="1" t="n">
        <v>45982</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48685-2022</t>
        </is>
      </c>
      <c r="B551" s="1" t="n">
        <v>44859</v>
      </c>
      <c r="C551" s="1" t="n">
        <v>45982</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42519-2024</t>
        </is>
      </c>
      <c r="B552" s="1" t="n">
        <v>45565</v>
      </c>
      <c r="C552" s="1" t="n">
        <v>45982</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43499-2021</t>
        </is>
      </c>
      <c r="B553" s="1" t="n">
        <v>44433</v>
      </c>
      <c r="C553" s="1" t="n">
        <v>45982</v>
      </c>
      <c r="D553" t="inlineStr">
        <is>
          <t>SÖDERMANLANDS LÄN</t>
        </is>
      </c>
      <c r="E553" t="inlineStr">
        <is>
          <t>KATRINEHOLM</t>
        </is>
      </c>
      <c r="F553" t="inlineStr">
        <is>
          <t>Övriga Aktiebolag</t>
        </is>
      </c>
      <c r="G553" t="n">
        <v>1.4</v>
      </c>
      <c r="H553" t="n">
        <v>0</v>
      </c>
      <c r="I553" t="n">
        <v>0</v>
      </c>
      <c r="J553" t="n">
        <v>0</v>
      </c>
      <c r="K553" t="n">
        <v>0</v>
      </c>
      <c r="L553" t="n">
        <v>0</v>
      </c>
      <c r="M553" t="n">
        <v>0</v>
      </c>
      <c r="N553" t="n">
        <v>0</v>
      </c>
      <c r="O553" t="n">
        <v>0</v>
      </c>
      <c r="P553" t="n">
        <v>0</v>
      </c>
      <c r="Q553" t="n">
        <v>0</v>
      </c>
      <c r="R553" s="2" t="inlineStr"/>
    </row>
    <row r="554" ht="15" customHeight="1">
      <c r="A554" t="inlineStr">
        <is>
          <t>A 32169-2022</t>
        </is>
      </c>
      <c r="B554" s="1" t="n">
        <v>44781</v>
      </c>
      <c r="C554" s="1" t="n">
        <v>45982</v>
      </c>
      <c r="D554" t="inlineStr">
        <is>
          <t>SÖDERMANLANDS LÄN</t>
        </is>
      </c>
      <c r="E554" t="inlineStr">
        <is>
          <t>KATRINEHOLM</t>
        </is>
      </c>
      <c r="F554" t="inlineStr">
        <is>
          <t>Kommuner</t>
        </is>
      </c>
      <c r="G554" t="n">
        <v>0.9</v>
      </c>
      <c r="H554" t="n">
        <v>0</v>
      </c>
      <c r="I554" t="n">
        <v>0</v>
      </c>
      <c r="J554" t="n">
        <v>0</v>
      </c>
      <c r="K554" t="n">
        <v>0</v>
      </c>
      <c r="L554" t="n">
        <v>0</v>
      </c>
      <c r="M554" t="n">
        <v>0</v>
      </c>
      <c r="N554" t="n">
        <v>0</v>
      </c>
      <c r="O554" t="n">
        <v>0</v>
      </c>
      <c r="P554" t="n">
        <v>0</v>
      </c>
      <c r="Q554" t="n">
        <v>0</v>
      </c>
      <c r="R554" s="2" t="inlineStr"/>
    </row>
    <row r="555" ht="15" customHeight="1">
      <c r="A555" t="inlineStr">
        <is>
          <t>A 55122-2022</t>
        </is>
      </c>
      <c r="B555" s="1" t="n">
        <v>44886.65092592593</v>
      </c>
      <c r="C555" s="1" t="n">
        <v>45982</v>
      </c>
      <c r="D555" t="inlineStr">
        <is>
          <t>SÖDERMANLANDS LÄN</t>
        </is>
      </c>
      <c r="E555" t="inlineStr">
        <is>
          <t>KATRINEHOLM</t>
        </is>
      </c>
      <c r="G555" t="n">
        <v>6.5</v>
      </c>
      <c r="H555" t="n">
        <v>0</v>
      </c>
      <c r="I555" t="n">
        <v>0</v>
      </c>
      <c r="J555" t="n">
        <v>0</v>
      </c>
      <c r="K555" t="n">
        <v>0</v>
      </c>
      <c r="L555" t="n">
        <v>0</v>
      </c>
      <c r="M555" t="n">
        <v>0</v>
      </c>
      <c r="N555" t="n">
        <v>0</v>
      </c>
      <c r="O555" t="n">
        <v>0</v>
      </c>
      <c r="P555" t="n">
        <v>0</v>
      </c>
      <c r="Q555" t="n">
        <v>0</v>
      </c>
      <c r="R555" s="2" t="inlineStr"/>
    </row>
    <row r="556" ht="15" customHeight="1">
      <c r="A556" t="inlineStr">
        <is>
          <t>A 43964-2022</t>
        </is>
      </c>
      <c r="B556" s="1" t="n">
        <v>44837</v>
      </c>
      <c r="C556" s="1" t="n">
        <v>45982</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46075-2023</t>
        </is>
      </c>
      <c r="B557" s="1" t="n">
        <v>45196</v>
      </c>
      <c r="C557" s="1" t="n">
        <v>45982</v>
      </c>
      <c r="D557" t="inlineStr">
        <is>
          <t>SÖDERMANLANDS LÄN</t>
        </is>
      </c>
      <c r="E557" t="inlineStr">
        <is>
          <t>KATRINEHOLM</t>
        </is>
      </c>
      <c r="F557" t="inlineStr">
        <is>
          <t>Övriga Aktiebolag</t>
        </is>
      </c>
      <c r="G557" t="n">
        <v>9.5</v>
      </c>
      <c r="H557" t="n">
        <v>0</v>
      </c>
      <c r="I557" t="n">
        <v>0</v>
      </c>
      <c r="J557" t="n">
        <v>0</v>
      </c>
      <c r="K557" t="n">
        <v>0</v>
      </c>
      <c r="L557" t="n">
        <v>0</v>
      </c>
      <c r="M557" t="n">
        <v>0</v>
      </c>
      <c r="N557" t="n">
        <v>0</v>
      </c>
      <c r="O557" t="n">
        <v>0</v>
      </c>
      <c r="P557" t="n">
        <v>0</v>
      </c>
      <c r="Q557" t="n">
        <v>0</v>
      </c>
      <c r="R557" s="2" t="inlineStr"/>
    </row>
    <row r="558" ht="15" customHeight="1">
      <c r="A558" t="inlineStr">
        <is>
          <t>A 9992-2022</t>
        </is>
      </c>
      <c r="B558" s="1" t="n">
        <v>44621</v>
      </c>
      <c r="C558" s="1" t="n">
        <v>45982</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44659-2023</t>
        </is>
      </c>
      <c r="B559" s="1" t="n">
        <v>45189</v>
      </c>
      <c r="C559" s="1" t="n">
        <v>45982</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48682-2022</t>
        </is>
      </c>
      <c r="B560" s="1" t="n">
        <v>44859</v>
      </c>
      <c r="C560" s="1" t="n">
        <v>45982</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14629-2023</t>
        </is>
      </c>
      <c r="B561" s="1" t="n">
        <v>45013</v>
      </c>
      <c r="C561" s="1" t="n">
        <v>45982</v>
      </c>
      <c r="D561" t="inlineStr">
        <is>
          <t>SÖDERMANLANDS LÄN</t>
        </is>
      </c>
      <c r="E561" t="inlineStr">
        <is>
          <t>KATRINEHOLM</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57524-2021</t>
        </is>
      </c>
      <c r="B562" s="1" t="n">
        <v>44483</v>
      </c>
      <c r="C562" s="1" t="n">
        <v>45982</v>
      </c>
      <c r="D562" t="inlineStr">
        <is>
          <t>SÖDERMANLANDS LÄN</t>
        </is>
      </c>
      <c r="E562" t="inlineStr">
        <is>
          <t>KATRINEHOLM</t>
        </is>
      </c>
      <c r="G562" t="n">
        <v>0.4</v>
      </c>
      <c r="H562" t="n">
        <v>0</v>
      </c>
      <c r="I562" t="n">
        <v>0</v>
      </c>
      <c r="J562" t="n">
        <v>0</v>
      </c>
      <c r="K562" t="n">
        <v>0</v>
      </c>
      <c r="L562" t="n">
        <v>0</v>
      </c>
      <c r="M562" t="n">
        <v>0</v>
      </c>
      <c r="N562" t="n">
        <v>0</v>
      </c>
      <c r="O562" t="n">
        <v>0</v>
      </c>
      <c r="P562" t="n">
        <v>0</v>
      </c>
      <c r="Q562" t="n">
        <v>0</v>
      </c>
      <c r="R562" s="2" t="inlineStr"/>
    </row>
    <row r="563" ht="15" customHeight="1">
      <c r="A563" t="inlineStr">
        <is>
          <t>A 8917-2024</t>
        </is>
      </c>
      <c r="B563" s="1" t="n">
        <v>45357.37618055556</v>
      </c>
      <c r="C563" s="1" t="n">
        <v>45982</v>
      </c>
      <c r="D563" t="inlineStr">
        <is>
          <t>SÖDERMANLANDS LÄN</t>
        </is>
      </c>
      <c r="E563" t="inlineStr">
        <is>
          <t>KATRINEHOLM</t>
        </is>
      </c>
      <c r="G563" t="n">
        <v>3</v>
      </c>
      <c r="H563" t="n">
        <v>0</v>
      </c>
      <c r="I563" t="n">
        <v>0</v>
      </c>
      <c r="J563" t="n">
        <v>0</v>
      </c>
      <c r="K563" t="n">
        <v>0</v>
      </c>
      <c r="L563" t="n">
        <v>0</v>
      </c>
      <c r="M563" t="n">
        <v>0</v>
      </c>
      <c r="N563" t="n">
        <v>0</v>
      </c>
      <c r="O563" t="n">
        <v>0</v>
      </c>
      <c r="P563" t="n">
        <v>0</v>
      </c>
      <c r="Q563" t="n">
        <v>0</v>
      </c>
      <c r="R563" s="2" t="inlineStr"/>
    </row>
    <row r="564" ht="15" customHeight="1">
      <c r="A564" t="inlineStr">
        <is>
          <t>A 27345-2023</t>
        </is>
      </c>
      <c r="B564" s="1" t="n">
        <v>45096</v>
      </c>
      <c r="C564" s="1" t="n">
        <v>45982</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53996-2023</t>
        </is>
      </c>
      <c r="B565" s="1" t="n">
        <v>45231</v>
      </c>
      <c r="C565" s="1" t="n">
        <v>45982</v>
      </c>
      <c r="D565" t="inlineStr">
        <is>
          <t>SÖDERMANLANDS LÄN</t>
        </is>
      </c>
      <c r="E565" t="inlineStr">
        <is>
          <t>KATRINEHOLM</t>
        </is>
      </c>
      <c r="G565" t="n">
        <v>4.9</v>
      </c>
      <c r="H565" t="n">
        <v>0</v>
      </c>
      <c r="I565" t="n">
        <v>0</v>
      </c>
      <c r="J565" t="n">
        <v>0</v>
      </c>
      <c r="K565" t="n">
        <v>0</v>
      </c>
      <c r="L565" t="n">
        <v>0</v>
      </c>
      <c r="M565" t="n">
        <v>0</v>
      </c>
      <c r="N565" t="n">
        <v>0</v>
      </c>
      <c r="O565" t="n">
        <v>0</v>
      </c>
      <c r="P565" t="n">
        <v>0</v>
      </c>
      <c r="Q565" t="n">
        <v>0</v>
      </c>
      <c r="R565" s="2" t="inlineStr"/>
    </row>
    <row r="566" ht="15" customHeight="1">
      <c r="A566" t="inlineStr">
        <is>
          <t>A 11127-2023</t>
        </is>
      </c>
      <c r="B566" s="1" t="n">
        <v>44987</v>
      </c>
      <c r="C566" s="1" t="n">
        <v>45982</v>
      </c>
      <c r="D566" t="inlineStr">
        <is>
          <t>SÖDERMANLANDS LÄN</t>
        </is>
      </c>
      <c r="E566" t="inlineStr">
        <is>
          <t>KATRINEHOLM</t>
        </is>
      </c>
      <c r="G566" t="n">
        <v>4.3</v>
      </c>
      <c r="H566" t="n">
        <v>0</v>
      </c>
      <c r="I566" t="n">
        <v>0</v>
      </c>
      <c r="J566" t="n">
        <v>0</v>
      </c>
      <c r="K566" t="n">
        <v>0</v>
      </c>
      <c r="L566" t="n">
        <v>0</v>
      </c>
      <c r="M566" t="n">
        <v>0</v>
      </c>
      <c r="N566" t="n">
        <v>0</v>
      </c>
      <c r="O566" t="n">
        <v>0</v>
      </c>
      <c r="P566" t="n">
        <v>0</v>
      </c>
      <c r="Q566" t="n">
        <v>0</v>
      </c>
      <c r="R566" s="2" t="inlineStr"/>
    </row>
    <row r="567" ht="15" customHeight="1">
      <c r="A567" t="inlineStr">
        <is>
          <t>A 37185-2023</t>
        </is>
      </c>
      <c r="B567" s="1" t="n">
        <v>45154</v>
      </c>
      <c r="C567" s="1" t="n">
        <v>45982</v>
      </c>
      <c r="D567" t="inlineStr">
        <is>
          <t>SÖDERMANLANDS LÄN</t>
        </is>
      </c>
      <c r="E567" t="inlineStr">
        <is>
          <t>KATRINEHOLM</t>
        </is>
      </c>
      <c r="G567" t="n">
        <v>3</v>
      </c>
      <c r="H567" t="n">
        <v>0</v>
      </c>
      <c r="I567" t="n">
        <v>0</v>
      </c>
      <c r="J567" t="n">
        <v>0</v>
      </c>
      <c r="K567" t="n">
        <v>0</v>
      </c>
      <c r="L567" t="n">
        <v>0</v>
      </c>
      <c r="M567" t="n">
        <v>0</v>
      </c>
      <c r="N567" t="n">
        <v>0</v>
      </c>
      <c r="O567" t="n">
        <v>0</v>
      </c>
      <c r="P567" t="n">
        <v>0</v>
      </c>
      <c r="Q567" t="n">
        <v>0</v>
      </c>
      <c r="R567" s="2" t="inlineStr"/>
    </row>
    <row r="568" ht="15" customHeight="1">
      <c r="A568" t="inlineStr">
        <is>
          <t>A 24284-2024</t>
        </is>
      </c>
      <c r="B568" s="1" t="n">
        <v>45457</v>
      </c>
      <c r="C568" s="1" t="n">
        <v>45982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66393-2021</t>
        </is>
      </c>
      <c r="B569" s="1" t="n">
        <v>44518</v>
      </c>
      <c r="C569" s="1" t="n">
        <v>45982</v>
      </c>
      <c r="D569" t="inlineStr">
        <is>
          <t>SÖDERMANLANDS LÄN</t>
        </is>
      </c>
      <c r="E569" t="inlineStr">
        <is>
          <t>KATRINEHOLM</t>
        </is>
      </c>
      <c r="F569" t="inlineStr">
        <is>
          <t>Holmen skog AB</t>
        </is>
      </c>
      <c r="G569" t="n">
        <v>0.4</v>
      </c>
      <c r="H569" t="n">
        <v>0</v>
      </c>
      <c r="I569" t="n">
        <v>0</v>
      </c>
      <c r="J569" t="n">
        <v>0</v>
      </c>
      <c r="K569" t="n">
        <v>0</v>
      </c>
      <c r="L569" t="n">
        <v>0</v>
      </c>
      <c r="M569" t="n">
        <v>0</v>
      </c>
      <c r="N569" t="n">
        <v>0</v>
      </c>
      <c r="O569" t="n">
        <v>0</v>
      </c>
      <c r="P569" t="n">
        <v>0</v>
      </c>
      <c r="Q569" t="n">
        <v>0</v>
      </c>
      <c r="R569" s="2" t="inlineStr"/>
    </row>
    <row r="570" ht="15" customHeight="1">
      <c r="A570" t="inlineStr">
        <is>
          <t>A 50840-2022</t>
        </is>
      </c>
      <c r="B570" s="1" t="n">
        <v>44862</v>
      </c>
      <c r="C570" s="1" t="n">
        <v>45982</v>
      </c>
      <c r="D570" t="inlineStr">
        <is>
          <t>SÖDERMANLANDS LÄN</t>
        </is>
      </c>
      <c r="E570" t="inlineStr">
        <is>
          <t>KATRINEHOLM</t>
        </is>
      </c>
      <c r="G570" t="n">
        <v>4.2</v>
      </c>
      <c r="H570" t="n">
        <v>0</v>
      </c>
      <c r="I570" t="n">
        <v>0</v>
      </c>
      <c r="J570" t="n">
        <v>0</v>
      </c>
      <c r="K570" t="n">
        <v>0</v>
      </c>
      <c r="L570" t="n">
        <v>0</v>
      </c>
      <c r="M570" t="n">
        <v>0</v>
      </c>
      <c r="N570" t="n">
        <v>0</v>
      </c>
      <c r="O570" t="n">
        <v>0</v>
      </c>
      <c r="P570" t="n">
        <v>0</v>
      </c>
      <c r="Q570" t="n">
        <v>0</v>
      </c>
      <c r="R570" s="2" t="inlineStr"/>
    </row>
    <row r="571" ht="15" customHeight="1">
      <c r="A571" t="inlineStr">
        <is>
          <t>A 13113-2023</t>
        </is>
      </c>
      <c r="B571" s="1" t="n">
        <v>45002</v>
      </c>
      <c r="C571" s="1" t="n">
        <v>45982</v>
      </c>
      <c r="D571" t="inlineStr">
        <is>
          <t>SÖDERMANLANDS LÄN</t>
        </is>
      </c>
      <c r="E571" t="inlineStr">
        <is>
          <t>KATRINEHOLM</t>
        </is>
      </c>
      <c r="F571" t="inlineStr">
        <is>
          <t>Allmännings- och besparingsskogar</t>
        </is>
      </c>
      <c r="G571" t="n">
        <v>3.6</v>
      </c>
      <c r="H571" t="n">
        <v>0</v>
      </c>
      <c r="I571" t="n">
        <v>0</v>
      </c>
      <c r="J571" t="n">
        <v>0</v>
      </c>
      <c r="K571" t="n">
        <v>0</v>
      </c>
      <c r="L571" t="n">
        <v>0</v>
      </c>
      <c r="M571" t="n">
        <v>0</v>
      </c>
      <c r="N571" t="n">
        <v>0</v>
      </c>
      <c r="O571" t="n">
        <v>0</v>
      </c>
      <c r="P571" t="n">
        <v>0</v>
      </c>
      <c r="Q571" t="n">
        <v>0</v>
      </c>
      <c r="R571" s="2" t="inlineStr"/>
    </row>
    <row r="572" ht="15" customHeight="1">
      <c r="A572" t="inlineStr">
        <is>
          <t>A 14245-2024</t>
        </is>
      </c>
      <c r="B572" s="1" t="n">
        <v>45393</v>
      </c>
      <c r="C572" s="1" t="n">
        <v>45982</v>
      </c>
      <c r="D572" t="inlineStr">
        <is>
          <t>SÖDERMANLANDS LÄN</t>
        </is>
      </c>
      <c r="E572" t="inlineStr">
        <is>
          <t>KATRINEHOLM</t>
        </is>
      </c>
      <c r="F572" t="inlineStr">
        <is>
          <t>Sveaskog</t>
        </is>
      </c>
      <c r="G572" t="n">
        <v>0.5</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45982</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39052-2023</t>
        </is>
      </c>
      <c r="B574" s="1" t="n">
        <v>45163</v>
      </c>
      <c r="C574" s="1" t="n">
        <v>45982</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41946-2022</t>
        </is>
      </c>
      <c r="B575" s="1" t="n">
        <v>44830.38502314815</v>
      </c>
      <c r="C575" s="1" t="n">
        <v>45982</v>
      </c>
      <c r="D575" t="inlineStr">
        <is>
          <t>SÖDERMANLANDS LÄN</t>
        </is>
      </c>
      <c r="E575" t="inlineStr">
        <is>
          <t>KATRINEHOLM</t>
        </is>
      </c>
      <c r="G575" t="n">
        <v>1</v>
      </c>
      <c r="H575" t="n">
        <v>0</v>
      </c>
      <c r="I575" t="n">
        <v>0</v>
      </c>
      <c r="J575" t="n">
        <v>0</v>
      </c>
      <c r="K575" t="n">
        <v>0</v>
      </c>
      <c r="L575" t="n">
        <v>0</v>
      </c>
      <c r="M575" t="n">
        <v>0</v>
      </c>
      <c r="N575" t="n">
        <v>0</v>
      </c>
      <c r="O575" t="n">
        <v>0</v>
      </c>
      <c r="P575" t="n">
        <v>0</v>
      </c>
      <c r="Q575" t="n">
        <v>0</v>
      </c>
      <c r="R575" s="2" t="inlineStr"/>
    </row>
    <row r="576" ht="15" customHeight="1">
      <c r="A576" t="inlineStr">
        <is>
          <t>A 51613-2022</t>
        </is>
      </c>
      <c r="B576" s="1" t="n">
        <v>44871</v>
      </c>
      <c r="C576" s="1" t="n">
        <v>45982</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27886-2024</t>
        </is>
      </c>
      <c r="B577" s="1" t="n">
        <v>45475</v>
      </c>
      <c r="C577" s="1" t="n">
        <v>45982</v>
      </c>
      <c r="D577" t="inlineStr">
        <is>
          <t>SÖDERMANLANDS LÄN</t>
        </is>
      </c>
      <c r="E577" t="inlineStr">
        <is>
          <t>KATRINEHOLM</t>
        </is>
      </c>
      <c r="G577" t="n">
        <v>10.3</v>
      </c>
      <c r="H577" t="n">
        <v>0</v>
      </c>
      <c r="I577" t="n">
        <v>0</v>
      </c>
      <c r="J577" t="n">
        <v>0</v>
      </c>
      <c r="K577" t="n">
        <v>0</v>
      </c>
      <c r="L577" t="n">
        <v>0</v>
      </c>
      <c r="M577" t="n">
        <v>0</v>
      </c>
      <c r="N577" t="n">
        <v>0</v>
      </c>
      <c r="O577" t="n">
        <v>0</v>
      </c>
      <c r="P577" t="n">
        <v>0</v>
      </c>
      <c r="Q577" t="n">
        <v>0</v>
      </c>
      <c r="R577" s="2" t="inlineStr"/>
    </row>
    <row r="578" ht="15" customHeight="1">
      <c r="A578" t="inlineStr">
        <is>
          <t>A 19868-2022</t>
        </is>
      </c>
      <c r="B578" s="1" t="n">
        <v>44696</v>
      </c>
      <c r="C578" s="1" t="n">
        <v>45982</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58651-2023</t>
        </is>
      </c>
      <c r="B579" s="1" t="n">
        <v>45247</v>
      </c>
      <c r="C579" s="1" t="n">
        <v>45982</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8765-2023</t>
        </is>
      </c>
      <c r="B580" s="1" t="n">
        <v>44978.52131944444</v>
      </c>
      <c r="C580" s="1" t="n">
        <v>45982</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28992-2024</t>
        </is>
      </c>
      <c r="B581" s="1" t="n">
        <v>45481.49289351852</v>
      </c>
      <c r="C581" s="1" t="n">
        <v>45982</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25433-2024</t>
        </is>
      </c>
      <c r="B582" s="1" t="n">
        <v>45463</v>
      </c>
      <c r="C582" s="1" t="n">
        <v>45982</v>
      </c>
      <c r="D582" t="inlineStr">
        <is>
          <t>SÖDERMANLANDS LÄN</t>
        </is>
      </c>
      <c r="E582" t="inlineStr">
        <is>
          <t>KATRINEHOLM</t>
        </is>
      </c>
      <c r="G582" t="n">
        <v>1.1</v>
      </c>
      <c r="H582" t="n">
        <v>0</v>
      </c>
      <c r="I582" t="n">
        <v>0</v>
      </c>
      <c r="J582" t="n">
        <v>0</v>
      </c>
      <c r="K582" t="n">
        <v>0</v>
      </c>
      <c r="L582" t="n">
        <v>0</v>
      </c>
      <c r="M582" t="n">
        <v>0</v>
      </c>
      <c r="N582" t="n">
        <v>0</v>
      </c>
      <c r="O582" t="n">
        <v>0</v>
      </c>
      <c r="P582" t="n">
        <v>0</v>
      </c>
      <c r="Q582" t="n">
        <v>0</v>
      </c>
      <c r="R582" s="2" t="inlineStr"/>
    </row>
    <row r="583" ht="15" customHeight="1">
      <c r="A583" t="inlineStr">
        <is>
          <t>A 42111-2022</t>
        </is>
      </c>
      <c r="B583" s="1" t="n">
        <v>44830</v>
      </c>
      <c r="C583" s="1" t="n">
        <v>45982</v>
      </c>
      <c r="D583" t="inlineStr">
        <is>
          <t>SÖDERMANLANDS LÄN</t>
        </is>
      </c>
      <c r="E583" t="inlineStr">
        <is>
          <t>KATRINEHOLM</t>
        </is>
      </c>
      <c r="G583" t="n">
        <v>2.5</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45982</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45982</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27334-2023</t>
        </is>
      </c>
      <c r="B586" s="1" t="n">
        <v>45096</v>
      </c>
      <c r="C586" s="1" t="n">
        <v>45982</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7704-2023</t>
        </is>
      </c>
      <c r="B587" s="1" t="n">
        <v>44968</v>
      </c>
      <c r="C587" s="1" t="n">
        <v>45982</v>
      </c>
      <c r="D587" t="inlineStr">
        <is>
          <t>SÖDERMANLANDS LÄN</t>
        </is>
      </c>
      <c r="E587" t="inlineStr">
        <is>
          <t>KATRINEHOLM</t>
        </is>
      </c>
      <c r="G587" t="n">
        <v>7.3</v>
      </c>
      <c r="H587" t="n">
        <v>0</v>
      </c>
      <c r="I587" t="n">
        <v>0</v>
      </c>
      <c r="J587" t="n">
        <v>0</v>
      </c>
      <c r="K587" t="n">
        <v>0</v>
      </c>
      <c r="L587" t="n">
        <v>0</v>
      </c>
      <c r="M587" t="n">
        <v>0</v>
      </c>
      <c r="N587" t="n">
        <v>0</v>
      </c>
      <c r="O587" t="n">
        <v>0</v>
      </c>
      <c r="P587" t="n">
        <v>0</v>
      </c>
      <c r="Q587" t="n">
        <v>0</v>
      </c>
      <c r="R587" s="2" t="inlineStr"/>
    </row>
    <row r="588" ht="15" customHeight="1">
      <c r="A588" t="inlineStr">
        <is>
          <t>A 58528-2024</t>
        </is>
      </c>
      <c r="B588" s="1" t="n">
        <v>45635.44527777778</v>
      </c>
      <c r="C588" s="1" t="n">
        <v>45982</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14478-2023</t>
        </is>
      </c>
      <c r="B589" s="1" t="n">
        <v>45012.66421296296</v>
      </c>
      <c r="C589" s="1" t="n">
        <v>45982</v>
      </c>
      <c r="D589" t="inlineStr">
        <is>
          <t>SÖDERMANLANDS LÄN</t>
        </is>
      </c>
      <c r="E589" t="inlineStr">
        <is>
          <t>KATRINEHOLM</t>
        </is>
      </c>
      <c r="G589" t="n">
        <v>3.9</v>
      </c>
      <c r="H589" t="n">
        <v>0</v>
      </c>
      <c r="I589" t="n">
        <v>0</v>
      </c>
      <c r="J589" t="n">
        <v>0</v>
      </c>
      <c r="K589" t="n">
        <v>0</v>
      </c>
      <c r="L589" t="n">
        <v>0</v>
      </c>
      <c r="M589" t="n">
        <v>0</v>
      </c>
      <c r="N589" t="n">
        <v>0</v>
      </c>
      <c r="O589" t="n">
        <v>0</v>
      </c>
      <c r="P589" t="n">
        <v>0</v>
      </c>
      <c r="Q589" t="n">
        <v>0</v>
      </c>
      <c r="R589" s="2" t="inlineStr"/>
    </row>
    <row r="590" ht="15" customHeight="1">
      <c r="A590" t="inlineStr">
        <is>
          <t>A 39055-2022</t>
        </is>
      </c>
      <c r="B590" s="1" t="n">
        <v>44817</v>
      </c>
      <c r="C590" s="1" t="n">
        <v>45982</v>
      </c>
      <c r="D590" t="inlineStr">
        <is>
          <t>SÖDERMANLANDS LÄN</t>
        </is>
      </c>
      <c r="E590" t="inlineStr">
        <is>
          <t>KATRINEHOLM</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45982</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12937-2023</t>
        </is>
      </c>
      <c r="B592" s="1" t="n">
        <v>45001</v>
      </c>
      <c r="C592" s="1" t="n">
        <v>45982</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45982</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29008-2024</t>
        </is>
      </c>
      <c r="B594" s="1" t="n">
        <v>45481</v>
      </c>
      <c r="C594" s="1" t="n">
        <v>45982</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62419-2023</t>
        </is>
      </c>
      <c r="B595" s="1" t="n">
        <v>45268</v>
      </c>
      <c r="C595" s="1" t="n">
        <v>45982</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53722-2023</t>
        </is>
      </c>
      <c r="B596" s="1" t="n">
        <v>45230</v>
      </c>
      <c r="C596" s="1" t="n">
        <v>45982</v>
      </c>
      <c r="D596" t="inlineStr">
        <is>
          <t>SÖDERMANLANDS LÄN</t>
        </is>
      </c>
      <c r="E596" t="inlineStr">
        <is>
          <t>KATRINEHOLM</t>
        </is>
      </c>
      <c r="F596" t="inlineStr">
        <is>
          <t>Allmännings- och besparingsskogar</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38869-2024</t>
        </is>
      </c>
      <c r="B597" s="1" t="n">
        <v>45547</v>
      </c>
      <c r="C597" s="1" t="n">
        <v>45982</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45982</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62140-2022</t>
        </is>
      </c>
      <c r="B599" s="1" t="n">
        <v>44922</v>
      </c>
      <c r="C599" s="1" t="n">
        <v>45982</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27375-2024</t>
        </is>
      </c>
      <c r="B600" s="1" t="n">
        <v>45473.87645833333</v>
      </c>
      <c r="C600" s="1" t="n">
        <v>45982</v>
      </c>
      <c r="D600" t="inlineStr">
        <is>
          <t>SÖDERMANLANDS LÄN</t>
        </is>
      </c>
      <c r="E600" t="inlineStr">
        <is>
          <t>KATRINEHOLM</t>
        </is>
      </c>
      <c r="F600" t="inlineStr">
        <is>
          <t>Kommuner</t>
        </is>
      </c>
      <c r="G600" t="n">
        <v>1.9</v>
      </c>
      <c r="H600" t="n">
        <v>0</v>
      </c>
      <c r="I600" t="n">
        <v>0</v>
      </c>
      <c r="J600" t="n">
        <v>0</v>
      </c>
      <c r="K600" t="n">
        <v>0</v>
      </c>
      <c r="L600" t="n">
        <v>0</v>
      </c>
      <c r="M600" t="n">
        <v>0</v>
      </c>
      <c r="N600" t="n">
        <v>0</v>
      </c>
      <c r="O600" t="n">
        <v>0</v>
      </c>
      <c r="P600" t="n">
        <v>0</v>
      </c>
      <c r="Q600" t="n">
        <v>0</v>
      </c>
      <c r="R600" s="2" t="inlineStr"/>
    </row>
    <row r="601" ht="15" customHeight="1">
      <c r="A601" t="inlineStr">
        <is>
          <t>A 7867-2024</t>
        </is>
      </c>
      <c r="B601" s="1" t="n">
        <v>45350.32991898148</v>
      </c>
      <c r="C601" s="1" t="n">
        <v>45982</v>
      </c>
      <c r="D601" t="inlineStr">
        <is>
          <t>SÖDERMANLANDS LÄN</t>
        </is>
      </c>
      <c r="E601" t="inlineStr">
        <is>
          <t>KATRINEHOLM</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8957-2024</t>
        </is>
      </c>
      <c r="B602" s="1" t="n">
        <v>45357.45089120371</v>
      </c>
      <c r="C602" s="1" t="n">
        <v>45982</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23341-2023</t>
        </is>
      </c>
      <c r="B603" s="1" t="n">
        <v>45076</v>
      </c>
      <c r="C603" s="1" t="n">
        <v>45982</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60677-2021</t>
        </is>
      </c>
      <c r="B604" s="1" t="n">
        <v>44495</v>
      </c>
      <c r="C604" s="1" t="n">
        <v>45982</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3986-2024</t>
        </is>
      </c>
      <c r="B605" s="1" t="n">
        <v>45322</v>
      </c>
      <c r="C605" s="1" t="n">
        <v>45982</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3939-2022</t>
        </is>
      </c>
      <c r="B606" s="1" t="n">
        <v>44587</v>
      </c>
      <c r="C606" s="1" t="n">
        <v>45982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2683-2025</t>
        </is>
      </c>
      <c r="B607" s="1" t="n">
        <v>45677</v>
      </c>
      <c r="C607" s="1" t="n">
        <v>45982</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45982</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32944-2023</t>
        </is>
      </c>
      <c r="B609" s="1" t="n">
        <v>45125</v>
      </c>
      <c r="C609" s="1" t="n">
        <v>45982</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29198-2023</t>
        </is>
      </c>
      <c r="B610" s="1" t="n">
        <v>45105</v>
      </c>
      <c r="C610" s="1" t="n">
        <v>45982</v>
      </c>
      <c r="D610" t="inlineStr">
        <is>
          <t>SÖDERMANLANDS LÄN</t>
        </is>
      </c>
      <c r="E610" t="inlineStr">
        <is>
          <t>KATRINEHOLM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56661-2021</t>
        </is>
      </c>
      <c r="B611" s="1" t="n">
        <v>44481.24327546296</v>
      </c>
      <c r="C611" s="1" t="n">
        <v>45982</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45246-2023</t>
        </is>
      </c>
      <c r="B612" s="1" t="n">
        <v>45191</v>
      </c>
      <c r="C612" s="1" t="n">
        <v>45982</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55171-2023</t>
        </is>
      </c>
      <c r="B613" s="1" t="n">
        <v>45231</v>
      </c>
      <c r="C613" s="1" t="n">
        <v>45982</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27376-2024</t>
        </is>
      </c>
      <c r="B614" s="1" t="n">
        <v>45473.88313657408</v>
      </c>
      <c r="C614" s="1" t="n">
        <v>45982</v>
      </c>
      <c r="D614" t="inlineStr">
        <is>
          <t>SÖDERMANLANDS LÄN</t>
        </is>
      </c>
      <c r="E614" t="inlineStr">
        <is>
          <t>KATRINEHOLM</t>
        </is>
      </c>
      <c r="F614" t="inlineStr">
        <is>
          <t>Kommuner</t>
        </is>
      </c>
      <c r="G614" t="n">
        <v>2.8</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45982</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7753-2024</t>
        </is>
      </c>
      <c r="B616" s="1" t="n">
        <v>45348</v>
      </c>
      <c r="C616" s="1" t="n">
        <v>45982</v>
      </c>
      <c r="D616" t="inlineStr">
        <is>
          <t>SÖDERMANLANDS LÄN</t>
        </is>
      </c>
      <c r="E616" t="inlineStr">
        <is>
          <t>KATRINEHOLM</t>
        </is>
      </c>
      <c r="G616" t="n">
        <v>13.4</v>
      </c>
      <c r="H616" t="n">
        <v>0</v>
      </c>
      <c r="I616" t="n">
        <v>0</v>
      </c>
      <c r="J616" t="n">
        <v>0</v>
      </c>
      <c r="K616" t="n">
        <v>0</v>
      </c>
      <c r="L616" t="n">
        <v>0</v>
      </c>
      <c r="M616" t="n">
        <v>0</v>
      </c>
      <c r="N616" t="n">
        <v>0</v>
      </c>
      <c r="O616" t="n">
        <v>0</v>
      </c>
      <c r="P616" t="n">
        <v>0</v>
      </c>
      <c r="Q616" t="n">
        <v>0</v>
      </c>
      <c r="R616" s="2" t="inlineStr"/>
    </row>
    <row r="617" ht="15" customHeight="1">
      <c r="A617" t="inlineStr">
        <is>
          <t>A 61915-2021</t>
        </is>
      </c>
      <c r="B617" s="1" t="n">
        <v>44502.36780092592</v>
      </c>
      <c r="C617" s="1" t="n">
        <v>45982</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55795-2023</t>
        </is>
      </c>
      <c r="B618" s="1" t="n">
        <v>45239.54861111111</v>
      </c>
      <c r="C618" s="1" t="n">
        <v>45982</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20768-2022</t>
        </is>
      </c>
      <c r="B619" s="1" t="n">
        <v>44701.36431712963</v>
      </c>
      <c r="C619" s="1" t="n">
        <v>45982</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55846-2022</t>
        </is>
      </c>
      <c r="B620" s="1" t="n">
        <v>44888</v>
      </c>
      <c r="C620" s="1" t="n">
        <v>45982</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45982</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31719-2024</t>
        </is>
      </c>
      <c r="B622" s="1" t="n">
        <v>45509</v>
      </c>
      <c r="C622" s="1" t="n">
        <v>45982</v>
      </c>
      <c r="D622" t="inlineStr">
        <is>
          <t>SÖDERMANLANDS LÄN</t>
        </is>
      </c>
      <c r="E622" t="inlineStr">
        <is>
          <t>KATRINEHOLM</t>
        </is>
      </c>
      <c r="F622" t="inlineStr">
        <is>
          <t>Kyrkan</t>
        </is>
      </c>
      <c r="G622" t="n">
        <v>11.9</v>
      </c>
      <c r="H622" t="n">
        <v>0</v>
      </c>
      <c r="I622" t="n">
        <v>0</v>
      </c>
      <c r="J622" t="n">
        <v>0</v>
      </c>
      <c r="K622" t="n">
        <v>0</v>
      </c>
      <c r="L622" t="n">
        <v>0</v>
      </c>
      <c r="M622" t="n">
        <v>0</v>
      </c>
      <c r="N622" t="n">
        <v>0</v>
      </c>
      <c r="O622" t="n">
        <v>0</v>
      </c>
      <c r="P622" t="n">
        <v>0</v>
      </c>
      <c r="Q622" t="n">
        <v>0</v>
      </c>
      <c r="R622" s="2" t="inlineStr"/>
    </row>
    <row r="623" ht="15" customHeight="1">
      <c r="A623" t="inlineStr">
        <is>
          <t>A 43837-2022</t>
        </is>
      </c>
      <c r="B623" s="1" t="n">
        <v>44838</v>
      </c>
      <c r="C623" s="1" t="n">
        <v>45982</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51397-2023</t>
        </is>
      </c>
      <c r="B624" s="1" t="n">
        <v>45214</v>
      </c>
      <c r="C624" s="1" t="n">
        <v>45982</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19670-2022</t>
        </is>
      </c>
      <c r="B625" s="1" t="n">
        <v>44694</v>
      </c>
      <c r="C625" s="1" t="n">
        <v>45982</v>
      </c>
      <c r="D625" t="inlineStr">
        <is>
          <t>SÖDERMANLANDS LÄN</t>
        </is>
      </c>
      <c r="E625" t="inlineStr">
        <is>
          <t>KATRINEHOLM</t>
        </is>
      </c>
      <c r="G625" t="n">
        <v>13.6</v>
      </c>
      <c r="H625" t="n">
        <v>0</v>
      </c>
      <c r="I625" t="n">
        <v>0</v>
      </c>
      <c r="J625" t="n">
        <v>0</v>
      </c>
      <c r="K625" t="n">
        <v>0</v>
      </c>
      <c r="L625" t="n">
        <v>0</v>
      </c>
      <c r="M625" t="n">
        <v>0</v>
      </c>
      <c r="N625" t="n">
        <v>0</v>
      </c>
      <c r="O625" t="n">
        <v>0</v>
      </c>
      <c r="P625" t="n">
        <v>0</v>
      </c>
      <c r="Q625" t="n">
        <v>0</v>
      </c>
      <c r="R625" s="2" t="inlineStr"/>
    </row>
    <row r="626" ht="15" customHeight="1">
      <c r="A626" t="inlineStr">
        <is>
          <t>A 6606-2022</t>
        </is>
      </c>
      <c r="B626" s="1" t="n">
        <v>44601</v>
      </c>
      <c r="C626" s="1" t="n">
        <v>45982</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4122-2023</t>
        </is>
      </c>
      <c r="B627" s="1" t="n">
        <v>44952</v>
      </c>
      <c r="C627" s="1" t="n">
        <v>45982</v>
      </c>
      <c r="D627" t="inlineStr">
        <is>
          <t>SÖDERMANLANDS LÄN</t>
        </is>
      </c>
      <c r="E627" t="inlineStr">
        <is>
          <t>KATRINEHOLM</t>
        </is>
      </c>
      <c r="G627" t="n">
        <v>9</v>
      </c>
      <c r="H627" t="n">
        <v>0</v>
      </c>
      <c r="I627" t="n">
        <v>0</v>
      </c>
      <c r="J627" t="n">
        <v>0</v>
      </c>
      <c r="K627" t="n">
        <v>0</v>
      </c>
      <c r="L627" t="n">
        <v>0</v>
      </c>
      <c r="M627" t="n">
        <v>0</v>
      </c>
      <c r="N627" t="n">
        <v>0</v>
      </c>
      <c r="O627" t="n">
        <v>0</v>
      </c>
      <c r="P627" t="n">
        <v>0</v>
      </c>
      <c r="Q627" t="n">
        <v>0</v>
      </c>
      <c r="R627" s="2" t="inlineStr"/>
    </row>
    <row r="628" ht="15" customHeight="1">
      <c r="A628" t="inlineStr">
        <is>
          <t>A 23347-2023</t>
        </is>
      </c>
      <c r="B628" s="1" t="n">
        <v>45076</v>
      </c>
      <c r="C628" s="1" t="n">
        <v>45982</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23916-2023</t>
        </is>
      </c>
      <c r="B629" s="1" t="n">
        <v>45075</v>
      </c>
      <c r="C629" s="1" t="n">
        <v>45982</v>
      </c>
      <c r="D629" t="inlineStr">
        <is>
          <t>SÖDERMANLANDS LÄN</t>
        </is>
      </c>
      <c r="E629" t="inlineStr">
        <is>
          <t>KATRINEHOLM</t>
        </is>
      </c>
      <c r="G629" t="n">
        <v>8</v>
      </c>
      <c r="H629" t="n">
        <v>0</v>
      </c>
      <c r="I629" t="n">
        <v>0</v>
      </c>
      <c r="J629" t="n">
        <v>0</v>
      </c>
      <c r="K629" t="n">
        <v>0</v>
      </c>
      <c r="L629" t="n">
        <v>0</v>
      </c>
      <c r="M629" t="n">
        <v>0</v>
      </c>
      <c r="N629" t="n">
        <v>0</v>
      </c>
      <c r="O629" t="n">
        <v>0</v>
      </c>
      <c r="P629" t="n">
        <v>0</v>
      </c>
      <c r="Q629" t="n">
        <v>0</v>
      </c>
      <c r="R629" s="2" t="inlineStr"/>
    </row>
    <row r="630" ht="15" customHeight="1">
      <c r="A630" t="inlineStr">
        <is>
          <t>A 33278-2024</t>
        </is>
      </c>
      <c r="B630" s="1" t="n">
        <v>45518</v>
      </c>
      <c r="C630" s="1" t="n">
        <v>45982</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40186-2023</t>
        </is>
      </c>
      <c r="B631" s="1" t="n">
        <v>45169</v>
      </c>
      <c r="C631" s="1" t="n">
        <v>45982</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49700-2022</t>
        </is>
      </c>
      <c r="B632" s="1" t="n">
        <v>44862</v>
      </c>
      <c r="C632" s="1" t="n">
        <v>45982</v>
      </c>
      <c r="D632" t="inlineStr">
        <is>
          <t>SÖDERMANLANDS LÄN</t>
        </is>
      </c>
      <c r="E632" t="inlineStr">
        <is>
          <t>KATRINEHOLM</t>
        </is>
      </c>
      <c r="G632" t="n">
        <v>19.5</v>
      </c>
      <c r="H632" t="n">
        <v>0</v>
      </c>
      <c r="I632" t="n">
        <v>0</v>
      </c>
      <c r="J632" t="n">
        <v>0</v>
      </c>
      <c r="K632" t="n">
        <v>0</v>
      </c>
      <c r="L632" t="n">
        <v>0</v>
      </c>
      <c r="M632" t="n">
        <v>0</v>
      </c>
      <c r="N632" t="n">
        <v>0</v>
      </c>
      <c r="O632" t="n">
        <v>0</v>
      </c>
      <c r="P632" t="n">
        <v>0</v>
      </c>
      <c r="Q632" t="n">
        <v>0</v>
      </c>
      <c r="R632" s="2" t="inlineStr"/>
    </row>
    <row r="633" ht="15" customHeight="1">
      <c r="A633" t="inlineStr">
        <is>
          <t>A 27955-2023</t>
        </is>
      </c>
      <c r="B633" s="1" t="n">
        <v>45098</v>
      </c>
      <c r="C633" s="1" t="n">
        <v>45982</v>
      </c>
      <c r="D633" t="inlineStr">
        <is>
          <t>SÖDERMANLANDS LÄN</t>
        </is>
      </c>
      <c r="E633" t="inlineStr">
        <is>
          <t>KATRINEHOLM</t>
        </is>
      </c>
      <c r="G633" t="n">
        <v>5.9</v>
      </c>
      <c r="H633" t="n">
        <v>0</v>
      </c>
      <c r="I633" t="n">
        <v>0</v>
      </c>
      <c r="J633" t="n">
        <v>0</v>
      </c>
      <c r="K633" t="n">
        <v>0</v>
      </c>
      <c r="L633" t="n">
        <v>0</v>
      </c>
      <c r="M633" t="n">
        <v>0</v>
      </c>
      <c r="N633" t="n">
        <v>0</v>
      </c>
      <c r="O633" t="n">
        <v>0</v>
      </c>
      <c r="P633" t="n">
        <v>0</v>
      </c>
      <c r="Q633" t="n">
        <v>0</v>
      </c>
      <c r="R633" s="2" t="inlineStr"/>
    </row>
    <row r="634" ht="15" customHeight="1">
      <c r="A634" t="inlineStr">
        <is>
          <t>A 33141-2023</t>
        </is>
      </c>
      <c r="B634" s="1" t="n">
        <v>45126.65491898148</v>
      </c>
      <c r="C634" s="1" t="n">
        <v>45982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46899-2022</t>
        </is>
      </c>
      <c r="B635" s="1" t="n">
        <v>44848</v>
      </c>
      <c r="C635" s="1" t="n">
        <v>45982</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9714-2024</t>
        </is>
      </c>
      <c r="B636" s="1" t="n">
        <v>45362</v>
      </c>
      <c r="C636" s="1" t="n">
        <v>45982</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45982</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2735-2025</t>
        </is>
      </c>
      <c r="B638" s="1" t="n">
        <v>45677</v>
      </c>
      <c r="C638" s="1" t="n">
        <v>45982</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20326-2023</t>
        </is>
      </c>
      <c r="B639" s="1" t="n">
        <v>45056.46821759259</v>
      </c>
      <c r="C639" s="1" t="n">
        <v>45982</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67337-2021</t>
        </is>
      </c>
      <c r="B640" s="1" t="n">
        <v>44523</v>
      </c>
      <c r="C640" s="1" t="n">
        <v>45982</v>
      </c>
      <c r="D640" t="inlineStr">
        <is>
          <t>SÖDERMANLANDS LÄN</t>
        </is>
      </c>
      <c r="E640" t="inlineStr">
        <is>
          <t>KATRINEHOLM</t>
        </is>
      </c>
      <c r="G640" t="n">
        <v>5.2</v>
      </c>
      <c r="H640" t="n">
        <v>0</v>
      </c>
      <c r="I640" t="n">
        <v>0</v>
      </c>
      <c r="J640" t="n">
        <v>0</v>
      </c>
      <c r="K640" t="n">
        <v>0</v>
      </c>
      <c r="L640" t="n">
        <v>0</v>
      </c>
      <c r="M640" t="n">
        <v>0</v>
      </c>
      <c r="N640" t="n">
        <v>0</v>
      </c>
      <c r="O640" t="n">
        <v>0</v>
      </c>
      <c r="P640" t="n">
        <v>0</v>
      </c>
      <c r="Q640" t="n">
        <v>0</v>
      </c>
      <c r="R640" s="2" t="inlineStr"/>
    </row>
    <row r="641" ht="15" customHeight="1">
      <c r="A641" t="inlineStr">
        <is>
          <t>A 9044-2022</t>
        </is>
      </c>
      <c r="B641" s="1" t="n">
        <v>44602</v>
      </c>
      <c r="C641" s="1" t="n">
        <v>45982</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69117-2021</t>
        </is>
      </c>
      <c r="B642" s="1" t="n">
        <v>44530.82445601852</v>
      </c>
      <c r="C642" s="1" t="n">
        <v>45982</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12559-2023</t>
        </is>
      </c>
      <c r="B643" s="1" t="n">
        <v>45000.36373842593</v>
      </c>
      <c r="C643" s="1" t="n">
        <v>45982</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6722-2022</t>
        </is>
      </c>
      <c r="B644" s="1" t="n">
        <v>44602</v>
      </c>
      <c r="C644" s="1" t="n">
        <v>45982</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11872-2023</t>
        </is>
      </c>
      <c r="B645" s="1" t="n">
        <v>44995</v>
      </c>
      <c r="C645" s="1" t="n">
        <v>45982</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51848-2022</t>
        </is>
      </c>
      <c r="B646" s="1" t="n">
        <v>44872.57752314815</v>
      </c>
      <c r="C646" s="1" t="n">
        <v>45982</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16087-2023</t>
        </is>
      </c>
      <c r="B647" s="1" t="n">
        <v>45026</v>
      </c>
      <c r="C647" s="1" t="n">
        <v>45982</v>
      </c>
      <c r="D647" t="inlineStr">
        <is>
          <t>SÖDERMANLANDS LÄN</t>
        </is>
      </c>
      <c r="E647" t="inlineStr">
        <is>
          <t>KATRINEHOLM</t>
        </is>
      </c>
      <c r="G647" t="n">
        <v>2</v>
      </c>
      <c r="H647" t="n">
        <v>0</v>
      </c>
      <c r="I647" t="n">
        <v>0</v>
      </c>
      <c r="J647" t="n">
        <v>0</v>
      </c>
      <c r="K647" t="n">
        <v>0</v>
      </c>
      <c r="L647" t="n">
        <v>0</v>
      </c>
      <c r="M647" t="n">
        <v>0</v>
      </c>
      <c r="N647" t="n">
        <v>0</v>
      </c>
      <c r="O647" t="n">
        <v>0</v>
      </c>
      <c r="P647" t="n">
        <v>0</v>
      </c>
      <c r="Q647" t="n">
        <v>0</v>
      </c>
      <c r="R647" s="2" t="inlineStr"/>
    </row>
    <row r="648" ht="15" customHeight="1">
      <c r="A648" t="inlineStr">
        <is>
          <t>A 21959-2022</t>
        </is>
      </c>
      <c r="B648" s="1" t="n">
        <v>44708</v>
      </c>
      <c r="C648" s="1" t="n">
        <v>45982</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42451-2023</t>
        </is>
      </c>
      <c r="B649" s="1" t="n">
        <v>45180</v>
      </c>
      <c r="C649" s="1" t="n">
        <v>45982</v>
      </c>
      <c r="D649" t="inlineStr">
        <is>
          <t>SÖDERMANLANDS LÄN</t>
        </is>
      </c>
      <c r="E649" t="inlineStr">
        <is>
          <t>KATRINEHOLM</t>
        </is>
      </c>
      <c r="G649" t="n">
        <v>3.8</v>
      </c>
      <c r="H649" t="n">
        <v>0</v>
      </c>
      <c r="I649" t="n">
        <v>0</v>
      </c>
      <c r="J649" t="n">
        <v>0</v>
      </c>
      <c r="K649" t="n">
        <v>0</v>
      </c>
      <c r="L649" t="n">
        <v>0</v>
      </c>
      <c r="M649" t="n">
        <v>0</v>
      </c>
      <c r="N649" t="n">
        <v>0</v>
      </c>
      <c r="O649" t="n">
        <v>0</v>
      </c>
      <c r="P649" t="n">
        <v>0</v>
      </c>
      <c r="Q649" t="n">
        <v>0</v>
      </c>
      <c r="R649" s="2" t="inlineStr"/>
    </row>
    <row r="650" ht="15" customHeight="1">
      <c r="A650" t="inlineStr">
        <is>
          <t>A 22506-2023</t>
        </is>
      </c>
      <c r="B650" s="1" t="n">
        <v>45071.37393518518</v>
      </c>
      <c r="C650" s="1" t="n">
        <v>45982</v>
      </c>
      <c r="D650" t="inlineStr">
        <is>
          <t>SÖDERMANLANDS LÄN</t>
        </is>
      </c>
      <c r="E650" t="inlineStr">
        <is>
          <t>KATRINEHOLM</t>
        </is>
      </c>
      <c r="F650" t="inlineStr">
        <is>
          <t>Kyrkan</t>
        </is>
      </c>
      <c r="G650" t="n">
        <v>5.9</v>
      </c>
      <c r="H650" t="n">
        <v>0</v>
      </c>
      <c r="I650" t="n">
        <v>0</v>
      </c>
      <c r="J650" t="n">
        <v>0</v>
      </c>
      <c r="K650" t="n">
        <v>0</v>
      </c>
      <c r="L650" t="n">
        <v>0</v>
      </c>
      <c r="M650" t="n">
        <v>0</v>
      </c>
      <c r="N650" t="n">
        <v>0</v>
      </c>
      <c r="O650" t="n">
        <v>0</v>
      </c>
      <c r="P650" t="n">
        <v>0</v>
      </c>
      <c r="Q650" t="n">
        <v>0</v>
      </c>
      <c r="R650" s="2" t="inlineStr"/>
    </row>
    <row r="651" ht="15" customHeight="1">
      <c r="A651" t="inlineStr">
        <is>
          <t>A 26713-2024</t>
        </is>
      </c>
      <c r="B651" s="1" t="n">
        <v>45470</v>
      </c>
      <c r="C651" s="1" t="n">
        <v>45982</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1151-2025</t>
        </is>
      </c>
      <c r="B652" s="1" t="n">
        <v>45666</v>
      </c>
      <c r="C652" s="1" t="n">
        <v>45982</v>
      </c>
      <c r="D652" t="inlineStr">
        <is>
          <t>SÖDERMANLANDS LÄN</t>
        </is>
      </c>
      <c r="E652" t="inlineStr">
        <is>
          <t>KATRINEHOLM</t>
        </is>
      </c>
      <c r="G652" t="n">
        <v>1.9</v>
      </c>
      <c r="H652" t="n">
        <v>0</v>
      </c>
      <c r="I652" t="n">
        <v>0</v>
      </c>
      <c r="J652" t="n">
        <v>0</v>
      </c>
      <c r="K652" t="n">
        <v>0</v>
      </c>
      <c r="L652" t="n">
        <v>0</v>
      </c>
      <c r="M652" t="n">
        <v>0</v>
      </c>
      <c r="N652" t="n">
        <v>0</v>
      </c>
      <c r="O652" t="n">
        <v>0</v>
      </c>
      <c r="P652" t="n">
        <v>0</v>
      </c>
      <c r="Q652" t="n">
        <v>0</v>
      </c>
      <c r="R652" s="2" t="inlineStr"/>
    </row>
    <row r="653" ht="15" customHeight="1">
      <c r="A653" t="inlineStr">
        <is>
          <t>A 36133-2021</t>
        </is>
      </c>
      <c r="B653" s="1" t="n">
        <v>44386</v>
      </c>
      <c r="C653" s="1" t="n">
        <v>45982</v>
      </c>
      <c r="D653" t="inlineStr">
        <is>
          <t>SÖDERMANLANDS LÄN</t>
        </is>
      </c>
      <c r="E653" t="inlineStr">
        <is>
          <t>KATRINEHOLM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50017-2023</t>
        </is>
      </c>
      <c r="B654" s="1" t="n">
        <v>45215</v>
      </c>
      <c r="C654" s="1" t="n">
        <v>45982</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50018-2023</t>
        </is>
      </c>
      <c r="B655" s="1" t="n">
        <v>45215</v>
      </c>
      <c r="C655" s="1" t="n">
        <v>45982</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29843-2023</t>
        </is>
      </c>
      <c r="B656" s="1" t="n">
        <v>45107</v>
      </c>
      <c r="C656" s="1" t="n">
        <v>45982</v>
      </c>
      <c r="D656" t="inlineStr">
        <is>
          <t>SÖDERMANLANDS LÄN</t>
        </is>
      </c>
      <c r="E656" t="inlineStr">
        <is>
          <t>KATRINEHOLM</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56628-2021</t>
        </is>
      </c>
      <c r="B657" s="1" t="n">
        <v>44480</v>
      </c>
      <c r="C657" s="1" t="n">
        <v>45982</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62418-2023</t>
        </is>
      </c>
      <c r="B658" s="1" t="n">
        <v>45268</v>
      </c>
      <c r="C658" s="1" t="n">
        <v>45982</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48091-2024</t>
        </is>
      </c>
      <c r="B659" s="1" t="n">
        <v>45590</v>
      </c>
      <c r="C659" s="1" t="n">
        <v>45982</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48160-2022</t>
        </is>
      </c>
      <c r="B660" s="1" t="n">
        <v>44853</v>
      </c>
      <c r="C660" s="1" t="n">
        <v>45982</v>
      </c>
      <c r="D660" t="inlineStr">
        <is>
          <t>SÖDERMANLANDS LÄN</t>
        </is>
      </c>
      <c r="E660" t="inlineStr">
        <is>
          <t>KATRINEHOLM</t>
        </is>
      </c>
      <c r="F660" t="inlineStr">
        <is>
          <t>Övriga statliga verk och myndigheter</t>
        </is>
      </c>
      <c r="G660" t="n">
        <v>2.2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45982</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45982</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45982</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45982</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45982</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45982</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45982</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6087-2021</t>
        </is>
      </c>
      <c r="B668" s="1" t="n">
        <v>44232</v>
      </c>
      <c r="C668" s="1" t="n">
        <v>45982</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53843-2023</t>
        </is>
      </c>
      <c r="B669" s="1" t="n">
        <v>45230</v>
      </c>
      <c r="C669" s="1" t="n">
        <v>45982</v>
      </c>
      <c r="D669" t="inlineStr">
        <is>
          <t>SÖDERMANLANDS LÄN</t>
        </is>
      </c>
      <c r="E669" t="inlineStr">
        <is>
          <t>KATRINEHOLM</t>
        </is>
      </c>
      <c r="G669" t="n">
        <v>14.2</v>
      </c>
      <c r="H669" t="n">
        <v>0</v>
      </c>
      <c r="I669" t="n">
        <v>0</v>
      </c>
      <c r="J669" t="n">
        <v>0</v>
      </c>
      <c r="K669" t="n">
        <v>0</v>
      </c>
      <c r="L669" t="n">
        <v>0</v>
      </c>
      <c r="M669" t="n">
        <v>0</v>
      </c>
      <c r="N669" t="n">
        <v>0</v>
      </c>
      <c r="O669" t="n">
        <v>0</v>
      </c>
      <c r="P669" t="n">
        <v>0</v>
      </c>
      <c r="Q669" t="n">
        <v>0</v>
      </c>
      <c r="R669" s="2" t="inlineStr"/>
    </row>
    <row r="670" ht="15" customHeight="1">
      <c r="A670" t="inlineStr">
        <is>
          <t>A 7254-2021</t>
        </is>
      </c>
      <c r="B670" s="1" t="n">
        <v>44238</v>
      </c>
      <c r="C670" s="1" t="n">
        <v>45982</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22295-2024</t>
        </is>
      </c>
      <c r="B671" s="1" t="n">
        <v>45446.56141203704</v>
      </c>
      <c r="C671" s="1" t="n">
        <v>45982</v>
      </c>
      <c r="D671" t="inlineStr">
        <is>
          <t>SÖDERMANLANDS LÄN</t>
        </is>
      </c>
      <c r="E671" t="inlineStr">
        <is>
          <t>KATRINEHOLM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22272-2022</t>
        </is>
      </c>
      <c r="B672" s="1" t="n">
        <v>44712</v>
      </c>
      <c r="C672" s="1" t="n">
        <v>45982</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53715-2023</t>
        </is>
      </c>
      <c r="B673" s="1" t="n">
        <v>45230</v>
      </c>
      <c r="C673" s="1" t="n">
        <v>45982</v>
      </c>
      <c r="D673" t="inlineStr">
        <is>
          <t>SÖDERMANLANDS LÄN</t>
        </is>
      </c>
      <c r="E673" t="inlineStr">
        <is>
          <t>KATRINEHOLM</t>
        </is>
      </c>
      <c r="F673" t="inlineStr">
        <is>
          <t>Allmännings- och besparingsskogar</t>
        </is>
      </c>
      <c r="G673" t="n">
        <v>5.6</v>
      </c>
      <c r="H673" t="n">
        <v>0</v>
      </c>
      <c r="I673" t="n">
        <v>0</v>
      </c>
      <c r="J673" t="n">
        <v>0</v>
      </c>
      <c r="K673" t="n">
        <v>0</v>
      </c>
      <c r="L673" t="n">
        <v>0</v>
      </c>
      <c r="M673" t="n">
        <v>0</v>
      </c>
      <c r="N673" t="n">
        <v>0</v>
      </c>
      <c r="O673" t="n">
        <v>0</v>
      </c>
      <c r="P673" t="n">
        <v>0</v>
      </c>
      <c r="Q673" t="n">
        <v>0</v>
      </c>
      <c r="R673" s="2" t="inlineStr"/>
    </row>
    <row r="674" ht="15" customHeight="1">
      <c r="A674" t="inlineStr">
        <is>
          <t>A 58175-2024</t>
        </is>
      </c>
      <c r="B674" s="1" t="n">
        <v>45632.46648148148</v>
      </c>
      <c r="C674" s="1" t="n">
        <v>45982</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59474-2021</t>
        </is>
      </c>
      <c r="B675" s="1" t="n">
        <v>44491</v>
      </c>
      <c r="C675" s="1" t="n">
        <v>45982</v>
      </c>
      <c r="D675" t="inlineStr">
        <is>
          <t>SÖDERMANLANDS LÄN</t>
        </is>
      </c>
      <c r="E675" t="inlineStr">
        <is>
          <t>KATRINEHOLM</t>
        </is>
      </c>
      <c r="G675" t="n">
        <v>2.7</v>
      </c>
      <c r="H675" t="n">
        <v>0</v>
      </c>
      <c r="I675" t="n">
        <v>0</v>
      </c>
      <c r="J675" t="n">
        <v>0</v>
      </c>
      <c r="K675" t="n">
        <v>0</v>
      </c>
      <c r="L675" t="n">
        <v>0</v>
      </c>
      <c r="M675" t="n">
        <v>0</v>
      </c>
      <c r="N675" t="n">
        <v>0</v>
      </c>
      <c r="O675" t="n">
        <v>0</v>
      </c>
      <c r="P675" t="n">
        <v>0</v>
      </c>
      <c r="Q675" t="n">
        <v>0</v>
      </c>
      <c r="R675" s="2" t="inlineStr"/>
    </row>
    <row r="676" ht="15" customHeight="1">
      <c r="A676" t="inlineStr">
        <is>
          <t>A 51923-2023</t>
        </is>
      </c>
      <c r="B676" s="1" t="n">
        <v>45223</v>
      </c>
      <c r="C676" s="1" t="n">
        <v>45982</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27875-2024</t>
        </is>
      </c>
      <c r="B677" s="1" t="n">
        <v>45475</v>
      </c>
      <c r="C677" s="1" t="n">
        <v>45982</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43088-2022</t>
        </is>
      </c>
      <c r="B678" s="1" t="n">
        <v>44833</v>
      </c>
      <c r="C678" s="1" t="n">
        <v>45982</v>
      </c>
      <c r="D678" t="inlineStr">
        <is>
          <t>SÖDERMANLANDS LÄN</t>
        </is>
      </c>
      <c r="E678" t="inlineStr">
        <is>
          <t>KATRINEHOLM</t>
        </is>
      </c>
      <c r="G678" t="n">
        <v>6.6</v>
      </c>
      <c r="H678" t="n">
        <v>0</v>
      </c>
      <c r="I678" t="n">
        <v>0</v>
      </c>
      <c r="J678" t="n">
        <v>0</v>
      </c>
      <c r="K678" t="n">
        <v>0</v>
      </c>
      <c r="L678" t="n">
        <v>0</v>
      </c>
      <c r="M678" t="n">
        <v>0</v>
      </c>
      <c r="N678" t="n">
        <v>0</v>
      </c>
      <c r="O678" t="n">
        <v>0</v>
      </c>
      <c r="P678" t="n">
        <v>0</v>
      </c>
      <c r="Q678" t="n">
        <v>0</v>
      </c>
      <c r="R678" s="2" t="inlineStr"/>
    </row>
    <row r="679" ht="15" customHeight="1">
      <c r="A679" t="inlineStr">
        <is>
          <t>A 52658-2023</t>
        </is>
      </c>
      <c r="B679" s="1" t="n">
        <v>45225</v>
      </c>
      <c r="C679" s="1" t="n">
        <v>45982</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61385-2023</t>
        </is>
      </c>
      <c r="B680" s="1" t="n">
        <v>45264.64241898148</v>
      </c>
      <c r="C680" s="1" t="n">
        <v>45982</v>
      </c>
      <c r="D680" t="inlineStr">
        <is>
          <t>SÖDERMANLANDS LÄN</t>
        </is>
      </c>
      <c r="E680" t="inlineStr">
        <is>
          <t>KATRINEHOLM</t>
        </is>
      </c>
      <c r="G680" t="n">
        <v>0.4</v>
      </c>
      <c r="H680" t="n">
        <v>0</v>
      </c>
      <c r="I680" t="n">
        <v>0</v>
      </c>
      <c r="J680" t="n">
        <v>0</v>
      </c>
      <c r="K680" t="n">
        <v>0</v>
      </c>
      <c r="L680" t="n">
        <v>0</v>
      </c>
      <c r="M680" t="n">
        <v>0</v>
      </c>
      <c r="N680" t="n">
        <v>0</v>
      </c>
      <c r="O680" t="n">
        <v>0</v>
      </c>
      <c r="P680" t="n">
        <v>0</v>
      </c>
      <c r="Q680" t="n">
        <v>0</v>
      </c>
      <c r="R680" s="2" t="inlineStr"/>
    </row>
    <row r="681" ht="15" customHeight="1">
      <c r="A681" t="inlineStr">
        <is>
          <t>A 48030-2022</t>
        </is>
      </c>
      <c r="B681" s="1" t="n">
        <v>44855</v>
      </c>
      <c r="C681" s="1" t="n">
        <v>45982</v>
      </c>
      <c r="D681" t="inlineStr">
        <is>
          <t>SÖDERMANLANDS LÄN</t>
        </is>
      </c>
      <c r="E681" t="inlineStr">
        <is>
          <t>KATRINEHOLM</t>
        </is>
      </c>
      <c r="F681" t="inlineStr">
        <is>
          <t>Allmännings- och besparingsskogar</t>
        </is>
      </c>
      <c r="G681" t="n">
        <v>1.5</v>
      </c>
      <c r="H681" t="n">
        <v>0</v>
      </c>
      <c r="I681" t="n">
        <v>0</v>
      </c>
      <c r="J681" t="n">
        <v>0</v>
      </c>
      <c r="K681" t="n">
        <v>0</v>
      </c>
      <c r="L681" t="n">
        <v>0</v>
      </c>
      <c r="M681" t="n">
        <v>0</v>
      </c>
      <c r="N681" t="n">
        <v>0</v>
      </c>
      <c r="O681" t="n">
        <v>0</v>
      </c>
      <c r="P681" t="n">
        <v>0</v>
      </c>
      <c r="Q681" t="n">
        <v>0</v>
      </c>
      <c r="R681" s="2" t="inlineStr"/>
    </row>
    <row r="682" ht="15" customHeight="1">
      <c r="A682" t="inlineStr">
        <is>
          <t>A 10932-2023</t>
        </is>
      </c>
      <c r="B682" s="1" t="n">
        <v>44985</v>
      </c>
      <c r="C682" s="1" t="n">
        <v>45982</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36767-2022</t>
        </is>
      </c>
      <c r="B683" s="1" t="n">
        <v>44805</v>
      </c>
      <c r="C683" s="1" t="n">
        <v>45982</v>
      </c>
      <c r="D683" t="inlineStr">
        <is>
          <t>SÖDERMANLANDS LÄN</t>
        </is>
      </c>
      <c r="E683" t="inlineStr">
        <is>
          <t>KATRINEHOLM</t>
        </is>
      </c>
      <c r="G683" t="n">
        <v>1.1</v>
      </c>
      <c r="H683" t="n">
        <v>0</v>
      </c>
      <c r="I683" t="n">
        <v>0</v>
      </c>
      <c r="J683" t="n">
        <v>0</v>
      </c>
      <c r="K683" t="n">
        <v>0</v>
      </c>
      <c r="L683" t="n">
        <v>0</v>
      </c>
      <c r="M683" t="n">
        <v>0</v>
      </c>
      <c r="N683" t="n">
        <v>0</v>
      </c>
      <c r="O683" t="n">
        <v>0</v>
      </c>
      <c r="P683" t="n">
        <v>0</v>
      </c>
      <c r="Q683" t="n">
        <v>0</v>
      </c>
      <c r="R683" s="2" t="inlineStr"/>
    </row>
    <row r="684" ht="15" customHeight="1">
      <c r="A684" t="inlineStr">
        <is>
          <t>A 5834-2025</t>
        </is>
      </c>
      <c r="B684" s="1" t="n">
        <v>45694</v>
      </c>
      <c r="C684" s="1" t="n">
        <v>45982</v>
      </c>
      <c r="D684" t="inlineStr">
        <is>
          <t>SÖDERMANLANDS LÄN</t>
        </is>
      </c>
      <c r="E684" t="inlineStr">
        <is>
          <t>KATRINEHOLM</t>
        </is>
      </c>
      <c r="G684" t="n">
        <v>3.3</v>
      </c>
      <c r="H684" t="n">
        <v>0</v>
      </c>
      <c r="I684" t="n">
        <v>0</v>
      </c>
      <c r="J684" t="n">
        <v>0</v>
      </c>
      <c r="K684" t="n">
        <v>0</v>
      </c>
      <c r="L684" t="n">
        <v>0</v>
      </c>
      <c r="M684" t="n">
        <v>0</v>
      </c>
      <c r="N684" t="n">
        <v>0</v>
      </c>
      <c r="O684" t="n">
        <v>0</v>
      </c>
      <c r="P684" t="n">
        <v>0</v>
      </c>
      <c r="Q684" t="n">
        <v>0</v>
      </c>
      <c r="R684" s="2" t="inlineStr"/>
    </row>
    <row r="685" ht="15" customHeight="1">
      <c r="A685" t="inlineStr">
        <is>
          <t>A 9899-2023</t>
        </is>
      </c>
      <c r="B685" s="1" t="n">
        <v>44985</v>
      </c>
      <c r="C685" s="1" t="n">
        <v>45982</v>
      </c>
      <c r="D685" t="inlineStr">
        <is>
          <t>SÖDERMANLANDS LÄN</t>
        </is>
      </c>
      <c r="E685" t="inlineStr">
        <is>
          <t>KATRINEHOLM</t>
        </is>
      </c>
      <c r="F685" t="inlineStr">
        <is>
          <t>Allmännings- och besparingsskogar</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34263-2023</t>
        </is>
      </c>
      <c r="B686" s="1" t="n">
        <v>45138.60248842592</v>
      </c>
      <c r="C686" s="1" t="n">
        <v>45982</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6092-2025</t>
        </is>
      </c>
      <c r="B687" s="1" t="n">
        <v>45697</v>
      </c>
      <c r="C687" s="1" t="n">
        <v>45982</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55863-2022</t>
        </is>
      </c>
      <c r="B688" s="1" t="n">
        <v>44888</v>
      </c>
      <c r="C688" s="1" t="n">
        <v>45982</v>
      </c>
      <c r="D688" t="inlineStr">
        <is>
          <t>SÖDERMANLANDS LÄN</t>
        </is>
      </c>
      <c r="E688" t="inlineStr">
        <is>
          <t>KATRINEHOLM</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55865-2022</t>
        </is>
      </c>
      <c r="B689" s="1" t="n">
        <v>44888</v>
      </c>
      <c r="C689" s="1" t="n">
        <v>45982</v>
      </c>
      <c r="D689" t="inlineStr">
        <is>
          <t>SÖDERMANLANDS LÄN</t>
        </is>
      </c>
      <c r="E689" t="inlineStr">
        <is>
          <t>KATRINEHOLM</t>
        </is>
      </c>
      <c r="G689" t="n">
        <v>9.1</v>
      </c>
      <c r="H689" t="n">
        <v>0</v>
      </c>
      <c r="I689" t="n">
        <v>0</v>
      </c>
      <c r="J689" t="n">
        <v>0</v>
      </c>
      <c r="K689" t="n">
        <v>0</v>
      </c>
      <c r="L689" t="n">
        <v>0</v>
      </c>
      <c r="M689" t="n">
        <v>0</v>
      </c>
      <c r="N689" t="n">
        <v>0</v>
      </c>
      <c r="O689" t="n">
        <v>0</v>
      </c>
      <c r="P689" t="n">
        <v>0</v>
      </c>
      <c r="Q689" t="n">
        <v>0</v>
      </c>
      <c r="R689" s="2" t="inlineStr"/>
    </row>
    <row r="690" ht="15" customHeight="1">
      <c r="A690" t="inlineStr">
        <is>
          <t>A 10341-2022</t>
        </is>
      </c>
      <c r="B690" s="1" t="n">
        <v>44623</v>
      </c>
      <c r="C690" s="1" t="n">
        <v>45982</v>
      </c>
      <c r="D690" t="inlineStr">
        <is>
          <t>SÖDERMANLANDS LÄN</t>
        </is>
      </c>
      <c r="E690" t="inlineStr">
        <is>
          <t>KATRINEHOLM</t>
        </is>
      </c>
      <c r="G690" t="n">
        <v>2.3</v>
      </c>
      <c r="H690" t="n">
        <v>0</v>
      </c>
      <c r="I690" t="n">
        <v>0</v>
      </c>
      <c r="J690" t="n">
        <v>0</v>
      </c>
      <c r="K690" t="n">
        <v>0</v>
      </c>
      <c r="L690" t="n">
        <v>0</v>
      </c>
      <c r="M690" t="n">
        <v>0</v>
      </c>
      <c r="N690" t="n">
        <v>0</v>
      </c>
      <c r="O690" t="n">
        <v>0</v>
      </c>
      <c r="P690" t="n">
        <v>0</v>
      </c>
      <c r="Q690" t="n">
        <v>0</v>
      </c>
      <c r="R690" s="2" t="inlineStr"/>
    </row>
    <row r="691" ht="15" customHeight="1">
      <c r="A691" t="inlineStr">
        <is>
          <t>A 9437-2022</t>
        </is>
      </c>
      <c r="B691" s="1" t="n">
        <v>44616.69246527777</v>
      </c>
      <c r="C691" s="1" t="n">
        <v>45982</v>
      </c>
      <c r="D691" t="inlineStr">
        <is>
          <t>SÖDERMANLANDS LÄN</t>
        </is>
      </c>
      <c r="E691" t="inlineStr">
        <is>
          <t>KATRINEHOLM</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22345-2023</t>
        </is>
      </c>
      <c r="B692" s="1" t="n">
        <v>45070</v>
      </c>
      <c r="C692" s="1" t="n">
        <v>45982</v>
      </c>
      <c r="D692" t="inlineStr">
        <is>
          <t>SÖDERMANLANDS LÄN</t>
        </is>
      </c>
      <c r="E692" t="inlineStr">
        <is>
          <t>KATRINEHOLM</t>
        </is>
      </c>
      <c r="F692" t="inlineStr">
        <is>
          <t>Holmen skog AB</t>
        </is>
      </c>
      <c r="G692" t="n">
        <v>2</v>
      </c>
      <c r="H692" t="n">
        <v>0</v>
      </c>
      <c r="I692" t="n">
        <v>0</v>
      </c>
      <c r="J692" t="n">
        <v>0</v>
      </c>
      <c r="K692" t="n">
        <v>0</v>
      </c>
      <c r="L692" t="n">
        <v>0</v>
      </c>
      <c r="M692" t="n">
        <v>0</v>
      </c>
      <c r="N692" t="n">
        <v>0</v>
      </c>
      <c r="O692" t="n">
        <v>0</v>
      </c>
      <c r="P692" t="n">
        <v>0</v>
      </c>
      <c r="Q692" t="n">
        <v>0</v>
      </c>
      <c r="R692" s="2" t="inlineStr"/>
    </row>
    <row r="693" ht="15" customHeight="1">
      <c r="A693" t="inlineStr">
        <is>
          <t>A 48528-2021</t>
        </is>
      </c>
      <c r="B693" s="1" t="n">
        <v>44449</v>
      </c>
      <c r="C693" s="1" t="n">
        <v>45982</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28675-2024</t>
        </is>
      </c>
      <c r="B694" s="1" t="n">
        <v>45478</v>
      </c>
      <c r="C694" s="1" t="n">
        <v>45982</v>
      </c>
      <c r="D694" t="inlineStr">
        <is>
          <t>SÖDERMANLANDS LÄN</t>
        </is>
      </c>
      <c r="E694" t="inlineStr">
        <is>
          <t>KATRINEHOLM</t>
        </is>
      </c>
      <c r="F694" t="inlineStr">
        <is>
          <t>Övriga Aktiebolag</t>
        </is>
      </c>
      <c r="G694" t="n">
        <v>3.5</v>
      </c>
      <c r="H694" t="n">
        <v>0</v>
      </c>
      <c r="I694" t="n">
        <v>0</v>
      </c>
      <c r="J694" t="n">
        <v>0</v>
      </c>
      <c r="K694" t="n">
        <v>0</v>
      </c>
      <c r="L694" t="n">
        <v>0</v>
      </c>
      <c r="M694" t="n">
        <v>0</v>
      </c>
      <c r="N694" t="n">
        <v>0</v>
      </c>
      <c r="O694" t="n">
        <v>0</v>
      </c>
      <c r="P694" t="n">
        <v>0</v>
      </c>
      <c r="Q694" t="n">
        <v>0</v>
      </c>
      <c r="R694" s="2" t="inlineStr"/>
    </row>
    <row r="695" ht="15" customHeight="1">
      <c r="A695" t="inlineStr">
        <is>
          <t>A 33790-2024</t>
        </is>
      </c>
      <c r="B695" s="1" t="n">
        <v>45520.59179398148</v>
      </c>
      <c r="C695" s="1" t="n">
        <v>45982</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41267-2023</t>
        </is>
      </c>
      <c r="B696" s="1" t="n">
        <v>45174</v>
      </c>
      <c r="C696" s="1" t="n">
        <v>45982</v>
      </c>
      <c r="D696" t="inlineStr">
        <is>
          <t>SÖDERMANLANDS LÄN</t>
        </is>
      </c>
      <c r="E696" t="inlineStr">
        <is>
          <t>KATRINEHOLM</t>
        </is>
      </c>
      <c r="F696" t="inlineStr">
        <is>
          <t>Holmen skog AB</t>
        </is>
      </c>
      <c r="G696" t="n">
        <v>4.5</v>
      </c>
      <c r="H696" t="n">
        <v>0</v>
      </c>
      <c r="I696" t="n">
        <v>0</v>
      </c>
      <c r="J696" t="n">
        <v>0</v>
      </c>
      <c r="K696" t="n">
        <v>0</v>
      </c>
      <c r="L696" t="n">
        <v>0</v>
      </c>
      <c r="M696" t="n">
        <v>0</v>
      </c>
      <c r="N696" t="n">
        <v>0</v>
      </c>
      <c r="O696" t="n">
        <v>0</v>
      </c>
      <c r="P696" t="n">
        <v>0</v>
      </c>
      <c r="Q696" t="n">
        <v>0</v>
      </c>
      <c r="R696" s="2" t="inlineStr"/>
    </row>
    <row r="697" ht="15" customHeight="1">
      <c r="A697" t="inlineStr">
        <is>
          <t>A 53809-2021</t>
        </is>
      </c>
      <c r="B697" s="1" t="n">
        <v>44467</v>
      </c>
      <c r="C697" s="1" t="n">
        <v>45982</v>
      </c>
      <c r="D697" t="inlineStr">
        <is>
          <t>SÖDERMANLANDS LÄN</t>
        </is>
      </c>
      <c r="E697" t="inlineStr">
        <is>
          <t>KATRINEHOLM</t>
        </is>
      </c>
      <c r="G697" t="n">
        <v>7</v>
      </c>
      <c r="H697" t="n">
        <v>0</v>
      </c>
      <c r="I697" t="n">
        <v>0</v>
      </c>
      <c r="J697" t="n">
        <v>0</v>
      </c>
      <c r="K697" t="n">
        <v>0</v>
      </c>
      <c r="L697" t="n">
        <v>0</v>
      </c>
      <c r="M697" t="n">
        <v>0</v>
      </c>
      <c r="N697" t="n">
        <v>0</v>
      </c>
      <c r="O697" t="n">
        <v>0</v>
      </c>
      <c r="P697" t="n">
        <v>0</v>
      </c>
      <c r="Q697" t="n">
        <v>0</v>
      </c>
      <c r="R697" s="2" t="inlineStr"/>
    </row>
    <row r="698" ht="15" customHeight="1">
      <c r="A698" t="inlineStr">
        <is>
          <t>A 4758-2025</t>
        </is>
      </c>
      <c r="B698" s="1" t="n">
        <v>45688</v>
      </c>
      <c r="C698" s="1" t="n">
        <v>45982</v>
      </c>
      <c r="D698" t="inlineStr">
        <is>
          <t>SÖDERMANLANDS LÄN</t>
        </is>
      </c>
      <c r="E698" t="inlineStr">
        <is>
          <t>KATRINEHOLM</t>
        </is>
      </c>
      <c r="G698" t="n">
        <v>2.3</v>
      </c>
      <c r="H698" t="n">
        <v>0</v>
      </c>
      <c r="I698" t="n">
        <v>0</v>
      </c>
      <c r="J698" t="n">
        <v>0</v>
      </c>
      <c r="K698" t="n">
        <v>0</v>
      </c>
      <c r="L698" t="n">
        <v>0</v>
      </c>
      <c r="M698" t="n">
        <v>0</v>
      </c>
      <c r="N698" t="n">
        <v>0</v>
      </c>
      <c r="O698" t="n">
        <v>0</v>
      </c>
      <c r="P698" t="n">
        <v>0</v>
      </c>
      <c r="Q698" t="n">
        <v>0</v>
      </c>
      <c r="R698" s="2" t="inlineStr"/>
    </row>
    <row r="699" ht="15" customHeight="1">
      <c r="A699" t="inlineStr">
        <is>
          <t>A 28317-2024</t>
        </is>
      </c>
      <c r="B699" s="1" t="n">
        <v>45477</v>
      </c>
      <c r="C699" s="1" t="n">
        <v>45982</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62424-2020</t>
        </is>
      </c>
      <c r="B700" s="1" t="n">
        <v>44160</v>
      </c>
      <c r="C700" s="1" t="n">
        <v>45982</v>
      </c>
      <c r="D700" t="inlineStr">
        <is>
          <t>SÖDERMANLANDS LÄN</t>
        </is>
      </c>
      <c r="E700" t="inlineStr">
        <is>
          <t>KATRINEHOLM</t>
        </is>
      </c>
      <c r="G700" t="n">
        <v>2.4</v>
      </c>
      <c r="H700" t="n">
        <v>0</v>
      </c>
      <c r="I700" t="n">
        <v>0</v>
      </c>
      <c r="J700" t="n">
        <v>0</v>
      </c>
      <c r="K700" t="n">
        <v>0</v>
      </c>
      <c r="L700" t="n">
        <v>0</v>
      </c>
      <c r="M700" t="n">
        <v>0</v>
      </c>
      <c r="N700" t="n">
        <v>0</v>
      </c>
      <c r="O700" t="n">
        <v>0</v>
      </c>
      <c r="P700" t="n">
        <v>0</v>
      </c>
      <c r="Q700" t="n">
        <v>0</v>
      </c>
      <c r="R700" s="2" t="inlineStr"/>
    </row>
    <row r="701" ht="15" customHeight="1">
      <c r="A701" t="inlineStr">
        <is>
          <t>A 52348-2021</t>
        </is>
      </c>
      <c r="B701" s="1" t="n">
        <v>44464.49756944444</v>
      </c>
      <c r="C701" s="1" t="n">
        <v>45982</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5795-2022</t>
        </is>
      </c>
      <c r="B702" s="1" t="n">
        <v>44596</v>
      </c>
      <c r="C702" s="1" t="n">
        <v>45982</v>
      </c>
      <c r="D702" t="inlineStr">
        <is>
          <t>SÖDERMANLANDS LÄN</t>
        </is>
      </c>
      <c r="E702" t="inlineStr">
        <is>
          <t>KATRINEHOLM</t>
        </is>
      </c>
      <c r="G702" t="n">
        <v>8.1</v>
      </c>
      <c r="H702" t="n">
        <v>0</v>
      </c>
      <c r="I702" t="n">
        <v>0</v>
      </c>
      <c r="J702" t="n">
        <v>0</v>
      </c>
      <c r="K702" t="n">
        <v>0</v>
      </c>
      <c r="L702" t="n">
        <v>0</v>
      </c>
      <c r="M702" t="n">
        <v>0</v>
      </c>
      <c r="N702" t="n">
        <v>0</v>
      </c>
      <c r="O702" t="n">
        <v>0</v>
      </c>
      <c r="P702" t="n">
        <v>0</v>
      </c>
      <c r="Q702" t="n">
        <v>0</v>
      </c>
      <c r="R702" s="2" t="inlineStr"/>
    </row>
    <row r="703" ht="15" customHeight="1">
      <c r="A703" t="inlineStr">
        <is>
          <t>A 55590-2023</t>
        </is>
      </c>
      <c r="B703" s="1" t="n">
        <v>45238</v>
      </c>
      <c r="C703" s="1" t="n">
        <v>45982</v>
      </c>
      <c r="D703" t="inlineStr">
        <is>
          <t>SÖDERMANLANDS LÄN</t>
        </is>
      </c>
      <c r="E703" t="inlineStr">
        <is>
          <t>KATRINEHOLM</t>
        </is>
      </c>
      <c r="G703" t="n">
        <v>4.5</v>
      </c>
      <c r="H703" t="n">
        <v>0</v>
      </c>
      <c r="I703" t="n">
        <v>0</v>
      </c>
      <c r="J703" t="n">
        <v>0</v>
      </c>
      <c r="K703" t="n">
        <v>0</v>
      </c>
      <c r="L703" t="n">
        <v>0</v>
      </c>
      <c r="M703" t="n">
        <v>0</v>
      </c>
      <c r="N703" t="n">
        <v>0</v>
      </c>
      <c r="O703" t="n">
        <v>0</v>
      </c>
      <c r="P703" t="n">
        <v>0</v>
      </c>
      <c r="Q703" t="n">
        <v>0</v>
      </c>
      <c r="R703" s="2" t="inlineStr"/>
    </row>
    <row r="704" ht="15" customHeight="1">
      <c r="A704" t="inlineStr">
        <is>
          <t>A 46257-2021</t>
        </is>
      </c>
      <c r="B704" s="1" t="n">
        <v>44442</v>
      </c>
      <c r="C704" s="1" t="n">
        <v>45982</v>
      </c>
      <c r="D704" t="inlineStr">
        <is>
          <t>SÖDERMANLANDS LÄN</t>
        </is>
      </c>
      <c r="E704" t="inlineStr">
        <is>
          <t>KATRINEHOLM</t>
        </is>
      </c>
      <c r="G704" t="n">
        <v>2.3</v>
      </c>
      <c r="H704" t="n">
        <v>0</v>
      </c>
      <c r="I704" t="n">
        <v>0</v>
      </c>
      <c r="J704" t="n">
        <v>0</v>
      </c>
      <c r="K704" t="n">
        <v>0</v>
      </c>
      <c r="L704" t="n">
        <v>0</v>
      </c>
      <c r="M704" t="n">
        <v>0</v>
      </c>
      <c r="N704" t="n">
        <v>0</v>
      </c>
      <c r="O704" t="n">
        <v>0</v>
      </c>
      <c r="P704" t="n">
        <v>0</v>
      </c>
      <c r="Q704" t="n">
        <v>0</v>
      </c>
      <c r="R704" s="2" t="inlineStr"/>
    </row>
    <row r="705" ht="15" customHeight="1">
      <c r="A705" t="inlineStr">
        <is>
          <t>A 5320-2025</t>
        </is>
      </c>
      <c r="B705" s="1" t="n">
        <v>45692</v>
      </c>
      <c r="C705" s="1" t="n">
        <v>45982</v>
      </c>
      <c r="D705" t="inlineStr">
        <is>
          <t>SÖDERMANLANDS LÄN</t>
        </is>
      </c>
      <c r="E705" t="inlineStr">
        <is>
          <t>KATRINEHOLM</t>
        </is>
      </c>
      <c r="F705" t="inlineStr">
        <is>
          <t>Kommuner</t>
        </is>
      </c>
      <c r="G705" t="n">
        <v>0.9</v>
      </c>
      <c r="H705" t="n">
        <v>0</v>
      </c>
      <c r="I705" t="n">
        <v>0</v>
      </c>
      <c r="J705" t="n">
        <v>0</v>
      </c>
      <c r="K705" t="n">
        <v>0</v>
      </c>
      <c r="L705" t="n">
        <v>0</v>
      </c>
      <c r="M705" t="n">
        <v>0</v>
      </c>
      <c r="N705" t="n">
        <v>0</v>
      </c>
      <c r="O705" t="n">
        <v>0</v>
      </c>
      <c r="P705" t="n">
        <v>0</v>
      </c>
      <c r="Q705" t="n">
        <v>0</v>
      </c>
      <c r="R705" s="2" t="inlineStr"/>
    </row>
    <row r="706" ht="15" customHeight="1">
      <c r="A706" t="inlineStr">
        <is>
          <t>A 49914-2023</t>
        </is>
      </c>
      <c r="B706" s="1" t="n">
        <v>45214</v>
      </c>
      <c r="C706" s="1" t="n">
        <v>45982</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44637-2023</t>
        </is>
      </c>
      <c r="B707" s="1" t="n">
        <v>45189</v>
      </c>
      <c r="C707" s="1" t="n">
        <v>45982</v>
      </c>
      <c r="D707" t="inlineStr">
        <is>
          <t>SÖDERMANLANDS LÄN</t>
        </is>
      </c>
      <c r="E707" t="inlineStr">
        <is>
          <t>KATRINEHOLM</t>
        </is>
      </c>
      <c r="G707" t="n">
        <v>5.1</v>
      </c>
      <c r="H707" t="n">
        <v>0</v>
      </c>
      <c r="I707" t="n">
        <v>0</v>
      </c>
      <c r="J707" t="n">
        <v>0</v>
      </c>
      <c r="K707" t="n">
        <v>0</v>
      </c>
      <c r="L707" t="n">
        <v>0</v>
      </c>
      <c r="M707" t="n">
        <v>0</v>
      </c>
      <c r="N707" t="n">
        <v>0</v>
      </c>
      <c r="O707" t="n">
        <v>0</v>
      </c>
      <c r="P707" t="n">
        <v>0</v>
      </c>
      <c r="Q707" t="n">
        <v>0</v>
      </c>
      <c r="R707" s="2" t="inlineStr"/>
    </row>
    <row r="708" ht="15" customHeight="1">
      <c r="A708" t="inlineStr">
        <is>
          <t>A 58522-2024</t>
        </is>
      </c>
      <c r="B708" s="1" t="n">
        <v>45635.43770833333</v>
      </c>
      <c r="C708" s="1" t="n">
        <v>45982</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20921-2023</t>
        </is>
      </c>
      <c r="B709" s="1" t="n">
        <v>45061</v>
      </c>
      <c r="C709" s="1" t="n">
        <v>45982</v>
      </c>
      <c r="D709" t="inlineStr">
        <is>
          <t>SÖDERMANLANDS LÄN</t>
        </is>
      </c>
      <c r="E709" t="inlineStr">
        <is>
          <t>KATRINEHOLM</t>
        </is>
      </c>
      <c r="G709" t="n">
        <v>8.9</v>
      </c>
      <c r="H709" t="n">
        <v>0</v>
      </c>
      <c r="I709" t="n">
        <v>0</v>
      </c>
      <c r="J709" t="n">
        <v>0</v>
      </c>
      <c r="K709" t="n">
        <v>0</v>
      </c>
      <c r="L709" t="n">
        <v>0</v>
      </c>
      <c r="M709" t="n">
        <v>0</v>
      </c>
      <c r="N709" t="n">
        <v>0</v>
      </c>
      <c r="O709" t="n">
        <v>0</v>
      </c>
      <c r="P709" t="n">
        <v>0</v>
      </c>
      <c r="Q709" t="n">
        <v>0</v>
      </c>
      <c r="R709" s="2" t="inlineStr"/>
    </row>
    <row r="710" ht="15" customHeight="1">
      <c r="A710" t="inlineStr">
        <is>
          <t>A 12929-2023</t>
        </is>
      </c>
      <c r="B710" s="1" t="n">
        <v>45001</v>
      </c>
      <c r="C710" s="1" t="n">
        <v>45982</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12932-2023</t>
        </is>
      </c>
      <c r="B711" s="1" t="n">
        <v>45001</v>
      </c>
      <c r="C711" s="1" t="n">
        <v>45982</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6446-2022</t>
        </is>
      </c>
      <c r="B712" s="1" t="n">
        <v>44600</v>
      </c>
      <c r="C712" s="1" t="n">
        <v>45982</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4724-2023</t>
        </is>
      </c>
      <c r="B713" s="1" t="n">
        <v>44957</v>
      </c>
      <c r="C713" s="1" t="n">
        <v>45982</v>
      </c>
      <c r="D713" t="inlineStr">
        <is>
          <t>SÖDERMANLANDS LÄN</t>
        </is>
      </c>
      <c r="E713" t="inlineStr">
        <is>
          <t>KATRINEHOLM</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61431-2024</t>
        </is>
      </c>
      <c r="B714" s="1" t="n">
        <v>45646.45950231481</v>
      </c>
      <c r="C714" s="1" t="n">
        <v>45982</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24097-2022</t>
        </is>
      </c>
      <c r="B715" s="1" t="n">
        <v>44725.39371527778</v>
      </c>
      <c r="C715" s="1" t="n">
        <v>45982</v>
      </c>
      <c r="D715" t="inlineStr">
        <is>
          <t>SÖDERMANLANDS LÄN</t>
        </is>
      </c>
      <c r="E715" t="inlineStr">
        <is>
          <t>KATRINEHOLM</t>
        </is>
      </c>
      <c r="G715" t="n">
        <v>6.5</v>
      </c>
      <c r="H715" t="n">
        <v>0</v>
      </c>
      <c r="I715" t="n">
        <v>0</v>
      </c>
      <c r="J715" t="n">
        <v>0</v>
      </c>
      <c r="K715" t="n">
        <v>0</v>
      </c>
      <c r="L715" t="n">
        <v>0</v>
      </c>
      <c r="M715" t="n">
        <v>0</v>
      </c>
      <c r="N715" t="n">
        <v>0</v>
      </c>
      <c r="O715" t="n">
        <v>0</v>
      </c>
      <c r="P715" t="n">
        <v>0</v>
      </c>
      <c r="Q715" t="n">
        <v>0</v>
      </c>
      <c r="R715" s="2" t="inlineStr"/>
    </row>
    <row r="716" ht="15" customHeight="1">
      <c r="A716" t="inlineStr">
        <is>
          <t>A 53393-2023</t>
        </is>
      </c>
      <c r="B716" s="1" t="n">
        <v>45229</v>
      </c>
      <c r="C716" s="1" t="n">
        <v>45982</v>
      </c>
      <c r="D716" t="inlineStr">
        <is>
          <t>SÖDERMANLANDS LÄN</t>
        </is>
      </c>
      <c r="E716" t="inlineStr">
        <is>
          <t>KATRINEHOLM</t>
        </is>
      </c>
      <c r="F716" t="inlineStr">
        <is>
          <t>Kyrkan</t>
        </is>
      </c>
      <c r="G716" t="n">
        <v>5.6</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45982</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20803-2024</t>
        </is>
      </c>
      <c r="B718" s="1" t="n">
        <v>45438</v>
      </c>
      <c r="C718" s="1" t="n">
        <v>45982</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15392-2023</t>
        </is>
      </c>
      <c r="B719" s="1" t="n">
        <v>45016</v>
      </c>
      <c r="C719" s="1" t="n">
        <v>45982</v>
      </c>
      <c r="D719" t="inlineStr">
        <is>
          <t>SÖDERMANLANDS LÄN</t>
        </is>
      </c>
      <c r="E719" t="inlineStr">
        <is>
          <t>KATRINEHOLM</t>
        </is>
      </c>
      <c r="F719" t="inlineStr">
        <is>
          <t>Övriga Aktiebolag</t>
        </is>
      </c>
      <c r="G719" t="n">
        <v>2.7</v>
      </c>
      <c r="H719" t="n">
        <v>0</v>
      </c>
      <c r="I719" t="n">
        <v>0</v>
      </c>
      <c r="J719" t="n">
        <v>0</v>
      </c>
      <c r="K719" t="n">
        <v>0</v>
      </c>
      <c r="L719" t="n">
        <v>0</v>
      </c>
      <c r="M719" t="n">
        <v>0</v>
      </c>
      <c r="N719" t="n">
        <v>0</v>
      </c>
      <c r="O719" t="n">
        <v>0</v>
      </c>
      <c r="P719" t="n">
        <v>0</v>
      </c>
      <c r="Q719" t="n">
        <v>0</v>
      </c>
      <c r="R719" s="2" t="inlineStr"/>
    </row>
    <row r="720" ht="15" customHeight="1">
      <c r="A720" t="inlineStr">
        <is>
          <t>A 4645-2024</t>
        </is>
      </c>
      <c r="B720" s="1" t="n">
        <v>45328</v>
      </c>
      <c r="C720" s="1" t="n">
        <v>45982</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28508-2023</t>
        </is>
      </c>
      <c r="B721" s="1" t="n">
        <v>45103.46788194445</v>
      </c>
      <c r="C721" s="1" t="n">
        <v>45982</v>
      </c>
      <c r="D721" t="inlineStr">
        <is>
          <t>SÖDERMANLANDS LÄN</t>
        </is>
      </c>
      <c r="E721" t="inlineStr">
        <is>
          <t>KATRINEHOLM</t>
        </is>
      </c>
      <c r="F721" t="inlineStr">
        <is>
          <t>Kyrkan</t>
        </is>
      </c>
      <c r="G721" t="n">
        <v>20.5</v>
      </c>
      <c r="H721" t="n">
        <v>0</v>
      </c>
      <c r="I721" t="n">
        <v>0</v>
      </c>
      <c r="J721" t="n">
        <v>0</v>
      </c>
      <c r="K721" t="n">
        <v>0</v>
      </c>
      <c r="L721" t="n">
        <v>0</v>
      </c>
      <c r="M721" t="n">
        <v>0</v>
      </c>
      <c r="N721" t="n">
        <v>0</v>
      </c>
      <c r="O721" t="n">
        <v>0</v>
      </c>
      <c r="P721" t="n">
        <v>0</v>
      </c>
      <c r="Q721" t="n">
        <v>0</v>
      </c>
      <c r="R721" s="2" t="inlineStr"/>
    </row>
    <row r="722" ht="15" customHeight="1">
      <c r="A722" t="inlineStr">
        <is>
          <t>A 61674-2020</t>
        </is>
      </c>
      <c r="B722" s="1" t="n">
        <v>44158</v>
      </c>
      <c r="C722" s="1" t="n">
        <v>45982</v>
      </c>
      <c r="D722" t="inlineStr">
        <is>
          <t>SÖDERMANLANDS LÄN</t>
        </is>
      </c>
      <c r="E722" t="inlineStr">
        <is>
          <t>KATRINEHOLM</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47889-2023</t>
        </is>
      </c>
      <c r="B723" s="1" t="n">
        <v>45204</v>
      </c>
      <c r="C723" s="1" t="n">
        <v>45982</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12975-2022</t>
        </is>
      </c>
      <c r="B724" s="1" t="n">
        <v>44643</v>
      </c>
      <c r="C724" s="1" t="n">
        <v>45982</v>
      </c>
      <c r="D724" t="inlineStr">
        <is>
          <t>SÖDERMANLANDS LÄN</t>
        </is>
      </c>
      <c r="E724" t="inlineStr">
        <is>
          <t>KATRINEHOLM</t>
        </is>
      </c>
      <c r="G724" t="n">
        <v>2.4</v>
      </c>
      <c r="H724" t="n">
        <v>0</v>
      </c>
      <c r="I724" t="n">
        <v>0</v>
      </c>
      <c r="J724" t="n">
        <v>0</v>
      </c>
      <c r="K724" t="n">
        <v>0</v>
      </c>
      <c r="L724" t="n">
        <v>0</v>
      </c>
      <c r="M724" t="n">
        <v>0</v>
      </c>
      <c r="N724" t="n">
        <v>0</v>
      </c>
      <c r="O724" t="n">
        <v>0</v>
      </c>
      <c r="P724" t="n">
        <v>0</v>
      </c>
      <c r="Q724" t="n">
        <v>0</v>
      </c>
      <c r="R724" s="2" t="inlineStr"/>
    </row>
    <row r="725" ht="15" customHeight="1">
      <c r="A725" t="inlineStr">
        <is>
          <t>A 9668-2023</t>
        </is>
      </c>
      <c r="B725" s="1" t="n">
        <v>44984.41238425926</v>
      </c>
      <c r="C725" s="1" t="n">
        <v>45982</v>
      </c>
      <c r="D725" t="inlineStr">
        <is>
          <t>SÖDERMANLANDS LÄN</t>
        </is>
      </c>
      <c r="E725" t="inlineStr">
        <is>
          <t>KATRINEHOLM</t>
        </is>
      </c>
      <c r="G725" t="n">
        <v>4.8</v>
      </c>
      <c r="H725" t="n">
        <v>0</v>
      </c>
      <c r="I725" t="n">
        <v>0</v>
      </c>
      <c r="J725" t="n">
        <v>0</v>
      </c>
      <c r="K725" t="n">
        <v>0</v>
      </c>
      <c r="L725" t="n">
        <v>0</v>
      </c>
      <c r="M725" t="n">
        <v>0</v>
      </c>
      <c r="N725" t="n">
        <v>0</v>
      </c>
      <c r="O725" t="n">
        <v>0</v>
      </c>
      <c r="P725" t="n">
        <v>0</v>
      </c>
      <c r="Q725" t="n">
        <v>0</v>
      </c>
      <c r="R725" s="2" t="inlineStr"/>
    </row>
    <row r="726" ht="15" customHeight="1">
      <c r="A726" t="inlineStr">
        <is>
          <t>A 29977-2023</t>
        </is>
      </c>
      <c r="B726" s="1" t="n">
        <v>45108</v>
      </c>
      <c r="C726" s="1" t="n">
        <v>45982</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4669-2023</t>
        </is>
      </c>
      <c r="B727" s="1" t="n">
        <v>44957</v>
      </c>
      <c r="C727" s="1" t="n">
        <v>45982</v>
      </c>
      <c r="D727" t="inlineStr">
        <is>
          <t>SÖDERMANLANDS LÄN</t>
        </is>
      </c>
      <c r="E727" t="inlineStr">
        <is>
          <t>KATRINEHOLM</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948-2023</t>
        </is>
      </c>
      <c r="B728" s="1" t="n">
        <v>44934</v>
      </c>
      <c r="C728" s="1" t="n">
        <v>45982</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6087-2022</t>
        </is>
      </c>
      <c r="B729" s="1" t="n">
        <v>44599.61034722222</v>
      </c>
      <c r="C729" s="1" t="n">
        <v>45982</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47134-2022</t>
        </is>
      </c>
      <c r="B730" s="1" t="n">
        <v>44851</v>
      </c>
      <c r="C730" s="1" t="n">
        <v>45982</v>
      </c>
      <c r="D730" t="inlineStr">
        <is>
          <t>SÖDERMANLANDS LÄN</t>
        </is>
      </c>
      <c r="E730" t="inlineStr">
        <is>
          <t>KATRINEHOLM</t>
        </is>
      </c>
      <c r="F730" t="inlineStr">
        <is>
          <t>Övriga statliga verk och myndigheter</t>
        </is>
      </c>
      <c r="G730" t="n">
        <v>1.5</v>
      </c>
      <c r="H730" t="n">
        <v>0</v>
      </c>
      <c r="I730" t="n">
        <v>0</v>
      </c>
      <c r="J730" t="n">
        <v>0</v>
      </c>
      <c r="K730" t="n">
        <v>0</v>
      </c>
      <c r="L730" t="n">
        <v>0</v>
      </c>
      <c r="M730" t="n">
        <v>0</v>
      </c>
      <c r="N730" t="n">
        <v>0</v>
      </c>
      <c r="O730" t="n">
        <v>0</v>
      </c>
      <c r="P730" t="n">
        <v>0</v>
      </c>
      <c r="Q730" t="n">
        <v>0</v>
      </c>
      <c r="R730" s="2" t="inlineStr"/>
    </row>
    <row r="731" ht="15" customHeight="1">
      <c r="A731" t="inlineStr">
        <is>
          <t>A 12835-2024</t>
        </is>
      </c>
      <c r="B731" s="1" t="n">
        <v>45384</v>
      </c>
      <c r="C731" s="1" t="n">
        <v>45982</v>
      </c>
      <c r="D731" t="inlineStr">
        <is>
          <t>SÖDERMANLANDS LÄN</t>
        </is>
      </c>
      <c r="E731" t="inlineStr">
        <is>
          <t>KATRINEHOLM</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69600-2020</t>
        </is>
      </c>
      <c r="B732" s="1" t="n">
        <v>44195</v>
      </c>
      <c r="C732" s="1" t="n">
        <v>45982</v>
      </c>
      <c r="D732" t="inlineStr">
        <is>
          <t>SÖDERMANLANDS LÄN</t>
        </is>
      </c>
      <c r="E732" t="inlineStr">
        <is>
          <t>KATRINEHOLM</t>
        </is>
      </c>
      <c r="G732" t="n">
        <v>11.3</v>
      </c>
      <c r="H732" t="n">
        <v>0</v>
      </c>
      <c r="I732" t="n">
        <v>0</v>
      </c>
      <c r="J732" t="n">
        <v>0</v>
      </c>
      <c r="K732" t="n">
        <v>0</v>
      </c>
      <c r="L732" t="n">
        <v>0</v>
      </c>
      <c r="M732" t="n">
        <v>0</v>
      </c>
      <c r="N732" t="n">
        <v>0</v>
      </c>
      <c r="O732" t="n">
        <v>0</v>
      </c>
      <c r="P732" t="n">
        <v>0</v>
      </c>
      <c r="Q732" t="n">
        <v>0</v>
      </c>
      <c r="R732" s="2" t="inlineStr"/>
    </row>
    <row r="733" ht="15" customHeight="1">
      <c r="A733" t="inlineStr">
        <is>
          <t>A 47879-2023</t>
        </is>
      </c>
      <c r="B733" s="1" t="n">
        <v>45204</v>
      </c>
      <c r="C733" s="1" t="n">
        <v>45982</v>
      </c>
      <c r="D733" t="inlineStr">
        <is>
          <t>SÖDERMANLANDS LÄN</t>
        </is>
      </c>
      <c r="E733" t="inlineStr">
        <is>
          <t>KATRINEHOLM</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61410-2024</t>
        </is>
      </c>
      <c r="B734" s="1" t="n">
        <v>45646.43950231482</v>
      </c>
      <c r="C734" s="1" t="n">
        <v>45982</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17746-2024</t>
        </is>
      </c>
      <c r="B735" s="1" t="n">
        <v>45415</v>
      </c>
      <c r="C735" s="1" t="n">
        <v>45982</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57510-2021</t>
        </is>
      </c>
      <c r="B736" s="1" t="n">
        <v>44483</v>
      </c>
      <c r="C736" s="1" t="n">
        <v>45982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34731-2023</t>
        </is>
      </c>
      <c r="B737" s="1" t="n">
        <v>45141</v>
      </c>
      <c r="C737" s="1" t="n">
        <v>45982</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38826-2021</t>
        </is>
      </c>
      <c r="B738" s="1" t="n">
        <v>44411</v>
      </c>
      <c r="C738" s="1" t="n">
        <v>45982</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11875-2023</t>
        </is>
      </c>
      <c r="B739" s="1" t="n">
        <v>44995</v>
      </c>
      <c r="C739" s="1" t="n">
        <v>45982</v>
      </c>
      <c r="D739" t="inlineStr">
        <is>
          <t>SÖDERMANLANDS LÄN</t>
        </is>
      </c>
      <c r="E739" t="inlineStr">
        <is>
          <t>KATRINEHOLM</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6808-2023</t>
        </is>
      </c>
      <c r="B740" s="1" t="n">
        <v>44964</v>
      </c>
      <c r="C740" s="1" t="n">
        <v>45982</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51128-2021</t>
        </is>
      </c>
      <c r="B741" s="1" t="n">
        <v>44460</v>
      </c>
      <c r="C741" s="1" t="n">
        <v>45982</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51264-2021</t>
        </is>
      </c>
      <c r="B742" s="1" t="n">
        <v>44461</v>
      </c>
      <c r="C742" s="1" t="n">
        <v>45982</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23207-2023</t>
        </is>
      </c>
      <c r="B743" s="1" t="n">
        <v>45071</v>
      </c>
      <c r="C743" s="1" t="n">
        <v>45982</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5935-2023</t>
        </is>
      </c>
      <c r="B744" s="1" t="n">
        <v>44963</v>
      </c>
      <c r="C744" s="1" t="n">
        <v>45982</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11104-2023</t>
        </is>
      </c>
      <c r="B745" s="1" t="n">
        <v>44992</v>
      </c>
      <c r="C745" s="1" t="n">
        <v>45982</v>
      </c>
      <c r="D745" t="inlineStr">
        <is>
          <t>SÖDERMANLANDS LÄN</t>
        </is>
      </c>
      <c r="E745" t="inlineStr">
        <is>
          <t>KATRINEHOLM</t>
        </is>
      </c>
      <c r="F745" t="inlineStr">
        <is>
          <t>Allmännings- och besparingsskogar</t>
        </is>
      </c>
      <c r="G745" t="n">
        <v>7.8</v>
      </c>
      <c r="H745" t="n">
        <v>0</v>
      </c>
      <c r="I745" t="n">
        <v>0</v>
      </c>
      <c r="J745" t="n">
        <v>0</v>
      </c>
      <c r="K745" t="n">
        <v>0</v>
      </c>
      <c r="L745" t="n">
        <v>0</v>
      </c>
      <c r="M745" t="n">
        <v>0</v>
      </c>
      <c r="N745" t="n">
        <v>0</v>
      </c>
      <c r="O745" t="n">
        <v>0</v>
      </c>
      <c r="P745" t="n">
        <v>0</v>
      </c>
      <c r="Q745" t="n">
        <v>0</v>
      </c>
      <c r="R745" s="2" t="inlineStr"/>
    </row>
    <row r="746" ht="15" customHeight="1">
      <c r="A746" t="inlineStr">
        <is>
          <t>A 40159-2023</t>
        </is>
      </c>
      <c r="B746" s="1" t="n">
        <v>45169</v>
      </c>
      <c r="C746" s="1" t="n">
        <v>45982</v>
      </c>
      <c r="D746" t="inlineStr">
        <is>
          <t>SÖDERMANLANDS LÄN</t>
        </is>
      </c>
      <c r="E746" t="inlineStr">
        <is>
          <t>KATRINEHOLM</t>
        </is>
      </c>
      <c r="F746" t="inlineStr">
        <is>
          <t>Övriga Aktiebolag</t>
        </is>
      </c>
      <c r="G746" t="n">
        <v>1.1</v>
      </c>
      <c r="H746" t="n">
        <v>0</v>
      </c>
      <c r="I746" t="n">
        <v>0</v>
      </c>
      <c r="J746" t="n">
        <v>0</v>
      </c>
      <c r="K746" t="n">
        <v>0</v>
      </c>
      <c r="L746" t="n">
        <v>0</v>
      </c>
      <c r="M746" t="n">
        <v>0</v>
      </c>
      <c r="N746" t="n">
        <v>0</v>
      </c>
      <c r="O746" t="n">
        <v>0</v>
      </c>
      <c r="P746" t="n">
        <v>0</v>
      </c>
      <c r="Q746" t="n">
        <v>0</v>
      </c>
      <c r="R746" s="2" t="inlineStr"/>
    </row>
    <row r="747" ht="15" customHeight="1">
      <c r="A747" t="inlineStr">
        <is>
          <t>A 36562-2023</t>
        </is>
      </c>
      <c r="B747" s="1" t="n">
        <v>45153</v>
      </c>
      <c r="C747" s="1" t="n">
        <v>45982</v>
      </c>
      <c r="D747" t="inlineStr">
        <is>
          <t>SÖDERMANLANDS LÄN</t>
        </is>
      </c>
      <c r="E747" t="inlineStr">
        <is>
          <t>KATRINEHOLM</t>
        </is>
      </c>
      <c r="G747" t="n">
        <v>5.8</v>
      </c>
      <c r="H747" t="n">
        <v>0</v>
      </c>
      <c r="I747" t="n">
        <v>0</v>
      </c>
      <c r="J747" t="n">
        <v>0</v>
      </c>
      <c r="K747" t="n">
        <v>0</v>
      </c>
      <c r="L747" t="n">
        <v>0</v>
      </c>
      <c r="M747" t="n">
        <v>0</v>
      </c>
      <c r="N747" t="n">
        <v>0</v>
      </c>
      <c r="O747" t="n">
        <v>0</v>
      </c>
      <c r="P747" t="n">
        <v>0</v>
      </c>
      <c r="Q747" t="n">
        <v>0</v>
      </c>
      <c r="R747" s="2" t="inlineStr"/>
    </row>
    <row r="748" ht="15" customHeight="1">
      <c r="A748" t="inlineStr">
        <is>
          <t>A 4872-2024</t>
        </is>
      </c>
      <c r="B748" s="1" t="n">
        <v>45329</v>
      </c>
      <c r="C748" s="1" t="n">
        <v>45982</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6611-2023</t>
        </is>
      </c>
      <c r="B749" s="1" t="n">
        <v>44963</v>
      </c>
      <c r="C749" s="1" t="n">
        <v>45982</v>
      </c>
      <c r="D749" t="inlineStr">
        <is>
          <t>SÖDERMANLANDS LÄN</t>
        </is>
      </c>
      <c r="E749" t="inlineStr">
        <is>
          <t>KATRINEHOLM</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25823-2023</t>
        </is>
      </c>
      <c r="B750" s="1" t="n">
        <v>45090.55078703703</v>
      </c>
      <c r="C750" s="1" t="n">
        <v>45982</v>
      </c>
      <c r="D750" t="inlineStr">
        <is>
          <t>SÖDERMANLANDS LÄN</t>
        </is>
      </c>
      <c r="E750" t="inlineStr">
        <is>
          <t>KATRINEHOLM</t>
        </is>
      </c>
      <c r="F750" t="inlineStr">
        <is>
          <t>Kyrkan</t>
        </is>
      </c>
      <c r="G750" t="n">
        <v>10.2</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45982</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20480-2022</t>
        </is>
      </c>
      <c r="B752" s="1" t="n">
        <v>44699</v>
      </c>
      <c r="C752" s="1" t="n">
        <v>45982</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3060-2022</t>
        </is>
      </c>
      <c r="B753" s="1" t="n">
        <v>44582.40109953703</v>
      </c>
      <c r="C753" s="1" t="n">
        <v>45982</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3075-2022</t>
        </is>
      </c>
      <c r="B754" s="1" t="n">
        <v>44582</v>
      </c>
      <c r="C754" s="1" t="n">
        <v>45982</v>
      </c>
      <c r="D754" t="inlineStr">
        <is>
          <t>SÖDERMANLANDS LÄN</t>
        </is>
      </c>
      <c r="E754" t="inlineStr">
        <is>
          <t>KATRINEHOLM</t>
        </is>
      </c>
      <c r="G754" t="n">
        <v>3.5</v>
      </c>
      <c r="H754" t="n">
        <v>0</v>
      </c>
      <c r="I754" t="n">
        <v>0</v>
      </c>
      <c r="J754" t="n">
        <v>0</v>
      </c>
      <c r="K754" t="n">
        <v>0</v>
      </c>
      <c r="L754" t="n">
        <v>0</v>
      </c>
      <c r="M754" t="n">
        <v>0</v>
      </c>
      <c r="N754" t="n">
        <v>0</v>
      </c>
      <c r="O754" t="n">
        <v>0</v>
      </c>
      <c r="P754" t="n">
        <v>0</v>
      </c>
      <c r="Q754" t="n">
        <v>0</v>
      </c>
      <c r="R754" s="2" t="inlineStr"/>
    </row>
    <row r="755" ht="15" customHeight="1">
      <c r="A755" t="inlineStr">
        <is>
          <t>A 9388-2021</t>
        </is>
      </c>
      <c r="B755" s="1" t="n">
        <v>44250</v>
      </c>
      <c r="C755" s="1" t="n">
        <v>45982</v>
      </c>
      <c r="D755" t="inlineStr">
        <is>
          <t>SÖDERMANLANDS LÄN</t>
        </is>
      </c>
      <c r="E755" t="inlineStr">
        <is>
          <t>KATRINEHOLM</t>
        </is>
      </c>
      <c r="G755" t="n">
        <v>5.4</v>
      </c>
      <c r="H755" t="n">
        <v>0</v>
      </c>
      <c r="I755" t="n">
        <v>0</v>
      </c>
      <c r="J755" t="n">
        <v>0</v>
      </c>
      <c r="K755" t="n">
        <v>0</v>
      </c>
      <c r="L755" t="n">
        <v>0</v>
      </c>
      <c r="M755" t="n">
        <v>0</v>
      </c>
      <c r="N755" t="n">
        <v>0</v>
      </c>
      <c r="O755" t="n">
        <v>0</v>
      </c>
      <c r="P755" t="n">
        <v>0</v>
      </c>
      <c r="Q755" t="n">
        <v>0</v>
      </c>
      <c r="R755" s="2" t="inlineStr"/>
    </row>
    <row r="756" ht="15" customHeight="1">
      <c r="A756" t="inlineStr">
        <is>
          <t>A 13175-2024</t>
        </is>
      </c>
      <c r="B756" s="1" t="n">
        <v>45386</v>
      </c>
      <c r="C756" s="1" t="n">
        <v>45982</v>
      </c>
      <c r="D756" t="inlineStr">
        <is>
          <t>SÖDERMANLANDS LÄN</t>
        </is>
      </c>
      <c r="E756" t="inlineStr">
        <is>
          <t>KATRINEHOLM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26081-2024</t>
        </is>
      </c>
      <c r="B757" s="1" t="n">
        <v>45462</v>
      </c>
      <c r="C757" s="1" t="n">
        <v>45982</v>
      </c>
      <c r="D757" t="inlineStr">
        <is>
          <t>SÖDERMANLANDS LÄN</t>
        </is>
      </c>
      <c r="E757" t="inlineStr">
        <is>
          <t>KATRINEHOLM</t>
        </is>
      </c>
      <c r="G757" t="n">
        <v>4.1</v>
      </c>
      <c r="H757" t="n">
        <v>0</v>
      </c>
      <c r="I757" t="n">
        <v>0</v>
      </c>
      <c r="J757" t="n">
        <v>0</v>
      </c>
      <c r="K757" t="n">
        <v>0</v>
      </c>
      <c r="L757" t="n">
        <v>0</v>
      </c>
      <c r="M757" t="n">
        <v>0</v>
      </c>
      <c r="N757" t="n">
        <v>0</v>
      </c>
      <c r="O757" t="n">
        <v>0</v>
      </c>
      <c r="P757" t="n">
        <v>0</v>
      </c>
      <c r="Q757" t="n">
        <v>0</v>
      </c>
      <c r="R757" s="2" t="inlineStr"/>
    </row>
    <row r="758" ht="15" customHeight="1">
      <c r="A758" t="inlineStr">
        <is>
          <t>A 4667-2024</t>
        </is>
      </c>
      <c r="B758" s="1" t="n">
        <v>45328.47</v>
      </c>
      <c r="C758" s="1" t="n">
        <v>45982</v>
      </c>
      <c r="D758" t="inlineStr">
        <is>
          <t>SÖDERMANLANDS LÄN</t>
        </is>
      </c>
      <c r="E758" t="inlineStr">
        <is>
          <t>KATRINEHOLM</t>
        </is>
      </c>
      <c r="F758" t="inlineStr">
        <is>
          <t>Övriga Aktiebolag</t>
        </is>
      </c>
      <c r="G758" t="n">
        <v>10.2</v>
      </c>
      <c r="H758" t="n">
        <v>0</v>
      </c>
      <c r="I758" t="n">
        <v>0</v>
      </c>
      <c r="J758" t="n">
        <v>0</v>
      </c>
      <c r="K758" t="n">
        <v>0</v>
      </c>
      <c r="L758" t="n">
        <v>0</v>
      </c>
      <c r="M758" t="n">
        <v>0</v>
      </c>
      <c r="N758" t="n">
        <v>0</v>
      </c>
      <c r="O758" t="n">
        <v>0</v>
      </c>
      <c r="P758" t="n">
        <v>0</v>
      </c>
      <c r="Q758" t="n">
        <v>0</v>
      </c>
      <c r="R758" s="2" t="inlineStr"/>
    </row>
    <row r="759" ht="15" customHeight="1">
      <c r="A759" t="inlineStr">
        <is>
          <t>A 5953-2021</t>
        </is>
      </c>
      <c r="B759" s="1" t="n">
        <v>44231</v>
      </c>
      <c r="C759" s="1" t="n">
        <v>45982</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19107-2022</t>
        </is>
      </c>
      <c r="B760" s="1" t="n">
        <v>44691.54077546296</v>
      </c>
      <c r="C760" s="1" t="n">
        <v>45982</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19442-2023</t>
        </is>
      </c>
      <c r="B761" s="1" t="n">
        <v>45050</v>
      </c>
      <c r="C761" s="1" t="n">
        <v>45982</v>
      </c>
      <c r="D761" t="inlineStr">
        <is>
          <t>SÖDERMANLANDS LÄN</t>
        </is>
      </c>
      <c r="E761" t="inlineStr">
        <is>
          <t>KATRINEHOLM</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59093-2024</t>
        </is>
      </c>
      <c r="B762" s="1" t="n">
        <v>45636</v>
      </c>
      <c r="C762" s="1" t="n">
        <v>45982</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2606-2025</t>
        </is>
      </c>
      <c r="B763" s="1" t="n">
        <v>45674</v>
      </c>
      <c r="C763" s="1" t="n">
        <v>45982</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48763-2024</t>
        </is>
      </c>
      <c r="B764" s="1" t="n">
        <v>45593.60288194445</v>
      </c>
      <c r="C764" s="1" t="n">
        <v>45982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38872-2024</t>
        </is>
      </c>
      <c r="B765" s="1" t="n">
        <v>45547</v>
      </c>
      <c r="C765" s="1" t="n">
        <v>45982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41229-2022</t>
        </is>
      </c>
      <c r="B766" s="1" t="n">
        <v>44825</v>
      </c>
      <c r="C766" s="1" t="n">
        <v>45982</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1091-2025</t>
        </is>
      </c>
      <c r="B767" s="1" t="n">
        <v>45666</v>
      </c>
      <c r="C767" s="1" t="n">
        <v>45982</v>
      </c>
      <c r="D767" t="inlineStr">
        <is>
          <t>SÖDERMANLANDS LÄN</t>
        </is>
      </c>
      <c r="E767" t="inlineStr">
        <is>
          <t>KATRINEHOLM</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39010-2021</t>
        </is>
      </c>
      <c r="B768" s="1" t="n">
        <v>44412</v>
      </c>
      <c r="C768" s="1" t="n">
        <v>45982</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45982</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22113-2025</t>
        </is>
      </c>
      <c r="B770" s="1" t="n">
        <v>45785</v>
      </c>
      <c r="C770" s="1" t="n">
        <v>45982</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22119-2025</t>
        </is>
      </c>
      <c r="B771" s="1" t="n">
        <v>45785</v>
      </c>
      <c r="C771" s="1" t="n">
        <v>45982</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24983-2024</t>
        </is>
      </c>
      <c r="B772" s="1" t="n">
        <v>45461</v>
      </c>
      <c r="C772" s="1" t="n">
        <v>45982</v>
      </c>
      <c r="D772" t="inlineStr">
        <is>
          <t>SÖDERMANLANDS LÄN</t>
        </is>
      </c>
      <c r="E772" t="inlineStr">
        <is>
          <t>KATRINEHOLM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22336-2025</t>
        </is>
      </c>
      <c r="B773" s="1" t="n">
        <v>45786.44217592593</v>
      </c>
      <c r="C773" s="1" t="n">
        <v>45982</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c r="A774" t="inlineStr">
        <is>
          <t>A 32943-2024</t>
        </is>
      </c>
      <c r="B774" s="1" t="n">
        <v>45517</v>
      </c>
      <c r="C774" s="1" t="n">
        <v>45982</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2025-11-21T19:57:16Z</dcterms:created>
  <dcterms:modified xmlns:dcterms="http://purl.org/dc/terms/" xmlns:xsi="http://www.w3.org/2001/XMLSchema-instance" xsi:type="dcterms:W3CDTF">2025-11-21T19:57:16Z</dcterms:modified>
</cp:coreProperties>
</file>