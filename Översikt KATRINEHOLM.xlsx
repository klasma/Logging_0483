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28806-2024</t>
        </is>
      </c>
      <c r="B2" t="inlineStr">
        <is>
          <t>avverkningsanmälan</t>
        </is>
      </c>
      <c r="C2" t="inlineStr">
        <is>
          <t>Föryngringsavverkning</t>
        </is>
      </c>
      <c r="D2" s="1" t="n">
        <v>45478</v>
      </c>
      <c r="E2" s="1" t="n">
        <v>46220</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2">
        <f>HYPERLINK("https://klasma.github.io/Logging_0483/artfynd/A 28806-2024 artfynd.xlsx", "A 28806-2024")</f>
        <v/>
      </c>
      <c r="W2">
        <f>HYPERLINK("https://klasma.github.io/Logging_0483/kartor/A 28806-2024 karta.png", "A 28806-2024")</f>
        <v/>
      </c>
      <c r="X2">
        <f>HYPERLINK("https://klasma.github.io/Logging_0483/knärot/A 28806-2024 karta knärot.png", "A 28806-2024")</f>
        <v/>
      </c>
      <c r="Y2">
        <f>HYPERLINK("https://klasma.github.io/Logging_0483/klagomål/A 28806-2024 FSC-klagomål.docx", "A 28806-2024")</f>
        <v/>
      </c>
      <c r="Z2">
        <f>HYPERLINK("https://klasma.github.io/Logging_0483/klagomålsmail/A 28806-2024 FSC-klagomål mail.docx", "A 28806-2024")</f>
        <v/>
      </c>
      <c r="AA2">
        <f>HYPERLINK("https://klasma.github.io/Logging_0483/tillsyn/A 28806-2024 tillsynsbegäran.docx", "A 28806-2024")</f>
        <v/>
      </c>
      <c r="AB2">
        <f>HYPERLINK("https://klasma.github.io/Logging_0483/tillsynsmail/A 28806-2024 tillsynsbegäran mail.docx", "A 28806-2024")</f>
        <v/>
      </c>
      <c r="AC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3">
        <f>HYPERLINK("https://klasma.github.io/Logging_0483/artfynd/S 1546-2022 artfynd.xlsx", "S 1546-2022")</f>
        <v/>
      </c>
      <c r="W3">
        <f>HYPERLINK("https://klasma.github.io/Logging_0483/kartor/S 1546-2022 karta.png", "S 1546-2022")</f>
        <v/>
      </c>
      <c r="Y3">
        <f>HYPERLINK("https://klasma.github.io/Logging_0483/klagomål/S 1546-2022 FSC-klagomål.docx", "S 1546-2022")</f>
        <v/>
      </c>
      <c r="Z3">
        <f>HYPERLINK("https://klasma.github.io/Logging_0483/klagomålsmail/S 1546-2022 FSC-klagomål mail.docx", "S 1546-2022")</f>
        <v/>
      </c>
      <c r="AA3">
        <f>HYPERLINK("https://klasma.github.io/Logging_0483/tillsyn/S 1546-2022 tillsynsbegäran.docx", "S 1546-2022")</f>
        <v/>
      </c>
      <c r="AB3">
        <f>HYPERLINK("https://klasma.github.io/Logging_0483/tillsynsmail/S 1546-2022 tillsynsbegäran mail.docx", "S 1546-2022")</f>
        <v/>
      </c>
      <c r="AC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s="2" t="inlineStr">
        <is>
          <t>Ask
Skogsalm
Fjällig taggsvamp s.str.
Flattoppad klubbsvamp
Svartvit taggsvamp
Granbarkgnagare
Grov baronmossa
Platt fjädermossa
Svart trolldruva
Blåsippa
Kråka
Kungsfågel
Gullviva</t>
        </is>
      </c>
      <c r="V4">
        <f>HYPERLINK("https://klasma.github.io/Logging_0483/artfynd/A 39091-2022 artfynd.xlsx", "A 39091-2022")</f>
        <v/>
      </c>
      <c r="W4">
        <f>HYPERLINK("https://klasma.github.io/Logging_0483/kartor/A 39091-2022 karta.png", "A 39091-2022")</f>
        <v/>
      </c>
      <c r="Y4">
        <f>HYPERLINK("https://klasma.github.io/Logging_0483/klagomål/A 39091-2022 FSC-klagomål.docx", "A 39091-2022")</f>
        <v/>
      </c>
      <c r="Z4">
        <f>HYPERLINK("https://klasma.github.io/Logging_0483/klagomålsmail/A 39091-2022 FSC-klagomål mail.docx", "A 39091-2022")</f>
        <v/>
      </c>
      <c r="AA4">
        <f>HYPERLINK("https://klasma.github.io/Logging_0483/tillsyn/A 39091-2022 tillsynsbegäran.docx", "A 39091-2022")</f>
        <v/>
      </c>
      <c r="AB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46220</v>
      </c>
      <c r="F5" t="inlineStr">
        <is>
          <t>SÖDERMANLANDS LÄN</t>
        </is>
      </c>
      <c r="G5" t="inlineStr">
        <is>
          <t>KATRINEHOLM</t>
        </is>
      </c>
      <c r="I5" t="n">
        <v>3.1</v>
      </c>
      <c r="J5" t="n">
        <v>3</v>
      </c>
      <c r="K5" t="n">
        <v>6</v>
      </c>
      <c r="L5" t="n">
        <v>4</v>
      </c>
      <c r="M5" t="n">
        <v>1</v>
      </c>
      <c r="N5" t="n">
        <v>0</v>
      </c>
      <c r="O5" t="n">
        <v>0</v>
      </c>
      <c r="P5" t="n">
        <v>0</v>
      </c>
      <c r="Q5" t="n">
        <v>5</v>
      </c>
      <c r="R5" t="n">
        <v>1</v>
      </c>
      <c r="S5" t="n">
        <v>11</v>
      </c>
      <c r="T5" t="n">
        <v>39</v>
      </c>
      <c r="U5" s="2" t="inlineStr">
        <is>
          <t>Knärot
Dropptaggsvamp
Mellanlummer
Motaggsvamp
Tallticka
Blåmossa
Granbarkgnagare
Grovticka
Grönpyrola
Kamjordstjärna
Plattlummer</t>
        </is>
      </c>
      <c r="V5">
        <f>HYPERLINK("https://klasma.github.io/Logging_0483/artfynd/A 44206-2021 artfynd.xlsx", "A 44206-2021")</f>
        <v/>
      </c>
      <c r="W5">
        <f>HYPERLINK("https://klasma.github.io/Logging_0483/kartor/A 44206-2021 karta.png", "A 44206-2021")</f>
        <v/>
      </c>
      <c r="X5">
        <f>HYPERLINK("https://klasma.github.io/Logging_0483/knärot/A 44206-2021 karta knärot.png", "A 44206-2021")</f>
        <v/>
      </c>
      <c r="Y5">
        <f>HYPERLINK("https://klasma.github.io/Logging_0483/klagomål/A 44206-2021 FSC-klagomål.docx", "A 44206-2021")</f>
        <v/>
      </c>
      <c r="Z5">
        <f>HYPERLINK("https://klasma.github.io/Logging_0483/klagomålsmail/A 44206-2021 FSC-klagomål mail.docx", "A 44206-2021")</f>
        <v/>
      </c>
      <c r="AA5">
        <f>HYPERLINK("https://klasma.github.io/Logging_0483/tillsyn/A 44206-2021 tillsynsbegäran.docx", "A 44206-2021")</f>
        <v/>
      </c>
      <c r="AB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46220</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s="2" t="inlineStr">
        <is>
          <t>Bombmurkla
Knärot
Fjällig taggsvamp s.str.
Mindre hackspett
Rosentrattskivling
Blåmossa
Grönpyrola
Plattlummer
Trådticka
Mattlummer
Revlummer</t>
        </is>
      </c>
      <c r="V6">
        <f>HYPERLINK("https://klasma.github.io/Logging_0483/artfynd/A 11874-2023 artfynd.xlsx", "A 11874-2023")</f>
        <v/>
      </c>
      <c r="W6">
        <f>HYPERLINK("https://klasma.github.io/Logging_0483/kartor/A 11874-2023 karta.png", "A 11874-2023")</f>
        <v/>
      </c>
      <c r="X6">
        <f>HYPERLINK("https://klasma.github.io/Logging_0483/knärot/A 11874-2023 karta knärot.png", "A 11874-2023")</f>
        <v/>
      </c>
      <c r="Y6">
        <f>HYPERLINK("https://klasma.github.io/Logging_0483/klagomål/A 11874-2023 FSC-klagomål.docx", "A 11874-2023")</f>
        <v/>
      </c>
      <c r="Z6">
        <f>HYPERLINK("https://klasma.github.io/Logging_0483/klagomålsmail/A 11874-2023 FSC-klagomål mail.docx", "A 11874-2023")</f>
        <v/>
      </c>
      <c r="AA6">
        <f>HYPERLINK("https://klasma.github.io/Logging_0483/tillsyn/A 11874-2023 tillsynsbegäran.docx", "A 11874-2023")</f>
        <v/>
      </c>
      <c r="AB6">
        <f>HYPERLINK("https://klasma.github.io/Logging_0483/tillsynsmail/A 11874-2023 tillsynsbegäran mail.docx", "A 11874-2023")</f>
        <v/>
      </c>
      <c r="AC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46220</v>
      </c>
      <c r="F7" t="inlineStr">
        <is>
          <t>SÖDERMANLANDS LÄN</t>
        </is>
      </c>
      <c r="G7" t="inlineStr">
        <is>
          <t>KATRINEHOLM</t>
        </is>
      </c>
      <c r="I7" t="n">
        <v>13.5</v>
      </c>
      <c r="J7" t="n">
        <v>1</v>
      </c>
      <c r="K7" t="n">
        <v>1</v>
      </c>
      <c r="L7" t="n">
        <v>0</v>
      </c>
      <c r="M7" t="n">
        <v>0</v>
      </c>
      <c r="N7" t="n">
        <v>0</v>
      </c>
      <c r="O7" t="n">
        <v>0</v>
      </c>
      <c r="P7" t="n">
        <v>0</v>
      </c>
      <c r="Q7" t="n">
        <v>0</v>
      </c>
      <c r="R7" t="n">
        <v>0</v>
      </c>
      <c r="S7" t="n">
        <v>9</v>
      </c>
      <c r="T7" t="n">
        <v>9</v>
      </c>
      <c r="U7" s="2" t="inlineStr">
        <is>
          <t>Blåmossa
Blåbär
Hultbräken
Kärrviol
Linnea
Majbräken
Skogsstjärna
Ängskovall
Revlummer</t>
        </is>
      </c>
      <c r="V7">
        <f>HYPERLINK("https://klasma.github.io/Logging_0483/artfynd/A 24362-2026 artfynd.xlsx", "A 24362-2026")</f>
        <v/>
      </c>
      <c r="W7">
        <f>HYPERLINK("https://klasma.github.io/Logging_0483/kartor/A 24362-2026 karta.png", "A 24362-2026")</f>
        <v/>
      </c>
      <c r="Y7">
        <f>HYPERLINK("https://klasma.github.io/Logging_0483/klagomål/A 24362-2026 FSC-klagomål.docx", "A 24362-2026")</f>
        <v/>
      </c>
      <c r="Z7">
        <f>HYPERLINK("https://klasma.github.io/Logging_0483/klagomålsmail/A 24362-2026 FSC-klagomål mail.docx", "A 24362-2026")</f>
        <v/>
      </c>
      <c r="AA7">
        <f>HYPERLINK("https://klasma.github.io/Logging_0483/tillsyn/A 24362-2026 tillsynsbegäran.docx", "A 24362-2026")</f>
        <v/>
      </c>
      <c r="AB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46220</v>
      </c>
      <c r="F8" t="inlineStr">
        <is>
          <t>SÖDERMANLANDS LÄN</t>
        </is>
      </c>
      <c r="G8" t="inlineStr">
        <is>
          <t>KATRINEHOLM</t>
        </is>
      </c>
      <c r="I8" t="n">
        <v>18</v>
      </c>
      <c r="J8" t="n">
        <v>3</v>
      </c>
      <c r="K8" t="n">
        <v>4</v>
      </c>
      <c r="L8" t="n">
        <v>0</v>
      </c>
      <c r="M8" t="n">
        <v>0</v>
      </c>
      <c r="N8" t="n">
        <v>1</v>
      </c>
      <c r="O8" t="n">
        <v>0</v>
      </c>
      <c r="P8" t="n">
        <v>0</v>
      </c>
      <c r="Q8" t="n">
        <v>1</v>
      </c>
      <c r="R8" t="n">
        <v>1</v>
      </c>
      <c r="S8" t="n">
        <v>8</v>
      </c>
      <c r="T8" t="n">
        <v>8</v>
      </c>
      <c r="U8" s="2" t="inlineStr">
        <is>
          <t>Skogsalm
Björksplintborre
Fällmossa
Hasselticka
Stekelbock
Blåsippa
Åkergroda
Vanlig padda</t>
        </is>
      </c>
      <c r="V8">
        <f>HYPERLINK("https://klasma.github.io/Logging_0483/artfynd/A 54002-2022 artfynd.xlsx", "A 54002-2022")</f>
        <v/>
      </c>
      <c r="W8">
        <f>HYPERLINK("https://klasma.github.io/Logging_0483/kartor/A 54002-2022 karta.png", "A 54002-2022")</f>
        <v/>
      </c>
      <c r="Y8">
        <f>HYPERLINK("https://klasma.github.io/Logging_0483/klagomål/A 54002-2022 FSC-klagomål.docx", "A 54002-2022")</f>
        <v/>
      </c>
      <c r="Z8">
        <f>HYPERLINK("https://klasma.github.io/Logging_0483/klagomålsmail/A 54002-2022 FSC-klagomål mail.docx", "A 54002-2022")</f>
        <v/>
      </c>
      <c r="AA8">
        <f>HYPERLINK("https://klasma.github.io/Logging_0483/tillsyn/A 54002-2022 tillsynsbegäran.docx", "A 54002-2022")</f>
        <v/>
      </c>
      <c r="AB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46220</v>
      </c>
      <c r="F9" t="inlineStr">
        <is>
          <t>SÖDERMANLANDS LÄN</t>
        </is>
      </c>
      <c r="G9" t="inlineStr">
        <is>
          <t>KATRINEHOLM</t>
        </is>
      </c>
      <c r="I9" t="n">
        <v>20.2</v>
      </c>
      <c r="J9" t="n">
        <v>3</v>
      </c>
      <c r="K9" t="n">
        <v>3</v>
      </c>
      <c r="L9" t="n">
        <v>2</v>
      </c>
      <c r="M9" t="n">
        <v>1</v>
      </c>
      <c r="N9" t="n">
        <v>0</v>
      </c>
      <c r="O9" t="n">
        <v>0</v>
      </c>
      <c r="P9" t="n">
        <v>0</v>
      </c>
      <c r="Q9" t="n">
        <v>3</v>
      </c>
      <c r="R9" t="n">
        <v>1</v>
      </c>
      <c r="S9" t="n">
        <v>8</v>
      </c>
      <c r="T9" t="n">
        <v>10</v>
      </c>
      <c r="U9" s="2" t="inlineStr">
        <is>
          <t>Mulmknäppare
Mindre hackspett
Svinrot
Noshornsoxe
Svart trolldruva
Tibast
Spillkråka
Nattviol</t>
        </is>
      </c>
      <c r="V9">
        <f>HYPERLINK("https://klasma.github.io/Logging_0483/artfynd/A 20533-2023 artfynd.xlsx", "A 20533-2023")</f>
        <v/>
      </c>
      <c r="W9">
        <f>HYPERLINK("https://klasma.github.io/Logging_0483/kartor/A 20533-2023 karta.png", "A 20533-2023")</f>
        <v/>
      </c>
      <c r="Y9">
        <f>HYPERLINK("https://klasma.github.io/Logging_0483/klagomål/A 20533-2023 FSC-klagomål.docx", "A 20533-2023")</f>
        <v/>
      </c>
      <c r="Z9">
        <f>HYPERLINK("https://klasma.github.io/Logging_0483/klagomålsmail/A 20533-2023 FSC-klagomål mail.docx", "A 20533-2023")</f>
        <v/>
      </c>
      <c r="AA9">
        <f>HYPERLINK("https://klasma.github.io/Logging_0483/tillsyn/A 20533-2023 tillsynsbegäran.docx", "A 20533-2023")</f>
        <v/>
      </c>
      <c r="AB9">
        <f>HYPERLINK("https://klasma.github.io/Logging_0483/tillsynsmail/A 20533-2023 tillsynsbegäran mail.docx", "A 20533-2023")</f>
        <v/>
      </c>
      <c r="AC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46220</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s="2" t="inlineStr">
        <is>
          <t>Bullspindling
Grangråticka
Kopparspindling
Fjällig taggsvamp s.str.
Persiljespindling
Fällmossa
Hasselticka</t>
        </is>
      </c>
      <c r="V10">
        <f>HYPERLINK("https://klasma.github.io/Logging_0483/artfynd/A 54614-2021 artfynd.xlsx", "A 54614-2021")</f>
        <v/>
      </c>
      <c r="W10">
        <f>HYPERLINK("https://klasma.github.io/Logging_0483/kartor/A 54614-2021 karta.png", "A 54614-2021")</f>
        <v/>
      </c>
      <c r="Y10">
        <f>HYPERLINK("https://klasma.github.io/Logging_0483/klagomål/A 54614-2021 FSC-klagomål.docx", "A 54614-2021")</f>
        <v/>
      </c>
      <c r="Z10">
        <f>HYPERLINK("https://klasma.github.io/Logging_0483/klagomålsmail/A 54614-2021 FSC-klagomål mail.docx", "A 54614-2021")</f>
        <v/>
      </c>
      <c r="AA10">
        <f>HYPERLINK("https://klasma.github.io/Logging_0483/tillsyn/A 54614-2021 tillsynsbegäran.docx", "A 54614-2021")</f>
        <v/>
      </c>
      <c r="AB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46220</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s="2" t="inlineStr">
        <is>
          <t>Ask
Gullpudra
Vårärt
Myskmadra
Svart trolldruva
Tibast
Blåsippa</t>
        </is>
      </c>
      <c r="V11">
        <f>HYPERLINK("https://klasma.github.io/Logging_0483/artfynd/A 21221-2023 artfynd.xlsx", "A 21221-2023")</f>
        <v/>
      </c>
      <c r="W11">
        <f>HYPERLINK("https://klasma.github.io/Logging_0483/kartor/A 21221-2023 karta.png", "A 21221-2023")</f>
        <v/>
      </c>
      <c r="Y11">
        <f>HYPERLINK("https://klasma.github.io/Logging_0483/klagomål/A 21221-2023 FSC-klagomål.docx", "A 21221-2023")</f>
        <v/>
      </c>
      <c r="Z11">
        <f>HYPERLINK("https://klasma.github.io/Logging_0483/klagomålsmail/A 21221-2023 FSC-klagomål mail.docx", "A 21221-2023")</f>
        <v/>
      </c>
      <c r="AA11">
        <f>HYPERLINK("https://klasma.github.io/Logging_0483/tillsyn/A 21221-2023 tillsynsbegäran.docx", "A 21221-2023")</f>
        <v/>
      </c>
      <c r="AB11">
        <f>HYPERLINK("https://klasma.github.io/Logging_0483/tillsynsmail/A 21221-2023 tillsynsbegäran mail.docx", "A 21221-2023")</f>
        <v/>
      </c>
    </row>
    <row r="12" ht="15" customHeight="1">
      <c r="A12" t="inlineStr">
        <is>
          <t>A 35137-2025</t>
        </is>
      </c>
      <c r="B12" t="inlineStr">
        <is>
          <t>avverkningsanmälan</t>
        </is>
      </c>
      <c r="C12" t="inlineStr">
        <is>
          <t>Föryngringsavverkning</t>
        </is>
      </c>
      <c r="D12" s="1" t="n">
        <v>45852</v>
      </c>
      <c r="E12" s="1" t="n">
        <v>46220</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s="2" t="inlineStr">
        <is>
          <t>Ask
Vippärt
Svart trolldruva
Tibast
Underviol
Vätteros
Blåsippa</t>
        </is>
      </c>
      <c r="V12">
        <f>HYPERLINK("https://klasma.github.io/Logging_0483/artfynd/A 35137-2025 artfynd.xlsx", "A 35137-2025")</f>
        <v/>
      </c>
      <c r="W12">
        <f>HYPERLINK("https://klasma.github.io/Logging_0483/kartor/A 35137-2025 karta.png", "A 35137-2025")</f>
        <v/>
      </c>
      <c r="Y12">
        <f>HYPERLINK("https://klasma.github.io/Logging_0483/klagomål/A 35137-2025 FSC-klagomål.docx", "A 35137-2025")</f>
        <v/>
      </c>
      <c r="Z12">
        <f>HYPERLINK("https://klasma.github.io/Logging_0483/klagomålsmail/A 35137-2025 FSC-klagomål mail.docx", "A 35137-2025")</f>
        <v/>
      </c>
      <c r="AA12">
        <f>HYPERLINK("https://klasma.github.io/Logging_0483/tillsyn/A 35137-2025 tillsynsbegäran.docx", "A 35137-2025")</f>
        <v/>
      </c>
      <c r="AB12">
        <f>HYPERLINK("https://klasma.github.io/Logging_0483/tillsynsmail/A 35137-2025 tillsynsbegäran mail.docx", "A 35137-2025")</f>
        <v/>
      </c>
    </row>
    <row r="13" ht="15" customHeight="1">
      <c r="A13" t="inlineStr">
        <is>
          <t>A 54614-2021</t>
        </is>
      </c>
      <c r="B13" t="inlineStr">
        <is>
          <t>avverkningsanmälan</t>
        </is>
      </c>
      <c r="C13" t="inlineStr">
        <is>
          <t>Föryngringsavverkning</t>
        </is>
      </c>
      <c r="D13" s="1" t="n">
        <v>44473</v>
      </c>
      <c r="E13" s="1" t="n">
        <v>46220</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s="2" t="inlineStr">
        <is>
          <t>Bullspindling
Grangråticka
Kopparspindling
Fjällig taggsvamp s.str.
Persiljespindling
Fällmossa
Hasselticka</t>
        </is>
      </c>
      <c r="V13">
        <f>HYPERLINK("https://klasma.github.io/Logging_0483/artfynd/A 54614-2021 artfynd.xlsx", "A 54614-2021")</f>
        <v/>
      </c>
      <c r="W13">
        <f>HYPERLINK("https://klasma.github.io/Logging_0483/kartor/A 54614-2021 karta.png", "A 54614-2021")</f>
        <v/>
      </c>
      <c r="Y13">
        <f>HYPERLINK("https://klasma.github.io/Logging_0483/klagomål/A 54614-2021 FSC-klagomål.docx", "A 54614-2021")</f>
        <v/>
      </c>
      <c r="Z13">
        <f>HYPERLINK("https://klasma.github.io/Logging_0483/klagomålsmail/A 54614-2021 FSC-klagomål mail.docx", "A 54614-2021")</f>
        <v/>
      </c>
      <c r="AA13">
        <f>HYPERLINK("https://klasma.github.io/Logging_0483/tillsyn/A 54614-2021 tillsynsbegäran.docx", "A 54614-2021")</f>
        <v/>
      </c>
      <c r="AB13">
        <f>HYPERLINK("https://klasma.github.io/Logging_0483/tillsynsmail/A 54614-2021 tillsynsbegäran mail.docx", "A 54614-2021")</f>
        <v/>
      </c>
    </row>
    <row r="14" ht="15" customHeight="1">
      <c r="A14" t="inlineStr">
        <is>
          <t>A 20533-2023</t>
        </is>
      </c>
      <c r="B14" t="inlineStr">
        <is>
          <t>avverkningsanmälan</t>
        </is>
      </c>
      <c r="C14" t="inlineStr">
        <is>
          <t>Föryngringsavverkning</t>
        </is>
      </c>
      <c r="D14" s="1" t="n">
        <v>45057</v>
      </c>
      <c r="E14" s="1" t="n">
        <v>46220</v>
      </c>
      <c r="F14" t="inlineStr">
        <is>
          <t>SÖDERMANLANDS LÄN</t>
        </is>
      </c>
      <c r="G14" t="inlineStr">
        <is>
          <t>KATRINEHOLM</t>
        </is>
      </c>
      <c r="I14" t="n">
        <v>1.2</v>
      </c>
      <c r="J14" t="n">
        <v>7</v>
      </c>
      <c r="K14" t="n">
        <v>0</v>
      </c>
      <c r="L14" t="n">
        <v>3</v>
      </c>
      <c r="M14" t="n">
        <v>1</v>
      </c>
      <c r="N14" t="n">
        <v>0</v>
      </c>
      <c r="O14" t="n">
        <v>0</v>
      </c>
      <c r="P14" t="n">
        <v>0</v>
      </c>
      <c r="Q14" t="n">
        <v>4</v>
      </c>
      <c r="R14" t="n">
        <v>1</v>
      </c>
      <c r="S14" t="n">
        <v>7</v>
      </c>
      <c r="T14" t="n">
        <v>7</v>
      </c>
      <c r="U14" s="2" t="inlineStr">
        <is>
          <t>Blå kärrhök
Bivråk
Mindre hackspett
Sparvuggla
Fiskgjuse
Havsörn
Röd glada</t>
        </is>
      </c>
      <c r="V14">
        <f>HYPERLINK("https://klasma.github.io/Logging_0483/artfynd/A 20533-2023 artfynd.xlsx", "A 20533-2023")</f>
        <v/>
      </c>
      <c r="W14">
        <f>HYPERLINK("https://klasma.github.io/Logging_0483/kartor/A 20533-2023 karta.png", "A 20533-2023")</f>
        <v/>
      </c>
      <c r="Y14">
        <f>HYPERLINK("https://klasma.github.io/Logging_0483/klagomål/A 20533-2023 FSC-klagomål.docx", "A 20533-2023")</f>
        <v/>
      </c>
      <c r="Z14">
        <f>HYPERLINK("https://klasma.github.io/Logging_0483/klagomålsmail/A 20533-2023 FSC-klagomål mail.docx", "A 20533-2023")</f>
        <v/>
      </c>
      <c r="AA14">
        <f>HYPERLINK("https://klasma.github.io/Logging_0483/tillsyn/A 20533-2023 tillsynsbegäran.docx", "A 20533-2023")</f>
        <v/>
      </c>
      <c r="AB14">
        <f>HYPERLINK("https://klasma.github.io/Logging_0483/tillsynsmail/A 20533-2023 tillsynsbegäran mail.docx", "A 20533-2023")</f>
        <v/>
      </c>
      <c r="AC14">
        <f>HYPERLINK("https://klasma.github.io/Logging_0483/fåglar/A 20533-2023 prioriterade fågelarter.docx", "A 20533-2023")</f>
        <v/>
      </c>
    </row>
    <row r="15" ht="15" customHeight="1">
      <c r="A15" t="inlineStr">
        <is>
          <t>A 52453-2023</t>
        </is>
      </c>
      <c r="B15" t="inlineStr">
        <is>
          <t>avverkningsanmälan</t>
        </is>
      </c>
      <c r="C15" t="inlineStr">
        <is>
          <t>Föryngringsavverkning</t>
        </is>
      </c>
      <c r="D15" s="1" t="n">
        <v>45225</v>
      </c>
      <c r="E15" s="1" t="n">
        <v>46220</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s="2" t="inlineStr">
        <is>
          <t>Gulsparv
Kungsörn
Talltita
Älg
Havsörn
Röd glada
Skogsduva</t>
        </is>
      </c>
      <c r="V15">
        <f>HYPERLINK("https://klasma.github.io/Logging_0483/artfynd/A 52453-2023 artfynd.xlsx", "A 52453-2023")</f>
        <v/>
      </c>
      <c r="W15">
        <f>HYPERLINK("https://klasma.github.io/Logging_0483/kartor/A 52453-2023 karta.png", "A 52453-2023")</f>
        <v/>
      </c>
      <c r="Y15">
        <f>HYPERLINK("https://klasma.github.io/Logging_0483/klagomål/A 52453-2023 FSC-klagomål.docx", "A 52453-2023")</f>
        <v/>
      </c>
      <c r="Z15">
        <f>HYPERLINK("https://klasma.github.io/Logging_0483/klagomålsmail/A 52453-2023 FSC-klagomål mail.docx", "A 52453-2023")</f>
        <v/>
      </c>
      <c r="AA15">
        <f>HYPERLINK("https://klasma.github.io/Logging_0483/tillsyn/A 52453-2023 tillsynsbegäran.docx", "A 52453-2023")</f>
        <v/>
      </c>
      <c r="AB15">
        <f>HYPERLINK("https://klasma.github.io/Logging_0483/tillsynsmail/A 52453-2023 tillsynsbegäran mail.docx", "A 52453-2023")</f>
        <v/>
      </c>
      <c r="AC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46220</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s="2" t="inlineStr">
        <is>
          <t>Tallticka
Björksplintborre
Jättesvampmal
Mindre märgborre
Fläcknycklar</t>
        </is>
      </c>
      <c r="V16">
        <f>HYPERLINK("https://klasma.github.io/Logging_0483/artfynd/A 47886-2023 artfynd.xlsx", "A 47886-2023")</f>
        <v/>
      </c>
      <c r="W16">
        <f>HYPERLINK("https://klasma.github.io/Logging_0483/kartor/A 47886-2023 karta.png", "A 47886-2023")</f>
        <v/>
      </c>
      <c r="Y16">
        <f>HYPERLINK("https://klasma.github.io/Logging_0483/klagomål/A 47886-2023 FSC-klagomål.docx", "A 47886-2023")</f>
        <v/>
      </c>
      <c r="Z16">
        <f>HYPERLINK("https://klasma.github.io/Logging_0483/klagomålsmail/A 47886-2023 FSC-klagomål mail.docx", "A 47886-2023")</f>
        <v/>
      </c>
      <c r="AA16">
        <f>HYPERLINK("https://klasma.github.io/Logging_0483/tillsyn/A 47886-2023 tillsynsbegäran.docx", "A 47886-2023")</f>
        <v/>
      </c>
      <c r="AB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46220</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s="2" t="inlineStr">
        <is>
          <t>Vedskivlav
Blåmossa
Fönsterlav
Grå renlav
Gulvit renlav</t>
        </is>
      </c>
      <c r="V17">
        <f>HYPERLINK("https://klasma.github.io/Logging_0483/artfynd/A 13873-2026 artfynd.xlsx", "A 13873-2026")</f>
        <v/>
      </c>
      <c r="W17">
        <f>HYPERLINK("https://klasma.github.io/Logging_0483/kartor/A 13873-2026 karta.png", "A 13873-2026")</f>
        <v/>
      </c>
      <c r="Y17">
        <f>HYPERLINK("https://klasma.github.io/Logging_0483/klagomål/A 13873-2026 FSC-klagomål.docx", "A 13873-2026")</f>
        <v/>
      </c>
      <c r="Z17">
        <f>HYPERLINK("https://klasma.github.io/Logging_0483/klagomålsmail/A 13873-2026 FSC-klagomål mail.docx", "A 13873-2026")</f>
        <v/>
      </c>
      <c r="AA17">
        <f>HYPERLINK("https://klasma.github.io/Logging_0483/tillsyn/A 13873-2026 tillsynsbegäran.docx", "A 13873-2026")</f>
        <v/>
      </c>
      <c r="AB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46220</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s="2" t="inlineStr">
        <is>
          <t>Knärot
Dropptaggsvamp
Orange taggsvamp
Phellodon aquiloniniger</t>
        </is>
      </c>
      <c r="V18">
        <f>HYPERLINK("https://klasma.github.io/Logging_0483/artfynd/A 54704-2021 artfynd.xlsx", "A 54704-2021")</f>
        <v/>
      </c>
      <c r="W18">
        <f>HYPERLINK("https://klasma.github.io/Logging_0483/kartor/A 54704-2021 karta.png", "A 54704-2021")</f>
        <v/>
      </c>
      <c r="X18">
        <f>HYPERLINK("https://klasma.github.io/Logging_0483/knärot/A 54704-2021 karta knärot.png", "A 54704-2021")</f>
        <v/>
      </c>
      <c r="Y18">
        <f>HYPERLINK("https://klasma.github.io/Logging_0483/klagomål/A 54704-2021 FSC-klagomål.docx", "A 54704-2021")</f>
        <v/>
      </c>
      <c r="Z18">
        <f>HYPERLINK("https://klasma.github.io/Logging_0483/klagomålsmail/A 54704-2021 FSC-klagomål mail.docx", "A 54704-2021")</f>
        <v/>
      </c>
      <c r="AA18">
        <f>HYPERLINK("https://klasma.github.io/Logging_0483/tillsyn/A 54704-2021 tillsynsbegäran.docx", "A 54704-2021")</f>
        <v/>
      </c>
      <c r="AB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46220</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s="2" t="inlineStr">
        <is>
          <t>Tallticka
Blomkålssvamp
Grovticka
Nattskärra</t>
        </is>
      </c>
      <c r="V19">
        <f>HYPERLINK("https://klasma.github.io/Logging_0483/artfynd/A 70501-2021 artfynd.xlsx", "A 70501-2021")</f>
        <v/>
      </c>
      <c r="W19">
        <f>HYPERLINK("https://klasma.github.io/Logging_0483/kartor/A 70501-2021 karta.png", "A 70501-2021")</f>
        <v/>
      </c>
      <c r="Y19">
        <f>HYPERLINK("https://klasma.github.io/Logging_0483/klagomål/A 70501-2021 FSC-klagomål.docx", "A 70501-2021")</f>
        <v/>
      </c>
      <c r="Z19">
        <f>HYPERLINK("https://klasma.github.io/Logging_0483/klagomålsmail/A 70501-2021 FSC-klagomål mail.docx", "A 70501-2021")</f>
        <v/>
      </c>
      <c r="AA19">
        <f>HYPERLINK("https://klasma.github.io/Logging_0483/tillsyn/A 70501-2021 tillsynsbegäran.docx", "A 70501-2021")</f>
        <v/>
      </c>
      <c r="AB19">
        <f>HYPERLINK("https://klasma.github.io/Logging_0483/tillsynsmail/A 70501-2021 tillsynsbegäran mail.docx", "A 70501-2021")</f>
        <v/>
      </c>
      <c r="AC19">
        <f>HYPERLINK("https://klasma.github.io/Logging_0483/fåglar/A 70501-2021 prioriterade fågelarter.docx", "A 70501-2021")</f>
        <v/>
      </c>
    </row>
    <row r="20" ht="15" customHeight="1">
      <c r="A20" t="inlineStr">
        <is>
          <t>A 55700-2025</t>
        </is>
      </c>
      <c r="B20" t="inlineStr">
        <is>
          <t>avverkningsanmälan</t>
        </is>
      </c>
      <c r="C20" t="inlineStr">
        <is>
          <t>Föryngringsavverkning</t>
        </is>
      </c>
      <c r="D20" s="1" t="n">
        <v>45972</v>
      </c>
      <c r="E20" s="1" t="n">
        <v>46220</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s="2" t="inlineStr">
        <is>
          <t>Ljungsnärja
Backklöver
Gullklöver
Svinrot</t>
        </is>
      </c>
      <c r="V20">
        <f>HYPERLINK("https://klasma.github.io/Logging_0483/artfynd/A 55700-2025 artfynd.xlsx", "A 55700-2025")</f>
        <v/>
      </c>
      <c r="W20">
        <f>HYPERLINK("https://klasma.github.io/Logging_0483/kartor/A 55700-2025 karta.png", "A 55700-2025")</f>
        <v/>
      </c>
      <c r="Y20">
        <f>HYPERLINK("https://klasma.github.io/Logging_0483/klagomål/A 55700-2025 FSC-klagomål.docx", "A 55700-2025")</f>
        <v/>
      </c>
      <c r="Z20">
        <f>HYPERLINK("https://klasma.github.io/Logging_0483/klagomålsmail/A 55700-2025 FSC-klagomål mail.docx", "A 55700-2025")</f>
        <v/>
      </c>
      <c r="AA20">
        <f>HYPERLINK("https://klasma.github.io/Logging_0483/tillsyn/A 55700-2025 tillsynsbegäran.docx", "A 55700-2025")</f>
        <v/>
      </c>
      <c r="AB20">
        <f>HYPERLINK("https://klasma.github.io/Logging_0483/tillsynsmail/A 55700-2025 tillsynsbegäran mail.docx", "A 55700-2025")</f>
        <v/>
      </c>
    </row>
    <row r="21" ht="15" customHeight="1">
      <c r="A21" t="inlineStr">
        <is>
          <t>A 46524-2025</t>
        </is>
      </c>
      <c r="B21" t="inlineStr">
        <is>
          <t>avverkningsanmälan</t>
        </is>
      </c>
      <c r="C21" t="inlineStr">
        <is>
          <t>Föryngringsavverkning</t>
        </is>
      </c>
      <c r="D21" s="1" t="n">
        <v>45926</v>
      </c>
      <c r="E21" s="1" t="n">
        <v>46220</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s="2" t="inlineStr">
        <is>
          <t>Svart skogssnigel
Vitfläckig guldvinge
Grönsiska
Kungsfågel</t>
        </is>
      </c>
      <c r="V21">
        <f>HYPERLINK("https://klasma.github.io/Logging_0483/artfynd/A 46524-2025 artfynd.xlsx", "A 46524-2025")</f>
        <v/>
      </c>
      <c r="W21">
        <f>HYPERLINK("https://klasma.github.io/Logging_0483/kartor/A 46524-2025 karta.png", "A 46524-2025")</f>
        <v/>
      </c>
      <c r="Y21">
        <f>HYPERLINK("https://klasma.github.io/Logging_0483/klagomål/A 46524-2025 FSC-klagomål.docx", "A 46524-2025")</f>
        <v/>
      </c>
      <c r="Z21">
        <f>HYPERLINK("https://klasma.github.io/Logging_0483/klagomålsmail/A 46524-2025 FSC-klagomål mail.docx", "A 46524-2025")</f>
        <v/>
      </c>
      <c r="AA21">
        <f>HYPERLINK("https://klasma.github.io/Logging_0483/tillsyn/A 46524-2025 tillsynsbegäran.docx", "A 46524-2025")</f>
        <v/>
      </c>
      <c r="AB21">
        <f>HYPERLINK("https://klasma.github.io/Logging_0483/tillsynsmail/A 46524-2025 tillsynsbegäran mail.docx", "A 46524-2025")</f>
        <v/>
      </c>
    </row>
    <row r="22" ht="15" customHeight="1">
      <c r="A22" t="inlineStr">
        <is>
          <t>A 8917-2024</t>
        </is>
      </c>
      <c r="B22" t="inlineStr">
        <is>
          <t>avverkningsanmälan</t>
        </is>
      </c>
      <c r="C22" t="inlineStr">
        <is>
          <t>Föryngringsavverkning</t>
        </is>
      </c>
      <c r="D22" s="1" t="n">
        <v>45357</v>
      </c>
      <c r="E22" s="1" t="n">
        <v>46220</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s="2" t="inlineStr">
        <is>
          <t>Stare
Skogsklocka
Blåsippa
Gröngöling</t>
        </is>
      </c>
      <c r="V22">
        <f>HYPERLINK("https://klasma.github.io/Logging_0483/artfynd/A 8917-2024 artfynd.xlsx", "A 8917-2024")</f>
        <v/>
      </c>
      <c r="W22">
        <f>HYPERLINK("https://klasma.github.io/Logging_0483/kartor/A 8917-2024 karta.png", "A 8917-2024")</f>
        <v/>
      </c>
      <c r="Y22">
        <f>HYPERLINK("https://klasma.github.io/Logging_0483/klagomål/A 8917-2024 FSC-klagomål.docx", "A 8917-2024")</f>
        <v/>
      </c>
      <c r="Z22">
        <f>HYPERLINK("https://klasma.github.io/Logging_0483/klagomålsmail/A 8917-2024 FSC-klagomål mail.docx", "A 8917-2024")</f>
        <v/>
      </c>
      <c r="AA22">
        <f>HYPERLINK("https://klasma.github.io/Logging_0483/tillsyn/A 8917-2024 tillsynsbegäran.docx", "A 8917-2024")</f>
        <v/>
      </c>
      <c r="AB22">
        <f>HYPERLINK("https://klasma.github.io/Logging_0483/tillsynsmail/A 8917-2024 tillsynsbegäran mail.docx", "A 8917-2024")</f>
        <v/>
      </c>
      <c r="AC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46220</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s="2" t="inlineStr">
        <is>
          <t>Bredbrämad bastardsvärmare
Silverblåvinge
Mindre tåtelsmygare
Silversmygare</t>
        </is>
      </c>
      <c r="V23">
        <f>HYPERLINK("https://klasma.github.io/Logging_0483/artfynd/A 30229-2023 artfynd.xlsx", "A 30229-2023")</f>
        <v/>
      </c>
      <c r="W23">
        <f>HYPERLINK("https://klasma.github.io/Logging_0483/kartor/A 30229-2023 karta.png", "A 30229-2023")</f>
        <v/>
      </c>
      <c r="Y23">
        <f>HYPERLINK("https://klasma.github.io/Logging_0483/klagomål/A 30229-2023 FSC-klagomål.docx", "A 30229-2023")</f>
        <v/>
      </c>
      <c r="Z23">
        <f>HYPERLINK("https://klasma.github.io/Logging_0483/klagomålsmail/A 30229-2023 FSC-klagomål mail.docx", "A 30229-2023")</f>
        <v/>
      </c>
      <c r="AA23">
        <f>HYPERLINK("https://klasma.github.io/Logging_0483/tillsyn/A 30229-2023 tillsynsbegäran.docx", "A 30229-2023")</f>
        <v/>
      </c>
      <c r="AB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46220</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s="2" t="inlineStr">
        <is>
          <t>Grönfink
Fällmossa
Blåsippa
Grönsiska</t>
        </is>
      </c>
      <c r="V24">
        <f>HYPERLINK("https://klasma.github.io/Logging_0483/artfynd/A 7585-2023 artfynd.xlsx", "A 7585-2023")</f>
        <v/>
      </c>
      <c r="W24">
        <f>HYPERLINK("https://klasma.github.io/Logging_0483/kartor/A 7585-2023 karta.png", "A 7585-2023")</f>
        <v/>
      </c>
      <c r="Y24">
        <f>HYPERLINK("https://klasma.github.io/Logging_0483/klagomål/A 7585-2023 FSC-klagomål.docx", "A 7585-2023")</f>
        <v/>
      </c>
      <c r="Z24">
        <f>HYPERLINK("https://klasma.github.io/Logging_0483/klagomålsmail/A 7585-2023 FSC-klagomål mail.docx", "A 7585-2023")</f>
        <v/>
      </c>
      <c r="AA24">
        <f>HYPERLINK("https://klasma.github.io/Logging_0483/tillsyn/A 7585-2023 tillsynsbegäran.docx", "A 7585-2023")</f>
        <v/>
      </c>
      <c r="AB24">
        <f>HYPERLINK("https://klasma.github.io/Logging_0483/tillsynsmail/A 7585-2023 tillsynsbegäran mail.docx", "A 7585-2023")</f>
        <v/>
      </c>
      <c r="AC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46220</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s="2" t="inlineStr">
        <is>
          <t>Blomkålssvamp
Blåmossa
Blåsippa
Lopplummer (aggregat)</t>
        </is>
      </c>
      <c r="V25">
        <f>HYPERLINK("https://klasma.github.io/Logging_0483/artfynd/A 188-2025 artfynd.xlsx", "A 188-2025")</f>
        <v/>
      </c>
      <c r="W25">
        <f>HYPERLINK("https://klasma.github.io/Logging_0483/kartor/A 188-2025 karta.png", "A 188-2025")</f>
        <v/>
      </c>
      <c r="Y25">
        <f>HYPERLINK("https://klasma.github.io/Logging_0483/klagomål/A 188-2025 FSC-klagomål.docx", "A 188-2025")</f>
        <v/>
      </c>
      <c r="Z25">
        <f>HYPERLINK("https://klasma.github.io/Logging_0483/klagomålsmail/A 188-2025 FSC-klagomål mail.docx", "A 188-2025")</f>
        <v/>
      </c>
      <c r="AA25">
        <f>HYPERLINK("https://klasma.github.io/Logging_0483/tillsyn/A 188-2025 tillsynsbegäran.docx", "A 188-2025")</f>
        <v/>
      </c>
      <c r="AB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46220</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s="2" t="inlineStr">
        <is>
          <t>Dropptaggsvamp
Motaggsvamp
Kambräken</t>
        </is>
      </c>
      <c r="V26">
        <f>HYPERLINK("https://klasma.github.io/Logging_0483/artfynd/A 44632-2023 artfynd.xlsx", "A 44632-2023")</f>
        <v/>
      </c>
      <c r="W26">
        <f>HYPERLINK("https://klasma.github.io/Logging_0483/kartor/A 44632-2023 karta.png", "A 44632-2023")</f>
        <v/>
      </c>
      <c r="Y26">
        <f>HYPERLINK("https://klasma.github.io/Logging_0483/klagomål/A 44632-2023 FSC-klagomål.docx", "A 44632-2023")</f>
        <v/>
      </c>
      <c r="Z26">
        <f>HYPERLINK("https://klasma.github.io/Logging_0483/klagomålsmail/A 44632-2023 FSC-klagomål mail.docx", "A 44632-2023")</f>
        <v/>
      </c>
      <c r="AA26">
        <f>HYPERLINK("https://klasma.github.io/Logging_0483/tillsyn/A 44632-2023 tillsynsbegäran.docx", "A 44632-2023")</f>
        <v/>
      </c>
      <c r="AB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46220</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s="2" t="inlineStr">
        <is>
          <t>Mindre bastardsvärmare
Skogsklocka
Grönvit nattviol</t>
        </is>
      </c>
      <c r="V27">
        <f>HYPERLINK("https://klasma.github.io/Logging_0483/artfynd/A 30242-2023 artfynd.xlsx", "A 30242-2023")</f>
        <v/>
      </c>
      <c r="W27">
        <f>HYPERLINK("https://klasma.github.io/Logging_0483/kartor/A 30242-2023 karta.png", "A 30242-2023")</f>
        <v/>
      </c>
      <c r="Y27">
        <f>HYPERLINK("https://klasma.github.io/Logging_0483/klagomål/A 30242-2023 FSC-klagomål.docx", "A 30242-2023")</f>
        <v/>
      </c>
      <c r="Z27">
        <f>HYPERLINK("https://klasma.github.io/Logging_0483/klagomålsmail/A 30242-2023 FSC-klagomål mail.docx", "A 30242-2023")</f>
        <v/>
      </c>
      <c r="AA27">
        <f>HYPERLINK("https://klasma.github.io/Logging_0483/tillsyn/A 30242-2023 tillsynsbegäran.docx", "A 30242-2023")</f>
        <v/>
      </c>
      <c r="AB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46220</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s="2" t="inlineStr">
        <is>
          <t>Hökuggla
Tallticka
Blåsippa</t>
        </is>
      </c>
      <c r="V28">
        <f>HYPERLINK("https://klasma.github.io/Logging_0483/artfynd/A 56897-2021 artfynd.xlsx", "A 56897-2021")</f>
        <v/>
      </c>
      <c r="W28">
        <f>HYPERLINK("https://klasma.github.io/Logging_0483/kartor/A 56897-2021 karta.png", "A 56897-2021")</f>
        <v/>
      </c>
      <c r="Y28">
        <f>HYPERLINK("https://klasma.github.io/Logging_0483/klagomål/A 56897-2021 FSC-klagomål.docx", "A 56897-2021")</f>
        <v/>
      </c>
      <c r="Z28">
        <f>HYPERLINK("https://klasma.github.io/Logging_0483/klagomålsmail/A 56897-2021 FSC-klagomål mail.docx", "A 56897-2021")</f>
        <v/>
      </c>
      <c r="AA28">
        <f>HYPERLINK("https://klasma.github.io/Logging_0483/tillsyn/A 56897-2021 tillsynsbegäran.docx", "A 56897-2021")</f>
        <v/>
      </c>
      <c r="AB28">
        <f>HYPERLINK("https://klasma.github.io/Logging_0483/tillsynsmail/A 56897-2021 tillsynsbegäran mail.docx", "A 56897-2021")</f>
        <v/>
      </c>
      <c r="AC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46220</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s="2" t="inlineStr">
        <is>
          <t>Gulsparv
Spillkråka
Skogsödla</t>
        </is>
      </c>
      <c r="V29">
        <f>HYPERLINK("https://klasma.github.io/Logging_0483/artfynd/A 7322-2023 artfynd.xlsx", "A 7322-2023")</f>
        <v/>
      </c>
      <c r="W29">
        <f>HYPERLINK("https://klasma.github.io/Logging_0483/kartor/A 7322-2023 karta.png", "A 7322-2023")</f>
        <v/>
      </c>
      <c r="Y29">
        <f>HYPERLINK("https://klasma.github.io/Logging_0483/klagomål/A 7322-2023 FSC-klagomål.docx", "A 7322-2023")</f>
        <v/>
      </c>
      <c r="Z29">
        <f>HYPERLINK("https://klasma.github.io/Logging_0483/klagomålsmail/A 7322-2023 FSC-klagomål mail.docx", "A 7322-2023")</f>
        <v/>
      </c>
      <c r="AA29">
        <f>HYPERLINK("https://klasma.github.io/Logging_0483/tillsyn/A 7322-2023 tillsynsbegäran.docx", "A 7322-2023")</f>
        <v/>
      </c>
      <c r="AB29">
        <f>HYPERLINK("https://klasma.github.io/Logging_0483/tillsynsmail/A 7322-2023 tillsynsbegäran mail.docx", "A 7322-2023")</f>
        <v/>
      </c>
      <c r="AC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46220</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s="2" t="inlineStr">
        <is>
          <t>Blåsippa
Spillkråka
Gullviva</t>
        </is>
      </c>
      <c r="V30">
        <f>HYPERLINK("https://klasma.github.io/Logging_0483/artfynd/A 14858-2023 artfynd.xlsx", "A 14858-2023")</f>
        <v/>
      </c>
      <c r="W30">
        <f>HYPERLINK("https://klasma.github.io/Logging_0483/kartor/A 14858-2023 karta.png", "A 14858-2023")</f>
        <v/>
      </c>
      <c r="Y30">
        <f>HYPERLINK("https://klasma.github.io/Logging_0483/klagomål/A 14858-2023 FSC-klagomål.docx", "A 14858-2023")</f>
        <v/>
      </c>
      <c r="Z30">
        <f>HYPERLINK("https://klasma.github.io/Logging_0483/klagomålsmail/A 14858-2023 FSC-klagomål mail.docx", "A 14858-2023")</f>
        <v/>
      </c>
      <c r="AA30">
        <f>HYPERLINK("https://klasma.github.io/Logging_0483/tillsyn/A 14858-2023 tillsynsbegäran.docx", "A 14858-2023")</f>
        <v/>
      </c>
      <c r="AB30">
        <f>HYPERLINK("https://klasma.github.io/Logging_0483/tillsynsmail/A 14858-2023 tillsynsbegäran mail.docx", "A 14858-2023")</f>
        <v/>
      </c>
      <c r="AC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46220</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s="2" t="inlineStr">
        <is>
          <t>Kricka
Scharlakansvårskål agg.
Åkergroda</t>
        </is>
      </c>
      <c r="V31">
        <f>HYPERLINK("https://klasma.github.io/Logging_0483/artfynd/A 27375-2024 artfynd.xlsx", "A 27375-2024")</f>
        <v/>
      </c>
      <c r="W31">
        <f>HYPERLINK("https://klasma.github.io/Logging_0483/kartor/A 27375-2024 karta.png", "A 27375-2024")</f>
        <v/>
      </c>
      <c r="Y31">
        <f>HYPERLINK("https://klasma.github.io/Logging_0483/klagomål/A 27375-2024 FSC-klagomål.docx", "A 27375-2024")</f>
        <v/>
      </c>
      <c r="Z31">
        <f>HYPERLINK("https://klasma.github.io/Logging_0483/klagomålsmail/A 27375-2024 FSC-klagomål mail.docx", "A 27375-2024")</f>
        <v/>
      </c>
      <c r="AA31">
        <f>HYPERLINK("https://klasma.github.io/Logging_0483/tillsyn/A 27375-2024 tillsynsbegäran.docx", "A 27375-2024")</f>
        <v/>
      </c>
      <c r="AB31">
        <f>HYPERLINK("https://klasma.github.io/Logging_0483/tillsynsmail/A 27375-2024 tillsynsbegäran mail.docx", "A 27375-2024")</f>
        <v/>
      </c>
      <c r="AC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46220</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s="2" t="inlineStr">
        <is>
          <t>Björksplintborre
Mattlummer
Fläcknycklar</t>
        </is>
      </c>
      <c r="V32">
        <f>HYPERLINK("https://klasma.github.io/Logging_0483/artfynd/A 45530-2023 artfynd.xlsx", "A 45530-2023")</f>
        <v/>
      </c>
      <c r="W32">
        <f>HYPERLINK("https://klasma.github.io/Logging_0483/kartor/A 45530-2023 karta.png", "A 45530-2023")</f>
        <v/>
      </c>
      <c r="Y32">
        <f>HYPERLINK("https://klasma.github.io/Logging_0483/klagomål/A 45530-2023 FSC-klagomål.docx", "A 45530-2023")</f>
        <v/>
      </c>
      <c r="Z32">
        <f>HYPERLINK("https://klasma.github.io/Logging_0483/klagomålsmail/A 45530-2023 FSC-klagomål mail.docx", "A 45530-2023")</f>
        <v/>
      </c>
      <c r="AA32">
        <f>HYPERLINK("https://klasma.github.io/Logging_0483/tillsyn/A 45530-2023 tillsynsbegäran.docx", "A 45530-2023")</f>
        <v/>
      </c>
      <c r="AB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46220</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s="2" t="inlineStr">
        <is>
          <t>Fyrflikig jordstjärna
Svinrot
Grönpyrola</t>
        </is>
      </c>
      <c r="V33">
        <f>HYPERLINK("https://klasma.github.io/Logging_0483/artfynd/A 23568-2023 artfynd.xlsx", "A 23568-2023")</f>
        <v/>
      </c>
      <c r="W33">
        <f>HYPERLINK("https://klasma.github.io/Logging_0483/kartor/A 23568-2023 karta.png", "A 23568-2023")</f>
        <v/>
      </c>
      <c r="Y33">
        <f>HYPERLINK("https://klasma.github.io/Logging_0483/klagomål/A 23568-2023 FSC-klagomål.docx", "A 23568-2023")</f>
        <v/>
      </c>
      <c r="Z33">
        <f>HYPERLINK("https://klasma.github.io/Logging_0483/klagomålsmail/A 23568-2023 FSC-klagomål mail.docx", "A 23568-2023")</f>
        <v/>
      </c>
      <c r="AA33">
        <f>HYPERLINK("https://klasma.github.io/Logging_0483/tillsyn/A 23568-2023 tillsynsbegäran.docx", "A 23568-2023")</f>
        <v/>
      </c>
      <c r="AB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46220</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s="2" t="inlineStr">
        <is>
          <t>Stare
Gulsparv</t>
        </is>
      </c>
      <c r="V34">
        <f>HYPERLINK("https://klasma.github.io/Logging_0483/artfynd/A 65184-2021 artfynd.xlsx", "A 65184-2021")</f>
        <v/>
      </c>
      <c r="W34">
        <f>HYPERLINK("https://klasma.github.io/Logging_0483/kartor/A 65184-2021 karta.png", "A 65184-2021")</f>
        <v/>
      </c>
      <c r="Y34">
        <f>HYPERLINK("https://klasma.github.io/Logging_0483/klagomål/A 65184-2021 FSC-klagomål.docx", "A 65184-2021")</f>
        <v/>
      </c>
      <c r="Z34">
        <f>HYPERLINK("https://klasma.github.io/Logging_0483/klagomålsmail/A 65184-2021 FSC-klagomål mail.docx", "A 65184-2021")</f>
        <v/>
      </c>
      <c r="AA34">
        <f>HYPERLINK("https://klasma.github.io/Logging_0483/tillsyn/A 65184-2021 tillsynsbegäran.docx", "A 65184-2021")</f>
        <v/>
      </c>
      <c r="AB34">
        <f>HYPERLINK("https://klasma.github.io/Logging_0483/tillsynsmail/A 65184-2021 tillsynsbegäran mail.docx", "A 65184-2021")</f>
        <v/>
      </c>
      <c r="AC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46220</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s="2" t="inlineStr">
        <is>
          <t>Bombmurkla
Kamjordstjärna</t>
        </is>
      </c>
      <c r="V35">
        <f>HYPERLINK("https://klasma.github.io/Logging_0483/artfynd/A 25724-2022 artfynd.xlsx", "A 25724-2022")</f>
        <v/>
      </c>
      <c r="W35">
        <f>HYPERLINK("https://klasma.github.io/Logging_0483/kartor/A 25724-2022 karta.png", "A 25724-2022")</f>
        <v/>
      </c>
      <c r="Y35">
        <f>HYPERLINK("https://klasma.github.io/Logging_0483/klagomål/A 25724-2022 FSC-klagomål.docx", "A 25724-2022")</f>
        <v/>
      </c>
      <c r="Z35">
        <f>HYPERLINK("https://klasma.github.io/Logging_0483/klagomålsmail/A 25724-2022 FSC-klagomål mail.docx", "A 25724-2022")</f>
        <v/>
      </c>
      <c r="AA35">
        <f>HYPERLINK("https://klasma.github.io/Logging_0483/tillsyn/A 25724-2022 tillsynsbegäran.docx", "A 25724-2022")</f>
        <v/>
      </c>
      <c r="AB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46220</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s="2" t="inlineStr">
        <is>
          <t>Bombmurkla
Revlummer</t>
        </is>
      </c>
      <c r="V36">
        <f>HYPERLINK("https://klasma.github.io/Logging_0483/artfynd/A 44262-2022 artfynd.xlsx", "A 44262-2022")</f>
        <v/>
      </c>
      <c r="W36">
        <f>HYPERLINK("https://klasma.github.io/Logging_0483/kartor/A 44262-2022 karta.png", "A 44262-2022")</f>
        <v/>
      </c>
      <c r="Y36">
        <f>HYPERLINK("https://klasma.github.io/Logging_0483/klagomål/A 44262-2022 FSC-klagomål.docx", "A 44262-2022")</f>
        <v/>
      </c>
      <c r="Z36">
        <f>HYPERLINK("https://klasma.github.io/Logging_0483/klagomålsmail/A 44262-2022 FSC-klagomål mail.docx", "A 44262-2022")</f>
        <v/>
      </c>
      <c r="AA36">
        <f>HYPERLINK("https://klasma.github.io/Logging_0483/tillsyn/A 44262-2022 tillsynsbegäran.docx", "A 44262-2022")</f>
        <v/>
      </c>
      <c r="AB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46220</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s="2" t="inlineStr">
        <is>
          <t>Knärot
Kungsspindling</t>
        </is>
      </c>
      <c r="V37">
        <f>HYPERLINK("https://klasma.github.io/Logging_0483/artfynd/A 61384-2021 artfynd.xlsx", "A 61384-2021")</f>
        <v/>
      </c>
      <c r="W37">
        <f>HYPERLINK("https://klasma.github.io/Logging_0483/kartor/A 61384-2021 karta.png", "A 61384-2021")</f>
        <v/>
      </c>
      <c r="X37">
        <f>HYPERLINK("https://klasma.github.io/Logging_0483/knärot/A 61384-2021 karta knärot.png", "A 61384-2021")</f>
        <v/>
      </c>
      <c r="Y37">
        <f>HYPERLINK("https://klasma.github.io/Logging_0483/klagomål/A 61384-2021 FSC-klagomål.docx", "A 61384-2021")</f>
        <v/>
      </c>
      <c r="Z37">
        <f>HYPERLINK("https://klasma.github.io/Logging_0483/klagomålsmail/A 61384-2021 FSC-klagomål mail.docx", "A 61384-2021")</f>
        <v/>
      </c>
      <c r="AA37">
        <f>HYPERLINK("https://klasma.github.io/Logging_0483/tillsyn/A 61384-2021 tillsynsbegäran.docx", "A 61384-2021")</f>
        <v/>
      </c>
      <c r="AB37">
        <f>HYPERLINK("https://klasma.github.io/Logging_0483/tillsynsmail/A 61384-2021 tillsynsbegäran mail.docx", "A 61384-2021")</f>
        <v/>
      </c>
    </row>
    <row r="38" ht="15" customHeight="1">
      <c r="A38" t="inlineStr">
        <is>
          <t>A 40393-2022</t>
        </is>
      </c>
      <c r="B38" t="inlineStr">
        <is>
          <t>avverkningsanmälan</t>
        </is>
      </c>
      <c r="C38" t="inlineStr">
        <is>
          <t>Föryngringsavverkning</t>
        </is>
      </c>
      <c r="D38" s="1" t="n">
        <v>44823</v>
      </c>
      <c r="E38" s="1" t="n">
        <v>46220</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s="2" t="inlineStr">
        <is>
          <t>Aspstumpbagge
Spindelbock</t>
        </is>
      </c>
      <c r="V38">
        <f>HYPERLINK("https://klasma.github.io/Logging_0483/artfynd/A 40393-2022 artfynd.xlsx", "A 40393-2022")</f>
        <v/>
      </c>
      <c r="W38">
        <f>HYPERLINK("https://klasma.github.io/Logging_0483/kartor/A 40393-2022 karta.png", "A 40393-2022")</f>
        <v/>
      </c>
      <c r="Y38">
        <f>HYPERLINK("https://klasma.github.io/Logging_0483/klagomål/A 40393-2022 FSC-klagomål.docx", "A 40393-2022")</f>
        <v/>
      </c>
      <c r="Z38">
        <f>HYPERLINK("https://klasma.github.io/Logging_0483/klagomålsmail/A 40393-2022 FSC-klagomål mail.docx", "A 40393-2022")</f>
        <v/>
      </c>
      <c r="AA38">
        <f>HYPERLINK("https://klasma.github.io/Logging_0483/tillsyn/A 40393-2022 tillsynsbegäran.docx", "A 40393-2022")</f>
        <v/>
      </c>
      <c r="AB38">
        <f>HYPERLINK("https://klasma.github.io/Logging_0483/tillsynsmail/A 40393-2022 tillsynsbegäran mail.docx", "A 40393-2022")</f>
        <v/>
      </c>
    </row>
    <row r="39" ht="15" customHeight="1">
      <c r="A39" t="inlineStr">
        <is>
          <t>A 1150-2025</t>
        </is>
      </c>
      <c r="B39" t="inlineStr">
        <is>
          <t>avverkningsanmälan</t>
        </is>
      </c>
      <c r="C39" t="inlineStr">
        <is>
          <t>Föryngringsavverkning</t>
        </is>
      </c>
      <c r="D39" s="1" t="n">
        <v>45666</v>
      </c>
      <c r="E39" s="1" t="n">
        <v>46220</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s="2" t="inlineStr">
        <is>
          <t>Motaggsvamp
Grovticka</t>
        </is>
      </c>
      <c r="V39">
        <f>HYPERLINK("https://klasma.github.io/Logging_0483/artfynd/A 1150-2025 artfynd.xlsx", "A 1150-2025")</f>
        <v/>
      </c>
      <c r="W39">
        <f>HYPERLINK("https://klasma.github.io/Logging_0483/kartor/A 1150-2025 karta.png", "A 1150-2025")</f>
        <v/>
      </c>
      <c r="Y39">
        <f>HYPERLINK("https://klasma.github.io/Logging_0483/klagomål/A 1150-2025 FSC-klagomål.docx", "A 1150-2025")</f>
        <v/>
      </c>
      <c r="Z39">
        <f>HYPERLINK("https://klasma.github.io/Logging_0483/klagomålsmail/A 1150-2025 FSC-klagomål mail.docx", "A 1150-2025")</f>
        <v/>
      </c>
      <c r="AA39">
        <f>HYPERLINK("https://klasma.github.io/Logging_0483/tillsyn/A 1150-2025 tillsynsbegäran.docx", "A 1150-2025")</f>
        <v/>
      </c>
      <c r="AB39">
        <f>HYPERLINK("https://klasma.github.io/Logging_0483/tillsynsmail/A 1150-2025 tillsynsbegäran mail.docx", "A 1150-2025")</f>
        <v/>
      </c>
    </row>
    <row r="40" ht="15" customHeight="1">
      <c r="A40" t="inlineStr">
        <is>
          <t>A 16458-2022</t>
        </is>
      </c>
      <c r="B40" t="inlineStr">
        <is>
          <t>avverkningsanmälan</t>
        </is>
      </c>
      <c r="C40" t="inlineStr">
        <is>
          <t>Föryngringsavverkning</t>
        </is>
      </c>
      <c r="D40" s="1" t="n">
        <v>44671</v>
      </c>
      <c r="E40" s="1" t="n">
        <v>46220</v>
      </c>
      <c r="F40" t="inlineStr">
        <is>
          <t>SÖDERMANLANDS LÄN</t>
        </is>
      </c>
      <c r="G40" t="inlineStr">
        <is>
          <t>KATRINEHOLM</t>
        </is>
      </c>
      <c r="I40" t="n">
        <v>16.4</v>
      </c>
      <c r="J40" t="n">
        <v>2</v>
      </c>
      <c r="K40" t="n">
        <v>0</v>
      </c>
      <c r="L40" t="n">
        <v>1</v>
      </c>
      <c r="M40" t="n">
        <v>0</v>
      </c>
      <c r="N40" t="n">
        <v>0</v>
      </c>
      <c r="O40" t="n">
        <v>0</v>
      </c>
      <c r="P40" t="n">
        <v>0</v>
      </c>
      <c r="Q40" t="n">
        <v>1</v>
      </c>
      <c r="R40" t="n">
        <v>0</v>
      </c>
      <c r="S40" t="n">
        <v>2</v>
      </c>
      <c r="T40" t="n">
        <v>2</v>
      </c>
      <c r="U40" s="2" t="inlineStr">
        <is>
          <t>Duvhök
Gröngöling</t>
        </is>
      </c>
      <c r="V40">
        <f>HYPERLINK("https://klasma.github.io/Logging_0483/artfynd/A 16458-2022 artfynd.xlsx", "A 16458-2022")</f>
        <v/>
      </c>
      <c r="W40">
        <f>HYPERLINK("https://klasma.github.io/Logging_0483/kartor/A 16458-2022 karta.png", "A 16458-2022")</f>
        <v/>
      </c>
      <c r="Y40">
        <f>HYPERLINK("https://klasma.github.io/Logging_0483/klagomål/A 16458-2022 FSC-klagomål.docx", "A 16458-2022")</f>
        <v/>
      </c>
      <c r="Z40">
        <f>HYPERLINK("https://klasma.github.io/Logging_0483/klagomålsmail/A 16458-2022 FSC-klagomål mail.docx", "A 16458-2022")</f>
        <v/>
      </c>
      <c r="AA40">
        <f>HYPERLINK("https://klasma.github.io/Logging_0483/tillsyn/A 16458-2022 tillsynsbegäran.docx", "A 16458-2022")</f>
        <v/>
      </c>
      <c r="AB40">
        <f>HYPERLINK("https://klasma.github.io/Logging_0483/tillsynsmail/A 16458-2022 tillsynsbegäran mail.docx", "A 16458-2022")</f>
        <v/>
      </c>
      <c r="AC40">
        <f>HYPERLINK("https://klasma.github.io/Logging_0483/fåglar/A 16458-2022 prioriterade fågelarter.docx", "A 16458-2022")</f>
        <v/>
      </c>
    </row>
    <row r="41" ht="15" customHeight="1">
      <c r="A41" t="inlineStr">
        <is>
          <t>A 37537-2022</t>
        </is>
      </c>
      <c r="B41" t="inlineStr">
        <is>
          <t>avverkningsanmälan</t>
        </is>
      </c>
      <c r="C41" t="inlineStr">
        <is>
          <t>Föryngringsavverkning</t>
        </is>
      </c>
      <c r="D41" s="1" t="n">
        <v>44809</v>
      </c>
      <c r="E41" s="1" t="n">
        <v>46220</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s="2" t="inlineStr">
        <is>
          <t>Myskmadra
Svart trolldruva</t>
        </is>
      </c>
      <c r="V41">
        <f>HYPERLINK("https://klasma.github.io/Logging_0483/artfynd/A 37537-2022 artfynd.xlsx", "A 37537-2022")</f>
        <v/>
      </c>
      <c r="W41">
        <f>HYPERLINK("https://klasma.github.io/Logging_0483/kartor/A 37537-2022 karta.png", "A 37537-2022")</f>
        <v/>
      </c>
      <c r="Y41">
        <f>HYPERLINK("https://klasma.github.io/Logging_0483/klagomål/A 37537-2022 FSC-klagomål.docx", "A 37537-2022")</f>
        <v/>
      </c>
      <c r="Z41">
        <f>HYPERLINK("https://klasma.github.io/Logging_0483/klagomålsmail/A 37537-2022 FSC-klagomål mail.docx", "A 37537-2022")</f>
        <v/>
      </c>
      <c r="AA41">
        <f>HYPERLINK("https://klasma.github.io/Logging_0483/tillsyn/A 37537-2022 tillsynsbegäran.docx", "A 37537-2022")</f>
        <v/>
      </c>
      <c r="AB41">
        <f>HYPERLINK("https://klasma.github.io/Logging_0483/tillsynsmail/A 37537-2022 tillsynsbegäran mail.docx", "A 37537-2022")</f>
        <v/>
      </c>
    </row>
    <row r="42" ht="15" customHeight="1">
      <c r="A42" t="inlineStr">
        <is>
          <t>A 42055-2025</t>
        </is>
      </c>
      <c r="B42" t="inlineStr">
        <is>
          <t>avverkningsanmälan</t>
        </is>
      </c>
      <c r="C42" t="inlineStr">
        <is>
          <t>Föryngringsavverkning</t>
        </is>
      </c>
      <c r="D42" s="1" t="n">
        <v>45903</v>
      </c>
      <c r="E42" s="1" t="n">
        <v>46220</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s="2" t="inlineStr">
        <is>
          <t>Björksplintborre
Revlummer</t>
        </is>
      </c>
      <c r="V42">
        <f>HYPERLINK("https://klasma.github.io/Logging_0483/artfynd/A 42055-2025 artfynd.xlsx", "A 42055-2025")</f>
        <v/>
      </c>
      <c r="W42">
        <f>HYPERLINK("https://klasma.github.io/Logging_0483/kartor/A 42055-2025 karta.png", "A 42055-2025")</f>
        <v/>
      </c>
      <c r="Y42">
        <f>HYPERLINK("https://klasma.github.io/Logging_0483/klagomål/A 42055-2025 FSC-klagomål.docx", "A 42055-2025")</f>
        <v/>
      </c>
      <c r="Z42">
        <f>HYPERLINK("https://klasma.github.io/Logging_0483/klagomålsmail/A 42055-2025 FSC-klagomål mail.docx", "A 42055-2025")</f>
        <v/>
      </c>
      <c r="AA42">
        <f>HYPERLINK("https://klasma.github.io/Logging_0483/tillsyn/A 42055-2025 tillsynsbegäran.docx", "A 42055-2025")</f>
        <v/>
      </c>
      <c r="AB42">
        <f>HYPERLINK("https://klasma.github.io/Logging_0483/tillsynsmail/A 42055-2025 tillsynsbegäran mail.docx", "A 42055-2025")</f>
        <v/>
      </c>
    </row>
    <row r="43" ht="15" customHeight="1">
      <c r="A43" t="inlineStr">
        <is>
          <t>A 53154-2023</t>
        </is>
      </c>
      <c r="B43" t="inlineStr">
        <is>
          <t>avverkningsanmälan</t>
        </is>
      </c>
      <c r="C43" t="inlineStr">
        <is>
          <t>Föryngringsavverkning</t>
        </is>
      </c>
      <c r="D43" s="1" t="n">
        <v>45229</v>
      </c>
      <c r="E43" s="1" t="n">
        <v>46220</v>
      </c>
      <c r="F43" t="inlineStr">
        <is>
          <t>SÖDERMANLANDS LÄN</t>
        </is>
      </c>
      <c r="G43" t="inlineStr">
        <is>
          <t>KATRINEHOLM</t>
        </is>
      </c>
      <c r="I43" t="n">
        <v>2.1</v>
      </c>
      <c r="J43" t="n">
        <v>1</v>
      </c>
      <c r="K43" t="n">
        <v>0</v>
      </c>
      <c r="L43" t="n">
        <v>0</v>
      </c>
      <c r="M43" t="n">
        <v>0</v>
      </c>
      <c r="N43" t="n">
        <v>1</v>
      </c>
      <c r="O43" t="n">
        <v>0</v>
      </c>
      <c r="P43" t="n">
        <v>0</v>
      </c>
      <c r="Q43" t="n">
        <v>1</v>
      </c>
      <c r="R43" t="n">
        <v>1</v>
      </c>
      <c r="S43" t="n">
        <v>2</v>
      </c>
      <c r="T43" t="n">
        <v>3</v>
      </c>
      <c r="U43" s="2" t="inlineStr">
        <is>
          <t>Ask
Skogsduva</t>
        </is>
      </c>
      <c r="V43">
        <f>HYPERLINK("https://klasma.github.io/Logging_0483/artfynd/A 53154-2023 artfynd.xlsx", "A 53154-2023")</f>
        <v/>
      </c>
      <c r="W43">
        <f>HYPERLINK("https://klasma.github.io/Logging_0483/kartor/A 53154-2023 karta.png", "A 53154-2023")</f>
        <v/>
      </c>
      <c r="Y43">
        <f>HYPERLINK("https://klasma.github.io/Logging_0483/klagomål/A 53154-2023 FSC-klagomål.docx", "A 53154-2023")</f>
        <v/>
      </c>
      <c r="Z43">
        <f>HYPERLINK("https://klasma.github.io/Logging_0483/klagomålsmail/A 53154-2023 FSC-klagomål mail.docx", "A 53154-2023")</f>
        <v/>
      </c>
      <c r="AA43">
        <f>HYPERLINK("https://klasma.github.io/Logging_0483/tillsyn/A 53154-2023 tillsynsbegäran.docx", "A 53154-2023")</f>
        <v/>
      </c>
      <c r="AB43">
        <f>HYPERLINK("https://klasma.github.io/Logging_0483/tillsynsmail/A 53154-2023 tillsynsbegäran mail.docx", "A 53154-2023")</f>
        <v/>
      </c>
    </row>
    <row r="44" ht="15" customHeight="1">
      <c r="A44" t="inlineStr">
        <is>
          <t>A 63946-2025</t>
        </is>
      </c>
      <c r="B44" t="inlineStr">
        <is>
          <t>avverkningsanmälan</t>
        </is>
      </c>
      <c r="C44" t="inlineStr">
        <is>
          <t>Föryngringsavverkning</t>
        </is>
      </c>
      <c r="D44" s="1" t="n">
        <v>46010</v>
      </c>
      <c r="E44" s="1" t="n">
        <v>46220</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s="2" t="inlineStr">
        <is>
          <t>Tallticka
Skogsödla</t>
        </is>
      </c>
      <c r="V44">
        <f>HYPERLINK("https://klasma.github.io/Logging_0483/artfynd/A 63946-2025 artfynd.xlsx", "A 63946-2025")</f>
        <v/>
      </c>
      <c r="W44">
        <f>HYPERLINK("https://klasma.github.io/Logging_0483/kartor/A 63946-2025 karta.png", "A 63946-2025")</f>
        <v/>
      </c>
      <c r="Y44">
        <f>HYPERLINK("https://klasma.github.io/Logging_0483/klagomål/A 63946-2025 FSC-klagomål.docx", "A 63946-2025")</f>
        <v/>
      </c>
      <c r="Z44">
        <f>HYPERLINK("https://klasma.github.io/Logging_0483/klagomålsmail/A 63946-2025 FSC-klagomål mail.docx", "A 63946-2025")</f>
        <v/>
      </c>
      <c r="AA44">
        <f>HYPERLINK("https://klasma.github.io/Logging_0483/tillsyn/A 63946-2025 tillsynsbegäran.docx", "A 63946-2025")</f>
        <v/>
      </c>
      <c r="AB44">
        <f>HYPERLINK("https://klasma.github.io/Logging_0483/tillsynsmail/A 63946-2025 tillsynsbegäran mail.docx", "A 63946-2025")</f>
        <v/>
      </c>
    </row>
    <row r="45" ht="15" customHeight="1">
      <c r="A45" t="inlineStr">
        <is>
          <t>A 16435-2026</t>
        </is>
      </c>
      <c r="B45" t="inlineStr">
        <is>
          <t>avverkningsanmälan</t>
        </is>
      </c>
      <c r="C45" t="inlineStr">
        <is>
          <t>Föryngringsavverkning</t>
        </is>
      </c>
      <c r="D45" s="1" t="n">
        <v>46111</v>
      </c>
      <c r="E45" s="1" t="n">
        <v>46220</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s="2" t="inlineStr">
        <is>
          <t>Dropptaggsvamp
Mattlummer</t>
        </is>
      </c>
      <c r="V45">
        <f>HYPERLINK("https://klasma.github.io/Logging_0483/artfynd/A 16435-2026 artfynd.xlsx", "A 16435-2026")</f>
        <v/>
      </c>
      <c r="W45">
        <f>HYPERLINK("https://klasma.github.io/Logging_0483/kartor/A 16435-2026 karta.png", "A 16435-2026")</f>
        <v/>
      </c>
      <c r="Y45">
        <f>HYPERLINK("https://klasma.github.io/Logging_0483/klagomål/A 16435-2026 FSC-klagomål.docx", "A 16435-2026")</f>
        <v/>
      </c>
      <c r="Z45">
        <f>HYPERLINK("https://klasma.github.io/Logging_0483/klagomålsmail/A 16435-2026 FSC-klagomål mail.docx", "A 16435-2026")</f>
        <v/>
      </c>
      <c r="AA45">
        <f>HYPERLINK("https://klasma.github.io/Logging_0483/tillsyn/A 16435-2026 tillsynsbegäran.docx", "A 16435-2026")</f>
        <v/>
      </c>
      <c r="AB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46220</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s="2" t="inlineStr">
        <is>
          <t>Skrovlig taggsvamp
Skogsknipprot</t>
        </is>
      </c>
      <c r="V46">
        <f>HYPERLINK("https://klasma.github.io/Logging_0483/artfynd/A 11890-2023 artfynd.xlsx", "A 11890-2023")</f>
        <v/>
      </c>
      <c r="W46">
        <f>HYPERLINK("https://klasma.github.io/Logging_0483/kartor/A 11890-2023 karta.png", "A 11890-2023")</f>
        <v/>
      </c>
      <c r="Y46">
        <f>HYPERLINK("https://klasma.github.io/Logging_0483/klagomål/A 11890-2023 FSC-klagomål.docx", "A 11890-2023")</f>
        <v/>
      </c>
      <c r="Z46">
        <f>HYPERLINK("https://klasma.github.io/Logging_0483/klagomålsmail/A 11890-2023 FSC-klagomål mail.docx", "A 11890-2023")</f>
        <v/>
      </c>
      <c r="AA46">
        <f>HYPERLINK("https://klasma.github.io/Logging_0483/tillsyn/A 11890-2023 tillsynsbegäran.docx", "A 11890-2023")</f>
        <v/>
      </c>
      <c r="AB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46220</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s="2" t="inlineStr">
        <is>
          <t>Skrovlig taggsvamp
Skogsknipprot</t>
        </is>
      </c>
      <c r="V47">
        <f>HYPERLINK("https://klasma.github.io/Logging_0483/artfynd/A 11890-2023 artfynd.xlsx", "A 11890-2023")</f>
        <v/>
      </c>
      <c r="W47">
        <f>HYPERLINK("https://klasma.github.io/Logging_0483/kartor/A 11890-2023 karta.png", "A 11890-2023")</f>
        <v/>
      </c>
      <c r="Y47">
        <f>HYPERLINK("https://klasma.github.io/Logging_0483/klagomål/A 11890-2023 FSC-klagomål.docx", "A 11890-2023")</f>
        <v/>
      </c>
      <c r="Z47">
        <f>HYPERLINK("https://klasma.github.io/Logging_0483/klagomålsmail/A 11890-2023 FSC-klagomål mail.docx", "A 11890-2023")</f>
        <v/>
      </c>
      <c r="AA47">
        <f>HYPERLINK("https://klasma.github.io/Logging_0483/tillsyn/A 11890-2023 tillsynsbegäran.docx", "A 11890-2023")</f>
        <v/>
      </c>
      <c r="AB47">
        <f>HYPERLINK("https://klasma.github.io/Logging_0483/tillsynsmail/A 11890-2023 tillsynsbegäran mail.docx", "A 11890-2023")</f>
        <v/>
      </c>
    </row>
    <row r="48" ht="15" customHeight="1">
      <c r="A48" t="inlineStr">
        <is>
          <t>A 53471-2024</t>
        </is>
      </c>
      <c r="B48" t="inlineStr">
        <is>
          <t>avverkningsanmälan</t>
        </is>
      </c>
      <c r="C48" t="inlineStr">
        <is>
          <t>Föryngringsavverkning</t>
        </is>
      </c>
      <c r="D48" s="1" t="n">
        <v>45614</v>
      </c>
      <c r="E48" s="1" t="n">
        <v>46220</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s="2" t="inlineStr">
        <is>
          <t>Grönpyrola
Plattlummer</t>
        </is>
      </c>
      <c r="V48">
        <f>HYPERLINK("https://klasma.github.io/Logging_0483/artfynd/A 53471-2024 artfynd.xlsx", "A 53471-2024")</f>
        <v/>
      </c>
      <c r="W48">
        <f>HYPERLINK("https://klasma.github.io/Logging_0483/kartor/A 53471-2024 karta.png", "A 53471-2024")</f>
        <v/>
      </c>
      <c r="Y48">
        <f>HYPERLINK("https://klasma.github.io/Logging_0483/klagomål/A 53471-2024 FSC-klagomål.docx", "A 53471-2024")</f>
        <v/>
      </c>
      <c r="Z48">
        <f>HYPERLINK("https://klasma.github.io/Logging_0483/klagomålsmail/A 53471-2024 FSC-klagomål mail.docx", "A 53471-2024")</f>
        <v/>
      </c>
      <c r="AA48">
        <f>HYPERLINK("https://klasma.github.io/Logging_0483/tillsyn/A 53471-2024 tillsynsbegäran.docx", "A 53471-2024")</f>
        <v/>
      </c>
      <c r="AB48">
        <f>HYPERLINK("https://klasma.github.io/Logging_0483/tillsynsmail/A 53471-2024 tillsynsbegäran mail.docx", "A 53471-2024")</f>
        <v/>
      </c>
    </row>
    <row r="49" ht="15" customHeight="1">
      <c r="A49" t="inlineStr">
        <is>
          <t>A 12937-2023</t>
        </is>
      </c>
      <c r="B49" t="inlineStr">
        <is>
          <t>avverkningsanmälan</t>
        </is>
      </c>
      <c r="C49" t="inlineStr">
        <is>
          <t>Föryngringsavverkning</t>
        </is>
      </c>
      <c r="D49" s="1" t="n">
        <v>45001</v>
      </c>
      <c r="E49" s="1" t="n">
        <v>46220</v>
      </c>
      <c r="F49" t="inlineStr">
        <is>
          <t>SÖDERMANLANDS LÄN</t>
        </is>
      </c>
      <c r="G49" t="inlineStr">
        <is>
          <t>KATRINEHOLM</t>
        </is>
      </c>
      <c r="I49" t="n">
        <v>0.9</v>
      </c>
      <c r="J49" t="n">
        <v>0</v>
      </c>
      <c r="K49" t="n">
        <v>0</v>
      </c>
      <c r="L49" t="n">
        <v>0</v>
      </c>
      <c r="M49" t="n">
        <v>2</v>
      </c>
      <c r="N49" t="n">
        <v>0</v>
      </c>
      <c r="O49" t="n">
        <v>0</v>
      </c>
      <c r="P49" t="n">
        <v>0</v>
      </c>
      <c r="Q49" t="n">
        <v>2</v>
      </c>
      <c r="R49" t="n">
        <v>2</v>
      </c>
      <c r="S49" t="n">
        <v>2</v>
      </c>
      <c r="T49" t="n">
        <v>2</v>
      </c>
      <c r="U49" s="2" t="inlineStr">
        <is>
          <t>Mörkstiftig hällfibbla
Norsk fetfibbla</t>
        </is>
      </c>
      <c r="V49">
        <f>HYPERLINK("https://klasma.github.io/Logging_0483/artfynd/A 12937-2023 artfynd.xlsx", "A 12937-2023")</f>
        <v/>
      </c>
      <c r="W49">
        <f>HYPERLINK("https://klasma.github.io/Logging_0483/kartor/A 12937-2023 karta.png", "A 12937-2023")</f>
        <v/>
      </c>
      <c r="Y49">
        <f>HYPERLINK("https://klasma.github.io/Logging_0483/klagomål/A 12937-2023 FSC-klagomål.docx", "A 12937-2023")</f>
        <v/>
      </c>
      <c r="Z49">
        <f>HYPERLINK("https://klasma.github.io/Logging_0483/klagomålsmail/A 12937-2023 FSC-klagomål mail.docx", "A 12937-2023")</f>
        <v/>
      </c>
      <c r="AA49">
        <f>HYPERLINK("https://klasma.github.io/Logging_0483/tillsyn/A 12937-2023 tillsynsbegäran.docx", "A 12937-2023")</f>
        <v/>
      </c>
      <c r="AB49">
        <f>HYPERLINK("https://klasma.github.io/Logging_0483/tillsynsmail/A 12937-2023 tillsynsbegäran mail.docx", "A 12937-2023")</f>
        <v/>
      </c>
    </row>
    <row r="50" ht="15" customHeight="1">
      <c r="A50" t="inlineStr">
        <is>
          <t>A 23804-2026</t>
        </is>
      </c>
      <c r="B50" t="inlineStr">
        <is>
          <t>avverkningsanmälan</t>
        </is>
      </c>
      <c r="C50" t="inlineStr">
        <is>
          <t>Föryngringsavverkning</t>
        </is>
      </c>
      <c r="D50" s="1" t="n">
        <v>46164</v>
      </c>
      <c r="E50" s="1" t="n">
        <v>46220</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s="2" t="inlineStr">
        <is>
          <t>Tallticka
Revlummer</t>
        </is>
      </c>
      <c r="V50">
        <f>HYPERLINK("https://klasma.github.io/Logging_0483/artfynd/A 23804-2026 artfynd.xlsx", "A 23804-2026")</f>
        <v/>
      </c>
      <c r="W50">
        <f>HYPERLINK("https://klasma.github.io/Logging_0483/kartor/A 23804-2026 karta.png", "A 23804-2026")</f>
        <v/>
      </c>
      <c r="Y50">
        <f>HYPERLINK("https://klasma.github.io/Logging_0483/klagomål/A 23804-2026 FSC-klagomål.docx", "A 23804-2026")</f>
        <v/>
      </c>
      <c r="Z50">
        <f>HYPERLINK("https://klasma.github.io/Logging_0483/klagomålsmail/A 23804-2026 FSC-klagomål mail.docx", "A 23804-2026")</f>
        <v/>
      </c>
      <c r="AA50">
        <f>HYPERLINK("https://klasma.github.io/Logging_0483/tillsyn/A 23804-2026 tillsynsbegäran.docx", "A 23804-2026")</f>
        <v/>
      </c>
      <c r="AB50">
        <f>HYPERLINK("https://klasma.github.io/Logging_0483/tillsynsmail/A 23804-2026 tillsynsbegäran mail.docx", "A 23804-2026")</f>
        <v/>
      </c>
    </row>
    <row r="51" ht="15" customHeight="1">
      <c r="A51" t="inlineStr">
        <is>
          <t>A 14655-2023</t>
        </is>
      </c>
      <c r="B51" t="inlineStr">
        <is>
          <t>avverkningsanmälan</t>
        </is>
      </c>
      <c r="C51" t="inlineStr">
        <is>
          <t>Avverkning för annat ändamål</t>
        </is>
      </c>
      <c r="D51" s="1" t="n">
        <v>45013</v>
      </c>
      <c r="E51" s="1" t="n">
        <v>46220</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s="2" t="inlineStr">
        <is>
          <t>Spillkråka
Gröngöling</t>
        </is>
      </c>
      <c r="V51">
        <f>HYPERLINK("https://klasma.github.io/Logging_0483/artfynd/A 14655-2023 artfynd.xlsx", "A 14655-2023")</f>
        <v/>
      </c>
      <c r="W51">
        <f>HYPERLINK("https://klasma.github.io/Logging_0483/kartor/A 14655-2023 karta.png", "A 14655-2023")</f>
        <v/>
      </c>
      <c r="Y51">
        <f>HYPERLINK("https://klasma.github.io/Logging_0483/klagomål/A 14655-2023 FSC-klagomål.docx", "A 14655-2023")</f>
        <v/>
      </c>
      <c r="Z51">
        <f>HYPERLINK("https://klasma.github.io/Logging_0483/klagomålsmail/A 14655-2023 FSC-klagomål mail.docx", "A 14655-2023")</f>
        <v/>
      </c>
      <c r="AA51">
        <f>HYPERLINK("https://klasma.github.io/Logging_0483/tillsyn/A 14655-2023 tillsynsbegäran.docx", "A 14655-2023")</f>
        <v/>
      </c>
      <c r="AB51">
        <f>HYPERLINK("https://klasma.github.io/Logging_0483/tillsynsmail/A 14655-2023 tillsynsbegäran mail.docx", "A 14655-2023")</f>
        <v/>
      </c>
      <c r="AC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46220</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s="2" t="inlineStr">
        <is>
          <t>Bronspraktbagge</t>
        </is>
      </c>
      <c r="V52">
        <f>HYPERLINK("https://klasma.github.io/Logging_0483/artfynd/A 23239-2022 artfynd.xlsx", "A 23239-2022")</f>
        <v/>
      </c>
      <c r="W52">
        <f>HYPERLINK("https://klasma.github.io/Logging_0483/kartor/A 23239-2022 karta.png", "A 23239-2022")</f>
        <v/>
      </c>
      <c r="Y52">
        <f>HYPERLINK("https://klasma.github.io/Logging_0483/klagomål/A 23239-2022 FSC-klagomål.docx", "A 23239-2022")</f>
        <v/>
      </c>
      <c r="Z52">
        <f>HYPERLINK("https://klasma.github.io/Logging_0483/klagomålsmail/A 23239-2022 FSC-klagomål mail.docx", "A 23239-2022")</f>
        <v/>
      </c>
      <c r="AA52">
        <f>HYPERLINK("https://klasma.github.io/Logging_0483/tillsyn/A 23239-2022 tillsynsbegäran.docx", "A 23239-2022")</f>
        <v/>
      </c>
      <c r="AB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46220</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s="2" t="inlineStr">
        <is>
          <t>Igelkott</t>
        </is>
      </c>
      <c r="V53">
        <f>HYPERLINK("https://klasma.github.io/Logging_0483/artfynd/A 6768-2022 artfynd.xlsx", "A 6768-2022")</f>
        <v/>
      </c>
      <c r="W53">
        <f>HYPERLINK("https://klasma.github.io/Logging_0483/kartor/A 6768-2022 karta.png", "A 6768-2022")</f>
        <v/>
      </c>
      <c r="Y53">
        <f>HYPERLINK("https://klasma.github.io/Logging_0483/klagomål/A 6768-2022 FSC-klagomål.docx", "A 6768-2022")</f>
        <v/>
      </c>
      <c r="Z53">
        <f>HYPERLINK("https://klasma.github.io/Logging_0483/klagomålsmail/A 6768-2022 FSC-klagomål mail.docx", "A 6768-2022")</f>
        <v/>
      </c>
      <c r="AA53">
        <f>HYPERLINK("https://klasma.github.io/Logging_0483/tillsyn/A 6768-2022 tillsynsbegäran.docx", "A 6768-2022")</f>
        <v/>
      </c>
      <c r="AB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46220</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s="2" t="inlineStr">
        <is>
          <t>Klasefibbla</t>
        </is>
      </c>
      <c r="V54">
        <f>HYPERLINK("https://klasma.github.io/Logging_0483/artfynd/A 72851-2021 artfynd.xlsx", "A 72851-2021")</f>
        <v/>
      </c>
      <c r="W54">
        <f>HYPERLINK("https://klasma.github.io/Logging_0483/kartor/A 72851-2021 karta.png", "A 72851-2021")</f>
        <v/>
      </c>
      <c r="Y54">
        <f>HYPERLINK("https://klasma.github.io/Logging_0483/klagomål/A 72851-2021 FSC-klagomål.docx", "A 72851-2021")</f>
        <v/>
      </c>
      <c r="Z54">
        <f>HYPERLINK("https://klasma.github.io/Logging_0483/klagomålsmail/A 72851-2021 FSC-klagomål mail.docx", "A 72851-2021")</f>
        <v/>
      </c>
      <c r="AA54">
        <f>HYPERLINK("https://klasma.github.io/Logging_0483/tillsyn/A 72851-2021 tillsynsbegäran.docx", "A 72851-2021")</f>
        <v/>
      </c>
      <c r="AB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46220</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s="2" t="inlineStr">
        <is>
          <t>Kungsfågel</t>
        </is>
      </c>
      <c r="V55">
        <f>HYPERLINK("https://klasma.github.io/Logging_0483/artfynd/A 2877-2022 artfynd.xlsx", "A 2877-2022")</f>
        <v/>
      </c>
      <c r="W55">
        <f>HYPERLINK("https://klasma.github.io/Logging_0483/kartor/A 2877-2022 karta.png", "A 2877-2022")</f>
        <v/>
      </c>
      <c r="Y55">
        <f>HYPERLINK("https://klasma.github.io/Logging_0483/klagomål/A 2877-2022 FSC-klagomål.docx", "A 2877-2022")</f>
        <v/>
      </c>
      <c r="Z55">
        <f>HYPERLINK("https://klasma.github.io/Logging_0483/klagomålsmail/A 2877-2022 FSC-klagomål mail.docx", "A 2877-2022")</f>
        <v/>
      </c>
      <c r="AA55">
        <f>HYPERLINK("https://klasma.github.io/Logging_0483/tillsyn/A 2877-2022 tillsynsbegäran.docx", "A 2877-2022")</f>
        <v/>
      </c>
      <c r="AB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46220</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s="2" t="inlineStr">
        <is>
          <t>Igelkott</t>
        </is>
      </c>
      <c r="V56">
        <f>HYPERLINK("https://klasma.github.io/Logging_0483/artfynd/A 28985-2022 artfynd.xlsx", "A 28985-2022")</f>
        <v/>
      </c>
      <c r="W56">
        <f>HYPERLINK("https://klasma.github.io/Logging_0483/kartor/A 28985-2022 karta.png", "A 28985-2022")</f>
        <v/>
      </c>
      <c r="Y56">
        <f>HYPERLINK("https://klasma.github.io/Logging_0483/klagomål/A 28985-2022 FSC-klagomål.docx", "A 28985-2022")</f>
        <v/>
      </c>
      <c r="Z56">
        <f>HYPERLINK("https://klasma.github.io/Logging_0483/klagomålsmail/A 28985-2022 FSC-klagomål mail.docx", "A 28985-2022")</f>
        <v/>
      </c>
      <c r="AA56">
        <f>HYPERLINK("https://klasma.github.io/Logging_0483/tillsyn/A 28985-2022 tillsynsbegäran.docx", "A 28985-2022")</f>
        <v/>
      </c>
      <c r="AB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46220</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s="2" t="inlineStr">
        <is>
          <t>Svedjenäva</t>
        </is>
      </c>
      <c r="V57">
        <f>HYPERLINK("https://klasma.github.io/Logging_0483/artfynd/A 42745-2022 artfynd.xlsx", "A 42745-2022")</f>
        <v/>
      </c>
      <c r="W57">
        <f>HYPERLINK("https://klasma.github.io/Logging_0483/kartor/A 42745-2022 karta.png", "A 42745-2022")</f>
        <v/>
      </c>
      <c r="Y57">
        <f>HYPERLINK("https://klasma.github.io/Logging_0483/klagomål/A 42745-2022 FSC-klagomål.docx", "A 42745-2022")</f>
        <v/>
      </c>
      <c r="Z57">
        <f>HYPERLINK("https://klasma.github.io/Logging_0483/klagomålsmail/A 42745-2022 FSC-klagomål mail.docx", "A 42745-2022")</f>
        <v/>
      </c>
      <c r="AA57">
        <f>HYPERLINK("https://klasma.github.io/Logging_0483/tillsyn/A 42745-2022 tillsynsbegäran.docx", "A 42745-2022")</f>
        <v/>
      </c>
      <c r="AB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46220</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s="2" t="inlineStr">
        <is>
          <t>Utter</t>
        </is>
      </c>
      <c r="V58">
        <f>HYPERLINK("https://klasma.github.io/Logging_0483/artfynd/A 41074-2025 artfynd.xlsx", "A 41074-2025")</f>
        <v/>
      </c>
      <c r="W58">
        <f>HYPERLINK("https://klasma.github.io/Logging_0483/kartor/A 41074-2025 karta.png", "A 41074-2025")</f>
        <v/>
      </c>
      <c r="Y58">
        <f>HYPERLINK("https://klasma.github.io/Logging_0483/klagomål/A 41074-2025 FSC-klagomål.docx", "A 41074-2025")</f>
        <v/>
      </c>
      <c r="Z58">
        <f>HYPERLINK("https://klasma.github.io/Logging_0483/klagomålsmail/A 41074-2025 FSC-klagomål mail.docx", "A 41074-2025")</f>
        <v/>
      </c>
      <c r="AA58">
        <f>HYPERLINK("https://klasma.github.io/Logging_0483/tillsyn/A 41074-2025 tillsynsbegäran.docx", "A 41074-2025")</f>
        <v/>
      </c>
      <c r="AB58">
        <f>HYPERLINK("https://klasma.github.io/Logging_0483/tillsynsmail/A 41074-2025 tillsynsbegäran mail.docx", "A 41074-2025")</f>
        <v/>
      </c>
    </row>
    <row r="59" ht="15" customHeight="1">
      <c r="A59" t="inlineStr">
        <is>
          <t>A 35152-2025</t>
        </is>
      </c>
      <c r="B59" t="inlineStr">
        <is>
          <t>avverkningsanmälan</t>
        </is>
      </c>
      <c r="C59" t="inlineStr">
        <is>
          <t>Föryngringsavverkning</t>
        </is>
      </c>
      <c r="D59" s="1" t="n">
        <v>45852</v>
      </c>
      <c r="E59" s="1" t="n">
        <v>46220</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s="2" t="inlineStr">
        <is>
          <t>Kopparspindling</t>
        </is>
      </c>
      <c r="V59">
        <f>HYPERLINK("https://klasma.github.io/Logging_0483/artfynd/A 35152-2025 artfynd.xlsx", "A 35152-2025")</f>
        <v/>
      </c>
      <c r="W59">
        <f>HYPERLINK("https://klasma.github.io/Logging_0483/kartor/A 35152-2025 karta.png", "A 35152-2025")</f>
        <v/>
      </c>
      <c r="Y59">
        <f>HYPERLINK("https://klasma.github.io/Logging_0483/klagomål/A 35152-2025 FSC-klagomål.docx", "A 35152-2025")</f>
        <v/>
      </c>
      <c r="Z59">
        <f>HYPERLINK("https://klasma.github.io/Logging_0483/klagomålsmail/A 35152-2025 FSC-klagomål mail.docx", "A 35152-2025")</f>
        <v/>
      </c>
      <c r="AA59">
        <f>HYPERLINK("https://klasma.github.io/Logging_0483/tillsyn/A 35152-2025 tillsynsbegäran.docx", "A 35152-2025")</f>
        <v/>
      </c>
      <c r="AB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46220</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s="2" t="inlineStr">
        <is>
          <t>Kattfotslav</t>
        </is>
      </c>
      <c r="V60">
        <f>HYPERLINK("https://klasma.github.io/Logging_0483/artfynd/A 35163-2025 artfynd.xlsx", "A 35163-2025")</f>
        <v/>
      </c>
      <c r="W60">
        <f>HYPERLINK("https://klasma.github.io/Logging_0483/kartor/A 35163-2025 karta.png", "A 35163-2025")</f>
        <v/>
      </c>
      <c r="Y60">
        <f>HYPERLINK("https://klasma.github.io/Logging_0483/klagomål/A 35163-2025 FSC-klagomål.docx", "A 35163-2025")</f>
        <v/>
      </c>
      <c r="Z60">
        <f>HYPERLINK("https://klasma.github.io/Logging_0483/klagomålsmail/A 35163-2025 FSC-klagomål mail.docx", "A 35163-2025")</f>
        <v/>
      </c>
      <c r="AA60">
        <f>HYPERLINK("https://klasma.github.io/Logging_0483/tillsyn/A 35163-2025 tillsynsbegäran.docx", "A 35163-2025")</f>
        <v/>
      </c>
      <c r="AB60">
        <f>HYPERLINK("https://klasma.github.io/Logging_0483/tillsynsmail/A 35163-2025 tillsynsbegäran mail.docx", "A 35163-2025")</f>
        <v/>
      </c>
    </row>
    <row r="61" ht="15" customHeight="1">
      <c r="A61" t="inlineStr">
        <is>
          <t>A 12238-2023</t>
        </is>
      </c>
      <c r="B61" t="inlineStr">
        <is>
          <t>avverkningsanmälan</t>
        </is>
      </c>
      <c r="C61" t="inlineStr">
        <is>
          <t>Föryngringsavverkning</t>
        </is>
      </c>
      <c r="D61" s="1" t="n">
        <v>44995</v>
      </c>
      <c r="E61" s="1" t="n">
        <v>46220</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s="2" t="inlineStr">
        <is>
          <t>Skogsklocka</t>
        </is>
      </c>
      <c r="V61">
        <f>HYPERLINK("https://klasma.github.io/Logging_0483/artfynd/A 12238-2023 artfynd.xlsx", "A 12238-2023")</f>
        <v/>
      </c>
      <c r="W61">
        <f>HYPERLINK("https://klasma.github.io/Logging_0483/kartor/A 12238-2023 karta.png", "A 12238-2023")</f>
        <v/>
      </c>
      <c r="Y61">
        <f>HYPERLINK("https://klasma.github.io/Logging_0483/klagomål/A 12238-2023 FSC-klagomål.docx", "A 12238-2023")</f>
        <v/>
      </c>
      <c r="Z61">
        <f>HYPERLINK("https://klasma.github.io/Logging_0483/klagomålsmail/A 12238-2023 FSC-klagomål mail.docx", "A 12238-2023")</f>
        <v/>
      </c>
      <c r="AA61">
        <f>HYPERLINK("https://klasma.github.io/Logging_0483/tillsyn/A 12238-2023 tillsynsbegäran.docx", "A 12238-2023")</f>
        <v/>
      </c>
      <c r="AB61">
        <f>HYPERLINK("https://klasma.github.io/Logging_0483/tillsynsmail/A 12238-2023 tillsynsbegäran mail.docx", "A 12238-2023")</f>
        <v/>
      </c>
    </row>
    <row r="62" ht="15" customHeight="1">
      <c r="A62" t="inlineStr">
        <is>
          <t>A 53990-2023</t>
        </is>
      </c>
      <c r="B62" t="inlineStr">
        <is>
          <t>avverkningsanmälan</t>
        </is>
      </c>
      <c r="C62" t="inlineStr">
        <is>
          <t>Föryngringsavverkning</t>
        </is>
      </c>
      <c r="D62" s="1" t="n">
        <v>45231</v>
      </c>
      <c r="E62" s="1" t="n">
        <v>46220</v>
      </c>
      <c r="F62" t="inlineStr">
        <is>
          <t>SÖDERMANLANDS LÄN</t>
        </is>
      </c>
      <c r="G62" t="inlineStr">
        <is>
          <t>KATRINEHOLM</t>
        </is>
      </c>
      <c r="I62" t="n">
        <v>6.1</v>
      </c>
      <c r="J62" t="n">
        <v>0</v>
      </c>
      <c r="K62" t="n">
        <v>0</v>
      </c>
      <c r="L62" t="n">
        <v>1</v>
      </c>
      <c r="M62" t="n">
        <v>0</v>
      </c>
      <c r="N62" t="n">
        <v>0</v>
      </c>
      <c r="O62" t="n">
        <v>0</v>
      </c>
      <c r="P62" t="n">
        <v>0</v>
      </c>
      <c r="Q62" t="n">
        <v>1</v>
      </c>
      <c r="R62" t="n">
        <v>0</v>
      </c>
      <c r="S62" t="n">
        <v>1</v>
      </c>
      <c r="T62" t="n">
        <v>1</v>
      </c>
      <c r="U62" s="2" t="inlineStr">
        <is>
          <t>Motaggsvamp</t>
        </is>
      </c>
      <c r="V62">
        <f>HYPERLINK("https://klasma.github.io/Logging_0483/artfynd/A 53990-2023 artfynd.xlsx", "A 53990-2023")</f>
        <v/>
      </c>
      <c r="W62">
        <f>HYPERLINK("https://klasma.github.io/Logging_0483/kartor/A 53990-2023 karta.png", "A 53990-2023")</f>
        <v/>
      </c>
      <c r="Y62">
        <f>HYPERLINK("https://klasma.github.io/Logging_0483/klagomål/A 53990-2023 FSC-klagomål.docx", "A 53990-2023")</f>
        <v/>
      </c>
      <c r="Z62">
        <f>HYPERLINK("https://klasma.github.io/Logging_0483/klagomålsmail/A 53990-2023 FSC-klagomål mail.docx", "A 53990-2023")</f>
        <v/>
      </c>
      <c r="AA62">
        <f>HYPERLINK("https://klasma.github.io/Logging_0483/tillsyn/A 53990-2023 tillsynsbegäran.docx", "A 53990-2023")</f>
        <v/>
      </c>
      <c r="AB62">
        <f>HYPERLINK("https://klasma.github.io/Logging_0483/tillsynsmail/A 53990-2023 tillsynsbegäran mail.docx", "A 53990-2023")</f>
        <v/>
      </c>
    </row>
    <row r="63" ht="15" customHeight="1">
      <c r="A63" t="inlineStr">
        <is>
          <t>A 53750-2022</t>
        </is>
      </c>
      <c r="B63" t="inlineStr">
        <is>
          <t>avverkningsanmälan</t>
        </is>
      </c>
      <c r="C63" t="inlineStr">
        <is>
          <t>Föryngringsavverkning</t>
        </is>
      </c>
      <c r="D63" s="1" t="n">
        <v>44875</v>
      </c>
      <c r="E63" s="1" t="n">
        <v>46220</v>
      </c>
      <c r="F63" t="inlineStr">
        <is>
          <t>SÖDERMANLANDS LÄN</t>
        </is>
      </c>
      <c r="G63" t="inlineStr">
        <is>
          <t>KATRINEHOLM</t>
        </is>
      </c>
      <c r="H63" t="inlineStr">
        <is>
          <t>Övriga Aktiebolag</t>
        </is>
      </c>
      <c r="I63" t="n">
        <v>12.6</v>
      </c>
      <c r="J63" t="n">
        <v>1</v>
      </c>
      <c r="K63" t="n">
        <v>0</v>
      </c>
      <c r="L63" t="n">
        <v>0</v>
      </c>
      <c r="M63" t="n">
        <v>0</v>
      </c>
      <c r="N63" t="n">
        <v>0</v>
      </c>
      <c r="O63" t="n">
        <v>0</v>
      </c>
      <c r="P63" t="n">
        <v>0</v>
      </c>
      <c r="Q63" t="n">
        <v>0</v>
      </c>
      <c r="R63" t="n">
        <v>0</v>
      </c>
      <c r="S63" t="n">
        <v>1</v>
      </c>
      <c r="T63" t="n">
        <v>1</v>
      </c>
      <c r="U63" s="2" t="inlineStr">
        <is>
          <t>Kungsfågel</t>
        </is>
      </c>
      <c r="V63">
        <f>HYPERLINK("https://klasma.github.io/Logging_0483/artfynd/A 53750-2022 artfynd.xlsx", "A 53750-2022")</f>
        <v/>
      </c>
      <c r="W63">
        <f>HYPERLINK("https://klasma.github.io/Logging_0483/kartor/A 53750-2022 karta.png", "A 53750-2022")</f>
        <v/>
      </c>
      <c r="Y63">
        <f>HYPERLINK("https://klasma.github.io/Logging_0483/klagomål/A 53750-2022 FSC-klagomål.docx", "A 53750-2022")</f>
        <v/>
      </c>
      <c r="Z63">
        <f>HYPERLINK("https://klasma.github.io/Logging_0483/klagomålsmail/A 53750-2022 FSC-klagomål mail.docx", "A 53750-2022")</f>
        <v/>
      </c>
      <c r="AA63">
        <f>HYPERLINK("https://klasma.github.io/Logging_0483/tillsyn/A 53750-2022 tillsynsbegäran.docx", "A 53750-2022")</f>
        <v/>
      </c>
      <c r="AB63">
        <f>HYPERLINK("https://klasma.github.io/Logging_0483/tillsynsmail/A 53750-2022 tillsynsbegäran mail.docx", "A 53750-2022")</f>
        <v/>
      </c>
    </row>
    <row r="64" ht="15" customHeight="1">
      <c r="A64" t="inlineStr">
        <is>
          <t>A 3980-2024</t>
        </is>
      </c>
      <c r="B64" t="inlineStr">
        <is>
          <t>avverkningsanmälan</t>
        </is>
      </c>
      <c r="C64" t="inlineStr">
        <is>
          <t>Föryngringsavverkning</t>
        </is>
      </c>
      <c r="D64" s="1" t="n">
        <v>45322</v>
      </c>
      <c r="E64" s="1" t="n">
        <v>46220</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s="2" t="inlineStr">
        <is>
          <t>Orange taggsvamp</t>
        </is>
      </c>
      <c r="V64">
        <f>HYPERLINK("https://klasma.github.io/Logging_0483/artfynd/A 3980-2024 artfynd.xlsx", "A 3980-2024")</f>
        <v/>
      </c>
      <c r="W64">
        <f>HYPERLINK("https://klasma.github.io/Logging_0483/kartor/A 3980-2024 karta.png", "A 3980-2024")</f>
        <v/>
      </c>
      <c r="Y64">
        <f>HYPERLINK("https://klasma.github.io/Logging_0483/klagomål/A 3980-2024 FSC-klagomål.docx", "A 3980-2024")</f>
        <v/>
      </c>
      <c r="Z64">
        <f>HYPERLINK("https://klasma.github.io/Logging_0483/klagomålsmail/A 3980-2024 FSC-klagomål mail.docx", "A 3980-2024")</f>
        <v/>
      </c>
      <c r="AA64">
        <f>HYPERLINK("https://klasma.github.io/Logging_0483/tillsyn/A 3980-2024 tillsynsbegäran.docx", "A 3980-2024")</f>
        <v/>
      </c>
      <c r="AB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46220</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s="2" t="inlineStr">
        <is>
          <t>Blåsippa</t>
        </is>
      </c>
      <c r="V65">
        <f>HYPERLINK("https://klasma.github.io/Logging_0483/artfynd/A 33801-2023 artfynd.xlsx", "A 33801-2023")</f>
        <v/>
      </c>
      <c r="W65">
        <f>HYPERLINK("https://klasma.github.io/Logging_0483/kartor/A 33801-2023 karta.png", "A 33801-2023")</f>
        <v/>
      </c>
      <c r="Y65">
        <f>HYPERLINK("https://klasma.github.io/Logging_0483/klagomål/A 33801-2023 FSC-klagomål.docx", "A 33801-2023")</f>
        <v/>
      </c>
      <c r="Z65">
        <f>HYPERLINK("https://klasma.github.io/Logging_0483/klagomålsmail/A 33801-2023 FSC-klagomål mail.docx", "A 33801-2023")</f>
        <v/>
      </c>
      <c r="AA65">
        <f>HYPERLINK("https://klasma.github.io/Logging_0483/tillsyn/A 33801-2023 tillsynsbegäran.docx", "A 33801-2023")</f>
        <v/>
      </c>
      <c r="AB65">
        <f>HYPERLINK("https://klasma.github.io/Logging_0483/tillsynsmail/A 33801-2023 tillsynsbegäran mail.docx", "A 33801-2023")</f>
        <v/>
      </c>
    </row>
    <row r="66" ht="15" customHeight="1">
      <c r="A66" t="inlineStr">
        <is>
          <t>A 48253-2022</t>
        </is>
      </c>
      <c r="B66" t="inlineStr">
        <is>
          <t>avverkningsanmälan</t>
        </is>
      </c>
      <c r="C66" t="inlineStr">
        <is>
          <t>Föryngringsavverkning</t>
        </is>
      </c>
      <c r="D66" s="1" t="n">
        <v>44858</v>
      </c>
      <c r="E66" s="1" t="n">
        <v>46220</v>
      </c>
      <c r="F66" t="inlineStr">
        <is>
          <t>SÖDERMANLANDS LÄN</t>
        </is>
      </c>
      <c r="G66" t="inlineStr">
        <is>
          <t>KATRINEHOLM</t>
        </is>
      </c>
      <c r="I66" t="n">
        <v>4.7</v>
      </c>
      <c r="J66" t="n">
        <v>1</v>
      </c>
      <c r="K66" t="n">
        <v>0</v>
      </c>
      <c r="L66" t="n">
        <v>0</v>
      </c>
      <c r="M66" t="n">
        <v>0</v>
      </c>
      <c r="N66" t="n">
        <v>0</v>
      </c>
      <c r="O66" t="n">
        <v>0</v>
      </c>
      <c r="P66" t="n">
        <v>0</v>
      </c>
      <c r="Q66" t="n">
        <v>0</v>
      </c>
      <c r="R66" t="n">
        <v>0</v>
      </c>
      <c r="S66" t="n">
        <v>1</v>
      </c>
      <c r="T66" t="n">
        <v>1</v>
      </c>
      <c r="U66" s="2" t="inlineStr">
        <is>
          <t>Spillkråka</t>
        </is>
      </c>
      <c r="V66">
        <f>HYPERLINK("https://klasma.github.io/Logging_0483/artfynd/A 48253-2022 artfynd.xlsx", "A 48253-2022")</f>
        <v/>
      </c>
      <c r="W66">
        <f>HYPERLINK("https://klasma.github.io/Logging_0483/kartor/A 48253-2022 karta.png", "A 48253-2022")</f>
        <v/>
      </c>
      <c r="Y66">
        <f>HYPERLINK("https://klasma.github.io/Logging_0483/klagomål/A 48253-2022 FSC-klagomål.docx", "A 48253-2022")</f>
        <v/>
      </c>
      <c r="Z66">
        <f>HYPERLINK("https://klasma.github.io/Logging_0483/klagomålsmail/A 48253-2022 FSC-klagomål mail.docx", "A 48253-2022")</f>
        <v/>
      </c>
      <c r="AA66">
        <f>HYPERLINK("https://klasma.github.io/Logging_0483/tillsyn/A 48253-2022 tillsynsbegäran.docx", "A 48253-2022")</f>
        <v/>
      </c>
      <c r="AB66">
        <f>HYPERLINK("https://klasma.github.io/Logging_0483/tillsynsmail/A 48253-2022 tillsynsbegäran mail.docx", "A 48253-2022")</f>
        <v/>
      </c>
      <c r="AC66">
        <f>HYPERLINK("https://klasma.github.io/Logging_0483/fåglar/A 48253-2022 prioriterade fågelarter.docx", "A 48253-2022")</f>
        <v/>
      </c>
    </row>
    <row r="67" ht="15" customHeight="1">
      <c r="A67" t="inlineStr">
        <is>
          <t>A 63945-2025</t>
        </is>
      </c>
      <c r="B67" t="inlineStr">
        <is>
          <t>avverkningsanmälan</t>
        </is>
      </c>
      <c r="C67" t="inlineStr">
        <is>
          <t>Föryngringsavverkning</t>
        </is>
      </c>
      <c r="D67" s="1" t="n">
        <v>46010</v>
      </c>
      <c r="E67" s="1" t="n">
        <v>46220</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s="2" t="inlineStr">
        <is>
          <t>Tjäder</t>
        </is>
      </c>
      <c r="V67">
        <f>HYPERLINK("https://klasma.github.io/Logging_0483/artfynd/A 63945-2025 artfynd.xlsx", "A 63945-2025")</f>
        <v/>
      </c>
      <c r="W67">
        <f>HYPERLINK("https://klasma.github.io/Logging_0483/kartor/A 63945-2025 karta.png", "A 63945-2025")</f>
        <v/>
      </c>
      <c r="Y67">
        <f>HYPERLINK("https://klasma.github.io/Logging_0483/klagomål/A 63945-2025 FSC-klagomål.docx", "A 63945-2025")</f>
        <v/>
      </c>
      <c r="Z67">
        <f>HYPERLINK("https://klasma.github.io/Logging_0483/klagomålsmail/A 63945-2025 FSC-klagomål mail.docx", "A 63945-2025")</f>
        <v/>
      </c>
      <c r="AA67">
        <f>HYPERLINK("https://klasma.github.io/Logging_0483/tillsyn/A 63945-2025 tillsynsbegäran.docx", "A 63945-2025")</f>
        <v/>
      </c>
      <c r="AB67">
        <f>HYPERLINK("https://klasma.github.io/Logging_0483/tillsynsmail/A 63945-2025 tillsynsbegäran mail.docx", "A 63945-2025")</f>
        <v/>
      </c>
      <c r="AC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46220</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s="2" t="inlineStr">
        <is>
          <t>Utter</t>
        </is>
      </c>
      <c r="V68">
        <f>HYPERLINK("https://klasma.github.io/Logging_0483/artfynd/A 62957-2025 artfynd.xlsx", "A 62957-2025")</f>
        <v/>
      </c>
      <c r="W68">
        <f>HYPERLINK("https://klasma.github.io/Logging_0483/kartor/A 62957-2025 karta.png", "A 62957-2025")</f>
        <v/>
      </c>
      <c r="Y68">
        <f>HYPERLINK("https://klasma.github.io/Logging_0483/klagomål/A 62957-2025 FSC-klagomål.docx", "A 62957-2025")</f>
        <v/>
      </c>
      <c r="Z68">
        <f>HYPERLINK("https://klasma.github.io/Logging_0483/klagomålsmail/A 62957-2025 FSC-klagomål mail.docx", "A 62957-2025")</f>
        <v/>
      </c>
      <c r="AA68">
        <f>HYPERLINK("https://klasma.github.io/Logging_0483/tillsyn/A 62957-2025 tillsynsbegäran.docx", "A 62957-2025")</f>
        <v/>
      </c>
      <c r="AB68">
        <f>HYPERLINK("https://klasma.github.io/Logging_0483/tillsynsmail/A 62957-2025 tillsynsbegäran mail.docx", "A 62957-2025")</f>
        <v/>
      </c>
    </row>
    <row r="69" ht="15" customHeight="1">
      <c r="A69" t="inlineStr">
        <is>
          <t>A 44413-2024</t>
        </is>
      </c>
      <c r="B69" t="inlineStr">
        <is>
          <t>avverkningsanmälan</t>
        </is>
      </c>
      <c r="C69" t="inlineStr">
        <is>
          <t>Föryngringsavverkning</t>
        </is>
      </c>
      <c r="D69" s="1" t="n">
        <v>45573</v>
      </c>
      <c r="E69" s="1" t="n">
        <v>46220</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s="2" t="inlineStr">
        <is>
          <t>Knärot</t>
        </is>
      </c>
      <c r="V69">
        <f>HYPERLINK("https://klasma.github.io/Logging_0483/artfynd/A 44413-2024 artfynd.xlsx", "A 44413-2024")</f>
        <v/>
      </c>
      <c r="W69">
        <f>HYPERLINK("https://klasma.github.io/Logging_0483/kartor/A 44413-2024 karta.png", "A 44413-2024")</f>
        <v/>
      </c>
      <c r="X69">
        <f>HYPERLINK("https://klasma.github.io/Logging_0483/knärot/A 44413-2024 karta knärot.png", "A 44413-2024")</f>
        <v/>
      </c>
      <c r="Y69">
        <f>HYPERLINK("https://klasma.github.io/Logging_0483/klagomål/A 44413-2024 FSC-klagomål.docx", "A 44413-2024")</f>
        <v/>
      </c>
      <c r="Z69">
        <f>HYPERLINK("https://klasma.github.io/Logging_0483/klagomålsmail/A 44413-2024 FSC-klagomål mail.docx", "A 44413-2024")</f>
        <v/>
      </c>
      <c r="AA69">
        <f>HYPERLINK("https://klasma.github.io/Logging_0483/tillsyn/A 44413-2024 tillsynsbegäran.docx", "A 44413-2024")</f>
        <v/>
      </c>
      <c r="AB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46220</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s="2" t="inlineStr">
        <is>
          <t>Blåsippa</t>
        </is>
      </c>
      <c r="V70">
        <f>HYPERLINK("https://klasma.github.io/Logging_0483/artfynd/A 57519-2021 artfynd.xlsx", "A 57519-2021")</f>
        <v/>
      </c>
      <c r="W70">
        <f>HYPERLINK("https://klasma.github.io/Logging_0483/kartor/A 57519-2021 karta.png", "A 57519-2021")</f>
        <v/>
      </c>
      <c r="Y70">
        <f>HYPERLINK("https://klasma.github.io/Logging_0483/klagomål/A 57519-2021 FSC-klagomål.docx", "A 57519-2021")</f>
        <v/>
      </c>
      <c r="Z70">
        <f>HYPERLINK("https://klasma.github.io/Logging_0483/klagomålsmail/A 57519-2021 FSC-klagomål mail.docx", "A 57519-2021")</f>
        <v/>
      </c>
      <c r="AA70">
        <f>HYPERLINK("https://klasma.github.io/Logging_0483/tillsyn/A 57519-2021 tillsynsbegäran.docx", "A 57519-2021")</f>
        <v/>
      </c>
      <c r="AB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46220</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s="2" t="inlineStr">
        <is>
          <t>Gröngöling</t>
        </is>
      </c>
      <c r="V71">
        <f>HYPERLINK("https://klasma.github.io/Logging_0483/artfynd/A 64713-2023 artfynd.xlsx", "A 64713-2023")</f>
        <v/>
      </c>
      <c r="W71">
        <f>HYPERLINK("https://klasma.github.io/Logging_0483/kartor/A 64713-2023 karta.png", "A 64713-2023")</f>
        <v/>
      </c>
      <c r="Y71">
        <f>HYPERLINK("https://klasma.github.io/Logging_0483/klagomål/A 64713-2023 FSC-klagomål.docx", "A 64713-2023")</f>
        <v/>
      </c>
      <c r="Z71">
        <f>HYPERLINK("https://klasma.github.io/Logging_0483/klagomålsmail/A 64713-2023 FSC-klagomål mail.docx", "A 64713-2023")</f>
        <v/>
      </c>
      <c r="AA71">
        <f>HYPERLINK("https://klasma.github.io/Logging_0483/tillsyn/A 64713-2023 tillsynsbegäran.docx", "A 64713-2023")</f>
        <v/>
      </c>
      <c r="AB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46220</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s="2" t="inlineStr">
        <is>
          <t>Svedjenäva</t>
        </is>
      </c>
      <c r="V72">
        <f>HYPERLINK("https://klasma.github.io/Logging_0483/artfynd/A 44486-2023 artfynd.xlsx", "A 44486-2023")</f>
        <v/>
      </c>
      <c r="W72">
        <f>HYPERLINK("https://klasma.github.io/Logging_0483/kartor/A 44486-2023 karta.png", "A 44486-2023")</f>
        <v/>
      </c>
      <c r="Y72">
        <f>HYPERLINK("https://klasma.github.io/Logging_0483/klagomål/A 44486-2023 FSC-klagomål.docx", "A 44486-2023")</f>
        <v/>
      </c>
      <c r="Z72">
        <f>HYPERLINK("https://klasma.github.io/Logging_0483/klagomålsmail/A 44486-2023 FSC-klagomål mail.docx", "A 44486-2023")</f>
        <v/>
      </c>
      <c r="AA72">
        <f>HYPERLINK("https://klasma.github.io/Logging_0483/tillsyn/A 44486-2023 tillsynsbegäran.docx", "A 44486-2023")</f>
        <v/>
      </c>
      <c r="AB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46220</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s="2" t="inlineStr">
        <is>
          <t>Igelkott</t>
        </is>
      </c>
      <c r="V73">
        <f>HYPERLINK("https://klasma.github.io/Logging_0483/artfynd/A 13113-2023 artfynd.xlsx", "A 13113-2023")</f>
        <v/>
      </c>
      <c r="W73">
        <f>HYPERLINK("https://klasma.github.io/Logging_0483/kartor/A 13113-2023 karta.png", "A 13113-2023")</f>
        <v/>
      </c>
      <c r="Y73">
        <f>HYPERLINK("https://klasma.github.io/Logging_0483/klagomål/A 13113-2023 FSC-klagomål.docx", "A 13113-2023")</f>
        <v/>
      </c>
      <c r="Z73">
        <f>HYPERLINK("https://klasma.github.io/Logging_0483/klagomålsmail/A 13113-2023 FSC-klagomål mail.docx", "A 13113-2023")</f>
        <v/>
      </c>
      <c r="AA73">
        <f>HYPERLINK("https://klasma.github.io/Logging_0483/tillsyn/A 13113-2023 tillsynsbegäran.docx", "A 13113-2023")</f>
        <v/>
      </c>
      <c r="AB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46220</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s="2" t="inlineStr">
        <is>
          <t>Svart trolldruva</t>
        </is>
      </c>
      <c r="V74">
        <f>HYPERLINK("https://klasma.github.io/Logging_0483/artfynd/A 6076-2022 artfynd.xlsx", "A 6076-2022")</f>
        <v/>
      </c>
      <c r="W74">
        <f>HYPERLINK("https://klasma.github.io/Logging_0483/kartor/A 6076-2022 karta.png", "A 6076-2022")</f>
        <v/>
      </c>
      <c r="Y74">
        <f>HYPERLINK("https://klasma.github.io/Logging_0483/klagomål/A 6076-2022 FSC-klagomål.docx", "A 6076-2022")</f>
        <v/>
      </c>
      <c r="Z74">
        <f>HYPERLINK("https://klasma.github.io/Logging_0483/klagomålsmail/A 6076-2022 FSC-klagomål mail.docx", "A 6076-2022")</f>
        <v/>
      </c>
      <c r="AA74">
        <f>HYPERLINK("https://klasma.github.io/Logging_0483/tillsyn/A 6076-2022 tillsynsbegäran.docx", "A 6076-2022")</f>
        <v/>
      </c>
      <c r="AB74">
        <f>HYPERLINK("https://klasma.github.io/Logging_0483/tillsynsmail/A 6076-2022 tillsynsbegäran mail.docx", "A 6076-2022")</f>
        <v/>
      </c>
    </row>
    <row r="75" ht="15" customHeight="1">
      <c r="A75" t="inlineStr">
        <is>
          <t>A 23341-2023</t>
        </is>
      </c>
      <c r="B75" t="inlineStr">
        <is>
          <t>avverkningsanmälan</t>
        </is>
      </c>
      <c r="C75" t="inlineStr">
        <is>
          <t>Föryngringsavverkning</t>
        </is>
      </c>
      <c r="D75" s="1" t="n">
        <v>45076</v>
      </c>
      <c r="E75" s="1" t="n">
        <v>46220</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s="2" t="inlineStr">
        <is>
          <t>Grönpyrola</t>
        </is>
      </c>
      <c r="V75">
        <f>HYPERLINK("https://klasma.github.io/Logging_0483/artfynd/A 23341-2023 artfynd.xlsx", "A 23341-2023")</f>
        <v/>
      </c>
      <c r="W75">
        <f>HYPERLINK("https://klasma.github.io/Logging_0483/kartor/A 23341-2023 karta.png", "A 23341-2023")</f>
        <v/>
      </c>
      <c r="Y75">
        <f>HYPERLINK("https://klasma.github.io/Logging_0483/klagomål/A 23341-2023 FSC-klagomål.docx", "A 23341-2023")</f>
        <v/>
      </c>
      <c r="Z75">
        <f>HYPERLINK("https://klasma.github.io/Logging_0483/klagomålsmail/A 23341-2023 FSC-klagomål mail.docx", "A 23341-2023")</f>
        <v/>
      </c>
      <c r="AA75">
        <f>HYPERLINK("https://klasma.github.io/Logging_0483/tillsyn/A 23341-2023 tillsynsbegäran.docx", "A 23341-2023")</f>
        <v/>
      </c>
      <c r="AB75">
        <f>HYPERLINK("https://klasma.github.io/Logging_0483/tillsynsmail/A 23341-2023 tillsynsbegäran mail.docx", "A 23341-2023")</f>
        <v/>
      </c>
    </row>
    <row r="76" ht="15" customHeight="1">
      <c r="A76" t="inlineStr">
        <is>
          <t>A 26491-2026</t>
        </is>
      </c>
      <c r="B76" t="inlineStr">
        <is>
          <t>avverkningsanmälan</t>
        </is>
      </c>
      <c r="C76" t="inlineStr">
        <is>
          <t>Föryngringsavverkning</t>
        </is>
      </c>
      <c r="D76" s="1" t="n">
        <v>46183</v>
      </c>
      <c r="E76" s="1" t="n">
        <v>46220</v>
      </c>
      <c r="F76" t="inlineStr">
        <is>
          <t>SÖDERMANLANDS LÄN</t>
        </is>
      </c>
      <c r="G76" t="inlineStr">
        <is>
          <t>KATRINEHOLM</t>
        </is>
      </c>
      <c r="I76" t="n">
        <v>6.5</v>
      </c>
      <c r="J76" t="n">
        <v>0</v>
      </c>
      <c r="K76" t="n">
        <v>0</v>
      </c>
      <c r="L76" t="n">
        <v>1</v>
      </c>
      <c r="M76" t="n">
        <v>0</v>
      </c>
      <c r="N76" t="n">
        <v>0</v>
      </c>
      <c r="O76" t="n">
        <v>0</v>
      </c>
      <c r="P76" t="n">
        <v>0</v>
      </c>
      <c r="Q76" t="n">
        <v>1</v>
      </c>
      <c r="R76" t="n">
        <v>0</v>
      </c>
      <c r="S76" t="n">
        <v>1</v>
      </c>
      <c r="T76" t="n">
        <v>1</v>
      </c>
      <c r="U76" s="2" t="inlineStr">
        <is>
          <t>Jungfrulinspraktmal</t>
        </is>
      </c>
      <c r="V76">
        <f>HYPERLINK("https://klasma.github.io/Logging_0483/artfynd/A 26491-2026 artfynd.xlsx", "A 26491-2026")</f>
        <v/>
      </c>
      <c r="W76">
        <f>HYPERLINK("https://klasma.github.io/Logging_0483/kartor/A 26491-2026 karta.png", "A 26491-2026")</f>
        <v/>
      </c>
      <c r="Y76">
        <f>HYPERLINK("https://klasma.github.io/Logging_0483/klagomål/A 26491-2026 FSC-klagomål.docx", "A 26491-2026")</f>
        <v/>
      </c>
      <c r="Z76">
        <f>HYPERLINK("https://klasma.github.io/Logging_0483/klagomålsmail/A 26491-2026 FSC-klagomål mail.docx", "A 26491-2026")</f>
        <v/>
      </c>
      <c r="AA76">
        <f>HYPERLINK("https://klasma.github.io/Logging_0483/tillsyn/A 26491-2026 tillsynsbegäran.docx", "A 26491-2026")</f>
        <v/>
      </c>
      <c r="AB76">
        <f>HYPERLINK("https://klasma.github.io/Logging_0483/tillsynsmail/A 26491-2026 tillsynsbegäran mail.docx", "A 26491-2026")</f>
        <v/>
      </c>
    </row>
    <row r="77" ht="15" customHeight="1">
      <c r="A77" t="inlineStr">
        <is>
          <t>A 36220-2022</t>
        </is>
      </c>
      <c r="B77" t="inlineStr">
        <is>
          <t>avverkningsanmälan</t>
        </is>
      </c>
      <c r="C77" t="inlineStr">
        <is>
          <t>Föryngringsavverkning</t>
        </is>
      </c>
      <c r="D77" s="1" t="n">
        <v>44803</v>
      </c>
      <c r="E77" s="1" t="n">
        <v>46220</v>
      </c>
      <c r="F77" t="inlineStr">
        <is>
          <t>SÖDERMANLANDS LÄN</t>
        </is>
      </c>
      <c r="G77" t="inlineStr">
        <is>
          <t>KATRINEHOLM</t>
        </is>
      </c>
      <c r="I77" t="n">
        <v>3.1</v>
      </c>
      <c r="J77" t="n">
        <v>0</v>
      </c>
      <c r="K77" t="n">
        <v>1</v>
      </c>
      <c r="L77" t="n">
        <v>0</v>
      </c>
      <c r="M77" t="n">
        <v>0</v>
      </c>
      <c r="N77" t="n">
        <v>0</v>
      </c>
      <c r="O77" t="n">
        <v>0</v>
      </c>
      <c r="P77" t="n">
        <v>0</v>
      </c>
      <c r="Q77" t="n">
        <v>0</v>
      </c>
      <c r="R77" t="n">
        <v>0</v>
      </c>
      <c r="S77" t="n">
        <v>1</v>
      </c>
      <c r="T77" t="n">
        <v>1</v>
      </c>
      <c r="U77" s="2" t="inlineStr">
        <is>
          <t>Granbräken</t>
        </is>
      </c>
      <c r="V77">
        <f>HYPERLINK("https://klasma.github.io/Logging_0483/artfynd/A 36220-2022 artfynd.xlsx", "A 36220-2022")</f>
        <v/>
      </c>
      <c r="W77">
        <f>HYPERLINK("https://klasma.github.io/Logging_0483/kartor/A 36220-2022 karta.png", "A 36220-2022")</f>
        <v/>
      </c>
      <c r="Y77">
        <f>HYPERLINK("https://klasma.github.io/Logging_0483/klagomål/A 36220-2022 FSC-klagomål.docx", "A 36220-2022")</f>
        <v/>
      </c>
      <c r="Z77">
        <f>HYPERLINK("https://klasma.github.io/Logging_0483/klagomålsmail/A 36220-2022 FSC-klagomål mail.docx", "A 36220-2022")</f>
        <v/>
      </c>
      <c r="AA77">
        <f>HYPERLINK("https://klasma.github.io/Logging_0483/tillsyn/A 36220-2022 tillsynsbegäran.docx", "A 36220-2022")</f>
        <v/>
      </c>
      <c r="AB77">
        <f>HYPERLINK("https://klasma.github.io/Logging_0483/tillsynsmail/A 36220-2022 tillsynsbegäran mail.docx", "A 36220-2022")</f>
        <v/>
      </c>
    </row>
    <row r="78" ht="15" customHeight="1">
      <c r="A78" t="inlineStr">
        <is>
          <t>A 27376-2024</t>
        </is>
      </c>
      <c r="B78" t="inlineStr">
        <is>
          <t>avverkningsanmälan</t>
        </is>
      </c>
      <c r="C78" t="inlineStr">
        <is>
          <t>Föryngringsavverkning</t>
        </is>
      </c>
      <c r="D78" s="1" t="n">
        <v>45473</v>
      </c>
      <c r="E78" s="1" t="n">
        <v>46220</v>
      </c>
      <c r="F78" t="inlineStr">
        <is>
          <t>SÖDERMANLANDS LÄN</t>
        </is>
      </c>
      <c r="G78" t="inlineStr">
        <is>
          <t>KATRINEHOLM</t>
        </is>
      </c>
      <c r="H78" t="inlineStr">
        <is>
          <t>Kommuner</t>
        </is>
      </c>
      <c r="I78" t="n">
        <v>2.8</v>
      </c>
      <c r="J78" t="n">
        <v>1</v>
      </c>
      <c r="K78" t="n">
        <v>0</v>
      </c>
      <c r="L78" t="n">
        <v>0</v>
      </c>
      <c r="M78" t="n">
        <v>0</v>
      </c>
      <c r="N78" t="n">
        <v>1</v>
      </c>
      <c r="O78" t="n">
        <v>0</v>
      </c>
      <c r="P78" t="n">
        <v>0</v>
      </c>
      <c r="Q78" t="n">
        <v>1</v>
      </c>
      <c r="R78" t="n">
        <v>1</v>
      </c>
      <c r="S78" t="n">
        <v>1</v>
      </c>
      <c r="T78" t="n">
        <v>1</v>
      </c>
      <c r="U78" s="2" t="inlineStr">
        <is>
          <t>Bombmurkla</t>
        </is>
      </c>
      <c r="V78">
        <f>HYPERLINK("https://klasma.github.io/Logging_0483/artfynd/A 27376-2024 artfynd.xlsx", "A 27376-2024")</f>
        <v/>
      </c>
      <c r="W78">
        <f>HYPERLINK("https://klasma.github.io/Logging_0483/kartor/A 27376-2024 karta.png", "A 27376-2024")</f>
        <v/>
      </c>
      <c r="Y78">
        <f>HYPERLINK("https://klasma.github.io/Logging_0483/klagomål/A 27376-2024 FSC-klagomål.docx", "A 27376-2024")</f>
        <v/>
      </c>
      <c r="Z78">
        <f>HYPERLINK("https://klasma.github.io/Logging_0483/klagomålsmail/A 27376-2024 FSC-klagomål mail.docx", "A 27376-2024")</f>
        <v/>
      </c>
      <c r="AA78">
        <f>HYPERLINK("https://klasma.github.io/Logging_0483/tillsyn/A 27376-2024 tillsynsbegäran.docx", "A 27376-2024")</f>
        <v/>
      </c>
      <c r="AB78">
        <f>HYPERLINK("https://klasma.github.io/Logging_0483/tillsynsmail/A 27376-2024 tillsynsbegäran mail.docx", "A 27376-2024")</f>
        <v/>
      </c>
    </row>
    <row r="79" ht="15" customHeight="1">
      <c r="A79" t="inlineStr">
        <is>
          <t>A 51848-2022</t>
        </is>
      </c>
      <c r="B79" t="inlineStr">
        <is>
          <t>avverkningsanmälan</t>
        </is>
      </c>
      <c r="C79" t="inlineStr">
        <is>
          <t>Föryngringsavverkning</t>
        </is>
      </c>
      <c r="D79" s="1" t="n">
        <v>44872</v>
      </c>
      <c r="E79" s="1" t="n">
        <v>46220</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s="2" t="inlineStr">
        <is>
          <t>Svinrot</t>
        </is>
      </c>
      <c r="V79">
        <f>HYPERLINK("https://klasma.github.io/Logging_0483/artfynd/A 51848-2022 artfynd.xlsx", "A 51848-2022")</f>
        <v/>
      </c>
      <c r="W79">
        <f>HYPERLINK("https://klasma.github.io/Logging_0483/kartor/A 51848-2022 karta.png", "A 51848-2022")</f>
        <v/>
      </c>
      <c r="Y79">
        <f>HYPERLINK("https://klasma.github.io/Logging_0483/klagomål/A 51848-2022 FSC-klagomål.docx", "A 51848-2022")</f>
        <v/>
      </c>
      <c r="Z79">
        <f>HYPERLINK("https://klasma.github.io/Logging_0483/klagomålsmail/A 51848-2022 FSC-klagomål mail.docx", "A 51848-2022")</f>
        <v/>
      </c>
      <c r="AA79">
        <f>HYPERLINK("https://klasma.github.io/Logging_0483/tillsyn/A 51848-2022 tillsynsbegäran.docx", "A 51848-2022")</f>
        <v/>
      </c>
      <c r="AB79">
        <f>HYPERLINK("https://klasma.github.io/Logging_0483/tillsynsmail/A 51848-2022 tillsynsbegäran mail.docx", "A 51848-2022")</f>
        <v/>
      </c>
    </row>
    <row r="80" ht="15" customHeight="1">
      <c r="A80" t="inlineStr">
        <is>
          <t>A 23077-2026</t>
        </is>
      </c>
      <c r="B80" t="inlineStr">
        <is>
          <t>avverkningsanmälan</t>
        </is>
      </c>
      <c r="C80" t="inlineStr">
        <is>
          <t>Föryngringsavverkning</t>
        </is>
      </c>
      <c r="D80" s="1" t="n">
        <v>46161</v>
      </c>
      <c r="E80" s="1" t="n">
        <v>46220</v>
      </c>
      <c r="F80" t="inlineStr">
        <is>
          <t>SÖDERMANLANDS LÄN</t>
        </is>
      </c>
      <c r="G80" t="inlineStr">
        <is>
          <t>KATRINEHOLM</t>
        </is>
      </c>
      <c r="H80" t="inlineStr">
        <is>
          <t>Kommuner</t>
        </is>
      </c>
      <c r="I80" t="n">
        <v>1.3</v>
      </c>
      <c r="J80" t="n">
        <v>0</v>
      </c>
      <c r="K80" t="n">
        <v>0</v>
      </c>
      <c r="L80" t="n">
        <v>1</v>
      </c>
      <c r="M80" t="n">
        <v>0</v>
      </c>
      <c r="N80" t="n">
        <v>0</v>
      </c>
      <c r="O80" t="n">
        <v>0</v>
      </c>
      <c r="P80" t="n">
        <v>0</v>
      </c>
      <c r="Q80" t="n">
        <v>1</v>
      </c>
      <c r="R80" t="n">
        <v>0</v>
      </c>
      <c r="S80" t="n">
        <v>1</v>
      </c>
      <c r="T80" t="n">
        <v>1</v>
      </c>
      <c r="U80" s="2" t="inlineStr">
        <is>
          <t>Svart skogssnigel</t>
        </is>
      </c>
      <c r="V80">
        <f>HYPERLINK("https://klasma.github.io/Logging_0483/artfynd/A 23077-2026 artfynd.xlsx", "A 23077-2026")</f>
        <v/>
      </c>
      <c r="W80">
        <f>HYPERLINK("https://klasma.github.io/Logging_0483/kartor/A 23077-2026 karta.png", "A 23077-2026")</f>
        <v/>
      </c>
      <c r="Y80">
        <f>HYPERLINK("https://klasma.github.io/Logging_0483/klagomål/A 23077-2026 FSC-klagomål.docx", "A 23077-2026")</f>
        <v/>
      </c>
      <c r="Z80">
        <f>HYPERLINK("https://klasma.github.io/Logging_0483/klagomålsmail/A 23077-2026 FSC-klagomål mail.docx", "A 23077-2026")</f>
        <v/>
      </c>
      <c r="AA80">
        <f>HYPERLINK("https://klasma.github.io/Logging_0483/tillsyn/A 23077-2026 tillsynsbegäran.docx", "A 23077-2026")</f>
        <v/>
      </c>
      <c r="AB80">
        <f>HYPERLINK("https://klasma.github.io/Logging_0483/tillsynsmail/A 23077-2026 tillsynsbegäran mail.docx", "A 23077-2026")</f>
        <v/>
      </c>
    </row>
    <row r="81" ht="15" customHeight="1">
      <c r="A81" t="inlineStr">
        <is>
          <t>A 56074-2022</t>
        </is>
      </c>
      <c r="B81" t="inlineStr">
        <is>
          <t>avverkningsanmälan</t>
        </is>
      </c>
      <c r="C81" t="inlineStr">
        <is>
          <t>Föryngringsavverkning</t>
        </is>
      </c>
      <c r="D81" s="1" t="n">
        <v>44889</v>
      </c>
      <c r="E81" s="1" t="n">
        <v>46220</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s="2" t="inlineStr">
        <is>
          <t>Revlummer</t>
        </is>
      </c>
      <c r="V81">
        <f>HYPERLINK("https://klasma.github.io/Logging_0483/artfynd/A 56074-2022 artfynd.xlsx", "A 56074-2022")</f>
        <v/>
      </c>
      <c r="W81">
        <f>HYPERLINK("https://klasma.github.io/Logging_0483/kartor/A 56074-2022 karta.png", "A 56074-2022")</f>
        <v/>
      </c>
      <c r="Y81">
        <f>HYPERLINK("https://klasma.github.io/Logging_0483/klagomål/A 56074-2022 FSC-klagomål.docx", "A 56074-2022")</f>
        <v/>
      </c>
      <c r="Z81">
        <f>HYPERLINK("https://klasma.github.io/Logging_0483/klagomålsmail/A 56074-2022 FSC-klagomål mail.docx", "A 56074-2022")</f>
        <v/>
      </c>
      <c r="AA81">
        <f>HYPERLINK("https://klasma.github.io/Logging_0483/tillsyn/A 56074-2022 tillsynsbegäran.docx", "A 56074-2022")</f>
        <v/>
      </c>
      <c r="AB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46220</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s="2" t="inlineStr">
        <is>
          <t>Kungsfågel</t>
        </is>
      </c>
      <c r="V82">
        <f>HYPERLINK("https://klasma.github.io/Logging_0483/artfynd/A 52658-2023 artfynd.xlsx", "A 52658-2023")</f>
        <v/>
      </c>
      <c r="W82">
        <f>HYPERLINK("https://klasma.github.io/Logging_0483/kartor/A 52658-2023 karta.png", "A 52658-2023")</f>
        <v/>
      </c>
      <c r="Y82">
        <f>HYPERLINK("https://klasma.github.io/Logging_0483/klagomål/A 52658-2023 FSC-klagomål.docx", "A 52658-2023")</f>
        <v/>
      </c>
      <c r="Z82">
        <f>HYPERLINK("https://klasma.github.io/Logging_0483/klagomålsmail/A 52658-2023 FSC-klagomål mail.docx", "A 52658-2023")</f>
        <v/>
      </c>
      <c r="AA82">
        <f>HYPERLINK("https://klasma.github.io/Logging_0483/tillsyn/A 52658-2023 tillsynsbegäran.docx", "A 52658-2023")</f>
        <v/>
      </c>
      <c r="AB82">
        <f>HYPERLINK("https://klasma.github.io/Logging_0483/tillsynsmail/A 52658-2023 tillsynsbegäran mail.docx", "A 52658-2023")</f>
        <v/>
      </c>
    </row>
    <row r="83" ht="15" customHeight="1">
      <c r="A83" t="inlineStr">
        <is>
          <t>A 13848-2026</t>
        </is>
      </c>
      <c r="B83" t="inlineStr">
        <is>
          <t>avverkningsanmälan</t>
        </is>
      </c>
      <c r="C83" t="inlineStr">
        <is>
          <t>Föryngringsavverkning</t>
        </is>
      </c>
      <c r="D83" s="1" t="n">
        <v>46098</v>
      </c>
      <c r="E83" s="1" t="n">
        <v>46220</v>
      </c>
      <c r="F83" t="inlineStr">
        <is>
          <t>SÖDERMANLANDS LÄN</t>
        </is>
      </c>
      <c r="G83" t="inlineStr">
        <is>
          <t>KATRINEHOLM</t>
        </is>
      </c>
      <c r="I83" t="n">
        <v>3.1</v>
      </c>
      <c r="J83" t="n">
        <v>1</v>
      </c>
      <c r="K83" t="n">
        <v>0</v>
      </c>
      <c r="L83" t="n">
        <v>0</v>
      </c>
      <c r="M83" t="n">
        <v>0</v>
      </c>
      <c r="N83" t="n">
        <v>0</v>
      </c>
      <c r="O83" t="n">
        <v>0</v>
      </c>
      <c r="P83" t="n">
        <v>0</v>
      </c>
      <c r="Q83" t="n">
        <v>0</v>
      </c>
      <c r="R83" t="n">
        <v>0</v>
      </c>
      <c r="S83" t="n">
        <v>1</v>
      </c>
      <c r="T83" t="n">
        <v>1</v>
      </c>
      <c r="U83" s="2" t="inlineStr">
        <is>
          <t>Gröngöling</t>
        </is>
      </c>
      <c r="V83">
        <f>HYPERLINK("https://klasma.github.io/Logging_0483/artfynd/A 13848-2026 artfynd.xlsx", "A 13848-2026")</f>
        <v/>
      </c>
      <c r="W83">
        <f>HYPERLINK("https://klasma.github.io/Logging_0483/kartor/A 13848-2026 karta.png", "A 13848-2026")</f>
        <v/>
      </c>
      <c r="Y83">
        <f>HYPERLINK("https://klasma.github.io/Logging_0483/klagomål/A 13848-2026 FSC-klagomål.docx", "A 13848-2026")</f>
        <v/>
      </c>
      <c r="Z83">
        <f>HYPERLINK("https://klasma.github.io/Logging_0483/klagomålsmail/A 13848-2026 FSC-klagomål mail.docx", "A 13848-2026")</f>
        <v/>
      </c>
      <c r="AA83">
        <f>HYPERLINK("https://klasma.github.io/Logging_0483/tillsyn/A 13848-2026 tillsynsbegäran.docx", "A 13848-2026")</f>
        <v/>
      </c>
      <c r="AB83">
        <f>HYPERLINK("https://klasma.github.io/Logging_0483/tillsynsmail/A 13848-2026 tillsynsbegäran mail.docx", "A 13848-2026")</f>
        <v/>
      </c>
    </row>
    <row r="84" ht="15" customHeight="1">
      <c r="A84" t="inlineStr">
        <is>
          <t>A 11875-2023</t>
        </is>
      </c>
      <c r="B84" t="inlineStr">
        <is>
          <t>avverkningsanmälan</t>
        </is>
      </c>
      <c r="C84" t="inlineStr">
        <is>
          <t>Föryngringsavverkning</t>
        </is>
      </c>
      <c r="D84" s="1" t="n">
        <v>44995</v>
      </c>
      <c r="E84" s="1" t="n">
        <v>46220</v>
      </c>
      <c r="F84" t="inlineStr">
        <is>
          <t>SÖDERMANLANDS LÄN</t>
        </is>
      </c>
      <c r="G84" t="inlineStr">
        <is>
          <t>KATRINEHOLM</t>
        </is>
      </c>
      <c r="H84" t="inlineStr">
        <is>
          <t>Kommuner</t>
        </is>
      </c>
      <c r="I84" t="n">
        <v>1.1</v>
      </c>
      <c r="J84" t="n">
        <v>0</v>
      </c>
      <c r="K84" t="n">
        <v>0</v>
      </c>
      <c r="L84" t="n">
        <v>1</v>
      </c>
      <c r="M84" t="n">
        <v>0</v>
      </c>
      <c r="N84" t="n">
        <v>0</v>
      </c>
      <c r="O84" t="n">
        <v>0</v>
      </c>
      <c r="P84" t="n">
        <v>0</v>
      </c>
      <c r="Q84" t="n">
        <v>1</v>
      </c>
      <c r="R84" t="n">
        <v>0</v>
      </c>
      <c r="S84" t="n">
        <v>1</v>
      </c>
      <c r="T84" t="n">
        <v>1</v>
      </c>
      <c r="U84" s="2" t="inlineStr">
        <is>
          <t>Slåtterfibbla</t>
        </is>
      </c>
      <c r="V84">
        <f>HYPERLINK("https://klasma.github.io/Logging_0483/artfynd/A 11875-2023 artfynd.xlsx", "A 11875-2023")</f>
        <v/>
      </c>
      <c r="W84">
        <f>HYPERLINK("https://klasma.github.io/Logging_0483/kartor/A 11875-2023 karta.png", "A 11875-2023")</f>
        <v/>
      </c>
      <c r="Y84">
        <f>HYPERLINK("https://klasma.github.io/Logging_0483/klagomål/A 11875-2023 FSC-klagomål.docx", "A 11875-2023")</f>
        <v/>
      </c>
      <c r="Z84">
        <f>HYPERLINK("https://klasma.github.io/Logging_0483/klagomålsmail/A 11875-2023 FSC-klagomål mail.docx", "A 11875-2023")</f>
        <v/>
      </c>
      <c r="AA84">
        <f>HYPERLINK("https://klasma.github.io/Logging_0483/tillsyn/A 11875-2023 tillsynsbegäran.docx", "A 11875-2023")</f>
        <v/>
      </c>
      <c r="AB84">
        <f>HYPERLINK("https://klasma.github.io/Logging_0483/tillsynsmail/A 11875-2023 tillsynsbegäran mail.docx", "A 11875-2023")</f>
        <v/>
      </c>
    </row>
    <row r="85" ht="15" customHeight="1">
      <c r="A85" t="inlineStr">
        <is>
          <t>A 6808-2023</t>
        </is>
      </c>
      <c r="B85" t="inlineStr">
        <is>
          <t>avverkningsanmälan</t>
        </is>
      </c>
      <c r="C85" t="inlineStr">
        <is>
          <t>Föryngringsavverkning</t>
        </is>
      </c>
      <c r="D85" s="1" t="n">
        <v>44964</v>
      </c>
      <c r="E85" s="1" t="n">
        <v>46220</v>
      </c>
      <c r="F85" t="inlineStr">
        <is>
          <t>SÖDERMANLANDS LÄN</t>
        </is>
      </c>
      <c r="G85" t="inlineStr">
        <is>
          <t>KATRINEHOLM</t>
        </is>
      </c>
      <c r="I85" t="n">
        <v>1.5</v>
      </c>
      <c r="J85" t="n">
        <v>1</v>
      </c>
      <c r="K85" t="n">
        <v>0</v>
      </c>
      <c r="L85" t="n">
        <v>1</v>
      </c>
      <c r="M85" t="n">
        <v>0</v>
      </c>
      <c r="N85" t="n">
        <v>0</v>
      </c>
      <c r="O85" t="n">
        <v>0</v>
      </c>
      <c r="P85" t="n">
        <v>0</v>
      </c>
      <c r="Q85" t="n">
        <v>1</v>
      </c>
      <c r="R85" t="n">
        <v>0</v>
      </c>
      <c r="S85" t="n">
        <v>1</v>
      </c>
      <c r="T85" t="n">
        <v>1</v>
      </c>
      <c r="U85" s="2" t="inlineStr">
        <is>
          <t>Grönsångare</t>
        </is>
      </c>
      <c r="V85">
        <f>HYPERLINK("https://klasma.github.io/Logging_0483/artfynd/A 6808-2023 artfynd.xlsx", "A 6808-2023")</f>
        <v/>
      </c>
      <c r="W85">
        <f>HYPERLINK("https://klasma.github.io/Logging_0483/kartor/A 6808-2023 karta.png", "A 6808-2023")</f>
        <v/>
      </c>
      <c r="Y85">
        <f>HYPERLINK("https://klasma.github.io/Logging_0483/klagomål/A 6808-2023 FSC-klagomål.docx", "A 6808-2023")</f>
        <v/>
      </c>
      <c r="Z85">
        <f>HYPERLINK("https://klasma.github.io/Logging_0483/klagomålsmail/A 6808-2023 FSC-klagomål mail.docx", "A 6808-2023")</f>
        <v/>
      </c>
      <c r="AA85">
        <f>HYPERLINK("https://klasma.github.io/Logging_0483/tillsyn/A 6808-2023 tillsynsbegäran.docx", "A 6808-2023")</f>
        <v/>
      </c>
      <c r="AB85">
        <f>HYPERLINK("https://klasma.github.io/Logging_0483/tillsynsmail/A 6808-2023 tillsynsbegäran mail.docx", "A 6808-2023")</f>
        <v/>
      </c>
      <c r="AC85">
        <f>HYPERLINK("https://klasma.github.io/Logging_0483/fåglar/A 6808-2023 prioriterade fågelarter.docx", "A 6808-2023")</f>
        <v/>
      </c>
    </row>
    <row r="86" ht="15" customHeight="1">
      <c r="A86" t="inlineStr">
        <is>
          <t>A 1091-2025</t>
        </is>
      </c>
      <c r="B86" t="inlineStr">
        <is>
          <t>avverkningsanmälan</t>
        </is>
      </c>
      <c r="C86" t="inlineStr">
        <is>
          <t>Föryngringsavverkning</t>
        </is>
      </c>
      <c r="D86" s="1" t="n">
        <v>45666</v>
      </c>
      <c r="E86" s="1" t="n">
        <v>46220</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s="2" t="inlineStr">
        <is>
          <t>Fjällig taggsvamp s.str.</t>
        </is>
      </c>
      <c r="V86">
        <f>HYPERLINK("https://klasma.github.io/Logging_0483/artfynd/A 1091-2025 artfynd.xlsx", "A 1091-2025")</f>
        <v/>
      </c>
      <c r="W86">
        <f>HYPERLINK("https://klasma.github.io/Logging_0483/kartor/A 1091-2025 karta.png", "A 1091-2025")</f>
        <v/>
      </c>
      <c r="Y86">
        <f>HYPERLINK("https://klasma.github.io/Logging_0483/klagomål/A 1091-2025 FSC-klagomål.docx", "A 1091-2025")</f>
        <v/>
      </c>
      <c r="Z86">
        <f>HYPERLINK("https://klasma.github.io/Logging_0483/klagomålsmail/A 1091-2025 FSC-klagomål mail.docx", "A 1091-2025")</f>
        <v/>
      </c>
      <c r="AA86">
        <f>HYPERLINK("https://klasma.github.io/Logging_0483/tillsyn/A 1091-2025 tillsynsbegäran.docx", "A 1091-2025")</f>
        <v/>
      </c>
      <c r="AB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46220</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s="2" t="inlineStr">
        <is>
          <t>Blåsippa</t>
        </is>
      </c>
      <c r="V87">
        <f>HYPERLINK("https://klasma.github.io/Logging_0483/artfynd/S 2263-2023 artfynd.xlsx", "S 2263-2023")</f>
        <v/>
      </c>
      <c r="W87">
        <f>HYPERLINK("https://klasma.github.io/Logging_0483/kartor/S 2263-2023 karta.png", "S 2263-2023")</f>
        <v/>
      </c>
      <c r="Y87">
        <f>HYPERLINK("https://klasma.github.io/Logging_0483/klagomål/S 2263-2023 FSC-klagomål.docx", "S 2263-2023")</f>
        <v/>
      </c>
      <c r="Z87">
        <f>HYPERLINK("https://klasma.github.io/Logging_0483/klagomålsmail/S 2263-2023 FSC-klagomål mail.docx", "S 2263-2023")</f>
        <v/>
      </c>
      <c r="AA87">
        <f>HYPERLINK("https://klasma.github.io/Logging_0483/tillsyn/S 2263-2023 tillsynsbegäran.docx", "S 2263-2023")</f>
        <v/>
      </c>
      <c r="AB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46220</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s="2" t="inlineStr">
        <is>
          <t>Kungsfågel</t>
        </is>
      </c>
      <c r="V88">
        <f>HYPERLINK("https://klasma.github.io/Logging_0483/artfynd/S 508-2024 artfynd.xlsx", "S 508-2024")</f>
        <v/>
      </c>
      <c r="W88">
        <f>HYPERLINK("https://klasma.github.io/Logging_0483/kartor/S 508-2024 karta.png", "S 508-2024")</f>
        <v/>
      </c>
      <c r="Y88">
        <f>HYPERLINK("https://klasma.github.io/Logging_0483/klagomål/S 508-2024 FSC-klagomål.docx", "S 508-2024")</f>
        <v/>
      </c>
      <c r="Z88">
        <f>HYPERLINK("https://klasma.github.io/Logging_0483/klagomålsmail/S 508-2024 FSC-klagomål mail.docx", "S 508-2024")</f>
        <v/>
      </c>
      <c r="AA88">
        <f>HYPERLINK("https://klasma.github.io/Logging_0483/tillsyn/S 508-2024 tillsynsbegäran.docx", "S 508-2024")</f>
        <v/>
      </c>
      <c r="AB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46220</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s="2" t="inlineStr"/>
    </row>
    <row r="90" ht="15" customHeight="1">
      <c r="A90" t="inlineStr">
        <is>
          <t>A 40814-2022</t>
        </is>
      </c>
      <c r="B90" t="inlineStr">
        <is>
          <t>avverkningsanmälan</t>
        </is>
      </c>
      <c r="C90" t="inlineStr">
        <is>
          <t>Föryngringsavverkning</t>
        </is>
      </c>
      <c r="D90" s="1" t="n">
        <v>44824</v>
      </c>
      <c r="E90" s="1" t="n">
        <v>46220</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s="2" t="inlineStr"/>
    </row>
    <row r="91" ht="15" customHeight="1">
      <c r="A91" t="inlineStr">
        <is>
          <t>A 48166-2022</t>
        </is>
      </c>
      <c r="B91" t="inlineStr">
        <is>
          <t>avverkningsanmälan</t>
        </is>
      </c>
      <c r="C91" t="inlineStr">
        <is>
          <t>Föryngringsavverkning</t>
        </is>
      </c>
      <c r="D91" s="1" t="n">
        <v>44853</v>
      </c>
      <c r="E91" s="1" t="n">
        <v>46220</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s="2" t="inlineStr"/>
    </row>
    <row r="92" ht="15" customHeight="1">
      <c r="A92" t="inlineStr">
        <is>
          <t>A 42853-2021</t>
        </is>
      </c>
      <c r="B92" t="inlineStr">
        <is>
          <t>avverkningsanmälan</t>
        </is>
      </c>
      <c r="C92" t="inlineStr">
        <is>
          <t>Föryngringsavverkning</t>
        </is>
      </c>
      <c r="D92" s="1" t="n">
        <v>44430</v>
      </c>
      <c r="E92" s="1" t="n">
        <v>46220</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s="2" t="inlineStr"/>
    </row>
    <row r="93" ht="15" customHeight="1">
      <c r="A93" t="inlineStr">
        <is>
          <t>A 72822-2021</t>
        </is>
      </c>
      <c r="B93" t="inlineStr">
        <is>
          <t>avverkningsanmälan</t>
        </is>
      </c>
      <c r="C93" t="inlineStr">
        <is>
          <t>Föryngringsavverkning</t>
        </is>
      </c>
      <c r="D93" s="1" t="n">
        <v>44546</v>
      </c>
      <c r="E93" s="1" t="n">
        <v>46220</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s="2" t="inlineStr"/>
    </row>
    <row r="94" ht="15" customHeight="1">
      <c r="A94" t="inlineStr">
        <is>
          <t>A 73929-2021</t>
        </is>
      </c>
      <c r="B94" t="inlineStr">
        <is>
          <t>avverkningsanmälan</t>
        </is>
      </c>
      <c r="C94" t="inlineStr">
        <is>
          <t>Föryngringsavverkning</t>
        </is>
      </c>
      <c r="D94" s="1" t="n">
        <v>44553</v>
      </c>
      <c r="E94" s="1" t="n">
        <v>46220</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s="2" t="inlineStr"/>
    </row>
    <row r="95" ht="15" customHeight="1">
      <c r="A95" t="inlineStr">
        <is>
          <t>A 66655-2021</t>
        </is>
      </c>
      <c r="B95" t="inlineStr">
        <is>
          <t>avverkningsanmälan</t>
        </is>
      </c>
      <c r="C95" t="inlineStr">
        <is>
          <t>Föryngringsavverkning</t>
        </is>
      </c>
      <c r="D95" s="1" t="n">
        <v>44519</v>
      </c>
      <c r="E95" s="1" t="n">
        <v>46220</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s="2" t="inlineStr"/>
    </row>
    <row r="96" ht="15" customHeight="1">
      <c r="A96" t="inlineStr">
        <is>
          <t>A 38471-2021</t>
        </is>
      </c>
      <c r="B96" t="inlineStr">
        <is>
          <t>avverkningsanmälan</t>
        </is>
      </c>
      <c r="C96" t="inlineStr">
        <is>
          <t>Föryngringsavverkning</t>
        </is>
      </c>
      <c r="D96" s="1" t="n">
        <v>44407</v>
      </c>
      <c r="E96" s="1" t="n">
        <v>46220</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s="2" t="inlineStr"/>
    </row>
    <row r="97" ht="15" customHeight="1">
      <c r="A97" t="inlineStr">
        <is>
          <t>A 65188-2021</t>
        </is>
      </c>
      <c r="B97" t="inlineStr">
        <is>
          <t>avverkningsanmälan</t>
        </is>
      </c>
      <c r="C97" t="inlineStr">
        <is>
          <t>Föryngringsavverkning</t>
        </is>
      </c>
      <c r="D97" s="1" t="n">
        <v>44512</v>
      </c>
      <c r="E97" s="1" t="n">
        <v>46220</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s="2" t="inlineStr"/>
    </row>
    <row r="98" ht="15" customHeight="1">
      <c r="A98" t="inlineStr">
        <is>
          <t>A 50625-2022</t>
        </is>
      </c>
      <c r="B98" t="inlineStr">
        <is>
          <t>avverkningsanmälan</t>
        </is>
      </c>
      <c r="C98" t="inlineStr">
        <is>
          <t>Föryngringsavverkning</t>
        </is>
      </c>
      <c r="D98" s="1" t="n">
        <v>44866</v>
      </c>
      <c r="E98" s="1" t="n">
        <v>46220</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s="2" t="inlineStr"/>
    </row>
    <row r="99" ht="15" customHeight="1">
      <c r="A99" t="inlineStr">
        <is>
          <t>A 70442-2021</t>
        </is>
      </c>
      <c r="B99" t="inlineStr">
        <is>
          <t>avverkningsanmälan</t>
        </is>
      </c>
      <c r="C99" t="inlineStr">
        <is>
          <t>Föryngringsavverkning</t>
        </is>
      </c>
      <c r="D99" s="1" t="n">
        <v>44536</v>
      </c>
      <c r="E99" s="1" t="n">
        <v>46220</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s="2" t="inlineStr"/>
    </row>
    <row r="100" ht="15" customHeight="1">
      <c r="A100" t="inlineStr">
        <is>
          <t>A 53473-2021</t>
        </is>
      </c>
      <c r="B100" t="inlineStr">
        <is>
          <t>avverkningsanmälan</t>
        </is>
      </c>
      <c r="C100" t="inlineStr">
        <is>
          <t>Föryngringsavverkning</t>
        </is>
      </c>
      <c r="D100" s="1" t="n">
        <v>44468</v>
      </c>
      <c r="E100" s="1" t="n">
        <v>46220</v>
      </c>
      <c r="F100" t="inlineStr">
        <is>
          <t>SÖDERMANLANDS LÄN</t>
        </is>
      </c>
      <c r="G100" t="inlineStr">
        <is>
          <t>KATRINEHOLM</t>
        </is>
      </c>
      <c r="I100" t="n">
        <v>10.8</v>
      </c>
      <c r="J100" t="n">
        <v>0</v>
      </c>
      <c r="K100" t="n">
        <v>0</v>
      </c>
      <c r="L100" t="n">
        <v>0</v>
      </c>
      <c r="M100" t="n">
        <v>0</v>
      </c>
      <c r="N100" t="n">
        <v>0</v>
      </c>
      <c r="O100" t="n">
        <v>0</v>
      </c>
      <c r="P100" t="n">
        <v>0</v>
      </c>
      <c r="Q100" t="n">
        <v>0</v>
      </c>
      <c r="R100" t="n">
        <v>0</v>
      </c>
      <c r="S100" t="n">
        <v>0</v>
      </c>
      <c r="T100" t="n">
        <v>0</v>
      </c>
      <c r="U100" s="2" t="inlineStr"/>
    </row>
    <row r="101" ht="15" customHeight="1">
      <c r="A101" t="inlineStr">
        <is>
          <t>A 55898-2021</t>
        </is>
      </c>
      <c r="B101" t="inlineStr">
        <is>
          <t>avverkningsanmälan</t>
        </is>
      </c>
      <c r="C101" t="inlineStr">
        <is>
          <t>Föryngringsavverkning</t>
        </is>
      </c>
      <c r="D101" s="1" t="n">
        <v>44476</v>
      </c>
      <c r="E101" s="1" t="n">
        <v>46220</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s="2" t="inlineStr"/>
    </row>
    <row r="102" ht="15" customHeight="1">
      <c r="A102" t="inlineStr">
        <is>
          <t>A 11024-2022</t>
        </is>
      </c>
      <c r="B102" t="inlineStr">
        <is>
          <t>avverkningsanmälan</t>
        </is>
      </c>
      <c r="C102" t="inlineStr">
        <is>
          <t>Föryngringsavverkning</t>
        </is>
      </c>
      <c r="D102" s="1" t="n">
        <v>44628</v>
      </c>
      <c r="E102" s="1" t="n">
        <v>46220</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6145-2022</t>
        </is>
      </c>
      <c r="B103" t="inlineStr">
        <is>
          <t>avverkningsanmälan</t>
        </is>
      </c>
      <c r="C103" t="inlineStr">
        <is>
          <t>Föryngringsavverkning</t>
        </is>
      </c>
      <c r="D103" s="1" t="n">
        <v>44599</v>
      </c>
      <c r="E103" s="1" t="n">
        <v>46220</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s="2" t="inlineStr"/>
    </row>
    <row r="104" ht="15" customHeight="1">
      <c r="A104" t="inlineStr">
        <is>
          <t>A 40818-2022</t>
        </is>
      </c>
      <c r="B104" t="inlineStr">
        <is>
          <t>avverkningsanmälan</t>
        </is>
      </c>
      <c r="C104" t="inlineStr">
        <is>
          <t>Föryngringsavverkning</t>
        </is>
      </c>
      <c r="D104" s="1" t="n">
        <v>44824</v>
      </c>
      <c r="E104" s="1" t="n">
        <v>46220</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53846-2021</t>
        </is>
      </c>
      <c r="B105" t="inlineStr">
        <is>
          <t>avverkningsanmälan</t>
        </is>
      </c>
      <c r="C105" t="inlineStr">
        <is>
          <t>Föryngringsavverkning</t>
        </is>
      </c>
      <c r="D105" s="1" t="n">
        <v>44467</v>
      </c>
      <c r="E105" s="1" t="n">
        <v>46220</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s="2" t="inlineStr"/>
    </row>
    <row r="106" ht="15" customHeight="1">
      <c r="A106" t="inlineStr">
        <is>
          <t>A 6695-2022</t>
        </is>
      </c>
      <c r="B106" t="inlineStr">
        <is>
          <t>avverkningsanmälan</t>
        </is>
      </c>
      <c r="C106" t="inlineStr">
        <is>
          <t>Föryngringsavverkning</t>
        </is>
      </c>
      <c r="D106" s="1" t="n">
        <v>44602</v>
      </c>
      <c r="E106" s="1" t="n">
        <v>46220</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23028-2022</t>
        </is>
      </c>
      <c r="B107" t="inlineStr">
        <is>
          <t>avverkningsanmälan</t>
        </is>
      </c>
      <c r="C107" t="inlineStr">
        <is>
          <t>Föryngringsavverkning</t>
        </is>
      </c>
      <c r="D107" s="1" t="n">
        <v>44719</v>
      </c>
      <c r="E107" s="1" t="n">
        <v>46220</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70422-2021</t>
        </is>
      </c>
      <c r="B108" t="inlineStr">
        <is>
          <t>avverkningsanmälan</t>
        </is>
      </c>
      <c r="C108" t="inlineStr">
        <is>
          <t>Föryngringsavverkning</t>
        </is>
      </c>
      <c r="D108" s="1" t="n">
        <v>44536</v>
      </c>
      <c r="E108" s="1" t="n">
        <v>46220</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s="2" t="inlineStr"/>
    </row>
    <row r="109" ht="15" customHeight="1">
      <c r="A109" t="inlineStr">
        <is>
          <t>A 39862-2021</t>
        </is>
      </c>
      <c r="B109" t="inlineStr">
        <is>
          <t>avverkningsanmälan</t>
        </is>
      </c>
      <c r="C109" t="inlineStr">
        <is>
          <t>Föryngringsavverkning</t>
        </is>
      </c>
      <c r="D109" s="1" t="n">
        <v>44417</v>
      </c>
      <c r="E109" s="1" t="n">
        <v>46220</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s="2" t="inlineStr"/>
    </row>
    <row r="110" ht="15" customHeight="1">
      <c r="A110" t="inlineStr">
        <is>
          <t>A 61174-2021</t>
        </is>
      </c>
      <c r="B110" t="inlineStr">
        <is>
          <t>avverkningsanmälan</t>
        </is>
      </c>
      <c r="C110" t="inlineStr">
        <is>
          <t>Föryngringsavverkning</t>
        </is>
      </c>
      <c r="D110" s="1" t="n">
        <v>44466</v>
      </c>
      <c r="E110" s="1" t="n">
        <v>46220</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s="2" t="inlineStr"/>
    </row>
    <row r="111" ht="15" customHeight="1">
      <c r="A111" t="inlineStr">
        <is>
          <t>A 56337-2021</t>
        </is>
      </c>
      <c r="B111" t="inlineStr">
        <is>
          <t>avverkningsanmälan</t>
        </is>
      </c>
      <c r="C111" t="inlineStr">
        <is>
          <t>Föryngringsavverkning</t>
        </is>
      </c>
      <c r="D111" s="1" t="n">
        <v>44480</v>
      </c>
      <c r="E111" s="1" t="n">
        <v>46220</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60515-2021</t>
        </is>
      </c>
      <c r="B112" t="inlineStr">
        <is>
          <t>avverkningsanmälan</t>
        </is>
      </c>
      <c r="C112" t="inlineStr">
        <is>
          <t>Föryngringsavverkning</t>
        </is>
      </c>
      <c r="D112" s="1" t="n">
        <v>44496</v>
      </c>
      <c r="E112" s="1" t="n">
        <v>46220</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3572-2022</t>
        </is>
      </c>
      <c r="B113" t="inlineStr">
        <is>
          <t>avverkningsanmälan</t>
        </is>
      </c>
      <c r="C113" t="inlineStr">
        <is>
          <t>Avverkning för annat ändamål</t>
        </is>
      </c>
      <c r="D113" s="1" t="n">
        <v>44585</v>
      </c>
      <c r="E113" s="1" t="n">
        <v>46220</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24207-2022</t>
        </is>
      </c>
      <c r="B114" t="inlineStr">
        <is>
          <t>avverkningsanmälan</t>
        </is>
      </c>
      <c r="C114" t="inlineStr">
        <is>
          <t>Föryngringsavverkning</t>
        </is>
      </c>
      <c r="D114" s="1" t="n">
        <v>44725</v>
      </c>
      <c r="E114" s="1" t="n">
        <v>46220</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34070-2022</t>
        </is>
      </c>
      <c r="B115" t="inlineStr">
        <is>
          <t>avverkningsanmälan</t>
        </is>
      </c>
      <c r="C115" t="inlineStr">
        <is>
          <t>Föryngringsavverkning</t>
        </is>
      </c>
      <c r="D115" s="1" t="n">
        <v>44791</v>
      </c>
      <c r="E115" s="1" t="n">
        <v>46220</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53349-2021</t>
        </is>
      </c>
      <c r="B116" t="inlineStr">
        <is>
          <t>avverkningsanmälan</t>
        </is>
      </c>
      <c r="C116" t="inlineStr">
        <is>
          <t>Föryngringsavverkning</t>
        </is>
      </c>
      <c r="D116" s="1" t="n">
        <v>44468</v>
      </c>
      <c r="E116" s="1" t="n">
        <v>46220</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s="2" t="inlineStr"/>
    </row>
    <row r="117" ht="15" customHeight="1">
      <c r="A117" t="inlineStr">
        <is>
          <t>A 9786-2022</t>
        </is>
      </c>
      <c r="B117" t="inlineStr">
        <is>
          <t>avverkningsanmälan</t>
        </is>
      </c>
      <c r="C117" t="inlineStr">
        <is>
          <t>Föryngringsavverkning</t>
        </is>
      </c>
      <c r="D117" s="1" t="n">
        <v>44619</v>
      </c>
      <c r="E117" s="1" t="n">
        <v>46220</v>
      </c>
      <c r="F117" t="inlineStr">
        <is>
          <t>SÖDERMANLANDS LÄN</t>
        </is>
      </c>
      <c r="G117" t="inlineStr">
        <is>
          <t>KATRINEHOLM</t>
        </is>
      </c>
      <c r="I117" t="n">
        <v>1.4</v>
      </c>
      <c r="J117" t="n">
        <v>0</v>
      </c>
      <c r="K117" t="n">
        <v>0</v>
      </c>
      <c r="L117" t="n">
        <v>0</v>
      </c>
      <c r="M117" t="n">
        <v>0</v>
      </c>
      <c r="N117" t="n">
        <v>0</v>
      </c>
      <c r="O117" t="n">
        <v>0</v>
      </c>
      <c r="P117" t="n">
        <v>0</v>
      </c>
      <c r="Q117" t="n">
        <v>0</v>
      </c>
      <c r="R117" t="n">
        <v>0</v>
      </c>
      <c r="S117" t="n">
        <v>0</v>
      </c>
      <c r="T117" t="n">
        <v>0</v>
      </c>
      <c r="U117" s="2" t="inlineStr"/>
    </row>
    <row r="118" ht="15" customHeight="1">
      <c r="A118" t="inlineStr">
        <is>
          <t>A 65589-2021</t>
        </is>
      </c>
      <c r="B118" t="inlineStr">
        <is>
          <t>avverkningsanmälan</t>
        </is>
      </c>
      <c r="C118" t="inlineStr">
        <is>
          <t>Föryngringsavverkning</t>
        </is>
      </c>
      <c r="D118" s="1" t="n">
        <v>44515</v>
      </c>
      <c r="E118" s="1" t="n">
        <v>46220</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41876-2021</t>
        </is>
      </c>
      <c r="B119" t="inlineStr">
        <is>
          <t>avverkningsanmälan</t>
        </is>
      </c>
      <c r="C119" t="inlineStr">
        <is>
          <t>Föryngringsavverkning</t>
        </is>
      </c>
      <c r="D119" s="1" t="n">
        <v>44426</v>
      </c>
      <c r="E119" s="1" t="n">
        <v>46220</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2884-2022</t>
        </is>
      </c>
      <c r="B120" t="inlineStr">
        <is>
          <t>avverkningsanmälan</t>
        </is>
      </c>
      <c r="C120" t="inlineStr">
        <is>
          <t>Föryngringsavverkning</t>
        </is>
      </c>
      <c r="D120" s="1" t="n">
        <v>44581</v>
      </c>
      <c r="E120" s="1" t="n">
        <v>46220</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2636-2022</t>
        </is>
      </c>
      <c r="B121" t="inlineStr">
        <is>
          <t>avverkningsanmälan</t>
        </is>
      </c>
      <c r="C121" t="inlineStr">
        <is>
          <t>Föryngringsavverkning</t>
        </is>
      </c>
      <c r="D121" s="1" t="n">
        <v>44580</v>
      </c>
      <c r="E121" s="1" t="n">
        <v>46220</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45274-2022</t>
        </is>
      </c>
      <c r="B122" t="inlineStr">
        <is>
          <t>avverkningsanmälan</t>
        </is>
      </c>
      <c r="C122" t="inlineStr">
        <is>
          <t>Föryngringsavverkning</t>
        </is>
      </c>
      <c r="D122" s="1" t="n">
        <v>44844</v>
      </c>
      <c r="E122" s="1" t="n">
        <v>46220</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s="2" t="inlineStr"/>
    </row>
    <row r="123" ht="15" customHeight="1">
      <c r="A123" t="inlineStr">
        <is>
          <t>A 61236-2021</t>
        </is>
      </c>
      <c r="B123" t="inlineStr">
        <is>
          <t>avverkningsanmälan</t>
        </is>
      </c>
      <c r="C123" t="inlineStr">
        <is>
          <t>Föryngringsavverkning</t>
        </is>
      </c>
      <c r="D123" s="1" t="n">
        <v>44498</v>
      </c>
      <c r="E123" s="1" t="n">
        <v>46220</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s="2" t="inlineStr"/>
    </row>
    <row r="124" ht="15" customHeight="1">
      <c r="A124" t="inlineStr">
        <is>
          <t>A 22197-2022</t>
        </is>
      </c>
      <c r="B124" t="inlineStr">
        <is>
          <t>avverkningsanmälan</t>
        </is>
      </c>
      <c r="C124" t="inlineStr">
        <is>
          <t>Föryngringsavverkning</t>
        </is>
      </c>
      <c r="D124" s="1" t="n">
        <v>44712</v>
      </c>
      <c r="E124" s="1" t="n">
        <v>46220</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32632-2022</t>
        </is>
      </c>
      <c r="B125" t="inlineStr">
        <is>
          <t>avverkningsanmälan</t>
        </is>
      </c>
      <c r="C125" t="inlineStr">
        <is>
          <t>Föryngringsavverkning</t>
        </is>
      </c>
      <c r="D125" s="1" t="n">
        <v>44783</v>
      </c>
      <c r="E125" s="1" t="n">
        <v>46220</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32639-2022</t>
        </is>
      </c>
      <c r="B126" t="inlineStr">
        <is>
          <t>avverkningsanmälan</t>
        </is>
      </c>
      <c r="C126" t="inlineStr">
        <is>
          <t>Föryngringsavverkning</t>
        </is>
      </c>
      <c r="D126" s="1" t="n">
        <v>44783</v>
      </c>
      <c r="E126" s="1" t="n">
        <v>46220</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52063-2021</t>
        </is>
      </c>
      <c r="B127" t="inlineStr">
        <is>
          <t>avverkningsanmälan</t>
        </is>
      </c>
      <c r="C127" t="inlineStr">
        <is>
          <t>Föryngringsavverkning</t>
        </is>
      </c>
      <c r="D127" s="1" t="n">
        <v>44449</v>
      </c>
      <c r="E127" s="1" t="n">
        <v>46220</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s="2" t="inlineStr"/>
    </row>
    <row r="128" ht="15" customHeight="1">
      <c r="A128" t="inlineStr">
        <is>
          <t>A 32600-2022</t>
        </is>
      </c>
      <c r="B128" t="inlineStr">
        <is>
          <t>avverkningsanmälan</t>
        </is>
      </c>
      <c r="C128" t="inlineStr">
        <is>
          <t>Föryngringsavverkning</t>
        </is>
      </c>
      <c r="D128" s="1" t="n">
        <v>44783</v>
      </c>
      <c r="E128" s="1" t="n">
        <v>46220</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64261-2021</t>
        </is>
      </c>
      <c r="B129" t="inlineStr">
        <is>
          <t>avverkningsanmälan</t>
        </is>
      </c>
      <c r="C129" t="inlineStr">
        <is>
          <t>Föryngringsavverkning</t>
        </is>
      </c>
      <c r="D129" s="1" t="n">
        <v>44510</v>
      </c>
      <c r="E129" s="1" t="n">
        <v>46220</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6826-2022</t>
        </is>
      </c>
      <c r="B130" t="inlineStr">
        <is>
          <t>avverkningsanmälan</t>
        </is>
      </c>
      <c r="C130" t="inlineStr">
        <is>
          <t>Föryngringsavverkning</t>
        </is>
      </c>
      <c r="D130" s="1" t="n">
        <v>44602</v>
      </c>
      <c r="E130" s="1" t="n">
        <v>46220</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46640-2021</t>
        </is>
      </c>
      <c r="B131" t="inlineStr">
        <is>
          <t>avverkningsanmälan</t>
        </is>
      </c>
      <c r="C131" t="inlineStr">
        <is>
          <t>Föryngringsavverkning</t>
        </is>
      </c>
      <c r="D131" s="1" t="n">
        <v>44445</v>
      </c>
      <c r="E131" s="1" t="n">
        <v>46220</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s="2" t="inlineStr"/>
    </row>
    <row r="132" ht="15" customHeight="1">
      <c r="A132" t="inlineStr">
        <is>
          <t>A 60475-2021</t>
        </is>
      </c>
      <c r="B132" t="inlineStr">
        <is>
          <t>avverkningsanmälan</t>
        </is>
      </c>
      <c r="C132" t="inlineStr">
        <is>
          <t>Föryngringsavverkning</t>
        </is>
      </c>
      <c r="D132" s="1" t="n">
        <v>44495</v>
      </c>
      <c r="E132" s="1" t="n">
        <v>46220</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s="2" t="inlineStr"/>
    </row>
    <row r="133" ht="15" customHeight="1">
      <c r="A133" t="inlineStr">
        <is>
          <t>A 60501-2021</t>
        </is>
      </c>
      <c r="B133" t="inlineStr">
        <is>
          <t>avverkningsanmälan</t>
        </is>
      </c>
      <c r="C133" t="inlineStr">
        <is>
          <t>Föryngringsavverkning</t>
        </is>
      </c>
      <c r="D133" s="1" t="n">
        <v>44496</v>
      </c>
      <c r="E133" s="1" t="n">
        <v>46220</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17800-2022</t>
        </is>
      </c>
      <c r="B134" t="inlineStr">
        <is>
          <t>avverkningsanmälan</t>
        </is>
      </c>
      <c r="C134" t="inlineStr">
        <is>
          <t>Föryngringsavverkning</t>
        </is>
      </c>
      <c r="D134" s="1" t="n">
        <v>44683</v>
      </c>
      <c r="E134" s="1" t="n">
        <v>46220</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s="2" t="inlineStr"/>
    </row>
    <row r="135" ht="15" customHeight="1">
      <c r="A135" t="inlineStr">
        <is>
          <t>A 55349-2021</t>
        </is>
      </c>
      <c r="B135" t="inlineStr">
        <is>
          <t>avverkningsanmälan</t>
        </is>
      </c>
      <c r="C135" t="inlineStr">
        <is>
          <t>Föryngringsavverkning</t>
        </is>
      </c>
      <c r="D135" s="1" t="n">
        <v>44475</v>
      </c>
      <c r="E135" s="1" t="n">
        <v>46220</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20847-2022</t>
        </is>
      </c>
      <c r="B136" t="inlineStr">
        <is>
          <t>avverkningsanmälan</t>
        </is>
      </c>
      <c r="C136" t="inlineStr">
        <is>
          <t>Föryngringsavverkning</t>
        </is>
      </c>
      <c r="D136" s="1" t="n">
        <v>44701</v>
      </c>
      <c r="E136" s="1" t="n">
        <v>46220</v>
      </c>
      <c r="F136" t="inlineStr">
        <is>
          <t>SÖDERMANLANDS LÄN</t>
        </is>
      </c>
      <c r="G136" t="inlineStr">
        <is>
          <t>KATRINEHOLM</t>
        </is>
      </c>
      <c r="I136" t="n">
        <v>3.5</v>
      </c>
      <c r="J136" t="n">
        <v>0</v>
      </c>
      <c r="K136" t="n">
        <v>0</v>
      </c>
      <c r="L136" t="n">
        <v>0</v>
      </c>
      <c r="M136" t="n">
        <v>0</v>
      </c>
      <c r="N136" t="n">
        <v>0</v>
      </c>
      <c r="O136" t="n">
        <v>0</v>
      </c>
      <c r="P136" t="n">
        <v>0</v>
      </c>
      <c r="Q136" t="n">
        <v>0</v>
      </c>
      <c r="R136" t="n">
        <v>0</v>
      </c>
      <c r="S136" t="n">
        <v>0</v>
      </c>
      <c r="T136" t="n">
        <v>0</v>
      </c>
      <c r="U136" s="2" t="inlineStr"/>
    </row>
    <row r="137" ht="15" customHeight="1">
      <c r="A137" t="inlineStr">
        <is>
          <t>A 39001-2021</t>
        </is>
      </c>
      <c r="B137" t="inlineStr">
        <is>
          <t>avverkningsanmälan</t>
        </is>
      </c>
      <c r="C137" t="inlineStr">
        <is>
          <t>Föryngringsavverkning</t>
        </is>
      </c>
      <c r="D137" s="1" t="n">
        <v>44412</v>
      </c>
      <c r="E137" s="1" t="n">
        <v>46220</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41863-2021</t>
        </is>
      </c>
      <c r="B138" t="inlineStr">
        <is>
          <t>avverkningsanmälan</t>
        </is>
      </c>
      <c r="C138" t="inlineStr">
        <is>
          <t>Föryngringsavverkning</t>
        </is>
      </c>
      <c r="D138" s="1" t="n">
        <v>44426</v>
      </c>
      <c r="E138" s="1" t="n">
        <v>46220</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912-2022</t>
        </is>
      </c>
      <c r="B139" t="inlineStr">
        <is>
          <t>avverkningsanmälan</t>
        </is>
      </c>
      <c r="C139" t="inlineStr">
        <is>
          <t>Föryngringsavverkning</t>
        </is>
      </c>
      <c r="D139" s="1" t="n">
        <v>44571</v>
      </c>
      <c r="E139" s="1" t="n">
        <v>46220</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39527-2021</t>
        </is>
      </c>
      <c r="B140" t="inlineStr">
        <is>
          <t>avverkningsanmälan</t>
        </is>
      </c>
      <c r="C140" t="inlineStr">
        <is>
          <t>Föryngringsavverkning</t>
        </is>
      </c>
      <c r="D140" s="1" t="n">
        <v>44415</v>
      </c>
      <c r="E140" s="1" t="n">
        <v>46220</v>
      </c>
      <c r="F140" t="inlineStr">
        <is>
          <t>SÖDERMANLANDS LÄN</t>
        </is>
      </c>
      <c r="G140" t="inlineStr">
        <is>
          <t>KATRINEHOLM</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49784-2021</t>
        </is>
      </c>
      <c r="B141" t="inlineStr">
        <is>
          <t>avverkningsanmälan</t>
        </is>
      </c>
      <c r="C141" t="inlineStr">
        <is>
          <t>Föryngringsavverkning</t>
        </is>
      </c>
      <c r="D141" s="1" t="n">
        <v>44455</v>
      </c>
      <c r="E141" s="1" t="n">
        <v>46220</v>
      </c>
      <c r="F141" t="inlineStr">
        <is>
          <t>SÖDERMANLANDS LÄN</t>
        </is>
      </c>
      <c r="G141" t="inlineStr">
        <is>
          <t>KATRINEHOLM</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39546-2021</t>
        </is>
      </c>
      <c r="B142" t="inlineStr">
        <is>
          <t>avverkningsanmälan</t>
        </is>
      </c>
      <c r="C142" t="inlineStr">
        <is>
          <t>Föryngringsavverkning</t>
        </is>
      </c>
      <c r="D142" s="1" t="n">
        <v>44416</v>
      </c>
      <c r="E142" s="1" t="n">
        <v>46220</v>
      </c>
      <c r="F142" t="inlineStr">
        <is>
          <t>SÖDERMANLANDS LÄN</t>
        </is>
      </c>
      <c r="G142" t="inlineStr">
        <is>
          <t>KATRINEHOLM</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6533-2022</t>
        </is>
      </c>
      <c r="B143" t="inlineStr">
        <is>
          <t>avverkningsanmälan</t>
        </is>
      </c>
      <c r="C143" t="inlineStr">
        <is>
          <t>Avverkning för annat ändamål</t>
        </is>
      </c>
      <c r="D143" s="1" t="n">
        <v>44601</v>
      </c>
      <c r="E143" s="1" t="n">
        <v>46220</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49677-2021</t>
        </is>
      </c>
      <c r="B144" t="inlineStr">
        <is>
          <t>avverkningsanmälan</t>
        </is>
      </c>
      <c r="C144" t="inlineStr">
        <is>
          <t>Föryngringsavverkning</t>
        </is>
      </c>
      <c r="D144" s="1" t="n">
        <v>44455</v>
      </c>
      <c r="E144" s="1" t="n">
        <v>46220</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s="2" t="inlineStr"/>
    </row>
    <row r="145" ht="15" customHeight="1">
      <c r="A145" t="inlineStr">
        <is>
          <t>A 49735-2021</t>
        </is>
      </c>
      <c r="B145" t="inlineStr">
        <is>
          <t>avverkningsanmälan</t>
        </is>
      </c>
      <c r="C145" t="inlineStr">
        <is>
          <t>Föryngringsavverkning</t>
        </is>
      </c>
      <c r="D145" s="1" t="n">
        <v>44455</v>
      </c>
      <c r="E145" s="1" t="n">
        <v>46220</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59212-2021</t>
        </is>
      </c>
      <c r="B146" t="inlineStr">
        <is>
          <t>avverkningsanmälan</t>
        </is>
      </c>
      <c r="C146" t="inlineStr">
        <is>
          <t>Föryngringsavverkning</t>
        </is>
      </c>
      <c r="D146" s="1" t="n">
        <v>44490</v>
      </c>
      <c r="E146" s="1" t="n">
        <v>46220</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7550-2022</t>
        </is>
      </c>
      <c r="B147" t="inlineStr">
        <is>
          <t>avverkningsanmälan</t>
        </is>
      </c>
      <c r="C147" t="inlineStr">
        <is>
          <t>Föryngringsavverkning</t>
        </is>
      </c>
      <c r="D147" s="1" t="n">
        <v>44607</v>
      </c>
      <c r="E147" s="1" t="n">
        <v>46220</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51602-2022</t>
        </is>
      </c>
      <c r="B148" t="inlineStr">
        <is>
          <t>avverkningsanmälan</t>
        </is>
      </c>
      <c r="C148" t="inlineStr">
        <is>
          <t>Föryngringsavverkning</t>
        </is>
      </c>
      <c r="D148" s="1" t="n">
        <v>44871</v>
      </c>
      <c r="E148" s="1" t="n">
        <v>46220</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25893-2022</t>
        </is>
      </c>
      <c r="B149" t="inlineStr">
        <is>
          <t>avverkningsanmälan</t>
        </is>
      </c>
      <c r="C149" t="inlineStr">
        <is>
          <t>Föryngringsavverkning</t>
        </is>
      </c>
      <c r="D149" s="1" t="n">
        <v>44733</v>
      </c>
      <c r="E149" s="1" t="n">
        <v>46220</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24199-2022</t>
        </is>
      </c>
      <c r="B150" t="inlineStr">
        <is>
          <t>avverkningsanmälan</t>
        </is>
      </c>
      <c r="C150" t="inlineStr">
        <is>
          <t>Föryngringsavverkning</t>
        </is>
      </c>
      <c r="D150" s="1" t="n">
        <v>44725</v>
      </c>
      <c r="E150" s="1" t="n">
        <v>46220</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68206-2021</t>
        </is>
      </c>
      <c r="B151" t="inlineStr">
        <is>
          <t>avverkningsanmälan</t>
        </is>
      </c>
      <c r="C151" t="inlineStr">
        <is>
          <t>Föryngringsavverkning</t>
        </is>
      </c>
      <c r="D151" s="1" t="n">
        <v>44526</v>
      </c>
      <c r="E151" s="1" t="n">
        <v>46220</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69429-2021</t>
        </is>
      </c>
      <c r="B152" t="inlineStr">
        <is>
          <t>avverkningsanmälan</t>
        </is>
      </c>
      <c r="C152" t="inlineStr">
        <is>
          <t>Föryngringsavverkning</t>
        </is>
      </c>
      <c r="D152" s="1" t="n">
        <v>44531</v>
      </c>
      <c r="E152" s="1" t="n">
        <v>46220</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34625-2022</t>
        </is>
      </c>
      <c r="B153" t="inlineStr">
        <is>
          <t>avverkningsanmälan</t>
        </is>
      </c>
      <c r="C153" t="inlineStr">
        <is>
          <t>Föryngringsavverkning</t>
        </is>
      </c>
      <c r="D153" s="1" t="n">
        <v>44795</v>
      </c>
      <c r="E153" s="1" t="n">
        <v>46220</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41642-2022</t>
        </is>
      </c>
      <c r="B154" t="inlineStr">
        <is>
          <t>avverkningsanmälan</t>
        </is>
      </c>
      <c r="C154" t="inlineStr">
        <is>
          <t>Föryngringsavverkning</t>
        </is>
      </c>
      <c r="D154" s="1" t="n">
        <v>44827</v>
      </c>
      <c r="E154" s="1" t="n">
        <v>46220</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52044-2021</t>
        </is>
      </c>
      <c r="B155" t="inlineStr">
        <is>
          <t>avverkningsanmälan</t>
        </is>
      </c>
      <c r="C155" t="inlineStr">
        <is>
          <t>Föryngringsavverkning</t>
        </is>
      </c>
      <c r="D155" s="1" t="n">
        <v>44463</v>
      </c>
      <c r="E155" s="1" t="n">
        <v>46220</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53822-2023</t>
        </is>
      </c>
      <c r="B156" t="inlineStr">
        <is>
          <t>avverkningsanmälan</t>
        </is>
      </c>
      <c r="C156" t="inlineStr">
        <is>
          <t>Föryngringsavverkning</t>
        </is>
      </c>
      <c r="D156" s="1" t="n">
        <v>45231</v>
      </c>
      <c r="E156" s="1" t="n">
        <v>46220</v>
      </c>
      <c r="F156" t="inlineStr">
        <is>
          <t>SÖDERMANLANDS LÄN</t>
        </is>
      </c>
      <c r="G156" t="inlineStr">
        <is>
          <t>KATRINEHOLM</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30981-2022</t>
        </is>
      </c>
      <c r="B157" t="inlineStr">
        <is>
          <t>avverkningsanmälan</t>
        </is>
      </c>
      <c r="C157" t="inlineStr">
        <is>
          <t>Föryngringsavverkning</t>
        </is>
      </c>
      <c r="D157" s="1" t="n">
        <v>44768</v>
      </c>
      <c r="E157" s="1" t="n">
        <v>46220</v>
      </c>
      <c r="F157" t="inlineStr">
        <is>
          <t>SÖDERMANLANDS LÄN</t>
        </is>
      </c>
      <c r="G157" t="inlineStr">
        <is>
          <t>KATRINEHOLM</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6789-2022</t>
        </is>
      </c>
      <c r="B158" t="inlineStr">
        <is>
          <t>avverkningsanmälan</t>
        </is>
      </c>
      <c r="C158" t="inlineStr">
        <is>
          <t>Föryngringsavverkning</t>
        </is>
      </c>
      <c r="D158" s="1" t="n">
        <v>44602</v>
      </c>
      <c r="E158" s="1" t="n">
        <v>46220</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s="2" t="inlineStr"/>
    </row>
    <row r="159" ht="15" customHeight="1">
      <c r="A159" t="inlineStr">
        <is>
          <t>A 21576-2022</t>
        </is>
      </c>
      <c r="B159" t="inlineStr">
        <is>
          <t>avverkningsanmälan</t>
        </is>
      </c>
      <c r="C159" t="inlineStr">
        <is>
          <t>Föryngringsavverkning</t>
        </is>
      </c>
      <c r="D159" s="1" t="n">
        <v>44706</v>
      </c>
      <c r="E159" s="1" t="n">
        <v>46220</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s="2" t="inlineStr"/>
    </row>
    <row r="160" ht="15" customHeight="1">
      <c r="A160" t="inlineStr">
        <is>
          <t>A 43967-2022</t>
        </is>
      </c>
      <c r="B160" t="inlineStr">
        <is>
          <t>avverkningsanmälan</t>
        </is>
      </c>
      <c r="C160" t="inlineStr">
        <is>
          <t>Föryngringsavverkning</t>
        </is>
      </c>
      <c r="D160" s="1" t="n">
        <v>44837</v>
      </c>
      <c r="E160" s="1" t="n">
        <v>46220</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s="2" t="inlineStr"/>
    </row>
    <row r="161" ht="15" customHeight="1">
      <c r="A161" t="inlineStr">
        <is>
          <t>A 44012-2022</t>
        </is>
      </c>
      <c r="B161" t="inlineStr">
        <is>
          <t>avverkningsanmälan</t>
        </is>
      </c>
      <c r="C161" t="inlineStr">
        <is>
          <t>Föryngringsavverkning</t>
        </is>
      </c>
      <c r="D161" s="1" t="n">
        <v>44838</v>
      </c>
      <c r="E161" s="1" t="n">
        <v>46220</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s="2" t="inlineStr"/>
    </row>
    <row r="162" ht="15" customHeight="1">
      <c r="A162" t="inlineStr">
        <is>
          <t>A 51835-2022</t>
        </is>
      </c>
      <c r="B162" t="inlineStr">
        <is>
          <t>avverkningsanmälan</t>
        </is>
      </c>
      <c r="C162" t="inlineStr">
        <is>
          <t>Föryngringsavverkning</t>
        </is>
      </c>
      <c r="D162" s="1" t="n">
        <v>44872</v>
      </c>
      <c r="E162" s="1" t="n">
        <v>46220</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35088-2022</t>
        </is>
      </c>
      <c r="B163" t="inlineStr">
        <is>
          <t>avverkningsanmälan</t>
        </is>
      </c>
      <c r="C163" t="inlineStr">
        <is>
          <t>Föryngringsavverkning</t>
        </is>
      </c>
      <c r="D163" s="1" t="n">
        <v>44797</v>
      </c>
      <c r="E163" s="1" t="n">
        <v>46220</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s="2" t="inlineStr"/>
    </row>
    <row r="164" ht="15" customHeight="1">
      <c r="A164" t="inlineStr">
        <is>
          <t>A 24099-2022</t>
        </is>
      </c>
      <c r="B164" t="inlineStr">
        <is>
          <t>avverkningsanmälan</t>
        </is>
      </c>
      <c r="C164" t="inlineStr">
        <is>
          <t>Avverkning för annat ändamål</t>
        </is>
      </c>
      <c r="D164" s="1" t="n">
        <v>44725</v>
      </c>
      <c r="E164" s="1" t="n">
        <v>46220</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33753-2022</t>
        </is>
      </c>
      <c r="B165" t="inlineStr">
        <is>
          <t>avverkningsanmälan</t>
        </is>
      </c>
      <c r="C165" t="inlineStr">
        <is>
          <t>Föryngringsavverkning</t>
        </is>
      </c>
      <c r="D165" s="1" t="n">
        <v>44789</v>
      </c>
      <c r="E165" s="1" t="n">
        <v>46220</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s="2" t="inlineStr"/>
    </row>
    <row r="166" ht="15" customHeight="1">
      <c r="A166" t="inlineStr">
        <is>
          <t>A 60596-2021</t>
        </is>
      </c>
      <c r="B166" t="inlineStr">
        <is>
          <t>avverkningsanmälan</t>
        </is>
      </c>
      <c r="C166" t="inlineStr">
        <is>
          <t>Föryngringsavverkning</t>
        </is>
      </c>
      <c r="D166" s="1" t="n">
        <v>44496</v>
      </c>
      <c r="E166" s="1" t="n">
        <v>46220</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53791-2021</t>
        </is>
      </c>
      <c r="B167" t="inlineStr">
        <is>
          <t>avverkningsanmälan</t>
        </is>
      </c>
      <c r="C167" t="inlineStr">
        <is>
          <t>Föryngringsavverkning</t>
        </is>
      </c>
      <c r="D167" s="1" t="n">
        <v>44467</v>
      </c>
      <c r="E167" s="1" t="n">
        <v>46220</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38607-2021</t>
        </is>
      </c>
      <c r="B168" t="inlineStr">
        <is>
          <t>avverkningsanmälan</t>
        </is>
      </c>
      <c r="C168" t="inlineStr">
        <is>
          <t>Föryngringsavverkning</t>
        </is>
      </c>
      <c r="D168" s="1" t="n">
        <v>44409</v>
      </c>
      <c r="E168" s="1" t="n">
        <v>46220</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38606-2021</t>
        </is>
      </c>
      <c r="B169" t="inlineStr">
        <is>
          <t>avverkningsanmälan</t>
        </is>
      </c>
      <c r="C169" t="inlineStr">
        <is>
          <t>Föryngringsavverkning</t>
        </is>
      </c>
      <c r="D169" s="1" t="n">
        <v>44409</v>
      </c>
      <c r="E169" s="1" t="n">
        <v>46220</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7189-2022</t>
        </is>
      </c>
      <c r="B170" t="inlineStr">
        <is>
          <t>avverkningsanmälan</t>
        </is>
      </c>
      <c r="C170" t="inlineStr">
        <is>
          <t>Föryngringsavverkning</t>
        </is>
      </c>
      <c r="D170" s="1" t="n">
        <v>44605</v>
      </c>
      <c r="E170" s="1" t="n">
        <v>46220</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54698-2021</t>
        </is>
      </c>
      <c r="B171" t="inlineStr">
        <is>
          <t>avverkningsanmälan</t>
        </is>
      </c>
      <c r="C171" t="inlineStr">
        <is>
          <t>Föryngringsavverkning</t>
        </is>
      </c>
      <c r="D171" s="1" t="n">
        <v>44473</v>
      </c>
      <c r="E171" s="1" t="n">
        <v>46220</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12658-2022</t>
        </is>
      </c>
      <c r="B172" t="inlineStr">
        <is>
          <t>avverkningsanmälan</t>
        </is>
      </c>
      <c r="C172" t="inlineStr">
        <is>
          <t>Föryngringsavverkning</t>
        </is>
      </c>
      <c r="D172" s="1" t="n">
        <v>44641</v>
      </c>
      <c r="E172" s="1" t="n">
        <v>46220</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46412-2022</t>
        </is>
      </c>
      <c r="B173" t="inlineStr">
        <is>
          <t>avverkningsanmälan</t>
        </is>
      </c>
      <c r="C173" t="inlineStr">
        <is>
          <t>Föryngringsavverkning</t>
        </is>
      </c>
      <c r="D173" s="1" t="n">
        <v>44848</v>
      </c>
      <c r="E173" s="1" t="n">
        <v>46220</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56572-2021</t>
        </is>
      </c>
      <c r="B174" t="inlineStr">
        <is>
          <t>avverkningsanmälan</t>
        </is>
      </c>
      <c r="C174" t="inlineStr">
        <is>
          <t>Föryngringsavverkning</t>
        </is>
      </c>
      <c r="D174" s="1" t="n">
        <v>44480</v>
      </c>
      <c r="E174" s="1" t="n">
        <v>46220</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9419-2022</t>
        </is>
      </c>
      <c r="B175" t="inlineStr">
        <is>
          <t>avverkningsanmälan</t>
        </is>
      </c>
      <c r="C175" t="inlineStr">
        <is>
          <t>Föryngringsavverkning</t>
        </is>
      </c>
      <c r="D175" s="1" t="n">
        <v>44616</v>
      </c>
      <c r="E175" s="1" t="n">
        <v>46220</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51885-2022</t>
        </is>
      </c>
      <c r="B176" t="inlineStr">
        <is>
          <t>avverkningsanmälan</t>
        </is>
      </c>
      <c r="C176" t="inlineStr">
        <is>
          <t>Föryngringsavverkning</t>
        </is>
      </c>
      <c r="D176" s="1" t="n">
        <v>44872</v>
      </c>
      <c r="E176" s="1" t="n">
        <v>46220</v>
      </c>
      <c r="F176" t="inlineStr">
        <is>
          <t>SÖDERMANLANDS LÄN</t>
        </is>
      </c>
      <c r="G176" t="inlineStr">
        <is>
          <t>KATRINEHOLM</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42735-2022</t>
        </is>
      </c>
      <c r="B177" t="inlineStr">
        <is>
          <t>avverkningsanmälan</t>
        </is>
      </c>
      <c r="C177" t="inlineStr">
        <is>
          <t>Föryngringsavverkning</t>
        </is>
      </c>
      <c r="D177" s="1" t="n">
        <v>44832</v>
      </c>
      <c r="E177" s="1" t="n">
        <v>46220</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66801-2021</t>
        </is>
      </c>
      <c r="B178" t="inlineStr">
        <is>
          <t>avverkningsanmälan</t>
        </is>
      </c>
      <c r="C178" t="inlineStr">
        <is>
          <t>Föryngringsavverkning</t>
        </is>
      </c>
      <c r="D178" s="1" t="n">
        <v>44522</v>
      </c>
      <c r="E178" s="1" t="n">
        <v>46220</v>
      </c>
      <c r="F178" t="inlineStr">
        <is>
          <t>SÖDERMANLANDS LÄN</t>
        </is>
      </c>
      <c r="G178" t="inlineStr">
        <is>
          <t>KATRINEHOLM</t>
        </is>
      </c>
      <c r="H178" t="inlineStr">
        <is>
          <t>Holmen skog AB</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45038-2022</t>
        </is>
      </c>
      <c r="B179" t="inlineStr">
        <is>
          <t>avverkningsanmälan</t>
        </is>
      </c>
      <c r="C179" t="inlineStr">
        <is>
          <t>Föryngringsavverkning</t>
        </is>
      </c>
      <c r="D179" s="1" t="n">
        <v>44840</v>
      </c>
      <c r="E179" s="1" t="n">
        <v>46220</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s="2" t="inlineStr"/>
    </row>
    <row r="180" ht="15" customHeight="1">
      <c r="A180" t="inlineStr">
        <is>
          <t>A 67351-2021</t>
        </is>
      </c>
      <c r="B180" t="inlineStr">
        <is>
          <t>avverkningsanmälan</t>
        </is>
      </c>
      <c r="C180" t="inlineStr">
        <is>
          <t>Föryngringsavverkning</t>
        </is>
      </c>
      <c r="D180" s="1" t="n">
        <v>44523</v>
      </c>
      <c r="E180" s="1" t="n">
        <v>46220</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s="2" t="inlineStr"/>
    </row>
    <row r="181" ht="15" customHeight="1">
      <c r="A181" t="inlineStr">
        <is>
          <t>A 24098-2022</t>
        </is>
      </c>
      <c r="B181" t="inlineStr">
        <is>
          <t>avverkningsanmälan</t>
        </is>
      </c>
      <c r="C181" t="inlineStr">
        <is>
          <t>Föryngringsavverkning</t>
        </is>
      </c>
      <c r="D181" s="1" t="n">
        <v>44725</v>
      </c>
      <c r="E181" s="1" t="n">
        <v>46220</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65162-2021</t>
        </is>
      </c>
      <c r="B182" t="inlineStr">
        <is>
          <t>avverkningsanmälan</t>
        </is>
      </c>
      <c r="C182" t="inlineStr">
        <is>
          <t>Föryngringsavverkning</t>
        </is>
      </c>
      <c r="D182" s="1" t="n">
        <v>44512</v>
      </c>
      <c r="E182" s="1" t="n">
        <v>46220</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30567-2022</t>
        </is>
      </c>
      <c r="B183" t="inlineStr">
        <is>
          <t>avverkningsanmälan</t>
        </is>
      </c>
      <c r="C183" t="inlineStr">
        <is>
          <t>Föryngringsavverkning</t>
        </is>
      </c>
      <c r="D183" s="1" t="n">
        <v>44762</v>
      </c>
      <c r="E183" s="1" t="n">
        <v>46220</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34040-2022</t>
        </is>
      </c>
      <c r="B184" t="inlineStr">
        <is>
          <t>avverkningsanmälan</t>
        </is>
      </c>
      <c r="C184" t="inlineStr">
        <is>
          <t>Föryngringsavverkning</t>
        </is>
      </c>
      <c r="D184" s="1" t="n">
        <v>44790</v>
      </c>
      <c r="E184" s="1" t="n">
        <v>46220</v>
      </c>
      <c r="F184" t="inlineStr">
        <is>
          <t>SÖDERMANLANDS LÄN</t>
        </is>
      </c>
      <c r="G184" t="inlineStr">
        <is>
          <t>KATRINEHOLM</t>
        </is>
      </c>
      <c r="H184" t="inlineStr">
        <is>
          <t>Allmännings- och besparingsskogar</t>
        </is>
      </c>
      <c r="I184" t="n">
        <v>2.5</v>
      </c>
      <c r="J184" t="n">
        <v>0</v>
      </c>
      <c r="K184" t="n">
        <v>0</v>
      </c>
      <c r="L184" t="n">
        <v>0</v>
      </c>
      <c r="M184" t="n">
        <v>0</v>
      </c>
      <c r="N184" t="n">
        <v>0</v>
      </c>
      <c r="O184" t="n">
        <v>0</v>
      </c>
      <c r="P184" t="n">
        <v>0</v>
      </c>
      <c r="Q184" t="n">
        <v>0</v>
      </c>
      <c r="R184" t="n">
        <v>0</v>
      </c>
      <c r="S184" t="n">
        <v>0</v>
      </c>
      <c r="T184" t="n">
        <v>0</v>
      </c>
      <c r="U184" s="2" t="inlineStr"/>
    </row>
    <row r="185" ht="15" customHeight="1">
      <c r="A185" t="inlineStr">
        <is>
          <t>A 71129-2021</t>
        </is>
      </c>
      <c r="B185" t="inlineStr">
        <is>
          <t>avverkningsanmälan</t>
        </is>
      </c>
      <c r="C185" t="inlineStr">
        <is>
          <t>Föryngringsavverkning</t>
        </is>
      </c>
      <c r="D185" s="1" t="n">
        <v>44539</v>
      </c>
      <c r="E185" s="1" t="n">
        <v>46220</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45147-2021</t>
        </is>
      </c>
      <c r="B186" t="inlineStr">
        <is>
          <t>avverkningsanmälan</t>
        </is>
      </c>
      <c r="C186" t="inlineStr">
        <is>
          <t>Föryngringsavverkning</t>
        </is>
      </c>
      <c r="D186" s="1" t="n">
        <v>44439</v>
      </c>
      <c r="E186" s="1" t="n">
        <v>46220</v>
      </c>
      <c r="F186" t="inlineStr">
        <is>
          <t>SÖDERMANLANDS LÄN</t>
        </is>
      </c>
      <c r="G186" t="inlineStr">
        <is>
          <t>KATRINEHOLM</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40749-2022</t>
        </is>
      </c>
      <c r="B187" t="inlineStr">
        <is>
          <t>avverkningsanmälan</t>
        </is>
      </c>
      <c r="C187" t="inlineStr">
        <is>
          <t>Föryngringsavverkning</t>
        </is>
      </c>
      <c r="D187" s="1" t="n">
        <v>44824</v>
      </c>
      <c r="E187" s="1" t="n">
        <v>46220</v>
      </c>
      <c r="F187" t="inlineStr">
        <is>
          <t>SÖDERMANLANDS LÄN</t>
        </is>
      </c>
      <c r="G187" t="inlineStr">
        <is>
          <t>KATRINEHOLM</t>
        </is>
      </c>
      <c r="I187" t="n">
        <v>0.2</v>
      </c>
      <c r="J187" t="n">
        <v>0</v>
      </c>
      <c r="K187" t="n">
        <v>0</v>
      </c>
      <c r="L187" t="n">
        <v>0</v>
      </c>
      <c r="M187" t="n">
        <v>0</v>
      </c>
      <c r="N187" t="n">
        <v>0</v>
      </c>
      <c r="O187" t="n">
        <v>0</v>
      </c>
      <c r="P187" t="n">
        <v>0</v>
      </c>
      <c r="Q187" t="n">
        <v>0</v>
      </c>
      <c r="R187" t="n">
        <v>0</v>
      </c>
      <c r="S187" t="n">
        <v>0</v>
      </c>
      <c r="T187" t="n">
        <v>0</v>
      </c>
      <c r="U187" s="2" t="inlineStr"/>
    </row>
    <row r="188" ht="15" customHeight="1">
      <c r="A188" t="inlineStr">
        <is>
          <t>A 39120-2023</t>
        </is>
      </c>
      <c r="B188" t="inlineStr">
        <is>
          <t>avverkningsanmälan</t>
        </is>
      </c>
      <c r="C188" t="inlineStr">
        <is>
          <t>Föryngringsavverkning</t>
        </is>
      </c>
      <c r="D188" s="1" t="n">
        <v>45165</v>
      </c>
      <c r="E188" s="1" t="n">
        <v>46220</v>
      </c>
      <c r="F188" t="inlineStr">
        <is>
          <t>SÖDERMANLANDS LÄN</t>
        </is>
      </c>
      <c r="G188" t="inlineStr">
        <is>
          <t>KATRINEHOLM</t>
        </is>
      </c>
      <c r="I188" t="n">
        <v>4.4</v>
      </c>
      <c r="J188" t="n">
        <v>0</v>
      </c>
      <c r="K188" t="n">
        <v>0</v>
      </c>
      <c r="L188" t="n">
        <v>0</v>
      </c>
      <c r="M188" t="n">
        <v>0</v>
      </c>
      <c r="N188" t="n">
        <v>0</v>
      </c>
      <c r="O188" t="n">
        <v>0</v>
      </c>
      <c r="P188" t="n">
        <v>0</v>
      </c>
      <c r="Q188" t="n">
        <v>0</v>
      </c>
      <c r="R188" t="n">
        <v>0</v>
      </c>
      <c r="S188" t="n">
        <v>0</v>
      </c>
      <c r="T188" t="n">
        <v>0</v>
      </c>
      <c r="U188" s="2" t="inlineStr"/>
    </row>
    <row r="189" ht="15" customHeight="1">
      <c r="A189" t="inlineStr">
        <is>
          <t>A 50061-2022</t>
        </is>
      </c>
      <c r="B189" t="inlineStr">
        <is>
          <t>avverkningsanmälan</t>
        </is>
      </c>
      <c r="C189" t="inlineStr">
        <is>
          <t>Föryngringsavverkning</t>
        </is>
      </c>
      <c r="D189" s="1" t="n">
        <v>44865</v>
      </c>
      <c r="E189" s="1" t="n">
        <v>46220</v>
      </c>
      <c r="F189" t="inlineStr">
        <is>
          <t>SÖDERMANLANDS LÄN</t>
        </is>
      </c>
      <c r="G189" t="inlineStr">
        <is>
          <t>KATRINEHOLM</t>
        </is>
      </c>
      <c r="I189" t="n">
        <v>4.9</v>
      </c>
      <c r="J189" t="n">
        <v>0</v>
      </c>
      <c r="K189" t="n">
        <v>0</v>
      </c>
      <c r="L189" t="n">
        <v>0</v>
      </c>
      <c r="M189" t="n">
        <v>0</v>
      </c>
      <c r="N189" t="n">
        <v>0</v>
      </c>
      <c r="O189" t="n">
        <v>0</v>
      </c>
      <c r="P189" t="n">
        <v>0</v>
      </c>
      <c r="Q189" t="n">
        <v>0</v>
      </c>
      <c r="R189" t="n">
        <v>0</v>
      </c>
      <c r="S189" t="n">
        <v>0</v>
      </c>
      <c r="T189" t="n">
        <v>0</v>
      </c>
      <c r="U189" s="2" t="inlineStr"/>
    </row>
    <row r="190" ht="15" customHeight="1">
      <c r="A190" t="inlineStr">
        <is>
          <t>A 24287-2024</t>
        </is>
      </c>
      <c r="B190" t="inlineStr">
        <is>
          <t>avverkningsanmälan</t>
        </is>
      </c>
      <c r="C190" t="inlineStr">
        <is>
          <t>Föryngringsavverkning</t>
        </is>
      </c>
      <c r="D190" s="1" t="n">
        <v>45457</v>
      </c>
      <c r="E190" s="1" t="n">
        <v>46220</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33934-2022</t>
        </is>
      </c>
      <c r="B191" t="inlineStr">
        <is>
          <t>avverkningsanmälan</t>
        </is>
      </c>
      <c r="C191" t="inlineStr">
        <is>
          <t>Föryngringsavverkning</t>
        </is>
      </c>
      <c r="D191" s="1" t="n">
        <v>44790</v>
      </c>
      <c r="E191" s="1" t="n">
        <v>46220</v>
      </c>
      <c r="F191" t="inlineStr">
        <is>
          <t>SÖDERMANLANDS LÄN</t>
        </is>
      </c>
      <c r="G191" t="inlineStr">
        <is>
          <t>KATRINEHOLM</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74354-2021</t>
        </is>
      </c>
      <c r="B192" t="inlineStr">
        <is>
          <t>avverkningsanmälan</t>
        </is>
      </c>
      <c r="C192" t="inlineStr">
        <is>
          <t>Föryngringsavverkning</t>
        </is>
      </c>
      <c r="D192" s="1" t="n">
        <v>44559</v>
      </c>
      <c r="E192" s="1" t="n">
        <v>46220</v>
      </c>
      <c r="F192" t="inlineStr">
        <is>
          <t>SÖDERMANLANDS LÄN</t>
        </is>
      </c>
      <c r="G192" t="inlineStr">
        <is>
          <t>KATRINEHOLM</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10732-2022</t>
        </is>
      </c>
      <c r="B193" t="inlineStr">
        <is>
          <t>avverkningsanmälan</t>
        </is>
      </c>
      <c r="C193" t="inlineStr">
        <is>
          <t>Föryngringsavverkning</t>
        </is>
      </c>
      <c r="D193" s="1" t="n">
        <v>44627</v>
      </c>
      <c r="E193" s="1" t="n">
        <v>46220</v>
      </c>
      <c r="F193" t="inlineStr">
        <is>
          <t>SÖDERMANLANDS LÄN</t>
        </is>
      </c>
      <c r="G193" t="inlineStr">
        <is>
          <t>KATRINEHOLM</t>
        </is>
      </c>
      <c r="I193" t="n">
        <v>2.4</v>
      </c>
      <c r="J193" t="n">
        <v>0</v>
      </c>
      <c r="K193" t="n">
        <v>0</v>
      </c>
      <c r="L193" t="n">
        <v>0</v>
      </c>
      <c r="M193" t="n">
        <v>0</v>
      </c>
      <c r="N193" t="n">
        <v>0</v>
      </c>
      <c r="O193" t="n">
        <v>0</v>
      </c>
      <c r="P193" t="n">
        <v>0</v>
      </c>
      <c r="Q193" t="n">
        <v>0</v>
      </c>
      <c r="R193" t="n">
        <v>0</v>
      </c>
      <c r="S193" t="n">
        <v>0</v>
      </c>
      <c r="T193" t="n">
        <v>0</v>
      </c>
      <c r="U193" s="2" t="inlineStr"/>
    </row>
    <row r="194" ht="15" customHeight="1">
      <c r="A194" t="inlineStr">
        <is>
          <t>A 9699-2024</t>
        </is>
      </c>
      <c r="B194" t="inlineStr">
        <is>
          <t>avverkningsanmälan</t>
        </is>
      </c>
      <c r="C194" t="inlineStr">
        <is>
          <t>Föryngringsavverkning</t>
        </is>
      </c>
      <c r="D194" s="1" t="n">
        <v>45362</v>
      </c>
      <c r="E194" s="1" t="n">
        <v>46220</v>
      </c>
      <c r="F194" t="inlineStr">
        <is>
          <t>SÖDERMANLANDS LÄN</t>
        </is>
      </c>
      <c r="G194" t="inlineStr">
        <is>
          <t>KATRINEHOLM</t>
        </is>
      </c>
      <c r="I194" t="n">
        <v>7.7</v>
      </c>
      <c r="J194" t="n">
        <v>0</v>
      </c>
      <c r="K194" t="n">
        <v>0</v>
      </c>
      <c r="L194" t="n">
        <v>0</v>
      </c>
      <c r="M194" t="n">
        <v>0</v>
      </c>
      <c r="N194" t="n">
        <v>0</v>
      </c>
      <c r="O194" t="n">
        <v>0</v>
      </c>
      <c r="P194" t="n">
        <v>0</v>
      </c>
      <c r="Q194" t="n">
        <v>0</v>
      </c>
      <c r="R194" t="n">
        <v>0</v>
      </c>
      <c r="S194" t="n">
        <v>0</v>
      </c>
      <c r="T194" t="n">
        <v>0</v>
      </c>
      <c r="U194" s="2" t="inlineStr"/>
    </row>
    <row r="195" ht="15" customHeight="1">
      <c r="A195" t="inlineStr">
        <is>
          <t>A 33001-2024</t>
        </is>
      </c>
      <c r="B195" t="inlineStr">
        <is>
          <t>avverkningsanmälan</t>
        </is>
      </c>
      <c r="C195" t="inlineStr">
        <is>
          <t>Föryngringsavverkning</t>
        </is>
      </c>
      <c r="D195" s="1" t="n">
        <v>45517</v>
      </c>
      <c r="E195" s="1" t="n">
        <v>46220</v>
      </c>
      <c r="F195" t="inlineStr">
        <is>
          <t>SÖDERMANLANDS LÄN</t>
        </is>
      </c>
      <c r="G195" t="inlineStr">
        <is>
          <t>KATRINEHOLM</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55034-2021</t>
        </is>
      </c>
      <c r="B196" t="inlineStr">
        <is>
          <t>avverkningsanmälan</t>
        </is>
      </c>
      <c r="C196" t="inlineStr">
        <is>
          <t>Föryngringsavverkning</t>
        </is>
      </c>
      <c r="D196" s="1" t="n">
        <v>44474</v>
      </c>
      <c r="E196" s="1" t="n">
        <v>46220</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s="2" t="inlineStr"/>
    </row>
    <row r="197" ht="15" customHeight="1">
      <c r="A197" t="inlineStr">
        <is>
          <t>A 48259-2022</t>
        </is>
      </c>
      <c r="B197" t="inlineStr">
        <is>
          <t>avverkningsanmälan</t>
        </is>
      </c>
      <c r="C197" t="inlineStr">
        <is>
          <t>Föryngringsavverkning</t>
        </is>
      </c>
      <c r="D197" s="1" t="n">
        <v>44858</v>
      </c>
      <c r="E197" s="1" t="n">
        <v>46220</v>
      </c>
      <c r="F197" t="inlineStr">
        <is>
          <t>SÖDERMANLANDS LÄN</t>
        </is>
      </c>
      <c r="G197" t="inlineStr">
        <is>
          <t>KATRINEHOLM</t>
        </is>
      </c>
      <c r="I197" t="n">
        <v>3.5</v>
      </c>
      <c r="J197" t="n">
        <v>0</v>
      </c>
      <c r="K197" t="n">
        <v>0</v>
      </c>
      <c r="L197" t="n">
        <v>0</v>
      </c>
      <c r="M197" t="n">
        <v>0</v>
      </c>
      <c r="N197" t="n">
        <v>0</v>
      </c>
      <c r="O197" t="n">
        <v>0</v>
      </c>
      <c r="P197" t="n">
        <v>0</v>
      </c>
      <c r="Q197" t="n">
        <v>0</v>
      </c>
      <c r="R197" t="n">
        <v>0</v>
      </c>
      <c r="S197" t="n">
        <v>0</v>
      </c>
      <c r="T197" t="n">
        <v>0</v>
      </c>
      <c r="U197" s="2" t="inlineStr"/>
    </row>
    <row r="198" ht="15" customHeight="1">
      <c r="A198" t="inlineStr">
        <is>
          <t>A 29397-2024</t>
        </is>
      </c>
      <c r="B198" t="inlineStr">
        <is>
          <t>avverkningsanmälan</t>
        </is>
      </c>
      <c r="C198" t="inlineStr">
        <is>
          <t>Föryngringsavverkning</t>
        </is>
      </c>
      <c r="D198" s="1" t="n">
        <v>45483</v>
      </c>
      <c r="E198" s="1" t="n">
        <v>46220</v>
      </c>
      <c r="F198" t="inlineStr">
        <is>
          <t>SÖDERMANLANDS LÄN</t>
        </is>
      </c>
      <c r="G198" t="inlineStr">
        <is>
          <t>KATRINEHOLM</t>
        </is>
      </c>
      <c r="I198" t="n">
        <v>3.4</v>
      </c>
      <c r="J198" t="n">
        <v>0</v>
      </c>
      <c r="K198" t="n">
        <v>0</v>
      </c>
      <c r="L198" t="n">
        <v>0</v>
      </c>
      <c r="M198" t="n">
        <v>0</v>
      </c>
      <c r="N198" t="n">
        <v>0</v>
      </c>
      <c r="O198" t="n">
        <v>0</v>
      </c>
      <c r="P198" t="n">
        <v>0</v>
      </c>
      <c r="Q198" t="n">
        <v>0</v>
      </c>
      <c r="R198" t="n">
        <v>0</v>
      </c>
      <c r="S198" t="n">
        <v>0</v>
      </c>
      <c r="T198" t="n">
        <v>0</v>
      </c>
      <c r="U198" s="2" t="inlineStr"/>
    </row>
    <row r="199" ht="15" customHeight="1">
      <c r="A199" t="inlineStr">
        <is>
          <t>A 6807-2023</t>
        </is>
      </c>
      <c r="B199" t="inlineStr">
        <is>
          <t>avverkningsanmälan</t>
        </is>
      </c>
      <c r="C199" t="inlineStr">
        <is>
          <t>Föryngringsavverkning</t>
        </is>
      </c>
      <c r="D199" s="1" t="n">
        <v>44964</v>
      </c>
      <c r="E199" s="1" t="n">
        <v>46220</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24179-2024</t>
        </is>
      </c>
      <c r="B200" t="inlineStr">
        <is>
          <t>avverkningsanmälan</t>
        </is>
      </c>
      <c r="C200" t="inlineStr">
        <is>
          <t>Föryngringsavverkning</t>
        </is>
      </c>
      <c r="D200" s="1" t="n">
        <v>45456</v>
      </c>
      <c r="E200" s="1" t="n">
        <v>46220</v>
      </c>
      <c r="F200" t="inlineStr">
        <is>
          <t>SÖDERMANLANDS LÄN</t>
        </is>
      </c>
      <c r="G200" t="inlineStr">
        <is>
          <t>KATRINEHOLM</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30276-2023</t>
        </is>
      </c>
      <c r="B201" t="inlineStr">
        <is>
          <t>avverkningsanmälan</t>
        </is>
      </c>
      <c r="C201" t="inlineStr">
        <is>
          <t>Föryngringsavverkning</t>
        </is>
      </c>
      <c r="D201" s="1" t="n">
        <v>45110</v>
      </c>
      <c r="E201" s="1" t="n">
        <v>46220</v>
      </c>
      <c r="F201" t="inlineStr">
        <is>
          <t>SÖDERMANLANDS LÄN</t>
        </is>
      </c>
      <c r="G201" t="inlineStr">
        <is>
          <t>KATRINEHOLM</t>
        </is>
      </c>
      <c r="I201" t="n">
        <v>2.3</v>
      </c>
      <c r="J201" t="n">
        <v>0</v>
      </c>
      <c r="K201" t="n">
        <v>0</v>
      </c>
      <c r="L201" t="n">
        <v>0</v>
      </c>
      <c r="M201" t="n">
        <v>0</v>
      </c>
      <c r="N201" t="n">
        <v>0</v>
      </c>
      <c r="O201" t="n">
        <v>0</v>
      </c>
      <c r="P201" t="n">
        <v>0</v>
      </c>
      <c r="Q201" t="n">
        <v>0</v>
      </c>
      <c r="R201" t="n">
        <v>0</v>
      </c>
      <c r="S201" t="n">
        <v>0</v>
      </c>
      <c r="T201" t="n">
        <v>0</v>
      </c>
      <c r="U201" s="2" t="inlineStr"/>
    </row>
    <row r="202" ht="15" customHeight="1">
      <c r="A202" t="inlineStr">
        <is>
          <t>A 42791-2023</t>
        </is>
      </c>
      <c r="B202" t="inlineStr">
        <is>
          <t>avverkningsanmälan</t>
        </is>
      </c>
      <c r="C202" t="inlineStr">
        <is>
          <t>Föryngringsavverkning</t>
        </is>
      </c>
      <c r="D202" s="1" t="n">
        <v>45181</v>
      </c>
      <c r="E202" s="1" t="n">
        <v>46220</v>
      </c>
      <c r="F202" t="inlineStr">
        <is>
          <t>SÖDERMANLANDS LÄN</t>
        </is>
      </c>
      <c r="G202" t="inlineStr">
        <is>
          <t>KATRINEHOLM</t>
        </is>
      </c>
      <c r="I202" t="n">
        <v>4.1</v>
      </c>
      <c r="J202" t="n">
        <v>0</v>
      </c>
      <c r="K202" t="n">
        <v>0</v>
      </c>
      <c r="L202" t="n">
        <v>0</v>
      </c>
      <c r="M202" t="n">
        <v>0</v>
      </c>
      <c r="N202" t="n">
        <v>0</v>
      </c>
      <c r="O202" t="n">
        <v>0</v>
      </c>
      <c r="P202" t="n">
        <v>0</v>
      </c>
      <c r="Q202" t="n">
        <v>0</v>
      </c>
      <c r="R202" t="n">
        <v>0</v>
      </c>
      <c r="S202" t="n">
        <v>0</v>
      </c>
      <c r="T202" t="n">
        <v>0</v>
      </c>
      <c r="U202" s="2" t="inlineStr"/>
    </row>
    <row r="203" ht="15" customHeight="1">
      <c r="A203" t="inlineStr">
        <is>
          <t>A 42792-2023</t>
        </is>
      </c>
      <c r="B203" t="inlineStr">
        <is>
          <t>avverkningsanmälan</t>
        </is>
      </c>
      <c r="C203" t="inlineStr">
        <is>
          <t>Föryngringsavverkning</t>
        </is>
      </c>
      <c r="D203" s="1" t="n">
        <v>45181</v>
      </c>
      <c r="E203" s="1" t="n">
        <v>46220</v>
      </c>
      <c r="F203" t="inlineStr">
        <is>
          <t>SÖDERMANLANDS LÄN</t>
        </is>
      </c>
      <c r="G203" t="inlineStr">
        <is>
          <t>KATRINEHOLM</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7459-2022</t>
        </is>
      </c>
      <c r="B204" t="inlineStr">
        <is>
          <t>avverkningsanmälan</t>
        </is>
      </c>
      <c r="C204" t="inlineStr">
        <is>
          <t>Föryngringsavverkning</t>
        </is>
      </c>
      <c r="D204" s="1" t="n">
        <v>44607</v>
      </c>
      <c r="E204" s="1" t="n">
        <v>46220</v>
      </c>
      <c r="F204" t="inlineStr">
        <is>
          <t>SÖDERMANLANDS LÄN</t>
        </is>
      </c>
      <c r="G204" t="inlineStr">
        <is>
          <t>KATRINEHOLM</t>
        </is>
      </c>
      <c r="I204" t="n">
        <v>2</v>
      </c>
      <c r="J204" t="n">
        <v>0</v>
      </c>
      <c r="K204" t="n">
        <v>0</v>
      </c>
      <c r="L204" t="n">
        <v>0</v>
      </c>
      <c r="M204" t="n">
        <v>0</v>
      </c>
      <c r="N204" t="n">
        <v>0</v>
      </c>
      <c r="O204" t="n">
        <v>0</v>
      </c>
      <c r="P204" t="n">
        <v>0</v>
      </c>
      <c r="Q204" t="n">
        <v>0</v>
      </c>
      <c r="R204" t="n">
        <v>0</v>
      </c>
      <c r="S204" t="n">
        <v>0</v>
      </c>
      <c r="T204" t="n">
        <v>0</v>
      </c>
      <c r="U204" s="2" t="inlineStr"/>
    </row>
    <row r="205" ht="15" customHeight="1">
      <c r="A205" t="inlineStr">
        <is>
          <t>A 32786-2022</t>
        </is>
      </c>
      <c r="B205" t="inlineStr">
        <is>
          <t>avverkningsanmälan</t>
        </is>
      </c>
      <c r="C205" t="inlineStr">
        <is>
          <t>Föryngringsavverkning</t>
        </is>
      </c>
      <c r="D205" s="1" t="n">
        <v>44784</v>
      </c>
      <c r="E205" s="1" t="n">
        <v>46220</v>
      </c>
      <c r="F205" t="inlineStr">
        <is>
          <t>SÖDERMANLANDS LÄN</t>
        </is>
      </c>
      <c r="G205" t="inlineStr">
        <is>
          <t>KATRINEHOLM</t>
        </is>
      </c>
      <c r="I205" t="n">
        <v>7</v>
      </c>
      <c r="J205" t="n">
        <v>0</v>
      </c>
      <c r="K205" t="n">
        <v>0</v>
      </c>
      <c r="L205" t="n">
        <v>0</v>
      </c>
      <c r="M205" t="n">
        <v>0</v>
      </c>
      <c r="N205" t="n">
        <v>0</v>
      </c>
      <c r="O205" t="n">
        <v>0</v>
      </c>
      <c r="P205" t="n">
        <v>0</v>
      </c>
      <c r="Q205" t="n">
        <v>0</v>
      </c>
      <c r="R205" t="n">
        <v>0</v>
      </c>
      <c r="S205" t="n">
        <v>0</v>
      </c>
      <c r="T205" t="n">
        <v>0</v>
      </c>
      <c r="U205" s="2" t="inlineStr"/>
    </row>
    <row r="206" ht="15" customHeight="1">
      <c r="A206" t="inlineStr">
        <is>
          <t>A 13658-2023</t>
        </is>
      </c>
      <c r="B206" t="inlineStr">
        <is>
          <t>avverkningsanmälan</t>
        </is>
      </c>
      <c r="C206" t="inlineStr">
        <is>
          <t>Föryngringsavverkning</t>
        </is>
      </c>
      <c r="D206" s="1" t="n">
        <v>45006</v>
      </c>
      <c r="E206" s="1" t="n">
        <v>46220</v>
      </c>
      <c r="F206" t="inlineStr">
        <is>
          <t>SÖDERMANLANDS LÄN</t>
        </is>
      </c>
      <c r="G206" t="inlineStr">
        <is>
          <t>KATRINEHOLM</t>
        </is>
      </c>
      <c r="H206" t="inlineStr">
        <is>
          <t>Kyrkan</t>
        </is>
      </c>
      <c r="I206" t="n">
        <v>24.3</v>
      </c>
      <c r="J206" t="n">
        <v>0</v>
      </c>
      <c r="K206" t="n">
        <v>0</v>
      </c>
      <c r="L206" t="n">
        <v>0</v>
      </c>
      <c r="M206" t="n">
        <v>0</v>
      </c>
      <c r="N206" t="n">
        <v>0</v>
      </c>
      <c r="O206" t="n">
        <v>0</v>
      </c>
      <c r="P206" t="n">
        <v>0</v>
      </c>
      <c r="Q206" t="n">
        <v>0</v>
      </c>
      <c r="R206" t="n">
        <v>0</v>
      </c>
      <c r="S206" t="n">
        <v>0</v>
      </c>
      <c r="T206" t="n">
        <v>0</v>
      </c>
      <c r="U206" s="2" t="inlineStr"/>
    </row>
    <row r="207" ht="15" customHeight="1">
      <c r="A207" t="inlineStr">
        <is>
          <t>A 42025-2022</t>
        </is>
      </c>
      <c r="B207" t="inlineStr">
        <is>
          <t>avverkningsanmälan</t>
        </is>
      </c>
      <c r="C207" t="inlineStr">
        <is>
          <t>Föryngringsavverkning</t>
        </is>
      </c>
      <c r="D207" s="1" t="n">
        <v>44830</v>
      </c>
      <c r="E207" s="1" t="n">
        <v>46220</v>
      </c>
      <c r="F207" t="inlineStr">
        <is>
          <t>SÖDERMANLANDS LÄN</t>
        </is>
      </c>
      <c r="G207" t="inlineStr">
        <is>
          <t>KATRINEHOLM</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32890-2024</t>
        </is>
      </c>
      <c r="B208" t="inlineStr">
        <is>
          <t>avverkningsanmälan</t>
        </is>
      </c>
      <c r="C208" t="inlineStr">
        <is>
          <t>Föryngringsavverkning</t>
        </is>
      </c>
      <c r="D208" s="1" t="n">
        <v>45516</v>
      </c>
      <c r="E208" s="1" t="n">
        <v>46220</v>
      </c>
      <c r="F208" t="inlineStr">
        <is>
          <t>SÖDERMANLANDS LÄN</t>
        </is>
      </c>
      <c r="G208" t="inlineStr">
        <is>
          <t>KATRINEHOLM</t>
        </is>
      </c>
      <c r="I208" t="n">
        <v>2.6</v>
      </c>
      <c r="J208" t="n">
        <v>0</v>
      </c>
      <c r="K208" t="n">
        <v>0</v>
      </c>
      <c r="L208" t="n">
        <v>0</v>
      </c>
      <c r="M208" t="n">
        <v>0</v>
      </c>
      <c r="N208" t="n">
        <v>0</v>
      </c>
      <c r="O208" t="n">
        <v>0</v>
      </c>
      <c r="P208" t="n">
        <v>0</v>
      </c>
      <c r="Q208" t="n">
        <v>0</v>
      </c>
      <c r="R208" t="n">
        <v>0</v>
      </c>
      <c r="S208" t="n">
        <v>0</v>
      </c>
      <c r="T208" t="n">
        <v>0</v>
      </c>
      <c r="U208" s="2" t="inlineStr"/>
    </row>
    <row r="209" ht="15" customHeight="1">
      <c r="A209" t="inlineStr">
        <is>
          <t>A 39704-2023</t>
        </is>
      </c>
      <c r="B209" t="inlineStr">
        <is>
          <t>avverkningsanmälan</t>
        </is>
      </c>
      <c r="C209" t="inlineStr">
        <is>
          <t>Föryngringsavverkning</t>
        </is>
      </c>
      <c r="D209" s="1" t="n">
        <v>45167</v>
      </c>
      <c r="E209" s="1" t="n">
        <v>46220</v>
      </c>
      <c r="F209" t="inlineStr">
        <is>
          <t>SÖDERMANLANDS LÄN</t>
        </is>
      </c>
      <c r="G209" t="inlineStr">
        <is>
          <t>KATRINEHOLM</t>
        </is>
      </c>
      <c r="H209" t="inlineStr">
        <is>
          <t>Övriga Aktiebolag</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24748-2024</t>
        </is>
      </c>
      <c r="B210" t="inlineStr">
        <is>
          <t>avverkningsanmälan</t>
        </is>
      </c>
      <c r="C210" t="inlineStr">
        <is>
          <t>Föryngringsavverkning</t>
        </is>
      </c>
      <c r="D210" s="1" t="n">
        <v>45460</v>
      </c>
      <c r="E210" s="1" t="n">
        <v>46220</v>
      </c>
      <c r="F210" t="inlineStr">
        <is>
          <t>SÖDERMANLANDS LÄN</t>
        </is>
      </c>
      <c r="G210" t="inlineStr">
        <is>
          <t>KATRINEHOLM</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15235-2023</t>
        </is>
      </c>
      <c r="B211" t="inlineStr">
        <is>
          <t>avverkningsanmälan</t>
        </is>
      </c>
      <c r="C211" t="inlineStr">
        <is>
          <t>Föryngringsavverkning</t>
        </is>
      </c>
      <c r="D211" s="1" t="n">
        <v>45019</v>
      </c>
      <c r="E211" s="1" t="n">
        <v>46220</v>
      </c>
      <c r="F211" t="inlineStr">
        <is>
          <t>SÖDERMANLANDS LÄN</t>
        </is>
      </c>
      <c r="G211" t="inlineStr">
        <is>
          <t>KATRINEHOLM</t>
        </is>
      </c>
      <c r="H211" t="inlineStr">
        <is>
          <t>Holmen skog AB</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44915-2022</t>
        </is>
      </c>
      <c r="B212" t="inlineStr">
        <is>
          <t>avverkningsanmälan</t>
        </is>
      </c>
      <c r="C212" t="inlineStr">
        <is>
          <t>Föryngringsavverkning</t>
        </is>
      </c>
      <c r="D212" s="1" t="n">
        <v>44840</v>
      </c>
      <c r="E212" s="1" t="n">
        <v>46220</v>
      </c>
      <c r="F212" t="inlineStr">
        <is>
          <t>SÖDERMANLANDS LÄN</t>
        </is>
      </c>
      <c r="G212" t="inlineStr">
        <is>
          <t>KATRINEHOLM</t>
        </is>
      </c>
      <c r="I212" t="n">
        <v>6.3</v>
      </c>
      <c r="J212" t="n">
        <v>0</v>
      </c>
      <c r="K212" t="n">
        <v>0</v>
      </c>
      <c r="L212" t="n">
        <v>0</v>
      </c>
      <c r="M212" t="n">
        <v>0</v>
      </c>
      <c r="N212" t="n">
        <v>0</v>
      </c>
      <c r="O212" t="n">
        <v>0</v>
      </c>
      <c r="P212" t="n">
        <v>0</v>
      </c>
      <c r="Q212" t="n">
        <v>0</v>
      </c>
      <c r="R212" t="n">
        <v>0</v>
      </c>
      <c r="S212" t="n">
        <v>0</v>
      </c>
      <c r="T212" t="n">
        <v>0</v>
      </c>
      <c r="U212" s="2" t="inlineStr"/>
    </row>
    <row r="213" ht="15" customHeight="1">
      <c r="A213" t="inlineStr">
        <is>
          <t>A 45793-2022</t>
        </is>
      </c>
      <c r="B213" t="inlineStr">
        <is>
          <t>avverkningsanmälan</t>
        </is>
      </c>
      <c r="C213" t="inlineStr">
        <is>
          <t>Föryngringsavverkning</t>
        </is>
      </c>
      <c r="D213" s="1" t="n">
        <v>44844</v>
      </c>
      <c r="E213" s="1" t="n">
        <v>46220</v>
      </c>
      <c r="F213" t="inlineStr">
        <is>
          <t>SÖDERMANLANDS LÄN</t>
        </is>
      </c>
      <c r="G213" t="inlineStr">
        <is>
          <t>KATRINEHOLM</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15184-2023</t>
        </is>
      </c>
      <c r="B214" t="inlineStr">
        <is>
          <t>avverkningsanmälan</t>
        </is>
      </c>
      <c r="C214" t="inlineStr">
        <is>
          <t>Föryngringsavverkning</t>
        </is>
      </c>
      <c r="D214" s="1" t="n">
        <v>45016</v>
      </c>
      <c r="E214" s="1" t="n">
        <v>46220</v>
      </c>
      <c r="F214" t="inlineStr">
        <is>
          <t>SÖDERMANLANDS LÄN</t>
        </is>
      </c>
      <c r="G214" t="inlineStr">
        <is>
          <t>KATRINEHOLM</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45438-2021</t>
        </is>
      </c>
      <c r="B215" t="inlineStr">
        <is>
          <t>avverkningsanmälan</t>
        </is>
      </c>
      <c r="C215" t="inlineStr">
        <is>
          <t>Föryngringsavverkning</t>
        </is>
      </c>
      <c r="D215" s="1" t="n">
        <v>44440</v>
      </c>
      <c r="E215" s="1" t="n">
        <v>46220</v>
      </c>
      <c r="F215" t="inlineStr">
        <is>
          <t>SÖDERMANLANDS LÄN</t>
        </is>
      </c>
      <c r="G215" t="inlineStr">
        <is>
          <t>KATRINEHOLM</t>
        </is>
      </c>
      <c r="H215" t="inlineStr">
        <is>
          <t>Kommuner</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4387-2024</t>
        </is>
      </c>
      <c r="B216" t="inlineStr">
        <is>
          <t>avverkningsanmälan</t>
        </is>
      </c>
      <c r="C216" t="inlineStr">
        <is>
          <t>Föryngringsavverkning</t>
        </is>
      </c>
      <c r="D216" s="1" t="n">
        <v>45327</v>
      </c>
      <c r="E216" s="1" t="n">
        <v>46220</v>
      </c>
      <c r="F216" t="inlineStr">
        <is>
          <t>SÖDERMANLANDS LÄN</t>
        </is>
      </c>
      <c r="G216" t="inlineStr">
        <is>
          <t>KATRINEHOLM</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18386-2025</t>
        </is>
      </c>
      <c r="B217" t="inlineStr">
        <is>
          <t>avverkningsanmälan</t>
        </is>
      </c>
      <c r="C217" t="inlineStr">
        <is>
          <t>Avverkning för annat ändamål</t>
        </is>
      </c>
      <c r="D217" s="1" t="n">
        <v>45762</v>
      </c>
      <c r="E217" s="1" t="n">
        <v>46220</v>
      </c>
      <c r="F217" t="inlineStr">
        <is>
          <t>SÖDERMANLANDS LÄN</t>
        </is>
      </c>
      <c r="G217" t="inlineStr">
        <is>
          <t>KATRINEHOLM</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7398-2024</t>
        </is>
      </c>
      <c r="B218" t="inlineStr">
        <is>
          <t>avverkningsanmälan</t>
        </is>
      </c>
      <c r="C218" t="inlineStr">
        <is>
          <t>Föryngringsavverkning</t>
        </is>
      </c>
      <c r="D218" s="1" t="n">
        <v>45345</v>
      </c>
      <c r="E218" s="1" t="n">
        <v>46220</v>
      </c>
      <c r="F218" t="inlineStr">
        <is>
          <t>SÖDERMANLANDS LÄN</t>
        </is>
      </c>
      <c r="G218" t="inlineStr">
        <is>
          <t>KATRINEHOLM</t>
        </is>
      </c>
      <c r="I218" t="n">
        <v>4.4</v>
      </c>
      <c r="J218" t="n">
        <v>0</v>
      </c>
      <c r="K218" t="n">
        <v>0</v>
      </c>
      <c r="L218" t="n">
        <v>0</v>
      </c>
      <c r="M218" t="n">
        <v>0</v>
      </c>
      <c r="N218" t="n">
        <v>0</v>
      </c>
      <c r="O218" t="n">
        <v>0</v>
      </c>
      <c r="P218" t="n">
        <v>0</v>
      </c>
      <c r="Q218" t="n">
        <v>0</v>
      </c>
      <c r="R218" t="n">
        <v>0</v>
      </c>
      <c r="S218" t="n">
        <v>0</v>
      </c>
      <c r="T218" t="n">
        <v>0</v>
      </c>
      <c r="U218" s="2" t="inlineStr"/>
    </row>
    <row r="219" ht="15" customHeight="1">
      <c r="A219" t="inlineStr">
        <is>
          <t>A 14313-2024</t>
        </is>
      </c>
      <c r="B219" t="inlineStr">
        <is>
          <t>avverkningsanmälan</t>
        </is>
      </c>
      <c r="C219" t="inlineStr">
        <is>
          <t>Föryngringsavverkning</t>
        </is>
      </c>
      <c r="D219" s="1" t="n">
        <v>45393</v>
      </c>
      <c r="E219" s="1" t="n">
        <v>46220</v>
      </c>
      <c r="F219" t="inlineStr">
        <is>
          <t>SÖDERMANLANDS LÄN</t>
        </is>
      </c>
      <c r="G219" t="inlineStr">
        <is>
          <t>KATRINEHOLM</t>
        </is>
      </c>
      <c r="I219" t="n">
        <v>3.1</v>
      </c>
      <c r="J219" t="n">
        <v>0</v>
      </c>
      <c r="K219" t="n">
        <v>0</v>
      </c>
      <c r="L219" t="n">
        <v>0</v>
      </c>
      <c r="M219" t="n">
        <v>0</v>
      </c>
      <c r="N219" t="n">
        <v>0</v>
      </c>
      <c r="O219" t="n">
        <v>0</v>
      </c>
      <c r="P219" t="n">
        <v>0</v>
      </c>
      <c r="Q219" t="n">
        <v>0</v>
      </c>
      <c r="R219" t="n">
        <v>0</v>
      </c>
      <c r="S219" t="n">
        <v>0</v>
      </c>
      <c r="T219" t="n">
        <v>0</v>
      </c>
      <c r="U219" s="2" t="inlineStr"/>
    </row>
    <row r="220" ht="15" customHeight="1">
      <c r="A220" t="inlineStr">
        <is>
          <t>A 12938-2023</t>
        </is>
      </c>
      <c r="B220" t="inlineStr">
        <is>
          <t>avverkningsanmälan</t>
        </is>
      </c>
      <c r="C220" t="inlineStr">
        <is>
          <t>Föryngringsavverkning</t>
        </is>
      </c>
      <c r="D220" s="1" t="n">
        <v>45001</v>
      </c>
      <c r="E220" s="1" t="n">
        <v>46220</v>
      </c>
      <c r="F220" t="inlineStr">
        <is>
          <t>SÖDERMANLANDS LÄN</t>
        </is>
      </c>
      <c r="G220" t="inlineStr">
        <is>
          <t>KATRINEHOLM</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8955-2024</t>
        </is>
      </c>
      <c r="B221" t="inlineStr">
        <is>
          <t>avverkningsanmälan</t>
        </is>
      </c>
      <c r="C221" t="inlineStr">
        <is>
          <t>Föryngringsavverkning</t>
        </is>
      </c>
      <c r="D221" s="1" t="n">
        <v>45357</v>
      </c>
      <c r="E221" s="1" t="n">
        <v>46220</v>
      </c>
      <c r="F221" t="inlineStr">
        <is>
          <t>SÖDERMANLANDS LÄN</t>
        </is>
      </c>
      <c r="G221" t="inlineStr">
        <is>
          <t>KATRINEHOLM</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46569-2022</t>
        </is>
      </c>
      <c r="B222" t="inlineStr">
        <is>
          <t>avverkningsanmälan</t>
        </is>
      </c>
      <c r="C222" t="inlineStr">
        <is>
          <t>Föryngringsavverkning</t>
        </is>
      </c>
      <c r="D222" s="1" t="n">
        <v>44847</v>
      </c>
      <c r="E222" s="1" t="n">
        <v>46220</v>
      </c>
      <c r="F222" t="inlineStr">
        <is>
          <t>SÖDERMANLANDS LÄN</t>
        </is>
      </c>
      <c r="G222" t="inlineStr">
        <is>
          <t>KATRINEHOLM</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36001-2024</t>
        </is>
      </c>
      <c r="B223" t="inlineStr">
        <is>
          <t>avverkningsanmälan</t>
        </is>
      </c>
      <c r="C223" t="inlineStr">
        <is>
          <t>Föryngringsavverkning</t>
        </is>
      </c>
      <c r="D223" s="1" t="n">
        <v>45533</v>
      </c>
      <c r="E223" s="1" t="n">
        <v>46220</v>
      </c>
      <c r="F223" t="inlineStr">
        <is>
          <t>SÖDERMANLANDS LÄN</t>
        </is>
      </c>
      <c r="G223" t="inlineStr">
        <is>
          <t>KATRINEHOLM</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36-2023</t>
        </is>
      </c>
      <c r="B224" t="inlineStr">
        <is>
          <t>avverkningsanmälan</t>
        </is>
      </c>
      <c r="C224" t="inlineStr">
        <is>
          <t>Föryngringsavverkning</t>
        </is>
      </c>
      <c r="D224" s="1" t="n">
        <v>44928</v>
      </c>
      <c r="E224" s="1" t="n">
        <v>46220</v>
      </c>
      <c r="F224" t="inlineStr">
        <is>
          <t>SÖDERMANLANDS LÄN</t>
        </is>
      </c>
      <c r="G224" t="inlineStr">
        <is>
          <t>KATRINEHOLM</t>
        </is>
      </c>
      <c r="I224" t="n">
        <v>3.7</v>
      </c>
      <c r="J224" t="n">
        <v>0</v>
      </c>
      <c r="K224" t="n">
        <v>0</v>
      </c>
      <c r="L224" t="n">
        <v>0</v>
      </c>
      <c r="M224" t="n">
        <v>0</v>
      </c>
      <c r="N224" t="n">
        <v>0</v>
      </c>
      <c r="O224" t="n">
        <v>0</v>
      </c>
      <c r="P224" t="n">
        <v>0</v>
      </c>
      <c r="Q224" t="n">
        <v>0</v>
      </c>
      <c r="R224" t="n">
        <v>0</v>
      </c>
      <c r="S224" t="n">
        <v>0</v>
      </c>
      <c r="T224" t="n">
        <v>0</v>
      </c>
      <c r="U224" s="2" t="inlineStr"/>
    </row>
    <row r="225" ht="15" customHeight="1">
      <c r="A225" t="inlineStr">
        <is>
          <t>A 19098-2022</t>
        </is>
      </c>
      <c r="B225" t="inlineStr">
        <is>
          <t>avverkningsanmälan</t>
        </is>
      </c>
      <c r="C225" t="inlineStr">
        <is>
          <t>Föryngringsavverkning</t>
        </is>
      </c>
      <c r="D225" s="1" t="n">
        <v>44691</v>
      </c>
      <c r="E225" s="1" t="n">
        <v>46220</v>
      </c>
      <c r="F225" t="inlineStr">
        <is>
          <t>SÖDERMANLANDS LÄN</t>
        </is>
      </c>
      <c r="G225" t="inlineStr">
        <is>
          <t>KATRINEHOLM</t>
        </is>
      </c>
      <c r="I225" t="n">
        <v>5.5</v>
      </c>
      <c r="J225" t="n">
        <v>0</v>
      </c>
      <c r="K225" t="n">
        <v>0</v>
      </c>
      <c r="L225" t="n">
        <v>0</v>
      </c>
      <c r="M225" t="n">
        <v>0</v>
      </c>
      <c r="N225" t="n">
        <v>0</v>
      </c>
      <c r="O225" t="n">
        <v>0</v>
      </c>
      <c r="P225" t="n">
        <v>0</v>
      </c>
      <c r="Q225" t="n">
        <v>0</v>
      </c>
      <c r="R225" t="n">
        <v>0</v>
      </c>
      <c r="S225" t="n">
        <v>0</v>
      </c>
      <c r="T225" t="n">
        <v>0</v>
      </c>
      <c r="U225" s="2" t="inlineStr"/>
    </row>
    <row r="226" ht="15" customHeight="1">
      <c r="A226" t="inlineStr">
        <is>
          <t>A 51530-2023</t>
        </is>
      </c>
      <c r="B226" t="inlineStr">
        <is>
          <t>avverkningsanmälan</t>
        </is>
      </c>
      <c r="C226" t="inlineStr">
        <is>
          <t>Föryngringsavverkning</t>
        </is>
      </c>
      <c r="D226" s="1" t="n">
        <v>45222</v>
      </c>
      <c r="E226" s="1" t="n">
        <v>46220</v>
      </c>
      <c r="F226" t="inlineStr">
        <is>
          <t>SÖDERMANLANDS LÄN</t>
        </is>
      </c>
      <c r="G226" t="inlineStr">
        <is>
          <t>KATRINEHOLM</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3315-2023</t>
        </is>
      </c>
      <c r="B227" t="inlineStr">
        <is>
          <t>avverkningsanmälan</t>
        </is>
      </c>
      <c r="C227" t="inlineStr">
        <is>
          <t>Föryngringsavverkning</t>
        </is>
      </c>
      <c r="D227" s="1" t="n">
        <v>44945</v>
      </c>
      <c r="E227" s="1" t="n">
        <v>46220</v>
      </c>
      <c r="F227" t="inlineStr">
        <is>
          <t>SÖDERMANLANDS LÄN</t>
        </is>
      </c>
      <c r="G227" t="inlineStr">
        <is>
          <t>KATRINEHOLM</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6628-2022</t>
        </is>
      </c>
      <c r="B228" t="inlineStr">
        <is>
          <t>avverkningsanmälan</t>
        </is>
      </c>
      <c r="C228" t="inlineStr">
        <is>
          <t>Föryngringsavverkning</t>
        </is>
      </c>
      <c r="D228" s="1" t="n">
        <v>44601</v>
      </c>
      <c r="E228" s="1" t="n">
        <v>46220</v>
      </c>
      <c r="F228" t="inlineStr">
        <is>
          <t>SÖDERMANLANDS LÄN</t>
        </is>
      </c>
      <c r="G228" t="inlineStr">
        <is>
          <t>KATRINEHOLM</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2093-2025</t>
        </is>
      </c>
      <c r="B229" t="inlineStr">
        <is>
          <t>avverkningsanmälan</t>
        </is>
      </c>
      <c r="C229" t="inlineStr">
        <is>
          <t>Föryngringsavverkning</t>
        </is>
      </c>
      <c r="D229" s="1" t="n">
        <v>45672</v>
      </c>
      <c r="E229" s="1" t="n">
        <v>46220</v>
      </c>
      <c r="F229" t="inlineStr">
        <is>
          <t>SÖDERMANLANDS LÄN</t>
        </is>
      </c>
      <c r="G229" t="inlineStr">
        <is>
          <t>KATRINEHOLM</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2603-2025</t>
        </is>
      </c>
      <c r="B230" t="inlineStr">
        <is>
          <t>avverkningsanmälan</t>
        </is>
      </c>
      <c r="C230" t="inlineStr">
        <is>
          <t>Avverkning för annat ändamål</t>
        </is>
      </c>
      <c r="D230" s="1" t="n">
        <v>45674</v>
      </c>
      <c r="E230" s="1" t="n">
        <v>46220</v>
      </c>
      <c r="F230" t="inlineStr">
        <is>
          <t>SÖDERMANLANDS LÄN</t>
        </is>
      </c>
      <c r="G230" t="inlineStr">
        <is>
          <t>KATRINEHOLM</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20826-2022</t>
        </is>
      </c>
      <c r="B231" t="inlineStr">
        <is>
          <t>avverkningsanmälan</t>
        </is>
      </c>
      <c r="C231" t="inlineStr">
        <is>
          <t>Föryngringsavverkning</t>
        </is>
      </c>
      <c r="D231" s="1" t="n">
        <v>44701</v>
      </c>
      <c r="E231" s="1" t="n">
        <v>46220</v>
      </c>
      <c r="F231" t="inlineStr">
        <is>
          <t>SÖDERMANLANDS LÄN</t>
        </is>
      </c>
      <c r="G231" t="inlineStr">
        <is>
          <t>KATRINEHOLM</t>
        </is>
      </c>
      <c r="I231" t="n">
        <v>6.8</v>
      </c>
      <c r="J231" t="n">
        <v>0</v>
      </c>
      <c r="K231" t="n">
        <v>0</v>
      </c>
      <c r="L231" t="n">
        <v>0</v>
      </c>
      <c r="M231" t="n">
        <v>0</v>
      </c>
      <c r="N231" t="n">
        <v>0</v>
      </c>
      <c r="O231" t="n">
        <v>0</v>
      </c>
      <c r="P231" t="n">
        <v>0</v>
      </c>
      <c r="Q231" t="n">
        <v>0</v>
      </c>
      <c r="R231" t="n">
        <v>0</v>
      </c>
      <c r="S231" t="n">
        <v>0</v>
      </c>
      <c r="T231" t="n">
        <v>0</v>
      </c>
      <c r="U231" s="2" t="inlineStr"/>
    </row>
    <row r="232" ht="15" customHeight="1">
      <c r="A232" t="inlineStr">
        <is>
          <t>A 20846-2022</t>
        </is>
      </c>
      <c r="B232" t="inlineStr">
        <is>
          <t>avverkningsanmälan</t>
        </is>
      </c>
      <c r="C232" t="inlineStr">
        <is>
          <t>Föryngringsavverkning</t>
        </is>
      </c>
      <c r="D232" s="1" t="n">
        <v>44701</v>
      </c>
      <c r="E232" s="1" t="n">
        <v>46220</v>
      </c>
      <c r="F232" t="inlineStr">
        <is>
          <t>SÖDERMANLANDS LÄN</t>
        </is>
      </c>
      <c r="G232" t="inlineStr">
        <is>
          <t>KATRINEHOLM</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61423-2024</t>
        </is>
      </c>
      <c r="B233" t="inlineStr">
        <is>
          <t>avverkningsanmälan</t>
        </is>
      </c>
      <c r="C233" t="inlineStr">
        <is>
          <t>Föryngringsavverkning</t>
        </is>
      </c>
      <c r="D233" s="1" t="n">
        <v>45646</v>
      </c>
      <c r="E233" s="1" t="n">
        <v>46220</v>
      </c>
      <c r="F233" t="inlineStr">
        <is>
          <t>SÖDERMANLANDS LÄN</t>
        </is>
      </c>
      <c r="G233" t="inlineStr">
        <is>
          <t>KATRINEHOLM</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24605-2025</t>
        </is>
      </c>
      <c r="B234" t="inlineStr">
        <is>
          <t>avverkningsanmälan</t>
        </is>
      </c>
      <c r="C234" t="inlineStr">
        <is>
          <t>Föryngringsavverkning</t>
        </is>
      </c>
      <c r="D234" s="1" t="n">
        <v>45798</v>
      </c>
      <c r="E234" s="1" t="n">
        <v>46220</v>
      </c>
      <c r="F234" t="inlineStr">
        <is>
          <t>SÖDERMANLANDS LÄN</t>
        </is>
      </c>
      <c r="G234" t="inlineStr">
        <is>
          <t>KATRINEHOLM</t>
        </is>
      </c>
      <c r="I234" t="n">
        <v>7</v>
      </c>
      <c r="J234" t="n">
        <v>0</v>
      </c>
      <c r="K234" t="n">
        <v>0</v>
      </c>
      <c r="L234" t="n">
        <v>0</v>
      </c>
      <c r="M234" t="n">
        <v>0</v>
      </c>
      <c r="N234" t="n">
        <v>0</v>
      </c>
      <c r="O234" t="n">
        <v>0</v>
      </c>
      <c r="P234" t="n">
        <v>0</v>
      </c>
      <c r="Q234" t="n">
        <v>0</v>
      </c>
      <c r="R234" t="n">
        <v>0</v>
      </c>
      <c r="S234" t="n">
        <v>0</v>
      </c>
      <c r="T234" t="n">
        <v>0</v>
      </c>
      <c r="U234" s="2" t="inlineStr"/>
    </row>
    <row r="235" ht="15" customHeight="1">
      <c r="A235" t="inlineStr">
        <is>
          <t>A 53999-2023</t>
        </is>
      </c>
      <c r="B235" t="inlineStr">
        <is>
          <t>avverkningsanmälan</t>
        </is>
      </c>
      <c r="C235" t="inlineStr">
        <is>
          <t>Föryngringsavverkning</t>
        </is>
      </c>
      <c r="D235" s="1" t="n">
        <v>45231</v>
      </c>
      <c r="E235" s="1" t="n">
        <v>46220</v>
      </c>
      <c r="F235" t="inlineStr">
        <is>
          <t>SÖDERMANLANDS LÄN</t>
        </is>
      </c>
      <c r="G235" t="inlineStr">
        <is>
          <t>KATRINEHOLM</t>
        </is>
      </c>
      <c r="I235" t="n">
        <v>5.4</v>
      </c>
      <c r="J235" t="n">
        <v>0</v>
      </c>
      <c r="K235" t="n">
        <v>0</v>
      </c>
      <c r="L235" t="n">
        <v>0</v>
      </c>
      <c r="M235" t="n">
        <v>0</v>
      </c>
      <c r="N235" t="n">
        <v>0</v>
      </c>
      <c r="O235" t="n">
        <v>0</v>
      </c>
      <c r="P235" t="n">
        <v>0</v>
      </c>
      <c r="Q235" t="n">
        <v>0</v>
      </c>
      <c r="R235" t="n">
        <v>0</v>
      </c>
      <c r="S235" t="n">
        <v>0</v>
      </c>
      <c r="T235" t="n">
        <v>0</v>
      </c>
      <c r="U235" s="2" t="inlineStr"/>
    </row>
    <row r="236" ht="15" customHeight="1">
      <c r="A236" t="inlineStr">
        <is>
          <t>A 41727-2024</t>
        </is>
      </c>
      <c r="B236" t="inlineStr">
        <is>
          <t>avverkningsanmälan</t>
        </is>
      </c>
      <c r="C236" t="inlineStr">
        <is>
          <t>Föryngringsavverkning</t>
        </is>
      </c>
      <c r="D236" s="1" t="n">
        <v>45560</v>
      </c>
      <c r="E236" s="1" t="n">
        <v>46220</v>
      </c>
      <c r="F236" t="inlineStr">
        <is>
          <t>SÖDERMANLANDS LÄN</t>
        </is>
      </c>
      <c r="G236" t="inlineStr">
        <is>
          <t>KATRINEHOLM</t>
        </is>
      </c>
      <c r="I236" t="n">
        <v>3.9</v>
      </c>
      <c r="J236" t="n">
        <v>0</v>
      </c>
      <c r="K236" t="n">
        <v>0</v>
      </c>
      <c r="L236" t="n">
        <v>0</v>
      </c>
      <c r="M236" t="n">
        <v>0</v>
      </c>
      <c r="N236" t="n">
        <v>0</v>
      </c>
      <c r="O236" t="n">
        <v>0</v>
      </c>
      <c r="P236" t="n">
        <v>0</v>
      </c>
      <c r="Q236" t="n">
        <v>0</v>
      </c>
      <c r="R236" t="n">
        <v>0</v>
      </c>
      <c r="S236" t="n">
        <v>0</v>
      </c>
      <c r="T236" t="n">
        <v>0</v>
      </c>
      <c r="U236" s="2" t="inlineStr"/>
    </row>
    <row r="237" ht="15" customHeight="1">
      <c r="A237" t="inlineStr">
        <is>
          <t>A 24566-2025</t>
        </is>
      </c>
      <c r="B237" t="inlineStr">
        <is>
          <t>avverkningsanmälan</t>
        </is>
      </c>
      <c r="C237" t="inlineStr">
        <is>
          <t>Avverkning för att bevara och utveckla /försöksver</t>
        </is>
      </c>
      <c r="D237" s="1" t="n">
        <v>45798</v>
      </c>
      <c r="E237" s="1" t="n">
        <v>46220</v>
      </c>
      <c r="F237" t="inlineStr">
        <is>
          <t>SÖDERMANLANDS LÄN</t>
        </is>
      </c>
      <c r="G237" t="inlineStr">
        <is>
          <t>KATRINEHOLM</t>
        </is>
      </c>
      <c r="I237" t="n">
        <v>6.3</v>
      </c>
      <c r="J237" t="n">
        <v>0</v>
      </c>
      <c r="K237" t="n">
        <v>0</v>
      </c>
      <c r="L237" t="n">
        <v>0</v>
      </c>
      <c r="M237" t="n">
        <v>0</v>
      </c>
      <c r="N237" t="n">
        <v>0</v>
      </c>
      <c r="O237" t="n">
        <v>0</v>
      </c>
      <c r="P237" t="n">
        <v>0</v>
      </c>
      <c r="Q237" t="n">
        <v>0</v>
      </c>
      <c r="R237" t="n">
        <v>0</v>
      </c>
      <c r="S237" t="n">
        <v>0</v>
      </c>
      <c r="T237" t="n">
        <v>0</v>
      </c>
      <c r="U237" s="2" t="inlineStr"/>
    </row>
    <row r="238" ht="15" customHeight="1">
      <c r="A238" t="inlineStr">
        <is>
          <t>A 56086-2023</t>
        </is>
      </c>
      <c r="B238" t="inlineStr">
        <is>
          <t>avverkningsanmälan</t>
        </is>
      </c>
      <c r="C238" t="inlineStr">
        <is>
          <t>Föryngringsavverkning</t>
        </is>
      </c>
      <c r="D238" s="1" t="n">
        <v>45240</v>
      </c>
      <c r="E238" s="1" t="n">
        <v>46220</v>
      </c>
      <c r="F238" t="inlineStr">
        <is>
          <t>SÖDERMANLANDS LÄN</t>
        </is>
      </c>
      <c r="G238" t="inlineStr">
        <is>
          <t>KATRINEHOLM</t>
        </is>
      </c>
      <c r="H238" t="inlineStr">
        <is>
          <t>Kyrkan</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24719-2025</t>
        </is>
      </c>
      <c r="B239" t="inlineStr">
        <is>
          <t>avverkningsanmälan</t>
        </is>
      </c>
      <c r="C239" t="inlineStr">
        <is>
          <t>Föryngringsavverkning</t>
        </is>
      </c>
      <c r="D239" s="1" t="n">
        <v>45799</v>
      </c>
      <c r="E239" s="1" t="n">
        <v>46220</v>
      </c>
      <c r="F239" t="inlineStr">
        <is>
          <t>SÖDERMANLANDS LÄN</t>
        </is>
      </c>
      <c r="G239" t="inlineStr">
        <is>
          <t>KATRINEHOLM</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24717-2025</t>
        </is>
      </c>
      <c r="B240" t="inlineStr">
        <is>
          <t>avverkningsanmälan</t>
        </is>
      </c>
      <c r="C240" t="inlineStr">
        <is>
          <t>Föryngringsavverkning</t>
        </is>
      </c>
      <c r="D240" s="1" t="n">
        <v>45799</v>
      </c>
      <c r="E240" s="1" t="n">
        <v>46220</v>
      </c>
      <c r="F240" t="inlineStr">
        <is>
          <t>SÖDERMANLANDS LÄN</t>
        </is>
      </c>
      <c r="G240" t="inlineStr">
        <is>
          <t>KATRINEHOLM</t>
        </is>
      </c>
      <c r="I240" t="n">
        <v>24.5</v>
      </c>
      <c r="J240" t="n">
        <v>0</v>
      </c>
      <c r="K240" t="n">
        <v>0</v>
      </c>
      <c r="L240" t="n">
        <v>0</v>
      </c>
      <c r="M240" t="n">
        <v>0</v>
      </c>
      <c r="N240" t="n">
        <v>0</v>
      </c>
      <c r="O240" t="n">
        <v>0</v>
      </c>
      <c r="P240" t="n">
        <v>0</v>
      </c>
      <c r="Q240" t="n">
        <v>0</v>
      </c>
      <c r="R240" t="n">
        <v>0</v>
      </c>
      <c r="S240" t="n">
        <v>0</v>
      </c>
      <c r="T240" t="n">
        <v>0</v>
      </c>
      <c r="U240" s="2" t="inlineStr"/>
    </row>
    <row r="241" ht="15" customHeight="1">
      <c r="A241" t="inlineStr">
        <is>
          <t>A 12930-2023</t>
        </is>
      </c>
      <c r="B241" t="inlineStr">
        <is>
          <t>avverkningsanmälan</t>
        </is>
      </c>
      <c r="C241" t="inlineStr">
        <is>
          <t>Föryngringsavverkning</t>
        </is>
      </c>
      <c r="D241" s="1" t="n">
        <v>45001</v>
      </c>
      <c r="E241" s="1" t="n">
        <v>46220</v>
      </c>
      <c r="F241" t="inlineStr">
        <is>
          <t>SÖDERMANLANDS LÄN</t>
        </is>
      </c>
      <c r="G241" t="inlineStr">
        <is>
          <t>KATRINEHOLM</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38308-2021</t>
        </is>
      </c>
      <c r="B242" t="inlineStr">
        <is>
          <t>avverkningsanmälan</t>
        </is>
      </c>
      <c r="C242" t="inlineStr">
        <is>
          <t>Föryngringsavverkning</t>
        </is>
      </c>
      <c r="D242" s="1" t="n">
        <v>44406</v>
      </c>
      <c r="E242" s="1" t="n">
        <v>46220</v>
      </c>
      <c r="F242" t="inlineStr">
        <is>
          <t>SÖDERMANLANDS LÄN</t>
        </is>
      </c>
      <c r="G242" t="inlineStr">
        <is>
          <t>KATRINEHOLM</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23031-2024</t>
        </is>
      </c>
      <c r="B243" t="inlineStr">
        <is>
          <t>avverkningsanmälan</t>
        </is>
      </c>
      <c r="C243" t="inlineStr">
        <is>
          <t>Avverkning för att bevara och utveckla /försöksver</t>
        </is>
      </c>
      <c r="D243" s="1" t="n">
        <v>45450</v>
      </c>
      <c r="E243" s="1" t="n">
        <v>46220</v>
      </c>
      <c r="F243" t="inlineStr">
        <is>
          <t>SÖDERMANLANDS LÄN</t>
        </is>
      </c>
      <c r="G243" t="inlineStr">
        <is>
          <t>KATRINEHOLM</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1114-2026</t>
        </is>
      </c>
      <c r="B244" t="inlineStr">
        <is>
          <t>avverkningsanmälan</t>
        </is>
      </c>
      <c r="C244" t="inlineStr">
        <is>
          <t>Föryngringsavverkning</t>
        </is>
      </c>
      <c r="D244" s="1" t="n">
        <v>46030</v>
      </c>
      <c r="E244" s="1" t="n">
        <v>46220</v>
      </c>
      <c r="F244" t="inlineStr">
        <is>
          <t>SÖDERMANLANDS LÄN</t>
        </is>
      </c>
      <c r="G244" t="inlineStr">
        <is>
          <t>KATRINEHOLM</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15284-2023</t>
        </is>
      </c>
      <c r="B245" t="inlineStr">
        <is>
          <t>avverkningsanmälan</t>
        </is>
      </c>
      <c r="C245" t="inlineStr">
        <is>
          <t>Föryngringsavverkning</t>
        </is>
      </c>
      <c r="D245" s="1" t="n">
        <v>45019</v>
      </c>
      <c r="E245" s="1" t="n">
        <v>46220</v>
      </c>
      <c r="F245" t="inlineStr">
        <is>
          <t>SÖDERMANLANDS LÄN</t>
        </is>
      </c>
      <c r="G245" t="inlineStr">
        <is>
          <t>KATRINEHOLM</t>
        </is>
      </c>
      <c r="H245" t="inlineStr">
        <is>
          <t>Allmännings- och besparingsskogar</t>
        </is>
      </c>
      <c r="I245" t="n">
        <v>17.4</v>
      </c>
      <c r="J245" t="n">
        <v>0</v>
      </c>
      <c r="K245" t="n">
        <v>0</v>
      </c>
      <c r="L245" t="n">
        <v>0</v>
      </c>
      <c r="M245" t="n">
        <v>0</v>
      </c>
      <c r="N245" t="n">
        <v>0</v>
      </c>
      <c r="O245" t="n">
        <v>0</v>
      </c>
      <c r="P245" t="n">
        <v>0</v>
      </c>
      <c r="Q245" t="n">
        <v>0</v>
      </c>
      <c r="R245" t="n">
        <v>0</v>
      </c>
      <c r="S245" t="n">
        <v>0</v>
      </c>
      <c r="T245" t="n">
        <v>0</v>
      </c>
      <c r="U245" s="2" t="inlineStr"/>
    </row>
    <row r="246" ht="15" customHeight="1">
      <c r="A246" t="inlineStr">
        <is>
          <t>A 55856-2022</t>
        </is>
      </c>
      <c r="B246" t="inlineStr">
        <is>
          <t>avverkningsanmälan</t>
        </is>
      </c>
      <c r="C246" t="inlineStr">
        <is>
          <t>Föryngringsavverkning</t>
        </is>
      </c>
      <c r="D246" s="1" t="n">
        <v>44888</v>
      </c>
      <c r="E246" s="1" t="n">
        <v>46220</v>
      </c>
      <c r="F246" t="inlineStr">
        <is>
          <t>SÖDERMANLANDS LÄN</t>
        </is>
      </c>
      <c r="G246" t="inlineStr">
        <is>
          <t>KATRINEHOLM</t>
        </is>
      </c>
      <c r="I246" t="n">
        <v>5.6</v>
      </c>
      <c r="J246" t="n">
        <v>0</v>
      </c>
      <c r="K246" t="n">
        <v>0</v>
      </c>
      <c r="L246" t="n">
        <v>0</v>
      </c>
      <c r="M246" t="n">
        <v>0</v>
      </c>
      <c r="N246" t="n">
        <v>0</v>
      </c>
      <c r="O246" t="n">
        <v>0</v>
      </c>
      <c r="P246" t="n">
        <v>0</v>
      </c>
      <c r="Q246" t="n">
        <v>0</v>
      </c>
      <c r="R246" t="n">
        <v>0</v>
      </c>
      <c r="S246" t="n">
        <v>0</v>
      </c>
      <c r="T246" t="n">
        <v>0</v>
      </c>
      <c r="U246" s="2" t="inlineStr"/>
    </row>
    <row r="247" ht="15" customHeight="1">
      <c r="A247" t="inlineStr">
        <is>
          <t>A 37542-2022</t>
        </is>
      </c>
      <c r="B247" t="inlineStr">
        <is>
          <t>avverkningsanmälan</t>
        </is>
      </c>
      <c r="C247" t="inlineStr">
        <is>
          <t>Föryngringsavverkning</t>
        </is>
      </c>
      <c r="D247" s="1" t="n">
        <v>44809</v>
      </c>
      <c r="E247" s="1" t="n">
        <v>46220</v>
      </c>
      <c r="F247" t="inlineStr">
        <is>
          <t>SÖDERMANLANDS LÄN</t>
        </is>
      </c>
      <c r="G247" t="inlineStr">
        <is>
          <t>KATRINEHOLM</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34739-2023</t>
        </is>
      </c>
      <c r="B248" t="inlineStr">
        <is>
          <t>avverkningsanmälan</t>
        </is>
      </c>
      <c r="C248" t="inlineStr">
        <is>
          <t>Föryngringsavverkning</t>
        </is>
      </c>
      <c r="D248" s="1" t="n">
        <v>45141</v>
      </c>
      <c r="E248" s="1" t="n">
        <v>46220</v>
      </c>
      <c r="F248" t="inlineStr">
        <is>
          <t>SÖDERMANLANDS LÄN</t>
        </is>
      </c>
      <c r="G248" t="inlineStr">
        <is>
          <t>KATRINEHOLM</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36366-2023</t>
        </is>
      </c>
      <c r="B249" t="inlineStr">
        <is>
          <t>avverkningsanmälan</t>
        </is>
      </c>
      <c r="C249" t="inlineStr">
        <is>
          <t>Föryngringsavverkning</t>
        </is>
      </c>
      <c r="D249" s="1" t="n">
        <v>45152</v>
      </c>
      <c r="E249" s="1" t="n">
        <v>46220</v>
      </c>
      <c r="F249" t="inlineStr">
        <is>
          <t>SÖDERMANLANDS LÄN</t>
        </is>
      </c>
      <c r="G249" t="inlineStr">
        <is>
          <t>KATRINEHOLM</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39663-2025</t>
        </is>
      </c>
      <c r="B250" t="inlineStr">
        <is>
          <t>avverkningsanmälan</t>
        </is>
      </c>
      <c r="C250" t="inlineStr">
        <is>
          <t>Föryngringsavverkning</t>
        </is>
      </c>
      <c r="D250" s="1" t="n">
        <v>45890</v>
      </c>
      <c r="E250" s="1" t="n">
        <v>46220</v>
      </c>
      <c r="F250" t="inlineStr">
        <is>
          <t>SÖDERMANLANDS LÄN</t>
        </is>
      </c>
      <c r="G250" t="inlineStr">
        <is>
          <t>KATRINEHOLM</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39645-2025</t>
        </is>
      </c>
      <c r="B251" t="inlineStr">
        <is>
          <t>avverkningsanmälan</t>
        </is>
      </c>
      <c r="C251" t="inlineStr">
        <is>
          <t>Föryngringsavverkning</t>
        </is>
      </c>
      <c r="D251" s="1" t="n">
        <v>45890</v>
      </c>
      <c r="E251" s="1" t="n">
        <v>46220</v>
      </c>
      <c r="F251" t="inlineStr">
        <is>
          <t>SÖDERMANLANDS LÄN</t>
        </is>
      </c>
      <c r="G251" t="inlineStr">
        <is>
          <t>KATRINEHOLM</t>
        </is>
      </c>
      <c r="I251" t="n">
        <v>0.2</v>
      </c>
      <c r="J251" t="n">
        <v>0</v>
      </c>
      <c r="K251" t="n">
        <v>0</v>
      </c>
      <c r="L251" t="n">
        <v>0</v>
      </c>
      <c r="M251" t="n">
        <v>0</v>
      </c>
      <c r="N251" t="n">
        <v>0</v>
      </c>
      <c r="O251" t="n">
        <v>0</v>
      </c>
      <c r="P251" t="n">
        <v>0</v>
      </c>
      <c r="Q251" t="n">
        <v>0</v>
      </c>
      <c r="R251" t="n">
        <v>0</v>
      </c>
      <c r="S251" t="n">
        <v>0</v>
      </c>
      <c r="T251" t="n">
        <v>0</v>
      </c>
      <c r="U251" s="2" t="inlineStr"/>
    </row>
    <row r="252" ht="15" customHeight="1">
      <c r="A252" t="inlineStr">
        <is>
          <t>A 55296-2022</t>
        </is>
      </c>
      <c r="B252" t="inlineStr">
        <is>
          <t>avverkningsanmälan</t>
        </is>
      </c>
      <c r="C252" t="inlineStr">
        <is>
          <t>Avverkning för annat ändamål</t>
        </is>
      </c>
      <c r="D252" s="1" t="n">
        <v>44887</v>
      </c>
      <c r="E252" s="1" t="n">
        <v>46220</v>
      </c>
      <c r="F252" t="inlineStr">
        <is>
          <t>SÖDERMANLANDS LÄN</t>
        </is>
      </c>
      <c r="G252" t="inlineStr">
        <is>
          <t>KATRINEHOLM</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9932-2023</t>
        </is>
      </c>
      <c r="B253" t="inlineStr">
        <is>
          <t>avverkningsanmälan</t>
        </is>
      </c>
      <c r="C253" t="inlineStr">
        <is>
          <t>Föryngringsavverkning</t>
        </is>
      </c>
      <c r="D253" s="1" t="n">
        <v>44985</v>
      </c>
      <c r="E253" s="1" t="n">
        <v>46220</v>
      </c>
      <c r="F253" t="inlineStr">
        <is>
          <t>SÖDERMANLANDS LÄN</t>
        </is>
      </c>
      <c r="G253" t="inlineStr">
        <is>
          <t>KATRINEHOLM</t>
        </is>
      </c>
      <c r="I253" t="n">
        <v>0.3</v>
      </c>
      <c r="J253" t="n">
        <v>0</v>
      </c>
      <c r="K253" t="n">
        <v>0</v>
      </c>
      <c r="L253" t="n">
        <v>0</v>
      </c>
      <c r="M253" t="n">
        <v>0</v>
      </c>
      <c r="N253" t="n">
        <v>0</v>
      </c>
      <c r="O253" t="n">
        <v>0</v>
      </c>
      <c r="P253" t="n">
        <v>0</v>
      </c>
      <c r="Q253" t="n">
        <v>0</v>
      </c>
      <c r="R253" t="n">
        <v>0</v>
      </c>
      <c r="S253" t="n">
        <v>0</v>
      </c>
      <c r="T253" t="n">
        <v>0</v>
      </c>
      <c r="U253" s="2" t="inlineStr"/>
    </row>
    <row r="254" ht="15" customHeight="1">
      <c r="A254" t="inlineStr">
        <is>
          <t>A 42590-2022</t>
        </is>
      </c>
      <c r="B254" t="inlineStr">
        <is>
          <t>avverkningsanmälan</t>
        </is>
      </c>
      <c r="C254" t="inlineStr">
        <is>
          <t>Föryngringsavverkning</t>
        </is>
      </c>
      <c r="D254" s="1" t="n">
        <v>44831</v>
      </c>
      <c r="E254" s="1" t="n">
        <v>46220</v>
      </c>
      <c r="F254" t="inlineStr">
        <is>
          <t>SÖDERMANLANDS LÄN</t>
        </is>
      </c>
      <c r="G254" t="inlineStr">
        <is>
          <t>KATRINEHOLM</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17360-2022</t>
        </is>
      </c>
      <c r="B255" t="inlineStr">
        <is>
          <t>avverkningsanmälan</t>
        </is>
      </c>
      <c r="C255" t="inlineStr">
        <is>
          <t>Föryngringsavverkning</t>
        </is>
      </c>
      <c r="D255" s="1" t="n">
        <v>44678</v>
      </c>
      <c r="E255" s="1" t="n">
        <v>46220</v>
      </c>
      <c r="F255" t="inlineStr">
        <is>
          <t>SÖDERMANLANDS LÄN</t>
        </is>
      </c>
      <c r="G255" t="inlineStr">
        <is>
          <t>KATRINEHOLM</t>
        </is>
      </c>
      <c r="I255" t="n">
        <v>4.5</v>
      </c>
      <c r="J255" t="n">
        <v>0</v>
      </c>
      <c r="K255" t="n">
        <v>0</v>
      </c>
      <c r="L255" t="n">
        <v>0</v>
      </c>
      <c r="M255" t="n">
        <v>0</v>
      </c>
      <c r="N255" t="n">
        <v>0</v>
      </c>
      <c r="O255" t="n">
        <v>0</v>
      </c>
      <c r="P255" t="n">
        <v>0</v>
      </c>
      <c r="Q255" t="n">
        <v>0</v>
      </c>
      <c r="R255" t="n">
        <v>0</v>
      </c>
      <c r="S255" t="n">
        <v>0</v>
      </c>
      <c r="T255" t="n">
        <v>0</v>
      </c>
      <c r="U255" s="2" t="inlineStr"/>
    </row>
    <row r="256" ht="15" customHeight="1">
      <c r="A256" t="inlineStr">
        <is>
          <t>A 48520-2023</t>
        </is>
      </c>
      <c r="B256" t="inlineStr">
        <is>
          <t>avverkningsanmälan</t>
        </is>
      </c>
      <c r="C256" t="inlineStr">
        <is>
          <t>Föryngringsavverkning</t>
        </is>
      </c>
      <c r="D256" s="1" t="n">
        <v>45208</v>
      </c>
      <c r="E256" s="1" t="n">
        <v>46220</v>
      </c>
      <c r="F256" t="inlineStr">
        <is>
          <t>SÖDERMANLANDS LÄN</t>
        </is>
      </c>
      <c r="G256" t="inlineStr">
        <is>
          <t>KATRINEHOLM</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27636-2025</t>
        </is>
      </c>
      <c r="B257" t="inlineStr">
        <is>
          <t>avverkningsanmälan</t>
        </is>
      </c>
      <c r="C257" t="inlineStr">
        <is>
          <t>Föryngringsavverkning</t>
        </is>
      </c>
      <c r="D257" s="1" t="n">
        <v>45813</v>
      </c>
      <c r="E257" s="1" t="n">
        <v>46220</v>
      </c>
      <c r="F257" t="inlineStr">
        <is>
          <t>SÖDERMANLANDS LÄN</t>
        </is>
      </c>
      <c r="G257" t="inlineStr">
        <is>
          <t>KATRINEHOLM</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9693-2024</t>
        </is>
      </c>
      <c r="B258" t="inlineStr">
        <is>
          <t>avverkningsanmälan</t>
        </is>
      </c>
      <c r="C258" t="inlineStr">
        <is>
          <t>Föryngringsavverkning</t>
        </is>
      </c>
      <c r="D258" s="1" t="n">
        <v>45362</v>
      </c>
      <c r="E258" s="1" t="n">
        <v>46220</v>
      </c>
      <c r="F258" t="inlineStr">
        <is>
          <t>SÖDERMANLANDS LÄN</t>
        </is>
      </c>
      <c r="G258" t="inlineStr">
        <is>
          <t>KATRINEHOLM</t>
        </is>
      </c>
      <c r="I258" t="n">
        <v>5.9</v>
      </c>
      <c r="J258" t="n">
        <v>0</v>
      </c>
      <c r="K258" t="n">
        <v>0</v>
      </c>
      <c r="L258" t="n">
        <v>0</v>
      </c>
      <c r="M258" t="n">
        <v>0</v>
      </c>
      <c r="N258" t="n">
        <v>0</v>
      </c>
      <c r="O258" t="n">
        <v>0</v>
      </c>
      <c r="P258" t="n">
        <v>0</v>
      </c>
      <c r="Q258" t="n">
        <v>0</v>
      </c>
      <c r="R258" t="n">
        <v>0</v>
      </c>
      <c r="S258" t="n">
        <v>0</v>
      </c>
      <c r="T258" t="n">
        <v>0</v>
      </c>
      <c r="U258" s="2" t="inlineStr"/>
    </row>
    <row r="259" ht="15" customHeight="1">
      <c r="A259" t="inlineStr">
        <is>
          <t>A 32818-2023</t>
        </is>
      </c>
      <c r="B259" t="inlineStr">
        <is>
          <t>avverkningsanmälan</t>
        </is>
      </c>
      <c r="C259" t="inlineStr">
        <is>
          <t>Föryngringsavverkning</t>
        </is>
      </c>
      <c r="D259" s="1" t="n">
        <v>45124</v>
      </c>
      <c r="E259" s="1" t="n">
        <v>46220</v>
      </c>
      <c r="F259" t="inlineStr">
        <is>
          <t>SÖDERMANLANDS LÄN</t>
        </is>
      </c>
      <c r="G259" t="inlineStr">
        <is>
          <t>KATRINEHOLM</t>
        </is>
      </c>
      <c r="I259" t="n">
        <v>3.4</v>
      </c>
      <c r="J259" t="n">
        <v>0</v>
      </c>
      <c r="K259" t="n">
        <v>0</v>
      </c>
      <c r="L259" t="n">
        <v>0</v>
      </c>
      <c r="M259" t="n">
        <v>0</v>
      </c>
      <c r="N259" t="n">
        <v>0</v>
      </c>
      <c r="O259" t="n">
        <v>0</v>
      </c>
      <c r="P259" t="n">
        <v>0</v>
      </c>
      <c r="Q259" t="n">
        <v>0</v>
      </c>
      <c r="R259" t="n">
        <v>0</v>
      </c>
      <c r="S259" t="n">
        <v>0</v>
      </c>
      <c r="T259" t="n">
        <v>0</v>
      </c>
      <c r="U259" s="2" t="inlineStr"/>
    </row>
    <row r="260" ht="15" customHeight="1">
      <c r="A260" t="inlineStr">
        <is>
          <t>A 35864-2023</t>
        </is>
      </c>
      <c r="B260" t="inlineStr">
        <is>
          <t>avverkningsanmälan</t>
        </is>
      </c>
      <c r="C260" t="inlineStr">
        <is>
          <t>Föryngringsavverkning</t>
        </is>
      </c>
      <c r="D260" s="1" t="n">
        <v>45147</v>
      </c>
      <c r="E260" s="1" t="n">
        <v>46220</v>
      </c>
      <c r="F260" t="inlineStr">
        <is>
          <t>SÖDERMANLANDS LÄN</t>
        </is>
      </c>
      <c r="G260" t="inlineStr">
        <is>
          <t>KATRINEHOLM</t>
        </is>
      </c>
      <c r="H260" t="inlineStr">
        <is>
          <t>Övriga Aktiebolag</t>
        </is>
      </c>
      <c r="I260" t="n">
        <v>4.7</v>
      </c>
      <c r="J260" t="n">
        <v>0</v>
      </c>
      <c r="K260" t="n">
        <v>0</v>
      </c>
      <c r="L260" t="n">
        <v>0</v>
      </c>
      <c r="M260" t="n">
        <v>0</v>
      </c>
      <c r="N260" t="n">
        <v>0</v>
      </c>
      <c r="O260" t="n">
        <v>0</v>
      </c>
      <c r="P260" t="n">
        <v>0</v>
      </c>
      <c r="Q260" t="n">
        <v>0</v>
      </c>
      <c r="R260" t="n">
        <v>0</v>
      </c>
      <c r="S260" t="n">
        <v>0</v>
      </c>
      <c r="T260" t="n">
        <v>0</v>
      </c>
      <c r="U260" s="2" t="inlineStr"/>
    </row>
    <row r="261" ht="15" customHeight="1">
      <c r="A261" t="inlineStr">
        <is>
          <t>A 24600-2025</t>
        </is>
      </c>
      <c r="B261" t="inlineStr">
        <is>
          <t>avverkningsanmälan</t>
        </is>
      </c>
      <c r="C261" t="inlineStr">
        <is>
          <t>Föryngringsavverkning</t>
        </is>
      </c>
      <c r="D261" s="1" t="n">
        <v>45798</v>
      </c>
      <c r="E261" s="1" t="n">
        <v>46220</v>
      </c>
      <c r="F261" t="inlineStr">
        <is>
          <t>SÖDERMANLANDS LÄN</t>
        </is>
      </c>
      <c r="G261" t="inlineStr">
        <is>
          <t>KATRINEHOLM</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35608-2024</t>
        </is>
      </c>
      <c r="B262" t="inlineStr">
        <is>
          <t>avverkningsanmälan</t>
        </is>
      </c>
      <c r="C262" t="inlineStr">
        <is>
          <t>Föryngringsavverkning</t>
        </is>
      </c>
      <c r="D262" s="1" t="n">
        <v>45531</v>
      </c>
      <c r="E262" s="1" t="n">
        <v>46220</v>
      </c>
      <c r="F262" t="inlineStr">
        <is>
          <t>SÖDERMANLANDS LÄN</t>
        </is>
      </c>
      <c r="G262" t="inlineStr">
        <is>
          <t>KATRINEHOLM</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49341-2024</t>
        </is>
      </c>
      <c r="B263" t="inlineStr">
        <is>
          <t>avverkningsanmälan</t>
        </is>
      </c>
      <c r="C263" t="inlineStr">
        <is>
          <t>Föryngringsavverkning</t>
        </is>
      </c>
      <c r="D263" s="1" t="n">
        <v>45595</v>
      </c>
      <c r="E263" s="1" t="n">
        <v>46220</v>
      </c>
      <c r="F263" t="inlineStr">
        <is>
          <t>SÖDERMANLANDS LÄN</t>
        </is>
      </c>
      <c r="G263" t="inlineStr">
        <is>
          <t>KATRINEHOLM</t>
        </is>
      </c>
      <c r="I263" t="n">
        <v>10</v>
      </c>
      <c r="J263" t="n">
        <v>0</v>
      </c>
      <c r="K263" t="n">
        <v>0</v>
      </c>
      <c r="L263" t="n">
        <v>0</v>
      </c>
      <c r="M263" t="n">
        <v>0</v>
      </c>
      <c r="N263" t="n">
        <v>0</v>
      </c>
      <c r="O263" t="n">
        <v>0</v>
      </c>
      <c r="P263" t="n">
        <v>0</v>
      </c>
      <c r="Q263" t="n">
        <v>0</v>
      </c>
      <c r="R263" t="n">
        <v>0</v>
      </c>
      <c r="S263" t="n">
        <v>0</v>
      </c>
      <c r="T263" t="n">
        <v>0</v>
      </c>
      <c r="U263" s="2" t="inlineStr"/>
    </row>
    <row r="264" ht="15" customHeight="1">
      <c r="A264" t="inlineStr">
        <is>
          <t>A 6810-2023</t>
        </is>
      </c>
      <c r="B264" t="inlineStr">
        <is>
          <t>avverkningsanmälan</t>
        </is>
      </c>
      <c r="C264" t="inlineStr">
        <is>
          <t>Föryngringsavverkning</t>
        </is>
      </c>
      <c r="D264" s="1" t="n">
        <v>44964</v>
      </c>
      <c r="E264" s="1" t="n">
        <v>46220</v>
      </c>
      <c r="F264" t="inlineStr">
        <is>
          <t>SÖDERMANLANDS LÄN</t>
        </is>
      </c>
      <c r="G264" t="inlineStr">
        <is>
          <t>KATRINEHOLM</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11635-2023</t>
        </is>
      </c>
      <c r="B265" t="inlineStr">
        <is>
          <t>avverkningsanmälan</t>
        </is>
      </c>
      <c r="C265" t="inlineStr">
        <is>
          <t>Föryngringsavverkning</t>
        </is>
      </c>
      <c r="D265" s="1" t="n">
        <v>44994</v>
      </c>
      <c r="E265" s="1" t="n">
        <v>46220</v>
      </c>
      <c r="F265" t="inlineStr">
        <is>
          <t>SÖDERMANLANDS LÄN</t>
        </is>
      </c>
      <c r="G265" t="inlineStr">
        <is>
          <t>KATRINEHOLM</t>
        </is>
      </c>
      <c r="I265" t="n">
        <v>4.3</v>
      </c>
      <c r="J265" t="n">
        <v>0</v>
      </c>
      <c r="K265" t="n">
        <v>0</v>
      </c>
      <c r="L265" t="n">
        <v>0</v>
      </c>
      <c r="M265" t="n">
        <v>0</v>
      </c>
      <c r="N265" t="n">
        <v>0</v>
      </c>
      <c r="O265" t="n">
        <v>0</v>
      </c>
      <c r="P265" t="n">
        <v>0</v>
      </c>
      <c r="Q265" t="n">
        <v>0</v>
      </c>
      <c r="R265" t="n">
        <v>0</v>
      </c>
      <c r="S265" t="n">
        <v>0</v>
      </c>
      <c r="T265" t="n">
        <v>0</v>
      </c>
      <c r="U265" s="2" t="inlineStr"/>
    </row>
    <row r="266" ht="15" customHeight="1">
      <c r="A266" t="inlineStr">
        <is>
          <t>A 34732-2022</t>
        </is>
      </c>
      <c r="B266" t="inlineStr">
        <is>
          <t>avverkningsanmälan</t>
        </is>
      </c>
      <c r="C266" t="inlineStr">
        <is>
          <t>Föryngringsavverkning</t>
        </is>
      </c>
      <c r="D266" s="1" t="n">
        <v>44795</v>
      </c>
      <c r="E266" s="1" t="n">
        <v>46220</v>
      </c>
      <c r="F266" t="inlineStr">
        <is>
          <t>SÖDERMANLANDS LÄN</t>
        </is>
      </c>
      <c r="G266" t="inlineStr">
        <is>
          <t>KATRINEHOLM</t>
        </is>
      </c>
      <c r="I266" t="n">
        <v>3</v>
      </c>
      <c r="J266" t="n">
        <v>0</v>
      </c>
      <c r="K266" t="n">
        <v>0</v>
      </c>
      <c r="L266" t="n">
        <v>0</v>
      </c>
      <c r="M266" t="n">
        <v>0</v>
      </c>
      <c r="N266" t="n">
        <v>0</v>
      </c>
      <c r="O266" t="n">
        <v>0</v>
      </c>
      <c r="P266" t="n">
        <v>0</v>
      </c>
      <c r="Q266" t="n">
        <v>0</v>
      </c>
      <c r="R266" t="n">
        <v>0</v>
      </c>
      <c r="S266" t="n">
        <v>0</v>
      </c>
      <c r="T266" t="n">
        <v>0</v>
      </c>
      <c r="U266" s="2" t="inlineStr"/>
    </row>
    <row r="267" ht="15" customHeight="1">
      <c r="A267" t="inlineStr">
        <is>
          <t>A 3982-2024</t>
        </is>
      </c>
      <c r="B267" t="inlineStr">
        <is>
          <t>avverkningsanmälan</t>
        </is>
      </c>
      <c r="C267" t="inlineStr">
        <is>
          <t>Föryngringsavverkning</t>
        </is>
      </c>
      <c r="D267" s="1" t="n">
        <v>45322</v>
      </c>
      <c r="E267" s="1" t="n">
        <v>46220</v>
      </c>
      <c r="F267" t="inlineStr">
        <is>
          <t>SÖDERMANLANDS LÄN</t>
        </is>
      </c>
      <c r="G267" t="inlineStr">
        <is>
          <t>KATRINEHOLM</t>
        </is>
      </c>
      <c r="I267" t="n">
        <v>3.7</v>
      </c>
      <c r="J267" t="n">
        <v>0</v>
      </c>
      <c r="K267" t="n">
        <v>0</v>
      </c>
      <c r="L267" t="n">
        <v>0</v>
      </c>
      <c r="M267" t="n">
        <v>0</v>
      </c>
      <c r="N267" t="n">
        <v>0</v>
      </c>
      <c r="O267" t="n">
        <v>0</v>
      </c>
      <c r="P267" t="n">
        <v>0</v>
      </c>
      <c r="Q267" t="n">
        <v>0</v>
      </c>
      <c r="R267" t="n">
        <v>0</v>
      </c>
      <c r="S267" t="n">
        <v>0</v>
      </c>
      <c r="T267" t="n">
        <v>0</v>
      </c>
      <c r="U267" s="2" t="inlineStr"/>
    </row>
    <row r="268" ht="15" customHeight="1">
      <c r="A268" t="inlineStr">
        <is>
          <t>A 42799-2025</t>
        </is>
      </c>
      <c r="B268" t="inlineStr">
        <is>
          <t>avverkningsanmälan</t>
        </is>
      </c>
      <c r="C268" t="inlineStr">
        <is>
          <t>Föryngringsavverkning</t>
        </is>
      </c>
      <c r="D268" s="1" t="n">
        <v>45907</v>
      </c>
      <c r="E268" s="1" t="n">
        <v>46220</v>
      </c>
      <c r="F268" t="inlineStr">
        <is>
          <t>SÖDERMANLANDS LÄN</t>
        </is>
      </c>
      <c r="G268" t="inlineStr">
        <is>
          <t>KATRINEHOLM</t>
        </is>
      </c>
      <c r="I268" t="n">
        <v>3.9</v>
      </c>
      <c r="J268" t="n">
        <v>0</v>
      </c>
      <c r="K268" t="n">
        <v>0</v>
      </c>
      <c r="L268" t="n">
        <v>0</v>
      </c>
      <c r="M268" t="n">
        <v>0</v>
      </c>
      <c r="N268" t="n">
        <v>0</v>
      </c>
      <c r="O268" t="n">
        <v>0</v>
      </c>
      <c r="P268" t="n">
        <v>0</v>
      </c>
      <c r="Q268" t="n">
        <v>0</v>
      </c>
      <c r="R268" t="n">
        <v>0</v>
      </c>
      <c r="S268" t="n">
        <v>0</v>
      </c>
      <c r="T268" t="n">
        <v>0</v>
      </c>
      <c r="U268" s="2" t="inlineStr"/>
    </row>
    <row r="269" ht="15" customHeight="1">
      <c r="A269" t="inlineStr">
        <is>
          <t>A 13086-2023</t>
        </is>
      </c>
      <c r="B269" t="inlineStr">
        <is>
          <t>avverkningsanmälan</t>
        </is>
      </c>
      <c r="C269" t="inlineStr">
        <is>
          <t>Föryngringsavverkning</t>
        </is>
      </c>
      <c r="D269" s="1" t="n">
        <v>45002</v>
      </c>
      <c r="E269" s="1" t="n">
        <v>46220</v>
      </c>
      <c r="F269" t="inlineStr">
        <is>
          <t>SÖDERMANLANDS LÄN</t>
        </is>
      </c>
      <c r="G269" t="inlineStr">
        <is>
          <t>KATRINEHOLM</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29189-2025</t>
        </is>
      </c>
      <c r="B270" t="inlineStr">
        <is>
          <t>avverkningsanmälan</t>
        </is>
      </c>
      <c r="C270" t="inlineStr">
        <is>
          <t>Föryngringsavverkning</t>
        </is>
      </c>
      <c r="D270" s="1" t="n">
        <v>45822</v>
      </c>
      <c r="E270" s="1" t="n">
        <v>46220</v>
      </c>
      <c r="F270" t="inlineStr">
        <is>
          <t>SÖDERMANLANDS LÄN</t>
        </is>
      </c>
      <c r="G270" t="inlineStr">
        <is>
          <t>KATRINEHOLM</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57154-2023</t>
        </is>
      </c>
      <c r="B271" t="inlineStr">
        <is>
          <t>avverkningsanmälan</t>
        </is>
      </c>
      <c r="C271" t="inlineStr">
        <is>
          <t>Föryngringsavverkning</t>
        </is>
      </c>
      <c r="D271" s="1" t="n">
        <v>45245</v>
      </c>
      <c r="E271" s="1" t="n">
        <v>46220</v>
      </c>
      <c r="F271" t="inlineStr">
        <is>
          <t>SÖDERMANLANDS LÄN</t>
        </is>
      </c>
      <c r="G271" t="inlineStr">
        <is>
          <t>KATRINEHOLM</t>
        </is>
      </c>
      <c r="H271" t="inlineStr">
        <is>
          <t>Allmännings- och besparingsskogar</t>
        </is>
      </c>
      <c r="I271" t="n">
        <v>9.300000000000001</v>
      </c>
      <c r="J271" t="n">
        <v>0</v>
      </c>
      <c r="K271" t="n">
        <v>0</v>
      </c>
      <c r="L271" t="n">
        <v>0</v>
      </c>
      <c r="M271" t="n">
        <v>0</v>
      </c>
      <c r="N271" t="n">
        <v>0</v>
      </c>
      <c r="O271" t="n">
        <v>0</v>
      </c>
      <c r="P271" t="n">
        <v>0</v>
      </c>
      <c r="Q271" t="n">
        <v>0</v>
      </c>
      <c r="R271" t="n">
        <v>0</v>
      </c>
      <c r="S271" t="n">
        <v>0</v>
      </c>
      <c r="T271" t="n">
        <v>0</v>
      </c>
      <c r="U271" s="2" t="inlineStr"/>
    </row>
    <row r="272" ht="15" customHeight="1">
      <c r="A272" t="inlineStr">
        <is>
          <t>A 57265-2022</t>
        </is>
      </c>
      <c r="B272" t="inlineStr">
        <is>
          <t>avverkningsanmälan</t>
        </is>
      </c>
      <c r="C272" t="inlineStr">
        <is>
          <t>Föryngringsavverkning</t>
        </is>
      </c>
      <c r="D272" s="1" t="n">
        <v>44895</v>
      </c>
      <c r="E272" s="1" t="n">
        <v>46220</v>
      </c>
      <c r="F272" t="inlineStr">
        <is>
          <t>SÖDERMANLANDS LÄN</t>
        </is>
      </c>
      <c r="G272" t="inlineStr">
        <is>
          <t>KATRINEHOLM</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43975-2025</t>
        </is>
      </c>
      <c r="B273" t="inlineStr">
        <is>
          <t>avverkningsanmälan</t>
        </is>
      </c>
      <c r="C273" t="inlineStr">
        <is>
          <t>Avverkning för att bevara och utveckla /försöksver</t>
        </is>
      </c>
      <c r="D273" s="1" t="n">
        <v>45915</v>
      </c>
      <c r="E273" s="1" t="n">
        <v>46220</v>
      </c>
      <c r="F273" t="inlineStr">
        <is>
          <t>SÖDERMANLANDS LÄN</t>
        </is>
      </c>
      <c r="G273" t="inlineStr">
        <is>
          <t>KATRINEHOLM</t>
        </is>
      </c>
      <c r="I273" t="n">
        <v>1.8</v>
      </c>
      <c r="J273" t="n">
        <v>0</v>
      </c>
      <c r="K273" t="n">
        <v>0</v>
      </c>
      <c r="L273" t="n">
        <v>0</v>
      </c>
      <c r="M273" t="n">
        <v>0</v>
      </c>
      <c r="N273" t="n">
        <v>0</v>
      </c>
      <c r="O273" t="n">
        <v>0</v>
      </c>
      <c r="P273" t="n">
        <v>0</v>
      </c>
      <c r="Q273" t="n">
        <v>0</v>
      </c>
      <c r="R273" t="n">
        <v>0</v>
      </c>
      <c r="S273" t="n">
        <v>0</v>
      </c>
      <c r="T273" t="n">
        <v>0</v>
      </c>
      <c r="U273" s="2" t="inlineStr"/>
    </row>
    <row r="274" ht="15" customHeight="1">
      <c r="A274" t="inlineStr">
        <is>
          <t>A 6298-2024</t>
        </is>
      </c>
      <c r="B274" t="inlineStr">
        <is>
          <t>avverkningsanmälan</t>
        </is>
      </c>
      <c r="C274" t="inlineStr">
        <is>
          <t>Föryngringsavverkning</t>
        </is>
      </c>
      <c r="D274" s="1" t="n">
        <v>45338</v>
      </c>
      <c r="E274" s="1" t="n">
        <v>46220</v>
      </c>
      <c r="F274" t="inlineStr">
        <is>
          <t>SÖDERMANLANDS LÄN</t>
        </is>
      </c>
      <c r="G274" t="inlineStr">
        <is>
          <t>KATRINEHOLM</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31990-2025</t>
        </is>
      </c>
      <c r="B275" t="inlineStr">
        <is>
          <t>avverkningsanmälan</t>
        </is>
      </c>
      <c r="C275" t="inlineStr">
        <is>
          <t>Föryngringsavverkning</t>
        </is>
      </c>
      <c r="D275" s="1" t="n">
        <v>45835</v>
      </c>
      <c r="E275" s="1" t="n">
        <v>46220</v>
      </c>
      <c r="F275" t="inlineStr">
        <is>
          <t>SÖDERMANLANDS LÄN</t>
        </is>
      </c>
      <c r="G275" t="inlineStr">
        <is>
          <t>KATRINEHOLM</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2672-2026</t>
        </is>
      </c>
      <c r="B276" t="inlineStr">
        <is>
          <t>avverkningsanmälan</t>
        </is>
      </c>
      <c r="C276" t="inlineStr">
        <is>
          <t>Föryngringsavverkning</t>
        </is>
      </c>
      <c r="D276" s="1" t="n">
        <v>46037</v>
      </c>
      <c r="E276" s="1" t="n">
        <v>46220</v>
      </c>
      <c r="F276" t="inlineStr">
        <is>
          <t>SÖDERMANLANDS LÄN</t>
        </is>
      </c>
      <c r="G276" t="inlineStr">
        <is>
          <t>KATRINEHOLM</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48877-2022</t>
        </is>
      </c>
      <c r="B277" t="inlineStr">
        <is>
          <t>avverkningsanmälan</t>
        </is>
      </c>
      <c r="C277" t="inlineStr">
        <is>
          <t>Föryngringsavverkning</t>
        </is>
      </c>
      <c r="D277" s="1" t="n">
        <v>44859</v>
      </c>
      <c r="E277" s="1" t="n">
        <v>46220</v>
      </c>
      <c r="F277" t="inlineStr">
        <is>
          <t>SÖDERMANLANDS LÄN</t>
        </is>
      </c>
      <c r="G277" t="inlineStr">
        <is>
          <t>KATRINEHOLM</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34539-2022</t>
        </is>
      </c>
      <c r="B278" t="inlineStr">
        <is>
          <t>avverkningsanmälan</t>
        </is>
      </c>
      <c r="C278" t="inlineStr">
        <is>
          <t>Föryngringsavverkning</t>
        </is>
      </c>
      <c r="D278" s="1" t="n">
        <v>44793</v>
      </c>
      <c r="E278" s="1" t="n">
        <v>46220</v>
      </c>
      <c r="F278" t="inlineStr">
        <is>
          <t>SÖDERMANLANDS LÄN</t>
        </is>
      </c>
      <c r="G278" t="inlineStr">
        <is>
          <t>KATRINEHOLM</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3115-2024</t>
        </is>
      </c>
      <c r="B279" t="inlineStr">
        <is>
          <t>avverkningsanmälan</t>
        </is>
      </c>
      <c r="C279" t="inlineStr">
        <is>
          <t>Föryngringsavverkning</t>
        </is>
      </c>
      <c r="D279" s="1" t="n">
        <v>45316</v>
      </c>
      <c r="E279" s="1" t="n">
        <v>46220</v>
      </c>
      <c r="F279" t="inlineStr">
        <is>
          <t>SÖDERMANLANDS LÄN</t>
        </is>
      </c>
      <c r="G279" t="inlineStr">
        <is>
          <t>KATRINEHOLM</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23705-2023</t>
        </is>
      </c>
      <c r="B280" t="inlineStr">
        <is>
          <t>avverkningsanmälan</t>
        </is>
      </c>
      <c r="C280" t="inlineStr">
        <is>
          <t>Föryngringsavverkning</t>
        </is>
      </c>
      <c r="D280" s="1" t="n">
        <v>45077</v>
      </c>
      <c r="E280" s="1" t="n">
        <v>46220</v>
      </c>
      <c r="F280" t="inlineStr">
        <is>
          <t>SÖDERMANLANDS LÄN</t>
        </is>
      </c>
      <c r="G280" t="inlineStr">
        <is>
          <t>KATRINEHOLM</t>
        </is>
      </c>
      <c r="H280" t="inlineStr">
        <is>
          <t>Kyrkan</t>
        </is>
      </c>
      <c r="I280" t="n">
        <v>11.9</v>
      </c>
      <c r="J280" t="n">
        <v>0</v>
      </c>
      <c r="K280" t="n">
        <v>0</v>
      </c>
      <c r="L280" t="n">
        <v>0</v>
      </c>
      <c r="M280" t="n">
        <v>0</v>
      </c>
      <c r="N280" t="n">
        <v>0</v>
      </c>
      <c r="O280" t="n">
        <v>0</v>
      </c>
      <c r="P280" t="n">
        <v>0</v>
      </c>
      <c r="Q280" t="n">
        <v>0</v>
      </c>
      <c r="R280" t="n">
        <v>0</v>
      </c>
      <c r="S280" t="n">
        <v>0</v>
      </c>
      <c r="T280" t="n">
        <v>0</v>
      </c>
      <c r="U280" s="2" t="inlineStr"/>
    </row>
    <row r="281" ht="15" customHeight="1">
      <c r="A281" t="inlineStr">
        <is>
          <t>A 33577-2025</t>
        </is>
      </c>
      <c r="B281" t="inlineStr">
        <is>
          <t>avverkningsanmälan</t>
        </is>
      </c>
      <c r="C281" t="inlineStr">
        <is>
          <t>Avverkning för annat ändamål</t>
        </is>
      </c>
      <c r="D281" s="1" t="n">
        <v>45841</v>
      </c>
      <c r="E281" s="1" t="n">
        <v>46220</v>
      </c>
      <c r="F281" t="inlineStr">
        <is>
          <t>SÖDERMANLANDS LÄN</t>
        </is>
      </c>
      <c r="G281" t="inlineStr">
        <is>
          <t>KATRINEHOLM</t>
        </is>
      </c>
      <c r="H281" t="inlineStr">
        <is>
          <t>Holmen skog AB</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52769-2023</t>
        </is>
      </c>
      <c r="B282" t="inlineStr">
        <is>
          <t>avverkningsanmälan</t>
        </is>
      </c>
      <c r="C282" t="inlineStr">
        <is>
          <t>Avverkning för att bevara och utveckla /försöksver</t>
        </is>
      </c>
      <c r="D282" s="1" t="n">
        <v>45226</v>
      </c>
      <c r="E282" s="1" t="n">
        <v>46220</v>
      </c>
      <c r="F282" t="inlineStr">
        <is>
          <t>SÖDERMANLANDS LÄN</t>
        </is>
      </c>
      <c r="G282" t="inlineStr">
        <is>
          <t>KATRINEHOLM</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7223-2022</t>
        </is>
      </c>
      <c r="B283" t="inlineStr">
        <is>
          <t>avverkningsanmälan</t>
        </is>
      </c>
      <c r="C283" t="inlineStr">
        <is>
          <t>Föryngringsavverkning</t>
        </is>
      </c>
      <c r="D283" s="1" t="n">
        <v>44603</v>
      </c>
      <c r="E283" s="1" t="n">
        <v>46220</v>
      </c>
      <c r="F283" t="inlineStr">
        <is>
          <t>SÖDERMANLANDS LÄN</t>
        </is>
      </c>
      <c r="G283" t="inlineStr">
        <is>
          <t>KATRINEHOLM</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51446-2023</t>
        </is>
      </c>
      <c r="B284" t="inlineStr">
        <is>
          <t>avverkningsanmälan</t>
        </is>
      </c>
      <c r="C284" t="inlineStr">
        <is>
          <t>Föryngringsavverkning</t>
        </is>
      </c>
      <c r="D284" s="1" t="n">
        <v>45220</v>
      </c>
      <c r="E284" s="1" t="n">
        <v>46220</v>
      </c>
      <c r="F284" t="inlineStr">
        <is>
          <t>SÖDERMANLANDS LÄN</t>
        </is>
      </c>
      <c r="G284" t="inlineStr">
        <is>
          <t>KATRINEHOLM</t>
        </is>
      </c>
      <c r="I284" t="n">
        <v>8.800000000000001</v>
      </c>
      <c r="J284" t="n">
        <v>0</v>
      </c>
      <c r="K284" t="n">
        <v>0</v>
      </c>
      <c r="L284" t="n">
        <v>0</v>
      </c>
      <c r="M284" t="n">
        <v>0</v>
      </c>
      <c r="N284" t="n">
        <v>0</v>
      </c>
      <c r="O284" t="n">
        <v>0</v>
      </c>
      <c r="P284" t="n">
        <v>0</v>
      </c>
      <c r="Q284" t="n">
        <v>0</v>
      </c>
      <c r="R284" t="n">
        <v>0</v>
      </c>
      <c r="S284" t="n">
        <v>0</v>
      </c>
      <c r="T284" t="n">
        <v>0</v>
      </c>
      <c r="U284" s="2" t="inlineStr"/>
    </row>
    <row r="285" ht="15" customHeight="1">
      <c r="A285" t="inlineStr">
        <is>
          <t>A 6762-2025</t>
        </is>
      </c>
      <c r="B285" t="inlineStr">
        <is>
          <t>avverkningsanmälan</t>
        </is>
      </c>
      <c r="C285" t="inlineStr">
        <is>
          <t>Föryngringsavverkning</t>
        </is>
      </c>
      <c r="D285" s="1" t="n">
        <v>45700</v>
      </c>
      <c r="E285" s="1" t="n">
        <v>46220</v>
      </c>
      <c r="F285" t="inlineStr">
        <is>
          <t>SÖDERMANLANDS LÄN</t>
        </is>
      </c>
      <c r="G285" t="inlineStr">
        <is>
          <t>KATRINEHOLM</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20213-2025</t>
        </is>
      </c>
      <c r="B286" t="inlineStr">
        <is>
          <t>avverkningsanmälan</t>
        </is>
      </c>
      <c r="C286" t="inlineStr">
        <is>
          <t>Föryngringsavverkning</t>
        </is>
      </c>
      <c r="D286" s="1" t="n">
        <v>45772</v>
      </c>
      <c r="E286" s="1" t="n">
        <v>46220</v>
      </c>
      <c r="F286" t="inlineStr">
        <is>
          <t>SÖDERMANLANDS LÄN</t>
        </is>
      </c>
      <c r="G286" t="inlineStr">
        <is>
          <t>KATRINEHOLM</t>
        </is>
      </c>
      <c r="I286" t="n">
        <v>8.199999999999999</v>
      </c>
      <c r="J286" t="n">
        <v>0</v>
      </c>
      <c r="K286" t="n">
        <v>0</v>
      </c>
      <c r="L286" t="n">
        <v>0</v>
      </c>
      <c r="M286" t="n">
        <v>0</v>
      </c>
      <c r="N286" t="n">
        <v>0</v>
      </c>
      <c r="O286" t="n">
        <v>0</v>
      </c>
      <c r="P286" t="n">
        <v>0</v>
      </c>
      <c r="Q286" t="n">
        <v>0</v>
      </c>
      <c r="R286" t="n">
        <v>0</v>
      </c>
      <c r="S286" t="n">
        <v>0</v>
      </c>
      <c r="T286" t="n">
        <v>0</v>
      </c>
      <c r="U286" s="2" t="inlineStr"/>
    </row>
    <row r="287" ht="15" customHeight="1">
      <c r="A287" t="inlineStr">
        <is>
          <t>A 46288-2025</t>
        </is>
      </c>
      <c r="B287" t="inlineStr">
        <is>
          <t>avverkningsanmälan</t>
        </is>
      </c>
      <c r="C287" t="inlineStr">
        <is>
          <t>Föryngringsavverkning</t>
        </is>
      </c>
      <c r="D287" s="1" t="n">
        <v>45925</v>
      </c>
      <c r="E287" s="1" t="n">
        <v>46220</v>
      </c>
      <c r="F287" t="inlineStr">
        <is>
          <t>SÖDERMANLANDS LÄN</t>
        </is>
      </c>
      <c r="G287" t="inlineStr">
        <is>
          <t>KATRINEHOLM</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27646-2023</t>
        </is>
      </c>
      <c r="B288" t="inlineStr">
        <is>
          <t>avverkningsanmälan</t>
        </is>
      </c>
      <c r="C288" t="inlineStr">
        <is>
          <t>Föryngringsavverkning</t>
        </is>
      </c>
      <c r="D288" s="1" t="n">
        <v>45097</v>
      </c>
      <c r="E288" s="1" t="n">
        <v>46220</v>
      </c>
      <c r="F288" t="inlineStr">
        <is>
          <t>SÖDERMANLANDS LÄN</t>
        </is>
      </c>
      <c r="G288" t="inlineStr">
        <is>
          <t>KATRINEHOLM</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50626-2024</t>
        </is>
      </c>
      <c r="B289" t="inlineStr">
        <is>
          <t>avverkningsanmälan</t>
        </is>
      </c>
      <c r="C289" t="inlineStr">
        <is>
          <t>Föryngringsavverkning</t>
        </is>
      </c>
      <c r="D289" s="1" t="n">
        <v>45601</v>
      </c>
      <c r="E289" s="1" t="n">
        <v>46220</v>
      </c>
      <c r="F289" t="inlineStr">
        <is>
          <t>SÖDERMANLANDS LÄN</t>
        </is>
      </c>
      <c r="G289" t="inlineStr">
        <is>
          <t>KATRINEHOLM</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35183-2022</t>
        </is>
      </c>
      <c r="B290" t="inlineStr">
        <is>
          <t>avverkningsanmälan</t>
        </is>
      </c>
      <c r="C290" t="inlineStr">
        <is>
          <t>Föryngringsavverkning</t>
        </is>
      </c>
      <c r="D290" s="1" t="n">
        <v>44797</v>
      </c>
      <c r="E290" s="1" t="n">
        <v>46220</v>
      </c>
      <c r="F290" t="inlineStr">
        <is>
          <t>SÖDERMANLANDS LÄN</t>
        </is>
      </c>
      <c r="G290" t="inlineStr">
        <is>
          <t>KATRINEHOLM</t>
        </is>
      </c>
      <c r="I290" t="n">
        <v>4.6</v>
      </c>
      <c r="J290" t="n">
        <v>0</v>
      </c>
      <c r="K290" t="n">
        <v>0</v>
      </c>
      <c r="L290" t="n">
        <v>0</v>
      </c>
      <c r="M290" t="n">
        <v>0</v>
      </c>
      <c r="N290" t="n">
        <v>0</v>
      </c>
      <c r="O290" t="n">
        <v>0</v>
      </c>
      <c r="P290" t="n">
        <v>0</v>
      </c>
      <c r="Q290" t="n">
        <v>0</v>
      </c>
      <c r="R290" t="n">
        <v>0</v>
      </c>
      <c r="S290" t="n">
        <v>0</v>
      </c>
      <c r="T290" t="n">
        <v>0</v>
      </c>
      <c r="U290" s="2" t="inlineStr"/>
    </row>
    <row r="291" ht="15" customHeight="1">
      <c r="A291" t="inlineStr">
        <is>
          <t>A 12888-2025</t>
        </is>
      </c>
      <c r="B291" t="inlineStr">
        <is>
          <t>avverkningsanmälan</t>
        </is>
      </c>
      <c r="C291" t="inlineStr">
        <is>
          <t>Föryngringsavverkning</t>
        </is>
      </c>
      <c r="D291" s="1" t="n">
        <v>45733</v>
      </c>
      <c r="E291" s="1" t="n">
        <v>46220</v>
      </c>
      <c r="F291" t="inlineStr">
        <is>
          <t>SÖDERMANLANDS LÄN</t>
        </is>
      </c>
      <c r="G291" t="inlineStr">
        <is>
          <t>KATRINEHOLM</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7197-2023</t>
        </is>
      </c>
      <c r="B292" t="inlineStr">
        <is>
          <t>avverkningsanmälan</t>
        </is>
      </c>
      <c r="C292" t="inlineStr">
        <is>
          <t>Föryngringsavverkning</t>
        </is>
      </c>
      <c r="D292" s="1" t="n">
        <v>44965</v>
      </c>
      <c r="E292" s="1" t="n">
        <v>46220</v>
      </c>
      <c r="F292" t="inlineStr">
        <is>
          <t>SÖDERMANLANDS LÄN</t>
        </is>
      </c>
      <c r="G292" t="inlineStr">
        <is>
          <t>KATRINEHOLM</t>
        </is>
      </c>
      <c r="I292" t="n">
        <v>5.3</v>
      </c>
      <c r="J292" t="n">
        <v>0</v>
      </c>
      <c r="K292" t="n">
        <v>0</v>
      </c>
      <c r="L292" t="n">
        <v>0</v>
      </c>
      <c r="M292" t="n">
        <v>0</v>
      </c>
      <c r="N292" t="n">
        <v>0</v>
      </c>
      <c r="O292" t="n">
        <v>0</v>
      </c>
      <c r="P292" t="n">
        <v>0</v>
      </c>
      <c r="Q292" t="n">
        <v>0</v>
      </c>
      <c r="R292" t="n">
        <v>0</v>
      </c>
      <c r="S292" t="n">
        <v>0</v>
      </c>
      <c r="T292" t="n">
        <v>0</v>
      </c>
      <c r="U292" s="2" t="inlineStr"/>
    </row>
    <row r="293" ht="15" customHeight="1">
      <c r="A293" t="inlineStr">
        <is>
          <t>A 35157-2025</t>
        </is>
      </c>
      <c r="B293" t="inlineStr">
        <is>
          <t>avverkningsanmälan</t>
        </is>
      </c>
      <c r="C293" t="inlineStr">
        <is>
          <t>Föryngringsavverkning</t>
        </is>
      </c>
      <c r="D293" s="1" t="n">
        <v>45852</v>
      </c>
      <c r="E293" s="1" t="n">
        <v>46220</v>
      </c>
      <c r="F293" t="inlineStr">
        <is>
          <t>SÖDERMANLANDS LÄN</t>
        </is>
      </c>
      <c r="G293" t="inlineStr">
        <is>
          <t>KATRINEHOLM</t>
        </is>
      </c>
      <c r="I293" t="n">
        <v>3.7</v>
      </c>
      <c r="J293" t="n">
        <v>0</v>
      </c>
      <c r="K293" t="n">
        <v>0</v>
      </c>
      <c r="L293" t="n">
        <v>0</v>
      </c>
      <c r="M293" t="n">
        <v>0</v>
      </c>
      <c r="N293" t="n">
        <v>0</v>
      </c>
      <c r="O293" t="n">
        <v>0</v>
      </c>
      <c r="P293" t="n">
        <v>0</v>
      </c>
      <c r="Q293" t="n">
        <v>0</v>
      </c>
      <c r="R293" t="n">
        <v>0</v>
      </c>
      <c r="S293" t="n">
        <v>0</v>
      </c>
      <c r="T293" t="n">
        <v>0</v>
      </c>
      <c r="U293" s="2" t="inlineStr"/>
    </row>
    <row r="294" ht="15" customHeight="1">
      <c r="A294" t="inlineStr">
        <is>
          <t>A 28394-2023</t>
        </is>
      </c>
      <c r="B294" t="inlineStr">
        <is>
          <t>avverkningsanmälan</t>
        </is>
      </c>
      <c r="C294" t="inlineStr">
        <is>
          <t>Föryngringsavverkning</t>
        </is>
      </c>
      <c r="D294" s="1" t="n">
        <v>45100</v>
      </c>
      <c r="E294" s="1" t="n">
        <v>46220</v>
      </c>
      <c r="F294" t="inlineStr">
        <is>
          <t>SÖDERMANLANDS LÄN</t>
        </is>
      </c>
      <c r="G294" t="inlineStr">
        <is>
          <t>KATRINEHOLM</t>
        </is>
      </c>
      <c r="I294" t="n">
        <v>4.2</v>
      </c>
      <c r="J294" t="n">
        <v>0</v>
      </c>
      <c r="K294" t="n">
        <v>0</v>
      </c>
      <c r="L294" t="n">
        <v>0</v>
      </c>
      <c r="M294" t="n">
        <v>0</v>
      </c>
      <c r="N294" t="n">
        <v>0</v>
      </c>
      <c r="O294" t="n">
        <v>0</v>
      </c>
      <c r="P294" t="n">
        <v>0</v>
      </c>
      <c r="Q294" t="n">
        <v>0</v>
      </c>
      <c r="R294" t="n">
        <v>0</v>
      </c>
      <c r="S294" t="n">
        <v>0</v>
      </c>
      <c r="T294" t="n">
        <v>0</v>
      </c>
      <c r="U294" s="2" t="inlineStr"/>
    </row>
    <row r="295" ht="15" customHeight="1">
      <c r="A295" t="inlineStr">
        <is>
          <t>A 35165-2025</t>
        </is>
      </c>
      <c r="B295" t="inlineStr">
        <is>
          <t>avverkningsanmälan</t>
        </is>
      </c>
      <c r="C295" t="inlineStr">
        <is>
          <t>Föryngringsavverkning</t>
        </is>
      </c>
      <c r="D295" s="1" t="n">
        <v>45852</v>
      </c>
      <c r="E295" s="1" t="n">
        <v>46220</v>
      </c>
      <c r="F295" t="inlineStr">
        <is>
          <t>SÖDERMANLANDS LÄN</t>
        </is>
      </c>
      <c r="G295" t="inlineStr">
        <is>
          <t>KATRINEHOLM</t>
        </is>
      </c>
      <c r="H295" t="inlineStr">
        <is>
          <t>Övriga Aktiebolag</t>
        </is>
      </c>
      <c r="I295" t="n">
        <v>20.7</v>
      </c>
      <c r="J295" t="n">
        <v>0</v>
      </c>
      <c r="K295" t="n">
        <v>0</v>
      </c>
      <c r="L295" t="n">
        <v>0</v>
      </c>
      <c r="M295" t="n">
        <v>0</v>
      </c>
      <c r="N295" t="n">
        <v>0</v>
      </c>
      <c r="O295" t="n">
        <v>0</v>
      </c>
      <c r="P295" t="n">
        <v>0</v>
      </c>
      <c r="Q295" t="n">
        <v>0</v>
      </c>
      <c r="R295" t="n">
        <v>0</v>
      </c>
      <c r="S295" t="n">
        <v>0</v>
      </c>
      <c r="T295" t="n">
        <v>0</v>
      </c>
      <c r="U295" s="2" t="inlineStr"/>
    </row>
    <row r="296" ht="15" customHeight="1">
      <c r="A296" t="inlineStr">
        <is>
          <t>A 35158-2025</t>
        </is>
      </c>
      <c r="B296" t="inlineStr">
        <is>
          <t>avverkningsanmälan</t>
        </is>
      </c>
      <c r="C296" t="inlineStr">
        <is>
          <t>Föryngringsavverkning</t>
        </is>
      </c>
      <c r="D296" s="1" t="n">
        <v>45852</v>
      </c>
      <c r="E296" s="1" t="n">
        <v>46220</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34439-2025</t>
        </is>
      </c>
      <c r="B297" t="inlineStr">
        <is>
          <t>avverkningsanmälan</t>
        </is>
      </c>
      <c r="C297" t="inlineStr">
        <is>
          <t>Avverkning för annat ändamål</t>
        </is>
      </c>
      <c r="D297" s="1" t="n">
        <v>45845</v>
      </c>
      <c r="E297" s="1" t="n">
        <v>46220</v>
      </c>
      <c r="F297" t="inlineStr">
        <is>
          <t>SÖDERMANLANDS LÄN</t>
        </is>
      </c>
      <c r="G297" t="inlineStr">
        <is>
          <t>KATRINEHOLM</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25362-2023</t>
        </is>
      </c>
      <c r="B298" t="inlineStr">
        <is>
          <t>avverkningsanmälan</t>
        </is>
      </c>
      <c r="C298" t="inlineStr">
        <is>
          <t>Föryngringsavverkning</t>
        </is>
      </c>
      <c r="D298" s="1" t="n">
        <v>45088</v>
      </c>
      <c r="E298" s="1" t="n">
        <v>46220</v>
      </c>
      <c r="F298" t="inlineStr">
        <is>
          <t>SÖDERMANLANDS LÄN</t>
        </is>
      </c>
      <c r="G298" t="inlineStr">
        <is>
          <t>KATRINEHOLM</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47456-2022</t>
        </is>
      </c>
      <c r="B299" t="inlineStr">
        <is>
          <t>avverkningsanmälan</t>
        </is>
      </c>
      <c r="C299" t="inlineStr">
        <is>
          <t>Föryngringsavverkning</t>
        </is>
      </c>
      <c r="D299" s="1" t="n">
        <v>44852</v>
      </c>
      <c r="E299" s="1" t="n">
        <v>46220</v>
      </c>
      <c r="F299" t="inlineStr">
        <is>
          <t>SÖDERMANLANDS LÄN</t>
        </is>
      </c>
      <c r="G299" t="inlineStr">
        <is>
          <t>KATRINEHOLM</t>
        </is>
      </c>
      <c r="I299" t="n">
        <v>3.7</v>
      </c>
      <c r="J299" t="n">
        <v>0</v>
      </c>
      <c r="K299" t="n">
        <v>0</v>
      </c>
      <c r="L299" t="n">
        <v>0</v>
      </c>
      <c r="M299" t="n">
        <v>0</v>
      </c>
      <c r="N299" t="n">
        <v>0</v>
      </c>
      <c r="O299" t="n">
        <v>0</v>
      </c>
      <c r="P299" t="n">
        <v>0</v>
      </c>
      <c r="Q299" t="n">
        <v>0</v>
      </c>
      <c r="R299" t="n">
        <v>0</v>
      </c>
      <c r="S299" t="n">
        <v>0</v>
      </c>
      <c r="T299" t="n">
        <v>0</v>
      </c>
      <c r="U299" s="2" t="inlineStr"/>
    </row>
    <row r="300" ht="15" customHeight="1">
      <c r="A300" t="inlineStr">
        <is>
          <t>A 34176-2025</t>
        </is>
      </c>
      <c r="B300" t="inlineStr">
        <is>
          <t>avverkningsanmälan</t>
        </is>
      </c>
      <c r="C300" t="inlineStr">
        <is>
          <t>Avverkning för annat ändamål</t>
        </is>
      </c>
      <c r="D300" s="1" t="n">
        <v>45845</v>
      </c>
      <c r="E300" s="1" t="n">
        <v>46220</v>
      </c>
      <c r="F300" t="inlineStr">
        <is>
          <t>SÖDERMANLANDS LÄN</t>
        </is>
      </c>
      <c r="G300" t="inlineStr">
        <is>
          <t>KATRINEHOLM</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4656-2023</t>
        </is>
      </c>
      <c r="B301" t="inlineStr">
        <is>
          <t>avverkningsanmälan</t>
        </is>
      </c>
      <c r="C301" t="inlineStr">
        <is>
          <t>Föryngringsavverkning</t>
        </is>
      </c>
      <c r="D301" s="1" t="n">
        <v>44957</v>
      </c>
      <c r="E301" s="1" t="n">
        <v>46220</v>
      </c>
      <c r="F301" t="inlineStr">
        <is>
          <t>SÖDERMANLANDS LÄN</t>
        </is>
      </c>
      <c r="G301" t="inlineStr">
        <is>
          <t>KATRINEHOLM</t>
        </is>
      </c>
      <c r="H301" t="inlineStr">
        <is>
          <t>Holmen skog AB</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49078-2024</t>
        </is>
      </c>
      <c r="B302" t="inlineStr">
        <is>
          <t>avverkningsanmälan</t>
        </is>
      </c>
      <c r="C302" t="inlineStr">
        <is>
          <t>Avverkning för annat ändamål</t>
        </is>
      </c>
      <c r="D302" s="1" t="n">
        <v>45594</v>
      </c>
      <c r="E302" s="1" t="n">
        <v>46220</v>
      </c>
      <c r="F302" t="inlineStr">
        <is>
          <t>SÖDERMANLANDS LÄN</t>
        </is>
      </c>
      <c r="G302" t="inlineStr">
        <is>
          <t>KATRINEHOLM</t>
        </is>
      </c>
      <c r="H302" t="inlineStr">
        <is>
          <t>Övriga Aktiebolag</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35188-2022</t>
        </is>
      </c>
      <c r="B303" t="inlineStr">
        <is>
          <t>avverkningsanmälan</t>
        </is>
      </c>
      <c r="C303" t="inlineStr">
        <is>
          <t>Föryngringsavverkning</t>
        </is>
      </c>
      <c r="D303" s="1" t="n">
        <v>44797</v>
      </c>
      <c r="E303" s="1" t="n">
        <v>46220</v>
      </c>
      <c r="F303" t="inlineStr">
        <is>
          <t>SÖDERMANLANDS LÄN</t>
        </is>
      </c>
      <c r="G303" t="inlineStr">
        <is>
          <t>KATRINEHOLM</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5327-2025</t>
        </is>
      </c>
      <c r="B304" t="inlineStr">
        <is>
          <t>avverkningsanmälan</t>
        </is>
      </c>
      <c r="C304" t="inlineStr">
        <is>
          <t>Föryngringsavverkning</t>
        </is>
      </c>
      <c r="D304" s="1" t="n">
        <v>45692</v>
      </c>
      <c r="E304" s="1" t="n">
        <v>46220</v>
      </c>
      <c r="F304" t="inlineStr">
        <is>
          <t>SÖDERMANLANDS LÄN</t>
        </is>
      </c>
      <c r="G304" t="inlineStr">
        <is>
          <t>KATRINEHOLM</t>
        </is>
      </c>
      <c r="H304" t="inlineStr">
        <is>
          <t>Kommuner</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44024-2021</t>
        </is>
      </c>
      <c r="B305" t="inlineStr">
        <is>
          <t>avverkningsanmälan</t>
        </is>
      </c>
      <c r="C305" t="inlineStr">
        <is>
          <t>Föryngringsavverkning</t>
        </is>
      </c>
      <c r="D305" s="1" t="n">
        <v>44434</v>
      </c>
      <c r="E305" s="1" t="n">
        <v>46220</v>
      </c>
      <c r="F305" t="inlineStr">
        <is>
          <t>SÖDERMANLANDS LÄN</t>
        </is>
      </c>
      <c r="G305" t="inlineStr">
        <is>
          <t>KATRINEHOLM</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4655-2024</t>
        </is>
      </c>
      <c r="B306" t="inlineStr">
        <is>
          <t>avverkningsanmälan</t>
        </is>
      </c>
      <c r="C306" t="inlineStr">
        <is>
          <t>Föryngringsavverkning</t>
        </is>
      </c>
      <c r="D306" s="1" t="n">
        <v>45328</v>
      </c>
      <c r="E306" s="1" t="n">
        <v>46220</v>
      </c>
      <c r="F306" t="inlineStr">
        <is>
          <t>SÖDERMANLANDS LÄN</t>
        </is>
      </c>
      <c r="G306" t="inlineStr">
        <is>
          <t>KATRINEHOLM</t>
        </is>
      </c>
      <c r="I306" t="n">
        <v>17.7</v>
      </c>
      <c r="J306" t="n">
        <v>0</v>
      </c>
      <c r="K306" t="n">
        <v>0</v>
      </c>
      <c r="L306" t="n">
        <v>0</v>
      </c>
      <c r="M306" t="n">
        <v>0</v>
      </c>
      <c r="N306" t="n">
        <v>0</v>
      </c>
      <c r="O306" t="n">
        <v>0</v>
      </c>
      <c r="P306" t="n">
        <v>0</v>
      </c>
      <c r="Q306" t="n">
        <v>0</v>
      </c>
      <c r="R306" t="n">
        <v>0</v>
      </c>
      <c r="S306" t="n">
        <v>0</v>
      </c>
      <c r="T306" t="n">
        <v>0</v>
      </c>
      <c r="U306" s="2" t="inlineStr"/>
    </row>
    <row r="307" ht="15" customHeight="1">
      <c r="A307" t="inlineStr">
        <is>
          <t>A 50316-2023</t>
        </is>
      </c>
      <c r="B307" t="inlineStr">
        <is>
          <t>avverkningsanmälan</t>
        </is>
      </c>
      <c r="C307" t="inlineStr">
        <is>
          <t>Föryngringsavverkning</t>
        </is>
      </c>
      <c r="D307" s="1" t="n">
        <v>45209</v>
      </c>
      <c r="E307" s="1" t="n">
        <v>46220</v>
      </c>
      <c r="F307" t="inlineStr">
        <is>
          <t>SÖDERMANLANDS LÄN</t>
        </is>
      </c>
      <c r="G307" t="inlineStr">
        <is>
          <t>KATRINEHOLM</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12227-2025</t>
        </is>
      </c>
      <c r="B308" t="inlineStr">
        <is>
          <t>avverkningsanmälan</t>
        </is>
      </c>
      <c r="C308" t="inlineStr">
        <is>
          <t>Föryngringsavverkning</t>
        </is>
      </c>
      <c r="D308" s="1" t="n">
        <v>45729</v>
      </c>
      <c r="E308" s="1" t="n">
        <v>46220</v>
      </c>
      <c r="F308" t="inlineStr">
        <is>
          <t>SÖDERMANLANDS LÄN</t>
        </is>
      </c>
      <c r="G308" t="inlineStr">
        <is>
          <t>KATRINEHOLM</t>
        </is>
      </c>
      <c r="I308" t="n">
        <v>7</v>
      </c>
      <c r="J308" t="n">
        <v>0</v>
      </c>
      <c r="K308" t="n">
        <v>0</v>
      </c>
      <c r="L308" t="n">
        <v>0</v>
      </c>
      <c r="M308" t="n">
        <v>0</v>
      </c>
      <c r="N308" t="n">
        <v>0</v>
      </c>
      <c r="O308" t="n">
        <v>0</v>
      </c>
      <c r="P308" t="n">
        <v>0</v>
      </c>
      <c r="Q308" t="n">
        <v>0</v>
      </c>
      <c r="R308" t="n">
        <v>0</v>
      </c>
      <c r="S308" t="n">
        <v>0</v>
      </c>
      <c r="T308" t="n">
        <v>0</v>
      </c>
      <c r="U308" s="2" t="inlineStr"/>
    </row>
    <row r="309" ht="15" customHeight="1">
      <c r="A309" t="inlineStr">
        <is>
          <t>A 51404-2023</t>
        </is>
      </c>
      <c r="B309" t="inlineStr">
        <is>
          <t>avverkningsanmälan</t>
        </is>
      </c>
      <c r="C309" t="inlineStr">
        <is>
          <t>Föryngringsavverkning</t>
        </is>
      </c>
      <c r="D309" s="1" t="n">
        <v>45214</v>
      </c>
      <c r="E309" s="1" t="n">
        <v>46220</v>
      </c>
      <c r="F309" t="inlineStr">
        <is>
          <t>SÖDERMANLANDS LÄN</t>
        </is>
      </c>
      <c r="G309" t="inlineStr">
        <is>
          <t>KATRINEHOLM</t>
        </is>
      </c>
      <c r="I309" t="n">
        <v>9</v>
      </c>
      <c r="J309" t="n">
        <v>0</v>
      </c>
      <c r="K309" t="n">
        <v>0</v>
      </c>
      <c r="L309" t="n">
        <v>0</v>
      </c>
      <c r="M309" t="n">
        <v>0</v>
      </c>
      <c r="N309" t="n">
        <v>0</v>
      </c>
      <c r="O309" t="n">
        <v>0</v>
      </c>
      <c r="P309" t="n">
        <v>0</v>
      </c>
      <c r="Q309" t="n">
        <v>0</v>
      </c>
      <c r="R309" t="n">
        <v>0</v>
      </c>
      <c r="S309" t="n">
        <v>0</v>
      </c>
      <c r="T309" t="n">
        <v>0</v>
      </c>
      <c r="U309" s="2" t="inlineStr"/>
    </row>
    <row r="310" ht="15" customHeight="1">
      <c r="A310" t="inlineStr">
        <is>
          <t>A 26684-2025</t>
        </is>
      </c>
      <c r="B310" t="inlineStr">
        <is>
          <t>avverkningsanmälan</t>
        </is>
      </c>
      <c r="C310" t="inlineStr">
        <is>
          <t>Föryngringsavverkning</t>
        </is>
      </c>
      <c r="D310" s="1" t="n">
        <v>45810</v>
      </c>
      <c r="E310" s="1" t="n">
        <v>46220</v>
      </c>
      <c r="F310" t="inlineStr">
        <is>
          <t>SÖDERMANLANDS LÄN</t>
        </is>
      </c>
      <c r="G310" t="inlineStr">
        <is>
          <t>KATRINEHOLM</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37043-2025</t>
        </is>
      </c>
      <c r="B311" t="inlineStr">
        <is>
          <t>avverkningsanmälan</t>
        </is>
      </c>
      <c r="C311" t="inlineStr">
        <is>
          <t>Föryngringsavverkning</t>
        </is>
      </c>
      <c r="D311" s="1" t="n">
        <v>45875</v>
      </c>
      <c r="E311" s="1" t="n">
        <v>46220</v>
      </c>
      <c r="F311" t="inlineStr">
        <is>
          <t>SÖDERMANLANDS LÄN</t>
        </is>
      </c>
      <c r="G311" t="inlineStr">
        <is>
          <t>KATRINEHOLM</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15898-2022</t>
        </is>
      </c>
      <c r="B312" t="inlineStr">
        <is>
          <t>avverkningsanmälan</t>
        </is>
      </c>
      <c r="C312" t="inlineStr">
        <is>
          <t>Föryngringsavverkning</t>
        </is>
      </c>
      <c r="D312" s="1" t="n">
        <v>44664</v>
      </c>
      <c r="E312" s="1" t="n">
        <v>46220</v>
      </c>
      <c r="F312" t="inlineStr">
        <is>
          <t>SÖDERMANLANDS LÄN</t>
        </is>
      </c>
      <c r="G312" t="inlineStr">
        <is>
          <t>KATRINEHOLM</t>
        </is>
      </c>
      <c r="I312" t="n">
        <v>6.5</v>
      </c>
      <c r="J312" t="n">
        <v>0</v>
      </c>
      <c r="K312" t="n">
        <v>0</v>
      </c>
      <c r="L312" t="n">
        <v>0</v>
      </c>
      <c r="M312" t="n">
        <v>0</v>
      </c>
      <c r="N312" t="n">
        <v>0</v>
      </c>
      <c r="O312" t="n">
        <v>0</v>
      </c>
      <c r="P312" t="n">
        <v>0</v>
      </c>
      <c r="Q312" t="n">
        <v>0</v>
      </c>
      <c r="R312" t="n">
        <v>0</v>
      </c>
      <c r="S312" t="n">
        <v>0</v>
      </c>
      <c r="T312" t="n">
        <v>0</v>
      </c>
      <c r="U312" s="2" t="inlineStr"/>
    </row>
    <row r="313" ht="15" customHeight="1">
      <c r="A313" t="inlineStr">
        <is>
          <t>A 15910-2022</t>
        </is>
      </c>
      <c r="B313" t="inlineStr">
        <is>
          <t>avverkningsanmälan</t>
        </is>
      </c>
      <c r="C313" t="inlineStr">
        <is>
          <t>Föryngringsavverkning</t>
        </is>
      </c>
      <c r="D313" s="1" t="n">
        <v>44664</v>
      </c>
      <c r="E313" s="1" t="n">
        <v>46220</v>
      </c>
      <c r="F313" t="inlineStr">
        <is>
          <t>SÖDERMANLANDS LÄN</t>
        </is>
      </c>
      <c r="G313" t="inlineStr">
        <is>
          <t>KATRINEHOLM</t>
        </is>
      </c>
      <c r="I313" t="n">
        <v>5.6</v>
      </c>
      <c r="J313" t="n">
        <v>0</v>
      </c>
      <c r="K313" t="n">
        <v>0</v>
      </c>
      <c r="L313" t="n">
        <v>0</v>
      </c>
      <c r="M313" t="n">
        <v>0</v>
      </c>
      <c r="N313" t="n">
        <v>0</v>
      </c>
      <c r="O313" t="n">
        <v>0</v>
      </c>
      <c r="P313" t="n">
        <v>0</v>
      </c>
      <c r="Q313" t="n">
        <v>0</v>
      </c>
      <c r="R313" t="n">
        <v>0</v>
      </c>
      <c r="S313" t="n">
        <v>0</v>
      </c>
      <c r="T313" t="n">
        <v>0</v>
      </c>
      <c r="U313" s="2" t="inlineStr"/>
    </row>
    <row r="314" ht="15" customHeight="1">
      <c r="A314" t="inlineStr">
        <is>
          <t>A 64605-2023</t>
        </is>
      </c>
      <c r="B314" t="inlineStr">
        <is>
          <t>avverkningsanmälan</t>
        </is>
      </c>
      <c r="C314" t="inlineStr">
        <is>
          <t>Föryngringsavverkning</t>
        </is>
      </c>
      <c r="D314" s="1" t="n">
        <v>45281</v>
      </c>
      <c r="E314" s="1" t="n">
        <v>46220</v>
      </c>
      <c r="F314" t="inlineStr">
        <is>
          <t>SÖDERMANLANDS LÄN</t>
        </is>
      </c>
      <c r="G314" t="inlineStr">
        <is>
          <t>KATRINEHOLM</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64652-2023</t>
        </is>
      </c>
      <c r="B315" t="inlineStr">
        <is>
          <t>avverkningsanmälan</t>
        </is>
      </c>
      <c r="C315" t="inlineStr">
        <is>
          <t>Föryngringsavverkning</t>
        </is>
      </c>
      <c r="D315" s="1" t="n">
        <v>45281</v>
      </c>
      <c r="E315" s="1" t="n">
        <v>46220</v>
      </c>
      <c r="F315" t="inlineStr">
        <is>
          <t>SÖDERMANLANDS LÄN</t>
        </is>
      </c>
      <c r="G315" t="inlineStr">
        <is>
          <t>KATRINEHOLM</t>
        </is>
      </c>
      <c r="H315" t="inlineStr">
        <is>
          <t>Övriga Aktiebolag</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29830-2023</t>
        </is>
      </c>
      <c r="B316" t="inlineStr">
        <is>
          <t>avverkningsanmälan</t>
        </is>
      </c>
      <c r="C316" t="inlineStr">
        <is>
          <t>Föryngringsavverkning</t>
        </is>
      </c>
      <c r="D316" s="1" t="n">
        <v>45107</v>
      </c>
      <c r="E316" s="1" t="n">
        <v>46220</v>
      </c>
      <c r="F316" t="inlineStr">
        <is>
          <t>SÖDERMANLANDS LÄN</t>
        </is>
      </c>
      <c r="G316" t="inlineStr">
        <is>
          <t>KATRINEHOLM</t>
        </is>
      </c>
      <c r="H316" t="inlineStr">
        <is>
          <t>Holmen skog AB</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37827-2025</t>
        </is>
      </c>
      <c r="B317" t="inlineStr">
        <is>
          <t>avverkningsanmälan</t>
        </is>
      </c>
      <c r="C317" t="inlineStr">
        <is>
          <t>Föryngringsavverkning</t>
        </is>
      </c>
      <c r="D317" s="1" t="n">
        <v>45881</v>
      </c>
      <c r="E317" s="1" t="n">
        <v>46220</v>
      </c>
      <c r="F317" t="inlineStr">
        <is>
          <t>SÖDERMANLANDS LÄN</t>
        </is>
      </c>
      <c r="G317" t="inlineStr">
        <is>
          <t>KATRINEHOLM</t>
        </is>
      </c>
      <c r="H317" t="inlineStr">
        <is>
          <t>Övriga Aktiebolag</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28582-2024</t>
        </is>
      </c>
      <c r="B318" t="inlineStr">
        <is>
          <t>avverkningsanmälan</t>
        </is>
      </c>
      <c r="C318" t="inlineStr">
        <is>
          <t>Föryngringsavverkning</t>
        </is>
      </c>
      <c r="D318" s="1" t="n">
        <v>45478</v>
      </c>
      <c r="E318" s="1" t="n">
        <v>46220</v>
      </c>
      <c r="F318" t="inlineStr">
        <is>
          <t>SÖDERMANLANDS LÄN</t>
        </is>
      </c>
      <c r="G318" t="inlineStr">
        <is>
          <t>KATRINEHOLM</t>
        </is>
      </c>
      <c r="H318" t="inlineStr">
        <is>
          <t>Övriga Aktiebolag</t>
        </is>
      </c>
      <c r="I318" t="n">
        <v>4</v>
      </c>
      <c r="J318" t="n">
        <v>0</v>
      </c>
      <c r="K318" t="n">
        <v>0</v>
      </c>
      <c r="L318" t="n">
        <v>0</v>
      </c>
      <c r="M318" t="n">
        <v>0</v>
      </c>
      <c r="N318" t="n">
        <v>0</v>
      </c>
      <c r="O318" t="n">
        <v>0</v>
      </c>
      <c r="P318" t="n">
        <v>0</v>
      </c>
      <c r="Q318" t="n">
        <v>0</v>
      </c>
      <c r="R318" t="n">
        <v>0</v>
      </c>
      <c r="S318" t="n">
        <v>0</v>
      </c>
      <c r="T318" t="n">
        <v>0</v>
      </c>
      <c r="U318" s="2" t="inlineStr"/>
    </row>
    <row r="319" ht="15" customHeight="1">
      <c r="A319" t="inlineStr">
        <is>
          <t>A 29394-2024</t>
        </is>
      </c>
      <c r="B319" t="inlineStr">
        <is>
          <t>avverkningsanmälan</t>
        </is>
      </c>
      <c r="C319" t="inlineStr">
        <is>
          <t>Föryngringsavverkning</t>
        </is>
      </c>
      <c r="D319" s="1" t="n">
        <v>45483</v>
      </c>
      <c r="E319" s="1" t="n">
        <v>46220</v>
      </c>
      <c r="F319" t="inlineStr">
        <is>
          <t>SÖDERMANLANDS LÄN</t>
        </is>
      </c>
      <c r="G319" t="inlineStr">
        <is>
          <t>KATRINEHOLM</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46011-2021</t>
        </is>
      </c>
      <c r="B320" t="inlineStr">
        <is>
          <t>avverkningsanmälan</t>
        </is>
      </c>
      <c r="C320" t="inlineStr">
        <is>
          <t>Föryngringsavverkning</t>
        </is>
      </c>
      <c r="D320" s="1" t="n">
        <v>44441</v>
      </c>
      <c r="E320" s="1" t="n">
        <v>46220</v>
      </c>
      <c r="F320" t="inlineStr">
        <is>
          <t>SÖDERMANLANDS LÄN</t>
        </is>
      </c>
      <c r="G320" t="inlineStr">
        <is>
          <t>KATRINEHOLM</t>
        </is>
      </c>
      <c r="I320" t="n">
        <v>4.7</v>
      </c>
      <c r="J320" t="n">
        <v>0</v>
      </c>
      <c r="K320" t="n">
        <v>0</v>
      </c>
      <c r="L320" t="n">
        <v>0</v>
      </c>
      <c r="M320" t="n">
        <v>0</v>
      </c>
      <c r="N320" t="n">
        <v>0</v>
      </c>
      <c r="O320" t="n">
        <v>0</v>
      </c>
      <c r="P320" t="n">
        <v>0</v>
      </c>
      <c r="Q320" t="n">
        <v>0</v>
      </c>
      <c r="R320" t="n">
        <v>0</v>
      </c>
      <c r="S320" t="n">
        <v>0</v>
      </c>
      <c r="T320" t="n">
        <v>0</v>
      </c>
      <c r="U320" s="2" t="inlineStr"/>
    </row>
    <row r="321" ht="15" customHeight="1">
      <c r="A321" t="inlineStr">
        <is>
          <t>A 11543-2025</t>
        </is>
      </c>
      <c r="B321" t="inlineStr">
        <is>
          <t>avverkningsanmälan</t>
        </is>
      </c>
      <c r="C321" t="inlineStr">
        <is>
          <t>Föryngringsavverkning</t>
        </is>
      </c>
      <c r="D321" s="1" t="n">
        <v>45727</v>
      </c>
      <c r="E321" s="1" t="n">
        <v>46220</v>
      </c>
      <c r="F321" t="inlineStr">
        <is>
          <t>SÖDERMANLANDS LÄN</t>
        </is>
      </c>
      <c r="G321" t="inlineStr">
        <is>
          <t>KATRINEHOLM</t>
        </is>
      </c>
      <c r="I321" t="n">
        <v>3.6</v>
      </c>
      <c r="J321" t="n">
        <v>0</v>
      </c>
      <c r="K321" t="n">
        <v>0</v>
      </c>
      <c r="L321" t="n">
        <v>0</v>
      </c>
      <c r="M321" t="n">
        <v>0</v>
      </c>
      <c r="N321" t="n">
        <v>0</v>
      </c>
      <c r="O321" t="n">
        <v>0</v>
      </c>
      <c r="P321" t="n">
        <v>0</v>
      </c>
      <c r="Q321" t="n">
        <v>0</v>
      </c>
      <c r="R321" t="n">
        <v>0</v>
      </c>
      <c r="S321" t="n">
        <v>0</v>
      </c>
      <c r="T321" t="n">
        <v>0</v>
      </c>
      <c r="U321" s="2" t="inlineStr"/>
    </row>
    <row r="322" ht="15" customHeight="1">
      <c r="A322" t="inlineStr">
        <is>
          <t>A 35228-2025</t>
        </is>
      </c>
      <c r="B322" t="inlineStr">
        <is>
          <t>avverkningsanmälan</t>
        </is>
      </c>
      <c r="C322" t="inlineStr">
        <is>
          <t>Föryngringsavverkning</t>
        </is>
      </c>
      <c r="D322" s="1" t="n">
        <v>45853</v>
      </c>
      <c r="E322" s="1" t="n">
        <v>46220</v>
      </c>
      <c r="F322" t="inlineStr">
        <is>
          <t>SÖDERMANLANDS LÄN</t>
        </is>
      </c>
      <c r="G322" t="inlineStr">
        <is>
          <t>KATRINEHOLM</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30387-2022</t>
        </is>
      </c>
      <c r="B323" t="inlineStr">
        <is>
          <t>avverkningsanmälan</t>
        </is>
      </c>
      <c r="C323" t="inlineStr">
        <is>
          <t>Föryngringsavverkning</t>
        </is>
      </c>
      <c r="D323" s="1" t="n">
        <v>44760</v>
      </c>
      <c r="E323" s="1" t="n">
        <v>46220</v>
      </c>
      <c r="F323" t="inlineStr">
        <is>
          <t>SÖDERMANLANDS LÄN</t>
        </is>
      </c>
      <c r="G323" t="inlineStr">
        <is>
          <t>KATRINEHOLM</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931-2023</t>
        </is>
      </c>
      <c r="B324" t="inlineStr">
        <is>
          <t>avverkningsanmälan</t>
        </is>
      </c>
      <c r="C324" t="inlineStr">
        <is>
          <t>Föryngringsavverkning</t>
        </is>
      </c>
      <c r="D324" s="1" t="n">
        <v>44932</v>
      </c>
      <c r="E324" s="1" t="n">
        <v>46220</v>
      </c>
      <c r="F324" t="inlineStr">
        <is>
          <t>SÖDERMANLANDS LÄN</t>
        </is>
      </c>
      <c r="G324" t="inlineStr">
        <is>
          <t>KATRINEHOLM</t>
        </is>
      </c>
      <c r="I324" t="n">
        <v>4</v>
      </c>
      <c r="J324" t="n">
        <v>0</v>
      </c>
      <c r="K324" t="n">
        <v>0</v>
      </c>
      <c r="L324" t="n">
        <v>0</v>
      </c>
      <c r="M324" t="n">
        <v>0</v>
      </c>
      <c r="N324" t="n">
        <v>0</v>
      </c>
      <c r="O324" t="n">
        <v>0</v>
      </c>
      <c r="P324" t="n">
        <v>0</v>
      </c>
      <c r="Q324" t="n">
        <v>0</v>
      </c>
      <c r="R324" t="n">
        <v>0</v>
      </c>
      <c r="S324" t="n">
        <v>0</v>
      </c>
      <c r="T324" t="n">
        <v>0</v>
      </c>
      <c r="U324" s="2" t="inlineStr"/>
    </row>
    <row r="325" ht="15" customHeight="1">
      <c r="A325" t="inlineStr">
        <is>
          <t>A 51367-2025</t>
        </is>
      </c>
      <c r="B325" t="inlineStr">
        <is>
          <t>avverkningsanmälan</t>
        </is>
      </c>
      <c r="C325" t="inlineStr">
        <is>
          <t>Föryngringsavverkning</t>
        </is>
      </c>
      <c r="D325" s="1" t="n">
        <v>45950</v>
      </c>
      <c r="E325" s="1" t="n">
        <v>46220</v>
      </c>
      <c r="F325" t="inlineStr">
        <is>
          <t>SÖDERMANLANDS LÄN</t>
        </is>
      </c>
      <c r="G325" t="inlineStr">
        <is>
          <t>KATRINEHOLM</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38883-2024</t>
        </is>
      </c>
      <c r="B326" t="inlineStr">
        <is>
          <t>avverkningsanmälan</t>
        </is>
      </c>
      <c r="C326" t="inlineStr">
        <is>
          <t>Föryngringsavverkning</t>
        </is>
      </c>
      <c r="D326" s="1" t="n">
        <v>45547</v>
      </c>
      <c r="E326" s="1" t="n">
        <v>46220</v>
      </c>
      <c r="F326" t="inlineStr">
        <is>
          <t>SÖDERMANLANDS LÄN</t>
        </is>
      </c>
      <c r="G326" t="inlineStr">
        <is>
          <t>KATRINEHOLM</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6796-2022</t>
        </is>
      </c>
      <c r="B327" t="inlineStr">
        <is>
          <t>avverkningsanmälan</t>
        </is>
      </c>
      <c r="C327" t="inlineStr">
        <is>
          <t>Föryngringsavverkning</t>
        </is>
      </c>
      <c r="D327" s="1" t="n">
        <v>44602</v>
      </c>
      <c r="E327" s="1" t="n">
        <v>46220</v>
      </c>
      <c r="F327" t="inlineStr">
        <is>
          <t>SÖDERMANLANDS LÄN</t>
        </is>
      </c>
      <c r="G327" t="inlineStr">
        <is>
          <t>KATRINEHOLM</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52857-2021</t>
        </is>
      </c>
      <c r="B328" t="inlineStr">
        <is>
          <t>avverkningsanmälan</t>
        </is>
      </c>
      <c r="C328" t="inlineStr">
        <is>
          <t>Föryngringsavverkning</t>
        </is>
      </c>
      <c r="D328" s="1" t="n">
        <v>44466</v>
      </c>
      <c r="E328" s="1" t="n">
        <v>46220</v>
      </c>
      <c r="F328" t="inlineStr">
        <is>
          <t>SÖDERMANLANDS LÄN</t>
        </is>
      </c>
      <c r="G328" t="inlineStr">
        <is>
          <t>KATRINEHOLM</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42015-2022</t>
        </is>
      </c>
      <c r="B329" t="inlineStr">
        <is>
          <t>avverkningsanmälan</t>
        </is>
      </c>
      <c r="C329" t="inlineStr">
        <is>
          <t>Föryngringsavverkning</t>
        </is>
      </c>
      <c r="D329" s="1" t="n">
        <v>44830</v>
      </c>
      <c r="E329" s="1" t="n">
        <v>46220</v>
      </c>
      <c r="F329" t="inlineStr">
        <is>
          <t>SÖDERMANLANDS LÄN</t>
        </is>
      </c>
      <c r="G329" t="inlineStr">
        <is>
          <t>KATRINEHOLM</t>
        </is>
      </c>
      <c r="I329" t="n">
        <v>3.8</v>
      </c>
      <c r="J329" t="n">
        <v>0</v>
      </c>
      <c r="K329" t="n">
        <v>0</v>
      </c>
      <c r="L329" t="n">
        <v>0</v>
      </c>
      <c r="M329" t="n">
        <v>0</v>
      </c>
      <c r="N329" t="n">
        <v>0</v>
      </c>
      <c r="O329" t="n">
        <v>0</v>
      </c>
      <c r="P329" t="n">
        <v>0</v>
      </c>
      <c r="Q329" t="n">
        <v>0</v>
      </c>
      <c r="R329" t="n">
        <v>0</v>
      </c>
      <c r="S329" t="n">
        <v>0</v>
      </c>
      <c r="T329" t="n">
        <v>0</v>
      </c>
      <c r="U329" s="2" t="inlineStr"/>
    </row>
    <row r="330" ht="15" customHeight="1">
      <c r="A330" t="inlineStr">
        <is>
          <t>A 42020-2022</t>
        </is>
      </c>
      <c r="B330" t="inlineStr">
        <is>
          <t>avverkningsanmälan</t>
        </is>
      </c>
      <c r="C330" t="inlineStr">
        <is>
          <t>Föryngringsavverkning</t>
        </is>
      </c>
      <c r="D330" s="1" t="n">
        <v>44830</v>
      </c>
      <c r="E330" s="1" t="n">
        <v>46220</v>
      </c>
      <c r="F330" t="inlineStr">
        <is>
          <t>SÖDERMANLANDS LÄN</t>
        </is>
      </c>
      <c r="G330" t="inlineStr">
        <is>
          <t>KATRINEHOLM</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8394-2024</t>
        </is>
      </c>
      <c r="B331" t="inlineStr">
        <is>
          <t>avverkningsanmälan</t>
        </is>
      </c>
      <c r="C331" t="inlineStr">
        <is>
          <t>Föryngringsavverkning</t>
        </is>
      </c>
      <c r="D331" s="1" t="n">
        <v>45352</v>
      </c>
      <c r="E331" s="1" t="n">
        <v>46220</v>
      </c>
      <c r="F331" t="inlineStr">
        <is>
          <t>SÖDERMANLANDS LÄN</t>
        </is>
      </c>
      <c r="G331" t="inlineStr">
        <is>
          <t>KATRINEHOLM</t>
        </is>
      </c>
      <c r="I331" t="n">
        <v>4</v>
      </c>
      <c r="J331" t="n">
        <v>0</v>
      </c>
      <c r="K331" t="n">
        <v>0</v>
      </c>
      <c r="L331" t="n">
        <v>0</v>
      </c>
      <c r="M331" t="n">
        <v>0</v>
      </c>
      <c r="N331" t="n">
        <v>0</v>
      </c>
      <c r="O331" t="n">
        <v>0</v>
      </c>
      <c r="P331" t="n">
        <v>0</v>
      </c>
      <c r="Q331" t="n">
        <v>0</v>
      </c>
      <c r="R331" t="n">
        <v>0</v>
      </c>
      <c r="S331" t="n">
        <v>0</v>
      </c>
      <c r="T331" t="n">
        <v>0</v>
      </c>
      <c r="U331" s="2" t="inlineStr"/>
    </row>
    <row r="332" ht="15" customHeight="1">
      <c r="A332" t="inlineStr">
        <is>
          <t>A 14239-2024</t>
        </is>
      </c>
      <c r="B332" t="inlineStr">
        <is>
          <t>avverkningsanmälan</t>
        </is>
      </c>
      <c r="C332" t="inlineStr">
        <is>
          <t>Föryngringsavverkning</t>
        </is>
      </c>
      <c r="D332" s="1" t="n">
        <v>45393</v>
      </c>
      <c r="E332" s="1" t="n">
        <v>46220</v>
      </c>
      <c r="F332" t="inlineStr">
        <is>
          <t>SÖDERMANLANDS LÄN</t>
        </is>
      </c>
      <c r="G332" t="inlineStr">
        <is>
          <t>KATRINEHOLM</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14248-2024</t>
        </is>
      </c>
      <c r="B333" t="inlineStr">
        <is>
          <t>avverkningsanmälan</t>
        </is>
      </c>
      <c r="C333" t="inlineStr">
        <is>
          <t>Föryngringsavverkning</t>
        </is>
      </c>
      <c r="D333" s="1" t="n">
        <v>45393</v>
      </c>
      <c r="E333" s="1" t="n">
        <v>46220</v>
      </c>
      <c r="F333" t="inlineStr">
        <is>
          <t>SÖDERMANLANDS LÄN</t>
        </is>
      </c>
      <c r="G333" t="inlineStr">
        <is>
          <t>KATRINEHOLM</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25716-2022</t>
        </is>
      </c>
      <c r="B334" t="inlineStr">
        <is>
          <t>avverkningsanmälan</t>
        </is>
      </c>
      <c r="C334" t="inlineStr">
        <is>
          <t>Föryngringsavverkning</t>
        </is>
      </c>
      <c r="D334" s="1" t="n">
        <v>44733</v>
      </c>
      <c r="E334" s="1" t="n">
        <v>46220</v>
      </c>
      <c r="F334" t="inlineStr">
        <is>
          <t>SÖDERMANLANDS LÄN</t>
        </is>
      </c>
      <c r="G334" t="inlineStr">
        <is>
          <t>KATRINEHOLM</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23842-2023</t>
        </is>
      </c>
      <c r="B335" t="inlineStr">
        <is>
          <t>avverkningsanmälan</t>
        </is>
      </c>
      <c r="C335" t="inlineStr">
        <is>
          <t>Föryngringsavverkning</t>
        </is>
      </c>
      <c r="D335" s="1" t="n">
        <v>45075</v>
      </c>
      <c r="E335" s="1" t="n">
        <v>46220</v>
      </c>
      <c r="F335" t="inlineStr">
        <is>
          <t>SÖDERMANLANDS LÄN</t>
        </is>
      </c>
      <c r="G335" t="inlineStr">
        <is>
          <t>KATRINEHOLM</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4889-2026</t>
        </is>
      </c>
      <c r="B336" t="inlineStr">
        <is>
          <t>avverkningsanmälan</t>
        </is>
      </c>
      <c r="C336" t="inlineStr">
        <is>
          <t>Föryngringsavverkning</t>
        </is>
      </c>
      <c r="D336" s="1" t="n">
        <v>46048</v>
      </c>
      <c r="E336" s="1" t="n">
        <v>46220</v>
      </c>
      <c r="F336" t="inlineStr">
        <is>
          <t>SÖDERMANLANDS LÄN</t>
        </is>
      </c>
      <c r="G336" t="inlineStr">
        <is>
          <t>KATRINEHOLM</t>
        </is>
      </c>
      <c r="H336" t="inlineStr">
        <is>
          <t>Övriga Aktiebolag</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5703-2026</t>
        </is>
      </c>
      <c r="B337" t="inlineStr">
        <is>
          <t>avverkningsanmälan</t>
        </is>
      </c>
      <c r="C337" t="inlineStr">
        <is>
          <t>Föryngringsavverkning</t>
        </is>
      </c>
      <c r="D337" s="1" t="n">
        <v>46051</v>
      </c>
      <c r="E337" s="1" t="n">
        <v>46220</v>
      </c>
      <c r="F337" t="inlineStr">
        <is>
          <t>SÖDERMANLANDS LÄN</t>
        </is>
      </c>
      <c r="G337" t="inlineStr">
        <is>
          <t>KATRINEHOLM</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50032-2022</t>
        </is>
      </c>
      <c r="B338" t="inlineStr">
        <is>
          <t>avverkningsanmälan</t>
        </is>
      </c>
      <c r="C338" t="inlineStr">
        <is>
          <t>Föryngringsavverkning</t>
        </is>
      </c>
      <c r="D338" s="1" t="n">
        <v>44860</v>
      </c>
      <c r="E338" s="1" t="n">
        <v>46220</v>
      </c>
      <c r="F338" t="inlineStr">
        <is>
          <t>SÖDERMANLANDS LÄN</t>
        </is>
      </c>
      <c r="G338" t="inlineStr">
        <is>
          <t>KATRINEHOLM</t>
        </is>
      </c>
      <c r="I338" t="n">
        <v>7.5</v>
      </c>
      <c r="J338" t="n">
        <v>0</v>
      </c>
      <c r="K338" t="n">
        <v>0</v>
      </c>
      <c r="L338" t="n">
        <v>0</v>
      </c>
      <c r="M338" t="n">
        <v>0</v>
      </c>
      <c r="N338" t="n">
        <v>0</v>
      </c>
      <c r="O338" t="n">
        <v>0</v>
      </c>
      <c r="P338" t="n">
        <v>0</v>
      </c>
      <c r="Q338" t="n">
        <v>0</v>
      </c>
      <c r="R338" t="n">
        <v>0</v>
      </c>
      <c r="S338" t="n">
        <v>0</v>
      </c>
      <c r="T338" t="n">
        <v>0</v>
      </c>
      <c r="U338" s="2" t="inlineStr"/>
    </row>
    <row r="339" ht="15" customHeight="1">
      <c r="A339" t="inlineStr">
        <is>
          <t>A 50804-2023</t>
        </is>
      </c>
      <c r="B339" t="inlineStr">
        <is>
          <t>avverkningsanmälan</t>
        </is>
      </c>
      <c r="C339" t="inlineStr">
        <is>
          <t>Föryngringsavverkning</t>
        </is>
      </c>
      <c r="D339" s="1" t="n">
        <v>45211</v>
      </c>
      <c r="E339" s="1" t="n">
        <v>46220</v>
      </c>
      <c r="F339" t="inlineStr">
        <is>
          <t>SÖDERMANLANDS LÄN</t>
        </is>
      </c>
      <c r="G339" t="inlineStr">
        <is>
          <t>KATRINEHOLM</t>
        </is>
      </c>
      <c r="I339" t="n">
        <v>4</v>
      </c>
      <c r="J339" t="n">
        <v>0</v>
      </c>
      <c r="K339" t="n">
        <v>0</v>
      </c>
      <c r="L339" t="n">
        <v>0</v>
      </c>
      <c r="M339" t="n">
        <v>0</v>
      </c>
      <c r="N339" t="n">
        <v>0</v>
      </c>
      <c r="O339" t="n">
        <v>0</v>
      </c>
      <c r="P339" t="n">
        <v>0</v>
      </c>
      <c r="Q339" t="n">
        <v>0</v>
      </c>
      <c r="R339" t="n">
        <v>0</v>
      </c>
      <c r="S339" t="n">
        <v>0</v>
      </c>
      <c r="T339" t="n">
        <v>0</v>
      </c>
      <c r="U339" s="2" t="inlineStr"/>
    </row>
    <row r="340" ht="15" customHeight="1">
      <c r="A340" t="inlineStr">
        <is>
          <t>A 29502-2023</t>
        </is>
      </c>
      <c r="B340" t="inlineStr">
        <is>
          <t>avverkningsanmälan</t>
        </is>
      </c>
      <c r="C340" t="inlineStr">
        <is>
          <t>Föryngringsavverkning</t>
        </is>
      </c>
      <c r="D340" s="1" t="n">
        <v>45106</v>
      </c>
      <c r="E340" s="1" t="n">
        <v>46220</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56074-2022</t>
        </is>
      </c>
      <c r="B341" t="inlineStr">
        <is>
          <t>avverkningsanmälan</t>
        </is>
      </c>
      <c r="C341" t="inlineStr">
        <is>
          <t>Föryngringsavverkning</t>
        </is>
      </c>
      <c r="D341" s="1" t="n">
        <v>44889</v>
      </c>
      <c r="E341" s="1" t="n">
        <v>46220</v>
      </c>
      <c r="F341" t="inlineStr">
        <is>
          <t>SÖDERMANLANDS LÄN</t>
        </is>
      </c>
      <c r="G341" t="inlineStr">
        <is>
          <t>KATRINEHOLM</t>
        </is>
      </c>
      <c r="I341" t="n">
        <v>1</v>
      </c>
      <c r="J341" t="n">
        <v>0</v>
      </c>
      <c r="K341" t="n">
        <v>0</v>
      </c>
      <c r="L341" t="n">
        <v>0</v>
      </c>
      <c r="M341" t="n">
        <v>0</v>
      </c>
      <c r="N341" t="n">
        <v>0</v>
      </c>
      <c r="O341" t="n">
        <v>0</v>
      </c>
      <c r="P341" t="n">
        <v>0</v>
      </c>
      <c r="Q341" t="n">
        <v>0</v>
      </c>
      <c r="R341" t="n">
        <v>0</v>
      </c>
      <c r="S341" t="n">
        <v>0</v>
      </c>
      <c r="T341" t="n">
        <v>0</v>
      </c>
      <c r="U341" s="2" t="inlineStr"/>
      <c r="W341">
        <f>HYPERLINK("https://klasma.github.io/Logging_0483/kartor/A 56074-2022 karta.png", "A 56074-2022")</f>
        <v/>
      </c>
      <c r="Y341">
        <f>HYPERLINK("https://klasma.github.io/Logging_0483/klagomål/A 56074-2022 FSC-klagomål.docx", "A 56074-2022")</f>
        <v/>
      </c>
      <c r="Z341">
        <f>HYPERLINK("https://klasma.github.io/Logging_0483/klagomålsmail/A 56074-2022 FSC-klagomål mail.docx", "A 56074-2022")</f>
        <v/>
      </c>
      <c r="AA341">
        <f>HYPERLINK("https://klasma.github.io/Logging_0483/tillsyn/A 56074-2022 tillsynsbegäran.docx", "A 56074-2022")</f>
        <v/>
      </c>
      <c r="AB341">
        <f>HYPERLINK("https://klasma.github.io/Logging_0483/tillsynsmail/A 56074-2022 tillsynsbegäran mail.docx", "A 56074-2022")</f>
        <v/>
      </c>
    </row>
    <row r="342" ht="15" customHeight="1">
      <c r="A342" t="inlineStr">
        <is>
          <t>A 8922-2024</t>
        </is>
      </c>
      <c r="B342" t="inlineStr">
        <is>
          <t>avverkningsanmälan</t>
        </is>
      </c>
      <c r="C342" t="inlineStr">
        <is>
          <t>Föryngringsavverkning</t>
        </is>
      </c>
      <c r="D342" s="1" t="n">
        <v>45357</v>
      </c>
      <c r="E342" s="1" t="n">
        <v>46220</v>
      </c>
      <c r="F342" t="inlineStr">
        <is>
          <t>SÖDERMANLANDS LÄN</t>
        </is>
      </c>
      <c r="G342" t="inlineStr">
        <is>
          <t>KATRINEHOLM</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45376-2022</t>
        </is>
      </c>
      <c r="B343" t="inlineStr">
        <is>
          <t>avverkningsanmälan</t>
        </is>
      </c>
      <c r="C343" t="inlineStr">
        <is>
          <t>Föryngringsavverkning</t>
        </is>
      </c>
      <c r="D343" s="1" t="n">
        <v>44844</v>
      </c>
      <c r="E343" s="1" t="n">
        <v>46220</v>
      </c>
      <c r="F343" t="inlineStr">
        <is>
          <t>SÖDERMANLANDS LÄN</t>
        </is>
      </c>
      <c r="G343" t="inlineStr">
        <is>
          <t>KATRINEHOLM</t>
        </is>
      </c>
      <c r="I343" t="n">
        <v>4.7</v>
      </c>
      <c r="J343" t="n">
        <v>0</v>
      </c>
      <c r="K343" t="n">
        <v>0</v>
      </c>
      <c r="L343" t="n">
        <v>0</v>
      </c>
      <c r="M343" t="n">
        <v>0</v>
      </c>
      <c r="N343" t="n">
        <v>0</v>
      </c>
      <c r="O343" t="n">
        <v>0</v>
      </c>
      <c r="P343" t="n">
        <v>0</v>
      </c>
      <c r="Q343" t="n">
        <v>0</v>
      </c>
      <c r="R343" t="n">
        <v>0</v>
      </c>
      <c r="S343" t="n">
        <v>0</v>
      </c>
      <c r="T343" t="n">
        <v>0</v>
      </c>
      <c r="U343" s="2" t="inlineStr"/>
    </row>
    <row r="344" ht="15" customHeight="1">
      <c r="A344" t="inlineStr">
        <is>
          <t>A 39748-2022</t>
        </is>
      </c>
      <c r="B344" t="inlineStr">
        <is>
          <t>avverkningsanmälan</t>
        </is>
      </c>
      <c r="C344" t="inlineStr">
        <is>
          <t>Föryngringsavverkning</t>
        </is>
      </c>
      <c r="D344" s="1" t="n">
        <v>44817</v>
      </c>
      <c r="E344" s="1" t="n">
        <v>46220</v>
      </c>
      <c r="F344" t="inlineStr">
        <is>
          <t>SÖDERMANLANDS LÄN</t>
        </is>
      </c>
      <c r="G344" t="inlineStr">
        <is>
          <t>KATRINEHOLM</t>
        </is>
      </c>
      <c r="I344" t="n">
        <v>10.2</v>
      </c>
      <c r="J344" t="n">
        <v>0</v>
      </c>
      <c r="K344" t="n">
        <v>0</v>
      </c>
      <c r="L344" t="n">
        <v>0</v>
      </c>
      <c r="M344" t="n">
        <v>0</v>
      </c>
      <c r="N344" t="n">
        <v>0</v>
      </c>
      <c r="O344" t="n">
        <v>0</v>
      </c>
      <c r="P344" t="n">
        <v>0</v>
      </c>
      <c r="Q344" t="n">
        <v>0</v>
      </c>
      <c r="R344" t="n">
        <v>0</v>
      </c>
      <c r="S344" t="n">
        <v>0</v>
      </c>
      <c r="T344" t="n">
        <v>0</v>
      </c>
      <c r="U344" s="2" t="inlineStr"/>
    </row>
    <row r="345" ht="15" customHeight="1">
      <c r="A345" t="inlineStr">
        <is>
          <t>A 7513-2026</t>
        </is>
      </c>
      <c r="B345" t="inlineStr">
        <is>
          <t>avverkningsanmälan</t>
        </is>
      </c>
      <c r="C345" t="inlineStr">
        <is>
          <t>Föryngringsavverkning</t>
        </is>
      </c>
      <c r="D345" s="1" t="n">
        <v>46059</v>
      </c>
      <c r="E345" s="1" t="n">
        <v>46220</v>
      </c>
      <c r="F345" t="inlineStr">
        <is>
          <t>SÖDERMANLANDS LÄN</t>
        </is>
      </c>
      <c r="G345" t="inlineStr">
        <is>
          <t>KATRINEHOLM</t>
        </is>
      </c>
      <c r="H345" t="inlineStr">
        <is>
          <t>Övriga Aktiebolag</t>
        </is>
      </c>
      <c r="I345" t="n">
        <v>5</v>
      </c>
      <c r="J345" t="n">
        <v>0</v>
      </c>
      <c r="K345" t="n">
        <v>0</v>
      </c>
      <c r="L345" t="n">
        <v>0</v>
      </c>
      <c r="M345" t="n">
        <v>0</v>
      </c>
      <c r="N345" t="n">
        <v>0</v>
      </c>
      <c r="O345" t="n">
        <v>0</v>
      </c>
      <c r="P345" t="n">
        <v>0</v>
      </c>
      <c r="Q345" t="n">
        <v>0</v>
      </c>
      <c r="R345" t="n">
        <v>0</v>
      </c>
      <c r="S345" t="n">
        <v>0</v>
      </c>
      <c r="T345" t="n">
        <v>0</v>
      </c>
      <c r="U345" s="2" t="inlineStr"/>
    </row>
    <row r="346" ht="15" customHeight="1">
      <c r="A346" t="inlineStr">
        <is>
          <t>A 34981-2023</t>
        </is>
      </c>
      <c r="B346" t="inlineStr">
        <is>
          <t>avverkningsanmälan</t>
        </is>
      </c>
      <c r="C346" t="inlineStr">
        <is>
          <t>Föryngringsavverkning</t>
        </is>
      </c>
      <c r="D346" s="1" t="n">
        <v>45142</v>
      </c>
      <c r="E346" s="1" t="n">
        <v>46220</v>
      </c>
      <c r="F346" t="inlineStr">
        <is>
          <t>SÖDERMANLANDS LÄN</t>
        </is>
      </c>
      <c r="G346" t="inlineStr">
        <is>
          <t>KATRINEHOLM</t>
        </is>
      </c>
      <c r="I346" t="n">
        <v>10</v>
      </c>
      <c r="J346" t="n">
        <v>0</v>
      </c>
      <c r="K346" t="n">
        <v>0</v>
      </c>
      <c r="L346" t="n">
        <v>0</v>
      </c>
      <c r="M346" t="n">
        <v>0</v>
      </c>
      <c r="N346" t="n">
        <v>0</v>
      </c>
      <c r="O346" t="n">
        <v>0</v>
      </c>
      <c r="P346" t="n">
        <v>0</v>
      </c>
      <c r="Q346" t="n">
        <v>0</v>
      </c>
      <c r="R346" t="n">
        <v>0</v>
      </c>
      <c r="S346" t="n">
        <v>0</v>
      </c>
      <c r="T346" t="n">
        <v>0</v>
      </c>
      <c r="U346" s="2" t="inlineStr"/>
    </row>
    <row r="347" ht="15" customHeight="1">
      <c r="A347" t="inlineStr">
        <is>
          <t>A 31740-2022</t>
        </is>
      </c>
      <c r="B347" t="inlineStr">
        <is>
          <t>avverkningsanmälan</t>
        </is>
      </c>
      <c r="C347" t="inlineStr">
        <is>
          <t>Föryngringsavverkning</t>
        </is>
      </c>
      <c r="D347" s="1" t="n">
        <v>44776</v>
      </c>
      <c r="E347" s="1" t="n">
        <v>46220</v>
      </c>
      <c r="F347" t="inlineStr">
        <is>
          <t>SÖDERMANLANDS LÄN</t>
        </is>
      </c>
      <c r="G347" t="inlineStr">
        <is>
          <t>KATRINEHOLM</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3125-2024</t>
        </is>
      </c>
      <c r="B348" t="inlineStr">
        <is>
          <t>avverkningsanmälan</t>
        </is>
      </c>
      <c r="C348" t="inlineStr">
        <is>
          <t>Föryngringsavverkning</t>
        </is>
      </c>
      <c r="D348" s="1" t="n">
        <v>45316</v>
      </c>
      <c r="E348" s="1" t="n">
        <v>46220</v>
      </c>
      <c r="F348" t="inlineStr">
        <is>
          <t>SÖDERMANLANDS LÄN</t>
        </is>
      </c>
      <c r="G348" t="inlineStr">
        <is>
          <t>KATRINEHOLM</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8087-2022</t>
        </is>
      </c>
      <c r="B349" t="inlineStr">
        <is>
          <t>avverkningsanmälan</t>
        </is>
      </c>
      <c r="C349" t="inlineStr">
        <is>
          <t>Föryngringsavverkning</t>
        </is>
      </c>
      <c r="D349" s="1" t="n">
        <v>44609</v>
      </c>
      <c r="E349" s="1" t="n">
        <v>46220</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27852-2023</t>
        </is>
      </c>
      <c r="B350" t="inlineStr">
        <is>
          <t>avverkningsanmälan</t>
        </is>
      </c>
      <c r="C350" t="inlineStr">
        <is>
          <t>Föryngringsavverkning</t>
        </is>
      </c>
      <c r="D350" s="1" t="n">
        <v>45098</v>
      </c>
      <c r="E350" s="1" t="n">
        <v>46220</v>
      </c>
      <c r="F350" t="inlineStr">
        <is>
          <t>SÖDERMANLANDS LÄN</t>
        </is>
      </c>
      <c r="G350" t="inlineStr">
        <is>
          <t>KATRINEHOLM</t>
        </is>
      </c>
      <c r="I350" t="n">
        <v>7.4</v>
      </c>
      <c r="J350" t="n">
        <v>0</v>
      </c>
      <c r="K350" t="n">
        <v>0</v>
      </c>
      <c r="L350" t="n">
        <v>0</v>
      </c>
      <c r="M350" t="n">
        <v>0</v>
      </c>
      <c r="N350" t="n">
        <v>0</v>
      </c>
      <c r="O350" t="n">
        <v>0</v>
      </c>
      <c r="P350" t="n">
        <v>0</v>
      </c>
      <c r="Q350" t="n">
        <v>0</v>
      </c>
      <c r="R350" t="n">
        <v>0</v>
      </c>
      <c r="S350" t="n">
        <v>0</v>
      </c>
      <c r="T350" t="n">
        <v>0</v>
      </c>
      <c r="U350" s="2" t="inlineStr"/>
    </row>
    <row r="351" ht="15" customHeight="1">
      <c r="A351" t="inlineStr">
        <is>
          <t>A 1143-2024</t>
        </is>
      </c>
      <c r="B351" t="inlineStr">
        <is>
          <t>avverkningsanmälan</t>
        </is>
      </c>
      <c r="C351" t="inlineStr">
        <is>
          <t>Föryngringsavverkning</t>
        </is>
      </c>
      <c r="D351" s="1" t="n">
        <v>45302</v>
      </c>
      <c r="E351" s="1" t="n">
        <v>46220</v>
      </c>
      <c r="F351" t="inlineStr">
        <is>
          <t>SÖDERMANLANDS LÄN</t>
        </is>
      </c>
      <c r="G351" t="inlineStr">
        <is>
          <t>KATRINEHOLM</t>
        </is>
      </c>
      <c r="I351" t="n">
        <v>1.7</v>
      </c>
      <c r="J351" t="n">
        <v>0</v>
      </c>
      <c r="K351" t="n">
        <v>0</v>
      </c>
      <c r="L351" t="n">
        <v>0</v>
      </c>
      <c r="M351" t="n">
        <v>0</v>
      </c>
      <c r="N351" t="n">
        <v>0</v>
      </c>
      <c r="O351" t="n">
        <v>0</v>
      </c>
      <c r="P351" t="n">
        <v>0</v>
      </c>
      <c r="Q351" t="n">
        <v>0</v>
      </c>
      <c r="R351" t="n">
        <v>0</v>
      </c>
      <c r="S351" t="n">
        <v>0</v>
      </c>
      <c r="T351" t="n">
        <v>0</v>
      </c>
      <c r="U351" s="2" t="inlineStr"/>
    </row>
    <row r="352" ht="15" customHeight="1">
      <c r="A352" t="inlineStr">
        <is>
          <t>A 17335-2023</t>
        </is>
      </c>
      <c r="B352" t="inlineStr">
        <is>
          <t>avverkningsanmälan</t>
        </is>
      </c>
      <c r="C352" t="inlineStr">
        <is>
          <t>Föryngringsavverkning</t>
        </is>
      </c>
      <c r="D352" s="1" t="n">
        <v>45033</v>
      </c>
      <c r="E352" s="1" t="n">
        <v>46220</v>
      </c>
      <c r="F352" t="inlineStr">
        <is>
          <t>SÖDERMANLANDS LÄN</t>
        </is>
      </c>
      <c r="G352" t="inlineStr">
        <is>
          <t>KATRINEHOLM</t>
        </is>
      </c>
      <c r="I352" t="n">
        <v>3.3</v>
      </c>
      <c r="J352" t="n">
        <v>0</v>
      </c>
      <c r="K352" t="n">
        <v>0</v>
      </c>
      <c r="L352" t="n">
        <v>0</v>
      </c>
      <c r="M352" t="n">
        <v>0</v>
      </c>
      <c r="N352" t="n">
        <v>0</v>
      </c>
      <c r="O352" t="n">
        <v>0</v>
      </c>
      <c r="P352" t="n">
        <v>0</v>
      </c>
      <c r="Q352" t="n">
        <v>0</v>
      </c>
      <c r="R352" t="n">
        <v>0</v>
      </c>
      <c r="S352" t="n">
        <v>0</v>
      </c>
      <c r="T352" t="n">
        <v>0</v>
      </c>
      <c r="U352" s="2" t="inlineStr"/>
    </row>
    <row r="353" ht="15" customHeight="1">
      <c r="A353" t="inlineStr">
        <is>
          <t>A 59898-2022</t>
        </is>
      </c>
      <c r="B353" t="inlineStr">
        <is>
          <t>avverkningsanmälan</t>
        </is>
      </c>
      <c r="C353" t="inlineStr">
        <is>
          <t>Föryngringsavverkning</t>
        </is>
      </c>
      <c r="D353" s="1" t="n">
        <v>44908</v>
      </c>
      <c r="E353" s="1" t="n">
        <v>46220</v>
      </c>
      <c r="F353" t="inlineStr">
        <is>
          <t>SÖDERMANLANDS LÄN</t>
        </is>
      </c>
      <c r="G353" t="inlineStr">
        <is>
          <t>KATRINEHOLM</t>
        </is>
      </c>
      <c r="I353" t="n">
        <v>4.8</v>
      </c>
      <c r="J353" t="n">
        <v>0</v>
      </c>
      <c r="K353" t="n">
        <v>0</v>
      </c>
      <c r="L353" t="n">
        <v>0</v>
      </c>
      <c r="M353" t="n">
        <v>0</v>
      </c>
      <c r="N353" t="n">
        <v>0</v>
      </c>
      <c r="O353" t="n">
        <v>0</v>
      </c>
      <c r="P353" t="n">
        <v>0</v>
      </c>
      <c r="Q353" t="n">
        <v>0</v>
      </c>
      <c r="R353" t="n">
        <v>0</v>
      </c>
      <c r="S353" t="n">
        <v>0</v>
      </c>
      <c r="T353" t="n">
        <v>0</v>
      </c>
      <c r="U353" s="2" t="inlineStr"/>
    </row>
    <row r="354" ht="15" customHeight="1">
      <c r="A354" t="inlineStr">
        <is>
          <t>A 73412-2021</t>
        </is>
      </c>
      <c r="B354" t="inlineStr">
        <is>
          <t>avverkningsanmälan</t>
        </is>
      </c>
      <c r="C354" t="inlineStr">
        <is>
          <t>Föryngringsavverkning</t>
        </is>
      </c>
      <c r="D354" s="1" t="n">
        <v>44551</v>
      </c>
      <c r="E354" s="1" t="n">
        <v>46220</v>
      </c>
      <c r="F354" t="inlineStr">
        <is>
          <t>SÖDERMANLANDS LÄN</t>
        </is>
      </c>
      <c r="G354" t="inlineStr">
        <is>
          <t>KATRINEHOLM</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28995-2024</t>
        </is>
      </c>
      <c r="B355" t="inlineStr">
        <is>
          <t>avverkningsanmälan</t>
        </is>
      </c>
      <c r="C355" t="inlineStr">
        <is>
          <t>Föryngringsavverkning</t>
        </is>
      </c>
      <c r="D355" s="1" t="n">
        <v>45481</v>
      </c>
      <c r="E355" s="1" t="n">
        <v>46220</v>
      </c>
      <c r="F355" t="inlineStr">
        <is>
          <t>SÖDERMANLANDS LÄN</t>
        </is>
      </c>
      <c r="G355" t="inlineStr">
        <is>
          <t>KATRINEHOLM</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28597-2024</t>
        </is>
      </c>
      <c r="B356" t="inlineStr">
        <is>
          <t>avverkningsanmälan</t>
        </is>
      </c>
      <c r="C356" t="inlineStr">
        <is>
          <t>Föryngringsavverkning</t>
        </is>
      </c>
      <c r="D356" s="1" t="n">
        <v>45478</v>
      </c>
      <c r="E356" s="1" t="n">
        <v>46220</v>
      </c>
      <c r="F356" t="inlineStr">
        <is>
          <t>SÖDERMANLANDS LÄN</t>
        </is>
      </c>
      <c r="G356" t="inlineStr">
        <is>
          <t>KATRINEHOLM</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41966-2023</t>
        </is>
      </c>
      <c r="B357" t="inlineStr">
        <is>
          <t>avverkningsanmälan</t>
        </is>
      </c>
      <c r="C357" t="inlineStr">
        <is>
          <t>Föryngringsavverkning</t>
        </is>
      </c>
      <c r="D357" s="1" t="n">
        <v>45177</v>
      </c>
      <c r="E357" s="1" t="n">
        <v>46220</v>
      </c>
      <c r="F357" t="inlineStr">
        <is>
          <t>SÖDERMANLANDS LÄN</t>
        </is>
      </c>
      <c r="G357" t="inlineStr">
        <is>
          <t>KATRINEHOLM</t>
        </is>
      </c>
      <c r="I357" t="n">
        <v>36.9</v>
      </c>
      <c r="J357" t="n">
        <v>0</v>
      </c>
      <c r="K357" t="n">
        <v>0</v>
      </c>
      <c r="L357" t="n">
        <v>0</v>
      </c>
      <c r="M357" t="n">
        <v>0</v>
      </c>
      <c r="N357" t="n">
        <v>0</v>
      </c>
      <c r="O357" t="n">
        <v>0</v>
      </c>
      <c r="P357" t="n">
        <v>0</v>
      </c>
      <c r="Q357" t="n">
        <v>0</v>
      </c>
      <c r="R357" t="n">
        <v>0</v>
      </c>
      <c r="S357" t="n">
        <v>0</v>
      </c>
      <c r="T357" t="n">
        <v>0</v>
      </c>
      <c r="U357" s="2" t="inlineStr"/>
    </row>
    <row r="358" ht="15" customHeight="1">
      <c r="A358" t="inlineStr">
        <is>
          <t>A 10446-2024</t>
        </is>
      </c>
      <c r="B358" t="inlineStr">
        <is>
          <t>avverkningsanmälan</t>
        </is>
      </c>
      <c r="C358" t="inlineStr">
        <is>
          <t>Föryngringsavverkning</t>
        </is>
      </c>
      <c r="D358" s="1" t="n">
        <v>45366</v>
      </c>
      <c r="E358" s="1" t="n">
        <v>46220</v>
      </c>
      <c r="F358" t="inlineStr">
        <is>
          <t>SÖDERMANLANDS LÄN</t>
        </is>
      </c>
      <c r="G358" t="inlineStr">
        <is>
          <t>KATRINEHOLM</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8761-2023</t>
        </is>
      </c>
      <c r="B359" t="inlineStr">
        <is>
          <t>avverkningsanmälan</t>
        </is>
      </c>
      <c r="C359" t="inlineStr">
        <is>
          <t>Föryngringsavverkning</t>
        </is>
      </c>
      <c r="D359" s="1" t="n">
        <v>44978</v>
      </c>
      <c r="E359" s="1" t="n">
        <v>46220</v>
      </c>
      <c r="F359" t="inlineStr">
        <is>
          <t>SÖDERMANLANDS LÄN</t>
        </is>
      </c>
      <c r="G359" t="inlineStr">
        <is>
          <t>KATRINEHOLM</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8778-2023</t>
        </is>
      </c>
      <c r="B360" t="inlineStr">
        <is>
          <t>avverkningsanmälan</t>
        </is>
      </c>
      <c r="C360" t="inlineStr">
        <is>
          <t>Föryngringsavverkning</t>
        </is>
      </c>
      <c r="D360" s="1" t="n">
        <v>44978</v>
      </c>
      <c r="E360" s="1" t="n">
        <v>46220</v>
      </c>
      <c r="F360" t="inlineStr">
        <is>
          <t>SÖDERMANLANDS LÄN</t>
        </is>
      </c>
      <c r="G360" t="inlineStr">
        <is>
          <t>KATRINEHOLM</t>
        </is>
      </c>
      <c r="I360" t="n">
        <v>4.5</v>
      </c>
      <c r="J360" t="n">
        <v>0</v>
      </c>
      <c r="K360" t="n">
        <v>0</v>
      </c>
      <c r="L360" t="n">
        <v>0</v>
      </c>
      <c r="M360" t="n">
        <v>0</v>
      </c>
      <c r="N360" t="n">
        <v>0</v>
      </c>
      <c r="O360" t="n">
        <v>0</v>
      </c>
      <c r="P360" t="n">
        <v>0</v>
      </c>
      <c r="Q360" t="n">
        <v>0</v>
      </c>
      <c r="R360" t="n">
        <v>0</v>
      </c>
      <c r="S360" t="n">
        <v>0</v>
      </c>
      <c r="T360" t="n">
        <v>0</v>
      </c>
      <c r="U360" s="2" t="inlineStr"/>
    </row>
    <row r="361" ht="15" customHeight="1">
      <c r="A361" t="inlineStr">
        <is>
          <t>A 15399-2022</t>
        </is>
      </c>
      <c r="B361" t="inlineStr">
        <is>
          <t>avverkningsanmälan</t>
        </is>
      </c>
      <c r="C361" t="inlineStr">
        <is>
          <t>Föryngringsavverkning</t>
        </is>
      </c>
      <c r="D361" s="1" t="n">
        <v>44659</v>
      </c>
      <c r="E361" s="1" t="n">
        <v>46220</v>
      </c>
      <c r="F361" t="inlineStr">
        <is>
          <t>SÖDERMANLANDS LÄN</t>
        </is>
      </c>
      <c r="G361" t="inlineStr">
        <is>
          <t>KATRINEHOLM</t>
        </is>
      </c>
      <c r="I361" t="n">
        <v>5.6</v>
      </c>
      <c r="J361" t="n">
        <v>0</v>
      </c>
      <c r="K361" t="n">
        <v>0</v>
      </c>
      <c r="L361" t="n">
        <v>0</v>
      </c>
      <c r="M361" t="n">
        <v>0</v>
      </c>
      <c r="N361" t="n">
        <v>0</v>
      </c>
      <c r="O361" t="n">
        <v>0</v>
      </c>
      <c r="P361" t="n">
        <v>0</v>
      </c>
      <c r="Q361" t="n">
        <v>0</v>
      </c>
      <c r="R361" t="n">
        <v>0</v>
      </c>
      <c r="S361" t="n">
        <v>0</v>
      </c>
      <c r="T361" t="n">
        <v>0</v>
      </c>
      <c r="U361" s="2" t="inlineStr"/>
    </row>
    <row r="362" ht="15" customHeight="1">
      <c r="A362" t="inlineStr">
        <is>
          <t>A 49116-2024</t>
        </is>
      </c>
      <c r="B362" t="inlineStr">
        <is>
          <t>avverkningsanmälan</t>
        </is>
      </c>
      <c r="C362" t="inlineStr">
        <is>
          <t>Föryngringsavverkning</t>
        </is>
      </c>
      <c r="D362" s="1" t="n">
        <v>45594</v>
      </c>
      <c r="E362" s="1" t="n">
        <v>46220</v>
      </c>
      <c r="F362" t="inlineStr">
        <is>
          <t>SÖDERMANLANDS LÄN</t>
        </is>
      </c>
      <c r="G362" t="inlineStr">
        <is>
          <t>KATRINEHOLM</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60678-2025</t>
        </is>
      </c>
      <c r="B363" t="inlineStr">
        <is>
          <t>avverkningsanmälan</t>
        </is>
      </c>
      <c r="C363" t="inlineStr">
        <is>
          <t>Föryngringsavverkning</t>
        </is>
      </c>
      <c r="D363" s="1" t="n">
        <v>45996</v>
      </c>
      <c r="E363" s="1" t="n">
        <v>46220</v>
      </c>
      <c r="F363" t="inlineStr">
        <is>
          <t>SÖDERMANLANDS LÄN</t>
        </is>
      </c>
      <c r="G363" t="inlineStr">
        <is>
          <t>KATRINEHOLM</t>
        </is>
      </c>
      <c r="I363" t="n">
        <v>2</v>
      </c>
      <c r="J363" t="n">
        <v>0</v>
      </c>
      <c r="K363" t="n">
        <v>0</v>
      </c>
      <c r="L363" t="n">
        <v>0</v>
      </c>
      <c r="M363" t="n">
        <v>0</v>
      </c>
      <c r="N363" t="n">
        <v>0</v>
      </c>
      <c r="O363" t="n">
        <v>0</v>
      </c>
      <c r="P363" t="n">
        <v>0</v>
      </c>
      <c r="Q363" t="n">
        <v>0</v>
      </c>
      <c r="R363" t="n">
        <v>0</v>
      </c>
      <c r="S363" t="n">
        <v>0</v>
      </c>
      <c r="T363" t="n">
        <v>0</v>
      </c>
      <c r="U363" s="2" t="inlineStr"/>
    </row>
    <row r="364" ht="15" customHeight="1">
      <c r="A364" t="inlineStr">
        <is>
          <t>A 6753-2022</t>
        </is>
      </c>
      <c r="B364" t="inlineStr">
        <is>
          <t>avverkningsanmälan</t>
        </is>
      </c>
      <c r="C364" t="inlineStr">
        <is>
          <t>Föryngringsavverkning</t>
        </is>
      </c>
      <c r="D364" s="1" t="n">
        <v>44602</v>
      </c>
      <c r="E364" s="1" t="n">
        <v>46220</v>
      </c>
      <c r="F364" t="inlineStr">
        <is>
          <t>SÖDERMANLANDS LÄN</t>
        </is>
      </c>
      <c r="G364" t="inlineStr">
        <is>
          <t>KATRINEHOLM</t>
        </is>
      </c>
      <c r="I364" t="n">
        <v>4.3</v>
      </c>
      <c r="J364" t="n">
        <v>0</v>
      </c>
      <c r="K364" t="n">
        <v>0</v>
      </c>
      <c r="L364" t="n">
        <v>0</v>
      </c>
      <c r="M364" t="n">
        <v>0</v>
      </c>
      <c r="N364" t="n">
        <v>0</v>
      </c>
      <c r="O364" t="n">
        <v>0</v>
      </c>
      <c r="P364" t="n">
        <v>0</v>
      </c>
      <c r="Q364" t="n">
        <v>0</v>
      </c>
      <c r="R364" t="n">
        <v>0</v>
      </c>
      <c r="S364" t="n">
        <v>0</v>
      </c>
      <c r="T364" t="n">
        <v>0</v>
      </c>
      <c r="U364" s="2" t="inlineStr"/>
    </row>
    <row r="365" ht="15" customHeight="1">
      <c r="A365" t="inlineStr">
        <is>
          <t>A 6763-2022</t>
        </is>
      </c>
      <c r="B365" t="inlineStr">
        <is>
          <t>avverkningsanmälan</t>
        </is>
      </c>
      <c r="C365" t="inlineStr">
        <is>
          <t>Föryngringsavverkning</t>
        </is>
      </c>
      <c r="D365" s="1" t="n">
        <v>44602</v>
      </c>
      <c r="E365" s="1" t="n">
        <v>46220</v>
      </c>
      <c r="F365" t="inlineStr">
        <is>
          <t>SÖDERMANLANDS LÄN</t>
        </is>
      </c>
      <c r="G365" t="inlineStr">
        <is>
          <t>KATRINEHOLM</t>
        </is>
      </c>
      <c r="I365" t="n">
        <v>6.7</v>
      </c>
      <c r="J365" t="n">
        <v>0</v>
      </c>
      <c r="K365" t="n">
        <v>0</v>
      </c>
      <c r="L365" t="n">
        <v>0</v>
      </c>
      <c r="M365" t="n">
        <v>0</v>
      </c>
      <c r="N365" t="n">
        <v>0</v>
      </c>
      <c r="O365" t="n">
        <v>0</v>
      </c>
      <c r="P365" t="n">
        <v>0</v>
      </c>
      <c r="Q365" t="n">
        <v>0</v>
      </c>
      <c r="R365" t="n">
        <v>0</v>
      </c>
      <c r="S365" t="n">
        <v>0</v>
      </c>
      <c r="T365" t="n">
        <v>0</v>
      </c>
      <c r="U365" s="2" t="inlineStr"/>
    </row>
    <row r="366" ht="15" customHeight="1">
      <c r="A366" t="inlineStr">
        <is>
          <t>A 39068-2022</t>
        </is>
      </c>
      <c r="B366" t="inlineStr">
        <is>
          <t>avverkningsanmälan</t>
        </is>
      </c>
      <c r="C366" t="inlineStr">
        <is>
          <t>Föryngringsavverkning</t>
        </is>
      </c>
      <c r="D366" s="1" t="n">
        <v>44816</v>
      </c>
      <c r="E366" s="1" t="n">
        <v>46220</v>
      </c>
      <c r="F366" t="inlineStr">
        <is>
          <t>SÖDERMANLANDS LÄN</t>
        </is>
      </c>
      <c r="G366" t="inlineStr">
        <is>
          <t>KATRINEHOLM</t>
        </is>
      </c>
      <c r="I366" t="n">
        <v>3.6</v>
      </c>
      <c r="J366" t="n">
        <v>0</v>
      </c>
      <c r="K366" t="n">
        <v>0</v>
      </c>
      <c r="L366" t="n">
        <v>0</v>
      </c>
      <c r="M366" t="n">
        <v>0</v>
      </c>
      <c r="N366" t="n">
        <v>0</v>
      </c>
      <c r="O366" t="n">
        <v>0</v>
      </c>
      <c r="P366" t="n">
        <v>0</v>
      </c>
      <c r="Q366" t="n">
        <v>0</v>
      </c>
      <c r="R366" t="n">
        <v>0</v>
      </c>
      <c r="S366" t="n">
        <v>0</v>
      </c>
      <c r="T366" t="n">
        <v>0</v>
      </c>
      <c r="U366" s="2" t="inlineStr"/>
    </row>
    <row r="367" ht="15" customHeight="1">
      <c r="A367" t="inlineStr">
        <is>
          <t>A 61066-2025</t>
        </is>
      </c>
      <c r="B367" t="inlineStr">
        <is>
          <t>avverkningsanmälan</t>
        </is>
      </c>
      <c r="C367" t="inlineStr">
        <is>
          <t>Föryngringsavverkning</t>
        </is>
      </c>
      <c r="D367" s="1" t="n">
        <v>46000</v>
      </c>
      <c r="E367" s="1" t="n">
        <v>46220</v>
      </c>
      <c r="F367" t="inlineStr">
        <is>
          <t>SÖDERMANLANDS LÄN</t>
        </is>
      </c>
      <c r="G367" t="inlineStr">
        <is>
          <t>KATRINEHOLM</t>
        </is>
      </c>
      <c r="H367" t="inlineStr">
        <is>
          <t>Kyrkan</t>
        </is>
      </c>
      <c r="I367" t="n">
        <v>5</v>
      </c>
      <c r="J367" t="n">
        <v>0</v>
      </c>
      <c r="K367" t="n">
        <v>0</v>
      </c>
      <c r="L367" t="n">
        <v>0</v>
      </c>
      <c r="M367" t="n">
        <v>0</v>
      </c>
      <c r="N367" t="n">
        <v>0</v>
      </c>
      <c r="O367" t="n">
        <v>0</v>
      </c>
      <c r="P367" t="n">
        <v>0</v>
      </c>
      <c r="Q367" t="n">
        <v>0</v>
      </c>
      <c r="R367" t="n">
        <v>0</v>
      </c>
      <c r="S367" t="n">
        <v>0</v>
      </c>
      <c r="T367" t="n">
        <v>0</v>
      </c>
      <c r="U367" s="2" t="inlineStr"/>
    </row>
    <row r="368" ht="15" customHeight="1">
      <c r="A368" t="inlineStr">
        <is>
          <t>A 66540-2021</t>
        </is>
      </c>
      <c r="B368" t="inlineStr">
        <is>
          <t>avverkningsanmälan</t>
        </is>
      </c>
      <c r="C368" t="inlineStr">
        <is>
          <t>Föryngringsavverkning</t>
        </is>
      </c>
      <c r="D368" s="1" t="n">
        <v>44519</v>
      </c>
      <c r="E368" s="1" t="n">
        <v>46220</v>
      </c>
      <c r="F368" t="inlineStr">
        <is>
          <t>SÖDERMANLANDS LÄN</t>
        </is>
      </c>
      <c r="G368" t="inlineStr">
        <is>
          <t>KATRINEHOLM</t>
        </is>
      </c>
      <c r="H368" t="inlineStr">
        <is>
          <t>Holmen skog AB</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61121-2025</t>
        </is>
      </c>
      <c r="B369" t="inlineStr">
        <is>
          <t>avverkningsanmälan</t>
        </is>
      </c>
      <c r="C369" t="inlineStr">
        <is>
          <t>Avverkning för annat ändamål</t>
        </is>
      </c>
      <c r="D369" s="1" t="n">
        <v>46000</v>
      </c>
      <c r="E369" s="1" t="n">
        <v>46220</v>
      </c>
      <c r="F369" t="inlineStr">
        <is>
          <t>SÖDERMANLANDS LÄN</t>
        </is>
      </c>
      <c r="G369" t="inlineStr">
        <is>
          <t>KATRINEHOLM</t>
        </is>
      </c>
      <c r="I369" t="n">
        <v>0.2</v>
      </c>
      <c r="J369" t="n">
        <v>0</v>
      </c>
      <c r="K369" t="n">
        <v>0</v>
      </c>
      <c r="L369" t="n">
        <v>0</v>
      </c>
      <c r="M369" t="n">
        <v>0</v>
      </c>
      <c r="N369" t="n">
        <v>0</v>
      </c>
      <c r="O369" t="n">
        <v>0</v>
      </c>
      <c r="P369" t="n">
        <v>0</v>
      </c>
      <c r="Q369" t="n">
        <v>0</v>
      </c>
      <c r="R369" t="n">
        <v>0</v>
      </c>
      <c r="S369" t="n">
        <v>0</v>
      </c>
      <c r="T369" t="n">
        <v>0</v>
      </c>
      <c r="U369" s="2" t="inlineStr"/>
    </row>
    <row r="370" ht="15" customHeight="1">
      <c r="A370" t="inlineStr">
        <is>
          <t>A 61721-2025</t>
        </is>
      </c>
      <c r="B370" t="inlineStr">
        <is>
          <t>avverkningsanmälan</t>
        </is>
      </c>
      <c r="C370" t="inlineStr">
        <is>
          <t>Föryngringsavverkning</t>
        </is>
      </c>
      <c r="D370" s="1" t="n">
        <v>46002</v>
      </c>
      <c r="E370" s="1" t="n">
        <v>46220</v>
      </c>
      <c r="F370" t="inlineStr">
        <is>
          <t>SÖDERMANLANDS LÄN</t>
        </is>
      </c>
      <c r="G370" t="inlineStr">
        <is>
          <t>KATRINEHOLM</t>
        </is>
      </c>
      <c r="I370" t="n">
        <v>4.5</v>
      </c>
      <c r="J370" t="n">
        <v>0</v>
      </c>
      <c r="K370" t="n">
        <v>0</v>
      </c>
      <c r="L370" t="n">
        <v>0</v>
      </c>
      <c r="M370" t="n">
        <v>0</v>
      </c>
      <c r="N370" t="n">
        <v>0</v>
      </c>
      <c r="O370" t="n">
        <v>0</v>
      </c>
      <c r="P370" t="n">
        <v>0</v>
      </c>
      <c r="Q370" t="n">
        <v>0</v>
      </c>
      <c r="R370" t="n">
        <v>0</v>
      </c>
      <c r="S370" t="n">
        <v>0</v>
      </c>
      <c r="T370" t="n">
        <v>0</v>
      </c>
      <c r="U370" s="2" t="inlineStr"/>
    </row>
    <row r="371" ht="15" customHeight="1">
      <c r="A371" t="inlineStr">
        <is>
          <t>A 8288-2023</t>
        </is>
      </c>
      <c r="B371" t="inlineStr">
        <is>
          <t>avverkningsanmälan</t>
        </is>
      </c>
      <c r="C371" t="inlineStr">
        <is>
          <t>Föryngringsavverkning</t>
        </is>
      </c>
      <c r="D371" s="1" t="n">
        <v>44974</v>
      </c>
      <c r="E371" s="1" t="n">
        <v>46220</v>
      </c>
      <c r="F371" t="inlineStr">
        <is>
          <t>SÖDERMANLANDS LÄN</t>
        </is>
      </c>
      <c r="G371" t="inlineStr">
        <is>
          <t>KATRINEHOLM</t>
        </is>
      </c>
      <c r="H371" t="inlineStr">
        <is>
          <t>Allmännings- och besparingsskogar</t>
        </is>
      </c>
      <c r="I371" t="n">
        <v>5.6</v>
      </c>
      <c r="J371" t="n">
        <v>0</v>
      </c>
      <c r="K371" t="n">
        <v>0</v>
      </c>
      <c r="L371" t="n">
        <v>0</v>
      </c>
      <c r="M371" t="n">
        <v>0</v>
      </c>
      <c r="N371" t="n">
        <v>0</v>
      </c>
      <c r="O371" t="n">
        <v>0</v>
      </c>
      <c r="P371" t="n">
        <v>0</v>
      </c>
      <c r="Q371" t="n">
        <v>0</v>
      </c>
      <c r="R371" t="n">
        <v>0</v>
      </c>
      <c r="S371" t="n">
        <v>0</v>
      </c>
      <c r="T371" t="n">
        <v>0</v>
      </c>
      <c r="U371" s="2" t="inlineStr"/>
    </row>
    <row r="372" ht="15" customHeight="1">
      <c r="A372" t="inlineStr">
        <is>
          <t>A 45142-2021</t>
        </is>
      </c>
      <c r="B372" t="inlineStr">
        <is>
          <t>avverkningsanmälan</t>
        </is>
      </c>
      <c r="C372" t="inlineStr">
        <is>
          <t>Föryngringsavverkning</t>
        </is>
      </c>
      <c r="D372" s="1" t="n">
        <v>44439</v>
      </c>
      <c r="E372" s="1" t="n">
        <v>46220</v>
      </c>
      <c r="F372" t="inlineStr">
        <is>
          <t>SÖDERMANLANDS LÄN</t>
        </is>
      </c>
      <c r="G372" t="inlineStr">
        <is>
          <t>KATRINEHOLM</t>
        </is>
      </c>
      <c r="I372" t="n">
        <v>1.8</v>
      </c>
      <c r="J372" t="n">
        <v>0</v>
      </c>
      <c r="K372" t="n">
        <v>0</v>
      </c>
      <c r="L372" t="n">
        <v>0</v>
      </c>
      <c r="M372" t="n">
        <v>0</v>
      </c>
      <c r="N372" t="n">
        <v>0</v>
      </c>
      <c r="O372" t="n">
        <v>0</v>
      </c>
      <c r="P372" t="n">
        <v>0</v>
      </c>
      <c r="Q372" t="n">
        <v>0</v>
      </c>
      <c r="R372" t="n">
        <v>0</v>
      </c>
      <c r="S372" t="n">
        <v>0</v>
      </c>
      <c r="T372" t="n">
        <v>0</v>
      </c>
      <c r="U372" s="2" t="inlineStr"/>
    </row>
    <row r="373" ht="15" customHeight="1">
      <c r="A373" t="inlineStr">
        <is>
          <t>A 5788-2022</t>
        </is>
      </c>
      <c r="B373" t="inlineStr">
        <is>
          <t>avverkningsanmälan</t>
        </is>
      </c>
      <c r="C373" t="inlineStr">
        <is>
          <t>Föryngringsavverkning</t>
        </is>
      </c>
      <c r="D373" s="1" t="n">
        <v>44596</v>
      </c>
      <c r="E373" s="1" t="n">
        <v>46220</v>
      </c>
      <c r="F373" t="inlineStr">
        <is>
          <t>SÖDERMANLANDS LÄN</t>
        </is>
      </c>
      <c r="G373" t="inlineStr">
        <is>
          <t>KATRINEHOLM</t>
        </is>
      </c>
      <c r="I373" t="n">
        <v>4.1</v>
      </c>
      <c r="J373" t="n">
        <v>0</v>
      </c>
      <c r="K373" t="n">
        <v>0</v>
      </c>
      <c r="L373" t="n">
        <v>0</v>
      </c>
      <c r="M373" t="n">
        <v>0</v>
      </c>
      <c r="N373" t="n">
        <v>0</v>
      </c>
      <c r="O373" t="n">
        <v>0</v>
      </c>
      <c r="P373" t="n">
        <v>0</v>
      </c>
      <c r="Q373" t="n">
        <v>0</v>
      </c>
      <c r="R373" t="n">
        <v>0</v>
      </c>
      <c r="S373" t="n">
        <v>0</v>
      </c>
      <c r="T373" t="n">
        <v>0</v>
      </c>
      <c r="U373" s="2" t="inlineStr"/>
    </row>
    <row r="374" ht="15" customHeight="1">
      <c r="A374" t="inlineStr">
        <is>
          <t>A 5790-2022</t>
        </is>
      </c>
      <c r="B374" t="inlineStr">
        <is>
          <t>avverkningsanmälan</t>
        </is>
      </c>
      <c r="C374" t="inlineStr">
        <is>
          <t>Föryngringsavverkning</t>
        </is>
      </c>
      <c r="D374" s="1" t="n">
        <v>44596</v>
      </c>
      <c r="E374" s="1" t="n">
        <v>46220</v>
      </c>
      <c r="F374" t="inlineStr">
        <is>
          <t>SÖDERMANLANDS LÄN</t>
        </is>
      </c>
      <c r="G374" t="inlineStr">
        <is>
          <t>KATRINEHOLM</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53387-2023</t>
        </is>
      </c>
      <c r="B375" t="inlineStr">
        <is>
          <t>avverkningsanmälan</t>
        </is>
      </c>
      <c r="C375" t="inlineStr">
        <is>
          <t>Föryngringsavverkning</t>
        </is>
      </c>
      <c r="D375" s="1" t="n">
        <v>45229</v>
      </c>
      <c r="E375" s="1" t="n">
        <v>46220</v>
      </c>
      <c r="F375" t="inlineStr">
        <is>
          <t>SÖDERMANLANDS LÄN</t>
        </is>
      </c>
      <c r="G375" t="inlineStr">
        <is>
          <t>KATRINEHOLM</t>
        </is>
      </c>
      <c r="H375" t="inlineStr">
        <is>
          <t>Kyrkan</t>
        </is>
      </c>
      <c r="I375" t="n">
        <v>7.4</v>
      </c>
      <c r="J375" t="n">
        <v>0</v>
      </c>
      <c r="K375" t="n">
        <v>0</v>
      </c>
      <c r="L375" t="n">
        <v>0</v>
      </c>
      <c r="M375" t="n">
        <v>0</v>
      </c>
      <c r="N375" t="n">
        <v>0</v>
      </c>
      <c r="O375" t="n">
        <v>0</v>
      </c>
      <c r="P375" t="n">
        <v>0</v>
      </c>
      <c r="Q375" t="n">
        <v>0</v>
      </c>
      <c r="R375" t="n">
        <v>0</v>
      </c>
      <c r="S375" t="n">
        <v>0</v>
      </c>
      <c r="T375" t="n">
        <v>0</v>
      </c>
      <c r="U375" s="2" t="inlineStr"/>
    </row>
    <row r="376" ht="15" customHeight="1">
      <c r="A376" t="inlineStr">
        <is>
          <t>A 55169-2022</t>
        </is>
      </c>
      <c r="B376" t="inlineStr">
        <is>
          <t>avverkningsanmälan</t>
        </is>
      </c>
      <c r="C376" t="inlineStr">
        <is>
          <t>Föryngringsavverkning</t>
        </is>
      </c>
      <c r="D376" s="1" t="n">
        <v>44886</v>
      </c>
      <c r="E376" s="1" t="n">
        <v>46220</v>
      </c>
      <c r="F376" t="inlineStr">
        <is>
          <t>SÖDERMANLANDS LÄN</t>
        </is>
      </c>
      <c r="G376" t="inlineStr">
        <is>
          <t>KATRINEHOLM</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13612-2023</t>
        </is>
      </c>
      <c r="B377" t="inlineStr">
        <is>
          <t>avverkningsanmälan</t>
        </is>
      </c>
      <c r="C377" t="inlineStr">
        <is>
          <t>Avverkning för annat ändamål</t>
        </is>
      </c>
      <c r="D377" s="1" t="n">
        <v>45006</v>
      </c>
      <c r="E377" s="1" t="n">
        <v>46220</v>
      </c>
      <c r="F377" t="inlineStr">
        <is>
          <t>SÖDERMANLANDS LÄN</t>
        </is>
      </c>
      <c r="G377" t="inlineStr">
        <is>
          <t>KATRINEHOLM</t>
        </is>
      </c>
      <c r="I377" t="n">
        <v>2.3</v>
      </c>
      <c r="J377" t="n">
        <v>0</v>
      </c>
      <c r="K377" t="n">
        <v>0</v>
      </c>
      <c r="L377" t="n">
        <v>0</v>
      </c>
      <c r="M377" t="n">
        <v>0</v>
      </c>
      <c r="N377" t="n">
        <v>0</v>
      </c>
      <c r="O377" t="n">
        <v>0</v>
      </c>
      <c r="P377" t="n">
        <v>0</v>
      </c>
      <c r="Q377" t="n">
        <v>0</v>
      </c>
      <c r="R377" t="n">
        <v>0</v>
      </c>
      <c r="S377" t="n">
        <v>0</v>
      </c>
      <c r="T377" t="n">
        <v>0</v>
      </c>
      <c r="U377" s="2" t="inlineStr"/>
    </row>
    <row r="378" ht="15" customHeight="1">
      <c r="A378" t="inlineStr">
        <is>
          <t>A 7747-2024</t>
        </is>
      </c>
      <c r="B378" t="inlineStr">
        <is>
          <t>avverkningsanmälan</t>
        </is>
      </c>
      <c r="C378" t="inlineStr">
        <is>
          <t>Föryngringsavverkning</t>
        </is>
      </c>
      <c r="D378" s="1" t="n">
        <v>45348</v>
      </c>
      <c r="E378" s="1" t="n">
        <v>46220</v>
      </c>
      <c r="F378" t="inlineStr">
        <is>
          <t>SÖDERMANLANDS LÄN</t>
        </is>
      </c>
      <c r="G378" t="inlineStr">
        <is>
          <t>KATRINEHOLM</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4650-2024</t>
        </is>
      </c>
      <c r="B379" t="inlineStr">
        <is>
          <t>avverkningsanmälan</t>
        </is>
      </c>
      <c r="C379" t="inlineStr">
        <is>
          <t>Föryngringsavverkning</t>
        </is>
      </c>
      <c r="D379" s="1" t="n">
        <v>45328</v>
      </c>
      <c r="E379" s="1" t="n">
        <v>46220</v>
      </c>
      <c r="F379" t="inlineStr">
        <is>
          <t>SÖDERMANLANDS LÄN</t>
        </is>
      </c>
      <c r="G379" t="inlineStr">
        <is>
          <t>KATRINEHOLM</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4652-2024</t>
        </is>
      </c>
      <c r="B380" t="inlineStr">
        <is>
          <t>avverkningsanmälan</t>
        </is>
      </c>
      <c r="C380" t="inlineStr">
        <is>
          <t>Föryngringsavverkning</t>
        </is>
      </c>
      <c r="D380" s="1" t="n">
        <v>45328</v>
      </c>
      <c r="E380" s="1" t="n">
        <v>46220</v>
      </c>
      <c r="F380" t="inlineStr">
        <is>
          <t>SÖDERMANLANDS LÄN</t>
        </is>
      </c>
      <c r="G380" t="inlineStr">
        <is>
          <t>KATRINEHOLM</t>
        </is>
      </c>
      <c r="H380" t="inlineStr">
        <is>
          <t>Övriga Aktiebolag</t>
        </is>
      </c>
      <c r="I380" t="n">
        <v>6.1</v>
      </c>
      <c r="J380" t="n">
        <v>0</v>
      </c>
      <c r="K380" t="n">
        <v>0</v>
      </c>
      <c r="L380" t="n">
        <v>0</v>
      </c>
      <c r="M380" t="n">
        <v>0</v>
      </c>
      <c r="N380" t="n">
        <v>0</v>
      </c>
      <c r="O380" t="n">
        <v>0</v>
      </c>
      <c r="P380" t="n">
        <v>0</v>
      </c>
      <c r="Q380" t="n">
        <v>0</v>
      </c>
      <c r="R380" t="n">
        <v>0</v>
      </c>
      <c r="S380" t="n">
        <v>0</v>
      </c>
      <c r="T380" t="n">
        <v>0</v>
      </c>
      <c r="U380" s="2" t="inlineStr"/>
    </row>
    <row r="381" ht="15" customHeight="1">
      <c r="A381" t="inlineStr">
        <is>
          <t>A 63947-2025</t>
        </is>
      </c>
      <c r="B381" t="inlineStr">
        <is>
          <t>avverkningsanmälan</t>
        </is>
      </c>
      <c r="C381" t="inlineStr">
        <is>
          <t>Föryngringsavverkning</t>
        </is>
      </c>
      <c r="D381" s="1" t="n">
        <v>46010</v>
      </c>
      <c r="E381" s="1" t="n">
        <v>46220</v>
      </c>
      <c r="F381" t="inlineStr">
        <is>
          <t>SÖDERMANLANDS LÄN</t>
        </is>
      </c>
      <c r="G381" t="inlineStr">
        <is>
          <t>KATRINEHOLM</t>
        </is>
      </c>
      <c r="H381" t="inlineStr">
        <is>
          <t>Allmännings- och besparingsskogar</t>
        </is>
      </c>
      <c r="I381" t="n">
        <v>4.8</v>
      </c>
      <c r="J381" t="n">
        <v>0</v>
      </c>
      <c r="K381" t="n">
        <v>0</v>
      </c>
      <c r="L381" t="n">
        <v>0</v>
      </c>
      <c r="M381" t="n">
        <v>0</v>
      </c>
      <c r="N381" t="n">
        <v>0</v>
      </c>
      <c r="O381" t="n">
        <v>0</v>
      </c>
      <c r="P381" t="n">
        <v>0</v>
      </c>
      <c r="Q381" t="n">
        <v>0</v>
      </c>
      <c r="R381" t="n">
        <v>0</v>
      </c>
      <c r="S381" t="n">
        <v>0</v>
      </c>
      <c r="T381" t="n">
        <v>0</v>
      </c>
      <c r="U381" s="2" t="inlineStr"/>
    </row>
    <row r="382" ht="15" customHeight="1">
      <c r="A382" t="inlineStr">
        <is>
          <t>A 63949-2025</t>
        </is>
      </c>
      <c r="B382" t="inlineStr">
        <is>
          <t>avverkningsanmälan</t>
        </is>
      </c>
      <c r="C382" t="inlineStr">
        <is>
          <t>Föryngringsavverkning</t>
        </is>
      </c>
      <c r="D382" s="1" t="n">
        <v>46010</v>
      </c>
      <c r="E382" s="1" t="n">
        <v>46220</v>
      </c>
      <c r="F382" t="inlineStr">
        <is>
          <t>SÖDERMANLANDS LÄN</t>
        </is>
      </c>
      <c r="G382" t="inlineStr">
        <is>
          <t>KATRINEHOLM</t>
        </is>
      </c>
      <c r="H382" t="inlineStr">
        <is>
          <t>Allmännings- och besparingsskogar</t>
        </is>
      </c>
      <c r="I382" t="n">
        <v>5.1</v>
      </c>
      <c r="J382" t="n">
        <v>0</v>
      </c>
      <c r="K382" t="n">
        <v>0</v>
      </c>
      <c r="L382" t="n">
        <v>0</v>
      </c>
      <c r="M382" t="n">
        <v>0</v>
      </c>
      <c r="N382" t="n">
        <v>0</v>
      </c>
      <c r="O382" t="n">
        <v>0</v>
      </c>
      <c r="P382" t="n">
        <v>0</v>
      </c>
      <c r="Q382" t="n">
        <v>0</v>
      </c>
      <c r="R382" t="n">
        <v>0</v>
      </c>
      <c r="S382" t="n">
        <v>0</v>
      </c>
      <c r="T382" t="n">
        <v>0</v>
      </c>
      <c r="U382" s="2" t="inlineStr"/>
    </row>
    <row r="383" ht="15" customHeight="1">
      <c r="A383" t="inlineStr">
        <is>
          <t>A 32166-2022</t>
        </is>
      </c>
      <c r="B383" t="inlineStr">
        <is>
          <t>avverkningsanmälan</t>
        </is>
      </c>
      <c r="C383" t="inlineStr">
        <is>
          <t>Föryngringsavverkning</t>
        </is>
      </c>
      <c r="D383" s="1" t="n">
        <v>44781</v>
      </c>
      <c r="E383" s="1" t="n">
        <v>46220</v>
      </c>
      <c r="F383" t="inlineStr">
        <is>
          <t>SÖDERMANLANDS LÄN</t>
        </is>
      </c>
      <c r="G383" t="inlineStr">
        <is>
          <t>KATRINEHOLM</t>
        </is>
      </c>
      <c r="H383" t="inlineStr">
        <is>
          <t>Kommuner</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59384-2022</t>
        </is>
      </c>
      <c r="B384" t="inlineStr">
        <is>
          <t>avverkningsanmälan</t>
        </is>
      </c>
      <c r="C384" t="inlineStr">
        <is>
          <t>Föryngringsavverkning</t>
        </is>
      </c>
      <c r="D384" s="1" t="n">
        <v>44905</v>
      </c>
      <c r="E384" s="1" t="n">
        <v>46220</v>
      </c>
      <c r="F384" t="inlineStr">
        <is>
          <t>SÖDERMANLANDS LÄN</t>
        </is>
      </c>
      <c r="G384" t="inlineStr">
        <is>
          <t>KATRINEHOLM</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10086-2026</t>
        </is>
      </c>
      <c r="B385" t="inlineStr">
        <is>
          <t>avverkningsanmälan</t>
        </is>
      </c>
      <c r="C385" t="inlineStr">
        <is>
          <t>Föryngringsavverkning</t>
        </is>
      </c>
      <c r="D385" s="1" t="n">
        <v>46073</v>
      </c>
      <c r="E385" s="1" t="n">
        <v>46220</v>
      </c>
      <c r="F385" t="inlineStr">
        <is>
          <t>SÖDERMANLANDS LÄN</t>
        </is>
      </c>
      <c r="G385" t="inlineStr">
        <is>
          <t>KATRINEHOLM</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63948-2025</t>
        </is>
      </c>
      <c r="B386" t="inlineStr">
        <is>
          <t>avverkningsanmälan</t>
        </is>
      </c>
      <c r="C386" t="inlineStr">
        <is>
          <t>Föryngringsavverkning</t>
        </is>
      </c>
      <c r="D386" s="1" t="n">
        <v>46010</v>
      </c>
      <c r="E386" s="1" t="n">
        <v>46220</v>
      </c>
      <c r="F386" t="inlineStr">
        <is>
          <t>SÖDERMANLANDS LÄN</t>
        </is>
      </c>
      <c r="G386" t="inlineStr">
        <is>
          <t>KATRINEHOLM</t>
        </is>
      </c>
      <c r="H386" t="inlineStr">
        <is>
          <t>Allmännings- och besparingsskogar</t>
        </is>
      </c>
      <c r="I386" t="n">
        <v>4.9</v>
      </c>
      <c r="J386" t="n">
        <v>0</v>
      </c>
      <c r="K386" t="n">
        <v>0</v>
      </c>
      <c r="L386" t="n">
        <v>0</v>
      </c>
      <c r="M386" t="n">
        <v>0</v>
      </c>
      <c r="N386" t="n">
        <v>0</v>
      </c>
      <c r="O386" t="n">
        <v>0</v>
      </c>
      <c r="P386" t="n">
        <v>0</v>
      </c>
      <c r="Q386" t="n">
        <v>0</v>
      </c>
      <c r="R386" t="n">
        <v>0</v>
      </c>
      <c r="S386" t="n">
        <v>0</v>
      </c>
      <c r="T386" t="n">
        <v>0</v>
      </c>
      <c r="U386" s="2" t="inlineStr"/>
    </row>
    <row r="387" ht="15" customHeight="1">
      <c r="A387" t="inlineStr">
        <is>
          <t>A 10996-2022</t>
        </is>
      </c>
      <c r="B387" t="inlineStr">
        <is>
          <t>avverkningsanmälan</t>
        </is>
      </c>
      <c r="C387" t="inlineStr">
        <is>
          <t>Föryngringsavverkning</t>
        </is>
      </c>
      <c r="D387" s="1" t="n">
        <v>44628</v>
      </c>
      <c r="E387" s="1" t="n">
        <v>46220</v>
      </c>
      <c r="F387" t="inlineStr">
        <is>
          <t>SÖDERMANLANDS LÄN</t>
        </is>
      </c>
      <c r="G387" t="inlineStr">
        <is>
          <t>KATRINEHOLM</t>
        </is>
      </c>
      <c r="I387" t="n">
        <v>0.3</v>
      </c>
      <c r="J387" t="n">
        <v>0</v>
      </c>
      <c r="K387" t="n">
        <v>0</v>
      </c>
      <c r="L387" t="n">
        <v>0</v>
      </c>
      <c r="M387" t="n">
        <v>0</v>
      </c>
      <c r="N387" t="n">
        <v>0</v>
      </c>
      <c r="O387" t="n">
        <v>0</v>
      </c>
      <c r="P387" t="n">
        <v>0</v>
      </c>
      <c r="Q387" t="n">
        <v>0</v>
      </c>
      <c r="R387" t="n">
        <v>0</v>
      </c>
      <c r="S387" t="n">
        <v>0</v>
      </c>
      <c r="T387" t="n">
        <v>0</v>
      </c>
      <c r="U387" s="2" t="inlineStr"/>
    </row>
    <row r="388" ht="15" customHeight="1">
      <c r="A388" t="inlineStr">
        <is>
          <t>A 25363-2023</t>
        </is>
      </c>
      <c r="B388" t="inlineStr">
        <is>
          <t>avverkningsanmälan</t>
        </is>
      </c>
      <c r="C388" t="inlineStr">
        <is>
          <t>Föryngringsavverkning</t>
        </is>
      </c>
      <c r="D388" s="1" t="n">
        <v>45088</v>
      </c>
      <c r="E388" s="1" t="n">
        <v>46220</v>
      </c>
      <c r="F388" t="inlineStr">
        <is>
          <t>SÖDERMANLANDS LÄN</t>
        </is>
      </c>
      <c r="G388" t="inlineStr">
        <is>
          <t>KATRINEHOLM</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48398-2022</t>
        </is>
      </c>
      <c r="B389" t="inlineStr">
        <is>
          <t>avverkningsanmälan</t>
        </is>
      </c>
      <c r="C389" t="inlineStr">
        <is>
          <t>Föryngringsavverkning</t>
        </is>
      </c>
      <c r="D389" s="1" t="n">
        <v>44858</v>
      </c>
      <c r="E389" s="1" t="n">
        <v>46220</v>
      </c>
      <c r="F389" t="inlineStr">
        <is>
          <t>SÖDERMANLANDS LÄN</t>
        </is>
      </c>
      <c r="G389" t="inlineStr">
        <is>
          <t>KATRINEHOLM</t>
        </is>
      </c>
      <c r="I389" t="n">
        <v>1.9</v>
      </c>
      <c r="J389" t="n">
        <v>0</v>
      </c>
      <c r="K389" t="n">
        <v>0</v>
      </c>
      <c r="L389" t="n">
        <v>0</v>
      </c>
      <c r="M389" t="n">
        <v>0</v>
      </c>
      <c r="N389" t="n">
        <v>0</v>
      </c>
      <c r="O389" t="n">
        <v>0</v>
      </c>
      <c r="P389" t="n">
        <v>0</v>
      </c>
      <c r="Q389" t="n">
        <v>0</v>
      </c>
      <c r="R389" t="n">
        <v>0</v>
      </c>
      <c r="S389" t="n">
        <v>0</v>
      </c>
      <c r="T389" t="n">
        <v>0</v>
      </c>
      <c r="U389" s="2" t="inlineStr"/>
    </row>
    <row r="390" ht="15" customHeight="1">
      <c r="A390" t="inlineStr">
        <is>
          <t>A 15945-2024</t>
        </is>
      </c>
      <c r="B390" t="inlineStr">
        <is>
          <t>avverkningsanmälan</t>
        </is>
      </c>
      <c r="C390" t="inlineStr">
        <is>
          <t>Föryngringsavverkning</t>
        </is>
      </c>
      <c r="D390" s="1" t="n">
        <v>45405</v>
      </c>
      <c r="E390" s="1" t="n">
        <v>46220</v>
      </c>
      <c r="F390" t="inlineStr">
        <is>
          <t>SÖDERMANLANDS LÄN</t>
        </is>
      </c>
      <c r="G390" t="inlineStr">
        <is>
          <t>KATRINEHOLM</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11677-2026</t>
        </is>
      </c>
      <c r="B391" t="inlineStr">
        <is>
          <t>avverkningsanmälan</t>
        </is>
      </c>
      <c r="C391" t="inlineStr">
        <is>
          <t>Föryngringsavverkning</t>
        </is>
      </c>
      <c r="D391" s="1" t="n">
        <v>46084</v>
      </c>
      <c r="E391" s="1" t="n">
        <v>46220</v>
      </c>
      <c r="F391" t="inlineStr">
        <is>
          <t>SÖDERMANLANDS LÄN</t>
        </is>
      </c>
      <c r="G391" t="inlineStr">
        <is>
          <t>KATRINEHOLM</t>
        </is>
      </c>
      <c r="H391" t="inlineStr">
        <is>
          <t>Holmen skog AB</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8475-2023</t>
        </is>
      </c>
      <c r="B392" t="inlineStr">
        <is>
          <t>avverkningsanmälan</t>
        </is>
      </c>
      <c r="C392" t="inlineStr">
        <is>
          <t>Föryngringsavverkning</t>
        </is>
      </c>
      <c r="D392" s="1" t="n">
        <v>44977</v>
      </c>
      <c r="E392" s="1" t="n">
        <v>46220</v>
      </c>
      <c r="F392" t="inlineStr">
        <is>
          <t>SÖDERMANLANDS LÄN</t>
        </is>
      </c>
      <c r="G392" t="inlineStr">
        <is>
          <t>KATRINEHOLM</t>
        </is>
      </c>
      <c r="H392" t="inlineStr">
        <is>
          <t>Allmännings- och besparingsskogar</t>
        </is>
      </c>
      <c r="I392" t="n">
        <v>8.1</v>
      </c>
      <c r="J392" t="n">
        <v>0</v>
      </c>
      <c r="K392" t="n">
        <v>0</v>
      </c>
      <c r="L392" t="n">
        <v>0</v>
      </c>
      <c r="M392" t="n">
        <v>0</v>
      </c>
      <c r="N392" t="n">
        <v>0</v>
      </c>
      <c r="O392" t="n">
        <v>0</v>
      </c>
      <c r="P392" t="n">
        <v>0</v>
      </c>
      <c r="Q392" t="n">
        <v>0</v>
      </c>
      <c r="R392" t="n">
        <v>0</v>
      </c>
      <c r="S392" t="n">
        <v>0</v>
      </c>
      <c r="T392" t="n">
        <v>0</v>
      </c>
      <c r="U392" s="2" t="inlineStr"/>
    </row>
    <row r="393" ht="15" customHeight="1">
      <c r="A393" t="inlineStr">
        <is>
          <t>A 8518-2023</t>
        </is>
      </c>
      <c r="B393" t="inlineStr">
        <is>
          <t>avverkningsanmälan</t>
        </is>
      </c>
      <c r="C393" t="inlineStr">
        <is>
          <t>Föryngringsavverkning</t>
        </is>
      </c>
      <c r="D393" s="1" t="n">
        <v>44977</v>
      </c>
      <c r="E393" s="1" t="n">
        <v>46220</v>
      </c>
      <c r="F393" t="inlineStr">
        <is>
          <t>SÖDERMANLANDS LÄN</t>
        </is>
      </c>
      <c r="G393" t="inlineStr">
        <is>
          <t>KATRINEHOLM</t>
        </is>
      </c>
      <c r="H393" t="inlineStr">
        <is>
          <t>Allmännings- och besparingsskogar</t>
        </is>
      </c>
      <c r="I393" t="n">
        <v>35.3</v>
      </c>
      <c r="J393" t="n">
        <v>0</v>
      </c>
      <c r="K393" t="n">
        <v>0</v>
      </c>
      <c r="L393" t="n">
        <v>0</v>
      </c>
      <c r="M393" t="n">
        <v>0</v>
      </c>
      <c r="N393" t="n">
        <v>0</v>
      </c>
      <c r="O393" t="n">
        <v>0</v>
      </c>
      <c r="P393" t="n">
        <v>0</v>
      </c>
      <c r="Q393" t="n">
        <v>0</v>
      </c>
      <c r="R393" t="n">
        <v>0</v>
      </c>
      <c r="S393" t="n">
        <v>0</v>
      </c>
      <c r="T393" t="n">
        <v>0</v>
      </c>
      <c r="U393" s="2" t="inlineStr"/>
    </row>
    <row r="394" ht="15" customHeight="1">
      <c r="A394" t="inlineStr">
        <is>
          <t>A 11666-2026</t>
        </is>
      </c>
      <c r="B394" t="inlineStr">
        <is>
          <t>avverkningsanmälan</t>
        </is>
      </c>
      <c r="C394" t="inlineStr">
        <is>
          <t>Föryngringsavverkning</t>
        </is>
      </c>
      <c r="D394" s="1" t="n">
        <v>46084</v>
      </c>
      <c r="E394" s="1" t="n">
        <v>46220</v>
      </c>
      <c r="F394" t="inlineStr">
        <is>
          <t>SÖDERMANLANDS LÄN</t>
        </is>
      </c>
      <c r="G394" t="inlineStr">
        <is>
          <t>KATRINEHOLM</t>
        </is>
      </c>
      <c r="H394" t="inlineStr">
        <is>
          <t>Holmen skog AB</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11621-2026</t>
        </is>
      </c>
      <c r="B395" t="inlineStr">
        <is>
          <t>avverkningsanmälan</t>
        </is>
      </c>
      <c r="C395" t="inlineStr">
        <is>
          <t>Föryngringsavverkning</t>
        </is>
      </c>
      <c r="D395" s="1" t="n">
        <v>46084</v>
      </c>
      <c r="E395" s="1" t="n">
        <v>46220</v>
      </c>
      <c r="F395" t="inlineStr">
        <is>
          <t>SÖDERMANLANDS LÄN</t>
        </is>
      </c>
      <c r="G395" t="inlineStr">
        <is>
          <t>KATRINEHOLM</t>
        </is>
      </c>
      <c r="H395" t="inlineStr">
        <is>
          <t>Holmen skog AB</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46670-2021</t>
        </is>
      </c>
      <c r="B396" t="inlineStr">
        <is>
          <t>avverkningsanmälan</t>
        </is>
      </c>
      <c r="C396" t="inlineStr">
        <is>
          <t>Föryngringsavverkning</t>
        </is>
      </c>
      <c r="D396" s="1" t="n">
        <v>44445</v>
      </c>
      <c r="E396" s="1" t="n">
        <v>46220</v>
      </c>
      <c r="F396" t="inlineStr">
        <is>
          <t>SÖDERMANLANDS LÄN</t>
        </is>
      </c>
      <c r="G396" t="inlineStr">
        <is>
          <t>KATRINEHOLM</t>
        </is>
      </c>
      <c r="I396" t="n">
        <v>4.4</v>
      </c>
      <c r="J396" t="n">
        <v>0</v>
      </c>
      <c r="K396" t="n">
        <v>0</v>
      </c>
      <c r="L396" t="n">
        <v>0</v>
      </c>
      <c r="M396" t="n">
        <v>0</v>
      </c>
      <c r="N396" t="n">
        <v>0</v>
      </c>
      <c r="O396" t="n">
        <v>0</v>
      </c>
      <c r="P396" t="n">
        <v>0</v>
      </c>
      <c r="Q396" t="n">
        <v>0</v>
      </c>
      <c r="R396" t="n">
        <v>0</v>
      </c>
      <c r="S396" t="n">
        <v>0</v>
      </c>
      <c r="T396" t="n">
        <v>0</v>
      </c>
      <c r="U396" s="2" t="inlineStr"/>
    </row>
    <row r="397" ht="15" customHeight="1">
      <c r="A397" t="inlineStr">
        <is>
          <t>A 43513-2023</t>
        </is>
      </c>
      <c r="B397" t="inlineStr">
        <is>
          <t>avverkningsanmälan</t>
        </is>
      </c>
      <c r="C397" t="inlineStr">
        <is>
          <t>Föryngringsavverkning</t>
        </is>
      </c>
      <c r="D397" s="1" t="n">
        <v>45184</v>
      </c>
      <c r="E397" s="1" t="n">
        <v>46220</v>
      </c>
      <c r="F397" t="inlineStr">
        <is>
          <t>SÖDERMANLANDS LÄN</t>
        </is>
      </c>
      <c r="G397" t="inlineStr">
        <is>
          <t>KATRINEHOLM</t>
        </is>
      </c>
      <c r="I397" t="n">
        <v>3.8</v>
      </c>
      <c r="J397" t="n">
        <v>0</v>
      </c>
      <c r="K397" t="n">
        <v>0</v>
      </c>
      <c r="L397" t="n">
        <v>0</v>
      </c>
      <c r="M397" t="n">
        <v>0</v>
      </c>
      <c r="N397" t="n">
        <v>0</v>
      </c>
      <c r="O397" t="n">
        <v>0</v>
      </c>
      <c r="P397" t="n">
        <v>0</v>
      </c>
      <c r="Q397" t="n">
        <v>0</v>
      </c>
      <c r="R397" t="n">
        <v>0</v>
      </c>
      <c r="S397" t="n">
        <v>0</v>
      </c>
      <c r="T397" t="n">
        <v>0</v>
      </c>
      <c r="U397" s="2" t="inlineStr"/>
    </row>
    <row r="398" ht="15" customHeight="1">
      <c r="A398" t="inlineStr">
        <is>
          <t>A 49122-2024</t>
        </is>
      </c>
      <c r="B398" t="inlineStr">
        <is>
          <t>avverkningsanmälan</t>
        </is>
      </c>
      <c r="C398" t="inlineStr">
        <is>
          <t>Föryngringsavverkning</t>
        </is>
      </c>
      <c r="D398" s="1" t="n">
        <v>45594</v>
      </c>
      <c r="E398" s="1" t="n">
        <v>46220</v>
      </c>
      <c r="F398" t="inlineStr">
        <is>
          <t>SÖDERMANLANDS LÄN</t>
        </is>
      </c>
      <c r="G398" t="inlineStr">
        <is>
          <t>KATRINEHOLM</t>
        </is>
      </c>
      <c r="I398" t="n">
        <v>19.4</v>
      </c>
      <c r="J398" t="n">
        <v>0</v>
      </c>
      <c r="K398" t="n">
        <v>0</v>
      </c>
      <c r="L398" t="n">
        <v>0</v>
      </c>
      <c r="M398" t="n">
        <v>0</v>
      </c>
      <c r="N398" t="n">
        <v>0</v>
      </c>
      <c r="O398" t="n">
        <v>0</v>
      </c>
      <c r="P398" t="n">
        <v>0</v>
      </c>
      <c r="Q398" t="n">
        <v>0</v>
      </c>
      <c r="R398" t="n">
        <v>0</v>
      </c>
      <c r="S398" t="n">
        <v>0</v>
      </c>
      <c r="T398" t="n">
        <v>0</v>
      </c>
      <c r="U398" s="2" t="inlineStr"/>
    </row>
    <row r="399" ht="15" customHeight="1">
      <c r="A399" t="inlineStr">
        <is>
          <t>A 12831-2026</t>
        </is>
      </c>
      <c r="B399" t="inlineStr">
        <is>
          <t>avverkningsanmälan</t>
        </is>
      </c>
      <c r="C399" t="inlineStr">
        <is>
          <t>Föryngringsavverkning</t>
        </is>
      </c>
      <c r="D399" s="1" t="n">
        <v>46092</v>
      </c>
      <c r="E399" s="1" t="n">
        <v>46220</v>
      </c>
      <c r="F399" t="inlineStr">
        <is>
          <t>SÖDERMANLANDS LÄN</t>
        </is>
      </c>
      <c r="G399" t="inlineStr">
        <is>
          <t>KATRINEHOLM</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8791-2023</t>
        </is>
      </c>
      <c r="B400" t="inlineStr">
        <is>
          <t>avverkningsanmälan</t>
        </is>
      </c>
      <c r="C400" t="inlineStr">
        <is>
          <t>Föryngringsavverkning</t>
        </is>
      </c>
      <c r="D400" s="1" t="n">
        <v>44978</v>
      </c>
      <c r="E400" s="1" t="n">
        <v>46220</v>
      </c>
      <c r="F400" t="inlineStr">
        <is>
          <t>SÖDERMANLANDS LÄN</t>
        </is>
      </c>
      <c r="G400" t="inlineStr">
        <is>
          <t>KATRINEHOLM</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55825-2022</t>
        </is>
      </c>
      <c r="B401" t="inlineStr">
        <is>
          <t>avverkningsanmälan</t>
        </is>
      </c>
      <c r="C401" t="inlineStr">
        <is>
          <t>Föryngringsavverkning</t>
        </is>
      </c>
      <c r="D401" s="1" t="n">
        <v>44886</v>
      </c>
      <c r="E401" s="1" t="n">
        <v>46220</v>
      </c>
      <c r="F401" t="inlineStr">
        <is>
          <t>SÖDERMANLANDS LÄN</t>
        </is>
      </c>
      <c r="G401" t="inlineStr">
        <is>
          <t>KATRINEHOLM</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62954-2023</t>
        </is>
      </c>
      <c r="B402" t="inlineStr">
        <is>
          <t>avverkningsanmälan</t>
        </is>
      </c>
      <c r="C402" t="inlineStr">
        <is>
          <t>Föryngringsavverkning</t>
        </is>
      </c>
      <c r="D402" s="1" t="n">
        <v>45272</v>
      </c>
      <c r="E402" s="1" t="n">
        <v>46220</v>
      </c>
      <c r="F402" t="inlineStr">
        <is>
          <t>SÖDERMANLANDS LÄN</t>
        </is>
      </c>
      <c r="G402" t="inlineStr">
        <is>
          <t>KATRINEHOLM</t>
        </is>
      </c>
      <c r="I402" t="n">
        <v>2.3</v>
      </c>
      <c r="J402" t="n">
        <v>0</v>
      </c>
      <c r="K402" t="n">
        <v>0</v>
      </c>
      <c r="L402" t="n">
        <v>0</v>
      </c>
      <c r="M402" t="n">
        <v>0</v>
      </c>
      <c r="N402" t="n">
        <v>0</v>
      </c>
      <c r="O402" t="n">
        <v>0</v>
      </c>
      <c r="P402" t="n">
        <v>0</v>
      </c>
      <c r="Q402" t="n">
        <v>0</v>
      </c>
      <c r="R402" t="n">
        <v>0</v>
      </c>
      <c r="S402" t="n">
        <v>0</v>
      </c>
      <c r="T402" t="n">
        <v>0</v>
      </c>
      <c r="U402" s="2" t="inlineStr"/>
    </row>
    <row r="403" ht="15" customHeight="1">
      <c r="A403" t="inlineStr">
        <is>
          <t>A 7191-2023</t>
        </is>
      </c>
      <c r="B403" t="inlineStr">
        <is>
          <t>avverkningsanmälan</t>
        </is>
      </c>
      <c r="C403" t="inlineStr">
        <is>
          <t>Föryngringsavverkning</t>
        </is>
      </c>
      <c r="D403" s="1" t="n">
        <v>44965</v>
      </c>
      <c r="E403" s="1" t="n">
        <v>46220</v>
      </c>
      <c r="F403" t="inlineStr">
        <is>
          <t>SÖDERMANLANDS LÄN</t>
        </is>
      </c>
      <c r="G403" t="inlineStr">
        <is>
          <t>KATRINEHOLM</t>
        </is>
      </c>
      <c r="I403" t="n">
        <v>14.1</v>
      </c>
      <c r="J403" t="n">
        <v>0</v>
      </c>
      <c r="K403" t="n">
        <v>0</v>
      </c>
      <c r="L403" t="n">
        <v>0</v>
      </c>
      <c r="M403" t="n">
        <v>0</v>
      </c>
      <c r="N403" t="n">
        <v>0</v>
      </c>
      <c r="O403" t="n">
        <v>0</v>
      </c>
      <c r="P403" t="n">
        <v>0</v>
      </c>
      <c r="Q403" t="n">
        <v>0</v>
      </c>
      <c r="R403" t="n">
        <v>0</v>
      </c>
      <c r="S403" t="n">
        <v>0</v>
      </c>
      <c r="T403" t="n">
        <v>0</v>
      </c>
      <c r="U403" s="2" t="inlineStr"/>
    </row>
    <row r="404" ht="15" customHeight="1">
      <c r="A404" t="inlineStr">
        <is>
          <t>A 13633-2026</t>
        </is>
      </c>
      <c r="B404" t="inlineStr">
        <is>
          <t>avverkningsanmälan</t>
        </is>
      </c>
      <c r="C404" t="inlineStr">
        <is>
          <t>Föryngringsavverkning</t>
        </is>
      </c>
      <c r="D404" s="1" t="n">
        <v>46097</v>
      </c>
      <c r="E404" s="1" t="n">
        <v>46220</v>
      </c>
      <c r="F404" t="inlineStr">
        <is>
          <t>SÖDERMANLANDS LÄN</t>
        </is>
      </c>
      <c r="G404" t="inlineStr">
        <is>
          <t>KATRINEHOLM</t>
        </is>
      </c>
      <c r="I404" t="n">
        <v>1.9</v>
      </c>
      <c r="J404" t="n">
        <v>0</v>
      </c>
      <c r="K404" t="n">
        <v>0</v>
      </c>
      <c r="L404" t="n">
        <v>0</v>
      </c>
      <c r="M404" t="n">
        <v>0</v>
      </c>
      <c r="N404" t="n">
        <v>0</v>
      </c>
      <c r="O404" t="n">
        <v>0</v>
      </c>
      <c r="P404" t="n">
        <v>0</v>
      </c>
      <c r="Q404" t="n">
        <v>0</v>
      </c>
      <c r="R404" t="n">
        <v>0</v>
      </c>
      <c r="S404" t="n">
        <v>0</v>
      </c>
      <c r="T404" t="n">
        <v>0</v>
      </c>
      <c r="U404" s="2" t="inlineStr"/>
    </row>
    <row r="405" ht="15" customHeight="1">
      <c r="A405" t="inlineStr">
        <is>
          <t>A 13841-2026</t>
        </is>
      </c>
      <c r="B405" t="inlineStr">
        <is>
          <t>avverkningsanmälan</t>
        </is>
      </c>
      <c r="C405" t="inlineStr">
        <is>
          <t>Föryngringsavverkning</t>
        </is>
      </c>
      <c r="D405" s="1" t="n">
        <v>46098</v>
      </c>
      <c r="E405" s="1" t="n">
        <v>46220</v>
      </c>
      <c r="F405" t="inlineStr">
        <is>
          <t>SÖDERMANLANDS LÄN</t>
        </is>
      </c>
      <c r="G405" t="inlineStr">
        <is>
          <t>KATRINEHOLM</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37834-2023</t>
        </is>
      </c>
      <c r="B406" t="inlineStr">
        <is>
          <t>avverkningsanmälan</t>
        </is>
      </c>
      <c r="C406" t="inlineStr">
        <is>
          <t>Föryngringsavverkning</t>
        </is>
      </c>
      <c r="D406" s="1" t="n">
        <v>45160</v>
      </c>
      <c r="E406" s="1" t="n">
        <v>46220</v>
      </c>
      <c r="F406" t="inlineStr">
        <is>
          <t>SÖDERMANLANDS LÄN</t>
        </is>
      </c>
      <c r="G406" t="inlineStr">
        <is>
          <t>KATRINEHOLM</t>
        </is>
      </c>
      <c r="H406" t="inlineStr">
        <is>
          <t>Kyrkan</t>
        </is>
      </c>
      <c r="I406" t="n">
        <v>2.8</v>
      </c>
      <c r="J406" t="n">
        <v>0</v>
      </c>
      <c r="K406" t="n">
        <v>0</v>
      </c>
      <c r="L406" t="n">
        <v>0</v>
      </c>
      <c r="M406" t="n">
        <v>0</v>
      </c>
      <c r="N406" t="n">
        <v>0</v>
      </c>
      <c r="O406" t="n">
        <v>0</v>
      </c>
      <c r="P406" t="n">
        <v>0</v>
      </c>
      <c r="Q406" t="n">
        <v>0</v>
      </c>
      <c r="R406" t="n">
        <v>0</v>
      </c>
      <c r="S406" t="n">
        <v>0</v>
      </c>
      <c r="T406" t="n">
        <v>0</v>
      </c>
      <c r="U406" s="2" t="inlineStr"/>
    </row>
    <row r="407" ht="15" customHeight="1">
      <c r="A407" t="inlineStr">
        <is>
          <t>A 36210-2022</t>
        </is>
      </c>
      <c r="B407" t="inlineStr">
        <is>
          <t>avverkningsanmälan</t>
        </is>
      </c>
      <c r="C407" t="inlineStr">
        <is>
          <t>Föryngringsavverkning</t>
        </is>
      </c>
      <c r="D407" s="1" t="n">
        <v>44803</v>
      </c>
      <c r="E407" s="1" t="n">
        <v>46220</v>
      </c>
      <c r="F407" t="inlineStr">
        <is>
          <t>SÖDERMANLANDS LÄN</t>
        </is>
      </c>
      <c r="G407" t="inlineStr">
        <is>
          <t>KATRINEHOLM</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19685-2022</t>
        </is>
      </c>
      <c r="B408" t="inlineStr">
        <is>
          <t>avverkningsanmälan</t>
        </is>
      </c>
      <c r="C408" t="inlineStr">
        <is>
          <t>Föryngringsavverkning</t>
        </is>
      </c>
      <c r="D408" s="1" t="n">
        <v>44694</v>
      </c>
      <c r="E408" s="1" t="n">
        <v>46220</v>
      </c>
      <c r="F408" t="inlineStr">
        <is>
          <t>SÖDERMANLANDS LÄN</t>
        </is>
      </c>
      <c r="G408" t="inlineStr">
        <is>
          <t>KATRINEHOLM</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13630-2026</t>
        </is>
      </c>
      <c r="B409" t="inlineStr">
        <is>
          <t>avverkningsanmälan</t>
        </is>
      </c>
      <c r="C409" t="inlineStr">
        <is>
          <t>Föryngringsavverkning</t>
        </is>
      </c>
      <c r="D409" s="1" t="n">
        <v>46097</v>
      </c>
      <c r="E409" s="1" t="n">
        <v>46220</v>
      </c>
      <c r="F409" t="inlineStr">
        <is>
          <t>SÖDERMANLANDS LÄN</t>
        </is>
      </c>
      <c r="G409" t="inlineStr">
        <is>
          <t>KATRINEHOLM</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13632-2026</t>
        </is>
      </c>
      <c r="B410" t="inlineStr">
        <is>
          <t>avverkningsanmälan</t>
        </is>
      </c>
      <c r="C410" t="inlineStr">
        <is>
          <t>Föryngringsavverkning</t>
        </is>
      </c>
      <c r="D410" s="1" t="n">
        <v>46097</v>
      </c>
      <c r="E410" s="1" t="n">
        <v>46220</v>
      </c>
      <c r="F410" t="inlineStr">
        <is>
          <t>SÖDERMANLANDS LÄN</t>
        </is>
      </c>
      <c r="G410" t="inlineStr">
        <is>
          <t>KATRINEHOLM</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13655-2026</t>
        </is>
      </c>
      <c r="B411" t="inlineStr">
        <is>
          <t>avverkningsanmälan</t>
        </is>
      </c>
      <c r="C411" t="inlineStr">
        <is>
          <t>Avverkning för att bevara och utveckla /försöksver</t>
        </is>
      </c>
      <c r="D411" s="1" t="n">
        <v>46097</v>
      </c>
      <c r="E411" s="1" t="n">
        <v>46220</v>
      </c>
      <c r="F411" t="inlineStr">
        <is>
          <t>SÖDERMANLANDS LÄN</t>
        </is>
      </c>
      <c r="G411" t="inlineStr">
        <is>
          <t>KATRINEHOLM</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8951-2024</t>
        </is>
      </c>
      <c r="B412" t="inlineStr">
        <is>
          <t>avverkningsanmälan</t>
        </is>
      </c>
      <c r="C412" t="inlineStr">
        <is>
          <t>Föryngringsavverkning</t>
        </is>
      </c>
      <c r="D412" s="1" t="n">
        <v>45357</v>
      </c>
      <c r="E412" s="1" t="n">
        <v>46220</v>
      </c>
      <c r="F412" t="inlineStr">
        <is>
          <t>SÖDERMANLANDS LÄN</t>
        </is>
      </c>
      <c r="G412" t="inlineStr">
        <is>
          <t>KATRINEHOLM</t>
        </is>
      </c>
      <c r="I412" t="n">
        <v>3.3</v>
      </c>
      <c r="J412" t="n">
        <v>0</v>
      </c>
      <c r="K412" t="n">
        <v>0</v>
      </c>
      <c r="L412" t="n">
        <v>0</v>
      </c>
      <c r="M412" t="n">
        <v>0</v>
      </c>
      <c r="N412" t="n">
        <v>0</v>
      </c>
      <c r="O412" t="n">
        <v>0</v>
      </c>
      <c r="P412" t="n">
        <v>0</v>
      </c>
      <c r="Q412" t="n">
        <v>0</v>
      </c>
      <c r="R412" t="n">
        <v>0</v>
      </c>
      <c r="S412" t="n">
        <v>0</v>
      </c>
      <c r="T412" t="n">
        <v>0</v>
      </c>
      <c r="U412" s="2" t="inlineStr"/>
    </row>
    <row r="413" ht="15" customHeight="1">
      <c r="A413" t="inlineStr">
        <is>
          <t>A 14224-2024</t>
        </is>
      </c>
      <c r="B413" t="inlineStr">
        <is>
          <t>avverkningsanmälan</t>
        </is>
      </c>
      <c r="C413" t="inlineStr">
        <is>
          <t>Föryngringsavverkning</t>
        </is>
      </c>
      <c r="D413" s="1" t="n">
        <v>45393</v>
      </c>
      <c r="E413" s="1" t="n">
        <v>46220</v>
      </c>
      <c r="F413" t="inlineStr">
        <is>
          <t>SÖDERMANLANDS LÄN</t>
        </is>
      </c>
      <c r="G413" t="inlineStr">
        <is>
          <t>KATRINEHOLM</t>
        </is>
      </c>
      <c r="H413" t="inlineStr">
        <is>
          <t>Sveaskog</t>
        </is>
      </c>
      <c r="I413" t="n">
        <v>7.6</v>
      </c>
      <c r="J413" t="n">
        <v>0</v>
      </c>
      <c r="K413" t="n">
        <v>0</v>
      </c>
      <c r="L413" t="n">
        <v>0</v>
      </c>
      <c r="M413" t="n">
        <v>0</v>
      </c>
      <c r="N413" t="n">
        <v>0</v>
      </c>
      <c r="O413" t="n">
        <v>0</v>
      </c>
      <c r="P413" t="n">
        <v>0</v>
      </c>
      <c r="Q413" t="n">
        <v>0</v>
      </c>
      <c r="R413" t="n">
        <v>0</v>
      </c>
      <c r="S413" t="n">
        <v>0</v>
      </c>
      <c r="T413" t="n">
        <v>0</v>
      </c>
      <c r="U413" s="2" t="inlineStr"/>
    </row>
    <row r="414" ht="15" customHeight="1">
      <c r="A414" t="inlineStr">
        <is>
          <t>A 44989-2022</t>
        </is>
      </c>
      <c r="B414" t="inlineStr">
        <is>
          <t>avverkningsanmälan</t>
        </is>
      </c>
      <c r="C414" t="inlineStr">
        <is>
          <t>Föryngringsavverkning</t>
        </is>
      </c>
      <c r="D414" s="1" t="n">
        <v>44840</v>
      </c>
      <c r="E414" s="1" t="n">
        <v>46220</v>
      </c>
      <c r="F414" t="inlineStr">
        <is>
          <t>SÖDERMANLANDS LÄN</t>
        </is>
      </c>
      <c r="G414" t="inlineStr">
        <is>
          <t>KATRINEHOLM</t>
        </is>
      </c>
      <c r="I414" t="n">
        <v>6</v>
      </c>
      <c r="J414" t="n">
        <v>0</v>
      </c>
      <c r="K414" t="n">
        <v>0</v>
      </c>
      <c r="L414" t="n">
        <v>0</v>
      </c>
      <c r="M414" t="n">
        <v>0</v>
      </c>
      <c r="N414" t="n">
        <v>0</v>
      </c>
      <c r="O414" t="n">
        <v>0</v>
      </c>
      <c r="P414" t="n">
        <v>0</v>
      </c>
      <c r="Q414" t="n">
        <v>0</v>
      </c>
      <c r="R414" t="n">
        <v>0</v>
      </c>
      <c r="S414" t="n">
        <v>0</v>
      </c>
      <c r="T414" t="n">
        <v>0</v>
      </c>
      <c r="U414" s="2" t="inlineStr"/>
    </row>
    <row r="415" ht="15" customHeight="1">
      <c r="A415" t="inlineStr">
        <is>
          <t>A 57263-2022</t>
        </is>
      </c>
      <c r="B415" t="inlineStr">
        <is>
          <t>avverkningsanmälan</t>
        </is>
      </c>
      <c r="C415" t="inlineStr">
        <is>
          <t>Föryngringsavverkning</t>
        </is>
      </c>
      <c r="D415" s="1" t="n">
        <v>44895</v>
      </c>
      <c r="E415" s="1" t="n">
        <v>46220</v>
      </c>
      <c r="F415" t="inlineStr">
        <is>
          <t>SÖDERMANLANDS LÄN</t>
        </is>
      </c>
      <c r="G415" t="inlineStr">
        <is>
          <t>KATRINEHOLM</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49218-2023</t>
        </is>
      </c>
      <c r="B416" t="inlineStr">
        <is>
          <t>avverkningsanmälan</t>
        </is>
      </c>
      <c r="C416" t="inlineStr">
        <is>
          <t>Föryngringsavverkning</t>
        </is>
      </c>
      <c r="D416" s="1" t="n">
        <v>45205</v>
      </c>
      <c r="E416" s="1" t="n">
        <v>46220</v>
      </c>
      <c r="F416" t="inlineStr">
        <is>
          <t>SÖDERMANLANDS LÄN</t>
        </is>
      </c>
      <c r="G416" t="inlineStr">
        <is>
          <t>KATRINEHOLM</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4679-2023</t>
        </is>
      </c>
      <c r="B417" t="inlineStr">
        <is>
          <t>avverkningsanmälan</t>
        </is>
      </c>
      <c r="C417" t="inlineStr">
        <is>
          <t>Föryngringsavverkning</t>
        </is>
      </c>
      <c r="D417" s="1" t="n">
        <v>44957</v>
      </c>
      <c r="E417" s="1" t="n">
        <v>46220</v>
      </c>
      <c r="F417" t="inlineStr">
        <is>
          <t>SÖDERMANLANDS LÄN</t>
        </is>
      </c>
      <c r="G417" t="inlineStr">
        <is>
          <t>KATRINEHOLM</t>
        </is>
      </c>
      <c r="I417" t="n">
        <v>5.3</v>
      </c>
      <c r="J417" t="n">
        <v>0</v>
      </c>
      <c r="K417" t="n">
        <v>0</v>
      </c>
      <c r="L417" t="n">
        <v>0</v>
      </c>
      <c r="M417" t="n">
        <v>0</v>
      </c>
      <c r="N417" t="n">
        <v>0</v>
      </c>
      <c r="O417" t="n">
        <v>0</v>
      </c>
      <c r="P417" t="n">
        <v>0</v>
      </c>
      <c r="Q417" t="n">
        <v>0</v>
      </c>
      <c r="R417" t="n">
        <v>0</v>
      </c>
      <c r="S417" t="n">
        <v>0</v>
      </c>
      <c r="T417" t="n">
        <v>0</v>
      </c>
      <c r="U417" s="2" t="inlineStr"/>
    </row>
    <row r="418" ht="15" customHeight="1">
      <c r="A418" t="inlineStr">
        <is>
          <t>A 14770-2026</t>
        </is>
      </c>
      <c r="B418" t="inlineStr">
        <is>
          <t>avverkningsanmälan</t>
        </is>
      </c>
      <c r="C418" t="inlineStr">
        <is>
          <t>Föryngringsavverkning</t>
        </is>
      </c>
      <c r="D418" s="1" t="n">
        <v>46101</v>
      </c>
      <c r="E418" s="1" t="n">
        <v>46220</v>
      </c>
      <c r="F418" t="inlineStr">
        <is>
          <t>SÖDERMANLANDS LÄN</t>
        </is>
      </c>
      <c r="G418" t="inlineStr">
        <is>
          <t>KATRINEHOLM</t>
        </is>
      </c>
      <c r="I418" t="n">
        <v>7.5</v>
      </c>
      <c r="J418" t="n">
        <v>0</v>
      </c>
      <c r="K418" t="n">
        <v>0</v>
      </c>
      <c r="L418" t="n">
        <v>0</v>
      </c>
      <c r="M418" t="n">
        <v>0</v>
      </c>
      <c r="N418" t="n">
        <v>0</v>
      </c>
      <c r="O418" t="n">
        <v>0</v>
      </c>
      <c r="P418" t="n">
        <v>0</v>
      </c>
      <c r="Q418" t="n">
        <v>0</v>
      </c>
      <c r="R418" t="n">
        <v>0</v>
      </c>
      <c r="S418" t="n">
        <v>0</v>
      </c>
      <c r="T418" t="n">
        <v>0</v>
      </c>
      <c r="U418" s="2" t="inlineStr"/>
    </row>
    <row r="419" ht="15" customHeight="1">
      <c r="A419" t="inlineStr">
        <is>
          <t>A 14751-2026</t>
        </is>
      </c>
      <c r="B419" t="inlineStr">
        <is>
          <t>avverkningsanmälan</t>
        </is>
      </c>
      <c r="C419" t="inlineStr">
        <is>
          <t>Avverkning för att bevara och utveckla /försöksver</t>
        </is>
      </c>
      <c r="D419" s="1" t="n">
        <v>46101</v>
      </c>
      <c r="E419" s="1" t="n">
        <v>46220</v>
      </c>
      <c r="F419" t="inlineStr">
        <is>
          <t>SÖDERMANLANDS LÄN</t>
        </is>
      </c>
      <c r="G419" t="inlineStr">
        <is>
          <t>KATRINEHOLM</t>
        </is>
      </c>
      <c r="I419" t="n">
        <v>2.1</v>
      </c>
      <c r="J419" t="n">
        <v>0</v>
      </c>
      <c r="K419" t="n">
        <v>0</v>
      </c>
      <c r="L419" t="n">
        <v>0</v>
      </c>
      <c r="M419" t="n">
        <v>0</v>
      </c>
      <c r="N419" t="n">
        <v>0</v>
      </c>
      <c r="O419" t="n">
        <v>0</v>
      </c>
      <c r="P419" t="n">
        <v>0</v>
      </c>
      <c r="Q419" t="n">
        <v>0</v>
      </c>
      <c r="R419" t="n">
        <v>0</v>
      </c>
      <c r="S419" t="n">
        <v>0</v>
      </c>
      <c r="T419" t="n">
        <v>0</v>
      </c>
      <c r="U419" s="2" t="inlineStr"/>
    </row>
    <row r="420" ht="15" customHeight="1">
      <c r="A420" t="inlineStr">
        <is>
          <t>A 15701-2026</t>
        </is>
      </c>
      <c r="B420" t="inlineStr">
        <is>
          <t>avverkningsanmälan</t>
        </is>
      </c>
      <c r="C420" t="inlineStr">
        <is>
          <t>Föryngringsavverkning</t>
        </is>
      </c>
      <c r="D420" s="1" t="n">
        <v>46106</v>
      </c>
      <c r="E420" s="1" t="n">
        <v>46220</v>
      </c>
      <c r="F420" t="inlineStr">
        <is>
          <t>SÖDERMANLANDS LÄN</t>
        </is>
      </c>
      <c r="G420" t="inlineStr">
        <is>
          <t>KATRINEHOLM</t>
        </is>
      </c>
      <c r="I420" t="n">
        <v>2.2</v>
      </c>
      <c r="J420" t="n">
        <v>0</v>
      </c>
      <c r="K420" t="n">
        <v>0</v>
      </c>
      <c r="L420" t="n">
        <v>0</v>
      </c>
      <c r="M420" t="n">
        <v>0</v>
      </c>
      <c r="N420" t="n">
        <v>0</v>
      </c>
      <c r="O420" t="n">
        <v>0</v>
      </c>
      <c r="P420" t="n">
        <v>0</v>
      </c>
      <c r="Q420" t="n">
        <v>0</v>
      </c>
      <c r="R420" t="n">
        <v>0</v>
      </c>
      <c r="S420" t="n">
        <v>0</v>
      </c>
      <c r="T420" t="n">
        <v>0</v>
      </c>
      <c r="U420" s="2" t="inlineStr"/>
    </row>
    <row r="421" ht="15" customHeight="1">
      <c r="A421" t="inlineStr">
        <is>
          <t>A 2320-2023</t>
        </is>
      </c>
      <c r="B421" t="inlineStr">
        <is>
          <t>avverkningsanmälan</t>
        </is>
      </c>
      <c r="C421" t="inlineStr">
        <is>
          <t>Föryngringsavverkning</t>
        </is>
      </c>
      <c r="D421" s="1" t="n">
        <v>44942</v>
      </c>
      <c r="E421" s="1" t="n">
        <v>46220</v>
      </c>
      <c r="F421" t="inlineStr">
        <is>
          <t>SÖDERMANLANDS LÄN</t>
        </is>
      </c>
      <c r="G421" t="inlineStr">
        <is>
          <t>KATRINEHOLM</t>
        </is>
      </c>
      <c r="I421" t="n">
        <v>1.9</v>
      </c>
      <c r="J421" t="n">
        <v>0</v>
      </c>
      <c r="K421" t="n">
        <v>0</v>
      </c>
      <c r="L421" t="n">
        <v>0</v>
      </c>
      <c r="M421" t="n">
        <v>0</v>
      </c>
      <c r="N421" t="n">
        <v>0</v>
      </c>
      <c r="O421" t="n">
        <v>0</v>
      </c>
      <c r="P421" t="n">
        <v>0</v>
      </c>
      <c r="Q421" t="n">
        <v>0</v>
      </c>
      <c r="R421" t="n">
        <v>0</v>
      </c>
      <c r="S421" t="n">
        <v>0</v>
      </c>
      <c r="T421" t="n">
        <v>0</v>
      </c>
      <c r="U421" s="2" t="inlineStr"/>
    </row>
    <row r="422" ht="15" customHeight="1">
      <c r="A422" t="inlineStr">
        <is>
          <t>A 2325-2023</t>
        </is>
      </c>
      <c r="B422" t="inlineStr">
        <is>
          <t>avverkningsanmälan</t>
        </is>
      </c>
      <c r="C422" t="inlineStr">
        <is>
          <t>Föryngringsavverkning</t>
        </is>
      </c>
      <c r="D422" s="1" t="n">
        <v>44942</v>
      </c>
      <c r="E422" s="1" t="n">
        <v>46220</v>
      </c>
      <c r="F422" t="inlineStr">
        <is>
          <t>SÖDERMANLANDS LÄN</t>
        </is>
      </c>
      <c r="G422" t="inlineStr">
        <is>
          <t>KATRINEHOLM</t>
        </is>
      </c>
      <c r="I422" t="n">
        <v>5.6</v>
      </c>
      <c r="J422" t="n">
        <v>0</v>
      </c>
      <c r="K422" t="n">
        <v>0</v>
      </c>
      <c r="L422" t="n">
        <v>0</v>
      </c>
      <c r="M422" t="n">
        <v>0</v>
      </c>
      <c r="N422" t="n">
        <v>0</v>
      </c>
      <c r="O422" t="n">
        <v>0</v>
      </c>
      <c r="P422" t="n">
        <v>0</v>
      </c>
      <c r="Q422" t="n">
        <v>0</v>
      </c>
      <c r="R422" t="n">
        <v>0</v>
      </c>
      <c r="S422" t="n">
        <v>0</v>
      </c>
      <c r="T422" t="n">
        <v>0</v>
      </c>
      <c r="U422" s="2" t="inlineStr"/>
    </row>
    <row r="423" ht="15" customHeight="1">
      <c r="A423" t="inlineStr">
        <is>
          <t>A 15191-2026</t>
        </is>
      </c>
      <c r="B423" t="inlineStr">
        <is>
          <t>avverkningsanmälan</t>
        </is>
      </c>
      <c r="C423" t="inlineStr">
        <is>
          <t>Föryngringsavverkning</t>
        </is>
      </c>
      <c r="D423" s="1" t="n">
        <v>46105</v>
      </c>
      <c r="E423" s="1" t="n">
        <v>46220</v>
      </c>
      <c r="F423" t="inlineStr">
        <is>
          <t>SÖDERMANLANDS LÄN</t>
        </is>
      </c>
      <c r="G423" t="inlineStr">
        <is>
          <t>KATRINEHOLM</t>
        </is>
      </c>
      <c r="I423" t="n">
        <v>3.6</v>
      </c>
      <c r="J423" t="n">
        <v>0</v>
      </c>
      <c r="K423" t="n">
        <v>0</v>
      </c>
      <c r="L423" t="n">
        <v>0</v>
      </c>
      <c r="M423" t="n">
        <v>0</v>
      </c>
      <c r="N423" t="n">
        <v>0</v>
      </c>
      <c r="O423" t="n">
        <v>0</v>
      </c>
      <c r="P423" t="n">
        <v>0</v>
      </c>
      <c r="Q423" t="n">
        <v>0</v>
      </c>
      <c r="R423" t="n">
        <v>0</v>
      </c>
      <c r="S423" t="n">
        <v>0</v>
      </c>
      <c r="T423" t="n">
        <v>0</v>
      </c>
      <c r="U423" s="2" t="inlineStr"/>
    </row>
    <row r="424" ht="15" customHeight="1">
      <c r="A424" t="inlineStr">
        <is>
          <t>A 55732-2023</t>
        </is>
      </c>
      <c r="B424" t="inlineStr">
        <is>
          <t>avverkningsanmälan</t>
        </is>
      </c>
      <c r="C424" t="inlineStr">
        <is>
          <t>Föryngringsavverkning</t>
        </is>
      </c>
      <c r="D424" s="1" t="n">
        <v>45239</v>
      </c>
      <c r="E424" s="1" t="n">
        <v>46220</v>
      </c>
      <c r="F424" t="inlineStr">
        <is>
          <t>SÖDERMANLANDS LÄN</t>
        </is>
      </c>
      <c r="G424" t="inlineStr">
        <is>
          <t>KATRINEHOLM</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16113-2026</t>
        </is>
      </c>
      <c r="B425" t="inlineStr">
        <is>
          <t>avverkningsanmälan</t>
        </is>
      </c>
      <c r="C425" t="inlineStr">
        <is>
          <t>Föryngringsavverkning</t>
        </is>
      </c>
      <c r="D425" s="1" t="n">
        <v>46108</v>
      </c>
      <c r="E425" s="1" t="n">
        <v>46220</v>
      </c>
      <c r="F425" t="inlineStr">
        <is>
          <t>SÖDERMANLANDS LÄN</t>
        </is>
      </c>
      <c r="G425" t="inlineStr">
        <is>
          <t>KATRINEHOLM</t>
        </is>
      </c>
      <c r="I425" t="n">
        <v>4</v>
      </c>
      <c r="J425" t="n">
        <v>0</v>
      </c>
      <c r="K425" t="n">
        <v>0</v>
      </c>
      <c r="L425" t="n">
        <v>0</v>
      </c>
      <c r="M425" t="n">
        <v>0</v>
      </c>
      <c r="N425" t="n">
        <v>0</v>
      </c>
      <c r="O425" t="n">
        <v>0</v>
      </c>
      <c r="P425" t="n">
        <v>0</v>
      </c>
      <c r="Q425" t="n">
        <v>0</v>
      </c>
      <c r="R425" t="n">
        <v>0</v>
      </c>
      <c r="S425" t="n">
        <v>0</v>
      </c>
      <c r="T425" t="n">
        <v>0</v>
      </c>
      <c r="U425" s="2" t="inlineStr"/>
    </row>
    <row r="426" ht="15" customHeight="1">
      <c r="A426" t="inlineStr">
        <is>
          <t>A 15819-2026</t>
        </is>
      </c>
      <c r="B426" t="inlineStr">
        <is>
          <t>avverkningsanmälan</t>
        </is>
      </c>
      <c r="C426" t="inlineStr">
        <is>
          <t>Föryngringsavverkning</t>
        </is>
      </c>
      <c r="D426" s="1" t="n">
        <v>46107</v>
      </c>
      <c r="E426" s="1" t="n">
        <v>46220</v>
      </c>
      <c r="F426" t="inlineStr">
        <is>
          <t>SÖDERMANLANDS LÄN</t>
        </is>
      </c>
      <c r="G426" t="inlineStr">
        <is>
          <t>KATRINEHOLM</t>
        </is>
      </c>
      <c r="I426" t="n">
        <v>2</v>
      </c>
      <c r="J426" t="n">
        <v>0</v>
      </c>
      <c r="K426" t="n">
        <v>0</v>
      </c>
      <c r="L426" t="n">
        <v>0</v>
      </c>
      <c r="M426" t="n">
        <v>0</v>
      </c>
      <c r="N426" t="n">
        <v>0</v>
      </c>
      <c r="O426" t="n">
        <v>0</v>
      </c>
      <c r="P426" t="n">
        <v>0</v>
      </c>
      <c r="Q426" t="n">
        <v>0</v>
      </c>
      <c r="R426" t="n">
        <v>0</v>
      </c>
      <c r="S426" t="n">
        <v>0</v>
      </c>
      <c r="T426" t="n">
        <v>0</v>
      </c>
      <c r="U426" s="2" t="inlineStr"/>
    </row>
    <row r="427" ht="15" customHeight="1">
      <c r="A427" t="inlineStr">
        <is>
          <t>A 58473-2021</t>
        </is>
      </c>
      <c r="B427" t="inlineStr">
        <is>
          <t>avverkningsanmälan</t>
        </is>
      </c>
      <c r="C427" t="inlineStr">
        <is>
          <t>Föryngringsavverkning</t>
        </is>
      </c>
      <c r="D427" s="1" t="n">
        <v>44488</v>
      </c>
      <c r="E427" s="1" t="n">
        <v>46220</v>
      </c>
      <c r="F427" t="inlineStr">
        <is>
          <t>SÖDERMANLANDS LÄN</t>
        </is>
      </c>
      <c r="G427" t="inlineStr">
        <is>
          <t>KATRINEHOLM</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53860-2021</t>
        </is>
      </c>
      <c r="B428" t="inlineStr">
        <is>
          <t>avverkningsanmälan</t>
        </is>
      </c>
      <c r="C428" t="inlineStr">
        <is>
          <t>Föryngringsavverkning</t>
        </is>
      </c>
      <c r="D428" s="1" t="n">
        <v>44467</v>
      </c>
      <c r="E428" s="1" t="n">
        <v>46220</v>
      </c>
      <c r="F428" t="inlineStr">
        <is>
          <t>SÖDERMANLANDS LÄN</t>
        </is>
      </c>
      <c r="G428" t="inlineStr">
        <is>
          <t>KATRINEHOLM</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16432-2026</t>
        </is>
      </c>
      <c r="B429" t="inlineStr">
        <is>
          <t>avverkningsanmälan</t>
        </is>
      </c>
      <c r="C429" t="inlineStr">
        <is>
          <t>Föryngringsavverkning</t>
        </is>
      </c>
      <c r="D429" s="1" t="n">
        <v>46111</v>
      </c>
      <c r="E429" s="1" t="n">
        <v>46220</v>
      </c>
      <c r="F429" t="inlineStr">
        <is>
          <t>SÖDERMANLANDS LÄN</t>
        </is>
      </c>
      <c r="G429" t="inlineStr">
        <is>
          <t>KATRINEHOLM</t>
        </is>
      </c>
      <c r="I429" t="n">
        <v>2.2</v>
      </c>
      <c r="J429" t="n">
        <v>0</v>
      </c>
      <c r="K429" t="n">
        <v>0</v>
      </c>
      <c r="L429" t="n">
        <v>0</v>
      </c>
      <c r="M429" t="n">
        <v>0</v>
      </c>
      <c r="N429" t="n">
        <v>0</v>
      </c>
      <c r="O429" t="n">
        <v>0</v>
      </c>
      <c r="P429" t="n">
        <v>0</v>
      </c>
      <c r="Q429" t="n">
        <v>0</v>
      </c>
      <c r="R429" t="n">
        <v>0</v>
      </c>
      <c r="S429" t="n">
        <v>0</v>
      </c>
      <c r="T429" t="n">
        <v>0</v>
      </c>
      <c r="U429" s="2" t="inlineStr"/>
    </row>
    <row r="430" ht="15" customHeight="1">
      <c r="A430" t="inlineStr">
        <is>
          <t>A 4662-2023</t>
        </is>
      </c>
      <c r="B430" t="inlineStr">
        <is>
          <t>avverkningsanmälan</t>
        </is>
      </c>
      <c r="C430" t="inlineStr">
        <is>
          <t>Föryngringsavverkning</t>
        </is>
      </c>
      <c r="D430" s="1" t="n">
        <v>44957</v>
      </c>
      <c r="E430" s="1" t="n">
        <v>46220</v>
      </c>
      <c r="F430" t="inlineStr">
        <is>
          <t>SÖDERMANLANDS LÄN</t>
        </is>
      </c>
      <c r="G430" t="inlineStr">
        <is>
          <t>KATRINEHOLM</t>
        </is>
      </c>
      <c r="H430" t="inlineStr">
        <is>
          <t>Holmen skog AB</t>
        </is>
      </c>
      <c r="I430" t="n">
        <v>0.4</v>
      </c>
      <c r="J430" t="n">
        <v>0</v>
      </c>
      <c r="K430" t="n">
        <v>0</v>
      </c>
      <c r="L430" t="n">
        <v>0</v>
      </c>
      <c r="M430" t="n">
        <v>0</v>
      </c>
      <c r="N430" t="n">
        <v>0</v>
      </c>
      <c r="O430" t="n">
        <v>0</v>
      </c>
      <c r="P430" t="n">
        <v>0</v>
      </c>
      <c r="Q430" t="n">
        <v>0</v>
      </c>
      <c r="R430" t="n">
        <v>0</v>
      </c>
      <c r="S430" t="n">
        <v>0</v>
      </c>
      <c r="T430" t="n">
        <v>0</v>
      </c>
      <c r="U430" s="2" t="inlineStr"/>
    </row>
    <row r="431" ht="15" customHeight="1">
      <c r="A431" t="inlineStr">
        <is>
          <t>A 22304-2024</t>
        </is>
      </c>
      <c r="B431" t="inlineStr">
        <is>
          <t>avverkningsanmälan</t>
        </is>
      </c>
      <c r="C431" t="inlineStr">
        <is>
          <t>Föryngringsavverkning</t>
        </is>
      </c>
      <c r="D431" s="1" t="n">
        <v>45446</v>
      </c>
      <c r="E431" s="1" t="n">
        <v>46220</v>
      </c>
      <c r="F431" t="inlineStr">
        <is>
          <t>SÖDERMANLANDS LÄN</t>
        </is>
      </c>
      <c r="G431" t="inlineStr">
        <is>
          <t>KATRINEHOLM</t>
        </is>
      </c>
      <c r="H431" t="inlineStr">
        <is>
          <t>Kommuner</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13171-2024</t>
        </is>
      </c>
      <c r="B432" t="inlineStr">
        <is>
          <t>avverkningsanmälan</t>
        </is>
      </c>
      <c r="C432" t="inlineStr">
        <is>
          <t>Föryngringsavverkning</t>
        </is>
      </c>
      <c r="D432" s="1" t="n">
        <v>45386</v>
      </c>
      <c r="E432" s="1" t="n">
        <v>46220</v>
      </c>
      <c r="F432" t="inlineStr">
        <is>
          <t>SÖDERMANLANDS LÄN</t>
        </is>
      </c>
      <c r="G432" t="inlineStr">
        <is>
          <t>KATRINEHOLM</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33752-2023</t>
        </is>
      </c>
      <c r="B433" t="inlineStr">
        <is>
          <t>avverkningsanmälan</t>
        </is>
      </c>
      <c r="C433" t="inlineStr">
        <is>
          <t>Föryngringsavverkning</t>
        </is>
      </c>
      <c r="D433" s="1" t="n">
        <v>45120</v>
      </c>
      <c r="E433" s="1" t="n">
        <v>46220</v>
      </c>
      <c r="F433" t="inlineStr">
        <is>
          <t>SÖDERMANLANDS LÄN</t>
        </is>
      </c>
      <c r="G433" t="inlineStr">
        <is>
          <t>KATRINEHOLM</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28652-2024</t>
        </is>
      </c>
      <c r="B434" t="inlineStr">
        <is>
          <t>avverkningsanmälan</t>
        </is>
      </c>
      <c r="C434" t="inlineStr">
        <is>
          <t>Föryngringsavverkning</t>
        </is>
      </c>
      <c r="D434" s="1" t="n">
        <v>45478</v>
      </c>
      <c r="E434" s="1" t="n">
        <v>46220</v>
      </c>
      <c r="F434" t="inlineStr">
        <is>
          <t>SÖDERMANLANDS LÄN</t>
        </is>
      </c>
      <c r="G434" t="inlineStr">
        <is>
          <t>KATRINEHOLM</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9936-2023</t>
        </is>
      </c>
      <c r="B435" t="inlineStr">
        <is>
          <t>avverkningsanmälan</t>
        </is>
      </c>
      <c r="C435" t="inlineStr">
        <is>
          <t>Föryngringsavverkning</t>
        </is>
      </c>
      <c r="D435" s="1" t="n">
        <v>44985</v>
      </c>
      <c r="E435" s="1" t="n">
        <v>46220</v>
      </c>
      <c r="F435" t="inlineStr">
        <is>
          <t>SÖDERMANLANDS LÄN</t>
        </is>
      </c>
      <c r="G435" t="inlineStr">
        <is>
          <t>KATRINEHOLM</t>
        </is>
      </c>
      <c r="I435" t="n">
        <v>0.4</v>
      </c>
      <c r="J435" t="n">
        <v>0</v>
      </c>
      <c r="K435" t="n">
        <v>0</v>
      </c>
      <c r="L435" t="n">
        <v>0</v>
      </c>
      <c r="M435" t="n">
        <v>0</v>
      </c>
      <c r="N435" t="n">
        <v>0</v>
      </c>
      <c r="O435" t="n">
        <v>0</v>
      </c>
      <c r="P435" t="n">
        <v>0</v>
      </c>
      <c r="Q435" t="n">
        <v>0</v>
      </c>
      <c r="R435" t="n">
        <v>0</v>
      </c>
      <c r="S435" t="n">
        <v>0</v>
      </c>
      <c r="T435" t="n">
        <v>0</v>
      </c>
      <c r="U435" s="2" t="inlineStr"/>
    </row>
    <row r="436" ht="15" customHeight="1">
      <c r="A436" t="inlineStr">
        <is>
          <t>A 9192-2023</t>
        </is>
      </c>
      <c r="B436" t="inlineStr">
        <is>
          <t>avverkningsanmälan</t>
        </is>
      </c>
      <c r="C436" t="inlineStr">
        <is>
          <t>Föryngringsavverkning</t>
        </is>
      </c>
      <c r="D436" s="1" t="n">
        <v>44980</v>
      </c>
      <c r="E436" s="1" t="n">
        <v>46220</v>
      </c>
      <c r="F436" t="inlineStr">
        <is>
          <t>SÖDERMANLANDS LÄN</t>
        </is>
      </c>
      <c r="G436" t="inlineStr">
        <is>
          <t>KATRINEHOLM</t>
        </is>
      </c>
      <c r="H436" t="inlineStr">
        <is>
          <t>Övriga Aktiebolag</t>
        </is>
      </c>
      <c r="I436" t="n">
        <v>1.6</v>
      </c>
      <c r="J436" t="n">
        <v>0</v>
      </c>
      <c r="K436" t="n">
        <v>0</v>
      </c>
      <c r="L436" t="n">
        <v>0</v>
      </c>
      <c r="M436" t="n">
        <v>0</v>
      </c>
      <c r="N436" t="n">
        <v>0</v>
      </c>
      <c r="O436" t="n">
        <v>0</v>
      </c>
      <c r="P436" t="n">
        <v>0</v>
      </c>
      <c r="Q436" t="n">
        <v>0</v>
      </c>
      <c r="R436" t="n">
        <v>0</v>
      </c>
      <c r="S436" t="n">
        <v>0</v>
      </c>
      <c r="T436" t="n">
        <v>0</v>
      </c>
      <c r="U436" s="2" t="inlineStr"/>
    </row>
    <row r="437" ht="15" customHeight="1">
      <c r="A437" t="inlineStr">
        <is>
          <t>A 72984-2021</t>
        </is>
      </c>
      <c r="B437" t="inlineStr">
        <is>
          <t>avverkningsanmälan</t>
        </is>
      </c>
      <c r="C437" t="inlineStr">
        <is>
          <t>Föryngringsavverkning</t>
        </is>
      </c>
      <c r="D437" s="1" t="n">
        <v>44549</v>
      </c>
      <c r="E437" s="1" t="n">
        <v>46220</v>
      </c>
      <c r="F437" t="inlineStr">
        <is>
          <t>SÖDERMANLANDS LÄN</t>
        </is>
      </c>
      <c r="G437" t="inlineStr">
        <is>
          <t>KATRINEHOLM</t>
        </is>
      </c>
      <c r="I437" t="n">
        <v>4.9</v>
      </c>
      <c r="J437" t="n">
        <v>0</v>
      </c>
      <c r="K437" t="n">
        <v>0</v>
      </c>
      <c r="L437" t="n">
        <v>0</v>
      </c>
      <c r="M437" t="n">
        <v>0</v>
      </c>
      <c r="N437" t="n">
        <v>0</v>
      </c>
      <c r="O437" t="n">
        <v>0</v>
      </c>
      <c r="P437" t="n">
        <v>0</v>
      </c>
      <c r="Q437" t="n">
        <v>0</v>
      </c>
      <c r="R437" t="n">
        <v>0</v>
      </c>
      <c r="S437" t="n">
        <v>0</v>
      </c>
      <c r="T437" t="n">
        <v>0</v>
      </c>
      <c r="U437" s="2" t="inlineStr"/>
    </row>
    <row r="438" ht="15" customHeight="1">
      <c r="A438" t="inlineStr">
        <is>
          <t>A 33712-2022</t>
        </is>
      </c>
      <c r="B438" t="inlineStr">
        <is>
          <t>avverkningsanmälan</t>
        </is>
      </c>
      <c r="C438" t="inlineStr">
        <is>
          <t>Föryngringsavverkning</t>
        </is>
      </c>
      <c r="D438" s="1" t="n">
        <v>44789</v>
      </c>
      <c r="E438" s="1" t="n">
        <v>46220</v>
      </c>
      <c r="F438" t="inlineStr">
        <is>
          <t>SÖDERMANLANDS LÄN</t>
        </is>
      </c>
      <c r="G438" t="inlineStr">
        <is>
          <t>KATRINEHOLM</t>
        </is>
      </c>
      <c r="I438" t="n">
        <v>4.3</v>
      </c>
      <c r="J438" t="n">
        <v>0</v>
      </c>
      <c r="K438" t="n">
        <v>0</v>
      </c>
      <c r="L438" t="n">
        <v>0</v>
      </c>
      <c r="M438" t="n">
        <v>0</v>
      </c>
      <c r="N438" t="n">
        <v>0</v>
      </c>
      <c r="O438" t="n">
        <v>0</v>
      </c>
      <c r="P438" t="n">
        <v>0</v>
      </c>
      <c r="Q438" t="n">
        <v>0</v>
      </c>
      <c r="R438" t="n">
        <v>0</v>
      </c>
      <c r="S438" t="n">
        <v>0</v>
      </c>
      <c r="T438" t="n">
        <v>0</v>
      </c>
      <c r="U438" s="2" t="inlineStr"/>
    </row>
    <row r="439" ht="15" customHeight="1">
      <c r="A439" t="inlineStr">
        <is>
          <t>A 33717-2022</t>
        </is>
      </c>
      <c r="B439" t="inlineStr">
        <is>
          <t>avverkningsanmälan</t>
        </is>
      </c>
      <c r="C439" t="inlineStr">
        <is>
          <t>Föryngringsavverkning</t>
        </is>
      </c>
      <c r="D439" s="1" t="n">
        <v>44789</v>
      </c>
      <c r="E439" s="1" t="n">
        <v>46220</v>
      </c>
      <c r="F439" t="inlineStr">
        <is>
          <t>SÖDERMANLANDS LÄN</t>
        </is>
      </c>
      <c r="G439" t="inlineStr">
        <is>
          <t>KATRINEHOLM</t>
        </is>
      </c>
      <c r="I439" t="n">
        <v>4.4</v>
      </c>
      <c r="J439" t="n">
        <v>0</v>
      </c>
      <c r="K439" t="n">
        <v>0</v>
      </c>
      <c r="L439" t="n">
        <v>0</v>
      </c>
      <c r="M439" t="n">
        <v>0</v>
      </c>
      <c r="N439" t="n">
        <v>0</v>
      </c>
      <c r="O439" t="n">
        <v>0</v>
      </c>
      <c r="P439" t="n">
        <v>0</v>
      </c>
      <c r="Q439" t="n">
        <v>0</v>
      </c>
      <c r="R439" t="n">
        <v>0</v>
      </c>
      <c r="S439" t="n">
        <v>0</v>
      </c>
      <c r="T439" t="n">
        <v>0</v>
      </c>
      <c r="U439" s="2" t="inlineStr"/>
    </row>
    <row r="440" ht="15" customHeight="1">
      <c r="A440" t="inlineStr">
        <is>
          <t>A 18383-2026</t>
        </is>
      </c>
      <c r="B440" t="inlineStr">
        <is>
          <t>avverkningsanmälan</t>
        </is>
      </c>
      <c r="C440" t="inlineStr">
        <is>
          <t>Föryngringsavverkning</t>
        </is>
      </c>
      <c r="D440" s="1" t="n">
        <v>46126</v>
      </c>
      <c r="E440" s="1" t="n">
        <v>46220</v>
      </c>
      <c r="F440" t="inlineStr">
        <is>
          <t>SÖDERMANLANDS LÄN</t>
        </is>
      </c>
      <c r="G440" t="inlineStr">
        <is>
          <t>KATRINEHOLM</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18306-2026</t>
        </is>
      </c>
      <c r="B441" t="inlineStr">
        <is>
          <t>avverkningsanmälan</t>
        </is>
      </c>
      <c r="C441" t="inlineStr">
        <is>
          <t>Föryngringsavverkning</t>
        </is>
      </c>
      <c r="D441" s="1" t="n">
        <v>46126</v>
      </c>
      <c r="E441" s="1" t="n">
        <v>46220</v>
      </c>
      <c r="F441" t="inlineStr">
        <is>
          <t>SÖDERMANLANDS LÄN</t>
        </is>
      </c>
      <c r="G441" t="inlineStr">
        <is>
          <t>KATRINEHOLM</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51260-2021</t>
        </is>
      </c>
      <c r="B442" t="inlineStr">
        <is>
          <t>avverkningsanmälan</t>
        </is>
      </c>
      <c r="C442" t="inlineStr">
        <is>
          <t>Föryngringsavverkning</t>
        </is>
      </c>
      <c r="D442" s="1" t="n">
        <v>44461</v>
      </c>
      <c r="E442" s="1" t="n">
        <v>46220</v>
      </c>
      <c r="F442" t="inlineStr">
        <is>
          <t>SÖDERMANLANDS LÄN</t>
        </is>
      </c>
      <c r="G442" t="inlineStr">
        <is>
          <t>KATRINEHOLM</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18300-2026</t>
        </is>
      </c>
      <c r="B443" t="inlineStr">
        <is>
          <t>avverkningsanmälan</t>
        </is>
      </c>
      <c r="C443" t="inlineStr">
        <is>
          <t>Föryngringsavverkning</t>
        </is>
      </c>
      <c r="D443" s="1" t="n">
        <v>46126</v>
      </c>
      <c r="E443" s="1" t="n">
        <v>46220</v>
      </c>
      <c r="F443" t="inlineStr">
        <is>
          <t>SÖDERMANLANDS LÄN</t>
        </is>
      </c>
      <c r="G443" t="inlineStr">
        <is>
          <t>KATRINEHOLM</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18301-2026</t>
        </is>
      </c>
      <c r="B444" t="inlineStr">
        <is>
          <t>avverkningsanmälan</t>
        </is>
      </c>
      <c r="C444" t="inlineStr">
        <is>
          <t>Föryngringsavverkning</t>
        </is>
      </c>
      <c r="D444" s="1" t="n">
        <v>46126</v>
      </c>
      <c r="E444" s="1" t="n">
        <v>46220</v>
      </c>
      <c r="F444" t="inlineStr">
        <is>
          <t>SÖDERMANLANDS LÄN</t>
        </is>
      </c>
      <c r="G444" t="inlineStr">
        <is>
          <t>KATRINEHOLM</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38879-2024</t>
        </is>
      </c>
      <c r="B445" t="inlineStr">
        <is>
          <t>avverkningsanmälan</t>
        </is>
      </c>
      <c r="C445" t="inlineStr">
        <is>
          <t>Föryngringsavverkning</t>
        </is>
      </c>
      <c r="D445" s="1" t="n">
        <v>45547</v>
      </c>
      <c r="E445" s="1" t="n">
        <v>46220</v>
      </c>
      <c r="F445" t="inlineStr">
        <is>
          <t>SÖDERMANLANDS LÄN</t>
        </is>
      </c>
      <c r="G445" t="inlineStr">
        <is>
          <t>KATRINEHOLM</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42945-2023</t>
        </is>
      </c>
      <c r="B446" t="inlineStr">
        <is>
          <t>avverkningsanmälan</t>
        </is>
      </c>
      <c r="C446" t="inlineStr">
        <is>
          <t>Föryngringsavverkning</t>
        </is>
      </c>
      <c r="D446" s="1" t="n">
        <v>45182</v>
      </c>
      <c r="E446" s="1" t="n">
        <v>46220</v>
      </c>
      <c r="F446" t="inlineStr">
        <is>
          <t>SÖDERMANLANDS LÄN</t>
        </is>
      </c>
      <c r="G446" t="inlineStr">
        <is>
          <t>KATRINEHOLM</t>
        </is>
      </c>
      <c r="H446" t="inlineStr">
        <is>
          <t>Övriga Aktiebolag</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42962-2023</t>
        </is>
      </c>
      <c r="B447" t="inlineStr">
        <is>
          <t>avverkningsanmälan</t>
        </is>
      </c>
      <c r="C447" t="inlineStr">
        <is>
          <t>Föryngringsavverkning</t>
        </is>
      </c>
      <c r="D447" s="1" t="n">
        <v>45182</v>
      </c>
      <c r="E447" s="1" t="n">
        <v>46220</v>
      </c>
      <c r="F447" t="inlineStr">
        <is>
          <t>SÖDERMANLANDS LÄN</t>
        </is>
      </c>
      <c r="G447" t="inlineStr">
        <is>
          <t>KATRINEHOLM</t>
        </is>
      </c>
      <c r="H447" t="inlineStr">
        <is>
          <t>Övriga Aktiebolag</t>
        </is>
      </c>
      <c r="I447" t="n">
        <v>10.6</v>
      </c>
      <c r="J447" t="n">
        <v>0</v>
      </c>
      <c r="K447" t="n">
        <v>0</v>
      </c>
      <c r="L447" t="n">
        <v>0</v>
      </c>
      <c r="M447" t="n">
        <v>0</v>
      </c>
      <c r="N447" t="n">
        <v>0</v>
      </c>
      <c r="O447" t="n">
        <v>0</v>
      </c>
      <c r="P447" t="n">
        <v>0</v>
      </c>
      <c r="Q447" t="n">
        <v>0</v>
      </c>
      <c r="R447" t="n">
        <v>0</v>
      </c>
      <c r="S447" t="n">
        <v>0</v>
      </c>
      <c r="T447" t="n">
        <v>0</v>
      </c>
      <c r="U447" s="2" t="inlineStr"/>
    </row>
    <row r="448" ht="15" customHeight="1">
      <c r="A448" t="inlineStr">
        <is>
          <t>A 33538-2022</t>
        </is>
      </c>
      <c r="B448" t="inlineStr">
        <is>
          <t>avverkningsanmälan</t>
        </is>
      </c>
      <c r="C448" t="inlineStr">
        <is>
          <t>Föryngringsavverkning</t>
        </is>
      </c>
      <c r="D448" s="1" t="n">
        <v>44789</v>
      </c>
      <c r="E448" s="1" t="n">
        <v>46220</v>
      </c>
      <c r="F448" t="inlineStr">
        <is>
          <t>SÖDERMANLANDS LÄN</t>
        </is>
      </c>
      <c r="G448" t="inlineStr">
        <is>
          <t>KATRINEHOLM</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18302-2026</t>
        </is>
      </c>
      <c r="B449" t="inlineStr">
        <is>
          <t>avverkningsanmälan</t>
        </is>
      </c>
      <c r="C449" t="inlineStr">
        <is>
          <t>Föryngringsavverkning</t>
        </is>
      </c>
      <c r="D449" s="1" t="n">
        <v>46126</v>
      </c>
      <c r="E449" s="1" t="n">
        <v>46220</v>
      </c>
      <c r="F449" t="inlineStr">
        <is>
          <t>SÖDERMANLANDS LÄN</t>
        </is>
      </c>
      <c r="G449" t="inlineStr">
        <is>
          <t>KATRINEHOLM</t>
        </is>
      </c>
      <c r="I449" t="n">
        <v>3.5</v>
      </c>
      <c r="J449" t="n">
        <v>0</v>
      </c>
      <c r="K449" t="n">
        <v>0</v>
      </c>
      <c r="L449" t="n">
        <v>0</v>
      </c>
      <c r="M449" t="n">
        <v>0</v>
      </c>
      <c r="N449" t="n">
        <v>0</v>
      </c>
      <c r="O449" t="n">
        <v>0</v>
      </c>
      <c r="P449" t="n">
        <v>0</v>
      </c>
      <c r="Q449" t="n">
        <v>0</v>
      </c>
      <c r="R449" t="n">
        <v>0</v>
      </c>
      <c r="S449" t="n">
        <v>0</v>
      </c>
      <c r="T449" t="n">
        <v>0</v>
      </c>
      <c r="U449" s="2" t="inlineStr"/>
    </row>
    <row r="450" ht="15" customHeight="1">
      <c r="A450" t="inlineStr">
        <is>
          <t>A 18308-2026</t>
        </is>
      </c>
      <c r="B450" t="inlineStr">
        <is>
          <t>avverkningsanmälan</t>
        </is>
      </c>
      <c r="C450" t="inlineStr">
        <is>
          <t>Föryngringsavverkning</t>
        </is>
      </c>
      <c r="D450" s="1" t="n">
        <v>46126</v>
      </c>
      <c r="E450" s="1" t="n">
        <v>46220</v>
      </c>
      <c r="F450" t="inlineStr">
        <is>
          <t>SÖDERMANLANDS LÄN</t>
        </is>
      </c>
      <c r="G450" t="inlineStr">
        <is>
          <t>KATRINEHOLM</t>
        </is>
      </c>
      <c r="I450" t="n">
        <v>4.2</v>
      </c>
      <c r="J450" t="n">
        <v>0</v>
      </c>
      <c r="K450" t="n">
        <v>0</v>
      </c>
      <c r="L450" t="n">
        <v>0</v>
      </c>
      <c r="M450" t="n">
        <v>0</v>
      </c>
      <c r="N450" t="n">
        <v>0</v>
      </c>
      <c r="O450" t="n">
        <v>0</v>
      </c>
      <c r="P450" t="n">
        <v>0</v>
      </c>
      <c r="Q450" t="n">
        <v>0</v>
      </c>
      <c r="R450" t="n">
        <v>0</v>
      </c>
      <c r="S450" t="n">
        <v>0</v>
      </c>
      <c r="T450" t="n">
        <v>0</v>
      </c>
      <c r="U450" s="2" t="inlineStr"/>
    </row>
    <row r="451" ht="15" customHeight="1">
      <c r="A451" t="inlineStr">
        <is>
          <t>A 18384-2026</t>
        </is>
      </c>
      <c r="B451" t="inlineStr">
        <is>
          <t>avverkningsanmälan</t>
        </is>
      </c>
      <c r="C451" t="inlineStr">
        <is>
          <t>Föryngringsavverkning</t>
        </is>
      </c>
      <c r="D451" s="1" t="n">
        <v>46126</v>
      </c>
      <c r="E451" s="1" t="n">
        <v>46220</v>
      </c>
      <c r="F451" t="inlineStr">
        <is>
          <t>SÖDERMANLANDS LÄN</t>
        </is>
      </c>
      <c r="G451" t="inlineStr">
        <is>
          <t>KATRINEHOLM</t>
        </is>
      </c>
      <c r="I451" t="n">
        <v>2.1</v>
      </c>
      <c r="J451" t="n">
        <v>0</v>
      </c>
      <c r="K451" t="n">
        <v>0</v>
      </c>
      <c r="L451" t="n">
        <v>0</v>
      </c>
      <c r="M451" t="n">
        <v>0</v>
      </c>
      <c r="N451" t="n">
        <v>0</v>
      </c>
      <c r="O451" t="n">
        <v>0</v>
      </c>
      <c r="P451" t="n">
        <v>0</v>
      </c>
      <c r="Q451" t="n">
        <v>0</v>
      </c>
      <c r="R451" t="n">
        <v>0</v>
      </c>
      <c r="S451" t="n">
        <v>0</v>
      </c>
      <c r="T451" t="n">
        <v>0</v>
      </c>
      <c r="U451" s="2" t="inlineStr"/>
    </row>
    <row r="452" ht="15" customHeight="1">
      <c r="A452" t="inlineStr">
        <is>
          <t>A 16605-2025</t>
        </is>
      </c>
      <c r="B452" t="inlineStr">
        <is>
          <t>avverkningsanmälan</t>
        </is>
      </c>
      <c r="C452" t="inlineStr">
        <is>
          <t>Föryngringsavverkning</t>
        </is>
      </c>
      <c r="D452" s="1" t="n">
        <v>45753</v>
      </c>
      <c r="E452" s="1" t="n">
        <v>46220</v>
      </c>
      <c r="F452" t="inlineStr">
        <is>
          <t>SÖDERMANLANDS LÄN</t>
        </is>
      </c>
      <c r="G452" t="inlineStr">
        <is>
          <t>KATRINEHOLM</t>
        </is>
      </c>
      <c r="I452" t="n">
        <v>5.2</v>
      </c>
      <c r="J452" t="n">
        <v>0</v>
      </c>
      <c r="K452" t="n">
        <v>0</v>
      </c>
      <c r="L452" t="n">
        <v>0</v>
      </c>
      <c r="M452" t="n">
        <v>0</v>
      </c>
      <c r="N452" t="n">
        <v>0</v>
      </c>
      <c r="O452" t="n">
        <v>0</v>
      </c>
      <c r="P452" t="n">
        <v>0</v>
      </c>
      <c r="Q452" t="n">
        <v>0</v>
      </c>
      <c r="R452" t="n">
        <v>0</v>
      </c>
      <c r="S452" t="n">
        <v>0</v>
      </c>
      <c r="T452" t="n">
        <v>0</v>
      </c>
      <c r="U452" s="2" t="inlineStr"/>
    </row>
    <row r="453" ht="15" customHeight="1">
      <c r="A453" t="inlineStr">
        <is>
          <t>A 73409-2021</t>
        </is>
      </c>
      <c r="B453" t="inlineStr">
        <is>
          <t>avverkningsanmälan</t>
        </is>
      </c>
      <c r="C453" t="inlineStr">
        <is>
          <t>Föryngringsavverkning</t>
        </is>
      </c>
      <c r="D453" s="1" t="n">
        <v>44551</v>
      </c>
      <c r="E453" s="1" t="n">
        <v>46220</v>
      </c>
      <c r="F453" t="inlineStr">
        <is>
          <t>SÖDERMANLANDS LÄN</t>
        </is>
      </c>
      <c r="G453" t="inlineStr">
        <is>
          <t>KATRINEHOLM</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73415-2021</t>
        </is>
      </c>
      <c r="B454" t="inlineStr">
        <is>
          <t>avverkningsanmälan</t>
        </is>
      </c>
      <c r="C454" t="inlineStr">
        <is>
          <t>Föryngringsavverkning</t>
        </is>
      </c>
      <c r="D454" s="1" t="n">
        <v>44551</v>
      </c>
      <c r="E454" s="1" t="n">
        <v>46220</v>
      </c>
      <c r="F454" t="inlineStr">
        <is>
          <t>SÖDERMANLANDS LÄN</t>
        </is>
      </c>
      <c r="G454" t="inlineStr">
        <is>
          <t>KATRINEHOLM</t>
        </is>
      </c>
      <c r="I454" t="n">
        <v>3.2</v>
      </c>
      <c r="J454" t="n">
        <v>0</v>
      </c>
      <c r="K454" t="n">
        <v>0</v>
      </c>
      <c r="L454" t="n">
        <v>0</v>
      </c>
      <c r="M454" t="n">
        <v>0</v>
      </c>
      <c r="N454" t="n">
        <v>0</v>
      </c>
      <c r="O454" t="n">
        <v>0</v>
      </c>
      <c r="P454" t="n">
        <v>0</v>
      </c>
      <c r="Q454" t="n">
        <v>0</v>
      </c>
      <c r="R454" t="n">
        <v>0</v>
      </c>
      <c r="S454" t="n">
        <v>0</v>
      </c>
      <c r="T454" t="n">
        <v>0</v>
      </c>
      <c r="U454" s="2" t="inlineStr"/>
    </row>
    <row r="455" ht="15" customHeight="1">
      <c r="A455" t="inlineStr">
        <is>
          <t>A 18966-2026</t>
        </is>
      </c>
      <c r="B455" t="inlineStr">
        <is>
          <t>avverkningsanmälan</t>
        </is>
      </c>
      <c r="C455" t="inlineStr">
        <is>
          <t>Föryngringsavverkning</t>
        </is>
      </c>
      <c r="D455" s="1" t="n">
        <v>46129</v>
      </c>
      <c r="E455" s="1" t="n">
        <v>46220</v>
      </c>
      <c r="F455" t="inlineStr">
        <is>
          <t>SÖDERMANLANDS LÄN</t>
        </is>
      </c>
      <c r="G455" t="inlineStr">
        <is>
          <t>KATRINEHOLM</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63188-2021</t>
        </is>
      </c>
      <c r="B456" t="inlineStr">
        <is>
          <t>avverkningsanmälan</t>
        </is>
      </c>
      <c r="C456" t="inlineStr">
        <is>
          <t>Föryngringsavverkning</t>
        </is>
      </c>
      <c r="D456" s="1" t="n">
        <v>44507</v>
      </c>
      <c r="E456" s="1" t="n">
        <v>46220</v>
      </c>
      <c r="F456" t="inlineStr">
        <is>
          <t>SÖDERMANLANDS LÄN</t>
        </is>
      </c>
      <c r="G456" t="inlineStr">
        <is>
          <t>KATRINEHOLM</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8457-2023</t>
        </is>
      </c>
      <c r="B457" t="inlineStr">
        <is>
          <t>avverkningsanmälan</t>
        </is>
      </c>
      <c r="C457" t="inlineStr">
        <is>
          <t>Föryngringsavverkning</t>
        </is>
      </c>
      <c r="D457" s="1" t="n">
        <v>44977</v>
      </c>
      <c r="E457" s="1" t="n">
        <v>46220</v>
      </c>
      <c r="F457" t="inlineStr">
        <is>
          <t>SÖDERMANLANDS LÄN</t>
        </is>
      </c>
      <c r="G457" t="inlineStr">
        <is>
          <t>KATRINEHOLM</t>
        </is>
      </c>
      <c r="H457" t="inlineStr">
        <is>
          <t>Allmännings- och besparingsskogar</t>
        </is>
      </c>
      <c r="I457" t="n">
        <v>16.1</v>
      </c>
      <c r="J457" t="n">
        <v>0</v>
      </c>
      <c r="K457" t="n">
        <v>0</v>
      </c>
      <c r="L457" t="n">
        <v>0</v>
      </c>
      <c r="M457" t="n">
        <v>0</v>
      </c>
      <c r="N457" t="n">
        <v>0</v>
      </c>
      <c r="O457" t="n">
        <v>0</v>
      </c>
      <c r="P457" t="n">
        <v>0</v>
      </c>
      <c r="Q457" t="n">
        <v>0</v>
      </c>
      <c r="R457" t="n">
        <v>0</v>
      </c>
      <c r="S457" t="n">
        <v>0</v>
      </c>
      <c r="T457" t="n">
        <v>0</v>
      </c>
      <c r="U457" s="2" t="inlineStr"/>
    </row>
    <row r="458" ht="15" customHeight="1">
      <c r="A458" t="inlineStr">
        <is>
          <t>A 19187-2026</t>
        </is>
      </c>
      <c r="B458" t="inlineStr">
        <is>
          <t>avverkningsanmälan</t>
        </is>
      </c>
      <c r="C458" t="inlineStr">
        <is>
          <t>Föryngringsavverkning</t>
        </is>
      </c>
      <c r="D458" s="1" t="n">
        <v>46132</v>
      </c>
      <c r="E458" s="1" t="n">
        <v>46220</v>
      </c>
      <c r="F458" t="inlineStr">
        <is>
          <t>SÖDERMANLANDS LÄN</t>
        </is>
      </c>
      <c r="G458" t="inlineStr">
        <is>
          <t>KATRINEHOLM</t>
        </is>
      </c>
      <c r="I458" t="n">
        <v>3.7</v>
      </c>
      <c r="J458" t="n">
        <v>0</v>
      </c>
      <c r="K458" t="n">
        <v>0</v>
      </c>
      <c r="L458" t="n">
        <v>0</v>
      </c>
      <c r="M458" t="n">
        <v>0</v>
      </c>
      <c r="N458" t="n">
        <v>0</v>
      </c>
      <c r="O458" t="n">
        <v>0</v>
      </c>
      <c r="P458" t="n">
        <v>0</v>
      </c>
      <c r="Q458" t="n">
        <v>0</v>
      </c>
      <c r="R458" t="n">
        <v>0</v>
      </c>
      <c r="S458" t="n">
        <v>0</v>
      </c>
      <c r="T458" t="n">
        <v>0</v>
      </c>
      <c r="U458" s="2" t="inlineStr"/>
    </row>
    <row r="459" ht="15" customHeight="1">
      <c r="A459" t="inlineStr">
        <is>
          <t>A 19098-2026</t>
        </is>
      </c>
      <c r="B459" t="inlineStr">
        <is>
          <t>avverkningsanmälan</t>
        </is>
      </c>
      <c r="C459" t="inlineStr">
        <is>
          <t>Föryngringsavverkning</t>
        </is>
      </c>
      <c r="D459" s="1" t="n">
        <v>46132</v>
      </c>
      <c r="E459" s="1" t="n">
        <v>46220</v>
      </c>
      <c r="F459" t="inlineStr">
        <is>
          <t>SÖDERMANLANDS LÄN</t>
        </is>
      </c>
      <c r="G459" t="inlineStr">
        <is>
          <t>KATRINEHOLM</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60160-2022</t>
        </is>
      </c>
      <c r="B460" t="inlineStr">
        <is>
          <t>avverkningsanmälan</t>
        </is>
      </c>
      <c r="C460" t="inlineStr">
        <is>
          <t>Föryngringsavverkning</t>
        </is>
      </c>
      <c r="D460" s="1" t="n">
        <v>44909</v>
      </c>
      <c r="E460" s="1" t="n">
        <v>46220</v>
      </c>
      <c r="F460" t="inlineStr">
        <is>
          <t>SÖDERMANLANDS LÄN</t>
        </is>
      </c>
      <c r="G460" t="inlineStr">
        <is>
          <t>KATRINEHOLM</t>
        </is>
      </c>
      <c r="H460" t="inlineStr">
        <is>
          <t>Allmännings- och besparingsskogar</t>
        </is>
      </c>
      <c r="I460" t="n">
        <v>2</v>
      </c>
      <c r="J460" t="n">
        <v>0</v>
      </c>
      <c r="K460" t="n">
        <v>0</v>
      </c>
      <c r="L460" t="n">
        <v>0</v>
      </c>
      <c r="M460" t="n">
        <v>0</v>
      </c>
      <c r="N460" t="n">
        <v>0</v>
      </c>
      <c r="O460" t="n">
        <v>0</v>
      </c>
      <c r="P460" t="n">
        <v>0</v>
      </c>
      <c r="Q460" t="n">
        <v>0</v>
      </c>
      <c r="R460" t="n">
        <v>0</v>
      </c>
      <c r="S460" t="n">
        <v>0</v>
      </c>
      <c r="T460" t="n">
        <v>0</v>
      </c>
      <c r="U460" s="2" t="inlineStr"/>
    </row>
    <row r="461" ht="15" customHeight="1">
      <c r="A461" t="inlineStr">
        <is>
          <t>A 19813-2026</t>
        </is>
      </c>
      <c r="B461" t="inlineStr">
        <is>
          <t>avverkningsanmälan</t>
        </is>
      </c>
      <c r="C461" t="inlineStr">
        <is>
          <t>Föryngringsavverkning</t>
        </is>
      </c>
      <c r="D461" s="1" t="n">
        <v>46135</v>
      </c>
      <c r="E461" s="1" t="n">
        <v>46220</v>
      </c>
      <c r="F461" t="inlineStr">
        <is>
          <t>SÖDERMANLANDS LÄN</t>
        </is>
      </c>
      <c r="G461" t="inlineStr">
        <is>
          <t>KATRINEHOLM</t>
        </is>
      </c>
      <c r="I461" t="n">
        <v>4.7</v>
      </c>
      <c r="J461" t="n">
        <v>0</v>
      </c>
      <c r="K461" t="n">
        <v>0</v>
      </c>
      <c r="L461" t="n">
        <v>0</v>
      </c>
      <c r="M461" t="n">
        <v>0</v>
      </c>
      <c r="N461" t="n">
        <v>0</v>
      </c>
      <c r="O461" t="n">
        <v>0</v>
      </c>
      <c r="P461" t="n">
        <v>0</v>
      </c>
      <c r="Q461" t="n">
        <v>0</v>
      </c>
      <c r="R461" t="n">
        <v>0</v>
      </c>
      <c r="S461" t="n">
        <v>0</v>
      </c>
      <c r="T461" t="n">
        <v>0</v>
      </c>
      <c r="U461" s="2" t="inlineStr"/>
    </row>
    <row r="462" ht="15" customHeight="1">
      <c r="A462" t="inlineStr">
        <is>
          <t>A 48685-2022</t>
        </is>
      </c>
      <c r="B462" t="inlineStr">
        <is>
          <t>avverkningsanmälan</t>
        </is>
      </c>
      <c r="C462" t="inlineStr">
        <is>
          <t>Föryngringsavverkning</t>
        </is>
      </c>
      <c r="D462" s="1" t="n">
        <v>44859</v>
      </c>
      <c r="E462" s="1" t="n">
        <v>46220</v>
      </c>
      <c r="F462" t="inlineStr">
        <is>
          <t>SÖDERMANLANDS LÄN</t>
        </is>
      </c>
      <c r="G462" t="inlineStr">
        <is>
          <t>KATRINEHOLM</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30350-2025</t>
        </is>
      </c>
      <c r="B463" t="inlineStr">
        <is>
          <t>avverkningsanmälan</t>
        </is>
      </c>
      <c r="C463" t="inlineStr">
        <is>
          <t>Föryngringsavverkning</t>
        </is>
      </c>
      <c r="D463" s="1" t="n">
        <v>45827</v>
      </c>
      <c r="E463" s="1" t="n">
        <v>46220</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42519-2024</t>
        </is>
      </c>
      <c r="B464" t="inlineStr">
        <is>
          <t>avverkningsanmälan</t>
        </is>
      </c>
      <c r="C464" t="inlineStr">
        <is>
          <t>Föryngringsavverkning</t>
        </is>
      </c>
      <c r="D464" s="1" t="n">
        <v>45565</v>
      </c>
      <c r="E464" s="1" t="n">
        <v>46220</v>
      </c>
      <c r="F464" t="inlineStr">
        <is>
          <t>SÖDERMANLANDS LÄN</t>
        </is>
      </c>
      <c r="G464" t="inlineStr">
        <is>
          <t>KATRINEHOLM</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43499-2021</t>
        </is>
      </c>
      <c r="B465" t="inlineStr">
        <is>
          <t>avverkningsanmälan</t>
        </is>
      </c>
      <c r="C465" t="inlineStr">
        <is>
          <t>Föryngringsavverkning</t>
        </is>
      </c>
      <c r="D465" s="1" t="n">
        <v>44433</v>
      </c>
      <c r="E465" s="1" t="n">
        <v>46220</v>
      </c>
      <c r="F465" t="inlineStr">
        <is>
          <t>SÖDERMANLANDS LÄN</t>
        </is>
      </c>
      <c r="G465" t="inlineStr">
        <is>
          <t>KATRINEHOLM</t>
        </is>
      </c>
      <c r="H465" t="inlineStr">
        <is>
          <t>Övriga Aktiebolag</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32169-2022</t>
        </is>
      </c>
      <c r="B466" t="inlineStr">
        <is>
          <t>avverkningsanmälan</t>
        </is>
      </c>
      <c r="C466" t="inlineStr">
        <is>
          <t>Avverkning för annat ändamål</t>
        </is>
      </c>
      <c r="D466" s="1" t="n">
        <v>44781</v>
      </c>
      <c r="E466" s="1" t="n">
        <v>46220</v>
      </c>
      <c r="F466" t="inlineStr">
        <is>
          <t>SÖDERMANLANDS LÄN</t>
        </is>
      </c>
      <c r="G466" t="inlineStr">
        <is>
          <t>KATRINEHOLM</t>
        </is>
      </c>
      <c r="H466" t="inlineStr">
        <is>
          <t>Kommuner</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55122-2022</t>
        </is>
      </c>
      <c r="B467" t="inlineStr">
        <is>
          <t>avverkningsanmälan</t>
        </is>
      </c>
      <c r="C467" t="inlineStr">
        <is>
          <t>Föryngringsavverkning</t>
        </is>
      </c>
      <c r="D467" s="1" t="n">
        <v>44886</v>
      </c>
      <c r="E467" s="1" t="n">
        <v>46220</v>
      </c>
      <c r="F467" t="inlineStr">
        <is>
          <t>SÖDERMANLANDS LÄN</t>
        </is>
      </c>
      <c r="G467" t="inlineStr">
        <is>
          <t>KATRINEHOLM</t>
        </is>
      </c>
      <c r="I467" t="n">
        <v>6.5</v>
      </c>
      <c r="J467" t="n">
        <v>0</v>
      </c>
      <c r="K467" t="n">
        <v>0</v>
      </c>
      <c r="L467" t="n">
        <v>0</v>
      </c>
      <c r="M467" t="n">
        <v>0</v>
      </c>
      <c r="N467" t="n">
        <v>0</v>
      </c>
      <c r="O467" t="n">
        <v>0</v>
      </c>
      <c r="P467" t="n">
        <v>0</v>
      </c>
      <c r="Q467" t="n">
        <v>0</v>
      </c>
      <c r="R467" t="n">
        <v>0</v>
      </c>
      <c r="S467" t="n">
        <v>0</v>
      </c>
      <c r="T467" t="n">
        <v>0</v>
      </c>
      <c r="U467" s="2" t="inlineStr"/>
    </row>
    <row r="468" ht="15" customHeight="1">
      <c r="A468" t="inlineStr">
        <is>
          <t>A 20202-2026</t>
        </is>
      </c>
      <c r="B468" t="inlineStr">
        <is>
          <t>avverkningsanmälan</t>
        </is>
      </c>
      <c r="C468" t="inlineStr">
        <is>
          <t>Föryngringsavverkning</t>
        </is>
      </c>
      <c r="D468" s="1" t="n">
        <v>46136</v>
      </c>
      <c r="E468" s="1" t="n">
        <v>46220</v>
      </c>
      <c r="F468" t="inlineStr">
        <is>
          <t>SÖDERMANLANDS LÄN</t>
        </is>
      </c>
      <c r="G468" t="inlineStr">
        <is>
          <t>KATRINEHOLM</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43964-2022</t>
        </is>
      </c>
      <c r="B469" t="inlineStr">
        <is>
          <t>avverkningsanmälan</t>
        </is>
      </c>
      <c r="C469" t="inlineStr">
        <is>
          <t>Föryngringsavverkning</t>
        </is>
      </c>
      <c r="D469" s="1" t="n">
        <v>44837</v>
      </c>
      <c r="E469" s="1" t="n">
        <v>46220</v>
      </c>
      <c r="F469" t="inlineStr">
        <is>
          <t>SÖDERMANLANDS LÄN</t>
        </is>
      </c>
      <c r="G469" t="inlineStr">
        <is>
          <t>KATRINEHOLM</t>
        </is>
      </c>
      <c r="I469" t="n">
        <v>3.6</v>
      </c>
      <c r="J469" t="n">
        <v>0</v>
      </c>
      <c r="K469" t="n">
        <v>0</v>
      </c>
      <c r="L469" t="n">
        <v>0</v>
      </c>
      <c r="M469" t="n">
        <v>0</v>
      </c>
      <c r="N469" t="n">
        <v>0</v>
      </c>
      <c r="O469" t="n">
        <v>0</v>
      </c>
      <c r="P469" t="n">
        <v>0</v>
      </c>
      <c r="Q469" t="n">
        <v>0</v>
      </c>
      <c r="R469" t="n">
        <v>0</v>
      </c>
      <c r="S469" t="n">
        <v>0</v>
      </c>
      <c r="T469" t="n">
        <v>0</v>
      </c>
      <c r="U469" s="2" t="inlineStr"/>
    </row>
    <row r="470" ht="15" customHeight="1">
      <c r="A470" t="inlineStr">
        <is>
          <t>A 46075-2023</t>
        </is>
      </c>
      <c r="B470" t="inlineStr">
        <is>
          <t>avverkningsanmälan</t>
        </is>
      </c>
      <c r="C470" t="inlineStr">
        <is>
          <t>Föryngringsavverkning</t>
        </is>
      </c>
      <c r="D470" s="1" t="n">
        <v>45196</v>
      </c>
      <c r="E470" s="1" t="n">
        <v>46220</v>
      </c>
      <c r="F470" t="inlineStr">
        <is>
          <t>SÖDERMANLANDS LÄN</t>
        </is>
      </c>
      <c r="G470" t="inlineStr">
        <is>
          <t>KATRINEHOLM</t>
        </is>
      </c>
      <c r="H470" t="inlineStr">
        <is>
          <t>Övriga Aktiebolag</t>
        </is>
      </c>
      <c r="I470" t="n">
        <v>9.5</v>
      </c>
      <c r="J470" t="n">
        <v>0</v>
      </c>
      <c r="K470" t="n">
        <v>0</v>
      </c>
      <c r="L470" t="n">
        <v>0</v>
      </c>
      <c r="M470" t="n">
        <v>0</v>
      </c>
      <c r="N470" t="n">
        <v>0</v>
      </c>
      <c r="O470" t="n">
        <v>0</v>
      </c>
      <c r="P470" t="n">
        <v>0</v>
      </c>
      <c r="Q470" t="n">
        <v>0</v>
      </c>
      <c r="R470" t="n">
        <v>0</v>
      </c>
      <c r="S470" t="n">
        <v>0</v>
      </c>
      <c r="T470" t="n">
        <v>0</v>
      </c>
      <c r="U470" s="2" t="inlineStr"/>
    </row>
    <row r="471" ht="15" customHeight="1">
      <c r="A471" t="inlineStr">
        <is>
          <t>A 9992-2022</t>
        </is>
      </c>
      <c r="B471" t="inlineStr">
        <is>
          <t>avverkningsanmälan</t>
        </is>
      </c>
      <c r="C471" t="inlineStr">
        <is>
          <t>Föryngringsavverkning</t>
        </is>
      </c>
      <c r="D471" s="1" t="n">
        <v>44621</v>
      </c>
      <c r="E471" s="1" t="n">
        <v>46220</v>
      </c>
      <c r="F471" t="inlineStr">
        <is>
          <t>SÖDERMANLANDS LÄN</t>
        </is>
      </c>
      <c r="G471" t="inlineStr">
        <is>
          <t>KATRINEHOLM</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44659-2023</t>
        </is>
      </c>
      <c r="B472" t="inlineStr">
        <is>
          <t>avverkningsanmälan</t>
        </is>
      </c>
      <c r="C472" t="inlineStr">
        <is>
          <t>Föryngringsavverkning</t>
        </is>
      </c>
      <c r="D472" s="1" t="n">
        <v>45189</v>
      </c>
      <c r="E472" s="1" t="n">
        <v>46220</v>
      </c>
      <c r="F472" t="inlineStr">
        <is>
          <t>SÖDERMANLANDS LÄN</t>
        </is>
      </c>
      <c r="G472" t="inlineStr">
        <is>
          <t>KATRINEHOLM</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48682-2022</t>
        </is>
      </c>
      <c r="B473" t="inlineStr">
        <is>
          <t>avverkningsanmälan</t>
        </is>
      </c>
      <c r="C473" t="inlineStr">
        <is>
          <t>Föryngringsavverkning</t>
        </is>
      </c>
      <c r="D473" s="1" t="n">
        <v>44859</v>
      </c>
      <c r="E473" s="1" t="n">
        <v>46220</v>
      </c>
      <c r="F473" t="inlineStr">
        <is>
          <t>SÖDERMANLANDS LÄN</t>
        </is>
      </c>
      <c r="G473" t="inlineStr">
        <is>
          <t>KATRINEHOLM</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54395-2025</t>
        </is>
      </c>
      <c r="B474" t="inlineStr">
        <is>
          <t>avverkningsanmälan</t>
        </is>
      </c>
      <c r="C474" t="inlineStr">
        <is>
          <t>Föryngringsavverkning</t>
        </is>
      </c>
      <c r="D474" s="1" t="n">
        <v>45964</v>
      </c>
      <c r="E474" s="1" t="n">
        <v>46220</v>
      </c>
      <c r="F474" t="inlineStr">
        <is>
          <t>SÖDERMANLANDS LÄN</t>
        </is>
      </c>
      <c r="G474" t="inlineStr">
        <is>
          <t>KATRINEHOLM</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55829-2025</t>
        </is>
      </c>
      <c r="B475" t="inlineStr">
        <is>
          <t>avverkningsanmälan</t>
        </is>
      </c>
      <c r="C475" t="inlineStr">
        <is>
          <t>Föryngringsavverkning</t>
        </is>
      </c>
      <c r="D475" s="1" t="n">
        <v>45972</v>
      </c>
      <c r="E475" s="1" t="n">
        <v>46220</v>
      </c>
      <c r="F475" t="inlineStr">
        <is>
          <t>SÖDERMANLANDS LÄN</t>
        </is>
      </c>
      <c r="G475" t="inlineStr">
        <is>
          <t>KATRINEHOLM</t>
        </is>
      </c>
      <c r="I475" t="n">
        <v>3.2</v>
      </c>
      <c r="J475" t="n">
        <v>0</v>
      </c>
      <c r="K475" t="n">
        <v>0</v>
      </c>
      <c r="L475" t="n">
        <v>0</v>
      </c>
      <c r="M475" t="n">
        <v>0</v>
      </c>
      <c r="N475" t="n">
        <v>0</v>
      </c>
      <c r="O475" t="n">
        <v>0</v>
      </c>
      <c r="P475" t="n">
        <v>0</v>
      </c>
      <c r="Q475" t="n">
        <v>0</v>
      </c>
      <c r="R475" t="n">
        <v>0</v>
      </c>
      <c r="S475" t="n">
        <v>0</v>
      </c>
      <c r="T475" t="n">
        <v>0</v>
      </c>
      <c r="U475" s="2" t="inlineStr"/>
    </row>
    <row r="476" ht="15" customHeight="1">
      <c r="A476" t="inlineStr">
        <is>
          <t>A 14629-2023</t>
        </is>
      </c>
      <c r="B476" t="inlineStr">
        <is>
          <t>avverkningsanmälan</t>
        </is>
      </c>
      <c r="C476" t="inlineStr">
        <is>
          <t>Föryngringsavverkning</t>
        </is>
      </c>
      <c r="D476" s="1" t="n">
        <v>45013</v>
      </c>
      <c r="E476" s="1" t="n">
        <v>46220</v>
      </c>
      <c r="F476" t="inlineStr">
        <is>
          <t>SÖDERMANLANDS LÄN</t>
        </is>
      </c>
      <c r="G476" t="inlineStr">
        <is>
          <t>KATRINEHOLM</t>
        </is>
      </c>
      <c r="H476" t="inlineStr">
        <is>
          <t>Holmen skog AB</t>
        </is>
      </c>
      <c r="I476" t="n">
        <v>1.3</v>
      </c>
      <c r="J476" t="n">
        <v>0</v>
      </c>
      <c r="K476" t="n">
        <v>0</v>
      </c>
      <c r="L476" t="n">
        <v>0</v>
      </c>
      <c r="M476" t="n">
        <v>0</v>
      </c>
      <c r="N476" t="n">
        <v>0</v>
      </c>
      <c r="O476" t="n">
        <v>0</v>
      </c>
      <c r="P476" t="n">
        <v>0</v>
      </c>
      <c r="Q476" t="n">
        <v>0</v>
      </c>
      <c r="R476" t="n">
        <v>0</v>
      </c>
      <c r="S476" t="n">
        <v>0</v>
      </c>
      <c r="T476" t="n">
        <v>0</v>
      </c>
      <c r="U476" s="2" t="inlineStr"/>
    </row>
    <row r="477" ht="15" customHeight="1">
      <c r="A477" t="inlineStr">
        <is>
          <t>A 57524-2021</t>
        </is>
      </c>
      <c r="B477" t="inlineStr">
        <is>
          <t>avverkningsanmälan</t>
        </is>
      </c>
      <c r="C477" t="inlineStr">
        <is>
          <t>Föryngringsavverkning</t>
        </is>
      </c>
      <c r="D477" s="1" t="n">
        <v>44483</v>
      </c>
      <c r="E477" s="1" t="n">
        <v>46220</v>
      </c>
      <c r="F477" t="inlineStr">
        <is>
          <t>SÖDERMANLANDS LÄN</t>
        </is>
      </c>
      <c r="G477" t="inlineStr">
        <is>
          <t>KATRINEHOLM</t>
        </is>
      </c>
      <c r="I477" t="n">
        <v>0.4</v>
      </c>
      <c r="J477" t="n">
        <v>0</v>
      </c>
      <c r="K477" t="n">
        <v>0</v>
      </c>
      <c r="L477" t="n">
        <v>0</v>
      </c>
      <c r="M477" t="n">
        <v>0</v>
      </c>
      <c r="N477" t="n">
        <v>0</v>
      </c>
      <c r="O477" t="n">
        <v>0</v>
      </c>
      <c r="P477" t="n">
        <v>0</v>
      </c>
      <c r="Q477" t="n">
        <v>0</v>
      </c>
      <c r="R477" t="n">
        <v>0</v>
      </c>
      <c r="S477" t="n">
        <v>0</v>
      </c>
      <c r="T477" t="n">
        <v>0</v>
      </c>
      <c r="U477" s="2" t="inlineStr"/>
    </row>
    <row r="478" ht="15" customHeight="1">
      <c r="A478" t="inlineStr">
        <is>
          <t>A 27345-2023</t>
        </is>
      </c>
      <c r="B478" t="inlineStr">
        <is>
          <t>avverkningsanmälan</t>
        </is>
      </c>
      <c r="C478" t="inlineStr">
        <is>
          <t>Föryngringsavverkning</t>
        </is>
      </c>
      <c r="D478" s="1" t="n">
        <v>45096</v>
      </c>
      <c r="E478" s="1" t="n">
        <v>46220</v>
      </c>
      <c r="F478" t="inlineStr">
        <is>
          <t>SÖDERMANLANDS LÄN</t>
        </is>
      </c>
      <c r="G478" t="inlineStr">
        <is>
          <t>KATRINEHOLM</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53996-2023</t>
        </is>
      </c>
      <c r="B479" t="inlineStr">
        <is>
          <t>avverkningsanmälan</t>
        </is>
      </c>
      <c r="C479" t="inlineStr">
        <is>
          <t>Föryngringsavverkning</t>
        </is>
      </c>
      <c r="D479" s="1" t="n">
        <v>45231</v>
      </c>
      <c r="E479" s="1" t="n">
        <v>46220</v>
      </c>
      <c r="F479" t="inlineStr">
        <is>
          <t>SÖDERMANLANDS LÄN</t>
        </is>
      </c>
      <c r="G479" t="inlineStr">
        <is>
          <t>KATRINEHOLM</t>
        </is>
      </c>
      <c r="I479" t="n">
        <v>4.9</v>
      </c>
      <c r="J479" t="n">
        <v>0</v>
      </c>
      <c r="K479" t="n">
        <v>0</v>
      </c>
      <c r="L479" t="n">
        <v>0</v>
      </c>
      <c r="M479" t="n">
        <v>0</v>
      </c>
      <c r="N479" t="n">
        <v>0</v>
      </c>
      <c r="O479" t="n">
        <v>0</v>
      </c>
      <c r="P479" t="n">
        <v>0</v>
      </c>
      <c r="Q479" t="n">
        <v>0</v>
      </c>
      <c r="R479" t="n">
        <v>0</v>
      </c>
      <c r="S479" t="n">
        <v>0</v>
      </c>
      <c r="T479" t="n">
        <v>0</v>
      </c>
      <c r="U479" s="2" t="inlineStr"/>
    </row>
    <row r="480" ht="15" customHeight="1">
      <c r="A480" t="inlineStr">
        <is>
          <t>A 11127-2023</t>
        </is>
      </c>
      <c r="B480" t="inlineStr">
        <is>
          <t>avverkningsanmälan</t>
        </is>
      </c>
      <c r="C480" t="inlineStr">
        <is>
          <t>Föryngringsavverkning</t>
        </is>
      </c>
      <c r="D480" s="1" t="n">
        <v>44987</v>
      </c>
      <c r="E480" s="1" t="n">
        <v>46220</v>
      </c>
      <c r="F480" t="inlineStr">
        <is>
          <t>SÖDERMANLANDS LÄN</t>
        </is>
      </c>
      <c r="G480" t="inlineStr">
        <is>
          <t>KATRINEHOLM</t>
        </is>
      </c>
      <c r="I480" t="n">
        <v>4.3</v>
      </c>
      <c r="J480" t="n">
        <v>0</v>
      </c>
      <c r="K480" t="n">
        <v>0</v>
      </c>
      <c r="L480" t="n">
        <v>0</v>
      </c>
      <c r="M480" t="n">
        <v>0</v>
      </c>
      <c r="N480" t="n">
        <v>0</v>
      </c>
      <c r="O480" t="n">
        <v>0</v>
      </c>
      <c r="P480" t="n">
        <v>0</v>
      </c>
      <c r="Q480" t="n">
        <v>0</v>
      </c>
      <c r="R480" t="n">
        <v>0</v>
      </c>
      <c r="S480" t="n">
        <v>0</v>
      </c>
      <c r="T480" t="n">
        <v>0</v>
      </c>
      <c r="U480" s="2" t="inlineStr"/>
    </row>
    <row r="481" ht="15" customHeight="1">
      <c r="A481" t="inlineStr">
        <is>
          <t>A 20221-2026</t>
        </is>
      </c>
      <c r="B481" t="inlineStr">
        <is>
          <t>avverkningsanmälan</t>
        </is>
      </c>
      <c r="C481" t="inlineStr">
        <is>
          <t>Föryngringsavverkning</t>
        </is>
      </c>
      <c r="D481" s="1" t="n">
        <v>46139</v>
      </c>
      <c r="E481" s="1" t="n">
        <v>46220</v>
      </c>
      <c r="F481" t="inlineStr">
        <is>
          <t>SÖDERMANLANDS LÄN</t>
        </is>
      </c>
      <c r="G481" t="inlineStr">
        <is>
          <t>KATRINEHOLM</t>
        </is>
      </c>
      <c r="I481" t="n">
        <v>4.2</v>
      </c>
      <c r="J481" t="n">
        <v>0</v>
      </c>
      <c r="K481" t="n">
        <v>0</v>
      </c>
      <c r="L481" t="n">
        <v>0</v>
      </c>
      <c r="M481" t="n">
        <v>0</v>
      </c>
      <c r="N481" t="n">
        <v>0</v>
      </c>
      <c r="O481" t="n">
        <v>0</v>
      </c>
      <c r="P481" t="n">
        <v>0</v>
      </c>
      <c r="Q481" t="n">
        <v>0</v>
      </c>
      <c r="R481" t="n">
        <v>0</v>
      </c>
      <c r="S481" t="n">
        <v>0</v>
      </c>
      <c r="T481" t="n">
        <v>0</v>
      </c>
      <c r="U481" s="2" t="inlineStr"/>
    </row>
    <row r="482" ht="15" customHeight="1">
      <c r="A482" t="inlineStr">
        <is>
          <t>A 37185-2023</t>
        </is>
      </c>
      <c r="B482" t="inlineStr">
        <is>
          <t>avverkningsanmälan</t>
        </is>
      </c>
      <c r="C482" t="inlineStr">
        <is>
          <t>Föryngringsavverkning</t>
        </is>
      </c>
      <c r="D482" s="1" t="n">
        <v>45154</v>
      </c>
      <c r="E482" s="1" t="n">
        <v>46220</v>
      </c>
      <c r="F482" t="inlineStr">
        <is>
          <t>SÖDERMANLANDS LÄN</t>
        </is>
      </c>
      <c r="G482" t="inlineStr">
        <is>
          <t>KATRINEHOLM</t>
        </is>
      </c>
      <c r="I482" t="n">
        <v>3</v>
      </c>
      <c r="J482" t="n">
        <v>0</v>
      </c>
      <c r="K482" t="n">
        <v>0</v>
      </c>
      <c r="L482" t="n">
        <v>0</v>
      </c>
      <c r="M482" t="n">
        <v>0</v>
      </c>
      <c r="N482" t="n">
        <v>0</v>
      </c>
      <c r="O482" t="n">
        <v>0</v>
      </c>
      <c r="P482" t="n">
        <v>0</v>
      </c>
      <c r="Q482" t="n">
        <v>0</v>
      </c>
      <c r="R482" t="n">
        <v>0</v>
      </c>
      <c r="S482" t="n">
        <v>0</v>
      </c>
      <c r="T482" t="n">
        <v>0</v>
      </c>
      <c r="U482" s="2" t="inlineStr"/>
    </row>
    <row r="483" ht="15" customHeight="1">
      <c r="A483" t="inlineStr">
        <is>
          <t>A 24284-2024</t>
        </is>
      </c>
      <c r="B483" t="inlineStr">
        <is>
          <t>avverkningsanmälan</t>
        </is>
      </c>
      <c r="C483" t="inlineStr">
        <is>
          <t>Avverkning för att bevara och utveckla /försöksver</t>
        </is>
      </c>
      <c r="D483" s="1" t="n">
        <v>45457</v>
      </c>
      <c r="E483" s="1" t="n">
        <v>46220</v>
      </c>
      <c r="F483" t="inlineStr">
        <is>
          <t>SÖDERMANLANDS LÄN</t>
        </is>
      </c>
      <c r="G483" t="inlineStr">
        <is>
          <t>KATRINEHOLM</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66393-2021</t>
        </is>
      </c>
      <c r="B484" t="inlineStr">
        <is>
          <t>avverkningsanmälan</t>
        </is>
      </c>
      <c r="C484" t="inlineStr">
        <is>
          <t>Föryngringsavverkning</t>
        </is>
      </c>
      <c r="D484" s="1" t="n">
        <v>44518</v>
      </c>
      <c r="E484" s="1" t="n">
        <v>46220</v>
      </c>
      <c r="F484" t="inlineStr">
        <is>
          <t>SÖDERMANLANDS LÄN</t>
        </is>
      </c>
      <c r="G484" t="inlineStr">
        <is>
          <t>KATRINEHOLM</t>
        </is>
      </c>
      <c r="H484" t="inlineStr">
        <is>
          <t>Holmen skog AB</t>
        </is>
      </c>
      <c r="I484" t="n">
        <v>0.4</v>
      </c>
      <c r="J484" t="n">
        <v>0</v>
      </c>
      <c r="K484" t="n">
        <v>0</v>
      </c>
      <c r="L484" t="n">
        <v>0</v>
      </c>
      <c r="M484" t="n">
        <v>0</v>
      </c>
      <c r="N484" t="n">
        <v>0</v>
      </c>
      <c r="O484" t="n">
        <v>0</v>
      </c>
      <c r="P484" t="n">
        <v>0</v>
      </c>
      <c r="Q484" t="n">
        <v>0</v>
      </c>
      <c r="R484" t="n">
        <v>0</v>
      </c>
      <c r="S484" t="n">
        <v>0</v>
      </c>
      <c r="T484" t="n">
        <v>0</v>
      </c>
      <c r="U484" s="2" t="inlineStr"/>
    </row>
    <row r="485" ht="15" customHeight="1">
      <c r="A485" t="inlineStr">
        <is>
          <t>A 28931-2024</t>
        </is>
      </c>
      <c r="B485" t="inlineStr">
        <is>
          <t>avverkningsanmälan</t>
        </is>
      </c>
      <c r="C485" t="inlineStr">
        <is>
          <t>Föryngringsavverkning</t>
        </is>
      </c>
      <c r="D485" s="1" t="n">
        <v>45479</v>
      </c>
      <c r="E485" s="1" t="n">
        <v>46220</v>
      </c>
      <c r="F485" t="inlineStr">
        <is>
          <t>SÖDERMANLANDS LÄN</t>
        </is>
      </c>
      <c r="G485" t="inlineStr">
        <is>
          <t>KATRINEHOLM</t>
        </is>
      </c>
      <c r="I485" t="n">
        <v>7.4</v>
      </c>
      <c r="J485" t="n">
        <v>0</v>
      </c>
      <c r="K485" t="n">
        <v>0</v>
      </c>
      <c r="L485" t="n">
        <v>0</v>
      </c>
      <c r="M485" t="n">
        <v>0</v>
      </c>
      <c r="N485" t="n">
        <v>0</v>
      </c>
      <c r="O485" t="n">
        <v>0</v>
      </c>
      <c r="P485" t="n">
        <v>0</v>
      </c>
      <c r="Q485" t="n">
        <v>0</v>
      </c>
      <c r="R485" t="n">
        <v>0</v>
      </c>
      <c r="S485" t="n">
        <v>0</v>
      </c>
      <c r="T485" t="n">
        <v>0</v>
      </c>
      <c r="U485" s="2" t="inlineStr"/>
    </row>
    <row r="486" ht="15" customHeight="1">
      <c r="A486" t="inlineStr">
        <is>
          <t>A 50840-2022</t>
        </is>
      </c>
      <c r="B486" t="inlineStr">
        <is>
          <t>avverkningsanmälan</t>
        </is>
      </c>
      <c r="C486" t="inlineStr">
        <is>
          <t>Föryngringsavverkning</t>
        </is>
      </c>
      <c r="D486" s="1" t="n">
        <v>44862</v>
      </c>
      <c r="E486" s="1" t="n">
        <v>46220</v>
      </c>
      <c r="F486" t="inlineStr">
        <is>
          <t>SÖDERMANLANDS LÄN</t>
        </is>
      </c>
      <c r="G486" t="inlineStr">
        <is>
          <t>KATRINEHOLM</t>
        </is>
      </c>
      <c r="I486" t="n">
        <v>4.2</v>
      </c>
      <c r="J486" t="n">
        <v>0</v>
      </c>
      <c r="K486" t="n">
        <v>0</v>
      </c>
      <c r="L486" t="n">
        <v>0</v>
      </c>
      <c r="M486" t="n">
        <v>0</v>
      </c>
      <c r="N486" t="n">
        <v>0</v>
      </c>
      <c r="O486" t="n">
        <v>0</v>
      </c>
      <c r="P486" t="n">
        <v>0</v>
      </c>
      <c r="Q486" t="n">
        <v>0</v>
      </c>
      <c r="R486" t="n">
        <v>0</v>
      </c>
      <c r="S486" t="n">
        <v>0</v>
      </c>
      <c r="T486" t="n">
        <v>0</v>
      </c>
      <c r="U486" s="2" t="inlineStr"/>
    </row>
    <row r="487" ht="15" customHeight="1">
      <c r="A487" t="inlineStr">
        <is>
          <t>A 14245-2024</t>
        </is>
      </c>
      <c r="B487" t="inlineStr">
        <is>
          <t>avverkningsanmälan</t>
        </is>
      </c>
      <c r="C487" t="inlineStr">
        <is>
          <t>Föryngringsavverkning</t>
        </is>
      </c>
      <c r="D487" s="1" t="n">
        <v>45393</v>
      </c>
      <c r="E487" s="1" t="n">
        <v>46220</v>
      </c>
      <c r="F487" t="inlineStr">
        <is>
          <t>SÖDERMANLANDS LÄN</t>
        </is>
      </c>
      <c r="G487" t="inlineStr">
        <is>
          <t>KATRINEHOLM</t>
        </is>
      </c>
      <c r="H487" t="inlineStr">
        <is>
          <t>Sveaskog</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36832-2023</t>
        </is>
      </c>
      <c r="B488" t="inlineStr">
        <is>
          <t>avverkningsanmälan</t>
        </is>
      </c>
      <c r="C488" t="inlineStr">
        <is>
          <t>Föryngringsavverkning</t>
        </is>
      </c>
      <c r="D488" s="1" t="n">
        <v>45153</v>
      </c>
      <c r="E488" s="1" t="n">
        <v>46220</v>
      </c>
      <c r="F488" t="inlineStr">
        <is>
          <t>SÖDERMANLANDS LÄN</t>
        </is>
      </c>
      <c r="G488" t="inlineStr">
        <is>
          <t>KATRINEHOLM</t>
        </is>
      </c>
      <c r="H488" t="inlineStr">
        <is>
          <t>Övriga Aktiebolag</t>
        </is>
      </c>
      <c r="I488" t="n">
        <v>9</v>
      </c>
      <c r="J488" t="n">
        <v>0</v>
      </c>
      <c r="K488" t="n">
        <v>0</v>
      </c>
      <c r="L488" t="n">
        <v>0</v>
      </c>
      <c r="M488" t="n">
        <v>0</v>
      </c>
      <c r="N488" t="n">
        <v>0</v>
      </c>
      <c r="O488" t="n">
        <v>0</v>
      </c>
      <c r="P488" t="n">
        <v>0</v>
      </c>
      <c r="Q488" t="n">
        <v>0</v>
      </c>
      <c r="R488" t="n">
        <v>0</v>
      </c>
      <c r="S488" t="n">
        <v>0</v>
      </c>
      <c r="T488" t="n">
        <v>0</v>
      </c>
      <c r="U488" s="2" t="inlineStr"/>
    </row>
    <row r="489" ht="15" customHeight="1">
      <c r="A489" t="inlineStr">
        <is>
          <t>A 35145-2025</t>
        </is>
      </c>
      <c r="B489" t="inlineStr">
        <is>
          <t>avverkningsanmälan</t>
        </is>
      </c>
      <c r="C489" t="inlineStr">
        <is>
          <t>Föryngringsavverkning</t>
        </is>
      </c>
      <c r="D489" s="1" t="n">
        <v>45852</v>
      </c>
      <c r="E489" s="1" t="n">
        <v>46220</v>
      </c>
      <c r="F489" t="inlineStr">
        <is>
          <t>SÖDERMANLANDS LÄN</t>
        </is>
      </c>
      <c r="G489" t="inlineStr">
        <is>
          <t>KATRINEHOLM</t>
        </is>
      </c>
      <c r="I489" t="n">
        <v>3.1</v>
      </c>
      <c r="J489" t="n">
        <v>0</v>
      </c>
      <c r="K489" t="n">
        <v>0</v>
      </c>
      <c r="L489" t="n">
        <v>0</v>
      </c>
      <c r="M489" t="n">
        <v>0</v>
      </c>
      <c r="N489" t="n">
        <v>0</v>
      </c>
      <c r="O489" t="n">
        <v>0</v>
      </c>
      <c r="P489" t="n">
        <v>0</v>
      </c>
      <c r="Q489" t="n">
        <v>0</v>
      </c>
      <c r="R489" t="n">
        <v>0</v>
      </c>
      <c r="S489" t="n">
        <v>0</v>
      </c>
      <c r="T489" t="n">
        <v>0</v>
      </c>
      <c r="U489" s="2" t="inlineStr"/>
    </row>
    <row r="490" ht="15" customHeight="1">
      <c r="A490" t="inlineStr">
        <is>
          <t>A 22113-2025</t>
        </is>
      </c>
      <c r="B490" t="inlineStr">
        <is>
          <t>avverkningsanmälan</t>
        </is>
      </c>
      <c r="C490" t="inlineStr">
        <is>
          <t>Avverkning för annat ändamål</t>
        </is>
      </c>
      <c r="D490" s="1" t="n">
        <v>45785</v>
      </c>
      <c r="E490" s="1" t="n">
        <v>46220</v>
      </c>
      <c r="F490" t="inlineStr">
        <is>
          <t>SÖDERMANLANDS LÄN</t>
        </is>
      </c>
      <c r="G490" t="inlineStr">
        <is>
          <t>KATRINEHOLM</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39052-2023</t>
        </is>
      </c>
      <c r="B491" t="inlineStr">
        <is>
          <t>avverkningsanmälan</t>
        </is>
      </c>
      <c r="C491" t="inlineStr">
        <is>
          <t>Föryngringsavverkning</t>
        </is>
      </c>
      <c r="D491" s="1" t="n">
        <v>45163</v>
      </c>
      <c r="E491" s="1" t="n">
        <v>46220</v>
      </c>
      <c r="F491" t="inlineStr">
        <is>
          <t>SÖDERMANLANDS LÄN</t>
        </is>
      </c>
      <c r="G491" t="inlineStr">
        <is>
          <t>KATRINEHOLM</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30386-2025</t>
        </is>
      </c>
      <c r="B492" t="inlineStr">
        <is>
          <t>avverkningsanmälan</t>
        </is>
      </c>
      <c r="C492" t="inlineStr">
        <is>
          <t>Föryngringsavverkning</t>
        </is>
      </c>
      <c r="D492" s="1" t="n">
        <v>45827</v>
      </c>
      <c r="E492" s="1" t="n">
        <v>46220</v>
      </c>
      <c r="F492" t="inlineStr">
        <is>
          <t>SÖDERMANLANDS LÄN</t>
        </is>
      </c>
      <c r="G492" t="inlineStr">
        <is>
          <t>KATRINEHOLM</t>
        </is>
      </c>
      <c r="I492" t="n">
        <v>5.6</v>
      </c>
      <c r="J492" t="n">
        <v>0</v>
      </c>
      <c r="K492" t="n">
        <v>0</v>
      </c>
      <c r="L492" t="n">
        <v>0</v>
      </c>
      <c r="M492" t="n">
        <v>0</v>
      </c>
      <c r="N492" t="n">
        <v>0</v>
      </c>
      <c r="O492" t="n">
        <v>0</v>
      </c>
      <c r="P492" t="n">
        <v>0</v>
      </c>
      <c r="Q492" t="n">
        <v>0</v>
      </c>
      <c r="R492" t="n">
        <v>0</v>
      </c>
      <c r="S492" t="n">
        <v>0</v>
      </c>
      <c r="T492" t="n">
        <v>0</v>
      </c>
      <c r="U492" s="2" t="inlineStr"/>
    </row>
    <row r="493" ht="15" customHeight="1">
      <c r="A493" t="inlineStr">
        <is>
          <t>A 41946-2022</t>
        </is>
      </c>
      <c r="B493" t="inlineStr">
        <is>
          <t>avverkningsanmälan</t>
        </is>
      </c>
      <c r="C493" t="inlineStr">
        <is>
          <t>Föryngringsavverkning</t>
        </is>
      </c>
      <c r="D493" s="1" t="n">
        <v>44830</v>
      </c>
      <c r="E493" s="1" t="n">
        <v>46220</v>
      </c>
      <c r="F493" t="inlineStr">
        <is>
          <t>SÖDERMANLANDS LÄN</t>
        </is>
      </c>
      <c r="G493" t="inlineStr">
        <is>
          <t>KATRINEHOLM</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28304-2024</t>
        </is>
      </c>
      <c r="B494" t="inlineStr">
        <is>
          <t>avverkningsanmälan</t>
        </is>
      </c>
      <c r="C494" t="inlineStr">
        <is>
          <t>Föryngringsavverkning</t>
        </is>
      </c>
      <c r="D494" s="1" t="n">
        <v>45477</v>
      </c>
      <c r="E494" s="1" t="n">
        <v>46220</v>
      </c>
      <c r="F494" t="inlineStr">
        <is>
          <t>SÖDERMANLANDS LÄN</t>
        </is>
      </c>
      <c r="G494" t="inlineStr">
        <is>
          <t>KATRINEHOLM</t>
        </is>
      </c>
      <c r="I494" t="n">
        <v>3.8</v>
      </c>
      <c r="J494" t="n">
        <v>0</v>
      </c>
      <c r="K494" t="n">
        <v>0</v>
      </c>
      <c r="L494" t="n">
        <v>0</v>
      </c>
      <c r="M494" t="n">
        <v>0</v>
      </c>
      <c r="N494" t="n">
        <v>0</v>
      </c>
      <c r="O494" t="n">
        <v>0</v>
      </c>
      <c r="P494" t="n">
        <v>0</v>
      </c>
      <c r="Q494" t="n">
        <v>0</v>
      </c>
      <c r="R494" t="n">
        <v>0</v>
      </c>
      <c r="S494" t="n">
        <v>0</v>
      </c>
      <c r="T494" t="n">
        <v>0</v>
      </c>
      <c r="U494" s="2" t="inlineStr"/>
    </row>
    <row r="495" ht="15" customHeight="1">
      <c r="A495" t="inlineStr">
        <is>
          <t>A 51613-2022</t>
        </is>
      </c>
      <c r="B495" t="inlineStr">
        <is>
          <t>avverkningsanmälan</t>
        </is>
      </c>
      <c r="C495" t="inlineStr">
        <is>
          <t>Föryngringsavverkning</t>
        </is>
      </c>
      <c r="D495" s="1" t="n">
        <v>44871</v>
      </c>
      <c r="E495" s="1" t="n">
        <v>46220</v>
      </c>
      <c r="F495" t="inlineStr">
        <is>
          <t>SÖDERMANLANDS LÄN</t>
        </is>
      </c>
      <c r="G495" t="inlineStr">
        <is>
          <t>KATRINEHOLM</t>
        </is>
      </c>
      <c r="I495" t="n">
        <v>3</v>
      </c>
      <c r="J495" t="n">
        <v>0</v>
      </c>
      <c r="K495" t="n">
        <v>0</v>
      </c>
      <c r="L495" t="n">
        <v>0</v>
      </c>
      <c r="M495" t="n">
        <v>0</v>
      </c>
      <c r="N495" t="n">
        <v>0</v>
      </c>
      <c r="O495" t="n">
        <v>0</v>
      </c>
      <c r="P495" t="n">
        <v>0</v>
      </c>
      <c r="Q495" t="n">
        <v>0</v>
      </c>
      <c r="R495" t="n">
        <v>0</v>
      </c>
      <c r="S495" t="n">
        <v>0</v>
      </c>
      <c r="T495" t="n">
        <v>0</v>
      </c>
      <c r="U495" s="2" t="inlineStr"/>
    </row>
    <row r="496" ht="15" customHeight="1">
      <c r="A496" t="inlineStr">
        <is>
          <t>A 22336-2025</t>
        </is>
      </c>
      <c r="B496" t="inlineStr">
        <is>
          <t>avverkningsanmälan</t>
        </is>
      </c>
      <c r="C496" t="inlineStr">
        <is>
          <t>Föryngringsavverkning</t>
        </is>
      </c>
      <c r="D496" s="1" t="n">
        <v>45786</v>
      </c>
      <c r="E496" s="1" t="n">
        <v>46220</v>
      </c>
      <c r="F496" t="inlineStr">
        <is>
          <t>SÖDERMANLANDS LÄN</t>
        </is>
      </c>
      <c r="G496" t="inlineStr">
        <is>
          <t>KATRINEHOLM</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19868-2022</t>
        </is>
      </c>
      <c r="B497" t="inlineStr">
        <is>
          <t>avverkningsanmälan</t>
        </is>
      </c>
      <c r="C497" t="inlineStr">
        <is>
          <t>Föryngringsavverkning</t>
        </is>
      </c>
      <c r="D497" s="1" t="n">
        <v>44696</v>
      </c>
      <c r="E497" s="1" t="n">
        <v>46220</v>
      </c>
      <c r="F497" t="inlineStr">
        <is>
          <t>SÖDERMANLANDS LÄN</t>
        </is>
      </c>
      <c r="G497" t="inlineStr">
        <is>
          <t>KATRINEHOLM</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58651-2023</t>
        </is>
      </c>
      <c r="B498" t="inlineStr">
        <is>
          <t>avverkningsanmälan</t>
        </is>
      </c>
      <c r="C498" t="inlineStr">
        <is>
          <t>Föryngringsavverkning</t>
        </is>
      </c>
      <c r="D498" s="1" t="n">
        <v>45247</v>
      </c>
      <c r="E498" s="1" t="n">
        <v>46220</v>
      </c>
      <c r="F498" t="inlineStr">
        <is>
          <t>SÖDERMANLANDS LÄN</t>
        </is>
      </c>
      <c r="G498" t="inlineStr">
        <is>
          <t>KATRINEHOLM</t>
        </is>
      </c>
      <c r="I498" t="n">
        <v>2.7</v>
      </c>
      <c r="J498" t="n">
        <v>0</v>
      </c>
      <c r="K498" t="n">
        <v>0</v>
      </c>
      <c r="L498" t="n">
        <v>0</v>
      </c>
      <c r="M498" t="n">
        <v>0</v>
      </c>
      <c r="N498" t="n">
        <v>0</v>
      </c>
      <c r="O498" t="n">
        <v>0</v>
      </c>
      <c r="P498" t="n">
        <v>0</v>
      </c>
      <c r="Q498" t="n">
        <v>0</v>
      </c>
      <c r="R498" t="n">
        <v>0</v>
      </c>
      <c r="S498" t="n">
        <v>0</v>
      </c>
      <c r="T498" t="n">
        <v>0</v>
      </c>
      <c r="U498" s="2" t="inlineStr"/>
    </row>
    <row r="499" ht="15" customHeight="1">
      <c r="A499" t="inlineStr">
        <is>
          <t>A 8765-2023</t>
        </is>
      </c>
      <c r="B499" t="inlineStr">
        <is>
          <t>avverkningsanmälan</t>
        </is>
      </c>
      <c r="C499" t="inlineStr">
        <is>
          <t>Föryngringsavverkning</t>
        </is>
      </c>
      <c r="D499" s="1" t="n">
        <v>44978</v>
      </c>
      <c r="E499" s="1" t="n">
        <v>46220</v>
      </c>
      <c r="F499" t="inlineStr">
        <is>
          <t>SÖDERMANLANDS LÄN</t>
        </is>
      </c>
      <c r="G499" t="inlineStr">
        <is>
          <t>KATRINEHOLM</t>
        </is>
      </c>
      <c r="I499" t="n">
        <v>1.2</v>
      </c>
      <c r="J499" t="n">
        <v>0</v>
      </c>
      <c r="K499" t="n">
        <v>0</v>
      </c>
      <c r="L499" t="n">
        <v>0</v>
      </c>
      <c r="M499" t="n">
        <v>0</v>
      </c>
      <c r="N499" t="n">
        <v>0</v>
      </c>
      <c r="O499" t="n">
        <v>0</v>
      </c>
      <c r="P499" t="n">
        <v>0</v>
      </c>
      <c r="Q499" t="n">
        <v>0</v>
      </c>
      <c r="R499" t="n">
        <v>0</v>
      </c>
      <c r="S499" t="n">
        <v>0</v>
      </c>
      <c r="T499" t="n">
        <v>0</v>
      </c>
      <c r="U499" s="2" t="inlineStr"/>
    </row>
    <row r="500" ht="15" customHeight="1">
      <c r="A500" t="inlineStr">
        <is>
          <t>A 41793-2025</t>
        </is>
      </c>
      <c r="B500" t="inlineStr">
        <is>
          <t>avverkningsanmälan</t>
        </is>
      </c>
      <c r="C500" t="inlineStr">
        <is>
          <t>Föryngringsavverkning</t>
        </is>
      </c>
      <c r="D500" s="1" t="n">
        <v>45902</v>
      </c>
      <c r="E500" s="1" t="n">
        <v>46220</v>
      </c>
      <c r="F500" t="inlineStr">
        <is>
          <t>SÖDERMANLANDS LÄN</t>
        </is>
      </c>
      <c r="G500" t="inlineStr">
        <is>
          <t>KATRINEHOLM</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28992-2024</t>
        </is>
      </c>
      <c r="B501" t="inlineStr">
        <is>
          <t>avverkningsanmälan</t>
        </is>
      </c>
      <c r="C501" t="inlineStr">
        <is>
          <t>Föryngringsavverkning</t>
        </is>
      </c>
      <c r="D501" s="1" t="n">
        <v>45481</v>
      </c>
      <c r="E501" s="1" t="n">
        <v>46220</v>
      </c>
      <c r="F501" t="inlineStr">
        <is>
          <t>SÖDERMANLANDS LÄN</t>
        </is>
      </c>
      <c r="G501" t="inlineStr">
        <is>
          <t>KATRINEHOLM</t>
        </is>
      </c>
      <c r="I501" t="n">
        <v>2.3</v>
      </c>
      <c r="J501" t="n">
        <v>0</v>
      </c>
      <c r="K501" t="n">
        <v>0</v>
      </c>
      <c r="L501" t="n">
        <v>0</v>
      </c>
      <c r="M501" t="n">
        <v>0</v>
      </c>
      <c r="N501" t="n">
        <v>0</v>
      </c>
      <c r="O501" t="n">
        <v>0</v>
      </c>
      <c r="P501" t="n">
        <v>0</v>
      </c>
      <c r="Q501" t="n">
        <v>0</v>
      </c>
      <c r="R501" t="n">
        <v>0</v>
      </c>
      <c r="S501" t="n">
        <v>0</v>
      </c>
      <c r="T501" t="n">
        <v>0</v>
      </c>
      <c r="U501" s="2" t="inlineStr"/>
    </row>
    <row r="502" ht="15" customHeight="1">
      <c r="A502" t="inlineStr">
        <is>
          <t>A 25433-2024</t>
        </is>
      </c>
      <c r="B502" t="inlineStr">
        <is>
          <t>avverkningsanmälan</t>
        </is>
      </c>
      <c r="C502" t="inlineStr">
        <is>
          <t>Avverkning för annat ändamål</t>
        </is>
      </c>
      <c r="D502" s="1" t="n">
        <v>45463</v>
      </c>
      <c r="E502" s="1" t="n">
        <v>46220</v>
      </c>
      <c r="F502" t="inlineStr">
        <is>
          <t>SÖDERMANLANDS LÄN</t>
        </is>
      </c>
      <c r="G502" t="inlineStr">
        <is>
          <t>KATRINEHOLM</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20200-2026</t>
        </is>
      </c>
      <c r="B503" t="inlineStr">
        <is>
          <t>avverkningsanmälan</t>
        </is>
      </c>
      <c r="C503" t="inlineStr">
        <is>
          <t>Föryngringsavverkning</t>
        </is>
      </c>
      <c r="D503" s="1" t="n">
        <v>46136</v>
      </c>
      <c r="E503" s="1" t="n">
        <v>46220</v>
      </c>
      <c r="F503" t="inlineStr">
        <is>
          <t>SÖDERMANLANDS LÄN</t>
        </is>
      </c>
      <c r="G503" t="inlineStr">
        <is>
          <t>KATRINEHOLM</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42111-2022</t>
        </is>
      </c>
      <c r="B504" t="inlineStr">
        <is>
          <t>avverkningsanmälan</t>
        </is>
      </c>
      <c r="C504" t="inlineStr">
        <is>
          <t>Föryngringsavverkning</t>
        </is>
      </c>
      <c r="D504" s="1" t="n">
        <v>44830</v>
      </c>
      <c r="E504" s="1" t="n">
        <v>46220</v>
      </c>
      <c r="F504" t="inlineStr">
        <is>
          <t>SÖDERMANLANDS LÄN</t>
        </is>
      </c>
      <c r="G504" t="inlineStr">
        <is>
          <t>KATRINEHOLM</t>
        </is>
      </c>
      <c r="I504" t="n">
        <v>2.5</v>
      </c>
      <c r="J504" t="n">
        <v>0</v>
      </c>
      <c r="K504" t="n">
        <v>0</v>
      </c>
      <c r="L504" t="n">
        <v>0</v>
      </c>
      <c r="M504" t="n">
        <v>0</v>
      </c>
      <c r="N504" t="n">
        <v>0</v>
      </c>
      <c r="O504" t="n">
        <v>0</v>
      </c>
      <c r="P504" t="n">
        <v>0</v>
      </c>
      <c r="Q504" t="n">
        <v>0</v>
      </c>
      <c r="R504" t="n">
        <v>0</v>
      </c>
      <c r="S504" t="n">
        <v>0</v>
      </c>
      <c r="T504" t="n">
        <v>0</v>
      </c>
      <c r="U504" s="2" t="inlineStr"/>
    </row>
    <row r="505" ht="15" customHeight="1">
      <c r="A505" t="inlineStr">
        <is>
          <t>A 36021-2023</t>
        </is>
      </c>
      <c r="B505" t="inlineStr">
        <is>
          <t>avverkningsanmälan</t>
        </is>
      </c>
      <c r="C505" t="inlineStr">
        <is>
          <t>Föryngringsavverkning</t>
        </is>
      </c>
      <c r="D505" s="1" t="n">
        <v>45148</v>
      </c>
      <c r="E505" s="1" t="n">
        <v>46220</v>
      </c>
      <c r="F505" t="inlineStr">
        <is>
          <t>SÖDERMANLANDS LÄN</t>
        </is>
      </c>
      <c r="G505" t="inlineStr">
        <is>
          <t>KATRINEHOLM</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30333-2023</t>
        </is>
      </c>
      <c r="B506" t="inlineStr">
        <is>
          <t>avverkningsanmälan</t>
        </is>
      </c>
      <c r="C506" t="inlineStr">
        <is>
          <t>Avverkning för annat ändamål</t>
        </is>
      </c>
      <c r="D506" s="1" t="n">
        <v>45111</v>
      </c>
      <c r="E506" s="1" t="n">
        <v>46220</v>
      </c>
      <c r="F506" t="inlineStr">
        <is>
          <t>SÖDERMANLANDS LÄN</t>
        </is>
      </c>
      <c r="G506" t="inlineStr">
        <is>
          <t>KATRINEHOLM</t>
        </is>
      </c>
      <c r="I506" t="n">
        <v>1.2</v>
      </c>
      <c r="J506" t="n">
        <v>0</v>
      </c>
      <c r="K506" t="n">
        <v>0</v>
      </c>
      <c r="L506" t="n">
        <v>0</v>
      </c>
      <c r="M506" t="n">
        <v>0</v>
      </c>
      <c r="N506" t="n">
        <v>0</v>
      </c>
      <c r="O506" t="n">
        <v>0</v>
      </c>
      <c r="P506" t="n">
        <v>0</v>
      </c>
      <c r="Q506" t="n">
        <v>0</v>
      </c>
      <c r="R506" t="n">
        <v>0</v>
      </c>
      <c r="S506" t="n">
        <v>0</v>
      </c>
      <c r="T506" t="n">
        <v>0</v>
      </c>
      <c r="U506" s="2" t="inlineStr"/>
    </row>
    <row r="507" ht="15" customHeight="1">
      <c r="A507" t="inlineStr">
        <is>
          <t>A 20464-2026</t>
        </is>
      </c>
      <c r="B507" t="inlineStr">
        <is>
          <t>avverkningsanmälan</t>
        </is>
      </c>
      <c r="C507" t="inlineStr">
        <is>
          <t>Föryngringsavverkning</t>
        </is>
      </c>
      <c r="D507" s="1" t="n">
        <v>46140</v>
      </c>
      <c r="E507" s="1" t="n">
        <v>46220</v>
      </c>
      <c r="F507" t="inlineStr">
        <is>
          <t>SÖDERMANLANDS LÄN</t>
        </is>
      </c>
      <c r="G507" t="inlineStr">
        <is>
          <t>KATRINEHOLM</t>
        </is>
      </c>
      <c r="I507" t="n">
        <v>9.1</v>
      </c>
      <c r="J507" t="n">
        <v>0</v>
      </c>
      <c r="K507" t="n">
        <v>0</v>
      </c>
      <c r="L507" t="n">
        <v>0</v>
      </c>
      <c r="M507" t="n">
        <v>0</v>
      </c>
      <c r="N507" t="n">
        <v>0</v>
      </c>
      <c r="O507" t="n">
        <v>0</v>
      </c>
      <c r="P507" t="n">
        <v>0</v>
      </c>
      <c r="Q507" t="n">
        <v>0</v>
      </c>
      <c r="R507" t="n">
        <v>0</v>
      </c>
      <c r="S507" t="n">
        <v>0</v>
      </c>
      <c r="T507" t="n">
        <v>0</v>
      </c>
      <c r="U507" s="2" t="inlineStr"/>
    </row>
    <row r="508" ht="15" customHeight="1">
      <c r="A508" t="inlineStr">
        <is>
          <t>A 40402-2022</t>
        </is>
      </c>
      <c r="B508" t="inlineStr">
        <is>
          <t>avverkningsanmälan</t>
        </is>
      </c>
      <c r="C508" t="inlineStr">
        <is>
          <t>Föryngringsavverkning</t>
        </is>
      </c>
      <c r="D508" s="1" t="n">
        <v>44823</v>
      </c>
      <c r="E508" s="1" t="n">
        <v>46220</v>
      </c>
      <c r="F508" t="inlineStr">
        <is>
          <t>SÖDERMANLANDS LÄN</t>
        </is>
      </c>
      <c r="G508" t="inlineStr">
        <is>
          <t>KATRINEHOLM</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27334-2023</t>
        </is>
      </c>
      <c r="B509" t="inlineStr">
        <is>
          <t>avverkningsanmälan</t>
        </is>
      </c>
      <c r="C509" t="inlineStr">
        <is>
          <t>Föryngringsavverkning</t>
        </is>
      </c>
      <c r="D509" s="1" t="n">
        <v>45096</v>
      </c>
      <c r="E509" s="1" t="n">
        <v>46220</v>
      </c>
      <c r="F509" t="inlineStr">
        <is>
          <t>SÖDERMANLANDS LÄN</t>
        </is>
      </c>
      <c r="G509" t="inlineStr">
        <is>
          <t>KATRINEHOLM</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7704-2023</t>
        </is>
      </c>
      <c r="B510" t="inlineStr">
        <is>
          <t>avverkningsanmälan</t>
        </is>
      </c>
      <c r="C510" t="inlineStr">
        <is>
          <t>Föryngringsavverkning</t>
        </is>
      </c>
      <c r="D510" s="1" t="n">
        <v>44968</v>
      </c>
      <c r="E510" s="1" t="n">
        <v>46220</v>
      </c>
      <c r="F510" t="inlineStr">
        <is>
          <t>SÖDERMANLANDS LÄN</t>
        </is>
      </c>
      <c r="G510" t="inlineStr">
        <is>
          <t>KATRINEHOLM</t>
        </is>
      </c>
      <c r="I510" t="n">
        <v>7.3</v>
      </c>
      <c r="J510" t="n">
        <v>0</v>
      </c>
      <c r="K510" t="n">
        <v>0</v>
      </c>
      <c r="L510" t="n">
        <v>0</v>
      </c>
      <c r="M510" t="n">
        <v>0</v>
      </c>
      <c r="N510" t="n">
        <v>0</v>
      </c>
      <c r="O510" t="n">
        <v>0</v>
      </c>
      <c r="P510" t="n">
        <v>0</v>
      </c>
      <c r="Q510" t="n">
        <v>0</v>
      </c>
      <c r="R510" t="n">
        <v>0</v>
      </c>
      <c r="S510" t="n">
        <v>0</v>
      </c>
      <c r="T510" t="n">
        <v>0</v>
      </c>
      <c r="U510" s="2" t="inlineStr"/>
    </row>
    <row r="511" ht="15" customHeight="1">
      <c r="A511" t="inlineStr">
        <is>
          <t>A 14478-2023</t>
        </is>
      </c>
      <c r="B511" t="inlineStr">
        <is>
          <t>avverkningsanmälan</t>
        </is>
      </c>
      <c r="C511" t="inlineStr">
        <is>
          <t>Föryngringsavverkning</t>
        </is>
      </c>
      <c r="D511" s="1" t="n">
        <v>45012</v>
      </c>
      <c r="E511" s="1" t="n">
        <v>46220</v>
      </c>
      <c r="F511" t="inlineStr">
        <is>
          <t>SÖDERMANLANDS LÄN</t>
        </is>
      </c>
      <c r="G511" t="inlineStr">
        <is>
          <t>KATRINEHOLM</t>
        </is>
      </c>
      <c r="I511" t="n">
        <v>3.9</v>
      </c>
      <c r="J511" t="n">
        <v>0</v>
      </c>
      <c r="K511" t="n">
        <v>0</v>
      </c>
      <c r="L511" t="n">
        <v>0</v>
      </c>
      <c r="M511" t="n">
        <v>0</v>
      </c>
      <c r="N511" t="n">
        <v>0</v>
      </c>
      <c r="O511" t="n">
        <v>0</v>
      </c>
      <c r="P511" t="n">
        <v>0</v>
      </c>
      <c r="Q511" t="n">
        <v>0</v>
      </c>
      <c r="R511" t="n">
        <v>0</v>
      </c>
      <c r="S511" t="n">
        <v>0</v>
      </c>
      <c r="T511" t="n">
        <v>0</v>
      </c>
      <c r="U511" s="2" t="inlineStr"/>
    </row>
    <row r="512" ht="15" customHeight="1">
      <c r="A512" t="inlineStr">
        <is>
          <t>A 39055-2022</t>
        </is>
      </c>
      <c r="B512" t="inlineStr">
        <is>
          <t>avverkningsanmälan</t>
        </is>
      </c>
      <c r="C512" t="inlineStr">
        <is>
          <t>Föryngringsavverkning</t>
        </is>
      </c>
      <c r="D512" s="1" t="n">
        <v>44817</v>
      </c>
      <c r="E512" s="1" t="n">
        <v>46220</v>
      </c>
      <c r="F512" t="inlineStr">
        <is>
          <t>SÖDERMANLANDS LÄN</t>
        </is>
      </c>
      <c r="G512" t="inlineStr">
        <is>
          <t>KATRINEHOLM</t>
        </is>
      </c>
      <c r="H512" t="inlineStr">
        <is>
          <t>Övriga Aktiebolag</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7056-2022</t>
        </is>
      </c>
      <c r="B513" t="inlineStr">
        <is>
          <t>avverkningsanmälan</t>
        </is>
      </c>
      <c r="C513" t="inlineStr">
        <is>
          <t>Föryngringsavverkning</t>
        </is>
      </c>
      <c r="D513" s="1" t="n">
        <v>44603</v>
      </c>
      <c r="E513" s="1" t="n">
        <v>46220</v>
      </c>
      <c r="F513" t="inlineStr">
        <is>
          <t>SÖDERMANLANDS LÄN</t>
        </is>
      </c>
      <c r="G513" t="inlineStr">
        <is>
          <t>KATRINEHOLM</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42896-2024</t>
        </is>
      </c>
      <c r="B514" t="inlineStr">
        <is>
          <t>avverkningsanmälan</t>
        </is>
      </c>
      <c r="C514" t="inlineStr">
        <is>
          <t>Föryngringsavverkning</t>
        </is>
      </c>
      <c r="D514" s="1" t="n">
        <v>45566</v>
      </c>
      <c r="E514" s="1" t="n">
        <v>46220</v>
      </c>
      <c r="F514" t="inlineStr">
        <is>
          <t>SÖDERMANLANDS LÄN</t>
        </is>
      </c>
      <c r="G514" t="inlineStr">
        <is>
          <t>KATRINEHOLM</t>
        </is>
      </c>
      <c r="I514" t="n">
        <v>4.3</v>
      </c>
      <c r="J514" t="n">
        <v>0</v>
      </c>
      <c r="K514" t="n">
        <v>0</v>
      </c>
      <c r="L514" t="n">
        <v>0</v>
      </c>
      <c r="M514" t="n">
        <v>0</v>
      </c>
      <c r="N514" t="n">
        <v>0</v>
      </c>
      <c r="O514" t="n">
        <v>0</v>
      </c>
      <c r="P514" t="n">
        <v>0</v>
      </c>
      <c r="Q514" t="n">
        <v>0</v>
      </c>
      <c r="R514" t="n">
        <v>0</v>
      </c>
      <c r="S514" t="n">
        <v>0</v>
      </c>
      <c r="T514" t="n">
        <v>0</v>
      </c>
      <c r="U514" s="2" t="inlineStr"/>
    </row>
    <row r="515" ht="15" customHeight="1">
      <c r="A515" t="inlineStr">
        <is>
          <t>A 29008-2024</t>
        </is>
      </c>
      <c r="B515" t="inlineStr">
        <is>
          <t>avverkningsanmälan</t>
        </is>
      </c>
      <c r="C515" t="inlineStr">
        <is>
          <t>Föryngringsavverkning</t>
        </is>
      </c>
      <c r="D515" s="1" t="n">
        <v>45481</v>
      </c>
      <c r="E515" s="1" t="n">
        <v>46220</v>
      </c>
      <c r="F515" t="inlineStr">
        <is>
          <t>SÖDERMANLANDS LÄN</t>
        </is>
      </c>
      <c r="G515" t="inlineStr">
        <is>
          <t>KATRINEHOLM</t>
        </is>
      </c>
      <c r="I515" t="n">
        <v>1.7</v>
      </c>
      <c r="J515" t="n">
        <v>0</v>
      </c>
      <c r="K515" t="n">
        <v>0</v>
      </c>
      <c r="L515" t="n">
        <v>0</v>
      </c>
      <c r="M515" t="n">
        <v>0</v>
      </c>
      <c r="N515" t="n">
        <v>0</v>
      </c>
      <c r="O515" t="n">
        <v>0</v>
      </c>
      <c r="P515" t="n">
        <v>0</v>
      </c>
      <c r="Q515" t="n">
        <v>0</v>
      </c>
      <c r="R515" t="n">
        <v>0</v>
      </c>
      <c r="S515" t="n">
        <v>0</v>
      </c>
      <c r="T515" t="n">
        <v>0</v>
      </c>
      <c r="U515" s="2" t="inlineStr"/>
    </row>
    <row r="516" ht="15" customHeight="1">
      <c r="A516" t="inlineStr">
        <is>
          <t>A 62419-2023</t>
        </is>
      </c>
      <c r="B516" t="inlineStr">
        <is>
          <t>avverkningsanmälan</t>
        </is>
      </c>
      <c r="C516" t="inlineStr">
        <is>
          <t>Föryngringsavverkning</t>
        </is>
      </c>
      <c r="D516" s="1" t="n">
        <v>45268</v>
      </c>
      <c r="E516" s="1" t="n">
        <v>46220</v>
      </c>
      <c r="F516" t="inlineStr">
        <is>
          <t>SÖDERMANLANDS LÄN</t>
        </is>
      </c>
      <c r="G516" t="inlineStr">
        <is>
          <t>KATRINEHOLM</t>
        </is>
      </c>
      <c r="I516" t="n">
        <v>9</v>
      </c>
      <c r="J516" t="n">
        <v>0</v>
      </c>
      <c r="K516" t="n">
        <v>0</v>
      </c>
      <c r="L516" t="n">
        <v>0</v>
      </c>
      <c r="M516" t="n">
        <v>0</v>
      </c>
      <c r="N516" t="n">
        <v>0</v>
      </c>
      <c r="O516" t="n">
        <v>0</v>
      </c>
      <c r="P516" t="n">
        <v>0</v>
      </c>
      <c r="Q516" t="n">
        <v>0</v>
      </c>
      <c r="R516" t="n">
        <v>0</v>
      </c>
      <c r="S516" t="n">
        <v>0</v>
      </c>
      <c r="T516" t="n">
        <v>0</v>
      </c>
      <c r="U516" s="2" t="inlineStr"/>
    </row>
    <row r="517" ht="15" customHeight="1">
      <c r="A517" t="inlineStr">
        <is>
          <t>A 53722-2023</t>
        </is>
      </c>
      <c r="B517" t="inlineStr">
        <is>
          <t>avverkningsanmälan</t>
        </is>
      </c>
      <c r="C517" t="inlineStr">
        <is>
          <t>Föryngringsavverkning</t>
        </is>
      </c>
      <c r="D517" s="1" t="n">
        <v>45230</v>
      </c>
      <c r="E517" s="1" t="n">
        <v>46220</v>
      </c>
      <c r="F517" t="inlineStr">
        <is>
          <t>SÖDERMANLANDS LÄN</t>
        </is>
      </c>
      <c r="G517" t="inlineStr">
        <is>
          <t>KATRINEHOLM</t>
        </is>
      </c>
      <c r="H517" t="inlineStr">
        <is>
          <t>Allmännings- och besparingsskogar</t>
        </is>
      </c>
      <c r="I517" t="n">
        <v>8.199999999999999</v>
      </c>
      <c r="J517" t="n">
        <v>0</v>
      </c>
      <c r="K517" t="n">
        <v>0</v>
      </c>
      <c r="L517" t="n">
        <v>0</v>
      </c>
      <c r="M517" t="n">
        <v>0</v>
      </c>
      <c r="N517" t="n">
        <v>0</v>
      </c>
      <c r="O517" t="n">
        <v>0</v>
      </c>
      <c r="P517" t="n">
        <v>0</v>
      </c>
      <c r="Q517" t="n">
        <v>0</v>
      </c>
      <c r="R517" t="n">
        <v>0</v>
      </c>
      <c r="S517" t="n">
        <v>0</v>
      </c>
      <c r="T517" t="n">
        <v>0</v>
      </c>
      <c r="U517" s="2" t="inlineStr"/>
    </row>
    <row r="518" ht="15" customHeight="1">
      <c r="A518" t="inlineStr">
        <is>
          <t>A 26498-2026</t>
        </is>
      </c>
      <c r="B518" t="inlineStr">
        <is>
          <t>avverkningsanmälan</t>
        </is>
      </c>
      <c r="C518" t="inlineStr">
        <is>
          <t>Föryngringsavverkning</t>
        </is>
      </c>
      <c r="D518" s="1" t="n">
        <v>46183</v>
      </c>
      <c r="E518" s="1" t="n">
        <v>46220</v>
      </c>
      <c r="F518" t="inlineStr">
        <is>
          <t>SÖDERMANLANDS LÄN</t>
        </is>
      </c>
      <c r="G518" t="inlineStr">
        <is>
          <t>KATRINEHOLM</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38869-2024</t>
        </is>
      </c>
      <c r="B519" t="inlineStr">
        <is>
          <t>avverkningsanmälan</t>
        </is>
      </c>
      <c r="C519" t="inlineStr">
        <is>
          <t>Föryngringsavverkning</t>
        </is>
      </c>
      <c r="D519" s="1" t="n">
        <v>45547</v>
      </c>
      <c r="E519" s="1" t="n">
        <v>46220</v>
      </c>
      <c r="F519" t="inlineStr">
        <is>
          <t>SÖDERMANLANDS LÄN</t>
        </is>
      </c>
      <c r="G519" t="inlineStr">
        <is>
          <t>KATRINEHOLM</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26483-2026</t>
        </is>
      </c>
      <c r="B520" t="inlineStr">
        <is>
          <t>avverkningsanmälan</t>
        </is>
      </c>
      <c r="C520" t="inlineStr">
        <is>
          <t>Föryngringsavverkning</t>
        </is>
      </c>
      <c r="D520" s="1" t="n">
        <v>46183</v>
      </c>
      <c r="E520" s="1" t="n">
        <v>46220</v>
      </c>
      <c r="F520" t="inlineStr">
        <is>
          <t>SÖDERMANLANDS LÄN</t>
        </is>
      </c>
      <c r="G520" t="inlineStr">
        <is>
          <t>KATRINEHOLM</t>
        </is>
      </c>
      <c r="I520" t="n">
        <v>10.6</v>
      </c>
      <c r="J520" t="n">
        <v>0</v>
      </c>
      <c r="K520" t="n">
        <v>0</v>
      </c>
      <c r="L520" t="n">
        <v>0</v>
      </c>
      <c r="M520" t="n">
        <v>0</v>
      </c>
      <c r="N520" t="n">
        <v>0</v>
      </c>
      <c r="O520" t="n">
        <v>0</v>
      </c>
      <c r="P520" t="n">
        <v>0</v>
      </c>
      <c r="Q520" t="n">
        <v>0</v>
      </c>
      <c r="R520" t="n">
        <v>0</v>
      </c>
      <c r="S520" t="n">
        <v>0</v>
      </c>
      <c r="T520" t="n">
        <v>0</v>
      </c>
      <c r="U520" s="2" t="inlineStr"/>
    </row>
    <row r="521" ht="15" customHeight="1">
      <c r="A521" t="inlineStr">
        <is>
          <t>A 62140-2022</t>
        </is>
      </c>
      <c r="B521" t="inlineStr">
        <is>
          <t>avverkningsanmälan</t>
        </is>
      </c>
      <c r="C521" t="inlineStr">
        <is>
          <t>Föryngringsavverkning</t>
        </is>
      </c>
      <c r="D521" s="1" t="n">
        <v>44922</v>
      </c>
      <c r="E521" s="1" t="n">
        <v>46220</v>
      </c>
      <c r="F521" t="inlineStr">
        <is>
          <t>SÖDERMANLANDS LÄN</t>
        </is>
      </c>
      <c r="G521" t="inlineStr">
        <is>
          <t>KATRINEHOLM</t>
        </is>
      </c>
      <c r="H521" t="inlineStr">
        <is>
          <t>Övriga Aktiebolag</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28431-2024</t>
        </is>
      </c>
      <c r="B522" t="inlineStr">
        <is>
          <t>avverkningsanmälan</t>
        </is>
      </c>
      <c r="C522" t="inlineStr">
        <is>
          <t>Föryngringsavverkning</t>
        </is>
      </c>
      <c r="D522" s="1" t="n">
        <v>45477</v>
      </c>
      <c r="E522" s="1" t="n">
        <v>46220</v>
      </c>
      <c r="F522" t="inlineStr">
        <is>
          <t>SÖDERMANLANDS LÄN</t>
        </is>
      </c>
      <c r="G522" t="inlineStr">
        <is>
          <t>KATRINEHOLM</t>
        </is>
      </c>
      <c r="I522" t="n">
        <v>3.5</v>
      </c>
      <c r="J522" t="n">
        <v>0</v>
      </c>
      <c r="K522" t="n">
        <v>0</v>
      </c>
      <c r="L522" t="n">
        <v>0</v>
      </c>
      <c r="M522" t="n">
        <v>0</v>
      </c>
      <c r="N522" t="n">
        <v>0</v>
      </c>
      <c r="O522" t="n">
        <v>0</v>
      </c>
      <c r="P522" t="n">
        <v>0</v>
      </c>
      <c r="Q522" t="n">
        <v>0</v>
      </c>
      <c r="R522" t="n">
        <v>0</v>
      </c>
      <c r="S522" t="n">
        <v>0</v>
      </c>
      <c r="T522" t="n">
        <v>0</v>
      </c>
      <c r="U522" s="2" t="inlineStr"/>
    </row>
    <row r="523" ht="15" customHeight="1">
      <c r="A523" t="inlineStr">
        <is>
          <t>A 7867-2024</t>
        </is>
      </c>
      <c r="B523" t="inlineStr">
        <is>
          <t>avverkningsanmälan</t>
        </is>
      </c>
      <c r="C523" t="inlineStr">
        <is>
          <t>Föryngringsavverkning</t>
        </is>
      </c>
      <c r="D523" s="1" t="n">
        <v>45350</v>
      </c>
      <c r="E523" s="1" t="n">
        <v>46220</v>
      </c>
      <c r="F523" t="inlineStr">
        <is>
          <t>SÖDERMANLANDS LÄN</t>
        </is>
      </c>
      <c r="G523" t="inlineStr">
        <is>
          <t>KATRINEHOLM</t>
        </is>
      </c>
      <c r="H523" t="inlineStr">
        <is>
          <t>Kyrkan</t>
        </is>
      </c>
      <c r="I523" t="n">
        <v>3.3</v>
      </c>
      <c r="J523" t="n">
        <v>0</v>
      </c>
      <c r="K523" t="n">
        <v>0</v>
      </c>
      <c r="L523" t="n">
        <v>0</v>
      </c>
      <c r="M523" t="n">
        <v>0</v>
      </c>
      <c r="N523" t="n">
        <v>0</v>
      </c>
      <c r="O523" t="n">
        <v>0</v>
      </c>
      <c r="P523" t="n">
        <v>0</v>
      </c>
      <c r="Q523" t="n">
        <v>0</v>
      </c>
      <c r="R523" t="n">
        <v>0</v>
      </c>
      <c r="S523" t="n">
        <v>0</v>
      </c>
      <c r="T523" t="n">
        <v>0</v>
      </c>
      <c r="U523" s="2" t="inlineStr"/>
    </row>
    <row r="524" ht="15" customHeight="1">
      <c r="A524" t="inlineStr">
        <is>
          <t>A 8957-2024</t>
        </is>
      </c>
      <c r="B524" t="inlineStr">
        <is>
          <t>avverkningsanmälan</t>
        </is>
      </c>
      <c r="C524" t="inlineStr">
        <is>
          <t>Föryngringsavverkning</t>
        </is>
      </c>
      <c r="D524" s="1" t="n">
        <v>45357</v>
      </c>
      <c r="E524" s="1" t="n">
        <v>46220</v>
      </c>
      <c r="F524" t="inlineStr">
        <is>
          <t>SÖDERMANLANDS LÄN</t>
        </is>
      </c>
      <c r="G524" t="inlineStr">
        <is>
          <t>KATRINEHOLM</t>
        </is>
      </c>
      <c r="I524" t="n">
        <v>3.6</v>
      </c>
      <c r="J524" t="n">
        <v>0</v>
      </c>
      <c r="K524" t="n">
        <v>0</v>
      </c>
      <c r="L524" t="n">
        <v>0</v>
      </c>
      <c r="M524" t="n">
        <v>0</v>
      </c>
      <c r="N524" t="n">
        <v>0</v>
      </c>
      <c r="O524" t="n">
        <v>0</v>
      </c>
      <c r="P524" t="n">
        <v>0</v>
      </c>
      <c r="Q524" t="n">
        <v>0</v>
      </c>
      <c r="R524" t="n">
        <v>0</v>
      </c>
      <c r="S524" t="n">
        <v>0</v>
      </c>
      <c r="T524" t="n">
        <v>0</v>
      </c>
      <c r="U524" s="2" t="inlineStr"/>
    </row>
    <row r="525" ht="15" customHeight="1">
      <c r="A525" t="inlineStr">
        <is>
          <t>A 36590-2025</t>
        </is>
      </c>
      <c r="B525" t="inlineStr">
        <is>
          <t>avverkningsanmälan</t>
        </is>
      </c>
      <c r="C525" t="inlineStr">
        <is>
          <t>Föryngringsavverkning</t>
        </is>
      </c>
      <c r="D525" s="1" t="n">
        <v>45870</v>
      </c>
      <c r="E525" s="1" t="n">
        <v>46220</v>
      </c>
      <c r="F525" t="inlineStr">
        <is>
          <t>SÖDERMANLANDS LÄN</t>
        </is>
      </c>
      <c r="G525" t="inlineStr">
        <is>
          <t>KATRINEHOLM</t>
        </is>
      </c>
      <c r="I525" t="n">
        <v>2</v>
      </c>
      <c r="J525" t="n">
        <v>0</v>
      </c>
      <c r="K525" t="n">
        <v>0</v>
      </c>
      <c r="L525" t="n">
        <v>0</v>
      </c>
      <c r="M525" t="n">
        <v>0</v>
      </c>
      <c r="N525" t="n">
        <v>0</v>
      </c>
      <c r="O525" t="n">
        <v>0</v>
      </c>
      <c r="P525" t="n">
        <v>0</v>
      </c>
      <c r="Q525" t="n">
        <v>0</v>
      </c>
      <c r="R525" t="n">
        <v>0</v>
      </c>
      <c r="S525" t="n">
        <v>0</v>
      </c>
      <c r="T525" t="n">
        <v>0</v>
      </c>
      <c r="U525" s="2" t="inlineStr"/>
    </row>
    <row r="526" ht="15" customHeight="1">
      <c r="A526" t="inlineStr">
        <is>
          <t>A 38019-2022</t>
        </is>
      </c>
      <c r="B526" t="inlineStr">
        <is>
          <t>avverkningsanmälan</t>
        </is>
      </c>
      <c r="C526" t="inlineStr">
        <is>
          <t>Föryngringsavverkning</t>
        </is>
      </c>
      <c r="D526" s="1" t="n">
        <v>44811</v>
      </c>
      <c r="E526" s="1" t="n">
        <v>46220</v>
      </c>
      <c r="F526" t="inlineStr">
        <is>
          <t>SÖDERMANLANDS LÄN</t>
        </is>
      </c>
      <c r="G526" t="inlineStr">
        <is>
          <t>KATRINEHOLM</t>
        </is>
      </c>
      <c r="I526" t="n">
        <v>5.8</v>
      </c>
      <c r="J526" t="n">
        <v>0</v>
      </c>
      <c r="K526" t="n">
        <v>0</v>
      </c>
      <c r="L526" t="n">
        <v>0</v>
      </c>
      <c r="M526" t="n">
        <v>0</v>
      </c>
      <c r="N526" t="n">
        <v>0</v>
      </c>
      <c r="O526" t="n">
        <v>0</v>
      </c>
      <c r="P526" t="n">
        <v>0</v>
      </c>
      <c r="Q526" t="n">
        <v>0</v>
      </c>
      <c r="R526" t="n">
        <v>0</v>
      </c>
      <c r="S526" t="n">
        <v>0</v>
      </c>
      <c r="T526" t="n">
        <v>0</v>
      </c>
      <c r="U526" s="2" t="inlineStr"/>
    </row>
    <row r="527" ht="15" customHeight="1">
      <c r="A527" t="inlineStr">
        <is>
          <t>A 20956-2026</t>
        </is>
      </c>
      <c r="B527" t="inlineStr">
        <is>
          <t>avverkningsanmälan</t>
        </is>
      </c>
      <c r="C527" t="inlineStr">
        <is>
          <t>Föryngringsavverkning</t>
        </is>
      </c>
      <c r="D527" s="1" t="n">
        <v>46142</v>
      </c>
      <c r="E527" s="1" t="n">
        <v>46220</v>
      </c>
      <c r="F527" t="inlineStr">
        <is>
          <t>SÖDERMANLANDS LÄN</t>
        </is>
      </c>
      <c r="G527" t="inlineStr">
        <is>
          <t>KATRINEHOLM</t>
        </is>
      </c>
      <c r="I527" t="n">
        <v>3.6</v>
      </c>
      <c r="J527" t="n">
        <v>0</v>
      </c>
      <c r="K527" t="n">
        <v>0</v>
      </c>
      <c r="L527" t="n">
        <v>0</v>
      </c>
      <c r="M527" t="n">
        <v>0</v>
      </c>
      <c r="N527" t="n">
        <v>0</v>
      </c>
      <c r="O527" t="n">
        <v>0</v>
      </c>
      <c r="P527" t="n">
        <v>0</v>
      </c>
      <c r="Q527" t="n">
        <v>0</v>
      </c>
      <c r="R527" t="n">
        <v>0</v>
      </c>
      <c r="S527" t="n">
        <v>0</v>
      </c>
      <c r="T527" t="n">
        <v>0</v>
      </c>
      <c r="U527" s="2" t="inlineStr"/>
    </row>
    <row r="528" ht="15" customHeight="1">
      <c r="A528" t="inlineStr">
        <is>
          <t>A 26553-2026</t>
        </is>
      </c>
      <c r="B528" t="inlineStr">
        <is>
          <t>avverkningsanmälan</t>
        </is>
      </c>
      <c r="C528" t="inlineStr">
        <is>
          <t>Föryngringsavverkning</t>
        </is>
      </c>
      <c r="D528" s="1" t="n">
        <v>46183</v>
      </c>
      <c r="E528" s="1" t="n">
        <v>46220</v>
      </c>
      <c r="F528" t="inlineStr">
        <is>
          <t>SÖDERMANLANDS LÄN</t>
        </is>
      </c>
      <c r="G528" t="inlineStr">
        <is>
          <t>KATRINEHOLM</t>
        </is>
      </c>
      <c r="I528" t="n">
        <v>3.2</v>
      </c>
      <c r="J528" t="n">
        <v>0</v>
      </c>
      <c r="K528" t="n">
        <v>0</v>
      </c>
      <c r="L528" t="n">
        <v>0</v>
      </c>
      <c r="M528" t="n">
        <v>0</v>
      </c>
      <c r="N528" t="n">
        <v>0</v>
      </c>
      <c r="O528" t="n">
        <v>0</v>
      </c>
      <c r="P528" t="n">
        <v>0</v>
      </c>
      <c r="Q528" t="n">
        <v>0</v>
      </c>
      <c r="R528" t="n">
        <v>0</v>
      </c>
      <c r="S528" t="n">
        <v>0</v>
      </c>
      <c r="T528" t="n">
        <v>0</v>
      </c>
      <c r="U528" s="2" t="inlineStr"/>
    </row>
    <row r="529" ht="15" customHeight="1">
      <c r="A529" t="inlineStr">
        <is>
          <t>A 60677-2021</t>
        </is>
      </c>
      <c r="B529" t="inlineStr">
        <is>
          <t>avverkningsanmälan</t>
        </is>
      </c>
      <c r="C529" t="inlineStr">
        <is>
          <t>Föryngringsavverkning</t>
        </is>
      </c>
      <c r="D529" s="1" t="n">
        <v>44495</v>
      </c>
      <c r="E529" s="1" t="n">
        <v>46220</v>
      </c>
      <c r="F529" t="inlineStr">
        <is>
          <t>SÖDERMANLANDS LÄN</t>
        </is>
      </c>
      <c r="G529" t="inlineStr">
        <is>
          <t>KATRINEHOLM</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20987-2026</t>
        </is>
      </c>
      <c r="B530" t="inlineStr">
        <is>
          <t>avverkningsanmälan</t>
        </is>
      </c>
      <c r="C530" t="inlineStr">
        <is>
          <t>Föryngringsavverkning</t>
        </is>
      </c>
      <c r="D530" s="1" t="n">
        <v>46142</v>
      </c>
      <c r="E530" s="1" t="n">
        <v>46220</v>
      </c>
      <c r="F530" t="inlineStr">
        <is>
          <t>SÖDERMANLANDS LÄN</t>
        </is>
      </c>
      <c r="G530" t="inlineStr">
        <is>
          <t>KATRINEHOLM</t>
        </is>
      </c>
      <c r="I530" t="n">
        <v>2.8</v>
      </c>
      <c r="J530" t="n">
        <v>0</v>
      </c>
      <c r="K530" t="n">
        <v>0</v>
      </c>
      <c r="L530" t="n">
        <v>0</v>
      </c>
      <c r="M530" t="n">
        <v>0</v>
      </c>
      <c r="N530" t="n">
        <v>0</v>
      </c>
      <c r="O530" t="n">
        <v>0</v>
      </c>
      <c r="P530" t="n">
        <v>0</v>
      </c>
      <c r="Q530" t="n">
        <v>0</v>
      </c>
      <c r="R530" t="n">
        <v>0</v>
      </c>
      <c r="S530" t="n">
        <v>0</v>
      </c>
      <c r="T530" t="n">
        <v>0</v>
      </c>
      <c r="U530" s="2" t="inlineStr"/>
    </row>
    <row r="531" ht="15" customHeight="1">
      <c r="A531" t="inlineStr">
        <is>
          <t>A 3986-2024</t>
        </is>
      </c>
      <c r="B531" t="inlineStr">
        <is>
          <t>avverkningsanmälan</t>
        </is>
      </c>
      <c r="C531" t="inlineStr">
        <is>
          <t>Föryngringsavverkning</t>
        </is>
      </c>
      <c r="D531" s="1" t="n">
        <v>45322</v>
      </c>
      <c r="E531" s="1" t="n">
        <v>46220</v>
      </c>
      <c r="F531" t="inlineStr">
        <is>
          <t>SÖDERMANLANDS LÄN</t>
        </is>
      </c>
      <c r="G531" t="inlineStr">
        <is>
          <t>KATRINEHOLM</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3939-2022</t>
        </is>
      </c>
      <c r="B532" t="inlineStr">
        <is>
          <t>avverkningsanmälan</t>
        </is>
      </c>
      <c r="C532" t="inlineStr">
        <is>
          <t>Föryngringsavverkning</t>
        </is>
      </c>
      <c r="D532" s="1" t="n">
        <v>44587</v>
      </c>
      <c r="E532" s="1" t="n">
        <v>46220</v>
      </c>
      <c r="F532" t="inlineStr">
        <is>
          <t>SÖDERMANLANDS LÄN</t>
        </is>
      </c>
      <c r="G532" t="inlineStr">
        <is>
          <t>KATRINEHOLM</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2683-2025</t>
        </is>
      </c>
      <c r="B533" t="inlineStr">
        <is>
          <t>avverkningsanmälan</t>
        </is>
      </c>
      <c r="C533" t="inlineStr">
        <is>
          <t>Avverkning för annat ändamål</t>
        </is>
      </c>
      <c r="D533" s="1" t="n">
        <v>45677</v>
      </c>
      <c r="E533" s="1" t="n">
        <v>46220</v>
      </c>
      <c r="F533" t="inlineStr">
        <is>
          <t>SÖDERMANLANDS LÄN</t>
        </is>
      </c>
      <c r="G533" t="inlineStr">
        <is>
          <t>KATRINEHOLM</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3317-2023</t>
        </is>
      </c>
      <c r="B534" t="inlineStr">
        <is>
          <t>avverkningsanmälan</t>
        </is>
      </c>
      <c r="C534" t="inlineStr">
        <is>
          <t>Föryngringsavverkning</t>
        </is>
      </c>
      <c r="D534" s="1" t="n">
        <v>44945</v>
      </c>
      <c r="E534" s="1" t="n">
        <v>46220</v>
      </c>
      <c r="F534" t="inlineStr">
        <is>
          <t>SÖDERMANLANDS LÄN</t>
        </is>
      </c>
      <c r="G534" t="inlineStr">
        <is>
          <t>KATRINEHOLM</t>
        </is>
      </c>
      <c r="I534" t="n">
        <v>3.2</v>
      </c>
      <c r="J534" t="n">
        <v>0</v>
      </c>
      <c r="K534" t="n">
        <v>0</v>
      </c>
      <c r="L534" t="n">
        <v>0</v>
      </c>
      <c r="M534" t="n">
        <v>0</v>
      </c>
      <c r="N534" t="n">
        <v>0</v>
      </c>
      <c r="O534" t="n">
        <v>0</v>
      </c>
      <c r="P534" t="n">
        <v>0</v>
      </c>
      <c r="Q534" t="n">
        <v>0</v>
      </c>
      <c r="R534" t="n">
        <v>0</v>
      </c>
      <c r="S534" t="n">
        <v>0</v>
      </c>
      <c r="T534" t="n">
        <v>0</v>
      </c>
      <c r="U534" s="2" t="inlineStr"/>
    </row>
    <row r="535" ht="15" customHeight="1">
      <c r="A535" t="inlineStr">
        <is>
          <t>A 27109-2026</t>
        </is>
      </c>
      <c r="B535" t="inlineStr">
        <is>
          <t>avverkningsanmälan</t>
        </is>
      </c>
      <c r="C535" t="inlineStr">
        <is>
          <t>Föryngringsavverkning</t>
        </is>
      </c>
      <c r="D535" s="1" t="n">
        <v>46188</v>
      </c>
      <c r="E535" s="1" t="n">
        <v>46220</v>
      </c>
      <c r="F535" t="inlineStr">
        <is>
          <t>SÖDERMANLANDS LÄN</t>
        </is>
      </c>
      <c r="G535" t="inlineStr">
        <is>
          <t>KATRINEHOLM</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32944-2023</t>
        </is>
      </c>
      <c r="B536" t="inlineStr">
        <is>
          <t>avverkningsanmälan</t>
        </is>
      </c>
      <c r="C536" t="inlineStr">
        <is>
          <t>Föryngringsavverkning</t>
        </is>
      </c>
      <c r="D536" s="1" t="n">
        <v>45125</v>
      </c>
      <c r="E536" s="1" t="n">
        <v>46220</v>
      </c>
      <c r="F536" t="inlineStr">
        <is>
          <t>SÖDERMANLANDS LÄN</t>
        </is>
      </c>
      <c r="G536" t="inlineStr">
        <is>
          <t>KATRINEHOLM</t>
        </is>
      </c>
      <c r="I536" t="n">
        <v>1.7</v>
      </c>
      <c r="J536" t="n">
        <v>0</v>
      </c>
      <c r="K536" t="n">
        <v>0</v>
      </c>
      <c r="L536" t="n">
        <v>0</v>
      </c>
      <c r="M536" t="n">
        <v>0</v>
      </c>
      <c r="N536" t="n">
        <v>0</v>
      </c>
      <c r="O536" t="n">
        <v>0</v>
      </c>
      <c r="P536" t="n">
        <v>0</v>
      </c>
      <c r="Q536" t="n">
        <v>0</v>
      </c>
      <c r="R536" t="n">
        <v>0</v>
      </c>
      <c r="S536" t="n">
        <v>0</v>
      </c>
      <c r="T536" t="n">
        <v>0</v>
      </c>
      <c r="U536" s="2" t="inlineStr"/>
    </row>
    <row r="537" ht="15" customHeight="1">
      <c r="A537" t="inlineStr">
        <is>
          <t>A 29198-2023</t>
        </is>
      </c>
      <c r="B537" t="inlineStr">
        <is>
          <t>avverkningsanmälan</t>
        </is>
      </c>
      <c r="C537" t="inlineStr">
        <is>
          <t>Föryngringsavverkning</t>
        </is>
      </c>
      <c r="D537" s="1" t="n">
        <v>45105</v>
      </c>
      <c r="E537" s="1" t="n">
        <v>46220</v>
      </c>
      <c r="F537" t="inlineStr">
        <is>
          <t>SÖDERMANLANDS LÄN</t>
        </is>
      </c>
      <c r="G537" t="inlineStr">
        <is>
          <t>KATRINEHOLM</t>
        </is>
      </c>
      <c r="H537" t="inlineStr">
        <is>
          <t>Övriga Aktiebolag</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56661-2021</t>
        </is>
      </c>
      <c r="B538" t="inlineStr">
        <is>
          <t>avverkningsanmälan</t>
        </is>
      </c>
      <c r="C538" t="inlineStr">
        <is>
          <t>Föryngringsavverkning</t>
        </is>
      </c>
      <c r="D538" s="1" t="n">
        <v>44481</v>
      </c>
      <c r="E538" s="1" t="n">
        <v>46220</v>
      </c>
      <c r="F538" t="inlineStr">
        <is>
          <t>SÖDERMANLANDS LÄN</t>
        </is>
      </c>
      <c r="G538" t="inlineStr">
        <is>
          <t>KATRINEHOLM</t>
        </is>
      </c>
      <c r="I538" t="n">
        <v>5.8</v>
      </c>
      <c r="J538" t="n">
        <v>0</v>
      </c>
      <c r="K538" t="n">
        <v>0</v>
      </c>
      <c r="L538" t="n">
        <v>0</v>
      </c>
      <c r="M538" t="n">
        <v>0</v>
      </c>
      <c r="N538" t="n">
        <v>0</v>
      </c>
      <c r="O538" t="n">
        <v>0</v>
      </c>
      <c r="P538" t="n">
        <v>0</v>
      </c>
      <c r="Q538" t="n">
        <v>0</v>
      </c>
      <c r="R538" t="n">
        <v>0</v>
      </c>
      <c r="S538" t="n">
        <v>0</v>
      </c>
      <c r="T538" t="n">
        <v>0</v>
      </c>
      <c r="U538" s="2" t="inlineStr"/>
    </row>
    <row r="539" ht="15" customHeight="1">
      <c r="A539" t="inlineStr">
        <is>
          <t>A 45246-2023</t>
        </is>
      </c>
      <c r="B539" t="inlineStr">
        <is>
          <t>avverkningsanmälan</t>
        </is>
      </c>
      <c r="C539" t="inlineStr">
        <is>
          <t>Föryngringsavverkning</t>
        </is>
      </c>
      <c r="D539" s="1" t="n">
        <v>45191</v>
      </c>
      <c r="E539" s="1" t="n">
        <v>46220</v>
      </c>
      <c r="F539" t="inlineStr">
        <is>
          <t>SÖDERMANLANDS LÄN</t>
        </is>
      </c>
      <c r="G539" t="inlineStr">
        <is>
          <t>KATRINEHOLM</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28317-2024</t>
        </is>
      </c>
      <c r="B540" t="inlineStr">
        <is>
          <t>avverkningsanmälan</t>
        </is>
      </c>
      <c r="C540" t="inlineStr">
        <is>
          <t>Föryngringsavverkning</t>
        </is>
      </c>
      <c r="D540" s="1" t="n">
        <v>45477</v>
      </c>
      <c r="E540" s="1" t="n">
        <v>46220</v>
      </c>
      <c r="F540" t="inlineStr">
        <is>
          <t>SÖDERMANLANDS LÄN</t>
        </is>
      </c>
      <c r="G540" t="inlineStr">
        <is>
          <t>KATRINEHOLM</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55171-2023</t>
        </is>
      </c>
      <c r="B541" t="inlineStr">
        <is>
          <t>avverkningsanmälan</t>
        </is>
      </c>
      <c r="C541" t="inlineStr">
        <is>
          <t>Föryngringsavverkning</t>
        </is>
      </c>
      <c r="D541" s="1" t="n">
        <v>45231</v>
      </c>
      <c r="E541" s="1" t="n">
        <v>46220</v>
      </c>
      <c r="F541" t="inlineStr">
        <is>
          <t>SÖDERMANLANDS LÄN</t>
        </is>
      </c>
      <c r="G541" t="inlineStr">
        <is>
          <t>KATRINEHOLM</t>
        </is>
      </c>
      <c r="I541" t="n">
        <v>4.2</v>
      </c>
      <c r="J541" t="n">
        <v>0</v>
      </c>
      <c r="K541" t="n">
        <v>0</v>
      </c>
      <c r="L541" t="n">
        <v>0</v>
      </c>
      <c r="M541" t="n">
        <v>0</v>
      </c>
      <c r="N541" t="n">
        <v>0</v>
      </c>
      <c r="O541" t="n">
        <v>0</v>
      </c>
      <c r="P541" t="n">
        <v>0</v>
      </c>
      <c r="Q541" t="n">
        <v>0</v>
      </c>
      <c r="R541" t="n">
        <v>0</v>
      </c>
      <c r="S541" t="n">
        <v>0</v>
      </c>
      <c r="T541" t="n">
        <v>0</v>
      </c>
      <c r="U541" s="2" t="inlineStr"/>
    </row>
    <row r="542" ht="15" customHeight="1">
      <c r="A542" t="inlineStr">
        <is>
          <t>A 48097-2023</t>
        </is>
      </c>
      <c r="B542" t="inlineStr">
        <is>
          <t>avverkningsanmälan</t>
        </is>
      </c>
      <c r="C542" t="inlineStr">
        <is>
          <t>Föryngringsavverkning</t>
        </is>
      </c>
      <c r="D542" s="1" t="n">
        <v>45205</v>
      </c>
      <c r="E542" s="1" t="n">
        <v>46220</v>
      </c>
      <c r="F542" t="inlineStr">
        <is>
          <t>SÖDERMANLANDS LÄN</t>
        </is>
      </c>
      <c r="G542" t="inlineStr">
        <is>
          <t>KATRINEHOLM</t>
        </is>
      </c>
      <c r="I542" t="n">
        <v>2.3</v>
      </c>
      <c r="J542" t="n">
        <v>0</v>
      </c>
      <c r="K542" t="n">
        <v>0</v>
      </c>
      <c r="L542" t="n">
        <v>0</v>
      </c>
      <c r="M542" t="n">
        <v>0</v>
      </c>
      <c r="N542" t="n">
        <v>0</v>
      </c>
      <c r="O542" t="n">
        <v>0</v>
      </c>
      <c r="P542" t="n">
        <v>0</v>
      </c>
      <c r="Q542" t="n">
        <v>0</v>
      </c>
      <c r="R542" t="n">
        <v>0</v>
      </c>
      <c r="S542" t="n">
        <v>0</v>
      </c>
      <c r="T542" t="n">
        <v>0</v>
      </c>
      <c r="U542" s="2" t="inlineStr"/>
    </row>
    <row r="543" ht="15" customHeight="1">
      <c r="A543" t="inlineStr">
        <is>
          <t>A 7753-2024</t>
        </is>
      </c>
      <c r="B543" t="inlineStr">
        <is>
          <t>avverkningsanmälan</t>
        </is>
      </c>
      <c r="C543" t="inlineStr">
        <is>
          <t>Föryngringsavverkning</t>
        </is>
      </c>
      <c r="D543" s="1" t="n">
        <v>45348</v>
      </c>
      <c r="E543" s="1" t="n">
        <v>46220</v>
      </c>
      <c r="F543" t="inlineStr">
        <is>
          <t>SÖDERMANLANDS LÄN</t>
        </is>
      </c>
      <c r="G543" t="inlineStr">
        <is>
          <t>KATRINEHOLM</t>
        </is>
      </c>
      <c r="I543" t="n">
        <v>13.4</v>
      </c>
      <c r="J543" t="n">
        <v>0</v>
      </c>
      <c r="K543" t="n">
        <v>0</v>
      </c>
      <c r="L543" t="n">
        <v>0</v>
      </c>
      <c r="M543" t="n">
        <v>0</v>
      </c>
      <c r="N543" t="n">
        <v>0</v>
      </c>
      <c r="O543" t="n">
        <v>0</v>
      </c>
      <c r="P543" t="n">
        <v>0</v>
      </c>
      <c r="Q543" t="n">
        <v>0</v>
      </c>
      <c r="R543" t="n">
        <v>0</v>
      </c>
      <c r="S543" t="n">
        <v>0</v>
      </c>
      <c r="T543" t="n">
        <v>0</v>
      </c>
      <c r="U543" s="2" t="inlineStr"/>
    </row>
    <row r="544" ht="15" customHeight="1">
      <c r="A544" t="inlineStr">
        <is>
          <t>A 21087-2026</t>
        </is>
      </c>
      <c r="B544" t="inlineStr">
        <is>
          <t>avverkningsanmälan</t>
        </is>
      </c>
      <c r="C544" t="inlineStr">
        <is>
          <t>Föryngringsavverkning</t>
        </is>
      </c>
      <c r="D544" s="1" t="n">
        <v>46146</v>
      </c>
      <c r="E544" s="1" t="n">
        <v>46220</v>
      </c>
      <c r="F544" t="inlineStr">
        <is>
          <t>SÖDERMANLANDS LÄN</t>
        </is>
      </c>
      <c r="G544" t="inlineStr">
        <is>
          <t>KATRINEHOLM</t>
        </is>
      </c>
      <c r="I544" t="n">
        <v>1.4</v>
      </c>
      <c r="J544" t="n">
        <v>0</v>
      </c>
      <c r="K544" t="n">
        <v>0</v>
      </c>
      <c r="L544" t="n">
        <v>0</v>
      </c>
      <c r="M544" t="n">
        <v>0</v>
      </c>
      <c r="N544" t="n">
        <v>0</v>
      </c>
      <c r="O544" t="n">
        <v>0</v>
      </c>
      <c r="P544" t="n">
        <v>0</v>
      </c>
      <c r="Q544" t="n">
        <v>0</v>
      </c>
      <c r="R544" t="n">
        <v>0</v>
      </c>
      <c r="S544" t="n">
        <v>0</v>
      </c>
      <c r="T544" t="n">
        <v>0</v>
      </c>
      <c r="U544" s="2" t="inlineStr"/>
    </row>
    <row r="545" ht="15" customHeight="1">
      <c r="A545" t="inlineStr">
        <is>
          <t>A 61915-2021</t>
        </is>
      </c>
      <c r="B545" t="inlineStr">
        <is>
          <t>avverkningsanmälan</t>
        </is>
      </c>
      <c r="C545" t="inlineStr">
        <is>
          <t>Föryngringsavverkning</t>
        </is>
      </c>
      <c r="D545" s="1" t="n">
        <v>44502</v>
      </c>
      <c r="E545" s="1" t="n">
        <v>46220</v>
      </c>
      <c r="F545" t="inlineStr">
        <is>
          <t>SÖDERMANLANDS LÄN</t>
        </is>
      </c>
      <c r="G545" t="inlineStr">
        <is>
          <t>KATRINEHOLM</t>
        </is>
      </c>
      <c r="I545" t="n">
        <v>2.6</v>
      </c>
      <c r="J545" t="n">
        <v>0</v>
      </c>
      <c r="K545" t="n">
        <v>0</v>
      </c>
      <c r="L545" t="n">
        <v>0</v>
      </c>
      <c r="M545" t="n">
        <v>0</v>
      </c>
      <c r="N545" t="n">
        <v>0</v>
      </c>
      <c r="O545" t="n">
        <v>0</v>
      </c>
      <c r="P545" t="n">
        <v>0</v>
      </c>
      <c r="Q545" t="n">
        <v>0</v>
      </c>
      <c r="R545" t="n">
        <v>0</v>
      </c>
      <c r="S545" t="n">
        <v>0</v>
      </c>
      <c r="T545" t="n">
        <v>0</v>
      </c>
      <c r="U545" s="2" t="inlineStr"/>
    </row>
    <row r="546" ht="15" customHeight="1">
      <c r="A546" t="inlineStr">
        <is>
          <t>A 55795-2023</t>
        </is>
      </c>
      <c r="B546" t="inlineStr">
        <is>
          <t>avverkningsanmälan</t>
        </is>
      </c>
      <c r="C546" t="inlineStr">
        <is>
          <t>Föryngringsavverkning</t>
        </is>
      </c>
      <c r="D546" s="1" t="n">
        <v>45239</v>
      </c>
      <c r="E546" s="1" t="n">
        <v>46220</v>
      </c>
      <c r="F546" t="inlineStr">
        <is>
          <t>SÖDERMANLANDS LÄN</t>
        </is>
      </c>
      <c r="G546" t="inlineStr">
        <is>
          <t>KATRINEHOLM</t>
        </is>
      </c>
      <c r="I546" t="n">
        <v>7</v>
      </c>
      <c r="J546" t="n">
        <v>0</v>
      </c>
      <c r="K546" t="n">
        <v>0</v>
      </c>
      <c r="L546" t="n">
        <v>0</v>
      </c>
      <c r="M546" t="n">
        <v>0</v>
      </c>
      <c r="N546" t="n">
        <v>0</v>
      </c>
      <c r="O546" t="n">
        <v>0</v>
      </c>
      <c r="P546" t="n">
        <v>0</v>
      </c>
      <c r="Q546" t="n">
        <v>0</v>
      </c>
      <c r="R546" t="n">
        <v>0</v>
      </c>
      <c r="S546" t="n">
        <v>0</v>
      </c>
      <c r="T546" t="n">
        <v>0</v>
      </c>
      <c r="U546" s="2" t="inlineStr"/>
    </row>
    <row r="547" ht="15" customHeight="1">
      <c r="A547" t="inlineStr">
        <is>
          <t>A 20768-2022</t>
        </is>
      </c>
      <c r="B547" t="inlineStr">
        <is>
          <t>avverkningsanmälan</t>
        </is>
      </c>
      <c r="C547" t="inlineStr">
        <is>
          <t>Föryngringsavverkning</t>
        </is>
      </c>
      <c r="D547" s="1" t="n">
        <v>44701</v>
      </c>
      <c r="E547" s="1" t="n">
        <v>46220</v>
      </c>
      <c r="F547" t="inlineStr">
        <is>
          <t>SÖDERMANLANDS LÄN</t>
        </is>
      </c>
      <c r="G547" t="inlineStr">
        <is>
          <t>KATRINEHOLM</t>
        </is>
      </c>
      <c r="I547" t="n">
        <v>3.5</v>
      </c>
      <c r="J547" t="n">
        <v>0</v>
      </c>
      <c r="K547" t="n">
        <v>0</v>
      </c>
      <c r="L547" t="n">
        <v>0</v>
      </c>
      <c r="M547" t="n">
        <v>0</v>
      </c>
      <c r="N547" t="n">
        <v>0</v>
      </c>
      <c r="O547" t="n">
        <v>0</v>
      </c>
      <c r="P547" t="n">
        <v>0</v>
      </c>
      <c r="Q547" t="n">
        <v>0</v>
      </c>
      <c r="R547" t="n">
        <v>0</v>
      </c>
      <c r="S547" t="n">
        <v>0</v>
      </c>
      <c r="T547" t="n">
        <v>0</v>
      </c>
      <c r="U547" s="2" t="inlineStr"/>
    </row>
    <row r="548" ht="15" customHeight="1">
      <c r="A548" t="inlineStr">
        <is>
          <t>A 55846-2022</t>
        </is>
      </c>
      <c r="B548" t="inlineStr">
        <is>
          <t>avverkningsanmälan</t>
        </is>
      </c>
      <c r="C548" t="inlineStr">
        <is>
          <t>Föryngringsavverkning</t>
        </is>
      </c>
      <c r="D548" s="1" t="n">
        <v>44888</v>
      </c>
      <c r="E548" s="1" t="n">
        <v>46220</v>
      </c>
      <c r="F548" t="inlineStr">
        <is>
          <t>SÖDERMANLANDS LÄN</t>
        </is>
      </c>
      <c r="G548" t="inlineStr">
        <is>
          <t>KATRINEHOLM</t>
        </is>
      </c>
      <c r="I548" t="n">
        <v>6.5</v>
      </c>
      <c r="J548" t="n">
        <v>0</v>
      </c>
      <c r="K548" t="n">
        <v>0</v>
      </c>
      <c r="L548" t="n">
        <v>0</v>
      </c>
      <c r="M548" t="n">
        <v>0</v>
      </c>
      <c r="N548" t="n">
        <v>0</v>
      </c>
      <c r="O548" t="n">
        <v>0</v>
      </c>
      <c r="P548" t="n">
        <v>0</v>
      </c>
      <c r="Q548" t="n">
        <v>0</v>
      </c>
      <c r="R548" t="n">
        <v>0</v>
      </c>
      <c r="S548" t="n">
        <v>0</v>
      </c>
      <c r="T548" t="n">
        <v>0</v>
      </c>
      <c r="U548" s="2" t="inlineStr"/>
    </row>
    <row r="549" ht="15" customHeight="1">
      <c r="A549" t="inlineStr">
        <is>
          <t>A 19452-2023</t>
        </is>
      </c>
      <c r="B549" t="inlineStr">
        <is>
          <t>avverkningsanmälan</t>
        </is>
      </c>
      <c r="C549" t="inlineStr">
        <is>
          <t>Föryngringsavverkning</t>
        </is>
      </c>
      <c r="D549" s="1" t="n">
        <v>45050</v>
      </c>
      <c r="E549" s="1" t="n">
        <v>46220</v>
      </c>
      <c r="F549" t="inlineStr">
        <is>
          <t>SÖDERMANLANDS LÄN</t>
        </is>
      </c>
      <c r="G549" t="inlineStr">
        <is>
          <t>KATRINEHOLM</t>
        </is>
      </c>
      <c r="H549" t="inlineStr">
        <is>
          <t>Holmen skog AB</t>
        </is>
      </c>
      <c r="I549" t="n">
        <v>4.7</v>
      </c>
      <c r="J549" t="n">
        <v>0</v>
      </c>
      <c r="K549" t="n">
        <v>0</v>
      </c>
      <c r="L549" t="n">
        <v>0</v>
      </c>
      <c r="M549" t="n">
        <v>0</v>
      </c>
      <c r="N549" t="n">
        <v>0</v>
      </c>
      <c r="O549" t="n">
        <v>0</v>
      </c>
      <c r="P549" t="n">
        <v>0</v>
      </c>
      <c r="Q549" t="n">
        <v>0</v>
      </c>
      <c r="R549" t="n">
        <v>0</v>
      </c>
      <c r="S549" t="n">
        <v>0</v>
      </c>
      <c r="T549" t="n">
        <v>0</v>
      </c>
      <c r="U549" s="2" t="inlineStr"/>
    </row>
    <row r="550" ht="15" customHeight="1">
      <c r="A550" t="inlineStr">
        <is>
          <t>A 31719-2024</t>
        </is>
      </c>
      <c r="B550" t="inlineStr">
        <is>
          <t>avverkningsanmälan</t>
        </is>
      </c>
      <c r="C550" t="inlineStr">
        <is>
          <t>Föryngringsavverkning</t>
        </is>
      </c>
      <c r="D550" s="1" t="n">
        <v>45509</v>
      </c>
      <c r="E550" s="1" t="n">
        <v>46220</v>
      </c>
      <c r="F550" t="inlineStr">
        <is>
          <t>SÖDERMANLANDS LÄN</t>
        </is>
      </c>
      <c r="G550" t="inlineStr">
        <is>
          <t>KATRINEHOLM</t>
        </is>
      </c>
      <c r="H550" t="inlineStr">
        <is>
          <t>Kyrkan</t>
        </is>
      </c>
      <c r="I550" t="n">
        <v>11.9</v>
      </c>
      <c r="J550" t="n">
        <v>0</v>
      </c>
      <c r="K550" t="n">
        <v>0</v>
      </c>
      <c r="L550" t="n">
        <v>0</v>
      </c>
      <c r="M550" t="n">
        <v>0</v>
      </c>
      <c r="N550" t="n">
        <v>0</v>
      </c>
      <c r="O550" t="n">
        <v>0</v>
      </c>
      <c r="P550" t="n">
        <v>0</v>
      </c>
      <c r="Q550" t="n">
        <v>0</v>
      </c>
      <c r="R550" t="n">
        <v>0</v>
      </c>
      <c r="S550" t="n">
        <v>0</v>
      </c>
      <c r="T550" t="n">
        <v>0</v>
      </c>
      <c r="U550" s="2" t="inlineStr"/>
    </row>
    <row r="551" ht="15" customHeight="1">
      <c r="A551" t="inlineStr">
        <is>
          <t>A 43837-2022</t>
        </is>
      </c>
      <c r="B551" t="inlineStr">
        <is>
          <t>avverkningsanmälan</t>
        </is>
      </c>
      <c r="C551" t="inlineStr">
        <is>
          <t>Föryngringsavverkning</t>
        </is>
      </c>
      <c r="D551" s="1" t="n">
        <v>44838</v>
      </c>
      <c r="E551" s="1" t="n">
        <v>46220</v>
      </c>
      <c r="F551" t="inlineStr">
        <is>
          <t>SÖDERMANLANDS LÄN</t>
        </is>
      </c>
      <c r="G551" t="inlineStr">
        <is>
          <t>KATRINEHOLM</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51397-2023</t>
        </is>
      </c>
      <c r="B552" t="inlineStr">
        <is>
          <t>avverkningsanmälan</t>
        </is>
      </c>
      <c r="C552" t="inlineStr">
        <is>
          <t>Föryngringsavverkning</t>
        </is>
      </c>
      <c r="D552" s="1" t="n">
        <v>45214</v>
      </c>
      <c r="E552" s="1" t="n">
        <v>46220</v>
      </c>
      <c r="F552" t="inlineStr">
        <is>
          <t>SÖDERMANLANDS LÄN</t>
        </is>
      </c>
      <c r="G552" t="inlineStr">
        <is>
          <t>KATRINEHOLM</t>
        </is>
      </c>
      <c r="I552" t="n">
        <v>4.9</v>
      </c>
      <c r="J552" t="n">
        <v>0</v>
      </c>
      <c r="K552" t="n">
        <v>0</v>
      </c>
      <c r="L552" t="n">
        <v>0</v>
      </c>
      <c r="M552" t="n">
        <v>0</v>
      </c>
      <c r="N552" t="n">
        <v>0</v>
      </c>
      <c r="O552" t="n">
        <v>0</v>
      </c>
      <c r="P552" t="n">
        <v>0</v>
      </c>
      <c r="Q552" t="n">
        <v>0</v>
      </c>
      <c r="R552" t="n">
        <v>0</v>
      </c>
      <c r="S552" t="n">
        <v>0</v>
      </c>
      <c r="T552" t="n">
        <v>0</v>
      </c>
      <c r="U552" s="2" t="inlineStr"/>
    </row>
    <row r="553" ht="15" customHeight="1">
      <c r="A553" t="inlineStr">
        <is>
          <t>A 19670-2022</t>
        </is>
      </c>
      <c r="B553" t="inlineStr">
        <is>
          <t>avverkningsanmälan</t>
        </is>
      </c>
      <c r="C553" t="inlineStr">
        <is>
          <t>Föryngringsavverkning</t>
        </is>
      </c>
      <c r="D553" s="1" t="n">
        <v>44694</v>
      </c>
      <c r="E553" s="1" t="n">
        <v>46220</v>
      </c>
      <c r="F553" t="inlineStr">
        <is>
          <t>SÖDERMANLANDS LÄN</t>
        </is>
      </c>
      <c r="G553" t="inlineStr">
        <is>
          <t>KATRINEHOLM</t>
        </is>
      </c>
      <c r="I553" t="n">
        <v>13.6</v>
      </c>
      <c r="J553" t="n">
        <v>0</v>
      </c>
      <c r="K553" t="n">
        <v>0</v>
      </c>
      <c r="L553" t="n">
        <v>0</v>
      </c>
      <c r="M553" t="n">
        <v>0</v>
      </c>
      <c r="N553" t="n">
        <v>0</v>
      </c>
      <c r="O553" t="n">
        <v>0</v>
      </c>
      <c r="P553" t="n">
        <v>0</v>
      </c>
      <c r="Q553" t="n">
        <v>0</v>
      </c>
      <c r="R553" t="n">
        <v>0</v>
      </c>
      <c r="S553" t="n">
        <v>0</v>
      </c>
      <c r="T553" t="n">
        <v>0</v>
      </c>
      <c r="U553" s="2" t="inlineStr"/>
    </row>
    <row r="554" ht="15" customHeight="1">
      <c r="A554" t="inlineStr">
        <is>
          <t>A 6606-2022</t>
        </is>
      </c>
      <c r="B554" t="inlineStr">
        <is>
          <t>avverkningsanmälan</t>
        </is>
      </c>
      <c r="C554" t="inlineStr">
        <is>
          <t>Föryngringsavverkning</t>
        </is>
      </c>
      <c r="D554" s="1" t="n">
        <v>44601</v>
      </c>
      <c r="E554" s="1" t="n">
        <v>46220</v>
      </c>
      <c r="F554" t="inlineStr">
        <is>
          <t>SÖDERMANLANDS LÄN</t>
        </is>
      </c>
      <c r="G554" t="inlineStr">
        <is>
          <t>KATRINEHOLM</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A 4122-2023</t>
        </is>
      </c>
      <c r="B555" t="inlineStr">
        <is>
          <t>avverkningsanmälan</t>
        </is>
      </c>
      <c r="C555" t="inlineStr">
        <is>
          <t>Föryngringsavverkning</t>
        </is>
      </c>
      <c r="D555" s="1" t="n">
        <v>44952</v>
      </c>
      <c r="E555" s="1" t="n">
        <v>46220</v>
      </c>
      <c r="F555" t="inlineStr">
        <is>
          <t>SÖDERMANLANDS LÄN</t>
        </is>
      </c>
      <c r="G555" t="inlineStr">
        <is>
          <t>KATRINEHOLM</t>
        </is>
      </c>
      <c r="I555" t="n">
        <v>9</v>
      </c>
      <c r="J555" t="n">
        <v>0</v>
      </c>
      <c r="K555" t="n">
        <v>0</v>
      </c>
      <c r="L555" t="n">
        <v>0</v>
      </c>
      <c r="M555" t="n">
        <v>0</v>
      </c>
      <c r="N555" t="n">
        <v>0</v>
      </c>
      <c r="O555" t="n">
        <v>0</v>
      </c>
      <c r="P555" t="n">
        <v>0</v>
      </c>
      <c r="Q555" t="n">
        <v>0</v>
      </c>
      <c r="R555" t="n">
        <v>0</v>
      </c>
      <c r="S555" t="n">
        <v>0</v>
      </c>
      <c r="T555" t="n">
        <v>0</v>
      </c>
      <c r="U555" s="2" t="inlineStr"/>
    </row>
    <row r="556" ht="15" customHeight="1">
      <c r="A556" t="inlineStr">
        <is>
          <t>A 23347-2023</t>
        </is>
      </c>
      <c r="B556" t="inlineStr">
        <is>
          <t>avverkningsanmälan</t>
        </is>
      </c>
      <c r="C556" t="inlineStr">
        <is>
          <t>Föryngringsavverkning</t>
        </is>
      </c>
      <c r="D556" s="1" t="n">
        <v>45076</v>
      </c>
      <c r="E556" s="1" t="n">
        <v>46220</v>
      </c>
      <c r="F556" t="inlineStr">
        <is>
          <t>SÖDERMANLANDS LÄN</t>
        </is>
      </c>
      <c r="G556" t="inlineStr">
        <is>
          <t>KATRINEHOLM</t>
        </is>
      </c>
      <c r="I556" t="n">
        <v>4.3</v>
      </c>
      <c r="J556" t="n">
        <v>0</v>
      </c>
      <c r="K556" t="n">
        <v>0</v>
      </c>
      <c r="L556" t="n">
        <v>0</v>
      </c>
      <c r="M556" t="n">
        <v>0</v>
      </c>
      <c r="N556" t="n">
        <v>0</v>
      </c>
      <c r="O556" t="n">
        <v>0</v>
      </c>
      <c r="P556" t="n">
        <v>0</v>
      </c>
      <c r="Q556" t="n">
        <v>0</v>
      </c>
      <c r="R556" t="n">
        <v>0</v>
      </c>
      <c r="S556" t="n">
        <v>0</v>
      </c>
      <c r="T556" t="n">
        <v>0</v>
      </c>
      <c r="U556" s="2" t="inlineStr"/>
    </row>
    <row r="557" ht="15" customHeight="1">
      <c r="A557" t="inlineStr">
        <is>
          <t>A 23916-2023</t>
        </is>
      </c>
      <c r="B557" t="inlineStr">
        <is>
          <t>avverkningsanmälan</t>
        </is>
      </c>
      <c r="C557" t="inlineStr">
        <is>
          <t>Föryngringsavverkning</t>
        </is>
      </c>
      <c r="D557" s="1" t="n">
        <v>45075</v>
      </c>
      <c r="E557" s="1" t="n">
        <v>46220</v>
      </c>
      <c r="F557" t="inlineStr">
        <is>
          <t>SÖDERMANLANDS LÄN</t>
        </is>
      </c>
      <c r="G557" t="inlineStr">
        <is>
          <t>KATRINEHOLM</t>
        </is>
      </c>
      <c r="I557" t="n">
        <v>8</v>
      </c>
      <c r="J557" t="n">
        <v>0</v>
      </c>
      <c r="K557" t="n">
        <v>0</v>
      </c>
      <c r="L557" t="n">
        <v>0</v>
      </c>
      <c r="M557" t="n">
        <v>0</v>
      </c>
      <c r="N557" t="n">
        <v>0</v>
      </c>
      <c r="O557" t="n">
        <v>0</v>
      </c>
      <c r="P557" t="n">
        <v>0</v>
      </c>
      <c r="Q557" t="n">
        <v>0</v>
      </c>
      <c r="R557" t="n">
        <v>0</v>
      </c>
      <c r="S557" t="n">
        <v>0</v>
      </c>
      <c r="T557" t="n">
        <v>0</v>
      </c>
      <c r="U557" s="2" t="inlineStr"/>
    </row>
    <row r="558" ht="15" customHeight="1">
      <c r="A558" t="inlineStr">
        <is>
          <t>A 33278-2024</t>
        </is>
      </c>
      <c r="B558" t="inlineStr">
        <is>
          <t>avverkningsanmälan</t>
        </is>
      </c>
      <c r="C558" t="inlineStr">
        <is>
          <t>Föryngringsavverkning</t>
        </is>
      </c>
      <c r="D558" s="1" t="n">
        <v>45518</v>
      </c>
      <c r="E558" s="1" t="n">
        <v>46220</v>
      </c>
      <c r="F558" t="inlineStr">
        <is>
          <t>SÖDERMANLANDS LÄN</t>
        </is>
      </c>
      <c r="G558" t="inlineStr">
        <is>
          <t>KATRINEHOLM</t>
        </is>
      </c>
      <c r="I558" t="n">
        <v>2.1</v>
      </c>
      <c r="J558" t="n">
        <v>0</v>
      </c>
      <c r="K558" t="n">
        <v>0</v>
      </c>
      <c r="L558" t="n">
        <v>0</v>
      </c>
      <c r="M558" t="n">
        <v>0</v>
      </c>
      <c r="N558" t="n">
        <v>0</v>
      </c>
      <c r="O558" t="n">
        <v>0</v>
      </c>
      <c r="P558" t="n">
        <v>0</v>
      </c>
      <c r="Q558" t="n">
        <v>0</v>
      </c>
      <c r="R558" t="n">
        <v>0</v>
      </c>
      <c r="S558" t="n">
        <v>0</v>
      </c>
      <c r="T558" t="n">
        <v>0</v>
      </c>
      <c r="U558" s="2" t="inlineStr"/>
    </row>
    <row r="559" ht="15" customHeight="1">
      <c r="A559" t="inlineStr">
        <is>
          <t>A 21863-2026</t>
        </is>
      </c>
      <c r="B559" t="inlineStr">
        <is>
          <t>avverkningsanmälan</t>
        </is>
      </c>
      <c r="C559" t="inlineStr">
        <is>
          <t>Föryngringsavverkning</t>
        </is>
      </c>
      <c r="D559" s="1" t="n">
        <v>46150</v>
      </c>
      <c r="E559" s="1" t="n">
        <v>46220</v>
      </c>
      <c r="F559" t="inlineStr">
        <is>
          <t>SÖDERMANLANDS LÄN</t>
        </is>
      </c>
      <c r="G559" t="inlineStr">
        <is>
          <t>KATRINEHOLM</t>
        </is>
      </c>
      <c r="I559" t="n">
        <v>6.8</v>
      </c>
      <c r="J559" t="n">
        <v>0</v>
      </c>
      <c r="K559" t="n">
        <v>0</v>
      </c>
      <c r="L559" t="n">
        <v>0</v>
      </c>
      <c r="M559" t="n">
        <v>0</v>
      </c>
      <c r="N559" t="n">
        <v>0</v>
      </c>
      <c r="O559" t="n">
        <v>0</v>
      </c>
      <c r="P559" t="n">
        <v>0</v>
      </c>
      <c r="Q559" t="n">
        <v>0</v>
      </c>
      <c r="R559" t="n">
        <v>0</v>
      </c>
      <c r="S559" t="n">
        <v>0</v>
      </c>
      <c r="T559" t="n">
        <v>0</v>
      </c>
      <c r="U559" s="2" t="inlineStr"/>
    </row>
    <row r="560" ht="15" customHeight="1">
      <c r="A560" t="inlineStr">
        <is>
          <t>A 40186-2023</t>
        </is>
      </c>
      <c r="B560" t="inlineStr">
        <is>
          <t>avverkningsanmälan</t>
        </is>
      </c>
      <c r="C560" t="inlineStr">
        <is>
          <t>Föryngringsavverkning</t>
        </is>
      </c>
      <c r="D560" s="1" t="n">
        <v>45169</v>
      </c>
      <c r="E560" s="1" t="n">
        <v>46220</v>
      </c>
      <c r="F560" t="inlineStr">
        <is>
          <t>SÖDERMANLANDS LÄN</t>
        </is>
      </c>
      <c r="G560" t="inlineStr">
        <is>
          <t>KATRINEHOLM</t>
        </is>
      </c>
      <c r="I560" t="n">
        <v>2.1</v>
      </c>
      <c r="J560" t="n">
        <v>0</v>
      </c>
      <c r="K560" t="n">
        <v>0</v>
      </c>
      <c r="L560" t="n">
        <v>0</v>
      </c>
      <c r="M560" t="n">
        <v>0</v>
      </c>
      <c r="N560" t="n">
        <v>0</v>
      </c>
      <c r="O560" t="n">
        <v>0</v>
      </c>
      <c r="P560" t="n">
        <v>0</v>
      </c>
      <c r="Q560" t="n">
        <v>0</v>
      </c>
      <c r="R560" t="n">
        <v>0</v>
      </c>
      <c r="S560" t="n">
        <v>0</v>
      </c>
      <c r="T560" t="n">
        <v>0</v>
      </c>
      <c r="U560" s="2" t="inlineStr"/>
    </row>
    <row r="561" ht="15" customHeight="1">
      <c r="A561" t="inlineStr">
        <is>
          <t>A 49700-2022</t>
        </is>
      </c>
      <c r="B561" t="inlineStr">
        <is>
          <t>avverkningsanmälan</t>
        </is>
      </c>
      <c r="C561" t="inlineStr">
        <is>
          <t>Föryngringsavverkning</t>
        </is>
      </c>
      <c r="D561" s="1" t="n">
        <v>44862</v>
      </c>
      <c r="E561" s="1" t="n">
        <v>46220</v>
      </c>
      <c r="F561" t="inlineStr">
        <is>
          <t>SÖDERMANLANDS LÄN</t>
        </is>
      </c>
      <c r="G561" t="inlineStr">
        <is>
          <t>KATRINEHOLM</t>
        </is>
      </c>
      <c r="I561" t="n">
        <v>19.5</v>
      </c>
      <c r="J561" t="n">
        <v>0</v>
      </c>
      <c r="K561" t="n">
        <v>0</v>
      </c>
      <c r="L561" t="n">
        <v>0</v>
      </c>
      <c r="M561" t="n">
        <v>0</v>
      </c>
      <c r="N561" t="n">
        <v>0</v>
      </c>
      <c r="O561" t="n">
        <v>0</v>
      </c>
      <c r="P561" t="n">
        <v>0</v>
      </c>
      <c r="Q561" t="n">
        <v>0</v>
      </c>
      <c r="R561" t="n">
        <v>0</v>
      </c>
      <c r="S561" t="n">
        <v>0</v>
      </c>
      <c r="T561" t="n">
        <v>0</v>
      </c>
      <c r="U561" s="2" t="inlineStr"/>
    </row>
    <row r="562" ht="15" customHeight="1">
      <c r="A562" t="inlineStr">
        <is>
          <t>A 27955-2023</t>
        </is>
      </c>
      <c r="B562" t="inlineStr">
        <is>
          <t>avverkningsanmälan</t>
        </is>
      </c>
      <c r="C562" t="inlineStr">
        <is>
          <t>Föryngringsavverkning</t>
        </is>
      </c>
      <c r="D562" s="1" t="n">
        <v>45098</v>
      </c>
      <c r="E562" s="1" t="n">
        <v>46220</v>
      </c>
      <c r="F562" t="inlineStr">
        <is>
          <t>SÖDERMANLANDS LÄN</t>
        </is>
      </c>
      <c r="G562" t="inlineStr">
        <is>
          <t>KATRINEHOLM</t>
        </is>
      </c>
      <c r="I562" t="n">
        <v>5.9</v>
      </c>
      <c r="J562" t="n">
        <v>0</v>
      </c>
      <c r="K562" t="n">
        <v>0</v>
      </c>
      <c r="L562" t="n">
        <v>0</v>
      </c>
      <c r="M562" t="n">
        <v>0</v>
      </c>
      <c r="N562" t="n">
        <v>0</v>
      </c>
      <c r="O562" t="n">
        <v>0</v>
      </c>
      <c r="P562" t="n">
        <v>0</v>
      </c>
      <c r="Q562" t="n">
        <v>0</v>
      </c>
      <c r="R562" t="n">
        <v>0</v>
      </c>
      <c r="S562" t="n">
        <v>0</v>
      </c>
      <c r="T562" t="n">
        <v>0</v>
      </c>
      <c r="U562" s="2" t="inlineStr"/>
    </row>
    <row r="563" ht="15" customHeight="1">
      <c r="A563" t="inlineStr">
        <is>
          <t>A 33141-2023</t>
        </is>
      </c>
      <c r="B563" t="inlineStr">
        <is>
          <t>avverkningsanmälan</t>
        </is>
      </c>
      <c r="C563" t="inlineStr">
        <is>
          <t>Föryngringsavverkning</t>
        </is>
      </c>
      <c r="D563" s="1" t="n">
        <v>45126</v>
      </c>
      <c r="E563" s="1" t="n">
        <v>46220</v>
      </c>
      <c r="F563" t="inlineStr">
        <is>
          <t>SÖDERMANLANDS LÄN</t>
        </is>
      </c>
      <c r="G563" t="inlineStr">
        <is>
          <t>KATRINEHOLM</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46899-2022</t>
        </is>
      </c>
      <c r="B564" t="inlineStr">
        <is>
          <t>avverkningsanmälan</t>
        </is>
      </c>
      <c r="C564" t="inlineStr">
        <is>
          <t>Föryngringsavverkning</t>
        </is>
      </c>
      <c r="D564" s="1" t="n">
        <v>44848</v>
      </c>
      <c r="E564" s="1" t="n">
        <v>46220</v>
      </c>
      <c r="F564" t="inlineStr">
        <is>
          <t>SÖDERMANLANDS LÄN</t>
        </is>
      </c>
      <c r="G564" t="inlineStr">
        <is>
          <t>KATRINEHOLM</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9714-2024</t>
        </is>
      </c>
      <c r="B565" t="inlineStr">
        <is>
          <t>avverkningsanmälan</t>
        </is>
      </c>
      <c r="C565" t="inlineStr">
        <is>
          <t>Föryngringsavverkning</t>
        </is>
      </c>
      <c r="D565" s="1" t="n">
        <v>45362</v>
      </c>
      <c r="E565" s="1" t="n">
        <v>46220</v>
      </c>
      <c r="F565" t="inlineStr">
        <is>
          <t>SÖDERMANLANDS LÄN</t>
        </is>
      </c>
      <c r="G565" t="inlineStr">
        <is>
          <t>KATRINEHOLM</t>
        </is>
      </c>
      <c r="I565" t="n">
        <v>4</v>
      </c>
      <c r="J565" t="n">
        <v>0</v>
      </c>
      <c r="K565" t="n">
        <v>0</v>
      </c>
      <c r="L565" t="n">
        <v>0</v>
      </c>
      <c r="M565" t="n">
        <v>0</v>
      </c>
      <c r="N565" t="n">
        <v>0</v>
      </c>
      <c r="O565" t="n">
        <v>0</v>
      </c>
      <c r="P565" t="n">
        <v>0</v>
      </c>
      <c r="Q565" t="n">
        <v>0</v>
      </c>
      <c r="R565" t="n">
        <v>0</v>
      </c>
      <c r="S565" t="n">
        <v>0</v>
      </c>
      <c r="T565" t="n">
        <v>0</v>
      </c>
      <c r="U565" s="2" t="inlineStr"/>
    </row>
    <row r="566" ht="15" customHeight="1">
      <c r="A566" t="inlineStr">
        <is>
          <t>A 39897-2023</t>
        </is>
      </c>
      <c r="B566" t="inlineStr">
        <is>
          <t>avverkningsanmälan</t>
        </is>
      </c>
      <c r="C566" t="inlineStr">
        <is>
          <t>Föryngringsavverkning</t>
        </is>
      </c>
      <c r="D566" s="1" t="n">
        <v>45168</v>
      </c>
      <c r="E566" s="1" t="n">
        <v>46220</v>
      </c>
      <c r="F566" t="inlineStr">
        <is>
          <t>SÖDERMANLANDS LÄN</t>
        </is>
      </c>
      <c r="G566" t="inlineStr">
        <is>
          <t>KATRINEHOLM</t>
        </is>
      </c>
      <c r="I566" t="n">
        <v>15.6</v>
      </c>
      <c r="J566" t="n">
        <v>0</v>
      </c>
      <c r="K566" t="n">
        <v>0</v>
      </c>
      <c r="L566" t="n">
        <v>0</v>
      </c>
      <c r="M566" t="n">
        <v>0</v>
      </c>
      <c r="N566" t="n">
        <v>0</v>
      </c>
      <c r="O566" t="n">
        <v>0</v>
      </c>
      <c r="P566" t="n">
        <v>0</v>
      </c>
      <c r="Q566" t="n">
        <v>0</v>
      </c>
      <c r="R566" t="n">
        <v>0</v>
      </c>
      <c r="S566" t="n">
        <v>0</v>
      </c>
      <c r="T566" t="n">
        <v>0</v>
      </c>
      <c r="U566" s="2" t="inlineStr"/>
    </row>
    <row r="567" ht="15" customHeight="1">
      <c r="A567" t="inlineStr">
        <is>
          <t>A 20326-2023</t>
        </is>
      </c>
      <c r="B567" t="inlineStr">
        <is>
          <t>avverkningsanmälan</t>
        </is>
      </c>
      <c r="C567" t="inlineStr">
        <is>
          <t>Föryngringsavverkning</t>
        </is>
      </c>
      <c r="D567" s="1" t="n">
        <v>45056</v>
      </c>
      <c r="E567" s="1" t="n">
        <v>46220</v>
      </c>
      <c r="F567" t="inlineStr">
        <is>
          <t>SÖDERMANLANDS LÄN</t>
        </is>
      </c>
      <c r="G567" t="inlineStr">
        <is>
          <t>KATRINEHOLM</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67337-2021</t>
        </is>
      </c>
      <c r="B568" t="inlineStr">
        <is>
          <t>avverkningsanmälan</t>
        </is>
      </c>
      <c r="C568" t="inlineStr">
        <is>
          <t>Föryngringsavverkning</t>
        </is>
      </c>
      <c r="D568" s="1" t="n">
        <v>44523</v>
      </c>
      <c r="E568" s="1" t="n">
        <v>46220</v>
      </c>
      <c r="F568" t="inlineStr">
        <is>
          <t>SÖDERMANLANDS LÄN</t>
        </is>
      </c>
      <c r="G568" t="inlineStr">
        <is>
          <t>KATRINEHOLM</t>
        </is>
      </c>
      <c r="I568" t="n">
        <v>5.2</v>
      </c>
      <c r="J568" t="n">
        <v>0</v>
      </c>
      <c r="K568" t="n">
        <v>0</v>
      </c>
      <c r="L568" t="n">
        <v>0</v>
      </c>
      <c r="M568" t="n">
        <v>0</v>
      </c>
      <c r="N568" t="n">
        <v>0</v>
      </c>
      <c r="O568" t="n">
        <v>0</v>
      </c>
      <c r="P568" t="n">
        <v>0</v>
      </c>
      <c r="Q568" t="n">
        <v>0</v>
      </c>
      <c r="R568" t="n">
        <v>0</v>
      </c>
      <c r="S568" t="n">
        <v>0</v>
      </c>
      <c r="T568" t="n">
        <v>0</v>
      </c>
      <c r="U568" s="2" t="inlineStr"/>
    </row>
    <row r="569" ht="15" customHeight="1">
      <c r="A569" t="inlineStr">
        <is>
          <t>A 9044-2022</t>
        </is>
      </c>
      <c r="B569" t="inlineStr">
        <is>
          <t>avverkningsanmälan</t>
        </is>
      </c>
      <c r="C569" t="inlineStr">
        <is>
          <t>Föryngringsavverkning</t>
        </is>
      </c>
      <c r="D569" s="1" t="n">
        <v>44602</v>
      </c>
      <c r="E569" s="1" t="n">
        <v>46220</v>
      </c>
      <c r="F569" t="inlineStr">
        <is>
          <t>SÖDERMANLANDS LÄN</t>
        </is>
      </c>
      <c r="G569" t="inlineStr">
        <is>
          <t>KATRINEHOLM</t>
        </is>
      </c>
      <c r="I569" t="n">
        <v>5.8</v>
      </c>
      <c r="J569" t="n">
        <v>0</v>
      </c>
      <c r="K569" t="n">
        <v>0</v>
      </c>
      <c r="L569" t="n">
        <v>0</v>
      </c>
      <c r="M569" t="n">
        <v>0</v>
      </c>
      <c r="N569" t="n">
        <v>0</v>
      </c>
      <c r="O569" t="n">
        <v>0</v>
      </c>
      <c r="P569" t="n">
        <v>0</v>
      </c>
      <c r="Q569" t="n">
        <v>0</v>
      </c>
      <c r="R569" t="n">
        <v>0</v>
      </c>
      <c r="S569" t="n">
        <v>0</v>
      </c>
      <c r="T569" t="n">
        <v>0</v>
      </c>
      <c r="U569" s="2" t="inlineStr"/>
    </row>
    <row r="570" ht="15" customHeight="1">
      <c r="A570" t="inlineStr">
        <is>
          <t>A 22509-2026</t>
        </is>
      </c>
      <c r="B570" t="inlineStr">
        <is>
          <t>avverkningsanmälan</t>
        </is>
      </c>
      <c r="C570" t="inlineStr">
        <is>
          <t>Avverkning för annat ändamål</t>
        </is>
      </c>
      <c r="D570" s="1" t="n">
        <v>46155</v>
      </c>
      <c r="E570" s="1" t="n">
        <v>46220</v>
      </c>
      <c r="F570" t="inlineStr">
        <is>
          <t>SÖDERMANLANDS LÄN</t>
        </is>
      </c>
      <c r="G570" t="inlineStr">
        <is>
          <t>KATRINEHOLM</t>
        </is>
      </c>
      <c r="I570" t="n">
        <v>0.8</v>
      </c>
      <c r="J570" t="n">
        <v>0</v>
      </c>
      <c r="K570" t="n">
        <v>0</v>
      </c>
      <c r="L570" t="n">
        <v>0</v>
      </c>
      <c r="M570" t="n">
        <v>0</v>
      </c>
      <c r="N570" t="n">
        <v>0</v>
      </c>
      <c r="O570" t="n">
        <v>0</v>
      </c>
      <c r="P570" t="n">
        <v>0</v>
      </c>
      <c r="Q570" t="n">
        <v>0</v>
      </c>
      <c r="R570" t="n">
        <v>0</v>
      </c>
      <c r="S570" t="n">
        <v>0</v>
      </c>
      <c r="T570" t="n">
        <v>0</v>
      </c>
      <c r="U570" s="2" t="inlineStr"/>
    </row>
    <row r="571" ht="15" customHeight="1">
      <c r="A571" t="inlineStr">
        <is>
          <t>A 69117-2021</t>
        </is>
      </c>
      <c r="B571" t="inlineStr">
        <is>
          <t>avverkningsanmälan</t>
        </is>
      </c>
      <c r="C571" t="inlineStr">
        <is>
          <t>Föryngringsavverkning</t>
        </is>
      </c>
      <c r="D571" s="1" t="n">
        <v>44530</v>
      </c>
      <c r="E571" s="1" t="n">
        <v>46220</v>
      </c>
      <c r="F571" t="inlineStr">
        <is>
          <t>SÖDERMANLANDS LÄN</t>
        </is>
      </c>
      <c r="G571" t="inlineStr">
        <is>
          <t>KATRINEHOLM</t>
        </is>
      </c>
      <c r="I571" t="n">
        <v>1.7</v>
      </c>
      <c r="J571" t="n">
        <v>0</v>
      </c>
      <c r="K571" t="n">
        <v>0</v>
      </c>
      <c r="L571" t="n">
        <v>0</v>
      </c>
      <c r="M571" t="n">
        <v>0</v>
      </c>
      <c r="N571" t="n">
        <v>0</v>
      </c>
      <c r="O571" t="n">
        <v>0</v>
      </c>
      <c r="P571" t="n">
        <v>0</v>
      </c>
      <c r="Q571" t="n">
        <v>0</v>
      </c>
      <c r="R571" t="n">
        <v>0</v>
      </c>
      <c r="S571" t="n">
        <v>0</v>
      </c>
      <c r="T571" t="n">
        <v>0</v>
      </c>
      <c r="U571" s="2" t="inlineStr"/>
    </row>
    <row r="572" ht="15" customHeight="1">
      <c r="A572" t="inlineStr">
        <is>
          <t>A 12559-2023</t>
        </is>
      </c>
      <c r="B572" t="inlineStr">
        <is>
          <t>avverkningsanmälan</t>
        </is>
      </c>
      <c r="C572" t="inlineStr">
        <is>
          <t>Föryngringsavverkning</t>
        </is>
      </c>
      <c r="D572" s="1" t="n">
        <v>45000</v>
      </c>
      <c r="E572" s="1" t="n">
        <v>46220</v>
      </c>
      <c r="F572" t="inlineStr">
        <is>
          <t>SÖDERMANLANDS LÄN</t>
        </is>
      </c>
      <c r="G572" t="inlineStr">
        <is>
          <t>KATRINEHOLM</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6722-2022</t>
        </is>
      </c>
      <c r="B573" t="inlineStr">
        <is>
          <t>avverkningsanmälan</t>
        </is>
      </c>
      <c r="C573" t="inlineStr">
        <is>
          <t>Föryngringsavverkning</t>
        </is>
      </c>
      <c r="D573" s="1" t="n">
        <v>44602</v>
      </c>
      <c r="E573" s="1" t="n">
        <v>46220</v>
      </c>
      <c r="F573" t="inlineStr">
        <is>
          <t>SÖDERMANLANDS LÄN</t>
        </is>
      </c>
      <c r="G573" t="inlineStr">
        <is>
          <t>KATRINEHOLM</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11872-2023</t>
        </is>
      </c>
      <c r="B574" t="inlineStr">
        <is>
          <t>avverkningsanmälan</t>
        </is>
      </c>
      <c r="C574" t="inlineStr">
        <is>
          <t>Föryngringsavverkning</t>
        </is>
      </c>
      <c r="D574" s="1" t="n">
        <v>44995</v>
      </c>
      <c r="E574" s="1" t="n">
        <v>46220</v>
      </c>
      <c r="F574" t="inlineStr">
        <is>
          <t>SÖDERMANLANDS LÄN</t>
        </is>
      </c>
      <c r="G574" t="inlineStr">
        <is>
          <t>KATRINEHOLM</t>
        </is>
      </c>
      <c r="H574" t="inlineStr">
        <is>
          <t>Kommuner</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16087-2023</t>
        </is>
      </c>
      <c r="B575" t="inlineStr">
        <is>
          <t>avverkningsanmälan</t>
        </is>
      </c>
      <c r="C575" t="inlineStr">
        <is>
          <t>Föryngringsavverkning</t>
        </is>
      </c>
      <c r="D575" s="1" t="n">
        <v>45026</v>
      </c>
      <c r="E575" s="1" t="n">
        <v>46220</v>
      </c>
      <c r="F575" t="inlineStr">
        <is>
          <t>SÖDERMANLANDS LÄN</t>
        </is>
      </c>
      <c r="G575" t="inlineStr">
        <is>
          <t>KATRINEHOLM</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21959-2022</t>
        </is>
      </c>
      <c r="B576" t="inlineStr">
        <is>
          <t>avverkningsanmälan</t>
        </is>
      </c>
      <c r="C576" t="inlineStr">
        <is>
          <t>Föryngringsavverkning</t>
        </is>
      </c>
      <c r="D576" s="1" t="n">
        <v>44708</v>
      </c>
      <c r="E576" s="1" t="n">
        <v>46220</v>
      </c>
      <c r="F576" t="inlineStr">
        <is>
          <t>SÖDERMANLANDS LÄN</t>
        </is>
      </c>
      <c r="G576" t="inlineStr">
        <is>
          <t>KATRINEHOLM</t>
        </is>
      </c>
      <c r="I576" t="n">
        <v>1.5</v>
      </c>
      <c r="J576" t="n">
        <v>0</v>
      </c>
      <c r="K576" t="n">
        <v>0</v>
      </c>
      <c r="L576" t="n">
        <v>0</v>
      </c>
      <c r="M576" t="n">
        <v>0</v>
      </c>
      <c r="N576" t="n">
        <v>0</v>
      </c>
      <c r="O576" t="n">
        <v>0</v>
      </c>
      <c r="P576" t="n">
        <v>0</v>
      </c>
      <c r="Q576" t="n">
        <v>0</v>
      </c>
      <c r="R576" t="n">
        <v>0</v>
      </c>
      <c r="S576" t="n">
        <v>0</v>
      </c>
      <c r="T576" t="n">
        <v>0</v>
      </c>
      <c r="U576" s="2" t="inlineStr"/>
    </row>
    <row r="577" ht="15" customHeight="1">
      <c r="A577" t="inlineStr">
        <is>
          <t>A 42451-2023</t>
        </is>
      </c>
      <c r="B577" t="inlineStr">
        <is>
          <t>avverkningsanmälan</t>
        </is>
      </c>
      <c r="C577" t="inlineStr">
        <is>
          <t>Föryngringsavverkning</t>
        </is>
      </c>
      <c r="D577" s="1" t="n">
        <v>45180</v>
      </c>
      <c r="E577" s="1" t="n">
        <v>46220</v>
      </c>
      <c r="F577" t="inlineStr">
        <is>
          <t>SÖDERMANLANDS LÄN</t>
        </is>
      </c>
      <c r="G577" t="inlineStr">
        <is>
          <t>KATRINEHOLM</t>
        </is>
      </c>
      <c r="I577" t="n">
        <v>3.8</v>
      </c>
      <c r="J577" t="n">
        <v>0</v>
      </c>
      <c r="K577" t="n">
        <v>0</v>
      </c>
      <c r="L577" t="n">
        <v>0</v>
      </c>
      <c r="M577" t="n">
        <v>0</v>
      </c>
      <c r="N577" t="n">
        <v>0</v>
      </c>
      <c r="O577" t="n">
        <v>0</v>
      </c>
      <c r="P577" t="n">
        <v>0</v>
      </c>
      <c r="Q577" t="n">
        <v>0</v>
      </c>
      <c r="R577" t="n">
        <v>0</v>
      </c>
      <c r="S577" t="n">
        <v>0</v>
      </c>
      <c r="T577" t="n">
        <v>0</v>
      </c>
      <c r="U577" s="2" t="inlineStr"/>
    </row>
    <row r="578" ht="15" customHeight="1">
      <c r="A578" t="inlineStr">
        <is>
          <t>A 22506-2023</t>
        </is>
      </c>
      <c r="B578" t="inlineStr">
        <is>
          <t>avverkningsanmälan</t>
        </is>
      </c>
      <c r="C578" t="inlineStr">
        <is>
          <t>Föryngringsavverkning</t>
        </is>
      </c>
      <c r="D578" s="1" t="n">
        <v>45071</v>
      </c>
      <c r="E578" s="1" t="n">
        <v>46220</v>
      </c>
      <c r="F578" t="inlineStr">
        <is>
          <t>SÖDERMANLANDS LÄN</t>
        </is>
      </c>
      <c r="G578" t="inlineStr">
        <is>
          <t>KATRINEHOLM</t>
        </is>
      </c>
      <c r="H578" t="inlineStr">
        <is>
          <t>Kyrkan</t>
        </is>
      </c>
      <c r="I578" t="n">
        <v>5.9</v>
      </c>
      <c r="J578" t="n">
        <v>0</v>
      </c>
      <c r="K578" t="n">
        <v>0</v>
      </c>
      <c r="L578" t="n">
        <v>0</v>
      </c>
      <c r="M578" t="n">
        <v>0</v>
      </c>
      <c r="N578" t="n">
        <v>0</v>
      </c>
      <c r="O578" t="n">
        <v>0</v>
      </c>
      <c r="P578" t="n">
        <v>0</v>
      </c>
      <c r="Q578" t="n">
        <v>0</v>
      </c>
      <c r="R578" t="n">
        <v>0</v>
      </c>
      <c r="S578" t="n">
        <v>0</v>
      </c>
      <c r="T578" t="n">
        <v>0</v>
      </c>
      <c r="U578" s="2" t="inlineStr"/>
    </row>
    <row r="579" ht="15" customHeight="1">
      <c r="A579" t="inlineStr">
        <is>
          <t>A 26713-2024</t>
        </is>
      </c>
      <c r="B579" t="inlineStr">
        <is>
          <t>avverkningsanmälan</t>
        </is>
      </c>
      <c r="C579" t="inlineStr">
        <is>
          <t>Avverkning för annat ändamål</t>
        </is>
      </c>
      <c r="D579" s="1" t="n">
        <v>45470</v>
      </c>
      <c r="E579" s="1" t="n">
        <v>46220</v>
      </c>
      <c r="F579" t="inlineStr">
        <is>
          <t>SÖDERMANLANDS LÄN</t>
        </is>
      </c>
      <c r="G579" t="inlineStr">
        <is>
          <t>KATRINEHOLM</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28978-2026</t>
        </is>
      </c>
      <c r="B580" t="inlineStr">
        <is>
          <t>avverkningsanmälan</t>
        </is>
      </c>
      <c r="C580" t="inlineStr">
        <is>
          <t>Föryngringsavverkning</t>
        </is>
      </c>
      <c r="D580" s="1" t="n">
        <v>46199</v>
      </c>
      <c r="E580" s="1" t="n">
        <v>46220</v>
      </c>
      <c r="F580" t="inlineStr">
        <is>
          <t>SÖDERMANLANDS LÄN</t>
        </is>
      </c>
      <c r="G580" t="inlineStr">
        <is>
          <t>KATRINEHOLM</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1151-2025</t>
        </is>
      </c>
      <c r="B581" t="inlineStr">
        <is>
          <t>avverkningsanmälan</t>
        </is>
      </c>
      <c r="C581" t="inlineStr">
        <is>
          <t>Avverkning för annat ändamål</t>
        </is>
      </c>
      <c r="D581" s="1" t="n">
        <v>45666</v>
      </c>
      <c r="E581" s="1" t="n">
        <v>46220</v>
      </c>
      <c r="F581" t="inlineStr">
        <is>
          <t>SÖDERMANLANDS LÄN</t>
        </is>
      </c>
      <c r="G581" t="inlineStr">
        <is>
          <t>KATRINEHOLM</t>
        </is>
      </c>
      <c r="I581" t="n">
        <v>1.9</v>
      </c>
      <c r="J581" t="n">
        <v>0</v>
      </c>
      <c r="K581" t="n">
        <v>0</v>
      </c>
      <c r="L581" t="n">
        <v>0</v>
      </c>
      <c r="M581" t="n">
        <v>0</v>
      </c>
      <c r="N581" t="n">
        <v>0</v>
      </c>
      <c r="O581" t="n">
        <v>0</v>
      </c>
      <c r="P581" t="n">
        <v>0</v>
      </c>
      <c r="Q581" t="n">
        <v>0</v>
      </c>
      <c r="R581" t="n">
        <v>0</v>
      </c>
      <c r="S581" t="n">
        <v>0</v>
      </c>
      <c r="T581" t="n">
        <v>0</v>
      </c>
      <c r="U581" s="2" t="inlineStr"/>
    </row>
    <row r="582" ht="15" customHeight="1">
      <c r="A582" t="inlineStr">
        <is>
          <t>A 50017-2023</t>
        </is>
      </c>
      <c r="B582" t="inlineStr">
        <is>
          <t>avverkningsanmälan</t>
        </is>
      </c>
      <c r="C582" t="inlineStr">
        <is>
          <t>Föryngringsavverkning</t>
        </is>
      </c>
      <c r="D582" s="1" t="n">
        <v>45215</v>
      </c>
      <c r="E582" s="1" t="n">
        <v>46220</v>
      </c>
      <c r="F582" t="inlineStr">
        <is>
          <t>SÖDERMANLANDS LÄN</t>
        </is>
      </c>
      <c r="G582" t="inlineStr">
        <is>
          <t>KATRINEHOLM</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29843-2023</t>
        </is>
      </c>
      <c r="B583" t="inlineStr">
        <is>
          <t>avverkningsanmälan</t>
        </is>
      </c>
      <c r="C583" t="inlineStr">
        <is>
          <t>Föryngringsavverkning</t>
        </is>
      </c>
      <c r="D583" s="1" t="n">
        <v>45107</v>
      </c>
      <c r="E583" s="1" t="n">
        <v>46220</v>
      </c>
      <c r="F583" t="inlineStr">
        <is>
          <t>SÖDERMANLANDS LÄN</t>
        </is>
      </c>
      <c r="G583" t="inlineStr">
        <is>
          <t>KATRINEHOLM</t>
        </is>
      </c>
      <c r="H583" t="inlineStr">
        <is>
          <t>Holmen skog AB</t>
        </is>
      </c>
      <c r="I583" t="n">
        <v>1.8</v>
      </c>
      <c r="J583" t="n">
        <v>0</v>
      </c>
      <c r="K583" t="n">
        <v>0</v>
      </c>
      <c r="L583" t="n">
        <v>0</v>
      </c>
      <c r="M583" t="n">
        <v>0</v>
      </c>
      <c r="N583" t="n">
        <v>0</v>
      </c>
      <c r="O583" t="n">
        <v>0</v>
      </c>
      <c r="P583" t="n">
        <v>0</v>
      </c>
      <c r="Q583" t="n">
        <v>0</v>
      </c>
      <c r="R583" t="n">
        <v>0</v>
      </c>
      <c r="S583" t="n">
        <v>0</v>
      </c>
      <c r="T583" t="n">
        <v>0</v>
      </c>
      <c r="U583" s="2" t="inlineStr"/>
    </row>
    <row r="584" ht="15" customHeight="1">
      <c r="A584" t="inlineStr">
        <is>
          <t>A 56628-2021</t>
        </is>
      </c>
      <c r="B584" t="inlineStr">
        <is>
          <t>avverkningsanmälan</t>
        </is>
      </c>
      <c r="C584" t="inlineStr">
        <is>
          <t>Föryngringsavverkning</t>
        </is>
      </c>
      <c r="D584" s="1" t="n">
        <v>44480</v>
      </c>
      <c r="E584" s="1" t="n">
        <v>46220</v>
      </c>
      <c r="F584" t="inlineStr">
        <is>
          <t>SÖDERMANLANDS LÄN</t>
        </is>
      </c>
      <c r="G584" t="inlineStr">
        <is>
          <t>KATRINEHOLM</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62418-2023</t>
        </is>
      </c>
      <c r="B585" t="inlineStr">
        <is>
          <t>avverkningsanmälan</t>
        </is>
      </c>
      <c r="C585" t="inlineStr">
        <is>
          <t>Föryngringsavverkning</t>
        </is>
      </c>
      <c r="D585" s="1" t="n">
        <v>45268</v>
      </c>
      <c r="E585" s="1" t="n">
        <v>46220</v>
      </c>
      <c r="F585" t="inlineStr">
        <is>
          <t>SÖDERMANLANDS LÄN</t>
        </is>
      </c>
      <c r="G585" t="inlineStr">
        <is>
          <t>KATRINEHOLM</t>
        </is>
      </c>
      <c r="I585" t="n">
        <v>3</v>
      </c>
      <c r="J585" t="n">
        <v>0</v>
      </c>
      <c r="K585" t="n">
        <v>0</v>
      </c>
      <c r="L585" t="n">
        <v>0</v>
      </c>
      <c r="M585" t="n">
        <v>0</v>
      </c>
      <c r="N585" t="n">
        <v>0</v>
      </c>
      <c r="O585" t="n">
        <v>0</v>
      </c>
      <c r="P585" t="n">
        <v>0</v>
      </c>
      <c r="Q585" t="n">
        <v>0</v>
      </c>
      <c r="R585" t="n">
        <v>0</v>
      </c>
      <c r="S585" t="n">
        <v>0</v>
      </c>
      <c r="T585" t="n">
        <v>0</v>
      </c>
      <c r="U585" s="2" t="inlineStr"/>
    </row>
    <row r="586" ht="15" customHeight="1">
      <c r="A586" t="inlineStr">
        <is>
          <t>A 48091-2024</t>
        </is>
      </c>
      <c r="B586" t="inlineStr">
        <is>
          <t>avverkningsanmälan</t>
        </is>
      </c>
      <c r="C586" t="inlineStr">
        <is>
          <t>Föryngringsavverkning</t>
        </is>
      </c>
      <c r="D586" s="1" t="n">
        <v>45590</v>
      </c>
      <c r="E586" s="1" t="n">
        <v>46220</v>
      </c>
      <c r="F586" t="inlineStr">
        <is>
          <t>SÖDERMANLANDS LÄN</t>
        </is>
      </c>
      <c r="G586" t="inlineStr">
        <is>
          <t>KATRINEHOLM</t>
        </is>
      </c>
      <c r="I586" t="n">
        <v>3.1</v>
      </c>
      <c r="J586" t="n">
        <v>0</v>
      </c>
      <c r="K586" t="n">
        <v>0</v>
      </c>
      <c r="L586" t="n">
        <v>0</v>
      </c>
      <c r="M586" t="n">
        <v>0</v>
      </c>
      <c r="N586" t="n">
        <v>0</v>
      </c>
      <c r="O586" t="n">
        <v>0</v>
      </c>
      <c r="P586" t="n">
        <v>0</v>
      </c>
      <c r="Q586" t="n">
        <v>0</v>
      </c>
      <c r="R586" t="n">
        <v>0</v>
      </c>
      <c r="S586" t="n">
        <v>0</v>
      </c>
      <c r="T586" t="n">
        <v>0</v>
      </c>
      <c r="U586" s="2" t="inlineStr"/>
    </row>
    <row r="587" ht="15" customHeight="1">
      <c r="A587" t="inlineStr">
        <is>
          <t>A 29019-2026</t>
        </is>
      </c>
      <c r="B587" t="inlineStr">
        <is>
          <t>avverkningsanmälan</t>
        </is>
      </c>
      <c r="C587" t="inlineStr">
        <is>
          <t>Föryngringsavverkning</t>
        </is>
      </c>
      <c r="D587" s="1" t="n">
        <v>46199</v>
      </c>
      <c r="E587" s="1" t="n">
        <v>46220</v>
      </c>
      <c r="F587" t="inlineStr">
        <is>
          <t>SÖDERMANLANDS LÄN</t>
        </is>
      </c>
      <c r="G587" t="inlineStr">
        <is>
          <t>KATRINEHOLM</t>
        </is>
      </c>
      <c r="I587" t="n">
        <v>9.800000000000001</v>
      </c>
      <c r="J587" t="n">
        <v>0</v>
      </c>
      <c r="K587" t="n">
        <v>0</v>
      </c>
      <c r="L587" t="n">
        <v>0</v>
      </c>
      <c r="M587" t="n">
        <v>0</v>
      </c>
      <c r="N587" t="n">
        <v>0</v>
      </c>
      <c r="O587" t="n">
        <v>0</v>
      </c>
      <c r="P587" t="n">
        <v>0</v>
      </c>
      <c r="Q587" t="n">
        <v>0</v>
      </c>
      <c r="R587" t="n">
        <v>0</v>
      </c>
      <c r="S587" t="n">
        <v>0</v>
      </c>
      <c r="T587" t="n">
        <v>0</v>
      </c>
      <c r="U587" s="2" t="inlineStr"/>
    </row>
    <row r="588" ht="15" customHeight="1">
      <c r="A588" t="inlineStr">
        <is>
          <t>A 29023-2026</t>
        </is>
      </c>
      <c r="B588" t="inlineStr">
        <is>
          <t>avverkningsanmälan</t>
        </is>
      </c>
      <c r="C588" t="inlineStr">
        <is>
          <t>Föryngringsavverkning</t>
        </is>
      </c>
      <c r="D588" s="1" t="n">
        <v>46199</v>
      </c>
      <c r="E588" s="1" t="n">
        <v>46220</v>
      </c>
      <c r="F588" t="inlineStr">
        <is>
          <t>SÖDERMANLANDS LÄN</t>
        </is>
      </c>
      <c r="G588" t="inlineStr">
        <is>
          <t>KATRINEHOLM</t>
        </is>
      </c>
      <c r="I588" t="n">
        <v>3.1</v>
      </c>
      <c r="J588" t="n">
        <v>0</v>
      </c>
      <c r="K588" t="n">
        <v>0</v>
      </c>
      <c r="L588" t="n">
        <v>0</v>
      </c>
      <c r="M588" t="n">
        <v>0</v>
      </c>
      <c r="N588" t="n">
        <v>0</v>
      </c>
      <c r="O588" t="n">
        <v>0</v>
      </c>
      <c r="P588" t="n">
        <v>0</v>
      </c>
      <c r="Q588" t="n">
        <v>0</v>
      </c>
      <c r="R588" t="n">
        <v>0</v>
      </c>
      <c r="S588" t="n">
        <v>0</v>
      </c>
      <c r="T588" t="n">
        <v>0</v>
      </c>
      <c r="U588" s="2" t="inlineStr"/>
    </row>
    <row r="589" ht="15" customHeight="1">
      <c r="A589" t="inlineStr">
        <is>
          <t>A 48160-2022</t>
        </is>
      </c>
      <c r="B589" t="inlineStr">
        <is>
          <t>avverkningsanmälan</t>
        </is>
      </c>
      <c r="C589" t="inlineStr">
        <is>
          <t>Föryngringsavverkning</t>
        </is>
      </c>
      <c r="D589" s="1" t="n">
        <v>44853</v>
      </c>
      <c r="E589" s="1" t="n">
        <v>46220</v>
      </c>
      <c r="F589" t="inlineStr">
        <is>
          <t>SÖDERMANLANDS LÄN</t>
        </is>
      </c>
      <c r="G589" t="inlineStr">
        <is>
          <t>KATRINEHOLM</t>
        </is>
      </c>
      <c r="H589" t="inlineStr">
        <is>
          <t>Övriga statliga verk och myndigheter</t>
        </is>
      </c>
      <c r="I589" t="n">
        <v>2.2</v>
      </c>
      <c r="J589" t="n">
        <v>0</v>
      </c>
      <c r="K589" t="n">
        <v>0</v>
      </c>
      <c r="L589" t="n">
        <v>0</v>
      </c>
      <c r="M589" t="n">
        <v>0</v>
      </c>
      <c r="N589" t="n">
        <v>0</v>
      </c>
      <c r="O589" t="n">
        <v>0</v>
      </c>
      <c r="P589" t="n">
        <v>0</v>
      </c>
      <c r="Q589" t="n">
        <v>0</v>
      </c>
      <c r="R589" t="n">
        <v>0</v>
      </c>
      <c r="S589" t="n">
        <v>0</v>
      </c>
      <c r="T589" t="n">
        <v>0</v>
      </c>
      <c r="U589" s="2" t="inlineStr"/>
    </row>
    <row r="590" ht="15" customHeight="1">
      <c r="A590" t="inlineStr">
        <is>
          <t>A 18339-2023</t>
        </is>
      </c>
      <c r="B590" t="inlineStr">
        <is>
          <t>avverkningsanmälan</t>
        </is>
      </c>
      <c r="C590" t="inlineStr">
        <is>
          <t>Föryngringsavverkning</t>
        </is>
      </c>
      <c r="D590" s="1" t="n">
        <v>45041</v>
      </c>
      <c r="E590" s="1" t="n">
        <v>46220</v>
      </c>
      <c r="F590" t="inlineStr">
        <is>
          <t>SÖDERMANLANDS LÄN</t>
        </is>
      </c>
      <c r="G590" t="inlineStr">
        <is>
          <t>KATRINEHOLM</t>
        </is>
      </c>
      <c r="I590" t="n">
        <v>1.7</v>
      </c>
      <c r="J590" t="n">
        <v>0</v>
      </c>
      <c r="K590" t="n">
        <v>0</v>
      </c>
      <c r="L590" t="n">
        <v>0</v>
      </c>
      <c r="M590" t="n">
        <v>0</v>
      </c>
      <c r="N590" t="n">
        <v>0</v>
      </c>
      <c r="O590" t="n">
        <v>0</v>
      </c>
      <c r="P590" t="n">
        <v>0</v>
      </c>
      <c r="Q590" t="n">
        <v>0</v>
      </c>
      <c r="R590" t="n">
        <v>0</v>
      </c>
      <c r="S590" t="n">
        <v>0</v>
      </c>
      <c r="T590" t="n">
        <v>0</v>
      </c>
      <c r="U590" s="2" t="inlineStr"/>
    </row>
    <row r="591" ht="15" customHeight="1">
      <c r="A591" t="inlineStr">
        <is>
          <t>A 28933-2026</t>
        </is>
      </c>
      <c r="B591" t="inlineStr">
        <is>
          <t>avverkningsanmälan</t>
        </is>
      </c>
      <c r="C591" t="inlineStr">
        <is>
          <t>Föryngringsavverkning</t>
        </is>
      </c>
      <c r="D591" s="1" t="n">
        <v>46199</v>
      </c>
      <c r="E591" s="1" t="n">
        <v>46220</v>
      </c>
      <c r="F591" t="inlineStr">
        <is>
          <t>SÖDERMANLANDS LÄN</t>
        </is>
      </c>
      <c r="G591" t="inlineStr">
        <is>
          <t>KATRINEHOLM</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28946-2026</t>
        </is>
      </c>
      <c r="B592" t="inlineStr">
        <is>
          <t>avverkningsanmälan</t>
        </is>
      </c>
      <c r="C592" t="inlineStr">
        <is>
          <t>Föryngringsavverkning</t>
        </is>
      </c>
      <c r="D592" s="1" t="n">
        <v>46199</v>
      </c>
      <c r="E592" s="1" t="n">
        <v>46220</v>
      </c>
      <c r="F592" t="inlineStr">
        <is>
          <t>SÖDERMANLANDS LÄN</t>
        </is>
      </c>
      <c r="G592" t="inlineStr">
        <is>
          <t>KATRINEHOLM</t>
        </is>
      </c>
      <c r="I592" t="n">
        <v>7.7</v>
      </c>
      <c r="J592" t="n">
        <v>0</v>
      </c>
      <c r="K592" t="n">
        <v>0</v>
      </c>
      <c r="L592" t="n">
        <v>0</v>
      </c>
      <c r="M592" t="n">
        <v>0</v>
      </c>
      <c r="N592" t="n">
        <v>0</v>
      </c>
      <c r="O592" t="n">
        <v>0</v>
      </c>
      <c r="P592" t="n">
        <v>0</v>
      </c>
      <c r="Q592" t="n">
        <v>0</v>
      </c>
      <c r="R592" t="n">
        <v>0</v>
      </c>
      <c r="S592" t="n">
        <v>0</v>
      </c>
      <c r="T592" t="n">
        <v>0</v>
      </c>
      <c r="U592" s="2" t="inlineStr"/>
    </row>
    <row r="593" ht="15" customHeight="1">
      <c r="A593" t="inlineStr">
        <is>
          <t>A 20460-2025</t>
        </is>
      </c>
      <c r="B593" t="inlineStr">
        <is>
          <t>avverkningsanmälan</t>
        </is>
      </c>
      <c r="C593" t="inlineStr">
        <is>
          <t>Föryngringsavverkning</t>
        </is>
      </c>
      <c r="D593" s="1" t="n">
        <v>45775</v>
      </c>
      <c r="E593" s="1" t="n">
        <v>46220</v>
      </c>
      <c r="F593" t="inlineStr">
        <is>
          <t>SÖDERMANLANDS LÄN</t>
        </is>
      </c>
      <c r="G593" t="inlineStr">
        <is>
          <t>KATRINEHOLM</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49092-2024</t>
        </is>
      </c>
      <c r="B594" t="inlineStr">
        <is>
          <t>avverkningsanmälan</t>
        </is>
      </c>
      <c r="C594" t="inlineStr">
        <is>
          <t>Avverkning för annat ändamål</t>
        </is>
      </c>
      <c r="D594" s="1" t="n">
        <v>45594</v>
      </c>
      <c r="E594" s="1" t="n">
        <v>46220</v>
      </c>
      <c r="F594" t="inlineStr">
        <is>
          <t>SÖDERMANLANDS LÄN</t>
        </is>
      </c>
      <c r="G594" t="inlineStr">
        <is>
          <t>KATRINEHOLM</t>
        </is>
      </c>
      <c r="H594" t="inlineStr">
        <is>
          <t>Övriga Aktiebolag</t>
        </is>
      </c>
      <c r="I594" t="n">
        <v>0.4</v>
      </c>
      <c r="J594" t="n">
        <v>0</v>
      </c>
      <c r="K594" t="n">
        <v>0</v>
      </c>
      <c r="L594" t="n">
        <v>0</v>
      </c>
      <c r="M594" t="n">
        <v>0</v>
      </c>
      <c r="N594" t="n">
        <v>0</v>
      </c>
      <c r="O594" t="n">
        <v>0</v>
      </c>
      <c r="P594" t="n">
        <v>0</v>
      </c>
      <c r="Q594" t="n">
        <v>0</v>
      </c>
      <c r="R594" t="n">
        <v>0</v>
      </c>
      <c r="S594" t="n">
        <v>0</v>
      </c>
      <c r="T594" t="n">
        <v>0</v>
      </c>
      <c r="U594" s="2" t="inlineStr"/>
    </row>
    <row r="595" ht="15" customHeight="1">
      <c r="A595" t="inlineStr">
        <is>
          <t>A 49095-2024</t>
        </is>
      </c>
      <c r="B595" t="inlineStr">
        <is>
          <t>avverkningsanmälan</t>
        </is>
      </c>
      <c r="C595" t="inlineStr">
        <is>
          <t>Avverkning för annat ändamål</t>
        </is>
      </c>
      <c r="D595" s="1" t="n">
        <v>45594</v>
      </c>
      <c r="E595" s="1" t="n">
        <v>46220</v>
      </c>
      <c r="F595" t="inlineStr">
        <is>
          <t>SÖDERMANLANDS LÄN</t>
        </is>
      </c>
      <c r="G595" t="inlineStr">
        <is>
          <t>KATRINEHOLM</t>
        </is>
      </c>
      <c r="H595" t="inlineStr">
        <is>
          <t>Övriga Aktiebolag</t>
        </is>
      </c>
      <c r="I595" t="n">
        <v>0.4</v>
      </c>
      <c r="J595" t="n">
        <v>0</v>
      </c>
      <c r="K595" t="n">
        <v>0</v>
      </c>
      <c r="L595" t="n">
        <v>0</v>
      </c>
      <c r="M595" t="n">
        <v>0</v>
      </c>
      <c r="N595" t="n">
        <v>0</v>
      </c>
      <c r="O595" t="n">
        <v>0</v>
      </c>
      <c r="P595" t="n">
        <v>0</v>
      </c>
      <c r="Q595" t="n">
        <v>0</v>
      </c>
      <c r="R595" t="n">
        <v>0</v>
      </c>
      <c r="S595" t="n">
        <v>0</v>
      </c>
      <c r="T595" t="n">
        <v>0</v>
      </c>
      <c r="U595" s="2" t="inlineStr"/>
    </row>
    <row r="596" ht="15" customHeight="1">
      <c r="A596" t="inlineStr">
        <is>
          <t>A 55172-2022</t>
        </is>
      </c>
      <c r="B596" t="inlineStr">
        <is>
          <t>avverkningsanmälan</t>
        </is>
      </c>
      <c r="C596" t="inlineStr">
        <is>
          <t>Föryngringsavverkning</t>
        </is>
      </c>
      <c r="D596" s="1" t="n">
        <v>44886</v>
      </c>
      <c r="E596" s="1" t="n">
        <v>46220</v>
      </c>
      <c r="F596" t="inlineStr">
        <is>
          <t>SÖDERMANLANDS LÄN</t>
        </is>
      </c>
      <c r="G596" t="inlineStr">
        <is>
          <t>KATRINEHOLM</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50935-2023</t>
        </is>
      </c>
      <c r="B597" t="inlineStr">
        <is>
          <t>avverkningsanmälan</t>
        </is>
      </c>
      <c r="C597" t="inlineStr">
        <is>
          <t>Föryngringsavverkning</t>
        </is>
      </c>
      <c r="D597" s="1" t="n">
        <v>45211</v>
      </c>
      <c r="E597" s="1" t="n">
        <v>46220</v>
      </c>
      <c r="F597" t="inlineStr">
        <is>
          <t>SÖDERMANLANDS LÄN</t>
        </is>
      </c>
      <c r="G597" t="inlineStr">
        <is>
          <t>KATRINEHOLM</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24619-2024</t>
        </is>
      </c>
      <c r="B598" t="inlineStr">
        <is>
          <t>avverkningsanmälan</t>
        </is>
      </c>
      <c r="C598" t="inlineStr">
        <is>
          <t>Föryngringsavverkning</t>
        </is>
      </c>
      <c r="D598" s="1" t="n">
        <v>45460</v>
      </c>
      <c r="E598" s="1" t="n">
        <v>46220</v>
      </c>
      <c r="F598" t="inlineStr">
        <is>
          <t>SÖDERMANLANDS LÄN</t>
        </is>
      </c>
      <c r="G598" t="inlineStr">
        <is>
          <t>KATRINEHOLM</t>
        </is>
      </c>
      <c r="I598" t="n">
        <v>4.7</v>
      </c>
      <c r="J598" t="n">
        <v>0</v>
      </c>
      <c r="K598" t="n">
        <v>0</v>
      </c>
      <c r="L598" t="n">
        <v>0</v>
      </c>
      <c r="M598" t="n">
        <v>0</v>
      </c>
      <c r="N598" t="n">
        <v>0</v>
      </c>
      <c r="O598" t="n">
        <v>0</v>
      </c>
      <c r="P598" t="n">
        <v>0</v>
      </c>
      <c r="Q598" t="n">
        <v>0</v>
      </c>
      <c r="R598" t="n">
        <v>0</v>
      </c>
      <c r="S598" t="n">
        <v>0</v>
      </c>
      <c r="T598" t="n">
        <v>0</v>
      </c>
      <c r="U598" s="2" t="inlineStr"/>
    </row>
    <row r="599" ht="15" customHeight="1">
      <c r="A599" t="inlineStr">
        <is>
          <t>A 28999-2026</t>
        </is>
      </c>
      <c r="B599" t="inlineStr">
        <is>
          <t>avverkningsanmälan</t>
        </is>
      </c>
      <c r="C599" t="inlineStr">
        <is>
          <t>Föryngringsavverkning</t>
        </is>
      </c>
      <c r="D599" s="1" t="n">
        <v>46199</v>
      </c>
      <c r="E599" s="1" t="n">
        <v>46220</v>
      </c>
      <c r="F599" t="inlineStr">
        <is>
          <t>SÖDERMANLANDS LÄN</t>
        </is>
      </c>
      <c r="G599" t="inlineStr">
        <is>
          <t>KATRINEHOLM</t>
        </is>
      </c>
      <c r="I599" t="n">
        <v>13.4</v>
      </c>
      <c r="J599" t="n">
        <v>0</v>
      </c>
      <c r="K599" t="n">
        <v>0</v>
      </c>
      <c r="L599" t="n">
        <v>0</v>
      </c>
      <c r="M599" t="n">
        <v>0</v>
      </c>
      <c r="N599" t="n">
        <v>0</v>
      </c>
      <c r="O599" t="n">
        <v>0</v>
      </c>
      <c r="P599" t="n">
        <v>0</v>
      </c>
      <c r="Q599" t="n">
        <v>0</v>
      </c>
      <c r="R599" t="n">
        <v>0</v>
      </c>
      <c r="S599" t="n">
        <v>0</v>
      </c>
      <c r="T599" t="n">
        <v>0</v>
      </c>
      <c r="U599" s="2" t="inlineStr"/>
    </row>
    <row r="600" ht="15" customHeight="1">
      <c r="A600" t="inlineStr">
        <is>
          <t>A 53843-2023</t>
        </is>
      </c>
      <c r="B600" t="inlineStr">
        <is>
          <t>avverkningsanmälan</t>
        </is>
      </c>
      <c r="C600" t="inlineStr">
        <is>
          <t>Föryngringsavverkning</t>
        </is>
      </c>
      <c r="D600" s="1" t="n">
        <v>45230</v>
      </c>
      <c r="E600" s="1" t="n">
        <v>46220</v>
      </c>
      <c r="F600" t="inlineStr">
        <is>
          <t>SÖDERMANLANDS LÄN</t>
        </is>
      </c>
      <c r="G600" t="inlineStr">
        <is>
          <t>KATRINEHOLM</t>
        </is>
      </c>
      <c r="I600" t="n">
        <v>14.2</v>
      </c>
      <c r="J600" t="n">
        <v>0</v>
      </c>
      <c r="K600" t="n">
        <v>0</v>
      </c>
      <c r="L600" t="n">
        <v>0</v>
      </c>
      <c r="M600" t="n">
        <v>0</v>
      </c>
      <c r="N600" t="n">
        <v>0</v>
      </c>
      <c r="O600" t="n">
        <v>0</v>
      </c>
      <c r="P600" t="n">
        <v>0</v>
      </c>
      <c r="Q600" t="n">
        <v>0</v>
      </c>
      <c r="R600" t="n">
        <v>0</v>
      </c>
      <c r="S600" t="n">
        <v>0</v>
      </c>
      <c r="T600" t="n">
        <v>0</v>
      </c>
      <c r="U600" s="2" t="inlineStr"/>
    </row>
    <row r="601" ht="15" customHeight="1">
      <c r="A601" t="inlineStr">
        <is>
          <t>A 2735-2025</t>
        </is>
      </c>
      <c r="B601" t="inlineStr">
        <is>
          <t>avverkningsanmälan</t>
        </is>
      </c>
      <c r="C601" t="inlineStr">
        <is>
          <t>Avverkning för annat ändamål</t>
        </is>
      </c>
      <c r="D601" s="1" t="n">
        <v>45677</v>
      </c>
      <c r="E601" s="1" t="n">
        <v>46220</v>
      </c>
      <c r="F601" t="inlineStr">
        <is>
          <t>SÖDERMANLANDS LÄN</t>
        </is>
      </c>
      <c r="G601" t="inlineStr">
        <is>
          <t>KATRINEHOLM</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22295-2024</t>
        </is>
      </c>
      <c r="B602" t="inlineStr">
        <is>
          <t>avverkningsanmälan</t>
        </is>
      </c>
      <c r="C602" t="inlineStr">
        <is>
          <t>Föryngringsavverkning</t>
        </is>
      </c>
      <c r="D602" s="1" t="n">
        <v>45446</v>
      </c>
      <c r="E602" s="1" t="n">
        <v>46220</v>
      </c>
      <c r="F602" t="inlineStr">
        <is>
          <t>SÖDERMANLANDS LÄN</t>
        </is>
      </c>
      <c r="G602" t="inlineStr">
        <is>
          <t>KATRINEHOLM</t>
        </is>
      </c>
      <c r="H602" t="inlineStr">
        <is>
          <t>Kommuner</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22272-2022</t>
        </is>
      </c>
      <c r="B603" t="inlineStr">
        <is>
          <t>avverkningsanmälan</t>
        </is>
      </c>
      <c r="C603" t="inlineStr">
        <is>
          <t>Föryngringsavverkning</t>
        </is>
      </c>
      <c r="D603" s="1" t="n">
        <v>44712</v>
      </c>
      <c r="E603" s="1" t="n">
        <v>46220</v>
      </c>
      <c r="F603" t="inlineStr">
        <is>
          <t>SÖDERMANLANDS LÄN</t>
        </is>
      </c>
      <c r="G603" t="inlineStr">
        <is>
          <t>KATRINEHOLM</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29046-2026</t>
        </is>
      </c>
      <c r="B604" t="inlineStr">
        <is>
          <t>avverkningsanmälan</t>
        </is>
      </c>
      <c r="C604" t="inlineStr">
        <is>
          <t>Föryngringsavverkning</t>
        </is>
      </c>
      <c r="D604" s="1" t="n">
        <v>46199</v>
      </c>
      <c r="E604" s="1" t="n">
        <v>46220</v>
      </c>
      <c r="F604" t="inlineStr">
        <is>
          <t>SÖDERMANLANDS LÄN</t>
        </is>
      </c>
      <c r="G604" t="inlineStr">
        <is>
          <t>KATRINEHOLM</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53715-2023</t>
        </is>
      </c>
      <c r="B605" t="inlineStr">
        <is>
          <t>avverkningsanmälan</t>
        </is>
      </c>
      <c r="C605" t="inlineStr">
        <is>
          <t>Föryngringsavverkning</t>
        </is>
      </c>
      <c r="D605" s="1" t="n">
        <v>45230</v>
      </c>
      <c r="E605" s="1" t="n">
        <v>46220</v>
      </c>
      <c r="F605" t="inlineStr">
        <is>
          <t>SÖDERMANLANDS LÄN</t>
        </is>
      </c>
      <c r="G605" t="inlineStr">
        <is>
          <t>KATRINEHOLM</t>
        </is>
      </c>
      <c r="H605" t="inlineStr">
        <is>
          <t>Allmännings- och besparingsskogar</t>
        </is>
      </c>
      <c r="I605" t="n">
        <v>5.6</v>
      </c>
      <c r="J605" t="n">
        <v>0</v>
      </c>
      <c r="K605" t="n">
        <v>0</v>
      </c>
      <c r="L605" t="n">
        <v>0</v>
      </c>
      <c r="M605" t="n">
        <v>0</v>
      </c>
      <c r="N605" t="n">
        <v>0</v>
      </c>
      <c r="O605" t="n">
        <v>0</v>
      </c>
      <c r="P605" t="n">
        <v>0</v>
      </c>
      <c r="Q605" t="n">
        <v>0</v>
      </c>
      <c r="R605" t="n">
        <v>0</v>
      </c>
      <c r="S605" t="n">
        <v>0</v>
      </c>
      <c r="T605" t="n">
        <v>0</v>
      </c>
      <c r="U605" s="2" t="inlineStr"/>
    </row>
    <row r="606" ht="15" customHeight="1">
      <c r="A606" t="inlineStr">
        <is>
          <t>A 58175-2024</t>
        </is>
      </c>
      <c r="B606" t="inlineStr">
        <is>
          <t>avverkningsanmälan</t>
        </is>
      </c>
      <c r="C606" t="inlineStr">
        <is>
          <t>Avverkning för att bevara och utveckla /försöksver</t>
        </is>
      </c>
      <c r="D606" s="1" t="n">
        <v>45632</v>
      </c>
      <c r="E606" s="1" t="n">
        <v>46220</v>
      </c>
      <c r="F606" t="inlineStr">
        <is>
          <t>SÖDERMANLANDS LÄN</t>
        </is>
      </c>
      <c r="G606" t="inlineStr">
        <is>
          <t>KATRINEHOLM</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59474-2021</t>
        </is>
      </c>
      <c r="B607" t="inlineStr">
        <is>
          <t>avverkningsanmälan</t>
        </is>
      </c>
      <c r="C607" t="inlineStr">
        <is>
          <t>Föryngringsavverkning</t>
        </is>
      </c>
      <c r="D607" s="1" t="n">
        <v>44491</v>
      </c>
      <c r="E607" s="1" t="n">
        <v>46220</v>
      </c>
      <c r="F607" t="inlineStr">
        <is>
          <t>SÖDERMANLANDS LÄN</t>
        </is>
      </c>
      <c r="G607" t="inlineStr">
        <is>
          <t>KATRINEHOLM</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51923-2023</t>
        </is>
      </c>
      <c r="B608" t="inlineStr">
        <is>
          <t>avverkningsanmälan</t>
        </is>
      </c>
      <c r="C608" t="inlineStr">
        <is>
          <t>Föryngringsavverkning</t>
        </is>
      </c>
      <c r="D608" s="1" t="n">
        <v>45223</v>
      </c>
      <c r="E608" s="1" t="n">
        <v>46220</v>
      </c>
      <c r="F608" t="inlineStr">
        <is>
          <t>SÖDERMANLANDS LÄN</t>
        </is>
      </c>
      <c r="G608" t="inlineStr">
        <is>
          <t>KATRINEHOLM</t>
        </is>
      </c>
      <c r="I608" t="n">
        <v>0.6</v>
      </c>
      <c r="J608" t="n">
        <v>0</v>
      </c>
      <c r="K608" t="n">
        <v>0</v>
      </c>
      <c r="L608" t="n">
        <v>0</v>
      </c>
      <c r="M608" t="n">
        <v>0</v>
      </c>
      <c r="N608" t="n">
        <v>0</v>
      </c>
      <c r="O608" t="n">
        <v>0</v>
      </c>
      <c r="P608" t="n">
        <v>0</v>
      </c>
      <c r="Q608" t="n">
        <v>0</v>
      </c>
      <c r="R608" t="n">
        <v>0</v>
      </c>
      <c r="S608" t="n">
        <v>0</v>
      </c>
      <c r="T608" t="n">
        <v>0</v>
      </c>
      <c r="U608" s="2" t="inlineStr"/>
    </row>
    <row r="609" ht="15" customHeight="1">
      <c r="A609" t="inlineStr">
        <is>
          <t>A 27875-2024</t>
        </is>
      </c>
      <c r="B609" t="inlineStr">
        <is>
          <t>avverkningsanmälan</t>
        </is>
      </c>
      <c r="C609" t="inlineStr">
        <is>
          <t>Föryngringsavverkning</t>
        </is>
      </c>
      <c r="D609" s="1" t="n">
        <v>45475</v>
      </c>
      <c r="E609" s="1" t="n">
        <v>46220</v>
      </c>
      <c r="F609" t="inlineStr">
        <is>
          <t>SÖDERMANLANDS LÄN</t>
        </is>
      </c>
      <c r="G609" t="inlineStr">
        <is>
          <t>KATRINEHOLM</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43088-2022</t>
        </is>
      </c>
      <c r="B610" t="inlineStr">
        <is>
          <t>avverkningsanmälan</t>
        </is>
      </c>
      <c r="C610" t="inlineStr">
        <is>
          <t>Föryngringsavverkning</t>
        </is>
      </c>
      <c r="D610" s="1" t="n">
        <v>44833</v>
      </c>
      <c r="E610" s="1" t="n">
        <v>46220</v>
      </c>
      <c r="F610" t="inlineStr">
        <is>
          <t>SÖDERMANLANDS LÄN</t>
        </is>
      </c>
      <c r="G610" t="inlineStr">
        <is>
          <t>KATRINEHOLM</t>
        </is>
      </c>
      <c r="I610" t="n">
        <v>6.6</v>
      </c>
      <c r="J610" t="n">
        <v>0</v>
      </c>
      <c r="K610" t="n">
        <v>0</v>
      </c>
      <c r="L610" t="n">
        <v>0</v>
      </c>
      <c r="M610" t="n">
        <v>0</v>
      </c>
      <c r="N610" t="n">
        <v>0</v>
      </c>
      <c r="O610" t="n">
        <v>0</v>
      </c>
      <c r="P610" t="n">
        <v>0</v>
      </c>
      <c r="Q610" t="n">
        <v>0</v>
      </c>
      <c r="R610" t="n">
        <v>0</v>
      </c>
      <c r="S610" t="n">
        <v>0</v>
      </c>
      <c r="T610" t="n">
        <v>0</v>
      </c>
      <c r="U610" s="2" t="inlineStr"/>
    </row>
    <row r="611" ht="15" customHeight="1">
      <c r="A611" t="inlineStr">
        <is>
          <t>A 61385-2023</t>
        </is>
      </c>
      <c r="B611" t="inlineStr">
        <is>
          <t>avverkningsanmälan</t>
        </is>
      </c>
      <c r="C611" t="inlineStr">
        <is>
          <t>Föryngringsavverkning</t>
        </is>
      </c>
      <c r="D611" s="1" t="n">
        <v>45264</v>
      </c>
      <c r="E611" s="1" t="n">
        <v>46220</v>
      </c>
      <c r="F611" t="inlineStr">
        <is>
          <t>SÖDERMANLANDS LÄN</t>
        </is>
      </c>
      <c r="G611" t="inlineStr">
        <is>
          <t>KATRINEHOLM</t>
        </is>
      </c>
      <c r="I611" t="n">
        <v>0.4</v>
      </c>
      <c r="J611" t="n">
        <v>0</v>
      </c>
      <c r="K611" t="n">
        <v>0</v>
      </c>
      <c r="L611" t="n">
        <v>0</v>
      </c>
      <c r="M611" t="n">
        <v>0</v>
      </c>
      <c r="N611" t="n">
        <v>0</v>
      </c>
      <c r="O611" t="n">
        <v>0</v>
      </c>
      <c r="P611" t="n">
        <v>0</v>
      </c>
      <c r="Q611" t="n">
        <v>0</v>
      </c>
      <c r="R611" t="n">
        <v>0</v>
      </c>
      <c r="S611" t="n">
        <v>0</v>
      </c>
      <c r="T611" t="n">
        <v>0</v>
      </c>
      <c r="U611" s="2" t="inlineStr"/>
    </row>
    <row r="612" ht="15" customHeight="1">
      <c r="A612" t="inlineStr">
        <is>
          <t>A 2645-2026</t>
        </is>
      </c>
      <c r="B612" t="inlineStr">
        <is>
          <t>avverkningsanmälan</t>
        </is>
      </c>
      <c r="C612" t="inlineStr">
        <is>
          <t>Föryngringsavverkning</t>
        </is>
      </c>
      <c r="D612" s="1" t="n">
        <v>46037</v>
      </c>
      <c r="E612" s="1" t="n">
        <v>46220</v>
      </c>
      <c r="F612" t="inlineStr">
        <is>
          <t>SÖDERMANLANDS LÄN</t>
        </is>
      </c>
      <c r="G612" t="inlineStr">
        <is>
          <t>KATRINEHOLM</t>
        </is>
      </c>
      <c r="I612" t="n">
        <v>2.1</v>
      </c>
      <c r="J612" t="n">
        <v>0</v>
      </c>
      <c r="K612" t="n">
        <v>0</v>
      </c>
      <c r="L612" t="n">
        <v>0</v>
      </c>
      <c r="M612" t="n">
        <v>0</v>
      </c>
      <c r="N612" t="n">
        <v>0</v>
      </c>
      <c r="O612" t="n">
        <v>0</v>
      </c>
      <c r="P612" t="n">
        <v>0</v>
      </c>
      <c r="Q612" t="n">
        <v>0</v>
      </c>
      <c r="R612" t="n">
        <v>0</v>
      </c>
      <c r="S612" t="n">
        <v>0</v>
      </c>
      <c r="T612" t="n">
        <v>0</v>
      </c>
      <c r="U612" s="2" t="inlineStr"/>
    </row>
    <row r="613" ht="15" customHeight="1">
      <c r="A613" t="inlineStr">
        <is>
          <t>A 48030-2022</t>
        </is>
      </c>
      <c r="B613" t="inlineStr">
        <is>
          <t>avverkningsanmälan</t>
        </is>
      </c>
      <c r="C613" t="inlineStr">
        <is>
          <t>Föryngringsavverkning</t>
        </is>
      </c>
      <c r="D613" s="1" t="n">
        <v>44855</v>
      </c>
      <c r="E613" s="1" t="n">
        <v>46220</v>
      </c>
      <c r="F613" t="inlineStr">
        <is>
          <t>SÖDERMANLANDS LÄN</t>
        </is>
      </c>
      <c r="G613" t="inlineStr">
        <is>
          <t>KATRINEHOLM</t>
        </is>
      </c>
      <c r="H613" t="inlineStr">
        <is>
          <t>Allmännings- och besparingsskogar</t>
        </is>
      </c>
      <c r="I613" t="n">
        <v>1.5</v>
      </c>
      <c r="J613" t="n">
        <v>0</v>
      </c>
      <c r="K613" t="n">
        <v>0</v>
      </c>
      <c r="L613" t="n">
        <v>0</v>
      </c>
      <c r="M613" t="n">
        <v>0</v>
      </c>
      <c r="N613" t="n">
        <v>0</v>
      </c>
      <c r="O613" t="n">
        <v>0</v>
      </c>
      <c r="P613" t="n">
        <v>0</v>
      </c>
      <c r="Q613" t="n">
        <v>0</v>
      </c>
      <c r="R613" t="n">
        <v>0</v>
      </c>
      <c r="S613" t="n">
        <v>0</v>
      </c>
      <c r="T613" t="n">
        <v>0</v>
      </c>
      <c r="U613" s="2" t="inlineStr"/>
    </row>
    <row r="614" ht="15" customHeight="1">
      <c r="A614" t="inlineStr">
        <is>
          <t>A 10932-2023</t>
        </is>
      </c>
      <c r="B614" t="inlineStr">
        <is>
          <t>avverkningsanmälan</t>
        </is>
      </c>
      <c r="C614" t="inlineStr">
        <is>
          <t>Föryngringsavverkning</t>
        </is>
      </c>
      <c r="D614" s="1" t="n">
        <v>44985</v>
      </c>
      <c r="E614" s="1" t="n">
        <v>46220</v>
      </c>
      <c r="F614" t="inlineStr">
        <is>
          <t>SÖDERMANLANDS LÄN</t>
        </is>
      </c>
      <c r="G614" t="inlineStr">
        <is>
          <t>KATRINEHOLM</t>
        </is>
      </c>
      <c r="I614" t="n">
        <v>1.8</v>
      </c>
      <c r="J614" t="n">
        <v>0</v>
      </c>
      <c r="K614" t="n">
        <v>0</v>
      </c>
      <c r="L614" t="n">
        <v>0</v>
      </c>
      <c r="M614" t="n">
        <v>0</v>
      </c>
      <c r="N614" t="n">
        <v>0</v>
      </c>
      <c r="O614" t="n">
        <v>0</v>
      </c>
      <c r="P614" t="n">
        <v>0</v>
      </c>
      <c r="Q614" t="n">
        <v>0</v>
      </c>
      <c r="R614" t="n">
        <v>0</v>
      </c>
      <c r="S614" t="n">
        <v>0</v>
      </c>
      <c r="T614" t="n">
        <v>0</v>
      </c>
      <c r="U614" s="2" t="inlineStr"/>
    </row>
    <row r="615" ht="15" customHeight="1">
      <c r="A615" t="inlineStr">
        <is>
          <t>A 36767-2022</t>
        </is>
      </c>
      <c r="B615" t="inlineStr">
        <is>
          <t>avverkningsanmälan</t>
        </is>
      </c>
      <c r="C615" t="inlineStr">
        <is>
          <t>Föryngringsavverkning</t>
        </is>
      </c>
      <c r="D615" s="1" t="n">
        <v>44805</v>
      </c>
      <c r="E615" s="1" t="n">
        <v>46220</v>
      </c>
      <c r="F615" t="inlineStr">
        <is>
          <t>SÖDERMANLANDS LÄN</t>
        </is>
      </c>
      <c r="G615" t="inlineStr">
        <is>
          <t>KATRINEHOLM</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5834-2025</t>
        </is>
      </c>
      <c r="B616" t="inlineStr">
        <is>
          <t>avverkningsanmälan</t>
        </is>
      </c>
      <c r="C616" t="inlineStr">
        <is>
          <t>Föryngringsavverkning</t>
        </is>
      </c>
      <c r="D616" s="1" t="n">
        <v>45694</v>
      </c>
      <c r="E616" s="1" t="n">
        <v>46220</v>
      </c>
      <c r="F616" t="inlineStr">
        <is>
          <t>SÖDERMANLANDS LÄN</t>
        </is>
      </c>
      <c r="G616" t="inlineStr">
        <is>
          <t>KATRINEHOLM</t>
        </is>
      </c>
      <c r="I616" t="n">
        <v>3.3</v>
      </c>
      <c r="J616" t="n">
        <v>0</v>
      </c>
      <c r="K616" t="n">
        <v>0</v>
      </c>
      <c r="L616" t="n">
        <v>0</v>
      </c>
      <c r="M616" t="n">
        <v>0</v>
      </c>
      <c r="N616" t="n">
        <v>0</v>
      </c>
      <c r="O616" t="n">
        <v>0</v>
      </c>
      <c r="P616" t="n">
        <v>0</v>
      </c>
      <c r="Q616" t="n">
        <v>0</v>
      </c>
      <c r="R616" t="n">
        <v>0</v>
      </c>
      <c r="S616" t="n">
        <v>0</v>
      </c>
      <c r="T616" t="n">
        <v>0</v>
      </c>
      <c r="U616" s="2" t="inlineStr"/>
    </row>
    <row r="617" ht="15" customHeight="1">
      <c r="A617" t="inlineStr">
        <is>
          <t>A 9899-2023</t>
        </is>
      </c>
      <c r="B617" t="inlineStr">
        <is>
          <t>avverkningsanmälan</t>
        </is>
      </c>
      <c r="C617" t="inlineStr">
        <is>
          <t>Föryngringsavverkning</t>
        </is>
      </c>
      <c r="D617" s="1" t="n">
        <v>44985</v>
      </c>
      <c r="E617" s="1" t="n">
        <v>46220</v>
      </c>
      <c r="F617" t="inlineStr">
        <is>
          <t>SÖDERMANLANDS LÄN</t>
        </is>
      </c>
      <c r="G617" t="inlineStr">
        <is>
          <t>KATRINEHOLM</t>
        </is>
      </c>
      <c r="H617" t="inlineStr">
        <is>
          <t>Allmännings- och besparingsskogar</t>
        </is>
      </c>
      <c r="I617" t="n">
        <v>8.300000000000001</v>
      </c>
      <c r="J617" t="n">
        <v>0</v>
      </c>
      <c r="K617" t="n">
        <v>0</v>
      </c>
      <c r="L617" t="n">
        <v>0</v>
      </c>
      <c r="M617" t="n">
        <v>0</v>
      </c>
      <c r="N617" t="n">
        <v>0</v>
      </c>
      <c r="O617" t="n">
        <v>0</v>
      </c>
      <c r="P617" t="n">
        <v>0</v>
      </c>
      <c r="Q617" t="n">
        <v>0</v>
      </c>
      <c r="R617" t="n">
        <v>0</v>
      </c>
      <c r="S617" t="n">
        <v>0</v>
      </c>
      <c r="T617" t="n">
        <v>0</v>
      </c>
      <c r="U617" s="2" t="inlineStr"/>
    </row>
    <row r="618" ht="15" customHeight="1">
      <c r="A618" t="inlineStr">
        <is>
          <t>A 34263-2023</t>
        </is>
      </c>
      <c r="B618" t="inlineStr">
        <is>
          <t>avverkningsanmälan</t>
        </is>
      </c>
      <c r="C618" t="inlineStr">
        <is>
          <t>Föryngringsavverkning</t>
        </is>
      </c>
      <c r="D618" s="1" t="n">
        <v>45138</v>
      </c>
      <c r="E618" s="1" t="n">
        <v>46220</v>
      </c>
      <c r="F618" t="inlineStr">
        <is>
          <t>SÖDERMANLANDS LÄN</t>
        </is>
      </c>
      <c r="G618" t="inlineStr">
        <is>
          <t>KATRINEHOLM</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23753-2026</t>
        </is>
      </c>
      <c r="B619" t="inlineStr">
        <is>
          <t>avverkningsanmälan</t>
        </is>
      </c>
      <c r="C619" t="inlineStr">
        <is>
          <t>Föryngringsavverkning</t>
        </is>
      </c>
      <c r="D619" s="1" t="n">
        <v>46164</v>
      </c>
      <c r="E619" s="1" t="n">
        <v>46220</v>
      </c>
      <c r="F619" t="inlineStr">
        <is>
          <t>SÖDERMANLANDS LÄN</t>
        </is>
      </c>
      <c r="G619" t="inlineStr">
        <is>
          <t>KATRINEHOLM</t>
        </is>
      </c>
      <c r="I619" t="n">
        <v>24.4</v>
      </c>
      <c r="J619" t="n">
        <v>0</v>
      </c>
      <c r="K619" t="n">
        <v>0</v>
      </c>
      <c r="L619" t="n">
        <v>0</v>
      </c>
      <c r="M619" t="n">
        <v>0</v>
      </c>
      <c r="N619" t="n">
        <v>0</v>
      </c>
      <c r="O619" t="n">
        <v>0</v>
      </c>
      <c r="P619" t="n">
        <v>0</v>
      </c>
      <c r="Q619" t="n">
        <v>0</v>
      </c>
      <c r="R619" t="n">
        <v>0</v>
      </c>
      <c r="S619" t="n">
        <v>0</v>
      </c>
      <c r="T619" t="n">
        <v>0</v>
      </c>
      <c r="U619" s="2" t="inlineStr"/>
    </row>
    <row r="620" ht="15" customHeight="1">
      <c r="A620" t="inlineStr">
        <is>
          <t>A 55863-2022</t>
        </is>
      </c>
      <c r="B620" t="inlineStr">
        <is>
          <t>avverkningsanmälan</t>
        </is>
      </c>
      <c r="C620" t="inlineStr">
        <is>
          <t>Föryngringsavverkning</t>
        </is>
      </c>
      <c r="D620" s="1" t="n">
        <v>44888</v>
      </c>
      <c r="E620" s="1" t="n">
        <v>46220</v>
      </c>
      <c r="F620" t="inlineStr">
        <is>
          <t>SÖDERMANLANDS LÄN</t>
        </is>
      </c>
      <c r="G620" t="inlineStr">
        <is>
          <t>KATRINEHOLM</t>
        </is>
      </c>
      <c r="I620" t="n">
        <v>9.300000000000001</v>
      </c>
      <c r="J620" t="n">
        <v>0</v>
      </c>
      <c r="K620" t="n">
        <v>0</v>
      </c>
      <c r="L620" t="n">
        <v>0</v>
      </c>
      <c r="M620" t="n">
        <v>0</v>
      </c>
      <c r="N620" t="n">
        <v>0</v>
      </c>
      <c r="O620" t="n">
        <v>0</v>
      </c>
      <c r="P620" t="n">
        <v>0</v>
      </c>
      <c r="Q620" t="n">
        <v>0</v>
      </c>
      <c r="R620" t="n">
        <v>0</v>
      </c>
      <c r="S620" t="n">
        <v>0</v>
      </c>
      <c r="T620" t="n">
        <v>0</v>
      </c>
      <c r="U620" s="2" t="inlineStr"/>
    </row>
    <row r="621" ht="15" customHeight="1">
      <c r="A621" t="inlineStr">
        <is>
          <t>A 55865-2022</t>
        </is>
      </c>
      <c r="B621" t="inlineStr">
        <is>
          <t>avverkningsanmälan</t>
        </is>
      </c>
      <c r="C621" t="inlineStr">
        <is>
          <t>Föryngringsavverkning</t>
        </is>
      </c>
      <c r="D621" s="1" t="n">
        <v>44888</v>
      </c>
      <c r="E621" s="1" t="n">
        <v>46220</v>
      </c>
      <c r="F621" t="inlineStr">
        <is>
          <t>SÖDERMANLANDS LÄN</t>
        </is>
      </c>
      <c r="G621" t="inlineStr">
        <is>
          <t>KATRINEHOLM</t>
        </is>
      </c>
      <c r="I621" t="n">
        <v>9.1</v>
      </c>
      <c r="J621" t="n">
        <v>0</v>
      </c>
      <c r="K621" t="n">
        <v>0</v>
      </c>
      <c r="L621" t="n">
        <v>0</v>
      </c>
      <c r="M621" t="n">
        <v>0</v>
      </c>
      <c r="N621" t="n">
        <v>0</v>
      </c>
      <c r="O621" t="n">
        <v>0</v>
      </c>
      <c r="P621" t="n">
        <v>0</v>
      </c>
      <c r="Q621" t="n">
        <v>0</v>
      </c>
      <c r="R621" t="n">
        <v>0</v>
      </c>
      <c r="S621" t="n">
        <v>0</v>
      </c>
      <c r="T621" t="n">
        <v>0</v>
      </c>
      <c r="U621" s="2" t="inlineStr"/>
    </row>
    <row r="622" ht="15" customHeight="1">
      <c r="A622" t="inlineStr">
        <is>
          <t>A 10341-2022</t>
        </is>
      </c>
      <c r="B622" t="inlineStr">
        <is>
          <t>avverkningsanmälan</t>
        </is>
      </c>
      <c r="C622" t="inlineStr">
        <is>
          <t>Föryngringsavverkning</t>
        </is>
      </c>
      <c r="D622" s="1" t="n">
        <v>44623</v>
      </c>
      <c r="E622" s="1" t="n">
        <v>46220</v>
      </c>
      <c r="F622" t="inlineStr">
        <is>
          <t>SÖDERMANLANDS LÄN</t>
        </is>
      </c>
      <c r="G622" t="inlineStr">
        <is>
          <t>KATRINEHOLM</t>
        </is>
      </c>
      <c r="I622" t="n">
        <v>2.3</v>
      </c>
      <c r="J622" t="n">
        <v>0</v>
      </c>
      <c r="K622" t="n">
        <v>0</v>
      </c>
      <c r="L622" t="n">
        <v>0</v>
      </c>
      <c r="M622" t="n">
        <v>0</v>
      </c>
      <c r="N622" t="n">
        <v>0</v>
      </c>
      <c r="O622" t="n">
        <v>0</v>
      </c>
      <c r="P622" t="n">
        <v>0</v>
      </c>
      <c r="Q622" t="n">
        <v>0</v>
      </c>
      <c r="R622" t="n">
        <v>0</v>
      </c>
      <c r="S622" t="n">
        <v>0</v>
      </c>
      <c r="T622" t="n">
        <v>0</v>
      </c>
      <c r="U622" s="2" t="inlineStr"/>
    </row>
    <row r="623" ht="15" customHeight="1">
      <c r="A623" t="inlineStr">
        <is>
          <t>A 9437-2022</t>
        </is>
      </c>
      <c r="B623" t="inlineStr">
        <is>
          <t>avverkningsanmälan</t>
        </is>
      </c>
      <c r="C623" t="inlineStr">
        <is>
          <t>Föryngringsavverkning</t>
        </is>
      </c>
      <c r="D623" s="1" t="n">
        <v>44616</v>
      </c>
      <c r="E623" s="1" t="n">
        <v>46220</v>
      </c>
      <c r="F623" t="inlineStr">
        <is>
          <t>SÖDERMANLANDS LÄN</t>
        </is>
      </c>
      <c r="G623" t="inlineStr">
        <is>
          <t>KATRINEHOLM</t>
        </is>
      </c>
      <c r="I623" t="n">
        <v>9.199999999999999</v>
      </c>
      <c r="J623" t="n">
        <v>0</v>
      </c>
      <c r="K623" t="n">
        <v>0</v>
      </c>
      <c r="L623" t="n">
        <v>0</v>
      </c>
      <c r="M623" t="n">
        <v>0</v>
      </c>
      <c r="N623" t="n">
        <v>0</v>
      </c>
      <c r="O623" t="n">
        <v>0</v>
      </c>
      <c r="P623" t="n">
        <v>0</v>
      </c>
      <c r="Q623" t="n">
        <v>0</v>
      </c>
      <c r="R623" t="n">
        <v>0</v>
      </c>
      <c r="S623" t="n">
        <v>0</v>
      </c>
      <c r="T623" t="n">
        <v>0</v>
      </c>
      <c r="U623" s="2" t="inlineStr"/>
    </row>
    <row r="624" ht="15" customHeight="1">
      <c r="A624" t="inlineStr">
        <is>
          <t>A 22345-2023</t>
        </is>
      </c>
      <c r="B624" t="inlineStr">
        <is>
          <t>avverkningsanmälan</t>
        </is>
      </c>
      <c r="C624" t="inlineStr">
        <is>
          <t>Föryngringsavverkning</t>
        </is>
      </c>
      <c r="D624" s="1" t="n">
        <v>45070</v>
      </c>
      <c r="E624" s="1" t="n">
        <v>46220</v>
      </c>
      <c r="F624" t="inlineStr">
        <is>
          <t>SÖDERMANLANDS LÄN</t>
        </is>
      </c>
      <c r="G624" t="inlineStr">
        <is>
          <t>KATRINEHOLM</t>
        </is>
      </c>
      <c r="H624" t="inlineStr">
        <is>
          <t>Holmen skog AB</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48528-2021</t>
        </is>
      </c>
      <c r="B625" t="inlineStr">
        <is>
          <t>avverkningsanmälan</t>
        </is>
      </c>
      <c r="C625" t="inlineStr">
        <is>
          <t>Föryngringsavverkning</t>
        </is>
      </c>
      <c r="D625" s="1" t="n">
        <v>44449</v>
      </c>
      <c r="E625" s="1" t="n">
        <v>46220</v>
      </c>
      <c r="F625" t="inlineStr">
        <is>
          <t>SÖDERMANLANDS LÄN</t>
        </is>
      </c>
      <c r="G625" t="inlineStr">
        <is>
          <t>KATRINEHOLM</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28675-2024</t>
        </is>
      </c>
      <c r="B626" t="inlineStr">
        <is>
          <t>avverkningsanmälan</t>
        </is>
      </c>
      <c r="C626" t="inlineStr">
        <is>
          <t>Föryngringsavverkning</t>
        </is>
      </c>
      <c r="D626" s="1" t="n">
        <v>45478</v>
      </c>
      <c r="E626" s="1" t="n">
        <v>46220</v>
      </c>
      <c r="F626" t="inlineStr">
        <is>
          <t>SÖDERMANLANDS LÄN</t>
        </is>
      </c>
      <c r="G626" t="inlineStr">
        <is>
          <t>KATRINEHOLM</t>
        </is>
      </c>
      <c r="H626" t="inlineStr">
        <is>
          <t>Övriga Aktiebolag</t>
        </is>
      </c>
      <c r="I626" t="n">
        <v>3.5</v>
      </c>
      <c r="J626" t="n">
        <v>0</v>
      </c>
      <c r="K626" t="n">
        <v>0</v>
      </c>
      <c r="L626" t="n">
        <v>0</v>
      </c>
      <c r="M626" t="n">
        <v>0</v>
      </c>
      <c r="N626" t="n">
        <v>0</v>
      </c>
      <c r="O626" t="n">
        <v>0</v>
      </c>
      <c r="P626" t="n">
        <v>0</v>
      </c>
      <c r="Q626" t="n">
        <v>0</v>
      </c>
      <c r="R626" t="n">
        <v>0</v>
      </c>
      <c r="S626" t="n">
        <v>0</v>
      </c>
      <c r="T626" t="n">
        <v>0</v>
      </c>
      <c r="U626" s="2" t="inlineStr"/>
    </row>
    <row r="627" ht="15" customHeight="1">
      <c r="A627" t="inlineStr">
        <is>
          <t>A 23806-2026</t>
        </is>
      </c>
      <c r="B627" t="inlineStr">
        <is>
          <t>avverkningsanmälan</t>
        </is>
      </c>
      <c r="C627" t="inlineStr">
        <is>
          <t>Föryngringsavverkning</t>
        </is>
      </c>
      <c r="D627" s="1" t="n">
        <v>46164</v>
      </c>
      <c r="E627" s="1" t="n">
        <v>46220</v>
      </c>
      <c r="F627" t="inlineStr">
        <is>
          <t>SÖDERMANLANDS LÄN</t>
        </is>
      </c>
      <c r="G627" t="inlineStr">
        <is>
          <t>KATRINEHOLM</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33790-2024</t>
        </is>
      </c>
      <c r="B628" t="inlineStr">
        <is>
          <t>avverkningsanmälan</t>
        </is>
      </c>
      <c r="C628" t="inlineStr">
        <is>
          <t>Föryngringsavverkning</t>
        </is>
      </c>
      <c r="D628" s="1" t="n">
        <v>45520</v>
      </c>
      <c r="E628" s="1" t="n">
        <v>46220</v>
      </c>
      <c r="F628" t="inlineStr">
        <is>
          <t>SÖDERMANLANDS LÄN</t>
        </is>
      </c>
      <c r="G628" t="inlineStr">
        <is>
          <t>KATRINEHOLM</t>
        </is>
      </c>
      <c r="I628" t="n">
        <v>14</v>
      </c>
      <c r="J628" t="n">
        <v>0</v>
      </c>
      <c r="K628" t="n">
        <v>0</v>
      </c>
      <c r="L628" t="n">
        <v>0</v>
      </c>
      <c r="M628" t="n">
        <v>0</v>
      </c>
      <c r="N628" t="n">
        <v>0</v>
      </c>
      <c r="O628" t="n">
        <v>0</v>
      </c>
      <c r="P628" t="n">
        <v>0</v>
      </c>
      <c r="Q628" t="n">
        <v>0</v>
      </c>
      <c r="R628" t="n">
        <v>0</v>
      </c>
      <c r="S628" t="n">
        <v>0</v>
      </c>
      <c r="T628" t="n">
        <v>0</v>
      </c>
      <c r="U628" s="2" t="inlineStr"/>
    </row>
    <row r="629" ht="15" customHeight="1">
      <c r="A629" t="inlineStr">
        <is>
          <t>A 53809-2021</t>
        </is>
      </c>
      <c r="B629" t="inlineStr">
        <is>
          <t>avverkningsanmälan</t>
        </is>
      </c>
      <c r="C629" t="inlineStr">
        <is>
          <t>Föryngringsavverkning</t>
        </is>
      </c>
      <c r="D629" s="1" t="n">
        <v>44467</v>
      </c>
      <c r="E629" s="1" t="n">
        <v>46220</v>
      </c>
      <c r="F629" t="inlineStr">
        <is>
          <t>SÖDERMANLANDS LÄN</t>
        </is>
      </c>
      <c r="G629" t="inlineStr">
        <is>
          <t>KATRINEHOLM</t>
        </is>
      </c>
      <c r="I629" t="n">
        <v>7</v>
      </c>
      <c r="J629" t="n">
        <v>0</v>
      </c>
      <c r="K629" t="n">
        <v>0</v>
      </c>
      <c r="L629" t="n">
        <v>0</v>
      </c>
      <c r="M629" t="n">
        <v>0</v>
      </c>
      <c r="N629" t="n">
        <v>0</v>
      </c>
      <c r="O629" t="n">
        <v>0</v>
      </c>
      <c r="P629" t="n">
        <v>0</v>
      </c>
      <c r="Q629" t="n">
        <v>0</v>
      </c>
      <c r="R629" t="n">
        <v>0</v>
      </c>
      <c r="S629" t="n">
        <v>0</v>
      </c>
      <c r="T629" t="n">
        <v>0</v>
      </c>
      <c r="U629" s="2" t="inlineStr"/>
    </row>
    <row r="630" ht="15" customHeight="1">
      <c r="A630" t="inlineStr">
        <is>
          <t>A 4758-2025</t>
        </is>
      </c>
      <c r="B630" t="inlineStr">
        <is>
          <t>avverkningsanmälan</t>
        </is>
      </c>
      <c r="C630" t="inlineStr">
        <is>
          <t>Föryngringsavverkning</t>
        </is>
      </c>
      <c r="D630" s="1" t="n">
        <v>45688</v>
      </c>
      <c r="E630" s="1" t="n">
        <v>46220</v>
      </c>
      <c r="F630" t="inlineStr">
        <is>
          <t>SÖDERMANLANDS LÄN</t>
        </is>
      </c>
      <c r="G630" t="inlineStr">
        <is>
          <t>KATRINEHOLM</t>
        </is>
      </c>
      <c r="I630" t="n">
        <v>2.3</v>
      </c>
      <c r="J630" t="n">
        <v>0</v>
      </c>
      <c r="K630" t="n">
        <v>0</v>
      </c>
      <c r="L630" t="n">
        <v>0</v>
      </c>
      <c r="M630" t="n">
        <v>0</v>
      </c>
      <c r="N630" t="n">
        <v>0</v>
      </c>
      <c r="O630" t="n">
        <v>0</v>
      </c>
      <c r="P630" t="n">
        <v>0</v>
      </c>
      <c r="Q630" t="n">
        <v>0</v>
      </c>
      <c r="R630" t="n">
        <v>0</v>
      </c>
      <c r="S630" t="n">
        <v>0</v>
      </c>
      <c r="T630" t="n">
        <v>0</v>
      </c>
      <c r="U630" s="2" t="inlineStr"/>
    </row>
    <row r="631" ht="15" customHeight="1">
      <c r="A631" t="inlineStr">
        <is>
          <t>A 54873-2025</t>
        </is>
      </c>
      <c r="B631" t="inlineStr">
        <is>
          <t>avverkningsanmälan</t>
        </is>
      </c>
      <c r="C631" t="inlineStr">
        <is>
          <t>Föryngringsavverkning</t>
        </is>
      </c>
      <c r="D631" s="1" t="n">
        <v>45967</v>
      </c>
      <c r="E631" s="1" t="n">
        <v>46220</v>
      </c>
      <c r="F631" t="inlineStr">
        <is>
          <t>SÖDERMANLANDS LÄN</t>
        </is>
      </c>
      <c r="G631" t="inlineStr">
        <is>
          <t>KATRINEHOLM</t>
        </is>
      </c>
      <c r="I631" t="n">
        <v>2.7</v>
      </c>
      <c r="J631" t="n">
        <v>0</v>
      </c>
      <c r="K631" t="n">
        <v>0</v>
      </c>
      <c r="L631" t="n">
        <v>0</v>
      </c>
      <c r="M631" t="n">
        <v>0</v>
      </c>
      <c r="N631" t="n">
        <v>0</v>
      </c>
      <c r="O631" t="n">
        <v>0</v>
      </c>
      <c r="P631" t="n">
        <v>0</v>
      </c>
      <c r="Q631" t="n">
        <v>0</v>
      </c>
      <c r="R631" t="n">
        <v>0</v>
      </c>
      <c r="S631" t="n">
        <v>0</v>
      </c>
      <c r="T631" t="n">
        <v>0</v>
      </c>
      <c r="U631" s="2" t="inlineStr"/>
    </row>
    <row r="632" ht="15" customHeight="1">
      <c r="A632" t="inlineStr">
        <is>
          <t>A 52348-2021</t>
        </is>
      </c>
      <c r="B632" t="inlineStr">
        <is>
          <t>avverkningsanmälan</t>
        </is>
      </c>
      <c r="C632" t="inlineStr">
        <is>
          <t>Föryngringsavverkning</t>
        </is>
      </c>
      <c r="D632" s="1" t="n">
        <v>44464</v>
      </c>
      <c r="E632" s="1" t="n">
        <v>46220</v>
      </c>
      <c r="F632" t="inlineStr">
        <is>
          <t>SÖDERMANLANDS LÄN</t>
        </is>
      </c>
      <c r="G632" t="inlineStr">
        <is>
          <t>KATRINEHOLM</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5795-2022</t>
        </is>
      </c>
      <c r="B633" t="inlineStr">
        <is>
          <t>avverkningsanmälan</t>
        </is>
      </c>
      <c r="C633" t="inlineStr">
        <is>
          <t>Föryngringsavverkning</t>
        </is>
      </c>
      <c r="D633" s="1" t="n">
        <v>44596</v>
      </c>
      <c r="E633" s="1" t="n">
        <v>46220</v>
      </c>
      <c r="F633" t="inlineStr">
        <is>
          <t>SÖDERMANLANDS LÄN</t>
        </is>
      </c>
      <c r="G633" t="inlineStr">
        <is>
          <t>KATRINEHOLM</t>
        </is>
      </c>
      <c r="I633" t="n">
        <v>8.1</v>
      </c>
      <c r="J633" t="n">
        <v>0</v>
      </c>
      <c r="K633" t="n">
        <v>0</v>
      </c>
      <c r="L633" t="n">
        <v>0</v>
      </c>
      <c r="M633" t="n">
        <v>0</v>
      </c>
      <c r="N633" t="n">
        <v>0</v>
      </c>
      <c r="O633" t="n">
        <v>0</v>
      </c>
      <c r="P633" t="n">
        <v>0</v>
      </c>
      <c r="Q633" t="n">
        <v>0</v>
      </c>
      <c r="R633" t="n">
        <v>0</v>
      </c>
      <c r="S633" t="n">
        <v>0</v>
      </c>
      <c r="T633" t="n">
        <v>0</v>
      </c>
      <c r="U633" s="2" t="inlineStr"/>
    </row>
    <row r="634" ht="15" customHeight="1">
      <c r="A634" t="inlineStr">
        <is>
          <t>A 55590-2023</t>
        </is>
      </c>
      <c r="B634" t="inlineStr">
        <is>
          <t>avverkningsanmälan</t>
        </is>
      </c>
      <c r="C634" t="inlineStr">
        <is>
          <t>Föryngringsavverkning</t>
        </is>
      </c>
      <c r="D634" s="1" t="n">
        <v>45238</v>
      </c>
      <c r="E634" s="1" t="n">
        <v>46220</v>
      </c>
      <c r="F634" t="inlineStr">
        <is>
          <t>SÖDERMANLANDS LÄN</t>
        </is>
      </c>
      <c r="G634" t="inlineStr">
        <is>
          <t>KATRINEHOLM</t>
        </is>
      </c>
      <c r="I634" t="n">
        <v>4.5</v>
      </c>
      <c r="J634" t="n">
        <v>0</v>
      </c>
      <c r="K634" t="n">
        <v>0</v>
      </c>
      <c r="L634" t="n">
        <v>0</v>
      </c>
      <c r="M634" t="n">
        <v>0</v>
      </c>
      <c r="N634" t="n">
        <v>0</v>
      </c>
      <c r="O634" t="n">
        <v>0</v>
      </c>
      <c r="P634" t="n">
        <v>0</v>
      </c>
      <c r="Q634" t="n">
        <v>0</v>
      </c>
      <c r="R634" t="n">
        <v>0</v>
      </c>
      <c r="S634" t="n">
        <v>0</v>
      </c>
      <c r="T634" t="n">
        <v>0</v>
      </c>
      <c r="U634" s="2" t="inlineStr"/>
    </row>
    <row r="635" ht="15" customHeight="1">
      <c r="A635" t="inlineStr">
        <is>
          <t>A 46257-2021</t>
        </is>
      </c>
      <c r="B635" t="inlineStr">
        <is>
          <t>avverkningsanmälan</t>
        </is>
      </c>
      <c r="C635" t="inlineStr">
        <is>
          <t>Föryngringsavverkning</t>
        </is>
      </c>
      <c r="D635" s="1" t="n">
        <v>44442</v>
      </c>
      <c r="E635" s="1" t="n">
        <v>46220</v>
      </c>
      <c r="F635" t="inlineStr">
        <is>
          <t>SÖDERMANLANDS LÄN</t>
        </is>
      </c>
      <c r="G635" t="inlineStr">
        <is>
          <t>KATRINEHOLM</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5320-2025</t>
        </is>
      </c>
      <c r="B636" t="inlineStr">
        <is>
          <t>avverkningsanmälan</t>
        </is>
      </c>
      <c r="C636" t="inlineStr">
        <is>
          <t>Föryngringsavverkning</t>
        </is>
      </c>
      <c r="D636" s="1" t="n">
        <v>45692</v>
      </c>
      <c r="E636" s="1" t="n">
        <v>46220</v>
      </c>
      <c r="F636" t="inlineStr">
        <is>
          <t>SÖDERMANLANDS LÄN</t>
        </is>
      </c>
      <c r="G636" t="inlineStr">
        <is>
          <t>KATRINEHOLM</t>
        </is>
      </c>
      <c r="H636" t="inlineStr">
        <is>
          <t>Kommuner</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49914-2023</t>
        </is>
      </c>
      <c r="B637" t="inlineStr">
        <is>
          <t>avverkningsanmälan</t>
        </is>
      </c>
      <c r="C637" t="inlineStr">
        <is>
          <t>Föryngringsavverkning</t>
        </is>
      </c>
      <c r="D637" s="1" t="n">
        <v>45214</v>
      </c>
      <c r="E637" s="1" t="n">
        <v>46220</v>
      </c>
      <c r="F637" t="inlineStr">
        <is>
          <t>SÖDERMANLANDS LÄN</t>
        </is>
      </c>
      <c r="G637" t="inlineStr">
        <is>
          <t>KATRINEHOLM</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44637-2023</t>
        </is>
      </c>
      <c r="B638" t="inlineStr">
        <is>
          <t>avverkningsanmälan</t>
        </is>
      </c>
      <c r="C638" t="inlineStr">
        <is>
          <t>Föryngringsavverkning</t>
        </is>
      </c>
      <c r="D638" s="1" t="n">
        <v>45189</v>
      </c>
      <c r="E638" s="1" t="n">
        <v>46220</v>
      </c>
      <c r="F638" t="inlineStr">
        <is>
          <t>SÖDERMANLANDS LÄN</t>
        </is>
      </c>
      <c r="G638" t="inlineStr">
        <is>
          <t>KATRINEHOLM</t>
        </is>
      </c>
      <c r="I638" t="n">
        <v>5.1</v>
      </c>
      <c r="J638" t="n">
        <v>0</v>
      </c>
      <c r="K638" t="n">
        <v>0</v>
      </c>
      <c r="L638" t="n">
        <v>0</v>
      </c>
      <c r="M638" t="n">
        <v>0</v>
      </c>
      <c r="N638" t="n">
        <v>0</v>
      </c>
      <c r="O638" t="n">
        <v>0</v>
      </c>
      <c r="P638" t="n">
        <v>0</v>
      </c>
      <c r="Q638" t="n">
        <v>0</v>
      </c>
      <c r="R638" t="n">
        <v>0</v>
      </c>
      <c r="S638" t="n">
        <v>0</v>
      </c>
      <c r="T638" t="n">
        <v>0</v>
      </c>
      <c r="U638" s="2" t="inlineStr"/>
    </row>
    <row r="639" ht="15" customHeight="1">
      <c r="A639" t="inlineStr">
        <is>
          <t>A 20921-2023</t>
        </is>
      </c>
      <c r="B639" t="inlineStr">
        <is>
          <t>avverkningsanmälan</t>
        </is>
      </c>
      <c r="C639" t="inlineStr">
        <is>
          <t>Föryngringsavverkning</t>
        </is>
      </c>
      <c r="D639" s="1" t="n">
        <v>45061</v>
      </c>
      <c r="E639" s="1" t="n">
        <v>46220</v>
      </c>
      <c r="F639" t="inlineStr">
        <is>
          <t>SÖDERMANLANDS LÄN</t>
        </is>
      </c>
      <c r="G639" t="inlineStr">
        <is>
          <t>KATRINEHOLM</t>
        </is>
      </c>
      <c r="I639" t="n">
        <v>8.9</v>
      </c>
      <c r="J639" t="n">
        <v>0</v>
      </c>
      <c r="K639" t="n">
        <v>0</v>
      </c>
      <c r="L639" t="n">
        <v>0</v>
      </c>
      <c r="M639" t="n">
        <v>0</v>
      </c>
      <c r="N639" t="n">
        <v>0</v>
      </c>
      <c r="O639" t="n">
        <v>0</v>
      </c>
      <c r="P639" t="n">
        <v>0</v>
      </c>
      <c r="Q639" t="n">
        <v>0</v>
      </c>
      <c r="R639" t="n">
        <v>0</v>
      </c>
      <c r="S639" t="n">
        <v>0</v>
      </c>
      <c r="T639" t="n">
        <v>0</v>
      </c>
      <c r="U639" s="2" t="inlineStr"/>
    </row>
    <row r="640" ht="15" customHeight="1">
      <c r="A640" t="inlineStr">
        <is>
          <t>A 12929-2023</t>
        </is>
      </c>
      <c r="B640" t="inlineStr">
        <is>
          <t>avverkningsanmälan</t>
        </is>
      </c>
      <c r="C640" t="inlineStr">
        <is>
          <t>Föryngringsavverkning</t>
        </is>
      </c>
      <c r="D640" s="1" t="n">
        <v>45001</v>
      </c>
      <c r="E640" s="1" t="n">
        <v>46220</v>
      </c>
      <c r="F640" t="inlineStr">
        <is>
          <t>SÖDERMANLANDS LÄN</t>
        </is>
      </c>
      <c r="G640" t="inlineStr">
        <is>
          <t>KATRINEHOLM</t>
        </is>
      </c>
      <c r="I640" t="n">
        <v>3.1</v>
      </c>
      <c r="J640" t="n">
        <v>0</v>
      </c>
      <c r="K640" t="n">
        <v>0</v>
      </c>
      <c r="L640" t="n">
        <v>0</v>
      </c>
      <c r="M640" t="n">
        <v>0</v>
      </c>
      <c r="N640" t="n">
        <v>0</v>
      </c>
      <c r="O640" t="n">
        <v>0</v>
      </c>
      <c r="P640" t="n">
        <v>0</v>
      </c>
      <c r="Q640" t="n">
        <v>0</v>
      </c>
      <c r="R640" t="n">
        <v>0</v>
      </c>
      <c r="S640" t="n">
        <v>0</v>
      </c>
      <c r="T640" t="n">
        <v>0</v>
      </c>
      <c r="U640" s="2" t="inlineStr"/>
    </row>
    <row r="641" ht="15" customHeight="1">
      <c r="A641" t="inlineStr">
        <is>
          <t>A 12932-2023</t>
        </is>
      </c>
      <c r="B641" t="inlineStr">
        <is>
          <t>avverkningsanmälan</t>
        </is>
      </c>
      <c r="C641" t="inlineStr">
        <is>
          <t>Föryngringsavverkning</t>
        </is>
      </c>
      <c r="D641" s="1" t="n">
        <v>45001</v>
      </c>
      <c r="E641" s="1" t="n">
        <v>46220</v>
      </c>
      <c r="F641" t="inlineStr">
        <is>
          <t>SÖDERMANLANDS LÄN</t>
        </is>
      </c>
      <c r="G641" t="inlineStr">
        <is>
          <t>KATRINEHOLM</t>
        </is>
      </c>
      <c r="I641" t="n">
        <v>0.6</v>
      </c>
      <c r="J641" t="n">
        <v>0</v>
      </c>
      <c r="K641" t="n">
        <v>0</v>
      </c>
      <c r="L641" t="n">
        <v>0</v>
      </c>
      <c r="M641" t="n">
        <v>0</v>
      </c>
      <c r="N641" t="n">
        <v>0</v>
      </c>
      <c r="O641" t="n">
        <v>0</v>
      </c>
      <c r="P641" t="n">
        <v>0</v>
      </c>
      <c r="Q641" t="n">
        <v>0</v>
      </c>
      <c r="R641" t="n">
        <v>0</v>
      </c>
      <c r="S641" t="n">
        <v>0</v>
      </c>
      <c r="T641" t="n">
        <v>0</v>
      </c>
      <c r="U641" s="2" t="inlineStr"/>
    </row>
    <row r="642" ht="15" customHeight="1">
      <c r="A642" t="inlineStr">
        <is>
          <t>A 6446-2022</t>
        </is>
      </c>
      <c r="B642" t="inlineStr">
        <is>
          <t>avverkningsanmälan</t>
        </is>
      </c>
      <c r="C642" t="inlineStr">
        <is>
          <t>Föryngringsavverkning</t>
        </is>
      </c>
      <c r="D642" s="1" t="n">
        <v>44600</v>
      </c>
      <c r="E642" s="1" t="n">
        <v>46220</v>
      </c>
      <c r="F642" t="inlineStr">
        <is>
          <t>SÖDERMANLANDS LÄN</t>
        </is>
      </c>
      <c r="G642" t="inlineStr">
        <is>
          <t>KATRINEHOLM</t>
        </is>
      </c>
      <c r="I642" t="n">
        <v>1.5</v>
      </c>
      <c r="J642" t="n">
        <v>0</v>
      </c>
      <c r="K642" t="n">
        <v>0</v>
      </c>
      <c r="L642" t="n">
        <v>0</v>
      </c>
      <c r="M642" t="n">
        <v>0</v>
      </c>
      <c r="N642" t="n">
        <v>0</v>
      </c>
      <c r="O642" t="n">
        <v>0</v>
      </c>
      <c r="P642" t="n">
        <v>0</v>
      </c>
      <c r="Q642" t="n">
        <v>0</v>
      </c>
      <c r="R642" t="n">
        <v>0</v>
      </c>
      <c r="S642" t="n">
        <v>0</v>
      </c>
      <c r="T642" t="n">
        <v>0</v>
      </c>
      <c r="U642" s="2" t="inlineStr"/>
    </row>
    <row r="643" ht="15" customHeight="1">
      <c r="A643" t="inlineStr">
        <is>
          <t>A 4724-2023</t>
        </is>
      </c>
      <c r="B643" t="inlineStr">
        <is>
          <t>avverkningsanmälan</t>
        </is>
      </c>
      <c r="C643" t="inlineStr">
        <is>
          <t>Föryngringsavverkning</t>
        </is>
      </c>
      <c r="D643" s="1" t="n">
        <v>44957</v>
      </c>
      <c r="E643" s="1" t="n">
        <v>46220</v>
      </c>
      <c r="F643" t="inlineStr">
        <is>
          <t>SÖDERMANLANDS LÄN</t>
        </is>
      </c>
      <c r="G643" t="inlineStr">
        <is>
          <t>KATRINEHOLM</t>
        </is>
      </c>
      <c r="H643" t="inlineStr">
        <is>
          <t>Holmen skog AB</t>
        </is>
      </c>
      <c r="I643" t="n">
        <v>1.7</v>
      </c>
      <c r="J643" t="n">
        <v>0</v>
      </c>
      <c r="K643" t="n">
        <v>0</v>
      </c>
      <c r="L643" t="n">
        <v>0</v>
      </c>
      <c r="M643" t="n">
        <v>0</v>
      </c>
      <c r="N643" t="n">
        <v>0</v>
      </c>
      <c r="O643" t="n">
        <v>0</v>
      </c>
      <c r="P643" t="n">
        <v>0</v>
      </c>
      <c r="Q643" t="n">
        <v>0</v>
      </c>
      <c r="R643" t="n">
        <v>0</v>
      </c>
      <c r="S643" t="n">
        <v>0</v>
      </c>
      <c r="T643" t="n">
        <v>0</v>
      </c>
      <c r="U643" s="2" t="inlineStr"/>
    </row>
    <row r="644" ht="15" customHeight="1">
      <c r="A644" t="inlineStr">
        <is>
          <t>A 61431-2024</t>
        </is>
      </c>
      <c r="B644" t="inlineStr">
        <is>
          <t>avverkningsanmälan</t>
        </is>
      </c>
      <c r="C644" t="inlineStr">
        <is>
          <t>Föryngringsavverkning</t>
        </is>
      </c>
      <c r="D644" s="1" t="n">
        <v>45646</v>
      </c>
      <c r="E644" s="1" t="n">
        <v>46220</v>
      </c>
      <c r="F644" t="inlineStr">
        <is>
          <t>SÖDERMANLANDS LÄN</t>
        </is>
      </c>
      <c r="G644" t="inlineStr">
        <is>
          <t>KATRINEHOLM</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24097-2022</t>
        </is>
      </c>
      <c r="B645" t="inlineStr">
        <is>
          <t>avverkningsanmälan</t>
        </is>
      </c>
      <c r="C645" t="inlineStr">
        <is>
          <t>Föryngringsavverkning</t>
        </is>
      </c>
      <c r="D645" s="1" t="n">
        <v>44725</v>
      </c>
      <c r="E645" s="1" t="n">
        <v>46220</v>
      </c>
      <c r="F645" t="inlineStr">
        <is>
          <t>SÖDERMANLANDS LÄN</t>
        </is>
      </c>
      <c r="G645" t="inlineStr">
        <is>
          <t>KATRINEHOLM</t>
        </is>
      </c>
      <c r="I645" t="n">
        <v>6.5</v>
      </c>
      <c r="J645" t="n">
        <v>0</v>
      </c>
      <c r="K645" t="n">
        <v>0</v>
      </c>
      <c r="L645" t="n">
        <v>0</v>
      </c>
      <c r="M645" t="n">
        <v>0</v>
      </c>
      <c r="N645" t="n">
        <v>0</v>
      </c>
      <c r="O645" t="n">
        <v>0</v>
      </c>
      <c r="P645" t="n">
        <v>0</v>
      </c>
      <c r="Q645" t="n">
        <v>0</v>
      </c>
      <c r="R645" t="n">
        <v>0</v>
      </c>
      <c r="S645" t="n">
        <v>0</v>
      </c>
      <c r="T645" t="n">
        <v>0</v>
      </c>
      <c r="U645" s="2" t="inlineStr"/>
    </row>
    <row r="646" ht="15" customHeight="1">
      <c r="A646" t="inlineStr">
        <is>
          <t>A 53393-2023</t>
        </is>
      </c>
      <c r="B646" t="inlineStr">
        <is>
          <t>avverkningsanmälan</t>
        </is>
      </c>
      <c r="C646" t="inlineStr">
        <is>
          <t>Föryngringsavverkning</t>
        </is>
      </c>
      <c r="D646" s="1" t="n">
        <v>45229</v>
      </c>
      <c r="E646" s="1" t="n">
        <v>46220</v>
      </c>
      <c r="F646" t="inlineStr">
        <is>
          <t>SÖDERMANLANDS LÄN</t>
        </is>
      </c>
      <c r="G646" t="inlineStr">
        <is>
          <t>KATRINEHOLM</t>
        </is>
      </c>
      <c r="H646" t="inlineStr">
        <is>
          <t>Kyrkan</t>
        </is>
      </c>
      <c r="I646" t="n">
        <v>5.6</v>
      </c>
      <c r="J646" t="n">
        <v>0</v>
      </c>
      <c r="K646" t="n">
        <v>0</v>
      </c>
      <c r="L646" t="n">
        <v>0</v>
      </c>
      <c r="M646" t="n">
        <v>0</v>
      </c>
      <c r="N646" t="n">
        <v>0</v>
      </c>
      <c r="O646" t="n">
        <v>0</v>
      </c>
      <c r="P646" t="n">
        <v>0</v>
      </c>
      <c r="Q646" t="n">
        <v>0</v>
      </c>
      <c r="R646" t="n">
        <v>0</v>
      </c>
      <c r="S646" t="n">
        <v>0</v>
      </c>
      <c r="T646" t="n">
        <v>0</v>
      </c>
      <c r="U646" s="2" t="inlineStr"/>
    </row>
    <row r="647" ht="15" customHeight="1">
      <c r="A647" t="inlineStr">
        <is>
          <t>A 40744-2022</t>
        </is>
      </c>
      <c r="B647" t="inlineStr">
        <is>
          <t>avverkningsanmälan</t>
        </is>
      </c>
      <c r="C647" t="inlineStr">
        <is>
          <t>Föryngringsavverkning</t>
        </is>
      </c>
      <c r="D647" s="1" t="n">
        <v>44824</v>
      </c>
      <c r="E647" s="1" t="n">
        <v>46220</v>
      </c>
      <c r="F647" t="inlineStr">
        <is>
          <t>SÖDERMANLANDS LÄN</t>
        </is>
      </c>
      <c r="G647" t="inlineStr">
        <is>
          <t>KATRINEHOLM</t>
        </is>
      </c>
      <c r="I647" t="n">
        <v>3.7</v>
      </c>
      <c r="J647" t="n">
        <v>0</v>
      </c>
      <c r="K647" t="n">
        <v>0</v>
      </c>
      <c r="L647" t="n">
        <v>0</v>
      </c>
      <c r="M647" t="n">
        <v>0</v>
      </c>
      <c r="N647" t="n">
        <v>0</v>
      </c>
      <c r="O647" t="n">
        <v>0</v>
      </c>
      <c r="P647" t="n">
        <v>0</v>
      </c>
      <c r="Q647" t="n">
        <v>0</v>
      </c>
      <c r="R647" t="n">
        <v>0</v>
      </c>
      <c r="S647" t="n">
        <v>0</v>
      </c>
      <c r="T647" t="n">
        <v>0</v>
      </c>
      <c r="U647" s="2" t="inlineStr"/>
    </row>
    <row r="648" ht="15" customHeight="1">
      <c r="A648" t="inlineStr">
        <is>
          <t>A 15392-2023</t>
        </is>
      </c>
      <c r="B648" t="inlineStr">
        <is>
          <t>avverkningsanmälan</t>
        </is>
      </c>
      <c r="C648" t="inlineStr">
        <is>
          <t>Föryngringsavverkning</t>
        </is>
      </c>
      <c r="D648" s="1" t="n">
        <v>45016</v>
      </c>
      <c r="E648" s="1" t="n">
        <v>46220</v>
      </c>
      <c r="F648" t="inlineStr">
        <is>
          <t>SÖDERMANLANDS LÄN</t>
        </is>
      </c>
      <c r="G648" t="inlineStr">
        <is>
          <t>KATRINEHOLM</t>
        </is>
      </c>
      <c r="H648" t="inlineStr">
        <is>
          <t>Övriga Aktiebolag</t>
        </is>
      </c>
      <c r="I648" t="n">
        <v>2.7</v>
      </c>
      <c r="J648" t="n">
        <v>0</v>
      </c>
      <c r="K648" t="n">
        <v>0</v>
      </c>
      <c r="L648" t="n">
        <v>0</v>
      </c>
      <c r="M648" t="n">
        <v>0</v>
      </c>
      <c r="N648" t="n">
        <v>0</v>
      </c>
      <c r="O648" t="n">
        <v>0</v>
      </c>
      <c r="P648" t="n">
        <v>0</v>
      </c>
      <c r="Q648" t="n">
        <v>0</v>
      </c>
      <c r="R648" t="n">
        <v>0</v>
      </c>
      <c r="S648" t="n">
        <v>0</v>
      </c>
      <c r="T648" t="n">
        <v>0</v>
      </c>
      <c r="U648" s="2" t="inlineStr"/>
    </row>
    <row r="649" ht="15" customHeight="1">
      <c r="A649" t="inlineStr">
        <is>
          <t>A 41267-2023</t>
        </is>
      </c>
      <c r="B649" t="inlineStr">
        <is>
          <t>avverkningsanmälan</t>
        </is>
      </c>
      <c r="C649" t="inlineStr">
        <is>
          <t>Föryngringsavverkning</t>
        </is>
      </c>
      <c r="D649" s="1" t="n">
        <v>45174</v>
      </c>
      <c r="E649" s="1" t="n">
        <v>46220</v>
      </c>
      <c r="F649" t="inlineStr">
        <is>
          <t>SÖDERMANLANDS LÄN</t>
        </is>
      </c>
      <c r="G649" t="inlineStr">
        <is>
          <t>KATRINEHOLM</t>
        </is>
      </c>
      <c r="H649" t="inlineStr">
        <is>
          <t>Holmen skog AB</t>
        </is>
      </c>
      <c r="I649" t="n">
        <v>4.5</v>
      </c>
      <c r="J649" t="n">
        <v>0</v>
      </c>
      <c r="K649" t="n">
        <v>0</v>
      </c>
      <c r="L649" t="n">
        <v>0</v>
      </c>
      <c r="M649" t="n">
        <v>0</v>
      </c>
      <c r="N649" t="n">
        <v>0</v>
      </c>
      <c r="O649" t="n">
        <v>0</v>
      </c>
      <c r="P649" t="n">
        <v>0</v>
      </c>
      <c r="Q649" t="n">
        <v>0</v>
      </c>
      <c r="R649" t="n">
        <v>0</v>
      </c>
      <c r="S649" t="n">
        <v>0</v>
      </c>
      <c r="T649" t="n">
        <v>0</v>
      </c>
      <c r="U649" s="2" t="inlineStr"/>
    </row>
    <row r="650" ht="15" customHeight="1">
      <c r="A650" t="inlineStr">
        <is>
          <t>A 50934-2025</t>
        </is>
      </c>
      <c r="B650" t="inlineStr">
        <is>
          <t>avverkningsanmälan</t>
        </is>
      </c>
      <c r="C650" t="inlineStr">
        <is>
          <t>Föryngringsavverkning</t>
        </is>
      </c>
      <c r="D650" s="1" t="n">
        <v>45946</v>
      </c>
      <c r="E650" s="1" t="n">
        <v>46220</v>
      </c>
      <c r="F650" t="inlineStr">
        <is>
          <t>SÖDERMANLANDS LÄN</t>
        </is>
      </c>
      <c r="G650" t="inlineStr">
        <is>
          <t>KATRINEHOLM</t>
        </is>
      </c>
      <c r="I650" t="n">
        <v>2</v>
      </c>
      <c r="J650" t="n">
        <v>0</v>
      </c>
      <c r="K650" t="n">
        <v>0</v>
      </c>
      <c r="L650" t="n">
        <v>0</v>
      </c>
      <c r="M650" t="n">
        <v>0</v>
      </c>
      <c r="N650" t="n">
        <v>0</v>
      </c>
      <c r="O650" t="n">
        <v>0</v>
      </c>
      <c r="P650" t="n">
        <v>0</v>
      </c>
      <c r="Q650" t="n">
        <v>0</v>
      </c>
      <c r="R650" t="n">
        <v>0</v>
      </c>
      <c r="S650" t="n">
        <v>0</v>
      </c>
      <c r="T650" t="n">
        <v>0</v>
      </c>
      <c r="U650" s="2" t="inlineStr"/>
    </row>
    <row r="651" ht="15" customHeight="1">
      <c r="A651" t="inlineStr">
        <is>
          <t>A 4645-2024</t>
        </is>
      </c>
      <c r="B651" t="inlineStr">
        <is>
          <t>avverkningsanmälan</t>
        </is>
      </c>
      <c r="C651" t="inlineStr">
        <is>
          <t>Föryngringsavverkning</t>
        </is>
      </c>
      <c r="D651" s="1" t="n">
        <v>45328</v>
      </c>
      <c r="E651" s="1" t="n">
        <v>46220</v>
      </c>
      <c r="F651" t="inlineStr">
        <is>
          <t>SÖDERMANLANDS LÄN</t>
        </is>
      </c>
      <c r="G651" t="inlineStr">
        <is>
          <t>KATRINEHOLM</t>
        </is>
      </c>
      <c r="I651" t="n">
        <v>2.3</v>
      </c>
      <c r="J651" t="n">
        <v>0</v>
      </c>
      <c r="K651" t="n">
        <v>0</v>
      </c>
      <c r="L651" t="n">
        <v>0</v>
      </c>
      <c r="M651" t="n">
        <v>0</v>
      </c>
      <c r="N651" t="n">
        <v>0</v>
      </c>
      <c r="O651" t="n">
        <v>0</v>
      </c>
      <c r="P651" t="n">
        <v>0</v>
      </c>
      <c r="Q651" t="n">
        <v>0</v>
      </c>
      <c r="R651" t="n">
        <v>0</v>
      </c>
      <c r="S651" t="n">
        <v>0</v>
      </c>
      <c r="T651" t="n">
        <v>0</v>
      </c>
      <c r="U651" s="2" t="inlineStr"/>
    </row>
    <row r="652" ht="15" customHeight="1">
      <c r="A652" t="inlineStr">
        <is>
          <t>A 14622-2026</t>
        </is>
      </c>
      <c r="B652" t="inlineStr">
        <is>
          <t>avverkningsanmälan</t>
        </is>
      </c>
      <c r="C652" t="inlineStr">
        <is>
          <t>Föryngringsavverkning</t>
        </is>
      </c>
      <c r="D652" s="1" t="n">
        <v>46101</v>
      </c>
      <c r="E652" s="1" t="n">
        <v>46220</v>
      </c>
      <c r="F652" t="inlineStr">
        <is>
          <t>SÖDERMANLANDS LÄN</t>
        </is>
      </c>
      <c r="G652" t="inlineStr">
        <is>
          <t>KATRINEHOLM</t>
        </is>
      </c>
      <c r="I652" t="n">
        <v>2.5</v>
      </c>
      <c r="J652" t="n">
        <v>0</v>
      </c>
      <c r="K652" t="n">
        <v>0</v>
      </c>
      <c r="L652" t="n">
        <v>0</v>
      </c>
      <c r="M652" t="n">
        <v>0</v>
      </c>
      <c r="N652" t="n">
        <v>0</v>
      </c>
      <c r="O652" t="n">
        <v>0</v>
      </c>
      <c r="P652" t="n">
        <v>0</v>
      </c>
      <c r="Q652" t="n">
        <v>0</v>
      </c>
      <c r="R652" t="n">
        <v>0</v>
      </c>
      <c r="S652" t="n">
        <v>0</v>
      </c>
      <c r="T652" t="n">
        <v>0</v>
      </c>
      <c r="U652" s="2" t="inlineStr"/>
    </row>
    <row r="653" ht="15" customHeight="1">
      <c r="A653" t="inlineStr">
        <is>
          <t>A 28508-2023</t>
        </is>
      </c>
      <c r="B653" t="inlineStr">
        <is>
          <t>avverkningsanmälan</t>
        </is>
      </c>
      <c r="C653" t="inlineStr">
        <is>
          <t>Föryngringsavverkning</t>
        </is>
      </c>
      <c r="D653" s="1" t="n">
        <v>45103</v>
      </c>
      <c r="E653" s="1" t="n">
        <v>46220</v>
      </c>
      <c r="F653" t="inlineStr">
        <is>
          <t>SÖDERMANLANDS LÄN</t>
        </is>
      </c>
      <c r="G653" t="inlineStr">
        <is>
          <t>KATRINEHOLM</t>
        </is>
      </c>
      <c r="H653" t="inlineStr">
        <is>
          <t>Kyrkan</t>
        </is>
      </c>
      <c r="I653" t="n">
        <v>20.5</v>
      </c>
      <c r="J653" t="n">
        <v>0</v>
      </c>
      <c r="K653" t="n">
        <v>0</v>
      </c>
      <c r="L653" t="n">
        <v>0</v>
      </c>
      <c r="M653" t="n">
        <v>0</v>
      </c>
      <c r="N653" t="n">
        <v>0</v>
      </c>
      <c r="O653" t="n">
        <v>0</v>
      </c>
      <c r="P653" t="n">
        <v>0</v>
      </c>
      <c r="Q653" t="n">
        <v>0</v>
      </c>
      <c r="R653" t="n">
        <v>0</v>
      </c>
      <c r="S653" t="n">
        <v>0</v>
      </c>
      <c r="T653" t="n">
        <v>0</v>
      </c>
      <c r="U653" s="2" t="inlineStr"/>
    </row>
    <row r="654" ht="15" customHeight="1">
      <c r="A654" t="inlineStr">
        <is>
          <t>A 47889-2023</t>
        </is>
      </c>
      <c r="B654" t="inlineStr">
        <is>
          <t>avverkningsanmälan</t>
        </is>
      </c>
      <c r="C654" t="inlineStr">
        <is>
          <t>Föryngringsavverkning</t>
        </is>
      </c>
      <c r="D654" s="1" t="n">
        <v>45204</v>
      </c>
      <c r="E654" s="1" t="n">
        <v>46220</v>
      </c>
      <c r="F654" t="inlineStr">
        <is>
          <t>SÖDERMANLANDS LÄN</t>
        </is>
      </c>
      <c r="G654" t="inlineStr">
        <is>
          <t>KATRINEHOLM</t>
        </is>
      </c>
      <c r="I654" t="n">
        <v>2.1</v>
      </c>
      <c r="J654" t="n">
        <v>0</v>
      </c>
      <c r="K654" t="n">
        <v>0</v>
      </c>
      <c r="L654" t="n">
        <v>0</v>
      </c>
      <c r="M654" t="n">
        <v>0</v>
      </c>
      <c r="N654" t="n">
        <v>0</v>
      </c>
      <c r="O654" t="n">
        <v>0</v>
      </c>
      <c r="P654" t="n">
        <v>0</v>
      </c>
      <c r="Q654" t="n">
        <v>0</v>
      </c>
      <c r="R654" t="n">
        <v>0</v>
      </c>
      <c r="S654" t="n">
        <v>0</v>
      </c>
      <c r="T654" t="n">
        <v>0</v>
      </c>
      <c r="U654" s="2" t="inlineStr"/>
    </row>
    <row r="655" ht="15" customHeight="1">
      <c r="A655" t="inlineStr">
        <is>
          <t>A 12975-2022</t>
        </is>
      </c>
      <c r="B655" t="inlineStr">
        <is>
          <t>avverkningsanmälan</t>
        </is>
      </c>
      <c r="C655" t="inlineStr">
        <is>
          <t>Föryngringsavverkning</t>
        </is>
      </c>
      <c r="D655" s="1" t="n">
        <v>44643</v>
      </c>
      <c r="E655" s="1" t="n">
        <v>46220</v>
      </c>
      <c r="F655" t="inlineStr">
        <is>
          <t>SÖDERMANLANDS LÄN</t>
        </is>
      </c>
      <c r="G655" t="inlineStr">
        <is>
          <t>KATRINEHOLM</t>
        </is>
      </c>
      <c r="I655" t="n">
        <v>2.4</v>
      </c>
      <c r="J655" t="n">
        <v>0</v>
      </c>
      <c r="K655" t="n">
        <v>0</v>
      </c>
      <c r="L655" t="n">
        <v>0</v>
      </c>
      <c r="M655" t="n">
        <v>0</v>
      </c>
      <c r="N655" t="n">
        <v>0</v>
      </c>
      <c r="O655" t="n">
        <v>0</v>
      </c>
      <c r="P655" t="n">
        <v>0</v>
      </c>
      <c r="Q655" t="n">
        <v>0</v>
      </c>
      <c r="R655" t="n">
        <v>0</v>
      </c>
      <c r="S655" t="n">
        <v>0</v>
      </c>
      <c r="T655" t="n">
        <v>0</v>
      </c>
      <c r="U655" s="2" t="inlineStr"/>
    </row>
    <row r="656" ht="15" customHeight="1">
      <c r="A656" t="inlineStr">
        <is>
          <t>A 9668-2023</t>
        </is>
      </c>
      <c r="B656" t="inlineStr">
        <is>
          <t>avverkningsanmälan</t>
        </is>
      </c>
      <c r="C656" t="inlineStr">
        <is>
          <t>Föryngringsavverkning</t>
        </is>
      </c>
      <c r="D656" s="1" t="n">
        <v>44984</v>
      </c>
      <c r="E656" s="1" t="n">
        <v>46220</v>
      </c>
      <c r="F656" t="inlineStr">
        <is>
          <t>SÖDERMANLANDS LÄN</t>
        </is>
      </c>
      <c r="G656" t="inlineStr">
        <is>
          <t>KATRINEHOLM</t>
        </is>
      </c>
      <c r="I656" t="n">
        <v>4.8</v>
      </c>
      <c r="J656" t="n">
        <v>0</v>
      </c>
      <c r="K656" t="n">
        <v>0</v>
      </c>
      <c r="L656" t="n">
        <v>0</v>
      </c>
      <c r="M656" t="n">
        <v>0</v>
      </c>
      <c r="N656" t="n">
        <v>0</v>
      </c>
      <c r="O656" t="n">
        <v>0</v>
      </c>
      <c r="P656" t="n">
        <v>0</v>
      </c>
      <c r="Q656" t="n">
        <v>0</v>
      </c>
      <c r="R656" t="n">
        <v>0</v>
      </c>
      <c r="S656" t="n">
        <v>0</v>
      </c>
      <c r="T656" t="n">
        <v>0</v>
      </c>
      <c r="U656" s="2" t="inlineStr"/>
    </row>
    <row r="657" ht="15" customHeight="1">
      <c r="A657" t="inlineStr">
        <is>
          <t>A 18309-2026</t>
        </is>
      </c>
      <c r="B657" t="inlineStr">
        <is>
          <t>avverkningsanmälan</t>
        </is>
      </c>
      <c r="C657" t="inlineStr">
        <is>
          <t>Föryngringsavverkning</t>
        </is>
      </c>
      <c r="D657" s="1" t="n">
        <v>46126</v>
      </c>
      <c r="E657" s="1" t="n">
        <v>46220</v>
      </c>
      <c r="F657" t="inlineStr">
        <is>
          <t>SÖDERMANLANDS LÄN</t>
        </is>
      </c>
      <c r="G657" t="inlineStr">
        <is>
          <t>KATRINEHOLM</t>
        </is>
      </c>
      <c r="I657" t="n">
        <v>1.9</v>
      </c>
      <c r="J657" t="n">
        <v>0</v>
      </c>
      <c r="K657" t="n">
        <v>0</v>
      </c>
      <c r="L657" t="n">
        <v>0</v>
      </c>
      <c r="M657" t="n">
        <v>0</v>
      </c>
      <c r="N657" t="n">
        <v>0</v>
      </c>
      <c r="O657" t="n">
        <v>0</v>
      </c>
      <c r="P657" t="n">
        <v>0</v>
      </c>
      <c r="Q657" t="n">
        <v>0</v>
      </c>
      <c r="R657" t="n">
        <v>0</v>
      </c>
      <c r="S657" t="n">
        <v>0</v>
      </c>
      <c r="T657" t="n">
        <v>0</v>
      </c>
      <c r="U657" s="2" t="inlineStr"/>
    </row>
    <row r="658" ht="15" customHeight="1">
      <c r="A658" t="inlineStr">
        <is>
          <t>A 29977-2023</t>
        </is>
      </c>
      <c r="B658" t="inlineStr">
        <is>
          <t>avverkningsanmälan</t>
        </is>
      </c>
      <c r="C658" t="inlineStr">
        <is>
          <t>Föryngringsavverkning</t>
        </is>
      </c>
      <c r="D658" s="1" t="n">
        <v>45108</v>
      </c>
      <c r="E658" s="1" t="n">
        <v>46220</v>
      </c>
      <c r="F658" t="inlineStr">
        <is>
          <t>SÖDERMANLANDS LÄN</t>
        </is>
      </c>
      <c r="G658" t="inlineStr">
        <is>
          <t>KATRINEHOLM</t>
        </is>
      </c>
      <c r="I658" t="n">
        <v>2.4</v>
      </c>
      <c r="J658" t="n">
        <v>0</v>
      </c>
      <c r="K658" t="n">
        <v>0</v>
      </c>
      <c r="L658" t="n">
        <v>0</v>
      </c>
      <c r="M658" t="n">
        <v>0</v>
      </c>
      <c r="N658" t="n">
        <v>0</v>
      </c>
      <c r="O658" t="n">
        <v>0</v>
      </c>
      <c r="P658" t="n">
        <v>0</v>
      </c>
      <c r="Q658" t="n">
        <v>0</v>
      </c>
      <c r="R658" t="n">
        <v>0</v>
      </c>
      <c r="S658" t="n">
        <v>0</v>
      </c>
      <c r="T658" t="n">
        <v>0</v>
      </c>
      <c r="U658" s="2" t="inlineStr"/>
    </row>
    <row r="659" ht="15" customHeight="1">
      <c r="A659" t="inlineStr">
        <is>
          <t>A 4669-2023</t>
        </is>
      </c>
      <c r="B659" t="inlineStr">
        <is>
          <t>avverkningsanmälan</t>
        </is>
      </c>
      <c r="C659" t="inlineStr">
        <is>
          <t>Föryngringsavverkning</t>
        </is>
      </c>
      <c r="D659" s="1" t="n">
        <v>44957</v>
      </c>
      <c r="E659" s="1" t="n">
        <v>46220</v>
      </c>
      <c r="F659" t="inlineStr">
        <is>
          <t>SÖDERMANLANDS LÄN</t>
        </is>
      </c>
      <c r="G659" t="inlineStr">
        <is>
          <t>KATRINEHOLM</t>
        </is>
      </c>
      <c r="H659" t="inlineStr">
        <is>
          <t>Holmen skog AB</t>
        </is>
      </c>
      <c r="I659" t="n">
        <v>2.2</v>
      </c>
      <c r="J659" t="n">
        <v>0</v>
      </c>
      <c r="K659" t="n">
        <v>0</v>
      </c>
      <c r="L659" t="n">
        <v>0</v>
      </c>
      <c r="M659" t="n">
        <v>0</v>
      </c>
      <c r="N659" t="n">
        <v>0</v>
      </c>
      <c r="O659" t="n">
        <v>0</v>
      </c>
      <c r="P659" t="n">
        <v>0</v>
      </c>
      <c r="Q659" t="n">
        <v>0</v>
      </c>
      <c r="R659" t="n">
        <v>0</v>
      </c>
      <c r="S659" t="n">
        <v>0</v>
      </c>
      <c r="T659" t="n">
        <v>0</v>
      </c>
      <c r="U659" s="2" t="inlineStr"/>
    </row>
    <row r="660" ht="15" customHeight="1">
      <c r="A660" t="inlineStr">
        <is>
          <t>A 948-2023</t>
        </is>
      </c>
      <c r="B660" t="inlineStr">
        <is>
          <t>avverkningsanmälan</t>
        </is>
      </c>
      <c r="C660" t="inlineStr">
        <is>
          <t>Föryngringsavverkning</t>
        </is>
      </c>
      <c r="D660" s="1" t="n">
        <v>44934</v>
      </c>
      <c r="E660" s="1" t="n">
        <v>46220</v>
      </c>
      <c r="F660" t="inlineStr">
        <is>
          <t>SÖDERMANLANDS LÄN</t>
        </is>
      </c>
      <c r="G660" t="inlineStr">
        <is>
          <t>KATRINEHOLM</t>
        </is>
      </c>
      <c r="I660" t="n">
        <v>1.2</v>
      </c>
      <c r="J660" t="n">
        <v>0</v>
      </c>
      <c r="K660" t="n">
        <v>0</v>
      </c>
      <c r="L660" t="n">
        <v>0</v>
      </c>
      <c r="M660" t="n">
        <v>0</v>
      </c>
      <c r="N660" t="n">
        <v>0</v>
      </c>
      <c r="O660" t="n">
        <v>0</v>
      </c>
      <c r="P660" t="n">
        <v>0</v>
      </c>
      <c r="Q660" t="n">
        <v>0</v>
      </c>
      <c r="R660" t="n">
        <v>0</v>
      </c>
      <c r="S660" t="n">
        <v>0</v>
      </c>
      <c r="T660" t="n">
        <v>0</v>
      </c>
      <c r="U660" s="2" t="inlineStr"/>
    </row>
    <row r="661" ht="15" customHeight="1">
      <c r="A661" t="inlineStr">
        <is>
          <t>A 6087-2022</t>
        </is>
      </c>
      <c r="B661" t="inlineStr">
        <is>
          <t>avverkningsanmälan</t>
        </is>
      </c>
      <c r="C661" t="inlineStr">
        <is>
          <t>Föryngringsavverkning</t>
        </is>
      </c>
      <c r="D661" s="1" t="n">
        <v>44599</v>
      </c>
      <c r="E661" s="1" t="n">
        <v>46220</v>
      </c>
      <c r="F661" t="inlineStr">
        <is>
          <t>SÖDERMANLANDS LÄN</t>
        </is>
      </c>
      <c r="G661" t="inlineStr">
        <is>
          <t>KATRINEHOLM</t>
        </is>
      </c>
      <c r="I661" t="n">
        <v>0.8</v>
      </c>
      <c r="J661" t="n">
        <v>0</v>
      </c>
      <c r="K661" t="n">
        <v>0</v>
      </c>
      <c r="L661" t="n">
        <v>0</v>
      </c>
      <c r="M661" t="n">
        <v>0</v>
      </c>
      <c r="N661" t="n">
        <v>0</v>
      </c>
      <c r="O661" t="n">
        <v>0</v>
      </c>
      <c r="P661" t="n">
        <v>0</v>
      </c>
      <c r="Q661" t="n">
        <v>0</v>
      </c>
      <c r="R661" t="n">
        <v>0</v>
      </c>
      <c r="S661" t="n">
        <v>0</v>
      </c>
      <c r="T661" t="n">
        <v>0</v>
      </c>
      <c r="U661" s="2" t="inlineStr"/>
    </row>
    <row r="662" ht="15" customHeight="1">
      <c r="A662" t="inlineStr">
        <is>
          <t>A 47134-2022</t>
        </is>
      </c>
      <c r="B662" t="inlineStr">
        <is>
          <t>avverkningsanmälan</t>
        </is>
      </c>
      <c r="C662" t="inlineStr">
        <is>
          <t>Föryngringsavverkning</t>
        </is>
      </c>
      <c r="D662" s="1" t="n">
        <v>44851</v>
      </c>
      <c r="E662" s="1" t="n">
        <v>46220</v>
      </c>
      <c r="F662" t="inlineStr">
        <is>
          <t>SÖDERMANLANDS LÄN</t>
        </is>
      </c>
      <c r="G662" t="inlineStr">
        <is>
          <t>KATRINEHOLM</t>
        </is>
      </c>
      <c r="H662" t="inlineStr">
        <is>
          <t>Övriga statliga verk och myndigheter</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12835-2024</t>
        </is>
      </c>
      <c r="B663" t="inlineStr">
        <is>
          <t>avverkningsanmälan</t>
        </is>
      </c>
      <c r="C663" t="inlineStr">
        <is>
          <t>Avverkning för annat ändamål</t>
        </is>
      </c>
      <c r="D663" s="1" t="n">
        <v>45384</v>
      </c>
      <c r="E663" s="1" t="n">
        <v>46220</v>
      </c>
      <c r="F663" t="inlineStr">
        <is>
          <t>SÖDERMANLANDS LÄN</t>
        </is>
      </c>
      <c r="G663" t="inlineStr">
        <is>
          <t>KATRINEHOLM</t>
        </is>
      </c>
      <c r="H663" t="inlineStr">
        <is>
          <t>Allmännings- och besparingsskogar</t>
        </is>
      </c>
      <c r="I663" t="n">
        <v>0.5</v>
      </c>
      <c r="J663" t="n">
        <v>0</v>
      </c>
      <c r="K663" t="n">
        <v>0</v>
      </c>
      <c r="L663" t="n">
        <v>0</v>
      </c>
      <c r="M663" t="n">
        <v>0</v>
      </c>
      <c r="N663" t="n">
        <v>0</v>
      </c>
      <c r="O663" t="n">
        <v>0</v>
      </c>
      <c r="P663" t="n">
        <v>0</v>
      </c>
      <c r="Q663" t="n">
        <v>0</v>
      </c>
      <c r="R663" t="n">
        <v>0</v>
      </c>
      <c r="S663" t="n">
        <v>0</v>
      </c>
      <c r="T663" t="n">
        <v>0</v>
      </c>
      <c r="U663" s="2" t="inlineStr"/>
    </row>
    <row r="664" ht="15" customHeight="1">
      <c r="A664" t="inlineStr">
        <is>
          <t>A 47879-2023</t>
        </is>
      </c>
      <c r="B664" t="inlineStr">
        <is>
          <t>avverkningsanmälan</t>
        </is>
      </c>
      <c r="C664" t="inlineStr">
        <is>
          <t>Föryngringsavverkning</t>
        </is>
      </c>
      <c r="D664" s="1" t="n">
        <v>45204</v>
      </c>
      <c r="E664" s="1" t="n">
        <v>46220</v>
      </c>
      <c r="F664" t="inlineStr">
        <is>
          <t>SÖDERMANLANDS LÄN</t>
        </is>
      </c>
      <c r="G664" t="inlineStr">
        <is>
          <t>KATRINEHOLM</t>
        </is>
      </c>
      <c r="H664" t="inlineStr">
        <is>
          <t>Övriga Aktiebolag</t>
        </is>
      </c>
      <c r="I664" t="n">
        <v>2.3</v>
      </c>
      <c r="J664" t="n">
        <v>0</v>
      </c>
      <c r="K664" t="n">
        <v>0</v>
      </c>
      <c r="L664" t="n">
        <v>0</v>
      </c>
      <c r="M664" t="n">
        <v>0</v>
      </c>
      <c r="N664" t="n">
        <v>0</v>
      </c>
      <c r="O664" t="n">
        <v>0</v>
      </c>
      <c r="P664" t="n">
        <v>0</v>
      </c>
      <c r="Q664" t="n">
        <v>0</v>
      </c>
      <c r="R664" t="n">
        <v>0</v>
      </c>
      <c r="S664" t="n">
        <v>0</v>
      </c>
      <c r="T664" t="n">
        <v>0</v>
      </c>
      <c r="U664" s="2" t="inlineStr"/>
    </row>
    <row r="665" ht="15" customHeight="1">
      <c r="A665" t="inlineStr">
        <is>
          <t>A 61410-2024</t>
        </is>
      </c>
      <c r="B665" t="inlineStr">
        <is>
          <t>avverkningsanmälan</t>
        </is>
      </c>
      <c r="C665" t="inlineStr">
        <is>
          <t>Föryngringsavverkning</t>
        </is>
      </c>
      <c r="D665" s="1" t="n">
        <v>45646</v>
      </c>
      <c r="E665" s="1" t="n">
        <v>46220</v>
      </c>
      <c r="F665" t="inlineStr">
        <is>
          <t>SÖDERMANLANDS LÄN</t>
        </is>
      </c>
      <c r="G665" t="inlineStr">
        <is>
          <t>KATRINEHOLM</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17746-2024</t>
        </is>
      </c>
      <c r="B666" t="inlineStr">
        <is>
          <t>avverkningsanmälan</t>
        </is>
      </c>
      <c r="C666" t="inlineStr">
        <is>
          <t>Föryngringsavverkning</t>
        </is>
      </c>
      <c r="D666" s="1" t="n">
        <v>45415</v>
      </c>
      <c r="E666" s="1" t="n">
        <v>46220</v>
      </c>
      <c r="F666" t="inlineStr">
        <is>
          <t>SÖDERMANLANDS LÄN</t>
        </is>
      </c>
      <c r="G666" t="inlineStr">
        <is>
          <t>KATRINEHOLM</t>
        </is>
      </c>
      <c r="I666" t="n">
        <v>7.8</v>
      </c>
      <c r="J666" t="n">
        <v>0</v>
      </c>
      <c r="K666" t="n">
        <v>0</v>
      </c>
      <c r="L666" t="n">
        <v>0</v>
      </c>
      <c r="M666" t="n">
        <v>0</v>
      </c>
      <c r="N666" t="n">
        <v>0</v>
      </c>
      <c r="O666" t="n">
        <v>0</v>
      </c>
      <c r="P666" t="n">
        <v>0</v>
      </c>
      <c r="Q666" t="n">
        <v>0</v>
      </c>
      <c r="R666" t="n">
        <v>0</v>
      </c>
      <c r="S666" t="n">
        <v>0</v>
      </c>
      <c r="T666" t="n">
        <v>0</v>
      </c>
      <c r="U666" s="2" t="inlineStr"/>
    </row>
    <row r="667" ht="15" customHeight="1">
      <c r="A667" t="inlineStr">
        <is>
          <t>A 57510-2021</t>
        </is>
      </c>
      <c r="B667" t="inlineStr">
        <is>
          <t>avverkningsanmälan</t>
        </is>
      </c>
      <c r="C667" t="inlineStr">
        <is>
          <t>Föryngringsavverkning</t>
        </is>
      </c>
      <c r="D667" s="1" t="n">
        <v>44483</v>
      </c>
      <c r="E667" s="1" t="n">
        <v>46220</v>
      </c>
      <c r="F667" t="inlineStr">
        <is>
          <t>SÖDERMANLANDS LÄN</t>
        </is>
      </c>
      <c r="G667" t="inlineStr">
        <is>
          <t>KATRINEHOLM</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34731-2023</t>
        </is>
      </c>
      <c r="B668" t="inlineStr">
        <is>
          <t>avverkningsanmälan</t>
        </is>
      </c>
      <c r="C668" t="inlineStr">
        <is>
          <t>Föryngringsavverkning</t>
        </is>
      </c>
      <c r="D668" s="1" t="n">
        <v>45141</v>
      </c>
      <c r="E668" s="1" t="n">
        <v>46220</v>
      </c>
      <c r="F668" t="inlineStr">
        <is>
          <t>SÖDERMANLANDS LÄN</t>
        </is>
      </c>
      <c r="G668" t="inlineStr">
        <is>
          <t>KATRINEHOLM</t>
        </is>
      </c>
      <c r="I668" t="n">
        <v>1.5</v>
      </c>
      <c r="J668" t="n">
        <v>0</v>
      </c>
      <c r="K668" t="n">
        <v>0</v>
      </c>
      <c r="L668" t="n">
        <v>0</v>
      </c>
      <c r="M668" t="n">
        <v>0</v>
      </c>
      <c r="N668" t="n">
        <v>0</v>
      </c>
      <c r="O668" t="n">
        <v>0</v>
      </c>
      <c r="P668" t="n">
        <v>0</v>
      </c>
      <c r="Q668" t="n">
        <v>0</v>
      </c>
      <c r="R668" t="n">
        <v>0</v>
      </c>
      <c r="S668" t="n">
        <v>0</v>
      </c>
      <c r="T668" t="n">
        <v>0</v>
      </c>
      <c r="U668" s="2" t="inlineStr"/>
    </row>
    <row r="669" ht="15" customHeight="1">
      <c r="A669" t="inlineStr">
        <is>
          <t>A 18314-2026</t>
        </is>
      </c>
      <c r="B669" t="inlineStr">
        <is>
          <t>avverkningsanmälan</t>
        </is>
      </c>
      <c r="C669" t="inlineStr">
        <is>
          <t>Föryngringsavverkning</t>
        </is>
      </c>
      <c r="D669" s="1" t="n">
        <v>46126</v>
      </c>
      <c r="E669" s="1" t="n">
        <v>46220</v>
      </c>
      <c r="F669" t="inlineStr">
        <is>
          <t>SÖDERMANLANDS LÄN</t>
        </is>
      </c>
      <c r="G669" t="inlineStr">
        <is>
          <t>KATRINEHOLM</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38826-2021</t>
        </is>
      </c>
      <c r="B670" t="inlineStr">
        <is>
          <t>avverkningsanmälan</t>
        </is>
      </c>
      <c r="C670" t="inlineStr">
        <is>
          <t>Föryngringsavverkning</t>
        </is>
      </c>
      <c r="D670" s="1" t="n">
        <v>44411</v>
      </c>
      <c r="E670" s="1" t="n">
        <v>46220</v>
      </c>
      <c r="F670" t="inlineStr">
        <is>
          <t>SÖDERMANLANDS LÄN</t>
        </is>
      </c>
      <c r="G670" t="inlineStr">
        <is>
          <t>KATRINEHOLM</t>
        </is>
      </c>
      <c r="I670" t="n">
        <v>3.1</v>
      </c>
      <c r="J670" t="n">
        <v>0</v>
      </c>
      <c r="K670" t="n">
        <v>0</v>
      </c>
      <c r="L670" t="n">
        <v>0</v>
      </c>
      <c r="M670" t="n">
        <v>0</v>
      </c>
      <c r="N670" t="n">
        <v>0</v>
      </c>
      <c r="O670" t="n">
        <v>0</v>
      </c>
      <c r="P670" t="n">
        <v>0</v>
      </c>
      <c r="Q670" t="n">
        <v>0</v>
      </c>
      <c r="R670" t="n">
        <v>0</v>
      </c>
      <c r="S670" t="n">
        <v>0</v>
      </c>
      <c r="T670" t="n">
        <v>0</v>
      </c>
      <c r="U670" s="2" t="inlineStr"/>
    </row>
    <row r="671" ht="15" customHeight="1">
      <c r="A671" t="inlineStr">
        <is>
          <t>A 51128-2021</t>
        </is>
      </c>
      <c r="B671" t="inlineStr">
        <is>
          <t>avverkningsanmälan</t>
        </is>
      </c>
      <c r="C671" t="inlineStr">
        <is>
          <t>Föryngringsavverkning</t>
        </is>
      </c>
      <c r="D671" s="1" t="n">
        <v>44460</v>
      </c>
      <c r="E671" s="1" t="n">
        <v>46220</v>
      </c>
      <c r="F671" t="inlineStr">
        <is>
          <t>SÖDERMANLANDS LÄN</t>
        </is>
      </c>
      <c r="G671" t="inlineStr">
        <is>
          <t>KATRINEHOLM</t>
        </is>
      </c>
      <c r="I671" t="n">
        <v>7.8</v>
      </c>
      <c r="J671" t="n">
        <v>0</v>
      </c>
      <c r="K671" t="n">
        <v>0</v>
      </c>
      <c r="L671" t="n">
        <v>0</v>
      </c>
      <c r="M671" t="n">
        <v>0</v>
      </c>
      <c r="N671" t="n">
        <v>0</v>
      </c>
      <c r="O671" t="n">
        <v>0</v>
      </c>
      <c r="P671" t="n">
        <v>0</v>
      </c>
      <c r="Q671" t="n">
        <v>0</v>
      </c>
      <c r="R671" t="n">
        <v>0</v>
      </c>
      <c r="S671" t="n">
        <v>0</v>
      </c>
      <c r="T671" t="n">
        <v>0</v>
      </c>
      <c r="U671" s="2" t="inlineStr"/>
    </row>
    <row r="672" ht="15" customHeight="1">
      <c r="A672" t="inlineStr">
        <is>
          <t>A 51264-2021</t>
        </is>
      </c>
      <c r="B672" t="inlineStr">
        <is>
          <t>avverkningsanmälan</t>
        </is>
      </c>
      <c r="C672" t="inlineStr">
        <is>
          <t>Föryngringsavverkning</t>
        </is>
      </c>
      <c r="D672" s="1" t="n">
        <v>44461</v>
      </c>
      <c r="E672" s="1" t="n">
        <v>46220</v>
      </c>
      <c r="F672" t="inlineStr">
        <is>
          <t>SÖDERMANLANDS LÄN</t>
        </is>
      </c>
      <c r="G672" t="inlineStr">
        <is>
          <t>KATRINEHOLM</t>
        </is>
      </c>
      <c r="I672" t="n">
        <v>3.1</v>
      </c>
      <c r="J672" t="n">
        <v>0</v>
      </c>
      <c r="K672" t="n">
        <v>0</v>
      </c>
      <c r="L672" t="n">
        <v>0</v>
      </c>
      <c r="M672" t="n">
        <v>0</v>
      </c>
      <c r="N672" t="n">
        <v>0</v>
      </c>
      <c r="O672" t="n">
        <v>0</v>
      </c>
      <c r="P672" t="n">
        <v>0</v>
      </c>
      <c r="Q672" t="n">
        <v>0</v>
      </c>
      <c r="R672" t="n">
        <v>0</v>
      </c>
      <c r="S672" t="n">
        <v>0</v>
      </c>
      <c r="T672" t="n">
        <v>0</v>
      </c>
      <c r="U672" s="2" t="inlineStr"/>
    </row>
    <row r="673" ht="15" customHeight="1">
      <c r="A673" t="inlineStr">
        <is>
          <t>A 23207-2023</t>
        </is>
      </c>
      <c r="B673" t="inlineStr">
        <is>
          <t>avverkningsanmälan</t>
        </is>
      </c>
      <c r="C673" t="inlineStr">
        <is>
          <t>Föryngringsavverkning</t>
        </is>
      </c>
      <c r="D673" s="1" t="n">
        <v>45071</v>
      </c>
      <c r="E673" s="1" t="n">
        <v>46220</v>
      </c>
      <c r="F673" t="inlineStr">
        <is>
          <t>SÖDERMANLANDS LÄN</t>
        </is>
      </c>
      <c r="G673" t="inlineStr">
        <is>
          <t>KATRINEHOLM</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18316-2026</t>
        </is>
      </c>
      <c r="B674" t="inlineStr">
        <is>
          <t>avverkningsanmälan</t>
        </is>
      </c>
      <c r="C674" t="inlineStr">
        <is>
          <t>Föryngringsavverkning</t>
        </is>
      </c>
      <c r="D674" s="1" t="n">
        <v>46126</v>
      </c>
      <c r="E674" s="1" t="n">
        <v>46220</v>
      </c>
      <c r="F674" t="inlineStr">
        <is>
          <t>SÖDERMANLANDS LÄN</t>
        </is>
      </c>
      <c r="G674" t="inlineStr">
        <is>
          <t>KATRINEHOLM</t>
        </is>
      </c>
      <c r="I674" t="n">
        <v>2.8</v>
      </c>
      <c r="J674" t="n">
        <v>0</v>
      </c>
      <c r="K674" t="n">
        <v>0</v>
      </c>
      <c r="L674" t="n">
        <v>0</v>
      </c>
      <c r="M674" t="n">
        <v>0</v>
      </c>
      <c r="N674" t="n">
        <v>0</v>
      </c>
      <c r="O674" t="n">
        <v>0</v>
      </c>
      <c r="P674" t="n">
        <v>0</v>
      </c>
      <c r="Q674" t="n">
        <v>0</v>
      </c>
      <c r="R674" t="n">
        <v>0</v>
      </c>
      <c r="S674" t="n">
        <v>0</v>
      </c>
      <c r="T674" t="n">
        <v>0</v>
      </c>
      <c r="U674" s="2" t="inlineStr"/>
    </row>
    <row r="675" ht="15" customHeight="1">
      <c r="A675" t="inlineStr">
        <is>
          <t>A 5935-2023</t>
        </is>
      </c>
      <c r="B675" t="inlineStr">
        <is>
          <t>avverkningsanmälan</t>
        </is>
      </c>
      <c r="C675" t="inlineStr">
        <is>
          <t>Föryngringsavverkning</t>
        </is>
      </c>
      <c r="D675" s="1" t="n">
        <v>44963</v>
      </c>
      <c r="E675" s="1" t="n">
        <v>46220</v>
      </c>
      <c r="F675" t="inlineStr">
        <is>
          <t>SÖDERMANLANDS LÄN</t>
        </is>
      </c>
      <c r="G675" t="inlineStr">
        <is>
          <t>KATRINEHOLM</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11104-2023</t>
        </is>
      </c>
      <c r="B676" t="inlineStr">
        <is>
          <t>avverkningsanmälan</t>
        </is>
      </c>
      <c r="C676" t="inlineStr">
        <is>
          <t>Föryngringsavverkning</t>
        </is>
      </c>
      <c r="D676" s="1" t="n">
        <v>44992</v>
      </c>
      <c r="E676" s="1" t="n">
        <v>46220</v>
      </c>
      <c r="F676" t="inlineStr">
        <is>
          <t>SÖDERMANLANDS LÄN</t>
        </is>
      </c>
      <c r="G676" t="inlineStr">
        <is>
          <t>KATRINEHOLM</t>
        </is>
      </c>
      <c r="H676" t="inlineStr">
        <is>
          <t>Allmännings- och besparingsskogar</t>
        </is>
      </c>
      <c r="I676" t="n">
        <v>7.8</v>
      </c>
      <c r="J676" t="n">
        <v>0</v>
      </c>
      <c r="K676" t="n">
        <v>0</v>
      </c>
      <c r="L676" t="n">
        <v>0</v>
      </c>
      <c r="M676" t="n">
        <v>0</v>
      </c>
      <c r="N676" t="n">
        <v>0</v>
      </c>
      <c r="O676" t="n">
        <v>0</v>
      </c>
      <c r="P676" t="n">
        <v>0</v>
      </c>
      <c r="Q676" t="n">
        <v>0</v>
      </c>
      <c r="R676" t="n">
        <v>0</v>
      </c>
      <c r="S676" t="n">
        <v>0</v>
      </c>
      <c r="T676" t="n">
        <v>0</v>
      </c>
      <c r="U676" s="2" t="inlineStr"/>
    </row>
    <row r="677" ht="15" customHeight="1">
      <c r="A677" t="inlineStr">
        <is>
          <t>A 40159-2023</t>
        </is>
      </c>
      <c r="B677" t="inlineStr">
        <is>
          <t>avverkningsanmälan</t>
        </is>
      </c>
      <c r="C677" t="inlineStr">
        <is>
          <t>Föryngringsavverkning</t>
        </is>
      </c>
      <c r="D677" s="1" t="n">
        <v>45169</v>
      </c>
      <c r="E677" s="1" t="n">
        <v>46220</v>
      </c>
      <c r="F677" t="inlineStr">
        <is>
          <t>SÖDERMANLANDS LÄN</t>
        </is>
      </c>
      <c r="G677" t="inlineStr">
        <is>
          <t>KATRINEHOLM</t>
        </is>
      </c>
      <c r="H677" t="inlineStr">
        <is>
          <t>Övriga Aktiebolag</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36562-2023</t>
        </is>
      </c>
      <c r="B678" t="inlineStr">
        <is>
          <t>avverkningsanmälan</t>
        </is>
      </c>
      <c r="C678" t="inlineStr">
        <is>
          <t>Föryngringsavverkning</t>
        </is>
      </c>
      <c r="D678" s="1" t="n">
        <v>45153</v>
      </c>
      <c r="E678" s="1" t="n">
        <v>46220</v>
      </c>
      <c r="F678" t="inlineStr">
        <is>
          <t>SÖDERMANLANDS LÄN</t>
        </is>
      </c>
      <c r="G678" t="inlineStr">
        <is>
          <t>KATRINEHOLM</t>
        </is>
      </c>
      <c r="I678" t="n">
        <v>5.8</v>
      </c>
      <c r="J678" t="n">
        <v>0</v>
      </c>
      <c r="K678" t="n">
        <v>0</v>
      </c>
      <c r="L678" t="n">
        <v>0</v>
      </c>
      <c r="M678" t="n">
        <v>0</v>
      </c>
      <c r="N678" t="n">
        <v>0</v>
      </c>
      <c r="O678" t="n">
        <v>0</v>
      </c>
      <c r="P678" t="n">
        <v>0</v>
      </c>
      <c r="Q678" t="n">
        <v>0</v>
      </c>
      <c r="R678" t="n">
        <v>0</v>
      </c>
      <c r="S678" t="n">
        <v>0</v>
      </c>
      <c r="T678" t="n">
        <v>0</v>
      </c>
      <c r="U678" s="2" t="inlineStr"/>
    </row>
    <row r="679" ht="15" customHeight="1">
      <c r="A679" t="inlineStr">
        <is>
          <t>A 4872-2024</t>
        </is>
      </c>
      <c r="B679" t="inlineStr">
        <is>
          <t>avverkningsanmälan</t>
        </is>
      </c>
      <c r="C679" t="inlineStr">
        <is>
          <t>Föryngringsavverkning</t>
        </is>
      </c>
      <c r="D679" s="1" t="n">
        <v>45329</v>
      </c>
      <c r="E679" s="1" t="n">
        <v>46220</v>
      </c>
      <c r="F679" t="inlineStr">
        <is>
          <t>SÖDERMANLANDS LÄN</t>
        </is>
      </c>
      <c r="G679" t="inlineStr">
        <is>
          <t>KATRINEHOLM</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6611-2023</t>
        </is>
      </c>
      <c r="B680" t="inlineStr">
        <is>
          <t>avverkningsanmälan</t>
        </is>
      </c>
      <c r="C680" t="inlineStr">
        <is>
          <t>Föryngringsavverkning</t>
        </is>
      </c>
      <c r="D680" s="1" t="n">
        <v>44963</v>
      </c>
      <c r="E680" s="1" t="n">
        <v>46220</v>
      </c>
      <c r="F680" t="inlineStr">
        <is>
          <t>SÖDERMANLANDS LÄN</t>
        </is>
      </c>
      <c r="G680" t="inlineStr">
        <is>
          <t>KATRINEHOLM</t>
        </is>
      </c>
      <c r="I680" t="n">
        <v>9.800000000000001</v>
      </c>
      <c r="J680" t="n">
        <v>0</v>
      </c>
      <c r="K680" t="n">
        <v>0</v>
      </c>
      <c r="L680" t="n">
        <v>0</v>
      </c>
      <c r="M680" t="n">
        <v>0</v>
      </c>
      <c r="N680" t="n">
        <v>0</v>
      </c>
      <c r="O680" t="n">
        <v>0</v>
      </c>
      <c r="P680" t="n">
        <v>0</v>
      </c>
      <c r="Q680" t="n">
        <v>0</v>
      </c>
      <c r="R680" t="n">
        <v>0</v>
      </c>
      <c r="S680" t="n">
        <v>0</v>
      </c>
      <c r="T680" t="n">
        <v>0</v>
      </c>
      <c r="U680" s="2" t="inlineStr"/>
    </row>
    <row r="681" ht="15" customHeight="1">
      <c r="A681" t="inlineStr">
        <is>
          <t>A 25823-2023</t>
        </is>
      </c>
      <c r="B681" t="inlineStr">
        <is>
          <t>avverkningsanmälan</t>
        </is>
      </c>
      <c r="C681" t="inlineStr">
        <is>
          <t>Föryngringsavverkning</t>
        </is>
      </c>
      <c r="D681" s="1" t="n">
        <v>45090</v>
      </c>
      <c r="E681" s="1" t="n">
        <v>46220</v>
      </c>
      <c r="F681" t="inlineStr">
        <is>
          <t>SÖDERMANLANDS LÄN</t>
        </is>
      </c>
      <c r="G681" t="inlineStr">
        <is>
          <t>KATRINEHOLM</t>
        </is>
      </c>
      <c r="H681" t="inlineStr">
        <is>
          <t>Kyrkan</t>
        </is>
      </c>
      <c r="I681" t="n">
        <v>10.2</v>
      </c>
      <c r="J681" t="n">
        <v>0</v>
      </c>
      <c r="K681" t="n">
        <v>0</v>
      </c>
      <c r="L681" t="n">
        <v>0</v>
      </c>
      <c r="M681" t="n">
        <v>0</v>
      </c>
      <c r="N681" t="n">
        <v>0</v>
      </c>
      <c r="O681" t="n">
        <v>0</v>
      </c>
      <c r="P681" t="n">
        <v>0</v>
      </c>
      <c r="Q681" t="n">
        <v>0</v>
      </c>
      <c r="R681" t="n">
        <v>0</v>
      </c>
      <c r="S681" t="n">
        <v>0</v>
      </c>
      <c r="T681" t="n">
        <v>0</v>
      </c>
      <c r="U681" s="2" t="inlineStr"/>
    </row>
    <row r="682" ht="15" customHeight="1">
      <c r="A682" t="inlineStr">
        <is>
          <t>A 20480-2022</t>
        </is>
      </c>
      <c r="B682" t="inlineStr">
        <is>
          <t>avverkningsanmälan</t>
        </is>
      </c>
      <c r="C682" t="inlineStr">
        <is>
          <t>Föryngringsavverkning</t>
        </is>
      </c>
      <c r="D682" s="1" t="n">
        <v>44699</v>
      </c>
      <c r="E682" s="1" t="n">
        <v>46220</v>
      </c>
      <c r="F682" t="inlineStr">
        <is>
          <t>SÖDERMANLANDS LÄN</t>
        </is>
      </c>
      <c r="G682" t="inlineStr">
        <is>
          <t>KATRINEHOLM</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3060-2022</t>
        </is>
      </c>
      <c r="B683" t="inlineStr">
        <is>
          <t>avverkningsanmälan</t>
        </is>
      </c>
      <c r="C683" t="inlineStr">
        <is>
          <t>Föryngringsavverkning</t>
        </is>
      </c>
      <c r="D683" s="1" t="n">
        <v>44582</v>
      </c>
      <c r="E683" s="1" t="n">
        <v>46220</v>
      </c>
      <c r="F683" t="inlineStr">
        <is>
          <t>SÖDERMANLANDS LÄN</t>
        </is>
      </c>
      <c r="G683" t="inlineStr">
        <is>
          <t>KATRINEHOLM</t>
        </is>
      </c>
      <c r="I683" t="n">
        <v>1.6</v>
      </c>
      <c r="J683" t="n">
        <v>0</v>
      </c>
      <c r="K683" t="n">
        <v>0</v>
      </c>
      <c r="L683" t="n">
        <v>0</v>
      </c>
      <c r="M683" t="n">
        <v>0</v>
      </c>
      <c r="N683" t="n">
        <v>0</v>
      </c>
      <c r="O683" t="n">
        <v>0</v>
      </c>
      <c r="P683" t="n">
        <v>0</v>
      </c>
      <c r="Q683" t="n">
        <v>0</v>
      </c>
      <c r="R683" t="n">
        <v>0</v>
      </c>
      <c r="S683" t="n">
        <v>0</v>
      </c>
      <c r="T683" t="n">
        <v>0</v>
      </c>
      <c r="U683" s="2" t="inlineStr"/>
    </row>
    <row r="684" ht="15" customHeight="1">
      <c r="A684" t="inlineStr">
        <is>
          <t>A 10891-2026</t>
        </is>
      </c>
      <c r="B684" t="inlineStr">
        <is>
          <t>avverkningsanmälan</t>
        </is>
      </c>
      <c r="C684" t="inlineStr">
        <is>
          <t>Föryngringsavverkning</t>
        </is>
      </c>
      <c r="D684" s="1" t="n">
        <v>46078</v>
      </c>
      <c r="E684" s="1" t="n">
        <v>46220</v>
      </c>
      <c r="F684" t="inlineStr">
        <is>
          <t>SÖDERMANLANDS LÄN</t>
        </is>
      </c>
      <c r="G684" t="inlineStr">
        <is>
          <t>KATRINEHOLM</t>
        </is>
      </c>
      <c r="H684" t="inlineStr">
        <is>
          <t>Allmännings- och besparingsskogar</t>
        </is>
      </c>
      <c r="I684" t="n">
        <v>1.6</v>
      </c>
      <c r="J684" t="n">
        <v>0</v>
      </c>
      <c r="K684" t="n">
        <v>0</v>
      </c>
      <c r="L684" t="n">
        <v>0</v>
      </c>
      <c r="M684" t="n">
        <v>0</v>
      </c>
      <c r="N684" t="n">
        <v>0</v>
      </c>
      <c r="O684" t="n">
        <v>0</v>
      </c>
      <c r="P684" t="n">
        <v>0</v>
      </c>
      <c r="Q684" t="n">
        <v>0</v>
      </c>
      <c r="R684" t="n">
        <v>0</v>
      </c>
      <c r="S684" t="n">
        <v>0</v>
      </c>
      <c r="T684" t="n">
        <v>0</v>
      </c>
      <c r="U684" s="2" t="inlineStr"/>
    </row>
    <row r="685" ht="15" customHeight="1">
      <c r="A685" t="inlineStr">
        <is>
          <t>A 3075-2022</t>
        </is>
      </c>
      <c r="B685" t="inlineStr">
        <is>
          <t>avverkningsanmälan</t>
        </is>
      </c>
      <c r="C685" t="inlineStr">
        <is>
          <t>Föryngringsavverkning</t>
        </is>
      </c>
      <c r="D685" s="1" t="n">
        <v>44582</v>
      </c>
      <c r="E685" s="1" t="n">
        <v>46220</v>
      </c>
      <c r="F685" t="inlineStr">
        <is>
          <t>SÖDERMANLANDS LÄN</t>
        </is>
      </c>
      <c r="G685" t="inlineStr">
        <is>
          <t>KATRINEHOLM</t>
        </is>
      </c>
      <c r="I685" t="n">
        <v>3.5</v>
      </c>
      <c r="J685" t="n">
        <v>0</v>
      </c>
      <c r="K685" t="n">
        <v>0</v>
      </c>
      <c r="L685" t="n">
        <v>0</v>
      </c>
      <c r="M685" t="n">
        <v>0</v>
      </c>
      <c r="N685" t="n">
        <v>0</v>
      </c>
      <c r="O685" t="n">
        <v>0</v>
      </c>
      <c r="P685" t="n">
        <v>0</v>
      </c>
      <c r="Q685" t="n">
        <v>0</v>
      </c>
      <c r="R685" t="n">
        <v>0</v>
      </c>
      <c r="S685" t="n">
        <v>0</v>
      </c>
      <c r="T685" t="n">
        <v>0</v>
      </c>
      <c r="U685" s="2" t="inlineStr"/>
    </row>
    <row r="686" ht="15" customHeight="1">
      <c r="A686" t="inlineStr">
        <is>
          <t>A 13175-2024</t>
        </is>
      </c>
      <c r="B686" t="inlineStr">
        <is>
          <t>avverkningsanmälan</t>
        </is>
      </c>
      <c r="C686" t="inlineStr">
        <is>
          <t>Föryngringsavverkning</t>
        </is>
      </c>
      <c r="D686" s="1" t="n">
        <v>45386</v>
      </c>
      <c r="E686" s="1" t="n">
        <v>46220</v>
      </c>
      <c r="F686" t="inlineStr">
        <is>
          <t>SÖDERMANLANDS LÄN</t>
        </is>
      </c>
      <c r="G686" t="inlineStr">
        <is>
          <t>KATRINEHOLM</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26081-2024</t>
        </is>
      </c>
      <c r="B687" t="inlineStr">
        <is>
          <t>avverkningsanmälan</t>
        </is>
      </c>
      <c r="C687" t="inlineStr">
        <is>
          <t>Föryngringsavverkning</t>
        </is>
      </c>
      <c r="D687" s="1" t="n">
        <v>45462</v>
      </c>
      <c r="E687" s="1" t="n">
        <v>46220</v>
      </c>
      <c r="F687" t="inlineStr">
        <is>
          <t>SÖDERMANLANDS LÄN</t>
        </is>
      </c>
      <c r="G687" t="inlineStr">
        <is>
          <t>KATRINEHOLM</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4667-2024</t>
        </is>
      </c>
      <c r="B688" t="inlineStr">
        <is>
          <t>avverkningsanmälan</t>
        </is>
      </c>
      <c r="C688" t="inlineStr">
        <is>
          <t>Föryngringsavverkning</t>
        </is>
      </c>
      <c r="D688" s="1" t="n">
        <v>45328</v>
      </c>
      <c r="E688" s="1" t="n">
        <v>46220</v>
      </c>
      <c r="F688" t="inlineStr">
        <is>
          <t>SÖDERMANLANDS LÄN</t>
        </is>
      </c>
      <c r="G688" t="inlineStr">
        <is>
          <t>KATRINEHOLM</t>
        </is>
      </c>
      <c r="H688" t="inlineStr">
        <is>
          <t>Övriga Aktiebolag</t>
        </is>
      </c>
      <c r="I688" t="n">
        <v>10.2</v>
      </c>
      <c r="J688" t="n">
        <v>0</v>
      </c>
      <c r="K688" t="n">
        <v>0</v>
      </c>
      <c r="L688" t="n">
        <v>0</v>
      </c>
      <c r="M688" t="n">
        <v>0</v>
      </c>
      <c r="N688" t="n">
        <v>0</v>
      </c>
      <c r="O688" t="n">
        <v>0</v>
      </c>
      <c r="P688" t="n">
        <v>0</v>
      </c>
      <c r="Q688" t="n">
        <v>0</v>
      </c>
      <c r="R688" t="n">
        <v>0</v>
      </c>
      <c r="S688" t="n">
        <v>0</v>
      </c>
      <c r="T688" t="n">
        <v>0</v>
      </c>
      <c r="U688" s="2" t="inlineStr"/>
    </row>
    <row r="689" ht="15" customHeight="1">
      <c r="A689" t="inlineStr">
        <is>
          <t>A 19107-2022</t>
        </is>
      </c>
      <c r="B689" t="inlineStr">
        <is>
          <t>avverkningsanmälan</t>
        </is>
      </c>
      <c r="C689" t="inlineStr">
        <is>
          <t>Föryngringsavverkning</t>
        </is>
      </c>
      <c r="D689" s="1" t="n">
        <v>44691</v>
      </c>
      <c r="E689" s="1" t="n">
        <v>46220</v>
      </c>
      <c r="F689" t="inlineStr">
        <is>
          <t>SÖDERMANLANDS LÄN</t>
        </is>
      </c>
      <c r="G689" t="inlineStr">
        <is>
          <t>KATRINEHOLM</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19442-2023</t>
        </is>
      </c>
      <c r="B690" t="inlineStr">
        <is>
          <t>avverkningsanmälan</t>
        </is>
      </c>
      <c r="C690" t="inlineStr">
        <is>
          <t>Föryngringsavverkning</t>
        </is>
      </c>
      <c r="D690" s="1" t="n">
        <v>45050</v>
      </c>
      <c r="E690" s="1" t="n">
        <v>46220</v>
      </c>
      <c r="F690" t="inlineStr">
        <is>
          <t>SÖDERMANLANDS LÄN</t>
        </is>
      </c>
      <c r="G690" t="inlineStr">
        <is>
          <t>KATRINEHOLM</t>
        </is>
      </c>
      <c r="H690" t="inlineStr">
        <is>
          <t>Holmen skog AB</t>
        </is>
      </c>
      <c r="I690" t="n">
        <v>0.7</v>
      </c>
      <c r="J690" t="n">
        <v>0</v>
      </c>
      <c r="K690" t="n">
        <v>0</v>
      </c>
      <c r="L690" t="n">
        <v>0</v>
      </c>
      <c r="M690" t="n">
        <v>0</v>
      </c>
      <c r="N690" t="n">
        <v>0</v>
      </c>
      <c r="O690" t="n">
        <v>0</v>
      </c>
      <c r="P690" t="n">
        <v>0</v>
      </c>
      <c r="Q690" t="n">
        <v>0</v>
      </c>
      <c r="R690" t="n">
        <v>0</v>
      </c>
      <c r="S690" t="n">
        <v>0</v>
      </c>
      <c r="T690" t="n">
        <v>0</v>
      </c>
      <c r="U690" s="2" t="inlineStr"/>
    </row>
    <row r="691" ht="15" customHeight="1">
      <c r="A691" t="inlineStr">
        <is>
          <t>A 59093-2024</t>
        </is>
      </c>
      <c r="B691" t="inlineStr">
        <is>
          <t>avverkningsanmälan</t>
        </is>
      </c>
      <c r="C691" t="inlineStr">
        <is>
          <t>Föryngringsavverkning</t>
        </is>
      </c>
      <c r="D691" s="1" t="n">
        <v>45636</v>
      </c>
      <c r="E691" s="1" t="n">
        <v>46220</v>
      </c>
      <c r="F691" t="inlineStr">
        <is>
          <t>SÖDERMANLANDS LÄN</t>
        </is>
      </c>
      <c r="G691" t="inlineStr">
        <is>
          <t>KATRINEHOLM</t>
        </is>
      </c>
      <c r="I691" t="n">
        <v>2.8</v>
      </c>
      <c r="J691" t="n">
        <v>0</v>
      </c>
      <c r="K691" t="n">
        <v>0</v>
      </c>
      <c r="L691" t="n">
        <v>0</v>
      </c>
      <c r="M691" t="n">
        <v>0</v>
      </c>
      <c r="N691" t="n">
        <v>0</v>
      </c>
      <c r="O691" t="n">
        <v>0</v>
      </c>
      <c r="P691" t="n">
        <v>0</v>
      </c>
      <c r="Q691" t="n">
        <v>0</v>
      </c>
      <c r="R691" t="n">
        <v>0</v>
      </c>
      <c r="S691" t="n">
        <v>0</v>
      </c>
      <c r="T691" t="n">
        <v>0</v>
      </c>
      <c r="U691" s="2" t="inlineStr"/>
    </row>
    <row r="692" ht="15" customHeight="1">
      <c r="A692" t="inlineStr">
        <is>
          <t>A 2606-2025</t>
        </is>
      </c>
      <c r="B692" t="inlineStr">
        <is>
          <t>avverkningsanmälan</t>
        </is>
      </c>
      <c r="C692" t="inlineStr">
        <is>
          <t>Avverkning för annat ändamål</t>
        </is>
      </c>
      <c r="D692" s="1" t="n">
        <v>45674</v>
      </c>
      <c r="E692" s="1" t="n">
        <v>46220</v>
      </c>
      <c r="F692" t="inlineStr">
        <is>
          <t>SÖDERMANLANDS LÄN</t>
        </is>
      </c>
      <c r="G692" t="inlineStr">
        <is>
          <t>KATRINEHOLM</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48763-2024</t>
        </is>
      </c>
      <c r="B693" t="inlineStr">
        <is>
          <t>avverkningsanmälan</t>
        </is>
      </c>
      <c r="C693" t="inlineStr">
        <is>
          <t>Föryngringsavverkning</t>
        </is>
      </c>
      <c r="D693" s="1" t="n">
        <v>45593</v>
      </c>
      <c r="E693" s="1" t="n">
        <v>46220</v>
      </c>
      <c r="F693" t="inlineStr">
        <is>
          <t>SÖDERMANLANDS LÄN</t>
        </is>
      </c>
      <c r="G693" t="inlineStr">
        <is>
          <t>KATRINEHOLM</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41229-2022</t>
        </is>
      </c>
      <c r="B694" t="inlineStr">
        <is>
          <t>avverkningsanmälan</t>
        </is>
      </c>
      <c r="C694" t="inlineStr">
        <is>
          <t>Föryngringsavverkning</t>
        </is>
      </c>
      <c r="D694" s="1" t="n">
        <v>44825</v>
      </c>
      <c r="E694" s="1" t="n">
        <v>46220</v>
      </c>
      <c r="F694" t="inlineStr">
        <is>
          <t>SÖDERMANLANDS LÄN</t>
        </is>
      </c>
      <c r="G694" t="inlineStr">
        <is>
          <t>KATRINEHOLM</t>
        </is>
      </c>
      <c r="I694" t="n">
        <v>3.8</v>
      </c>
      <c r="J694" t="n">
        <v>0</v>
      </c>
      <c r="K694" t="n">
        <v>0</v>
      </c>
      <c r="L694" t="n">
        <v>0</v>
      </c>
      <c r="M694" t="n">
        <v>0</v>
      </c>
      <c r="N694" t="n">
        <v>0</v>
      </c>
      <c r="O694" t="n">
        <v>0</v>
      </c>
      <c r="P694" t="n">
        <v>0</v>
      </c>
      <c r="Q694" t="n">
        <v>0</v>
      </c>
      <c r="R694" t="n">
        <v>0</v>
      </c>
      <c r="S694" t="n">
        <v>0</v>
      </c>
      <c r="T694" t="n">
        <v>0</v>
      </c>
      <c r="U694" s="2" t="inlineStr"/>
    </row>
    <row r="695" ht="15" customHeight="1">
      <c r="A695" t="inlineStr">
        <is>
          <t>A 39010-2021</t>
        </is>
      </c>
      <c r="B695" t="inlineStr">
        <is>
          <t>avverkningsanmälan</t>
        </is>
      </c>
      <c r="C695" t="inlineStr">
        <is>
          <t>Föryngringsavverkning</t>
        </is>
      </c>
      <c r="D695" s="1" t="n">
        <v>44412</v>
      </c>
      <c r="E695" s="1" t="n">
        <v>46220</v>
      </c>
      <c r="F695" t="inlineStr">
        <is>
          <t>SÖDERMANLANDS LÄN</t>
        </is>
      </c>
      <c r="G695" t="inlineStr">
        <is>
          <t>KATRINEHOLM</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6311-2025</t>
        </is>
      </c>
      <c r="B696" t="inlineStr">
        <is>
          <t>avverkningsanmälan</t>
        </is>
      </c>
      <c r="C696" t="inlineStr">
        <is>
          <t>Avverkning för annat ändamål</t>
        </is>
      </c>
      <c r="D696" s="1" t="n">
        <v>45698</v>
      </c>
      <c r="E696" s="1" t="n">
        <v>46220</v>
      </c>
      <c r="F696" t="inlineStr">
        <is>
          <t>SÖDERMANLANDS LÄN</t>
        </is>
      </c>
      <c r="G696" t="inlineStr">
        <is>
          <t>KATRINEHOLM</t>
        </is>
      </c>
      <c r="I696" t="n">
        <v>0.3</v>
      </c>
      <c r="J696" t="n">
        <v>0</v>
      </c>
      <c r="K696" t="n">
        <v>0</v>
      </c>
      <c r="L696" t="n">
        <v>0</v>
      </c>
      <c r="M696" t="n">
        <v>0</v>
      </c>
      <c r="N696" t="n">
        <v>0</v>
      </c>
      <c r="O696" t="n">
        <v>0</v>
      </c>
      <c r="P696" t="n">
        <v>0</v>
      </c>
      <c r="Q696" t="n">
        <v>0</v>
      </c>
      <c r="R696" t="n">
        <v>0</v>
      </c>
      <c r="S696" t="n">
        <v>0</v>
      </c>
      <c r="T696" t="n">
        <v>0</v>
      </c>
      <c r="U696" s="2" t="inlineStr"/>
    </row>
    <row r="697" ht="15" customHeight="1">
      <c r="A697" t="inlineStr">
        <is>
          <t>A 24983-2024</t>
        </is>
      </c>
      <c r="B697" t="inlineStr">
        <is>
          <t>avverkningsanmälan</t>
        </is>
      </c>
      <c r="C697" t="inlineStr">
        <is>
          <t>Föryngringsavverkning</t>
        </is>
      </c>
      <c r="D697" s="1" t="n">
        <v>45461</v>
      </c>
      <c r="E697" s="1" t="n">
        <v>46220</v>
      </c>
      <c r="F697" t="inlineStr">
        <is>
          <t>SÖDERMANLANDS LÄN</t>
        </is>
      </c>
      <c r="G697" t="inlineStr">
        <is>
          <t>KATRINEHOLM</t>
        </is>
      </c>
      <c r="I697" t="n">
        <v>2.6</v>
      </c>
      <c r="J697" t="n">
        <v>0</v>
      </c>
      <c r="K697" t="n">
        <v>0</v>
      </c>
      <c r="L697" t="n">
        <v>0</v>
      </c>
      <c r="M697" t="n">
        <v>0</v>
      </c>
      <c r="N697" t="n">
        <v>0</v>
      </c>
      <c r="O697" t="n">
        <v>0</v>
      </c>
      <c r="P697" t="n">
        <v>0</v>
      </c>
      <c r="Q697" t="n">
        <v>0</v>
      </c>
      <c r="R697" t="n">
        <v>0</v>
      </c>
      <c r="S697" t="n">
        <v>0</v>
      </c>
      <c r="T697" t="n">
        <v>0</v>
      </c>
      <c r="U697" s="2" t="inlineStr"/>
    </row>
    <row r="698" ht="15" customHeight="1">
      <c r="A698" t="inlineStr">
        <is>
          <t>A 32943-2024</t>
        </is>
      </c>
      <c r="B698" t="inlineStr">
        <is>
          <t>avverkningsanmälan</t>
        </is>
      </c>
      <c r="C698" t="inlineStr">
        <is>
          <t>Föryngringsavverkning</t>
        </is>
      </c>
      <c r="D698" s="1" t="n">
        <v>45517</v>
      </c>
      <c r="E698" s="1" t="n">
        <v>46220</v>
      </c>
      <c r="F698" t="inlineStr">
        <is>
          <t>SÖDERMANLANDS LÄN</t>
        </is>
      </c>
      <c r="G698" t="inlineStr">
        <is>
          <t>KATRINEHOLM</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S 2320-2023</t>
        </is>
      </c>
      <c r="B699" t="inlineStr">
        <is>
          <t>samrådsanmälan</t>
        </is>
      </c>
      <c r="C699" t="inlineStr">
        <is>
          <t>Annan skogsbruksåtgärd</t>
        </is>
      </c>
      <c r="D699" s="1" t="n">
        <v>45105</v>
      </c>
      <c r="E699" s="1" t="n">
        <v>46220</v>
      </c>
      <c r="F699" t="inlineStr">
        <is>
          <t>SÖDERMANLANDS LÄN</t>
        </is>
      </c>
      <c r="G699" t="inlineStr">
        <is>
          <t>KATRINEHOLM</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S 4281-2023</t>
        </is>
      </c>
      <c r="B700" t="inlineStr">
        <is>
          <t>samrådsanmälan</t>
        </is>
      </c>
      <c r="C700" t="inlineStr">
        <is>
          <t>Annan skogsbruksåtgärd</t>
        </is>
      </c>
      <c r="D700" s="1" t="n">
        <v>45257</v>
      </c>
      <c r="E700" s="1" t="n">
        <v>46220</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s="2" t="inlineStr"/>
    </row>
    <row r="701" ht="15" customHeight="1">
      <c r="A701" t="inlineStr">
        <is>
          <t>S 2183-2023</t>
        </is>
      </c>
      <c r="B701" t="inlineStr">
        <is>
          <t>samrådsanmälan</t>
        </is>
      </c>
      <c r="C701" t="inlineStr">
        <is>
          <t>Annan skogsbruksåtgärd</t>
        </is>
      </c>
      <c r="D701" s="1" t="n">
        <v>45098</v>
      </c>
      <c r="E701" s="1" t="n">
        <v>46220</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S 2529-2024</t>
        </is>
      </c>
      <c r="B702" t="inlineStr">
        <is>
          <t>samrådsanmälan</t>
        </is>
      </c>
      <c r="C702" t="inlineStr">
        <is>
          <t>Annan skogsbruksåtgärd</t>
        </is>
      </c>
      <c r="D702" s="1" t="n">
        <v>45474</v>
      </c>
      <c r="E702" s="1" t="n">
        <v>46220</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s="2" t="inlineStr"/>
      <c r="X702">
        <f>HYPERLINK("https://klasma.github.io/Logging_0483/knärot/S 2529-2024 karta knärot.png", "S 2529-2024")</f>
        <v/>
      </c>
      <c r="Y702">
        <f>HYPERLINK("https://klasma.github.io/Logging_0483/klagomål/S 2529-2024 FSC-klagomål.docx", "S 2529-2024")</f>
        <v/>
      </c>
      <c r="Z702">
        <f>HYPERLINK("https://klasma.github.io/Logging_0483/klagomålsmail/S 2529-2024 FSC-klagomål mail.docx", "S 2529-2024")</f>
        <v/>
      </c>
      <c r="AA702">
        <f>HYPERLINK("https://klasma.github.io/Logging_0483/tillsyn/S 2529-2024 tillsynsbegäran.docx", "S 2529-2024")</f>
        <v/>
      </c>
      <c r="AB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46220</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s="2" t="inlineStr"/>
    </row>
    <row r="704" ht="15" customHeight="1">
      <c r="A704" t="inlineStr">
        <is>
          <t>S 748-2023</t>
        </is>
      </c>
      <c r="B704" t="inlineStr">
        <is>
          <t>samrådsanmälan</t>
        </is>
      </c>
      <c r="C704" t="inlineStr">
        <is>
          <t>Annan skogsbruksåtgärd</t>
        </is>
      </c>
      <c r="D704" s="1" t="n">
        <v>44980</v>
      </c>
      <c r="E704" s="1" t="n">
        <v>46220</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s="2" t="inlineStr"/>
      <c r="X704">
        <f>HYPERLINK("https://klasma.github.io/Logging_0483/knärot/S 748-2023 karta knärot.png", "S 748-2023")</f>
        <v/>
      </c>
      <c r="Y704">
        <f>HYPERLINK("https://klasma.github.io/Logging_0483/klagomål/S 748-2023 FSC-klagomål.docx", "S 748-2023")</f>
        <v/>
      </c>
      <c r="Z704">
        <f>HYPERLINK("https://klasma.github.io/Logging_0483/klagomålsmail/S 748-2023 FSC-klagomål mail.docx", "S 748-2023")</f>
        <v/>
      </c>
      <c r="AA704">
        <f>HYPERLINK("https://klasma.github.io/Logging_0483/tillsyn/S 748-2023 tillsynsbegäran.docx", "S 748-2023")</f>
        <v/>
      </c>
      <c r="AB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46220</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s="2" t="inlineStr"/>
    </row>
    <row r="706" ht="15" customHeight="1">
      <c r="A706" t="inlineStr">
        <is>
          <t>S 6357-2021</t>
        </is>
      </c>
      <c r="B706" t="inlineStr">
        <is>
          <t>samrådsanmälan</t>
        </is>
      </c>
      <c r="C706" t="inlineStr">
        <is>
          <t>Annan skogsbruksåtgärd</t>
        </is>
      </c>
      <c r="D706" s="1" t="n">
        <v>44448</v>
      </c>
      <c r="E706" s="1" t="n">
        <v>46220</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s="2" t="inlineStr"/>
    </row>
    <row r="707" ht="15" customHeight="1">
      <c r="A707" t="inlineStr">
        <is>
          <t>S 1838-2022</t>
        </is>
      </c>
      <c r="B707" t="inlineStr">
        <is>
          <t>samrådsanmälan</t>
        </is>
      </c>
      <c r="C707" t="inlineStr">
        <is>
          <t>Annan skogsbruksåtgärd</t>
        </is>
      </c>
      <c r="D707" s="1" t="n">
        <v>44658</v>
      </c>
      <c r="E707" s="1" t="n">
        <v>46220</v>
      </c>
      <c r="F707" t="inlineStr">
        <is>
          <t>SÖDERMANLANDS LÄN</t>
        </is>
      </c>
      <c r="G707" t="inlineStr">
        <is>
          <t>KATRINEHOLM</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S 634-2025</t>
        </is>
      </c>
      <c r="B708" t="inlineStr">
        <is>
          <t>samrådsanmälan</t>
        </is>
      </c>
      <c r="C708" t="inlineStr">
        <is>
          <t>Skogsgödsling</t>
        </is>
      </c>
      <c r="D708" s="1" t="n">
        <v>45714</v>
      </c>
      <c r="E708" s="1" t="n">
        <v>46220</v>
      </c>
      <c r="F708" t="inlineStr">
        <is>
          <t>SÖDERMANLANDS LÄN</t>
        </is>
      </c>
      <c r="G708" t="inlineStr">
        <is>
          <t>KATRINEHOLM</t>
        </is>
      </c>
      <c r="H708" t="inlineStr">
        <is>
          <t>Holmen skog AB</t>
        </is>
      </c>
      <c r="I708" t="n">
        <v>30.5</v>
      </c>
      <c r="J708" t="n">
        <v>0</v>
      </c>
      <c r="K708" t="n">
        <v>0</v>
      </c>
      <c r="L708" t="n">
        <v>0</v>
      </c>
      <c r="M708" t="n">
        <v>0</v>
      </c>
      <c r="N708" t="n">
        <v>0</v>
      </c>
      <c r="O708" t="n">
        <v>0</v>
      </c>
      <c r="P708" t="n">
        <v>0</v>
      </c>
      <c r="Q708" t="n">
        <v>0</v>
      </c>
      <c r="R708" t="n">
        <v>0</v>
      </c>
      <c r="S708" t="n">
        <v>0</v>
      </c>
      <c r="T708" t="n">
        <v>0</v>
      </c>
      <c r="U708" s="2" t="inlineStr"/>
    </row>
    <row r="709" ht="15" customHeight="1">
      <c r="A709" t="inlineStr">
        <is>
          <t>S 3350-2024</t>
        </is>
      </c>
      <c r="B709" t="inlineStr">
        <is>
          <t>samrådsanmälan</t>
        </is>
      </c>
      <c r="C709" t="inlineStr">
        <is>
          <t>Annan skogsbruksåtgärd</t>
        </is>
      </c>
      <c r="D709" s="1" t="n">
        <v>45531</v>
      </c>
      <c r="E709" s="1" t="n">
        <v>46220</v>
      </c>
      <c r="F709" t="inlineStr">
        <is>
          <t>SÖDERMANLANDS LÄN</t>
        </is>
      </c>
      <c r="G709" t="inlineStr">
        <is>
          <t>KATRINEHOLM</t>
        </is>
      </c>
      <c r="I709" t="n">
        <v>3.7</v>
      </c>
      <c r="J709" t="n">
        <v>0</v>
      </c>
      <c r="K709" t="n">
        <v>0</v>
      </c>
      <c r="L709" t="n">
        <v>0</v>
      </c>
      <c r="M709" t="n">
        <v>0</v>
      </c>
      <c r="N709" t="n">
        <v>0</v>
      </c>
      <c r="O709" t="n">
        <v>0</v>
      </c>
      <c r="P709" t="n">
        <v>0</v>
      </c>
      <c r="Q709" t="n">
        <v>0</v>
      </c>
      <c r="R709" t="n">
        <v>0</v>
      </c>
      <c r="S709" t="n">
        <v>0</v>
      </c>
      <c r="T709" t="n">
        <v>0</v>
      </c>
      <c r="U709" s="2" t="inlineStr"/>
    </row>
    <row r="710" ht="15" customHeight="1">
      <c r="A710" t="inlineStr">
        <is>
          <t>S 1605-2025</t>
        </is>
      </c>
      <c r="B710" t="inlineStr">
        <is>
          <t>samrådsanmälan</t>
        </is>
      </c>
      <c r="C710" t="inlineStr">
        <is>
          <t>Annan skogsbruksåtgärd</t>
        </is>
      </c>
      <c r="D710" s="1" t="n">
        <v>45798</v>
      </c>
      <c r="E710" s="1" t="n">
        <v>46220</v>
      </c>
      <c r="F710" t="inlineStr">
        <is>
          <t>SÖDERMANLANDS LÄN</t>
        </is>
      </c>
      <c r="G710" t="inlineStr">
        <is>
          <t>KATRINEHOLM</t>
        </is>
      </c>
      <c r="I710" t="n">
        <v>6.3</v>
      </c>
      <c r="J710" t="n">
        <v>0</v>
      </c>
      <c r="K710" t="n">
        <v>0</v>
      </c>
      <c r="L710" t="n">
        <v>0</v>
      </c>
      <c r="M710" t="n">
        <v>0</v>
      </c>
      <c r="N710" t="n">
        <v>0</v>
      </c>
      <c r="O710" t="n">
        <v>0</v>
      </c>
      <c r="P710" t="n">
        <v>0</v>
      </c>
      <c r="Q710" t="n">
        <v>0</v>
      </c>
      <c r="R710" t="n">
        <v>0</v>
      </c>
      <c r="S710" t="n">
        <v>0</v>
      </c>
      <c r="T710" t="n">
        <v>0</v>
      </c>
      <c r="U710" s="2" t="inlineStr"/>
    </row>
    <row r="711">
      <c r="A711" t="inlineStr">
        <is>
          <t>S 2902-2025</t>
        </is>
      </c>
      <c r="B711" t="inlineStr">
        <is>
          <t>samrådsanmälan</t>
        </is>
      </c>
      <c r="C711" t="inlineStr">
        <is>
          <t>Annan skogsbruksåtgärd</t>
        </is>
      </c>
      <c r="D711" s="1" t="n">
        <v>45946</v>
      </c>
      <c r="E711" s="1" t="n">
        <v>46220</v>
      </c>
      <c r="F711" t="inlineStr">
        <is>
          <t>SÖDERMANLANDS LÄN</t>
        </is>
      </c>
      <c r="G711" t="inlineStr">
        <is>
          <t>KATRINEHOLM</t>
        </is>
      </c>
      <c r="I711" t="n">
        <v>0.9</v>
      </c>
      <c r="J711" t="n">
        <v>0</v>
      </c>
      <c r="K711" t="n">
        <v>0</v>
      </c>
      <c r="L711" t="n">
        <v>0</v>
      </c>
      <c r="M711" t="n">
        <v>0</v>
      </c>
      <c r="N711" t="n">
        <v>0</v>
      </c>
      <c r="O711" t="n">
        <v>0</v>
      </c>
      <c r="P711" t="n">
        <v>0</v>
      </c>
      <c r="Q711" t="n">
        <v>0</v>
      </c>
      <c r="R711" t="n">
        <v>0</v>
      </c>
      <c r="S711" t="n">
        <v>0</v>
      </c>
      <c r="T711" t="n">
        <v>0</v>
      </c>
      <c r="U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2026-07-17T01:43:29Z</dcterms:created>
  <dcterms:modified xmlns:dcterms="http://purl.org/dc/terms/" xmlns:xsi="http://www.w3.org/2001/XMLSchema-instance" xsi:type="dcterms:W3CDTF">2026-07-17T01:43:30Z</dcterms:modified>
</cp:coreProperties>
</file>