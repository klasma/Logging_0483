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45936</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45936</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45936</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45936</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45936</v>
      </c>
      <c r="D8" t="inlineStr">
        <is>
          <t>SÖDERMANLANDS LÄN</t>
        </is>
      </c>
      <c r="E8" t="inlineStr">
        <is>
          <t>KATRINEHOLM</t>
        </is>
      </c>
      <c r="G8" t="n">
        <v>18</v>
      </c>
      <c r="H8" t="n">
        <v>3</v>
      </c>
      <c r="I8" t="n">
        <v>4</v>
      </c>
      <c r="J8" t="n">
        <v>1</v>
      </c>
      <c r="K8" t="n">
        <v>0</v>
      </c>
      <c r="L8" t="n">
        <v>0</v>
      </c>
      <c r="M8" t="n">
        <v>1</v>
      </c>
      <c r="N8" t="n">
        <v>0</v>
      </c>
      <c r="O8" t="n">
        <v>2</v>
      </c>
      <c r="P8" t="n">
        <v>1</v>
      </c>
      <c r="Q8" t="n">
        <v>8</v>
      </c>
      <c r="R8" s="2" t="inlineStr">
        <is>
          <t>Skogsalm
Långbensgroda
Björksplintborre
Fällmossa
Hasselticka
Stekelbock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45936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45936</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45936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45936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45936</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45936</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45936</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45936</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45936</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45936</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45936</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45936</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45936</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45936</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45936</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1150-2025</t>
        </is>
      </c>
      <c r="B24" s="1" t="n">
        <v>45666</v>
      </c>
      <c r="C24" s="1" t="n">
        <v>45936</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37537-2022</t>
        </is>
      </c>
      <c r="B25" s="1" t="n">
        <v>44809</v>
      </c>
      <c r="C25" s="1" t="n">
        <v>45936</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14655-2023</t>
        </is>
      </c>
      <c r="B26" s="1" t="n">
        <v>45013</v>
      </c>
      <c r="C26" s="1" t="n">
        <v>45936</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45936</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53471-2024</t>
        </is>
      </c>
      <c r="B28" s="1" t="n">
        <v>45614.55686342593</v>
      </c>
      <c r="C28" s="1" t="n">
        <v>45936</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30229-2023</t>
        </is>
      </c>
      <c r="B29" s="1" t="n">
        <v>45099</v>
      </c>
      <c r="C29" s="1" t="n">
        <v>45936</v>
      </c>
      <c r="D29" t="inlineStr">
        <is>
          <t>SÖDERMANLANDS LÄN</t>
        </is>
      </c>
      <c r="E29" t="inlineStr">
        <is>
          <t>KATRINEHOLM</t>
        </is>
      </c>
      <c r="G29" t="n">
        <v>11.8</v>
      </c>
      <c r="H29" t="n">
        <v>0</v>
      </c>
      <c r="I29" t="n">
        <v>0</v>
      </c>
      <c r="J29" t="n">
        <v>2</v>
      </c>
      <c r="K29" t="n">
        <v>0</v>
      </c>
      <c r="L29" t="n">
        <v>0</v>
      </c>
      <c r="M29" t="n">
        <v>0</v>
      </c>
      <c r="N29" t="n">
        <v>0</v>
      </c>
      <c r="O29" t="n">
        <v>2</v>
      </c>
      <c r="P29" t="n">
        <v>0</v>
      </c>
      <c r="Q29" t="n">
        <v>2</v>
      </c>
      <c r="R29" s="2" t="inlineStr">
        <is>
          <t>Bredbrämad bastardsvärmare
Silversmygare</t>
        </is>
      </c>
      <c r="S29">
        <f>HYPERLINK("https://klasma.github.io/Logging_0483/artfynd/A 30229-2023 artfynd.xlsx", "A 30229-2023")</f>
        <v/>
      </c>
      <c r="T29">
        <f>HYPERLINK("https://klasma.github.io/Logging_0483/kartor/A 30229-2023 karta.png", "A 30229-2023")</f>
        <v/>
      </c>
      <c r="V29">
        <f>HYPERLINK("https://klasma.github.io/Logging_0483/klagomål/A 30229-2023 FSC-klagomål.docx", "A 30229-2023")</f>
        <v/>
      </c>
      <c r="W29">
        <f>HYPERLINK("https://klasma.github.io/Logging_0483/klagomålsmail/A 30229-2023 FSC-klagomål mail.docx", "A 30229-2023")</f>
        <v/>
      </c>
      <c r="X29">
        <f>HYPERLINK("https://klasma.github.io/Logging_0483/tillsyn/A 30229-2023 tillsynsbegäran.docx", "A 30229-2023")</f>
        <v/>
      </c>
      <c r="Y29">
        <f>HYPERLINK("https://klasma.github.io/Logging_0483/tillsynsmail/A 30229-2023 tillsynsbegäran mail.docx", "A 30229-2023")</f>
        <v/>
      </c>
    </row>
    <row r="30" ht="15" customHeight="1">
      <c r="A30" t="inlineStr">
        <is>
          <t>A 14858-2023</t>
        </is>
      </c>
      <c r="B30" s="1" t="n">
        <v>45014</v>
      </c>
      <c r="C30" s="1" t="n">
        <v>45936</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45936</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45936</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45936</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45936</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45936</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45936</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12238-2023</t>
        </is>
      </c>
      <c r="B37" s="1" t="n">
        <v>44995</v>
      </c>
      <c r="C37" s="1" t="n">
        <v>45936</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11890-2023</t>
        </is>
      </c>
      <c r="B38" s="1" t="n">
        <v>44995</v>
      </c>
      <c r="C38" s="1" t="n">
        <v>45936</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53990-2023</t>
        </is>
      </c>
      <c r="B39" s="1" t="n">
        <v>45231</v>
      </c>
      <c r="C39" s="1" t="n">
        <v>45936</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44262-2022</t>
        </is>
      </c>
      <c r="B40" s="1" t="n">
        <v>44839</v>
      </c>
      <c r="C40" s="1" t="n">
        <v>45936</v>
      </c>
      <c r="D40" t="inlineStr">
        <is>
          <t>SÖDERMANLANDS LÄN</t>
        </is>
      </c>
      <c r="E40" t="inlineStr">
        <is>
          <t>KATRINEHOLM</t>
        </is>
      </c>
      <c r="G40" t="n">
        <v>0.1</v>
      </c>
      <c r="H40" t="n">
        <v>1</v>
      </c>
      <c r="I40" t="n">
        <v>0</v>
      </c>
      <c r="J40" t="n">
        <v>0</v>
      </c>
      <c r="K40" t="n">
        <v>1</v>
      </c>
      <c r="L40" t="n">
        <v>0</v>
      </c>
      <c r="M40" t="n">
        <v>0</v>
      </c>
      <c r="N40" t="n">
        <v>0</v>
      </c>
      <c r="O40" t="n">
        <v>1</v>
      </c>
      <c r="P40" t="n">
        <v>1</v>
      </c>
      <c r="Q40" t="n">
        <v>1</v>
      </c>
      <c r="R40" s="2" t="inlineStr">
        <is>
          <t>Bombmurkla</t>
        </is>
      </c>
      <c r="S40">
        <f>HYPERLINK("https://klasma.github.io/Logging_0483/artfynd/A 44262-2022 artfynd.xlsx", "A 44262-2022")</f>
        <v/>
      </c>
      <c r="T40">
        <f>HYPERLINK("https://klasma.github.io/Logging_0483/kartor/A 44262-2022 karta.png", "A 44262-2022")</f>
        <v/>
      </c>
      <c r="V40">
        <f>HYPERLINK("https://klasma.github.io/Logging_0483/klagomål/A 44262-2022 FSC-klagomål.docx", "A 44262-2022")</f>
        <v/>
      </c>
      <c r="W40">
        <f>HYPERLINK("https://klasma.github.io/Logging_0483/klagomålsmail/A 44262-2022 FSC-klagomål mail.docx", "A 44262-2022")</f>
        <v/>
      </c>
      <c r="X40">
        <f>HYPERLINK("https://klasma.github.io/Logging_0483/tillsyn/A 44262-2022 tillsynsbegäran.docx", "A 44262-2022")</f>
        <v/>
      </c>
      <c r="Y40">
        <f>HYPERLINK("https://klasma.github.io/Logging_0483/tillsynsmail/A 44262-2022 tillsynsbegäran mail.docx", "A 44262-2022")</f>
        <v/>
      </c>
    </row>
    <row r="41" ht="15" customHeight="1">
      <c r="A41" t="inlineStr">
        <is>
          <t>A 42055-2025</t>
        </is>
      </c>
      <c r="B41" s="1" t="n">
        <v>45903</v>
      </c>
      <c r="C41" s="1" t="n">
        <v>45936</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56074-2022</t>
        </is>
      </c>
      <c r="B42" s="1" t="n">
        <v>44889</v>
      </c>
      <c r="C42" s="1" t="n">
        <v>45936</v>
      </c>
      <c r="D42" t="inlineStr">
        <is>
          <t>SÖDERMANLANDS LÄN</t>
        </is>
      </c>
      <c r="E42" t="inlineStr">
        <is>
          <t>KATRINEHOLM</t>
        </is>
      </c>
      <c r="G42" t="n">
        <v>12.5</v>
      </c>
      <c r="H42" t="n">
        <v>1</v>
      </c>
      <c r="I42" t="n">
        <v>0</v>
      </c>
      <c r="J42" t="n">
        <v>0</v>
      </c>
      <c r="K42" t="n">
        <v>0</v>
      </c>
      <c r="L42" t="n">
        <v>0</v>
      </c>
      <c r="M42" t="n">
        <v>0</v>
      </c>
      <c r="N42" t="n">
        <v>0</v>
      </c>
      <c r="O42" t="n">
        <v>0</v>
      </c>
      <c r="P42" t="n">
        <v>0</v>
      </c>
      <c r="Q42" t="n">
        <v>1</v>
      </c>
      <c r="R42" s="2" t="inlineStr">
        <is>
          <t>Revlummer</t>
        </is>
      </c>
      <c r="S42">
        <f>HYPERLINK("https://klasma.github.io/Logging_0483/artfynd/A 56074-2022 artfynd.xlsx", "A 56074-2022")</f>
        <v/>
      </c>
      <c r="T42">
        <f>HYPERLINK("https://klasma.github.io/Logging_0483/kartor/A 56074-2022 karta.png", "A 56074-2022")</f>
        <v/>
      </c>
      <c r="V42">
        <f>HYPERLINK("https://klasma.github.io/Logging_0483/klagomål/A 56074-2022 FSC-klagomål.docx", "A 56074-2022")</f>
        <v/>
      </c>
      <c r="W42">
        <f>HYPERLINK("https://klasma.github.io/Logging_0483/klagomålsmail/A 56074-2022 FSC-klagomål mail.docx", "A 56074-2022")</f>
        <v/>
      </c>
      <c r="X42">
        <f>HYPERLINK("https://klasma.github.io/Logging_0483/tillsyn/A 56074-2022 tillsynsbegäran.docx", "A 56074-2022")</f>
        <v/>
      </c>
      <c r="Y42">
        <f>HYPERLINK("https://klasma.github.io/Logging_0483/tillsynsmail/A 56074-2022 tillsynsbegäran mail.docx", "A 56074-2022")</f>
        <v/>
      </c>
    </row>
    <row r="43" ht="15" customHeight="1">
      <c r="A43" t="inlineStr">
        <is>
          <t>A 28985-2022</t>
        </is>
      </c>
      <c r="B43" s="1" t="n">
        <v>44749</v>
      </c>
      <c r="C43" s="1" t="n">
        <v>45936</v>
      </c>
      <c r="D43" t="inlineStr">
        <is>
          <t>SÖDERMANLANDS LÄN</t>
        </is>
      </c>
      <c r="E43" t="inlineStr">
        <is>
          <t>KATRINEHOLM</t>
        </is>
      </c>
      <c r="G43" t="n">
        <v>6.4</v>
      </c>
      <c r="H43" t="n">
        <v>0</v>
      </c>
      <c r="I43" t="n">
        <v>0</v>
      </c>
      <c r="J43" t="n">
        <v>1</v>
      </c>
      <c r="K43" t="n">
        <v>0</v>
      </c>
      <c r="L43" t="n">
        <v>0</v>
      </c>
      <c r="M43" t="n">
        <v>0</v>
      </c>
      <c r="N43" t="n">
        <v>0</v>
      </c>
      <c r="O43" t="n">
        <v>1</v>
      </c>
      <c r="P43" t="n">
        <v>0</v>
      </c>
      <c r="Q43" t="n">
        <v>1</v>
      </c>
      <c r="R43" s="2" t="inlineStr">
        <is>
          <t>Igelkott</t>
        </is>
      </c>
      <c r="S43">
        <f>HYPERLINK("https://klasma.github.io/Logging_0483/artfynd/A 28985-2022 artfynd.xlsx", "A 28985-2022")</f>
        <v/>
      </c>
      <c r="T43">
        <f>HYPERLINK("https://klasma.github.io/Logging_0483/kartor/A 28985-2022 karta.png", "A 28985-2022")</f>
        <v/>
      </c>
      <c r="V43">
        <f>HYPERLINK("https://klasma.github.io/Logging_0483/klagomål/A 28985-2022 FSC-klagomål.docx", "A 28985-2022")</f>
        <v/>
      </c>
      <c r="W43">
        <f>HYPERLINK("https://klasma.github.io/Logging_0483/klagomålsmail/A 28985-2022 FSC-klagomål mail.docx", "A 28985-2022")</f>
        <v/>
      </c>
      <c r="X43">
        <f>HYPERLINK("https://klasma.github.io/Logging_0483/tillsyn/A 28985-2022 tillsynsbegäran.docx", "A 28985-2022")</f>
        <v/>
      </c>
      <c r="Y43">
        <f>HYPERLINK("https://klasma.github.io/Logging_0483/tillsynsmail/A 28985-2022 tillsynsbegäran mail.docx", "A 28985-2022")</f>
        <v/>
      </c>
    </row>
    <row r="44" ht="15" customHeight="1">
      <c r="A44" t="inlineStr">
        <is>
          <t>A 42745-2022</t>
        </is>
      </c>
      <c r="B44" s="1" t="n">
        <v>44831</v>
      </c>
      <c r="C44" s="1" t="n">
        <v>45936</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33801-2023</t>
        </is>
      </c>
      <c r="B45" s="1" t="n">
        <v>45133</v>
      </c>
      <c r="C45" s="1" t="n">
        <v>45936</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11890-2023</t>
        </is>
      </c>
      <c r="B46" s="1" t="n">
        <v>44995</v>
      </c>
      <c r="C46" s="1" t="n">
        <v>45936</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23568-2023</t>
        </is>
      </c>
      <c r="B47" s="1" t="n">
        <v>45077</v>
      </c>
      <c r="C47" s="1" t="n">
        <v>45936</v>
      </c>
      <c r="D47" t="inlineStr">
        <is>
          <t>SÖDERMANLANDS LÄN</t>
        </is>
      </c>
      <c r="E47" t="inlineStr">
        <is>
          <t>KATRINEHOLM</t>
        </is>
      </c>
      <c r="F47" t="inlineStr">
        <is>
          <t>Kommuner</t>
        </is>
      </c>
      <c r="G47" t="n">
        <v>1.4</v>
      </c>
      <c r="H47" t="n">
        <v>0</v>
      </c>
      <c r="I47" t="n">
        <v>0</v>
      </c>
      <c r="J47" t="n">
        <v>1</v>
      </c>
      <c r="K47" t="n">
        <v>0</v>
      </c>
      <c r="L47" t="n">
        <v>0</v>
      </c>
      <c r="M47" t="n">
        <v>0</v>
      </c>
      <c r="N47" t="n">
        <v>0</v>
      </c>
      <c r="O47" t="n">
        <v>1</v>
      </c>
      <c r="P47" t="n">
        <v>0</v>
      </c>
      <c r="Q47" t="n">
        <v>1</v>
      </c>
      <c r="R47" s="2" t="inlineStr">
        <is>
          <t>Fyrflikig jordstjärna</t>
        </is>
      </c>
      <c r="S47">
        <f>HYPERLINK("https://klasma.github.io/Logging_0483/artfynd/A 23568-2023 artfynd.xlsx", "A 23568-2023")</f>
        <v/>
      </c>
      <c r="T47">
        <f>HYPERLINK("https://klasma.github.io/Logging_0483/kartor/A 23568-2023 karta.png", "A 23568-2023")</f>
        <v/>
      </c>
      <c r="V47">
        <f>HYPERLINK("https://klasma.github.io/Logging_0483/klagomål/A 23568-2023 FSC-klagomål.docx", "A 23568-2023")</f>
        <v/>
      </c>
      <c r="W47">
        <f>HYPERLINK("https://klasma.github.io/Logging_0483/klagomålsmail/A 23568-2023 FSC-klagomål mail.docx", "A 23568-2023")</f>
        <v/>
      </c>
      <c r="X47">
        <f>HYPERLINK("https://klasma.github.io/Logging_0483/tillsyn/A 23568-2023 tillsynsbegäran.docx", "A 23568-2023")</f>
        <v/>
      </c>
      <c r="Y47">
        <f>HYPERLINK("https://klasma.github.io/Logging_0483/tillsynsmail/A 23568-2023 tillsynsbegäran mail.docx", "A 23568-2023")</f>
        <v/>
      </c>
    </row>
    <row r="48" ht="15" customHeight="1">
      <c r="A48" t="inlineStr">
        <is>
          <t>A 41980-2025</t>
        </is>
      </c>
      <c r="B48" s="1" t="n">
        <v>45903</v>
      </c>
      <c r="C48" s="1" t="n">
        <v>45936</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44413-2024</t>
        </is>
      </c>
      <c r="B49" s="1" t="n">
        <v>45573.77701388889</v>
      </c>
      <c r="C49" s="1" t="n">
        <v>45936</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53154-2023</t>
        </is>
      </c>
      <c r="B50" s="1" t="n">
        <v>45229</v>
      </c>
      <c r="C50" s="1" t="n">
        <v>45936</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Skogsduva</t>
        </is>
      </c>
      <c r="S50">
        <f>HYPERLINK("https://klasma.github.io/Logging_0483/artfynd/A 53154-2023 artfynd.xlsx", "A 53154-2023")</f>
        <v/>
      </c>
      <c r="T50">
        <f>HYPERLINK("https://klasma.github.io/Logging_0483/kartor/A 53154-2023 karta.png", "A 53154-2023")</f>
        <v/>
      </c>
      <c r="V50">
        <f>HYPERLINK("https://klasma.github.io/Logging_0483/klagomål/A 53154-2023 FSC-klagomål.docx", "A 53154-2023")</f>
        <v/>
      </c>
      <c r="W50">
        <f>HYPERLINK("https://klasma.github.io/Logging_0483/klagomålsmail/A 53154-2023 FSC-klagomål mail.docx", "A 53154-2023")</f>
        <v/>
      </c>
      <c r="X50">
        <f>HYPERLINK("https://klasma.github.io/Logging_0483/tillsyn/A 53154-2023 tillsynsbegäran.docx", "A 53154-2023")</f>
        <v/>
      </c>
      <c r="Y50">
        <f>HYPERLINK("https://klasma.github.io/Logging_0483/tillsynsmail/A 53154-2023 tillsynsbegäran mail.docx", "A 53154-2023")</f>
        <v/>
      </c>
      <c r="Z50">
        <f>HYPERLINK("https://klasma.github.io/Logging_0483/fåglar/A 53154-2023 prioriterade fågelarter.docx", "A 53154-2023")</f>
        <v/>
      </c>
    </row>
    <row r="51" ht="15" customHeight="1">
      <c r="A51" t="inlineStr">
        <is>
          <t>A 22474-2025</t>
        </is>
      </c>
      <c r="B51" s="1" t="n">
        <v>45786.62152777778</v>
      </c>
      <c r="C51" s="1" t="n">
        <v>45936</v>
      </c>
      <c r="D51" t="inlineStr">
        <is>
          <t>SÖDERMANLANDS LÄN</t>
        </is>
      </c>
      <c r="E51" t="inlineStr">
        <is>
          <t>KATRINEHOLM</t>
        </is>
      </c>
      <c r="F51" t="inlineStr">
        <is>
          <t>Övriga Aktiebolag</t>
        </is>
      </c>
      <c r="G51" t="n">
        <v>7.6</v>
      </c>
      <c r="H51" t="n">
        <v>1</v>
      </c>
      <c r="I51" t="n">
        <v>0</v>
      </c>
      <c r="J51" t="n">
        <v>0</v>
      </c>
      <c r="K51" t="n">
        <v>0</v>
      </c>
      <c r="L51" t="n">
        <v>0</v>
      </c>
      <c r="M51" t="n">
        <v>0</v>
      </c>
      <c r="N51" t="n">
        <v>0</v>
      </c>
      <c r="O51" t="n">
        <v>0</v>
      </c>
      <c r="P51" t="n">
        <v>0</v>
      </c>
      <c r="Q51" t="n">
        <v>1</v>
      </c>
      <c r="R51" s="2" t="inlineStr">
        <is>
          <t>Mattlummer</t>
        </is>
      </c>
      <c r="S51">
        <f>HYPERLINK("https://klasma.github.io/Logging_0483/artfynd/A 22474-2025 artfynd.xlsx", "A 22474-2025")</f>
        <v/>
      </c>
      <c r="T51">
        <f>HYPERLINK("https://klasma.github.io/Logging_0483/kartor/A 22474-2025 karta.png", "A 22474-2025")</f>
        <v/>
      </c>
      <c r="V51">
        <f>HYPERLINK("https://klasma.github.io/Logging_0483/klagomål/A 22474-2025 FSC-klagomål.docx", "A 22474-2025")</f>
        <v/>
      </c>
      <c r="W51">
        <f>HYPERLINK("https://klasma.github.io/Logging_0483/klagomålsmail/A 22474-2025 FSC-klagomål mail.docx", "A 22474-2025")</f>
        <v/>
      </c>
      <c r="X51">
        <f>HYPERLINK("https://klasma.github.io/Logging_0483/tillsyn/A 22474-2025 tillsynsbegäran.docx", "A 22474-2025")</f>
        <v/>
      </c>
      <c r="Y51">
        <f>HYPERLINK("https://klasma.github.io/Logging_0483/tillsynsmail/A 22474-2025 tillsynsbegäran mail.docx", "A 22474-2025")</f>
        <v/>
      </c>
    </row>
    <row r="52" ht="15" customHeight="1">
      <c r="A52" t="inlineStr">
        <is>
          <t>A 57519-2021</t>
        </is>
      </c>
      <c r="B52" s="1" t="n">
        <v>44483</v>
      </c>
      <c r="C52" s="1" t="n">
        <v>45936</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44486-2023</t>
        </is>
      </c>
      <c r="B53" s="1" t="n">
        <v>45183</v>
      </c>
      <c r="C53" s="1" t="n">
        <v>45936</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27926-2025</t>
        </is>
      </c>
      <c r="B54" s="1" t="n">
        <v>45814</v>
      </c>
      <c r="C54" s="1" t="n">
        <v>45936</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6076-2022</t>
        </is>
      </c>
      <c r="B55" s="1" t="n">
        <v>44599</v>
      </c>
      <c r="C55" s="1" t="n">
        <v>45936</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35163-2025</t>
        </is>
      </c>
      <c r="B56" s="1" t="n">
        <v>45852.71136574074</v>
      </c>
      <c r="C56" s="1" t="n">
        <v>45936</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36220-2022</t>
        </is>
      </c>
      <c r="B57" s="1" t="n">
        <v>44803</v>
      </c>
      <c r="C57" s="1" t="n">
        <v>45936</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36856-2021</t>
        </is>
      </c>
      <c r="B58" s="1" t="n">
        <v>44393</v>
      </c>
      <c r="C58" s="1" t="n">
        <v>45936</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45936</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45936</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45936</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45936</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45936</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45936</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45936</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45936</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45936</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45936</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45936</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45936</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45936</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45936</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45936</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45936</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45936</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45936</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45936</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45936</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45936</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45936</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45936</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45936</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45936</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45936</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45936</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45936</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45936</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45936</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45936</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45936</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45936</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45936</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45936</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45936</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45936</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45936</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45936</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45936</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45936</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45936</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45936</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45936</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45936</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45936</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45936</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45936</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45936</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45936</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45936</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45936</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45936</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45936</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45936</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45936</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45936</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45936</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45936</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45936</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45936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45936</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45936</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45936</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45936</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45936</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45936</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45936</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45936</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45936</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45936</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45936</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45936</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45936</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45936</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45936</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45936</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45936</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45936</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45936</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45936</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45936</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45936</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45936</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45936</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45936</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45936</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45936</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6533-2022</t>
        </is>
      </c>
      <c r="B147" s="1" t="n">
        <v>44601</v>
      </c>
      <c r="C147" s="1" t="n">
        <v>45936</v>
      </c>
      <c r="D147" t="inlineStr">
        <is>
          <t>SÖDERMANLANDS LÄN</t>
        </is>
      </c>
      <c r="E147" t="inlineStr">
        <is>
          <t>KATRINEHOLM</t>
        </is>
      </c>
      <c r="G147" t="n">
        <v>0.4</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45936</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45936</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45936</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45936</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45936</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45936</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45936</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45936</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45936</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45936</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45936</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67351-2021</t>
        </is>
      </c>
      <c r="B159" s="1" t="n">
        <v>44523</v>
      </c>
      <c r="C159" s="1" t="n">
        <v>45936</v>
      </c>
      <c r="D159" t="inlineStr">
        <is>
          <t>SÖDERMANLANDS LÄN</t>
        </is>
      </c>
      <c r="E159" t="inlineStr">
        <is>
          <t>KATRINEHOLM</t>
        </is>
      </c>
      <c r="G159" t="n">
        <v>5.4</v>
      </c>
      <c r="H159" t="n">
        <v>0</v>
      </c>
      <c r="I159" t="n">
        <v>0</v>
      </c>
      <c r="J159" t="n">
        <v>0</v>
      </c>
      <c r="K159" t="n">
        <v>0</v>
      </c>
      <c r="L159" t="n">
        <v>0</v>
      </c>
      <c r="M159" t="n">
        <v>0</v>
      </c>
      <c r="N159" t="n">
        <v>0</v>
      </c>
      <c r="O159" t="n">
        <v>0</v>
      </c>
      <c r="P159" t="n">
        <v>0</v>
      </c>
      <c r="Q159" t="n">
        <v>0</v>
      </c>
      <c r="R159" s="2" t="inlineStr"/>
    </row>
    <row r="160" ht="15" customHeight="1">
      <c r="A160" t="inlineStr">
        <is>
          <t>A 32733-2021</t>
        </is>
      </c>
      <c r="B160" s="1" t="n">
        <v>44375</v>
      </c>
      <c r="C160" s="1" t="n">
        <v>45936</v>
      </c>
      <c r="D160" t="inlineStr">
        <is>
          <t>SÖDERMANLANDS LÄN</t>
        </is>
      </c>
      <c r="E160" t="inlineStr">
        <is>
          <t>KATRINEHOLM</t>
        </is>
      </c>
      <c r="G160" t="n">
        <v>9</v>
      </c>
      <c r="H160" t="n">
        <v>0</v>
      </c>
      <c r="I160" t="n">
        <v>0</v>
      </c>
      <c r="J160" t="n">
        <v>0</v>
      </c>
      <c r="K160" t="n">
        <v>0</v>
      </c>
      <c r="L160" t="n">
        <v>0</v>
      </c>
      <c r="M160" t="n">
        <v>0</v>
      </c>
      <c r="N160" t="n">
        <v>0</v>
      </c>
      <c r="O160" t="n">
        <v>0</v>
      </c>
      <c r="P160" t="n">
        <v>0</v>
      </c>
      <c r="Q160" t="n">
        <v>0</v>
      </c>
      <c r="R160" s="2" t="inlineStr"/>
      <c r="U160">
        <f>HYPERLINK("https://klasma.github.io/Logging_0483/knärot/A 32733-2021 karta knärot.png", "A 32733-2021")</f>
        <v/>
      </c>
      <c r="V160">
        <f>HYPERLINK("https://klasma.github.io/Logging_0483/klagomål/A 32733-2021 FSC-klagomål.docx", "A 32733-2021")</f>
        <v/>
      </c>
      <c r="W160">
        <f>HYPERLINK("https://klasma.github.io/Logging_0483/klagomålsmail/A 32733-2021 FSC-klagomål mail.docx", "A 32733-2021")</f>
        <v/>
      </c>
      <c r="X160">
        <f>HYPERLINK("https://klasma.github.io/Logging_0483/tillsyn/A 32733-2021 tillsynsbegäran.docx", "A 32733-2021")</f>
        <v/>
      </c>
      <c r="Y160">
        <f>HYPERLINK("https://klasma.github.io/Logging_0483/tillsynsmail/A 32733-2021 tillsynsbegäran mail.docx", "A 32733-2021")</f>
        <v/>
      </c>
    </row>
    <row r="161" ht="15" customHeight="1">
      <c r="A161" t="inlineStr">
        <is>
          <t>A 2877-2022</t>
        </is>
      </c>
      <c r="B161" s="1" t="n">
        <v>44581</v>
      </c>
      <c r="C161" s="1" t="n">
        <v>45936</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57745-2020</t>
        </is>
      </c>
      <c r="B162" s="1" t="n">
        <v>44141</v>
      </c>
      <c r="C162" s="1" t="n">
        <v>45936</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33753-2022</t>
        </is>
      </c>
      <c r="B163" s="1" t="n">
        <v>44789</v>
      </c>
      <c r="C163" s="1" t="n">
        <v>45936</v>
      </c>
      <c r="D163" t="inlineStr">
        <is>
          <t>SÖDERMANLANDS LÄN</t>
        </is>
      </c>
      <c r="E163" t="inlineStr">
        <is>
          <t>KATRINEHOLM</t>
        </is>
      </c>
      <c r="G163" t="n">
        <v>4.9</v>
      </c>
      <c r="H163" t="n">
        <v>0</v>
      </c>
      <c r="I163" t="n">
        <v>0</v>
      </c>
      <c r="J163" t="n">
        <v>0</v>
      </c>
      <c r="K163" t="n">
        <v>0</v>
      </c>
      <c r="L163" t="n">
        <v>0</v>
      </c>
      <c r="M163" t="n">
        <v>0</v>
      </c>
      <c r="N163" t="n">
        <v>0</v>
      </c>
      <c r="O163" t="n">
        <v>0</v>
      </c>
      <c r="P163" t="n">
        <v>0</v>
      </c>
      <c r="Q163" t="n">
        <v>0</v>
      </c>
      <c r="R163" s="2" t="inlineStr"/>
    </row>
    <row r="164" ht="15" customHeight="1">
      <c r="A164" t="inlineStr">
        <is>
          <t>A 24098-2022</t>
        </is>
      </c>
      <c r="B164" s="1" t="n">
        <v>44725</v>
      </c>
      <c r="C164" s="1" t="n">
        <v>45936</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45936</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45936</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64633-2020</t>
        </is>
      </c>
      <c r="B167" s="1" t="n">
        <v>44169</v>
      </c>
      <c r="C167" s="1" t="n">
        <v>45936</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12760-2021</t>
        </is>
      </c>
      <c r="B168" s="1" t="n">
        <v>44270</v>
      </c>
      <c r="C168" s="1" t="n">
        <v>45936</v>
      </c>
      <c r="D168" t="inlineStr">
        <is>
          <t>SÖDERMANLANDS LÄN</t>
        </is>
      </c>
      <c r="E168" t="inlineStr">
        <is>
          <t>KATRINEHOLM</t>
        </is>
      </c>
      <c r="F168" t="inlineStr">
        <is>
          <t>Kyrkan</t>
        </is>
      </c>
      <c r="G168" t="n">
        <v>1.2</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44795.44392361111</v>
      </c>
      <c r="C169" s="1" t="n">
        <v>45936</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12068-2021</t>
        </is>
      </c>
      <c r="B170" s="1" t="n">
        <v>44266</v>
      </c>
      <c r="C170" s="1" t="n">
        <v>45936</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65162-2021</t>
        </is>
      </c>
      <c r="B171" s="1" t="n">
        <v>44512</v>
      </c>
      <c r="C171" s="1" t="n">
        <v>45936</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30567-2022</t>
        </is>
      </c>
      <c r="B172" s="1" t="n">
        <v>44762</v>
      </c>
      <c r="C172" s="1" t="n">
        <v>45936</v>
      </c>
      <c r="D172" t="inlineStr">
        <is>
          <t>SÖDERMANLANDS LÄN</t>
        </is>
      </c>
      <c r="E172" t="inlineStr">
        <is>
          <t>KATRINEHOLM</t>
        </is>
      </c>
      <c r="F172" t="inlineStr">
        <is>
          <t>Övriga Aktiebolag</t>
        </is>
      </c>
      <c r="G172" t="n">
        <v>0.5</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45936</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41642-2022</t>
        </is>
      </c>
      <c r="B174" s="1" t="n">
        <v>44827</v>
      </c>
      <c r="C174" s="1" t="n">
        <v>45936</v>
      </c>
      <c r="D174" t="inlineStr">
        <is>
          <t>SÖDERMANLANDS LÄN</t>
        </is>
      </c>
      <c r="E174" t="inlineStr">
        <is>
          <t>KATRINEHOLM</t>
        </is>
      </c>
      <c r="G174" t="n">
        <v>2.4</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45936</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34040-2022</t>
        </is>
      </c>
      <c r="B176" s="1" t="n">
        <v>44790</v>
      </c>
      <c r="C176" s="1" t="n">
        <v>45936</v>
      </c>
      <c r="D176" t="inlineStr">
        <is>
          <t>SÖDERMANLANDS LÄN</t>
        </is>
      </c>
      <c r="E176" t="inlineStr">
        <is>
          <t>KATRINEHOLM</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45936</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45147-2021</t>
        </is>
      </c>
      <c r="B178" s="1" t="n">
        <v>44439</v>
      </c>
      <c r="C178" s="1" t="n">
        <v>45936</v>
      </c>
      <c r="D178" t="inlineStr">
        <is>
          <t>SÖDERMANLANDS LÄN</t>
        </is>
      </c>
      <c r="E178" t="inlineStr">
        <is>
          <t>KATRINEHOLM</t>
        </is>
      </c>
      <c r="G178" t="n">
        <v>3.2</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45936</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45936</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45936</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4767-2021</t>
        </is>
      </c>
      <c r="B182" s="1" t="n">
        <v>44225</v>
      </c>
      <c r="C182" s="1" t="n">
        <v>45936</v>
      </c>
      <c r="D182" t="inlineStr">
        <is>
          <t>SÖDERMANLANDS LÄN</t>
        </is>
      </c>
      <c r="E182" t="inlineStr">
        <is>
          <t>KATRINEHOLM</t>
        </is>
      </c>
      <c r="G182" t="n">
        <v>3.8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45936</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45936</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50061-2022</t>
        </is>
      </c>
      <c r="B185" s="1" t="n">
        <v>44865</v>
      </c>
      <c r="C185" s="1" t="n">
        <v>45936</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30333-2023</t>
        </is>
      </c>
      <c r="B186" s="1" t="n">
        <v>45111</v>
      </c>
      <c r="C186" s="1" t="n">
        <v>45936</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6628-2022</t>
        </is>
      </c>
      <c r="B187" s="1" t="n">
        <v>44601.78850694445</v>
      </c>
      <c r="C187" s="1" t="n">
        <v>45936</v>
      </c>
      <c r="D187" t="inlineStr">
        <is>
          <t>SÖDERMANLANDS LÄN</t>
        </is>
      </c>
      <c r="E187" t="inlineStr">
        <is>
          <t>KATRINEHOLM</t>
        </is>
      </c>
      <c r="G187" t="n">
        <v>0.6</v>
      </c>
      <c r="H187" t="n">
        <v>0</v>
      </c>
      <c r="I187" t="n">
        <v>0</v>
      </c>
      <c r="J187" t="n">
        <v>0</v>
      </c>
      <c r="K187" t="n">
        <v>0</v>
      </c>
      <c r="L187" t="n">
        <v>0</v>
      </c>
      <c r="M187" t="n">
        <v>0</v>
      </c>
      <c r="N187" t="n">
        <v>0</v>
      </c>
      <c r="O187" t="n">
        <v>0</v>
      </c>
      <c r="P187" t="n">
        <v>0</v>
      </c>
      <c r="Q187" t="n">
        <v>0</v>
      </c>
      <c r="R187" s="2" t="inlineStr"/>
    </row>
    <row r="188" ht="15" customHeight="1">
      <c r="A188" t="inlineStr">
        <is>
          <t>A 39120-2023</t>
        </is>
      </c>
      <c r="B188" s="1" t="n">
        <v>45165</v>
      </c>
      <c r="C188" s="1" t="n">
        <v>45936</v>
      </c>
      <c r="D188" t="inlineStr">
        <is>
          <t>SÖDERMANLANDS LÄN</t>
        </is>
      </c>
      <c r="E188" t="inlineStr">
        <is>
          <t>KATRINEHOLM</t>
        </is>
      </c>
      <c r="G188" t="n">
        <v>4.4</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45936</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45936</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24287-2024</t>
        </is>
      </c>
      <c r="B191" s="1" t="n">
        <v>45457</v>
      </c>
      <c r="C191" s="1" t="n">
        <v>45936</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45936</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66801-2021</t>
        </is>
      </c>
      <c r="B193" s="1" t="n">
        <v>44522</v>
      </c>
      <c r="C193" s="1" t="n">
        <v>45936</v>
      </c>
      <c r="D193" t="inlineStr">
        <is>
          <t>SÖDERMANLANDS LÄN</t>
        </is>
      </c>
      <c r="E193" t="inlineStr">
        <is>
          <t>KATRINEHOLM</t>
        </is>
      </c>
      <c r="F193" t="inlineStr">
        <is>
          <t>Holmen skog AB</t>
        </is>
      </c>
      <c r="G193" t="n">
        <v>0.2</v>
      </c>
      <c r="H193" t="n">
        <v>0</v>
      </c>
      <c r="I193" t="n">
        <v>0</v>
      </c>
      <c r="J193" t="n">
        <v>0</v>
      </c>
      <c r="K193" t="n">
        <v>0</v>
      </c>
      <c r="L193" t="n">
        <v>0</v>
      </c>
      <c r="M193" t="n">
        <v>0</v>
      </c>
      <c r="N193" t="n">
        <v>0</v>
      </c>
      <c r="O193" t="n">
        <v>0</v>
      </c>
      <c r="P193" t="n">
        <v>0</v>
      </c>
      <c r="Q193" t="n">
        <v>0</v>
      </c>
      <c r="R193" s="2" t="inlineStr"/>
    </row>
    <row r="194" ht="15" customHeight="1">
      <c r="A194" t="inlineStr">
        <is>
          <t>A 40393-2022</t>
        </is>
      </c>
      <c r="B194" s="1" t="n">
        <v>44823</v>
      </c>
      <c r="C194" s="1" t="n">
        <v>45936</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36964-2021</t>
        </is>
      </c>
      <c r="B195" s="1" t="n">
        <v>44393</v>
      </c>
      <c r="C195" s="1" t="n">
        <v>45936</v>
      </c>
      <c r="D195" t="inlineStr">
        <is>
          <t>SÖDERMANLANDS LÄN</t>
        </is>
      </c>
      <c r="E195" t="inlineStr">
        <is>
          <t>KATRINEHOLM</t>
        </is>
      </c>
      <c r="G195" t="n">
        <v>3.5</v>
      </c>
      <c r="H195" t="n">
        <v>0</v>
      </c>
      <c r="I195" t="n">
        <v>0</v>
      </c>
      <c r="J195" t="n">
        <v>0</v>
      </c>
      <c r="K195" t="n">
        <v>0</v>
      </c>
      <c r="L195" t="n">
        <v>0</v>
      </c>
      <c r="M195" t="n">
        <v>0</v>
      </c>
      <c r="N195" t="n">
        <v>0</v>
      </c>
      <c r="O195" t="n">
        <v>0</v>
      </c>
      <c r="P195" t="n">
        <v>0</v>
      </c>
      <c r="Q195" t="n">
        <v>0</v>
      </c>
      <c r="R195" s="2" t="inlineStr"/>
    </row>
    <row r="196" ht="15" customHeight="1">
      <c r="A196" t="inlineStr">
        <is>
          <t>A 30981-2022</t>
        </is>
      </c>
      <c r="B196" s="1" t="n">
        <v>44768</v>
      </c>
      <c r="C196" s="1" t="n">
        <v>45936</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38607-2021</t>
        </is>
      </c>
      <c r="B197" s="1" t="n">
        <v>44409.41428240741</v>
      </c>
      <c r="C197" s="1" t="n">
        <v>45936</v>
      </c>
      <c r="D197" t="inlineStr">
        <is>
          <t>SÖDERMANLANDS LÄN</t>
        </is>
      </c>
      <c r="E197" t="inlineStr">
        <is>
          <t>KATRINEHOLM</t>
        </is>
      </c>
      <c r="G197" t="n">
        <v>2.9</v>
      </c>
      <c r="H197" t="n">
        <v>0</v>
      </c>
      <c r="I197" t="n">
        <v>0</v>
      </c>
      <c r="J197" t="n">
        <v>0</v>
      </c>
      <c r="K197" t="n">
        <v>0</v>
      </c>
      <c r="L197" t="n">
        <v>0</v>
      </c>
      <c r="M197" t="n">
        <v>0</v>
      </c>
      <c r="N197" t="n">
        <v>0</v>
      </c>
      <c r="O197" t="n">
        <v>0</v>
      </c>
      <c r="P197" t="n">
        <v>0</v>
      </c>
      <c r="Q197" t="n">
        <v>0</v>
      </c>
      <c r="R197" s="2" t="inlineStr"/>
    </row>
    <row r="198" ht="15" customHeight="1">
      <c r="A198" t="inlineStr">
        <is>
          <t>A 45038-2022</t>
        </is>
      </c>
      <c r="B198" s="1" t="n">
        <v>44840</v>
      </c>
      <c r="C198" s="1" t="n">
        <v>45936</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33934-2022</t>
        </is>
      </c>
      <c r="B199" s="1" t="n">
        <v>44790</v>
      </c>
      <c r="C199" s="1" t="n">
        <v>45936</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45936</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74354-2021</t>
        </is>
      </c>
      <c r="B201" s="1" t="n">
        <v>44559.57041666667</v>
      </c>
      <c r="C201" s="1" t="n">
        <v>45936</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38606-2021</t>
        </is>
      </c>
      <c r="B202" s="1" t="n">
        <v>44409.40363425926</v>
      </c>
      <c r="C202" s="1" t="n">
        <v>45936</v>
      </c>
      <c r="D202" t="inlineStr">
        <is>
          <t>SÖDERMANLANDS LÄN</t>
        </is>
      </c>
      <c r="E202" t="inlineStr">
        <is>
          <t>KATRINEHOLM</t>
        </is>
      </c>
      <c r="G202" t="n">
        <v>2.2</v>
      </c>
      <c r="H202" t="n">
        <v>0</v>
      </c>
      <c r="I202" t="n">
        <v>0</v>
      </c>
      <c r="J202" t="n">
        <v>0</v>
      </c>
      <c r="K202" t="n">
        <v>0</v>
      </c>
      <c r="L202" t="n">
        <v>0</v>
      </c>
      <c r="M202" t="n">
        <v>0</v>
      </c>
      <c r="N202" t="n">
        <v>0</v>
      </c>
      <c r="O202" t="n">
        <v>0</v>
      </c>
      <c r="P202" t="n">
        <v>0</v>
      </c>
      <c r="Q202" t="n">
        <v>0</v>
      </c>
      <c r="R202" s="2" t="inlineStr"/>
    </row>
    <row r="203" ht="15" customHeight="1">
      <c r="A203" t="inlineStr">
        <is>
          <t>A 9699-2024</t>
        </is>
      </c>
      <c r="B203" s="1" t="n">
        <v>45362</v>
      </c>
      <c r="C203" s="1" t="n">
        <v>45936</v>
      </c>
      <c r="D203" t="inlineStr">
        <is>
          <t>SÖDERMANLANDS LÄN</t>
        </is>
      </c>
      <c r="E203" t="inlineStr">
        <is>
          <t>KATRINEHOLM</t>
        </is>
      </c>
      <c r="G203" t="n">
        <v>7.7</v>
      </c>
      <c r="H203" t="n">
        <v>0</v>
      </c>
      <c r="I203" t="n">
        <v>0</v>
      </c>
      <c r="J203" t="n">
        <v>0</v>
      </c>
      <c r="K203" t="n">
        <v>0</v>
      </c>
      <c r="L203" t="n">
        <v>0</v>
      </c>
      <c r="M203" t="n">
        <v>0</v>
      </c>
      <c r="N203" t="n">
        <v>0</v>
      </c>
      <c r="O203" t="n">
        <v>0</v>
      </c>
      <c r="P203" t="n">
        <v>0</v>
      </c>
      <c r="Q203" t="n">
        <v>0</v>
      </c>
      <c r="R203" s="2" t="inlineStr"/>
    </row>
    <row r="204" ht="15" customHeight="1">
      <c r="A204" t="inlineStr">
        <is>
          <t>A 33001-2024</t>
        </is>
      </c>
      <c r="B204" s="1" t="n">
        <v>45517</v>
      </c>
      <c r="C204" s="1" t="n">
        <v>45936</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10732-2022</t>
        </is>
      </c>
      <c r="B205" s="1" t="n">
        <v>44627.34033564815</v>
      </c>
      <c r="C205" s="1" t="n">
        <v>45936</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6789-2022</t>
        </is>
      </c>
      <c r="B206" s="1" t="n">
        <v>44602</v>
      </c>
      <c r="C206" s="1" t="n">
        <v>45936</v>
      </c>
      <c r="D206" t="inlineStr">
        <is>
          <t>SÖDERMANLANDS LÄN</t>
        </is>
      </c>
      <c r="E206" t="inlineStr">
        <is>
          <t>KATRINEHOLM</t>
        </is>
      </c>
      <c r="G206" t="n">
        <v>4.6</v>
      </c>
      <c r="H206" t="n">
        <v>0</v>
      </c>
      <c r="I206" t="n">
        <v>0</v>
      </c>
      <c r="J206" t="n">
        <v>0</v>
      </c>
      <c r="K206" t="n">
        <v>0</v>
      </c>
      <c r="L206" t="n">
        <v>0</v>
      </c>
      <c r="M206" t="n">
        <v>0</v>
      </c>
      <c r="N206" t="n">
        <v>0</v>
      </c>
      <c r="O206" t="n">
        <v>0</v>
      </c>
      <c r="P206" t="n">
        <v>0</v>
      </c>
      <c r="Q206" t="n">
        <v>0</v>
      </c>
      <c r="R206" s="2" t="inlineStr"/>
    </row>
    <row r="207" ht="15" customHeight="1">
      <c r="A207" t="inlineStr">
        <is>
          <t>A 21576-2022</t>
        </is>
      </c>
      <c r="B207" s="1" t="n">
        <v>44706</v>
      </c>
      <c r="C207" s="1" t="n">
        <v>45936</v>
      </c>
      <c r="D207" t="inlineStr">
        <is>
          <t>SÖDERMANLANDS LÄN</t>
        </is>
      </c>
      <c r="E207" t="inlineStr">
        <is>
          <t>KATRINEHOLM</t>
        </is>
      </c>
      <c r="G207" t="n">
        <v>4.2</v>
      </c>
      <c r="H207" t="n">
        <v>0</v>
      </c>
      <c r="I207" t="n">
        <v>0</v>
      </c>
      <c r="J207" t="n">
        <v>0</v>
      </c>
      <c r="K207" t="n">
        <v>0</v>
      </c>
      <c r="L207" t="n">
        <v>0</v>
      </c>
      <c r="M207" t="n">
        <v>0</v>
      </c>
      <c r="N207" t="n">
        <v>0</v>
      </c>
      <c r="O207" t="n">
        <v>0</v>
      </c>
      <c r="P207" t="n">
        <v>0</v>
      </c>
      <c r="Q207" t="n">
        <v>0</v>
      </c>
      <c r="R207" s="2" t="inlineStr"/>
    </row>
    <row r="208" ht="15" customHeight="1">
      <c r="A208" t="inlineStr">
        <is>
          <t>A 43967-2022</t>
        </is>
      </c>
      <c r="B208" s="1" t="n">
        <v>44837</v>
      </c>
      <c r="C208" s="1" t="n">
        <v>45936</v>
      </c>
      <c r="D208" t="inlineStr">
        <is>
          <t>SÖDERMANLANDS LÄN</t>
        </is>
      </c>
      <c r="E208" t="inlineStr">
        <is>
          <t>KATRINEHOLM</t>
        </is>
      </c>
      <c r="G208" t="n">
        <v>6.2</v>
      </c>
      <c r="H208" t="n">
        <v>0</v>
      </c>
      <c r="I208" t="n">
        <v>0</v>
      </c>
      <c r="J208" t="n">
        <v>0</v>
      </c>
      <c r="K208" t="n">
        <v>0</v>
      </c>
      <c r="L208" t="n">
        <v>0</v>
      </c>
      <c r="M208" t="n">
        <v>0</v>
      </c>
      <c r="N208" t="n">
        <v>0</v>
      </c>
      <c r="O208" t="n">
        <v>0</v>
      </c>
      <c r="P208" t="n">
        <v>0</v>
      </c>
      <c r="Q208" t="n">
        <v>0</v>
      </c>
      <c r="R208" s="2" t="inlineStr"/>
    </row>
    <row r="209" ht="15" customHeight="1">
      <c r="A209" t="inlineStr">
        <is>
          <t>A 44012-2022</t>
        </is>
      </c>
      <c r="B209" s="1" t="n">
        <v>44838</v>
      </c>
      <c r="C209" s="1" t="n">
        <v>45936</v>
      </c>
      <c r="D209" t="inlineStr">
        <is>
          <t>SÖDERMANLANDS LÄN</t>
        </is>
      </c>
      <c r="E209" t="inlineStr">
        <is>
          <t>KATRINEHOLM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48259-2022</t>
        </is>
      </c>
      <c r="B210" s="1" t="n">
        <v>44858</v>
      </c>
      <c r="C210" s="1" t="n">
        <v>45936</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50316-2023</t>
        </is>
      </c>
      <c r="B211" s="1" t="n">
        <v>45209</v>
      </c>
      <c r="C211" s="1" t="n">
        <v>45936</v>
      </c>
      <c r="D211" t="inlineStr">
        <is>
          <t>SÖDERMANLANDS LÄN</t>
        </is>
      </c>
      <c r="E211" t="inlineStr">
        <is>
          <t>KATRINEHOLM</t>
        </is>
      </c>
      <c r="G211" t="n">
        <v>1.9</v>
      </c>
      <c r="H211" t="n">
        <v>0</v>
      </c>
      <c r="I211" t="n">
        <v>0</v>
      </c>
      <c r="J211" t="n">
        <v>0</v>
      </c>
      <c r="K211" t="n">
        <v>0</v>
      </c>
      <c r="L211" t="n">
        <v>0</v>
      </c>
      <c r="M211" t="n">
        <v>0</v>
      </c>
      <c r="N211" t="n">
        <v>0</v>
      </c>
      <c r="O211" t="n">
        <v>0</v>
      </c>
      <c r="P211" t="n">
        <v>0</v>
      </c>
      <c r="Q211" t="n">
        <v>0</v>
      </c>
      <c r="R211" s="2" t="inlineStr"/>
    </row>
    <row r="212" ht="15" customHeight="1">
      <c r="A212" t="inlineStr">
        <is>
          <t>A 7240-2021</t>
        </is>
      </c>
      <c r="B212" s="1" t="n">
        <v>44238</v>
      </c>
      <c r="C212" s="1" t="n">
        <v>45936</v>
      </c>
      <c r="D212" t="inlineStr">
        <is>
          <t>SÖDERMANLANDS LÄN</t>
        </is>
      </c>
      <c r="E212" t="inlineStr">
        <is>
          <t>KATRINEHOLM</t>
        </is>
      </c>
      <c r="G212" t="n">
        <v>1.8</v>
      </c>
      <c r="H212" t="n">
        <v>0</v>
      </c>
      <c r="I212" t="n">
        <v>0</v>
      </c>
      <c r="J212" t="n">
        <v>0</v>
      </c>
      <c r="K212" t="n">
        <v>0</v>
      </c>
      <c r="L212" t="n">
        <v>0</v>
      </c>
      <c r="M212" t="n">
        <v>0</v>
      </c>
      <c r="N212" t="n">
        <v>0</v>
      </c>
      <c r="O212" t="n">
        <v>0</v>
      </c>
      <c r="P212" t="n">
        <v>0</v>
      </c>
      <c r="Q212" t="n">
        <v>0</v>
      </c>
      <c r="R212" s="2" t="inlineStr"/>
    </row>
    <row r="213" ht="15" customHeight="1">
      <c r="A213" t="inlineStr">
        <is>
          <t>A 51404-2023</t>
        </is>
      </c>
      <c r="B213" s="1" t="n">
        <v>45214</v>
      </c>
      <c r="C213" s="1" t="n">
        <v>45936</v>
      </c>
      <c r="D213" t="inlineStr">
        <is>
          <t>SÖDERMANLANDS LÄN</t>
        </is>
      </c>
      <c r="E213" t="inlineStr">
        <is>
          <t>KATRINEHOLM</t>
        </is>
      </c>
      <c r="G213" t="n">
        <v>9</v>
      </c>
      <c r="H213" t="n">
        <v>0</v>
      </c>
      <c r="I213" t="n">
        <v>0</v>
      </c>
      <c r="J213" t="n">
        <v>0</v>
      </c>
      <c r="K213" t="n">
        <v>0</v>
      </c>
      <c r="L213" t="n">
        <v>0</v>
      </c>
      <c r="M213" t="n">
        <v>0</v>
      </c>
      <c r="N213" t="n">
        <v>0</v>
      </c>
      <c r="O213" t="n">
        <v>0</v>
      </c>
      <c r="P213" t="n">
        <v>0</v>
      </c>
      <c r="Q213" t="n">
        <v>0</v>
      </c>
      <c r="R213" s="2" t="inlineStr"/>
    </row>
    <row r="214" ht="15" customHeight="1">
      <c r="A214" t="inlineStr">
        <is>
          <t>A 51835-2022</t>
        </is>
      </c>
      <c r="B214" s="1" t="n">
        <v>44872.57288194444</v>
      </c>
      <c r="C214" s="1" t="n">
        <v>45936</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55034-2021</t>
        </is>
      </c>
      <c r="B215" s="1" t="n">
        <v>44474</v>
      </c>
      <c r="C215" s="1" t="n">
        <v>45936</v>
      </c>
      <c r="D215" t="inlineStr">
        <is>
          <t>SÖDERMANLANDS LÄN</t>
        </is>
      </c>
      <c r="E215" t="inlineStr">
        <is>
          <t>KATRINEHOLM</t>
        </is>
      </c>
      <c r="G215" t="n">
        <v>5</v>
      </c>
      <c r="H215" t="n">
        <v>0</v>
      </c>
      <c r="I215" t="n">
        <v>0</v>
      </c>
      <c r="J215" t="n">
        <v>0</v>
      </c>
      <c r="K215" t="n">
        <v>0</v>
      </c>
      <c r="L215" t="n">
        <v>0</v>
      </c>
      <c r="M215" t="n">
        <v>0</v>
      </c>
      <c r="N215" t="n">
        <v>0</v>
      </c>
      <c r="O215" t="n">
        <v>0</v>
      </c>
      <c r="P215" t="n">
        <v>0</v>
      </c>
      <c r="Q215" t="n">
        <v>0</v>
      </c>
      <c r="R215" s="2" t="inlineStr"/>
    </row>
    <row r="216" ht="15" customHeight="1">
      <c r="A216" t="inlineStr">
        <is>
          <t>A 69117-2021</t>
        </is>
      </c>
      <c r="B216" s="1" t="n">
        <v>44530.82445601852</v>
      </c>
      <c r="C216" s="1" t="n">
        <v>45936</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29397-2024</t>
        </is>
      </c>
      <c r="B217" s="1" t="n">
        <v>45483</v>
      </c>
      <c r="C217" s="1" t="n">
        <v>45936</v>
      </c>
      <c r="D217" t="inlineStr">
        <is>
          <t>SÖDERMANLANDS LÄN</t>
        </is>
      </c>
      <c r="E217" t="inlineStr">
        <is>
          <t>KATRINEHOLM</t>
        </is>
      </c>
      <c r="G217" t="n">
        <v>3.4</v>
      </c>
      <c r="H217" t="n">
        <v>0</v>
      </c>
      <c r="I217" t="n">
        <v>0</v>
      </c>
      <c r="J217" t="n">
        <v>0</v>
      </c>
      <c r="K217" t="n">
        <v>0</v>
      </c>
      <c r="L217" t="n">
        <v>0</v>
      </c>
      <c r="M217" t="n">
        <v>0</v>
      </c>
      <c r="N217" t="n">
        <v>0</v>
      </c>
      <c r="O217" t="n">
        <v>0</v>
      </c>
      <c r="P217" t="n">
        <v>0</v>
      </c>
      <c r="Q217" t="n">
        <v>0</v>
      </c>
      <c r="R217" s="2" t="inlineStr"/>
    </row>
    <row r="218" ht="15" customHeight="1">
      <c r="A218" t="inlineStr">
        <is>
          <t>A 12559-2023</t>
        </is>
      </c>
      <c r="B218" s="1" t="n">
        <v>45000.36373842593</v>
      </c>
      <c r="C218" s="1" t="n">
        <v>45936</v>
      </c>
      <c r="D218" t="inlineStr">
        <is>
          <t>SÖDERMANLANDS LÄN</t>
        </is>
      </c>
      <c r="E218" t="inlineStr">
        <is>
          <t>KATRINEHOLM</t>
        </is>
      </c>
      <c r="G218" t="n">
        <v>0.8</v>
      </c>
      <c r="H218" t="n">
        <v>0</v>
      </c>
      <c r="I218" t="n">
        <v>0</v>
      </c>
      <c r="J218" t="n">
        <v>0</v>
      </c>
      <c r="K218" t="n">
        <v>0</v>
      </c>
      <c r="L218" t="n">
        <v>0</v>
      </c>
      <c r="M218" t="n">
        <v>0</v>
      </c>
      <c r="N218" t="n">
        <v>0</v>
      </c>
      <c r="O218" t="n">
        <v>0</v>
      </c>
      <c r="P218" t="n">
        <v>0</v>
      </c>
      <c r="Q218" t="n">
        <v>0</v>
      </c>
      <c r="R218" s="2" t="inlineStr"/>
    </row>
    <row r="219" ht="15" customHeight="1">
      <c r="A219" t="inlineStr">
        <is>
          <t>A 6722-2022</t>
        </is>
      </c>
      <c r="B219" s="1" t="n">
        <v>44602</v>
      </c>
      <c r="C219" s="1" t="n">
        <v>45936</v>
      </c>
      <c r="D219" t="inlineStr">
        <is>
          <t>SÖDERMANLANDS LÄN</t>
        </is>
      </c>
      <c r="E219" t="inlineStr">
        <is>
          <t>KATRINEHOLM</t>
        </is>
      </c>
      <c r="G219" t="n">
        <v>1.6</v>
      </c>
      <c r="H219" t="n">
        <v>0</v>
      </c>
      <c r="I219" t="n">
        <v>0</v>
      </c>
      <c r="J219" t="n">
        <v>0</v>
      </c>
      <c r="K219" t="n">
        <v>0</v>
      </c>
      <c r="L219" t="n">
        <v>0</v>
      </c>
      <c r="M219" t="n">
        <v>0</v>
      </c>
      <c r="N219" t="n">
        <v>0</v>
      </c>
      <c r="O219" t="n">
        <v>0</v>
      </c>
      <c r="P219" t="n">
        <v>0</v>
      </c>
      <c r="Q219" t="n">
        <v>0</v>
      </c>
      <c r="R219" s="2" t="inlineStr"/>
    </row>
    <row r="220" ht="15" customHeight="1">
      <c r="A220" t="inlineStr">
        <is>
          <t>A 11872-2023</t>
        </is>
      </c>
      <c r="B220" s="1" t="n">
        <v>44995</v>
      </c>
      <c r="C220" s="1" t="n">
        <v>45936</v>
      </c>
      <c r="D220" t="inlineStr">
        <is>
          <t>SÖDERMANLANDS LÄN</t>
        </is>
      </c>
      <c r="E220" t="inlineStr">
        <is>
          <t>KATRINEHOLM</t>
        </is>
      </c>
      <c r="F220" t="inlineStr">
        <is>
          <t>Kommuner</t>
        </is>
      </c>
      <c r="G220" t="n">
        <v>0.9</v>
      </c>
      <c r="H220" t="n">
        <v>0</v>
      </c>
      <c r="I220" t="n">
        <v>0</v>
      </c>
      <c r="J220" t="n">
        <v>0</v>
      </c>
      <c r="K220" t="n">
        <v>0</v>
      </c>
      <c r="L220" t="n">
        <v>0</v>
      </c>
      <c r="M220" t="n">
        <v>0</v>
      </c>
      <c r="N220" t="n">
        <v>0</v>
      </c>
      <c r="O220" t="n">
        <v>0</v>
      </c>
      <c r="P220" t="n">
        <v>0</v>
      </c>
      <c r="Q220" t="n">
        <v>0</v>
      </c>
      <c r="R220" s="2" t="inlineStr"/>
    </row>
    <row r="221" ht="15" customHeight="1">
      <c r="A221" t="inlineStr">
        <is>
          <t>A 15898-2022</t>
        </is>
      </c>
      <c r="B221" s="1" t="n">
        <v>44664.55688657407</v>
      </c>
      <c r="C221" s="1" t="n">
        <v>45936</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15910-2022</t>
        </is>
      </c>
      <c r="B222" s="1" t="n">
        <v>44664</v>
      </c>
      <c r="C222" s="1" t="n">
        <v>45936</v>
      </c>
      <c r="D222" t="inlineStr">
        <is>
          <t>SÖDERMANLANDS LÄN</t>
        </is>
      </c>
      <c r="E222" t="inlineStr">
        <is>
          <t>KATRINEHOLM</t>
        </is>
      </c>
      <c r="G222" t="n">
        <v>5.6</v>
      </c>
      <c r="H222" t="n">
        <v>0</v>
      </c>
      <c r="I222" t="n">
        <v>0</v>
      </c>
      <c r="J222" t="n">
        <v>0</v>
      </c>
      <c r="K222" t="n">
        <v>0</v>
      </c>
      <c r="L222" t="n">
        <v>0</v>
      </c>
      <c r="M222" t="n">
        <v>0</v>
      </c>
      <c r="N222" t="n">
        <v>0</v>
      </c>
      <c r="O222" t="n">
        <v>0</v>
      </c>
      <c r="P222" t="n">
        <v>0</v>
      </c>
      <c r="Q222" t="n">
        <v>0</v>
      </c>
      <c r="R222" s="2" t="inlineStr"/>
    </row>
    <row r="223" ht="15" customHeight="1">
      <c r="A223" t="inlineStr">
        <is>
          <t>A 51848-2022</t>
        </is>
      </c>
      <c r="B223" s="1" t="n">
        <v>44872.57752314815</v>
      </c>
      <c r="C223" s="1" t="n">
        <v>45936</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64605-2023</t>
        </is>
      </c>
      <c r="B224" s="1" t="n">
        <v>45281</v>
      </c>
      <c r="C224" s="1" t="n">
        <v>45936</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64652-2023</t>
        </is>
      </c>
      <c r="B225" s="1" t="n">
        <v>45281</v>
      </c>
      <c r="C225" s="1" t="n">
        <v>45936</v>
      </c>
      <c r="D225" t="inlineStr">
        <is>
          <t>SÖDERMANLANDS LÄN</t>
        </is>
      </c>
      <c r="E225" t="inlineStr">
        <is>
          <t>KATRINEHOLM</t>
        </is>
      </c>
      <c r="F225" t="inlineStr">
        <is>
          <t>Övriga Aktiebolag</t>
        </is>
      </c>
      <c r="G225" t="n">
        <v>2.2</v>
      </c>
      <c r="H225" t="n">
        <v>0</v>
      </c>
      <c r="I225" t="n">
        <v>0</v>
      </c>
      <c r="J225" t="n">
        <v>0</v>
      </c>
      <c r="K225" t="n">
        <v>0</v>
      </c>
      <c r="L225" t="n">
        <v>0</v>
      </c>
      <c r="M225" t="n">
        <v>0</v>
      </c>
      <c r="N225" t="n">
        <v>0</v>
      </c>
      <c r="O225" t="n">
        <v>0</v>
      </c>
      <c r="P225" t="n">
        <v>0</v>
      </c>
      <c r="Q225" t="n">
        <v>0</v>
      </c>
      <c r="R225" s="2" t="inlineStr"/>
    </row>
    <row r="226" ht="15" customHeight="1">
      <c r="A226" t="inlineStr">
        <is>
          <t>A 55074-2020</t>
        </is>
      </c>
      <c r="B226" s="1" t="n">
        <v>44130</v>
      </c>
      <c r="C226" s="1" t="n">
        <v>45936</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55079-2020</t>
        </is>
      </c>
      <c r="B227" s="1" t="n">
        <v>44130.46172453704</v>
      </c>
      <c r="C227" s="1" t="n">
        <v>45936</v>
      </c>
      <c r="D227" t="inlineStr">
        <is>
          <t>SÖDERMANLANDS LÄN</t>
        </is>
      </c>
      <c r="E227" t="inlineStr">
        <is>
          <t>KATRINEHOLM</t>
        </is>
      </c>
      <c r="G227" t="n">
        <v>2.7</v>
      </c>
      <c r="H227" t="n">
        <v>0</v>
      </c>
      <c r="I227" t="n">
        <v>0</v>
      </c>
      <c r="J227" t="n">
        <v>0</v>
      </c>
      <c r="K227" t="n">
        <v>0</v>
      </c>
      <c r="L227" t="n">
        <v>0</v>
      </c>
      <c r="M227" t="n">
        <v>0</v>
      </c>
      <c r="N227" t="n">
        <v>0</v>
      </c>
      <c r="O227" t="n">
        <v>0</v>
      </c>
      <c r="P227" t="n">
        <v>0</v>
      </c>
      <c r="Q227" t="n">
        <v>0</v>
      </c>
      <c r="R227" s="2" t="inlineStr"/>
    </row>
    <row r="228" ht="15" customHeight="1">
      <c r="A228" t="inlineStr">
        <is>
          <t>A 6807-2023</t>
        </is>
      </c>
      <c r="B228" s="1" t="n">
        <v>44964</v>
      </c>
      <c r="C228" s="1" t="n">
        <v>45936</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35088-2022</t>
        </is>
      </c>
      <c r="B229" s="1" t="n">
        <v>44797</v>
      </c>
      <c r="C229" s="1" t="n">
        <v>45936</v>
      </c>
      <c r="D229" t="inlineStr">
        <is>
          <t>SÖDERMANLANDS LÄN</t>
        </is>
      </c>
      <c r="E229" t="inlineStr">
        <is>
          <t>KATRINEHOLM</t>
        </is>
      </c>
      <c r="G229" t="n">
        <v>2.8</v>
      </c>
      <c r="H229" t="n">
        <v>0</v>
      </c>
      <c r="I229" t="n">
        <v>0</v>
      </c>
      <c r="J229" t="n">
        <v>0</v>
      </c>
      <c r="K229" t="n">
        <v>0</v>
      </c>
      <c r="L229" t="n">
        <v>0</v>
      </c>
      <c r="M229" t="n">
        <v>0</v>
      </c>
      <c r="N229" t="n">
        <v>0</v>
      </c>
      <c r="O229" t="n">
        <v>0</v>
      </c>
      <c r="P229" t="n">
        <v>0</v>
      </c>
      <c r="Q229" t="n">
        <v>0</v>
      </c>
      <c r="R229" s="2" t="inlineStr"/>
    </row>
    <row r="230" ht="15" customHeight="1">
      <c r="A230" t="inlineStr">
        <is>
          <t>A 6091-2025</t>
        </is>
      </c>
      <c r="B230" s="1" t="n">
        <v>45697</v>
      </c>
      <c r="C230" s="1" t="n">
        <v>45936</v>
      </c>
      <c r="D230" t="inlineStr">
        <is>
          <t>SÖDERMANLANDS LÄN</t>
        </is>
      </c>
      <c r="E230" t="inlineStr">
        <is>
          <t>KATRINEHOLM</t>
        </is>
      </c>
      <c r="G230" t="n">
        <v>2.4</v>
      </c>
      <c r="H230" t="n">
        <v>0</v>
      </c>
      <c r="I230" t="n">
        <v>0</v>
      </c>
      <c r="J230" t="n">
        <v>0</v>
      </c>
      <c r="K230" t="n">
        <v>0</v>
      </c>
      <c r="L230" t="n">
        <v>0</v>
      </c>
      <c r="M230" t="n">
        <v>0</v>
      </c>
      <c r="N230" t="n">
        <v>0</v>
      </c>
      <c r="O230" t="n">
        <v>0</v>
      </c>
      <c r="P230" t="n">
        <v>0</v>
      </c>
      <c r="Q230" t="n">
        <v>0</v>
      </c>
      <c r="R230" s="2" t="inlineStr"/>
    </row>
    <row r="231" ht="15" customHeight="1">
      <c r="A231" t="inlineStr">
        <is>
          <t>A 6093-2025</t>
        </is>
      </c>
      <c r="B231" s="1" t="n">
        <v>45697</v>
      </c>
      <c r="C231" s="1" t="n">
        <v>45936</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24179-2024</t>
        </is>
      </c>
      <c r="B232" s="1" t="n">
        <v>45456.83059027778</v>
      </c>
      <c r="C232" s="1" t="n">
        <v>45936</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29830-2023</t>
        </is>
      </c>
      <c r="B233" s="1" t="n">
        <v>45107</v>
      </c>
      <c r="C233" s="1" t="n">
        <v>45936</v>
      </c>
      <c r="D233" t="inlineStr">
        <is>
          <t>SÖDERMANLANDS LÄN</t>
        </is>
      </c>
      <c r="E233" t="inlineStr">
        <is>
          <t>KATRINEHOLM</t>
        </is>
      </c>
      <c r="F233" t="inlineStr">
        <is>
          <t>Holmen skog AB</t>
        </is>
      </c>
      <c r="G233" t="n">
        <v>1.3</v>
      </c>
      <c r="H233" t="n">
        <v>0</v>
      </c>
      <c r="I233" t="n">
        <v>0</v>
      </c>
      <c r="J233" t="n">
        <v>0</v>
      </c>
      <c r="K233" t="n">
        <v>0</v>
      </c>
      <c r="L233" t="n">
        <v>0</v>
      </c>
      <c r="M233" t="n">
        <v>0</v>
      </c>
      <c r="N233" t="n">
        <v>0</v>
      </c>
      <c r="O233" t="n">
        <v>0</v>
      </c>
      <c r="P233" t="n">
        <v>0</v>
      </c>
      <c r="Q233" t="n">
        <v>0</v>
      </c>
      <c r="R233" s="2" t="inlineStr"/>
    </row>
    <row r="234" ht="15" customHeight="1">
      <c r="A234" t="inlineStr">
        <is>
          <t>A 16087-2023</t>
        </is>
      </c>
      <c r="B234" s="1" t="n">
        <v>45026</v>
      </c>
      <c r="C234" s="1" t="n">
        <v>45936</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24099-2022</t>
        </is>
      </c>
      <c r="B235" s="1" t="n">
        <v>44725</v>
      </c>
      <c r="C235" s="1" t="n">
        <v>45936</v>
      </c>
      <c r="D235" t="inlineStr">
        <is>
          <t>SÖDERMANLANDS LÄN</t>
        </is>
      </c>
      <c r="E235" t="inlineStr">
        <is>
          <t>KATRINEHOLM</t>
        </is>
      </c>
      <c r="G235" t="n">
        <v>1.5</v>
      </c>
      <c r="H235" t="n">
        <v>0</v>
      </c>
      <c r="I235" t="n">
        <v>0</v>
      </c>
      <c r="J235" t="n">
        <v>0</v>
      </c>
      <c r="K235" t="n">
        <v>0</v>
      </c>
      <c r="L235" t="n">
        <v>0</v>
      </c>
      <c r="M235" t="n">
        <v>0</v>
      </c>
      <c r="N235" t="n">
        <v>0</v>
      </c>
      <c r="O235" t="n">
        <v>0</v>
      </c>
      <c r="P235" t="n">
        <v>0</v>
      </c>
      <c r="Q235" t="n">
        <v>0</v>
      </c>
      <c r="R235" s="2" t="inlineStr"/>
    </row>
    <row r="236" ht="15" customHeight="1">
      <c r="A236" t="inlineStr">
        <is>
          <t>A 28582-2024</t>
        </is>
      </c>
      <c r="B236" s="1" t="n">
        <v>45478.40751157407</v>
      </c>
      <c r="C236" s="1" t="n">
        <v>45936</v>
      </c>
      <c r="D236" t="inlineStr">
        <is>
          <t>SÖDERMANLANDS LÄN</t>
        </is>
      </c>
      <c r="E236" t="inlineStr">
        <is>
          <t>KATRINEHOLM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29394-2024</t>
        </is>
      </c>
      <c r="B237" s="1" t="n">
        <v>45483</v>
      </c>
      <c r="C237" s="1" t="n">
        <v>45936</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30276-2023</t>
        </is>
      </c>
      <c r="B238" s="1" t="n">
        <v>45110</v>
      </c>
      <c r="C238" s="1" t="n">
        <v>45936</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46011-2021</t>
        </is>
      </c>
      <c r="B239" s="1" t="n">
        <v>44441.88092592593</v>
      </c>
      <c r="C239" s="1" t="n">
        <v>45936</v>
      </c>
      <c r="D239" t="inlineStr">
        <is>
          <t>SÖDERMANLANDS LÄN</t>
        </is>
      </c>
      <c r="E239" t="inlineStr">
        <is>
          <t>KATRINEHOLM</t>
        </is>
      </c>
      <c r="G239" t="n">
        <v>4.7</v>
      </c>
      <c r="H239" t="n">
        <v>0</v>
      </c>
      <c r="I239" t="n">
        <v>0</v>
      </c>
      <c r="J239" t="n">
        <v>0</v>
      </c>
      <c r="K239" t="n">
        <v>0</v>
      </c>
      <c r="L239" t="n">
        <v>0</v>
      </c>
      <c r="M239" t="n">
        <v>0</v>
      </c>
      <c r="N239" t="n">
        <v>0</v>
      </c>
      <c r="O239" t="n">
        <v>0</v>
      </c>
      <c r="P239" t="n">
        <v>0</v>
      </c>
      <c r="Q239" t="n">
        <v>0</v>
      </c>
      <c r="R239" s="2" t="inlineStr"/>
    </row>
    <row r="240" ht="15" customHeight="1">
      <c r="A240" t="inlineStr">
        <is>
          <t>A 42791-2023</t>
        </is>
      </c>
      <c r="B240" s="1" t="n">
        <v>45181.92876157408</v>
      </c>
      <c r="C240" s="1" t="n">
        <v>45936</v>
      </c>
      <c r="D240" t="inlineStr">
        <is>
          <t>SÖDERMANLANDS LÄN</t>
        </is>
      </c>
      <c r="E240" t="inlineStr">
        <is>
          <t>KATRINEHOLM</t>
        </is>
      </c>
      <c r="G240" t="n">
        <v>4.1</v>
      </c>
      <c r="H240" t="n">
        <v>0</v>
      </c>
      <c r="I240" t="n">
        <v>0</v>
      </c>
      <c r="J240" t="n">
        <v>0</v>
      </c>
      <c r="K240" t="n">
        <v>0</v>
      </c>
      <c r="L240" t="n">
        <v>0</v>
      </c>
      <c r="M240" t="n">
        <v>0</v>
      </c>
      <c r="N240" t="n">
        <v>0</v>
      </c>
      <c r="O240" t="n">
        <v>0</v>
      </c>
      <c r="P240" t="n">
        <v>0</v>
      </c>
      <c r="Q240" t="n">
        <v>0</v>
      </c>
      <c r="R240" s="2" t="inlineStr"/>
    </row>
    <row r="241" ht="15" customHeight="1">
      <c r="A241" t="inlineStr">
        <is>
          <t>A 42792-2023</t>
        </is>
      </c>
      <c r="B241" s="1" t="n">
        <v>45181.95491898148</v>
      </c>
      <c r="C241" s="1" t="n">
        <v>45936</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31684-2021</t>
        </is>
      </c>
      <c r="B242" s="1" t="n">
        <v>44369</v>
      </c>
      <c r="C242" s="1" t="n">
        <v>45936</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32786-2022</t>
        </is>
      </c>
      <c r="B243" s="1" t="n">
        <v>44784</v>
      </c>
      <c r="C243" s="1" t="n">
        <v>45936</v>
      </c>
      <c r="D243" t="inlineStr">
        <is>
          <t>SÖDERMANLANDS LÄN</t>
        </is>
      </c>
      <c r="E243" t="inlineStr">
        <is>
          <t>KATRINEHOLM</t>
        </is>
      </c>
      <c r="G243" t="n">
        <v>7</v>
      </c>
      <c r="H243" t="n">
        <v>0</v>
      </c>
      <c r="I243" t="n">
        <v>0</v>
      </c>
      <c r="J243" t="n">
        <v>0</v>
      </c>
      <c r="K243" t="n">
        <v>0</v>
      </c>
      <c r="L243" t="n">
        <v>0</v>
      </c>
      <c r="M243" t="n">
        <v>0</v>
      </c>
      <c r="N243" t="n">
        <v>0</v>
      </c>
      <c r="O243" t="n">
        <v>0</v>
      </c>
      <c r="P243" t="n">
        <v>0</v>
      </c>
      <c r="Q243" t="n">
        <v>0</v>
      </c>
      <c r="R243" s="2" t="inlineStr"/>
    </row>
    <row r="244" ht="15" customHeight="1">
      <c r="A244" t="inlineStr">
        <is>
          <t>A 42025-2022</t>
        </is>
      </c>
      <c r="B244" s="1" t="n">
        <v>44830.47399305556</v>
      </c>
      <c r="C244" s="1" t="n">
        <v>45936</v>
      </c>
      <c r="D244" t="inlineStr">
        <is>
          <t>SÖDERMANLANDS LÄN</t>
        </is>
      </c>
      <c r="E244" t="inlineStr">
        <is>
          <t>KATRINEHOLM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21959-2022</t>
        </is>
      </c>
      <c r="B245" s="1" t="n">
        <v>44708</v>
      </c>
      <c r="C245" s="1" t="n">
        <v>45936</v>
      </c>
      <c r="D245" t="inlineStr">
        <is>
          <t>SÖDERMANLANDS LÄN</t>
        </is>
      </c>
      <c r="E245" t="inlineStr">
        <is>
          <t>KATRINEHOLM</t>
        </is>
      </c>
      <c r="G245" t="n">
        <v>1.5</v>
      </c>
      <c r="H245" t="n">
        <v>0</v>
      </c>
      <c r="I245" t="n">
        <v>0</v>
      </c>
      <c r="J245" t="n">
        <v>0</v>
      </c>
      <c r="K245" t="n">
        <v>0</v>
      </c>
      <c r="L245" t="n">
        <v>0</v>
      </c>
      <c r="M245" t="n">
        <v>0</v>
      </c>
      <c r="N245" t="n">
        <v>0</v>
      </c>
      <c r="O245" t="n">
        <v>0</v>
      </c>
      <c r="P245" t="n">
        <v>0</v>
      </c>
      <c r="Q245" t="n">
        <v>0</v>
      </c>
      <c r="R245" s="2" t="inlineStr"/>
    </row>
    <row r="246" ht="15" customHeight="1">
      <c r="A246" t="inlineStr">
        <is>
          <t>A 42451-2023</t>
        </is>
      </c>
      <c r="B246" s="1" t="n">
        <v>45180</v>
      </c>
      <c r="C246" s="1" t="n">
        <v>45936</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43975-2025</t>
        </is>
      </c>
      <c r="B247" s="1" t="n">
        <v>45915.41148148148</v>
      </c>
      <c r="C247" s="1" t="n">
        <v>45936</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22506-2023</t>
        </is>
      </c>
      <c r="B248" s="1" t="n">
        <v>45071.37393518518</v>
      </c>
      <c r="C248" s="1" t="n">
        <v>45936</v>
      </c>
      <c r="D248" t="inlineStr">
        <is>
          <t>SÖDERMANLANDS LÄN</t>
        </is>
      </c>
      <c r="E248" t="inlineStr">
        <is>
          <t>KATRINEHOLM</t>
        </is>
      </c>
      <c r="F248" t="inlineStr">
        <is>
          <t>Kyrkan</t>
        </is>
      </c>
      <c r="G248" t="n">
        <v>5.9</v>
      </c>
      <c r="H248" t="n">
        <v>0</v>
      </c>
      <c r="I248" t="n">
        <v>0</v>
      </c>
      <c r="J248" t="n">
        <v>0</v>
      </c>
      <c r="K248" t="n">
        <v>0</v>
      </c>
      <c r="L248" t="n">
        <v>0</v>
      </c>
      <c r="M248" t="n">
        <v>0</v>
      </c>
      <c r="N248" t="n">
        <v>0</v>
      </c>
      <c r="O248" t="n">
        <v>0</v>
      </c>
      <c r="P248" t="n">
        <v>0</v>
      </c>
      <c r="Q248" t="n">
        <v>0</v>
      </c>
      <c r="R248" s="2" t="inlineStr"/>
    </row>
    <row r="249" ht="15" customHeight="1">
      <c r="A249" t="inlineStr">
        <is>
          <t>A 13658-2023</t>
        </is>
      </c>
      <c r="B249" s="1" t="n">
        <v>45006</v>
      </c>
      <c r="C249" s="1" t="n">
        <v>45936</v>
      </c>
      <c r="D249" t="inlineStr">
        <is>
          <t>SÖDERMANLANDS LÄN</t>
        </is>
      </c>
      <c r="E249" t="inlineStr">
        <is>
          <t>KATRINEHOLM</t>
        </is>
      </c>
      <c r="F249" t="inlineStr">
        <is>
          <t>Kyrkan</t>
        </is>
      </c>
      <c r="G249" t="n">
        <v>24.3</v>
      </c>
      <c r="H249" t="n">
        <v>0</v>
      </c>
      <c r="I249" t="n">
        <v>0</v>
      </c>
      <c r="J249" t="n">
        <v>0</v>
      </c>
      <c r="K249" t="n">
        <v>0</v>
      </c>
      <c r="L249" t="n">
        <v>0</v>
      </c>
      <c r="M249" t="n">
        <v>0</v>
      </c>
      <c r="N249" t="n">
        <v>0</v>
      </c>
      <c r="O249" t="n">
        <v>0</v>
      </c>
      <c r="P249" t="n">
        <v>0</v>
      </c>
      <c r="Q249" t="n">
        <v>0</v>
      </c>
      <c r="R249" s="2" t="inlineStr"/>
    </row>
    <row r="250" ht="15" customHeight="1">
      <c r="A250" t="inlineStr">
        <is>
          <t>A 30387-2022</t>
        </is>
      </c>
      <c r="B250" s="1" t="n">
        <v>44760</v>
      </c>
      <c r="C250" s="1" t="n">
        <v>45936</v>
      </c>
      <c r="D250" t="inlineStr">
        <is>
          <t>SÖDERMANLANDS LÄN</t>
        </is>
      </c>
      <c r="E250" t="inlineStr">
        <is>
          <t>KATRINEHOLM</t>
        </is>
      </c>
      <c r="G250" t="n">
        <v>1.9</v>
      </c>
      <c r="H250" t="n">
        <v>0</v>
      </c>
      <c r="I250" t="n">
        <v>0</v>
      </c>
      <c r="J250" t="n">
        <v>0</v>
      </c>
      <c r="K250" t="n">
        <v>0</v>
      </c>
      <c r="L250" t="n">
        <v>0</v>
      </c>
      <c r="M250" t="n">
        <v>0</v>
      </c>
      <c r="N250" t="n">
        <v>0</v>
      </c>
      <c r="O250" t="n">
        <v>0</v>
      </c>
      <c r="P250" t="n">
        <v>0</v>
      </c>
      <c r="Q250" t="n">
        <v>0</v>
      </c>
      <c r="R250" s="2" t="inlineStr"/>
    </row>
    <row r="251" ht="15" customHeight="1">
      <c r="A251" t="inlineStr">
        <is>
          <t>A 12227-2025</t>
        </is>
      </c>
      <c r="B251" s="1" t="n">
        <v>45729.56836805555</v>
      </c>
      <c r="C251" s="1" t="n">
        <v>45936</v>
      </c>
      <c r="D251" t="inlineStr">
        <is>
          <t>SÖDERMANLANDS LÄN</t>
        </is>
      </c>
      <c r="E251" t="inlineStr">
        <is>
          <t>KATRINEHOLM</t>
        </is>
      </c>
      <c r="G251" t="n">
        <v>7</v>
      </c>
      <c r="H251" t="n">
        <v>0</v>
      </c>
      <c r="I251" t="n">
        <v>0</v>
      </c>
      <c r="J251" t="n">
        <v>0</v>
      </c>
      <c r="K251" t="n">
        <v>0</v>
      </c>
      <c r="L251" t="n">
        <v>0</v>
      </c>
      <c r="M251" t="n">
        <v>0</v>
      </c>
      <c r="N251" t="n">
        <v>0</v>
      </c>
      <c r="O251" t="n">
        <v>0</v>
      </c>
      <c r="P251" t="n">
        <v>0</v>
      </c>
      <c r="Q251" t="n">
        <v>0</v>
      </c>
      <c r="R251" s="2" t="inlineStr"/>
    </row>
    <row r="252" ht="15" customHeight="1">
      <c r="A252" t="inlineStr">
        <is>
          <t>A 7459-2022</t>
        </is>
      </c>
      <c r="B252" s="1" t="n">
        <v>44607.35009259259</v>
      </c>
      <c r="C252" s="1" t="n">
        <v>45936</v>
      </c>
      <c r="D252" t="inlineStr">
        <is>
          <t>SÖDERMANLANDS LÄN</t>
        </is>
      </c>
      <c r="E252" t="inlineStr">
        <is>
          <t>KATRINEHOLM</t>
        </is>
      </c>
      <c r="G252" t="n">
        <v>2</v>
      </c>
      <c r="H252" t="n">
        <v>0</v>
      </c>
      <c r="I252" t="n">
        <v>0</v>
      </c>
      <c r="J252" t="n">
        <v>0</v>
      </c>
      <c r="K252" t="n">
        <v>0</v>
      </c>
      <c r="L252" t="n">
        <v>0</v>
      </c>
      <c r="M252" t="n">
        <v>0</v>
      </c>
      <c r="N252" t="n">
        <v>0</v>
      </c>
      <c r="O252" t="n">
        <v>0</v>
      </c>
      <c r="P252" t="n">
        <v>0</v>
      </c>
      <c r="Q252" t="n">
        <v>0</v>
      </c>
      <c r="R252" s="2" t="inlineStr"/>
    </row>
    <row r="253" ht="15" customHeight="1">
      <c r="A253" t="inlineStr">
        <is>
          <t>A 26713-2024</t>
        </is>
      </c>
      <c r="B253" s="1" t="n">
        <v>45470</v>
      </c>
      <c r="C253" s="1" t="n">
        <v>45936</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36590-2025</t>
        </is>
      </c>
      <c r="B254" s="1" t="n">
        <v>45870</v>
      </c>
      <c r="C254" s="1" t="n">
        <v>45936</v>
      </c>
      <c r="D254" t="inlineStr">
        <is>
          <t>SÖDERMANLANDS LÄN</t>
        </is>
      </c>
      <c r="E254" t="inlineStr">
        <is>
          <t>KATRINEHOLM</t>
        </is>
      </c>
      <c r="G254" t="n">
        <v>2</v>
      </c>
      <c r="H254" t="n">
        <v>0</v>
      </c>
      <c r="I254" t="n">
        <v>0</v>
      </c>
      <c r="J254" t="n">
        <v>0</v>
      </c>
      <c r="K254" t="n">
        <v>0</v>
      </c>
      <c r="L254" t="n">
        <v>0</v>
      </c>
      <c r="M254" t="n">
        <v>0</v>
      </c>
      <c r="N254" t="n">
        <v>0</v>
      </c>
      <c r="O254" t="n">
        <v>0</v>
      </c>
      <c r="P254" t="n">
        <v>0</v>
      </c>
      <c r="Q254" t="n">
        <v>0</v>
      </c>
      <c r="R254" s="2" t="inlineStr"/>
    </row>
    <row r="255" ht="15" customHeight="1">
      <c r="A255" t="inlineStr">
        <is>
          <t>A 61394-2024</t>
        </is>
      </c>
      <c r="B255" s="1" t="n">
        <v>45646.42061342593</v>
      </c>
      <c r="C255" s="1" t="n">
        <v>45936</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1151-2025</t>
        </is>
      </c>
      <c r="B256" s="1" t="n">
        <v>45666</v>
      </c>
      <c r="C256" s="1" t="n">
        <v>45936</v>
      </c>
      <c r="D256" t="inlineStr">
        <is>
          <t>SÖDERMANLANDS LÄN</t>
        </is>
      </c>
      <c r="E256" t="inlineStr">
        <is>
          <t>KATRINEHOLM</t>
        </is>
      </c>
      <c r="G256" t="n">
        <v>1.9</v>
      </c>
      <c r="H256" t="n">
        <v>0</v>
      </c>
      <c r="I256" t="n">
        <v>0</v>
      </c>
      <c r="J256" t="n">
        <v>0</v>
      </c>
      <c r="K256" t="n">
        <v>0</v>
      </c>
      <c r="L256" t="n">
        <v>0</v>
      </c>
      <c r="M256" t="n">
        <v>0</v>
      </c>
      <c r="N256" t="n">
        <v>0</v>
      </c>
      <c r="O256" t="n">
        <v>0</v>
      </c>
      <c r="P256" t="n">
        <v>0</v>
      </c>
      <c r="Q256" t="n">
        <v>0</v>
      </c>
      <c r="R256" s="2" t="inlineStr"/>
    </row>
    <row r="257" ht="15" customHeight="1">
      <c r="A257" t="inlineStr">
        <is>
          <t>A 931-2023</t>
        </is>
      </c>
      <c r="B257" s="1" t="n">
        <v>44932.74261574074</v>
      </c>
      <c r="C257" s="1" t="n">
        <v>45936</v>
      </c>
      <c r="D257" t="inlineStr">
        <is>
          <t>SÖDERMANLANDS LÄN</t>
        </is>
      </c>
      <c r="E257" t="inlineStr">
        <is>
          <t>KATRINEHOLM</t>
        </is>
      </c>
      <c r="G257" t="n">
        <v>4</v>
      </c>
      <c r="H257" t="n">
        <v>0</v>
      </c>
      <c r="I257" t="n">
        <v>0</v>
      </c>
      <c r="J257" t="n">
        <v>0</v>
      </c>
      <c r="K257" t="n">
        <v>0</v>
      </c>
      <c r="L257" t="n">
        <v>0</v>
      </c>
      <c r="M257" t="n">
        <v>0</v>
      </c>
      <c r="N257" t="n">
        <v>0</v>
      </c>
      <c r="O257" t="n">
        <v>0</v>
      </c>
      <c r="P257" t="n">
        <v>0</v>
      </c>
      <c r="Q257" t="n">
        <v>0</v>
      </c>
      <c r="R257" s="2" t="inlineStr"/>
    </row>
    <row r="258" ht="15" customHeight="1">
      <c r="A258" t="inlineStr">
        <is>
          <t>A 36133-2021</t>
        </is>
      </c>
      <c r="B258" s="1" t="n">
        <v>44386</v>
      </c>
      <c r="C258" s="1" t="n">
        <v>45936</v>
      </c>
      <c r="D258" t="inlineStr">
        <is>
          <t>SÖDERMANLANDS LÄN</t>
        </is>
      </c>
      <c r="E258" t="inlineStr">
        <is>
          <t>KATRINEHOLM</t>
        </is>
      </c>
      <c r="F258" t="inlineStr">
        <is>
          <t>Övriga Aktiebolag</t>
        </is>
      </c>
      <c r="G258" t="n">
        <v>8.9</v>
      </c>
      <c r="H258" t="n">
        <v>0</v>
      </c>
      <c r="I258" t="n">
        <v>0</v>
      </c>
      <c r="J258" t="n">
        <v>0</v>
      </c>
      <c r="K258" t="n">
        <v>0</v>
      </c>
      <c r="L258" t="n">
        <v>0</v>
      </c>
      <c r="M258" t="n">
        <v>0</v>
      </c>
      <c r="N258" t="n">
        <v>0</v>
      </c>
      <c r="O258" t="n">
        <v>0</v>
      </c>
      <c r="P258" t="n">
        <v>0</v>
      </c>
      <c r="Q258" t="n">
        <v>0</v>
      </c>
      <c r="R258" s="2" t="inlineStr"/>
    </row>
    <row r="259" ht="15" customHeight="1">
      <c r="A259" t="inlineStr">
        <is>
          <t>A 50017-2023</t>
        </is>
      </c>
      <c r="B259" s="1" t="n">
        <v>45215</v>
      </c>
      <c r="C259" s="1" t="n">
        <v>45936</v>
      </c>
      <c r="D259" t="inlineStr">
        <is>
          <t>SÖDERMANLANDS LÄN</t>
        </is>
      </c>
      <c r="E259" t="inlineStr">
        <is>
          <t>KATRINEHOLM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50018-2023</t>
        </is>
      </c>
      <c r="B260" s="1" t="n">
        <v>45215</v>
      </c>
      <c r="C260" s="1" t="n">
        <v>45936</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50021-2023</t>
        </is>
      </c>
      <c r="B261" s="1" t="n">
        <v>45215</v>
      </c>
      <c r="C261" s="1" t="n">
        <v>45936</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29843-2023</t>
        </is>
      </c>
      <c r="B262" s="1" t="n">
        <v>45107</v>
      </c>
      <c r="C262" s="1" t="n">
        <v>45936</v>
      </c>
      <c r="D262" t="inlineStr">
        <is>
          <t>SÖDERMANLANDS LÄN</t>
        </is>
      </c>
      <c r="E262" t="inlineStr">
        <is>
          <t>KATRINEHOLM</t>
        </is>
      </c>
      <c r="F262" t="inlineStr">
        <is>
          <t>Holmen skog AB</t>
        </is>
      </c>
      <c r="G262" t="n">
        <v>1.8</v>
      </c>
      <c r="H262" t="n">
        <v>0</v>
      </c>
      <c r="I262" t="n">
        <v>0</v>
      </c>
      <c r="J262" t="n">
        <v>0</v>
      </c>
      <c r="K262" t="n">
        <v>0</v>
      </c>
      <c r="L262" t="n">
        <v>0</v>
      </c>
      <c r="M262" t="n">
        <v>0</v>
      </c>
      <c r="N262" t="n">
        <v>0</v>
      </c>
      <c r="O262" t="n">
        <v>0</v>
      </c>
      <c r="P262" t="n">
        <v>0</v>
      </c>
      <c r="Q262" t="n">
        <v>0</v>
      </c>
      <c r="R262" s="2" t="inlineStr"/>
    </row>
    <row r="263" ht="15" customHeight="1">
      <c r="A263" t="inlineStr">
        <is>
          <t>A 56628-2021</t>
        </is>
      </c>
      <c r="B263" s="1" t="n">
        <v>44480</v>
      </c>
      <c r="C263" s="1" t="n">
        <v>45936</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62418-2023</t>
        </is>
      </c>
      <c r="B264" s="1" t="n">
        <v>45268</v>
      </c>
      <c r="C264" s="1" t="n">
        <v>45936</v>
      </c>
      <c r="D264" t="inlineStr">
        <is>
          <t>SÖDERMANLANDS LÄN</t>
        </is>
      </c>
      <c r="E264" t="inlineStr">
        <is>
          <t>KATRINEHOLM</t>
        </is>
      </c>
      <c r="G264" t="n">
        <v>3</v>
      </c>
      <c r="H264" t="n">
        <v>0</v>
      </c>
      <c r="I264" t="n">
        <v>0</v>
      </c>
      <c r="J264" t="n">
        <v>0</v>
      </c>
      <c r="K264" t="n">
        <v>0</v>
      </c>
      <c r="L264" t="n">
        <v>0</v>
      </c>
      <c r="M264" t="n">
        <v>0</v>
      </c>
      <c r="N264" t="n">
        <v>0</v>
      </c>
      <c r="O264" t="n">
        <v>0</v>
      </c>
      <c r="P264" t="n">
        <v>0</v>
      </c>
      <c r="Q264" t="n">
        <v>0</v>
      </c>
      <c r="R264" s="2" t="inlineStr"/>
    </row>
    <row r="265" ht="15" customHeight="1">
      <c r="A265" t="inlineStr">
        <is>
          <t>A 38883-2024</t>
        </is>
      </c>
      <c r="B265" s="1" t="n">
        <v>45547</v>
      </c>
      <c r="C265" s="1" t="n">
        <v>45936</v>
      </c>
      <c r="D265" t="inlineStr">
        <is>
          <t>SÖDERMANLANDS LÄN</t>
        </is>
      </c>
      <c r="E265" t="inlineStr">
        <is>
          <t>KATRINEHOLM</t>
        </is>
      </c>
      <c r="G265" t="n">
        <v>3.1</v>
      </c>
      <c r="H265" t="n">
        <v>0</v>
      </c>
      <c r="I265" t="n">
        <v>0</v>
      </c>
      <c r="J265" t="n">
        <v>0</v>
      </c>
      <c r="K265" t="n">
        <v>0</v>
      </c>
      <c r="L265" t="n">
        <v>0</v>
      </c>
      <c r="M265" t="n">
        <v>0</v>
      </c>
      <c r="N265" t="n">
        <v>0</v>
      </c>
      <c r="O265" t="n">
        <v>0</v>
      </c>
      <c r="P265" t="n">
        <v>0</v>
      </c>
      <c r="Q265" t="n">
        <v>0</v>
      </c>
      <c r="R265" s="2" t="inlineStr"/>
    </row>
    <row r="266" ht="15" customHeight="1">
      <c r="A266" t="inlineStr">
        <is>
          <t>A 6796-2022</t>
        </is>
      </c>
      <c r="B266" s="1" t="n">
        <v>44602</v>
      </c>
      <c r="C266" s="1" t="n">
        <v>45936</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52857-2021</t>
        </is>
      </c>
      <c r="B267" s="1" t="n">
        <v>44466</v>
      </c>
      <c r="C267" s="1" t="n">
        <v>45936</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26684-2025</t>
        </is>
      </c>
      <c r="B268" s="1" t="n">
        <v>45810</v>
      </c>
      <c r="C268" s="1" t="n">
        <v>45936</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48091-2024</t>
        </is>
      </c>
      <c r="B269" s="1" t="n">
        <v>45590</v>
      </c>
      <c r="C269" s="1" t="n">
        <v>45936</v>
      </c>
      <c r="D269" t="inlineStr">
        <is>
          <t>SÖDERMANLANDS LÄN</t>
        </is>
      </c>
      <c r="E269" t="inlineStr">
        <is>
          <t>KATRINEHOLM</t>
        </is>
      </c>
      <c r="G269" t="n">
        <v>3.1</v>
      </c>
      <c r="H269" t="n">
        <v>0</v>
      </c>
      <c r="I269" t="n">
        <v>0</v>
      </c>
      <c r="J269" t="n">
        <v>0</v>
      </c>
      <c r="K269" t="n">
        <v>0</v>
      </c>
      <c r="L269" t="n">
        <v>0</v>
      </c>
      <c r="M269" t="n">
        <v>0</v>
      </c>
      <c r="N269" t="n">
        <v>0</v>
      </c>
      <c r="O269" t="n">
        <v>0</v>
      </c>
      <c r="P269" t="n">
        <v>0</v>
      </c>
      <c r="Q269" t="n">
        <v>0</v>
      </c>
      <c r="R269" s="2" t="inlineStr"/>
    </row>
    <row r="270" ht="15" customHeight="1">
      <c r="A270" t="inlineStr">
        <is>
          <t>A 32890-2024</t>
        </is>
      </c>
      <c r="B270" s="1" t="n">
        <v>45516</v>
      </c>
      <c r="C270" s="1" t="n">
        <v>45936</v>
      </c>
      <c r="D270" t="inlineStr">
        <is>
          <t>SÖDERMANLANDS LÄN</t>
        </is>
      </c>
      <c r="E270" t="inlineStr">
        <is>
          <t>KATRINEHOLM</t>
        </is>
      </c>
      <c r="G270" t="n">
        <v>2.6</v>
      </c>
      <c r="H270" t="n">
        <v>0</v>
      </c>
      <c r="I270" t="n">
        <v>0</v>
      </c>
      <c r="J270" t="n">
        <v>0</v>
      </c>
      <c r="K270" t="n">
        <v>0</v>
      </c>
      <c r="L270" t="n">
        <v>0</v>
      </c>
      <c r="M270" t="n">
        <v>0</v>
      </c>
      <c r="N270" t="n">
        <v>0</v>
      </c>
      <c r="O270" t="n">
        <v>0</v>
      </c>
      <c r="P270" t="n">
        <v>0</v>
      </c>
      <c r="Q270" t="n">
        <v>0</v>
      </c>
      <c r="R270" s="2" t="inlineStr"/>
    </row>
    <row r="271" ht="15" customHeight="1">
      <c r="A271" t="inlineStr">
        <is>
          <t>A 39704-2023</t>
        </is>
      </c>
      <c r="B271" s="1" t="n">
        <v>45167</v>
      </c>
      <c r="C271" s="1" t="n">
        <v>45936</v>
      </c>
      <c r="D271" t="inlineStr">
        <is>
          <t>SÖDERMANLANDS LÄN</t>
        </is>
      </c>
      <c r="E271" t="inlineStr">
        <is>
          <t>KATRINEHOLM</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48160-2022</t>
        </is>
      </c>
      <c r="B272" s="1" t="n">
        <v>44853</v>
      </c>
      <c r="C272" s="1" t="n">
        <v>45936</v>
      </c>
      <c r="D272" t="inlineStr">
        <is>
          <t>SÖDERMANLANDS LÄN</t>
        </is>
      </c>
      <c r="E272" t="inlineStr">
        <is>
          <t>KATRINEHOLM</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42015-2022</t>
        </is>
      </c>
      <c r="B273" s="1" t="n">
        <v>44830.4649074074</v>
      </c>
      <c r="C273" s="1" t="n">
        <v>45936</v>
      </c>
      <c r="D273" t="inlineStr">
        <is>
          <t>SÖDERMANLANDS LÄN</t>
        </is>
      </c>
      <c r="E273" t="inlineStr">
        <is>
          <t>KATRINEHOLM</t>
        </is>
      </c>
      <c r="G273" t="n">
        <v>3.8</v>
      </c>
      <c r="H273" t="n">
        <v>0</v>
      </c>
      <c r="I273" t="n">
        <v>0</v>
      </c>
      <c r="J273" t="n">
        <v>0</v>
      </c>
      <c r="K273" t="n">
        <v>0</v>
      </c>
      <c r="L273" t="n">
        <v>0</v>
      </c>
      <c r="M273" t="n">
        <v>0</v>
      </c>
      <c r="N273" t="n">
        <v>0</v>
      </c>
      <c r="O273" t="n">
        <v>0</v>
      </c>
      <c r="P273" t="n">
        <v>0</v>
      </c>
      <c r="Q273" t="n">
        <v>0</v>
      </c>
      <c r="R273" s="2" t="inlineStr"/>
    </row>
    <row r="274" ht="15" customHeight="1">
      <c r="A274" t="inlineStr">
        <is>
          <t>A 42020-2022</t>
        </is>
      </c>
      <c r="B274" s="1" t="n">
        <v>44830.46849537037</v>
      </c>
      <c r="C274" s="1" t="n">
        <v>45936</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18339-2023</t>
        </is>
      </c>
      <c r="B275" s="1" t="n">
        <v>45041</v>
      </c>
      <c r="C275" s="1" t="n">
        <v>45936</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8394-2024</t>
        </is>
      </c>
      <c r="B276" s="1" t="n">
        <v>45352</v>
      </c>
      <c r="C276" s="1" t="n">
        <v>45936</v>
      </c>
      <c r="D276" t="inlineStr">
        <is>
          <t>SÖDERMANLANDS LÄN</t>
        </is>
      </c>
      <c r="E276" t="inlineStr">
        <is>
          <t>KATRINEHOLM</t>
        </is>
      </c>
      <c r="G276" t="n">
        <v>4</v>
      </c>
      <c r="H276" t="n">
        <v>0</v>
      </c>
      <c r="I276" t="n">
        <v>0</v>
      </c>
      <c r="J276" t="n">
        <v>0</v>
      </c>
      <c r="K276" t="n">
        <v>0</v>
      </c>
      <c r="L276" t="n">
        <v>0</v>
      </c>
      <c r="M276" t="n">
        <v>0</v>
      </c>
      <c r="N276" t="n">
        <v>0</v>
      </c>
      <c r="O276" t="n">
        <v>0</v>
      </c>
      <c r="P276" t="n">
        <v>0</v>
      </c>
      <c r="Q276" t="n">
        <v>0</v>
      </c>
      <c r="R276" s="2" t="inlineStr"/>
    </row>
    <row r="277" ht="15" customHeight="1">
      <c r="A277" t="inlineStr">
        <is>
          <t>A 14239-2024</t>
        </is>
      </c>
      <c r="B277" s="1" t="n">
        <v>45393</v>
      </c>
      <c r="C277" s="1" t="n">
        <v>45936</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14248-2024</t>
        </is>
      </c>
      <c r="B278" s="1" t="n">
        <v>45393</v>
      </c>
      <c r="C278" s="1" t="n">
        <v>45936</v>
      </c>
      <c r="D278" t="inlineStr">
        <is>
          <t>SÖDERMANLANDS LÄN</t>
        </is>
      </c>
      <c r="E278" t="inlineStr">
        <is>
          <t>KATRINEHOLM</t>
        </is>
      </c>
      <c r="G278" t="n">
        <v>1.4</v>
      </c>
      <c r="H278" t="n">
        <v>0</v>
      </c>
      <c r="I278" t="n">
        <v>0</v>
      </c>
      <c r="J278" t="n">
        <v>0</v>
      </c>
      <c r="K278" t="n">
        <v>0</v>
      </c>
      <c r="L278" t="n">
        <v>0</v>
      </c>
      <c r="M278" t="n">
        <v>0</v>
      </c>
      <c r="N278" t="n">
        <v>0</v>
      </c>
      <c r="O278" t="n">
        <v>0</v>
      </c>
      <c r="P278" t="n">
        <v>0</v>
      </c>
      <c r="Q278" t="n">
        <v>0</v>
      </c>
      <c r="R278" s="2" t="inlineStr"/>
    </row>
    <row r="279" ht="15" customHeight="1">
      <c r="A279" t="inlineStr">
        <is>
          <t>A 25716-2022</t>
        </is>
      </c>
      <c r="B279" s="1" t="n">
        <v>44733.39600694444</v>
      </c>
      <c r="C279" s="1" t="n">
        <v>45936</v>
      </c>
      <c r="D279" t="inlineStr">
        <is>
          <t>SÖDERMANLANDS LÄN</t>
        </is>
      </c>
      <c r="E279" t="inlineStr">
        <is>
          <t>KATRINEHOLM</t>
        </is>
      </c>
      <c r="G279" t="n">
        <v>3.4</v>
      </c>
      <c r="H279" t="n">
        <v>0</v>
      </c>
      <c r="I279" t="n">
        <v>0</v>
      </c>
      <c r="J279" t="n">
        <v>0</v>
      </c>
      <c r="K279" t="n">
        <v>0</v>
      </c>
      <c r="L279" t="n">
        <v>0</v>
      </c>
      <c r="M279" t="n">
        <v>0</v>
      </c>
      <c r="N279" t="n">
        <v>0</v>
      </c>
      <c r="O279" t="n">
        <v>0</v>
      </c>
      <c r="P279" t="n">
        <v>0</v>
      </c>
      <c r="Q279" t="n">
        <v>0</v>
      </c>
      <c r="R279" s="2" t="inlineStr"/>
    </row>
    <row r="280" ht="15" customHeight="1">
      <c r="A280" t="inlineStr">
        <is>
          <t>A 23842-2023</t>
        </is>
      </c>
      <c r="B280" s="1" t="n">
        <v>45075</v>
      </c>
      <c r="C280" s="1" t="n">
        <v>45936</v>
      </c>
      <c r="D280" t="inlineStr">
        <is>
          <t>SÖDERMANLANDS LÄN</t>
        </is>
      </c>
      <c r="E280" t="inlineStr">
        <is>
          <t>KATRINEHOLM</t>
        </is>
      </c>
      <c r="G280" t="n">
        <v>1.8</v>
      </c>
      <c r="H280" t="n">
        <v>0</v>
      </c>
      <c r="I280" t="n">
        <v>0</v>
      </c>
      <c r="J280" t="n">
        <v>0</v>
      </c>
      <c r="K280" t="n">
        <v>0</v>
      </c>
      <c r="L280" t="n">
        <v>0</v>
      </c>
      <c r="M280" t="n">
        <v>0</v>
      </c>
      <c r="N280" t="n">
        <v>0</v>
      </c>
      <c r="O280" t="n">
        <v>0</v>
      </c>
      <c r="P280" t="n">
        <v>0</v>
      </c>
      <c r="Q280" t="n">
        <v>0</v>
      </c>
      <c r="R280" s="2" t="inlineStr"/>
    </row>
    <row r="281" ht="15" customHeight="1">
      <c r="A281" t="inlineStr">
        <is>
          <t>A 20460-2025</t>
        </is>
      </c>
      <c r="B281" s="1" t="n">
        <v>45775.52854166667</v>
      </c>
      <c r="C281" s="1" t="n">
        <v>45936</v>
      </c>
      <c r="D281" t="inlineStr">
        <is>
          <t>SÖDERMANLANDS LÄN</t>
        </is>
      </c>
      <c r="E281" t="inlineStr">
        <is>
          <t>KATRINEHOLM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49092-2024</t>
        </is>
      </c>
      <c r="B282" s="1" t="n">
        <v>45594.63619212963</v>
      </c>
      <c r="C282" s="1" t="n">
        <v>45936</v>
      </c>
      <c r="D282" t="inlineStr">
        <is>
          <t>SÖDERMANLANDS LÄN</t>
        </is>
      </c>
      <c r="E282" t="inlineStr">
        <is>
          <t>KATRINEHOLM</t>
        </is>
      </c>
      <c r="F282" t="inlineStr">
        <is>
          <t>Övriga Aktiebolag</t>
        </is>
      </c>
      <c r="G282" t="n">
        <v>0.4</v>
      </c>
      <c r="H282" t="n">
        <v>0</v>
      </c>
      <c r="I282" t="n">
        <v>0</v>
      </c>
      <c r="J282" t="n">
        <v>0</v>
      </c>
      <c r="K282" t="n">
        <v>0</v>
      </c>
      <c r="L282" t="n">
        <v>0</v>
      </c>
      <c r="M282" t="n">
        <v>0</v>
      </c>
      <c r="N282" t="n">
        <v>0</v>
      </c>
      <c r="O282" t="n">
        <v>0</v>
      </c>
      <c r="P282" t="n">
        <v>0</v>
      </c>
      <c r="Q282" t="n">
        <v>0</v>
      </c>
      <c r="R282" s="2" t="inlineStr"/>
    </row>
    <row r="283" ht="15" customHeight="1">
      <c r="A283" t="inlineStr">
        <is>
          <t>A 49095-2024</t>
        </is>
      </c>
      <c r="B283" s="1" t="n">
        <v>45594.63828703704</v>
      </c>
      <c r="C283" s="1" t="n">
        <v>45936</v>
      </c>
      <c r="D283" t="inlineStr">
        <is>
          <t>SÖDERMANLANDS LÄN</t>
        </is>
      </c>
      <c r="E283" t="inlineStr">
        <is>
          <t>KATRINEHOLM</t>
        </is>
      </c>
      <c r="F283" t="inlineStr">
        <is>
          <t>Övriga Aktiebolag</t>
        </is>
      </c>
      <c r="G283" t="n">
        <v>0.4</v>
      </c>
      <c r="H283" t="n">
        <v>0</v>
      </c>
      <c r="I283" t="n">
        <v>0</v>
      </c>
      <c r="J283" t="n">
        <v>0</v>
      </c>
      <c r="K283" t="n">
        <v>0</v>
      </c>
      <c r="L283" t="n">
        <v>0</v>
      </c>
      <c r="M283" t="n">
        <v>0</v>
      </c>
      <c r="N283" t="n">
        <v>0</v>
      </c>
      <c r="O283" t="n">
        <v>0</v>
      </c>
      <c r="P283" t="n">
        <v>0</v>
      </c>
      <c r="Q283" t="n">
        <v>0</v>
      </c>
      <c r="R283" s="2" t="inlineStr"/>
    </row>
    <row r="284" ht="15" customHeight="1">
      <c r="A284" t="inlineStr">
        <is>
          <t>A 46700-2023</t>
        </is>
      </c>
      <c r="B284" s="1" t="n">
        <v>45194</v>
      </c>
      <c r="C284" s="1" t="n">
        <v>45936</v>
      </c>
      <c r="D284" t="inlineStr">
        <is>
          <t>SÖDERMANLANDS LÄN</t>
        </is>
      </c>
      <c r="E284" t="inlineStr">
        <is>
          <t>KATRINEHOLM</t>
        </is>
      </c>
      <c r="G284" t="n">
        <v>3</v>
      </c>
      <c r="H284" t="n">
        <v>0</v>
      </c>
      <c r="I284" t="n">
        <v>0</v>
      </c>
      <c r="J284" t="n">
        <v>0</v>
      </c>
      <c r="K284" t="n">
        <v>0</v>
      </c>
      <c r="L284" t="n">
        <v>0</v>
      </c>
      <c r="M284" t="n">
        <v>0</v>
      </c>
      <c r="N284" t="n">
        <v>0</v>
      </c>
      <c r="O284" t="n">
        <v>0</v>
      </c>
      <c r="P284" t="n">
        <v>0</v>
      </c>
      <c r="Q284" t="n">
        <v>0</v>
      </c>
      <c r="R284" s="2" t="inlineStr"/>
    </row>
    <row r="285" ht="15" customHeight="1">
      <c r="A285" t="inlineStr">
        <is>
          <t>A 15235-2023</t>
        </is>
      </c>
      <c r="B285" s="1" t="n">
        <v>45019</v>
      </c>
      <c r="C285" s="1" t="n">
        <v>45936</v>
      </c>
      <c r="D285" t="inlineStr">
        <is>
          <t>SÖDERMANLANDS LÄN</t>
        </is>
      </c>
      <c r="E285" t="inlineStr">
        <is>
          <t>KATRINEHOLM</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55172-2022</t>
        </is>
      </c>
      <c r="B286" s="1" t="n">
        <v>44886</v>
      </c>
      <c r="C286" s="1" t="n">
        <v>45936</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50935-2023</t>
        </is>
      </c>
      <c r="B287" s="1" t="n">
        <v>45211</v>
      </c>
      <c r="C287" s="1" t="n">
        <v>45936</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24748-2024</t>
        </is>
      </c>
      <c r="B288" s="1" t="n">
        <v>45460.66567129629</v>
      </c>
      <c r="C288" s="1" t="n">
        <v>45936</v>
      </c>
      <c r="D288" t="inlineStr">
        <is>
          <t>SÖDERMANLANDS LÄN</t>
        </is>
      </c>
      <c r="E288" t="inlineStr">
        <is>
          <t>KATRINEHOLM</t>
        </is>
      </c>
      <c r="G288" t="n">
        <v>3.3</v>
      </c>
      <c r="H288" t="n">
        <v>0</v>
      </c>
      <c r="I288" t="n">
        <v>0</v>
      </c>
      <c r="J288" t="n">
        <v>0</v>
      </c>
      <c r="K288" t="n">
        <v>0</v>
      </c>
      <c r="L288" t="n">
        <v>0</v>
      </c>
      <c r="M288" t="n">
        <v>0</v>
      </c>
      <c r="N288" t="n">
        <v>0</v>
      </c>
      <c r="O288" t="n">
        <v>0</v>
      </c>
      <c r="P288" t="n">
        <v>0</v>
      </c>
      <c r="Q288" t="n">
        <v>0</v>
      </c>
      <c r="R288" s="2" t="inlineStr"/>
    </row>
    <row r="289" ht="15" customHeight="1">
      <c r="A289" t="inlineStr">
        <is>
          <t>A 24619-2024</t>
        </is>
      </c>
      <c r="B289" s="1" t="n">
        <v>45460</v>
      </c>
      <c r="C289" s="1" t="n">
        <v>45936</v>
      </c>
      <c r="D289" t="inlineStr">
        <is>
          <t>SÖDERMANLANDS LÄN</t>
        </is>
      </c>
      <c r="E289" t="inlineStr">
        <is>
          <t>KATRINEHOLM</t>
        </is>
      </c>
      <c r="G289" t="n">
        <v>4.7</v>
      </c>
      <c r="H289" t="n">
        <v>0</v>
      </c>
      <c r="I289" t="n">
        <v>0</v>
      </c>
      <c r="J289" t="n">
        <v>0</v>
      </c>
      <c r="K289" t="n">
        <v>0</v>
      </c>
      <c r="L289" t="n">
        <v>0</v>
      </c>
      <c r="M289" t="n">
        <v>0</v>
      </c>
      <c r="N289" t="n">
        <v>0</v>
      </c>
      <c r="O289" t="n">
        <v>0</v>
      </c>
      <c r="P289" t="n">
        <v>0</v>
      </c>
      <c r="Q289" t="n">
        <v>0</v>
      </c>
      <c r="R289" s="2" t="inlineStr"/>
    </row>
    <row r="290" ht="15" customHeight="1">
      <c r="A290" t="inlineStr">
        <is>
          <t>A 37043-2025</t>
        </is>
      </c>
      <c r="B290" s="1" t="n">
        <v>45875.3396412037</v>
      </c>
      <c r="C290" s="1" t="n">
        <v>45936</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41633-2025</t>
        </is>
      </c>
      <c r="B291" s="1" t="n">
        <v>45901</v>
      </c>
      <c r="C291" s="1" t="n">
        <v>45936</v>
      </c>
      <c r="D291" t="inlineStr">
        <is>
          <t>SÖDERMANLANDS LÄN</t>
        </is>
      </c>
      <c r="E291" t="inlineStr">
        <is>
          <t>KATRINEHOLM</t>
        </is>
      </c>
      <c r="G291" t="n">
        <v>2.1</v>
      </c>
      <c r="H291" t="n">
        <v>0</v>
      </c>
      <c r="I291" t="n">
        <v>0</v>
      </c>
      <c r="J291" t="n">
        <v>0</v>
      </c>
      <c r="K291" t="n">
        <v>0</v>
      </c>
      <c r="L291" t="n">
        <v>0</v>
      </c>
      <c r="M291" t="n">
        <v>0</v>
      </c>
      <c r="N291" t="n">
        <v>0</v>
      </c>
      <c r="O291" t="n">
        <v>0</v>
      </c>
      <c r="P291" t="n">
        <v>0</v>
      </c>
      <c r="Q291" t="n">
        <v>0</v>
      </c>
      <c r="R291" s="2" t="inlineStr"/>
    </row>
    <row r="292" ht="15" customHeight="1">
      <c r="A292" t="inlineStr">
        <is>
          <t>A 44915-2022</t>
        </is>
      </c>
      <c r="B292" s="1" t="n">
        <v>44840</v>
      </c>
      <c r="C292" s="1" t="n">
        <v>45936</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6087-2021</t>
        </is>
      </c>
      <c r="B293" s="1" t="n">
        <v>44232</v>
      </c>
      <c r="C293" s="1" t="n">
        <v>45936</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53843-2023</t>
        </is>
      </c>
      <c r="B294" s="1" t="n">
        <v>45230</v>
      </c>
      <c r="C294" s="1" t="n">
        <v>45936</v>
      </c>
      <c r="D294" t="inlineStr">
        <is>
          <t>SÖDERMANLANDS LÄN</t>
        </is>
      </c>
      <c r="E294" t="inlineStr">
        <is>
          <t>KATRINEHOLM</t>
        </is>
      </c>
      <c r="G294" t="n">
        <v>14.2</v>
      </c>
      <c r="H294" t="n">
        <v>0</v>
      </c>
      <c r="I294" t="n">
        <v>0</v>
      </c>
      <c r="J294" t="n">
        <v>0</v>
      </c>
      <c r="K294" t="n">
        <v>0</v>
      </c>
      <c r="L294" t="n">
        <v>0</v>
      </c>
      <c r="M294" t="n">
        <v>0</v>
      </c>
      <c r="N294" t="n">
        <v>0</v>
      </c>
      <c r="O294" t="n">
        <v>0</v>
      </c>
      <c r="P294" t="n">
        <v>0</v>
      </c>
      <c r="Q294" t="n">
        <v>0</v>
      </c>
      <c r="R294" s="2" t="inlineStr"/>
    </row>
    <row r="295" ht="15" customHeight="1">
      <c r="A295" t="inlineStr">
        <is>
          <t>A 45793-2022</t>
        </is>
      </c>
      <c r="B295" s="1" t="n">
        <v>44844</v>
      </c>
      <c r="C295" s="1" t="n">
        <v>45936</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7254-2021</t>
        </is>
      </c>
      <c r="B296" s="1" t="n">
        <v>44238</v>
      </c>
      <c r="C296" s="1" t="n">
        <v>45936</v>
      </c>
      <c r="D296" t="inlineStr">
        <is>
          <t>SÖDERMANLANDS LÄN</t>
        </is>
      </c>
      <c r="E296" t="inlineStr">
        <is>
          <t>KATRINEHOLM</t>
        </is>
      </c>
      <c r="G296" t="n">
        <v>3.6</v>
      </c>
      <c r="H296" t="n">
        <v>0</v>
      </c>
      <c r="I296" t="n">
        <v>0</v>
      </c>
      <c r="J296" t="n">
        <v>0</v>
      </c>
      <c r="K296" t="n">
        <v>0</v>
      </c>
      <c r="L296" t="n">
        <v>0</v>
      </c>
      <c r="M296" t="n">
        <v>0</v>
      </c>
      <c r="N296" t="n">
        <v>0</v>
      </c>
      <c r="O296" t="n">
        <v>0</v>
      </c>
      <c r="P296" t="n">
        <v>0</v>
      </c>
      <c r="Q296" t="n">
        <v>0</v>
      </c>
      <c r="R296" s="2" t="inlineStr"/>
    </row>
    <row r="297" ht="15" customHeight="1">
      <c r="A297" t="inlineStr">
        <is>
          <t>A 22295-2024</t>
        </is>
      </c>
      <c r="B297" s="1" t="n">
        <v>45446.56141203704</v>
      </c>
      <c r="C297" s="1" t="n">
        <v>45936</v>
      </c>
      <c r="D297" t="inlineStr">
        <is>
          <t>SÖDERMANLANDS LÄN</t>
        </is>
      </c>
      <c r="E297" t="inlineStr">
        <is>
          <t>KATRINEHOLM</t>
        </is>
      </c>
      <c r="F297" t="inlineStr">
        <is>
          <t>Kommuner</t>
        </is>
      </c>
      <c r="G297" t="n">
        <v>1.2</v>
      </c>
      <c r="H297" t="n">
        <v>0</v>
      </c>
      <c r="I297" t="n">
        <v>0</v>
      </c>
      <c r="J297" t="n">
        <v>0</v>
      </c>
      <c r="K297" t="n">
        <v>0</v>
      </c>
      <c r="L297" t="n">
        <v>0</v>
      </c>
      <c r="M297" t="n">
        <v>0</v>
      </c>
      <c r="N297" t="n">
        <v>0</v>
      </c>
      <c r="O297" t="n">
        <v>0</v>
      </c>
      <c r="P297" t="n">
        <v>0</v>
      </c>
      <c r="Q297" t="n">
        <v>0</v>
      </c>
      <c r="R297" s="2" t="inlineStr"/>
    </row>
    <row r="298" ht="15" customHeight="1">
      <c r="A298" t="inlineStr">
        <is>
          <t>A 22272-2022</t>
        </is>
      </c>
      <c r="B298" s="1" t="n">
        <v>44712</v>
      </c>
      <c r="C298" s="1" t="n">
        <v>45936</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53715-2023</t>
        </is>
      </c>
      <c r="B299" s="1" t="n">
        <v>45230</v>
      </c>
      <c r="C299" s="1" t="n">
        <v>45936</v>
      </c>
      <c r="D299" t="inlineStr">
        <is>
          <t>SÖDERMANLANDS LÄN</t>
        </is>
      </c>
      <c r="E299" t="inlineStr">
        <is>
          <t>KATRINEHOLM</t>
        </is>
      </c>
      <c r="F299" t="inlineStr">
        <is>
          <t>Allmännings- och besparingsskogar</t>
        </is>
      </c>
      <c r="G299" t="n">
        <v>5.6</v>
      </c>
      <c r="H299" t="n">
        <v>0</v>
      </c>
      <c r="I299" t="n">
        <v>0</v>
      </c>
      <c r="J299" t="n">
        <v>0</v>
      </c>
      <c r="K299" t="n">
        <v>0</v>
      </c>
      <c r="L299" t="n">
        <v>0</v>
      </c>
      <c r="M299" t="n">
        <v>0</v>
      </c>
      <c r="N299" t="n">
        <v>0</v>
      </c>
      <c r="O299" t="n">
        <v>0</v>
      </c>
      <c r="P299" t="n">
        <v>0</v>
      </c>
      <c r="Q299" t="n">
        <v>0</v>
      </c>
      <c r="R299" s="2" t="inlineStr"/>
    </row>
    <row r="300" ht="15" customHeight="1">
      <c r="A300" t="inlineStr">
        <is>
          <t>A 58175-2024</t>
        </is>
      </c>
      <c r="B300" s="1" t="n">
        <v>45632.46648148148</v>
      </c>
      <c r="C300" s="1" t="n">
        <v>45936</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50032-2022</t>
        </is>
      </c>
      <c r="B301" s="1" t="n">
        <v>44860</v>
      </c>
      <c r="C301" s="1" t="n">
        <v>45936</v>
      </c>
      <c r="D301" t="inlineStr">
        <is>
          <t>SÖDERMANLANDS LÄN</t>
        </is>
      </c>
      <c r="E301" t="inlineStr">
        <is>
          <t>KATRINEHOLM</t>
        </is>
      </c>
      <c r="G301" t="n">
        <v>7.5</v>
      </c>
      <c r="H301" t="n">
        <v>0</v>
      </c>
      <c r="I301" t="n">
        <v>0</v>
      </c>
      <c r="J301" t="n">
        <v>0</v>
      </c>
      <c r="K301" t="n">
        <v>0</v>
      </c>
      <c r="L301" t="n">
        <v>0</v>
      </c>
      <c r="M301" t="n">
        <v>0</v>
      </c>
      <c r="N301" t="n">
        <v>0</v>
      </c>
      <c r="O301" t="n">
        <v>0</v>
      </c>
      <c r="P301" t="n">
        <v>0</v>
      </c>
      <c r="Q301" t="n">
        <v>0</v>
      </c>
      <c r="R301" s="2" t="inlineStr"/>
    </row>
    <row r="302" ht="15" customHeight="1">
      <c r="A302" t="inlineStr">
        <is>
          <t>A 59474-2021</t>
        </is>
      </c>
      <c r="B302" s="1" t="n">
        <v>44491</v>
      </c>
      <c r="C302" s="1" t="n">
        <v>45936</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50804-2023</t>
        </is>
      </c>
      <c r="B303" s="1" t="n">
        <v>45211</v>
      </c>
      <c r="C303" s="1" t="n">
        <v>45936</v>
      </c>
      <c r="D303" t="inlineStr">
        <is>
          <t>SÖDERMANLANDS LÄN</t>
        </is>
      </c>
      <c r="E303" t="inlineStr">
        <is>
          <t>KATRINEHOLM</t>
        </is>
      </c>
      <c r="G303" t="n">
        <v>4</v>
      </c>
      <c r="H303" t="n">
        <v>0</v>
      </c>
      <c r="I303" t="n">
        <v>0</v>
      </c>
      <c r="J303" t="n">
        <v>0</v>
      </c>
      <c r="K303" t="n">
        <v>0</v>
      </c>
      <c r="L303" t="n">
        <v>0</v>
      </c>
      <c r="M303" t="n">
        <v>0</v>
      </c>
      <c r="N303" t="n">
        <v>0</v>
      </c>
      <c r="O303" t="n">
        <v>0</v>
      </c>
      <c r="P303" t="n">
        <v>0</v>
      </c>
      <c r="Q303" t="n">
        <v>0</v>
      </c>
      <c r="R303" s="2" t="inlineStr"/>
    </row>
    <row r="304" ht="15" customHeight="1">
      <c r="A304" t="inlineStr">
        <is>
          <t>A 51923-2023</t>
        </is>
      </c>
      <c r="B304" s="1" t="n">
        <v>45223</v>
      </c>
      <c r="C304" s="1" t="n">
        <v>45936</v>
      </c>
      <c r="D304" t="inlineStr">
        <is>
          <t>SÖDERMANLANDS LÄN</t>
        </is>
      </c>
      <c r="E304" t="inlineStr">
        <is>
          <t>KATRINEHOLM</t>
        </is>
      </c>
      <c r="G304" t="n">
        <v>0.6</v>
      </c>
      <c r="H304" t="n">
        <v>0</v>
      </c>
      <c r="I304" t="n">
        <v>0</v>
      </c>
      <c r="J304" t="n">
        <v>0</v>
      </c>
      <c r="K304" t="n">
        <v>0</v>
      </c>
      <c r="L304" t="n">
        <v>0</v>
      </c>
      <c r="M304" t="n">
        <v>0</v>
      </c>
      <c r="N304" t="n">
        <v>0</v>
      </c>
      <c r="O304" t="n">
        <v>0</v>
      </c>
      <c r="P304" t="n">
        <v>0</v>
      </c>
      <c r="Q304" t="n">
        <v>0</v>
      </c>
      <c r="R304" s="2" t="inlineStr"/>
    </row>
    <row r="305" ht="15" customHeight="1">
      <c r="A305" t="inlineStr">
        <is>
          <t>A 45438-2021</t>
        </is>
      </c>
      <c r="B305" s="1" t="n">
        <v>44440</v>
      </c>
      <c r="C305" s="1" t="n">
        <v>45936</v>
      </c>
      <c r="D305" t="inlineStr">
        <is>
          <t>SÖDERMANLANDS LÄN</t>
        </is>
      </c>
      <c r="E305" t="inlineStr">
        <is>
          <t>KATRINEHOLM</t>
        </is>
      </c>
      <c r="F305" t="inlineStr">
        <is>
          <t>Kommuner</t>
        </is>
      </c>
      <c r="G305" t="n">
        <v>1.5</v>
      </c>
      <c r="H305" t="n">
        <v>0</v>
      </c>
      <c r="I305" t="n">
        <v>0</v>
      </c>
      <c r="J305" t="n">
        <v>0</v>
      </c>
      <c r="K305" t="n">
        <v>0</v>
      </c>
      <c r="L305" t="n">
        <v>0</v>
      </c>
      <c r="M305" t="n">
        <v>0</v>
      </c>
      <c r="N305" t="n">
        <v>0</v>
      </c>
      <c r="O305" t="n">
        <v>0</v>
      </c>
      <c r="P305" t="n">
        <v>0</v>
      </c>
      <c r="Q305" t="n">
        <v>0</v>
      </c>
      <c r="R305" s="2" t="inlineStr"/>
    </row>
    <row r="306" ht="15" customHeight="1">
      <c r="A306" t="inlineStr">
        <is>
          <t>A 29502-2023</t>
        </is>
      </c>
      <c r="B306" s="1" t="n">
        <v>45106</v>
      </c>
      <c r="C306" s="1" t="n">
        <v>45936</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56074-2022</t>
        </is>
      </c>
      <c r="B307" s="1" t="n">
        <v>44889</v>
      </c>
      <c r="C307" s="1" t="n">
        <v>45936</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c r="T307">
        <f>HYPERLINK("https://klasma.github.io/Logging_0483/kartor/A 56074-2022 karta.png", "A 56074-2022")</f>
        <v/>
      </c>
      <c r="V307">
        <f>HYPERLINK("https://klasma.github.io/Logging_0483/klagomål/A 56074-2022 FSC-klagomål.docx", "A 56074-2022")</f>
        <v/>
      </c>
      <c r="W307">
        <f>HYPERLINK("https://klasma.github.io/Logging_0483/klagomålsmail/A 56074-2022 FSC-klagomål mail.docx", "A 56074-2022")</f>
        <v/>
      </c>
      <c r="X307">
        <f>HYPERLINK("https://klasma.github.io/Logging_0483/tillsyn/A 56074-2022 tillsynsbegäran.docx", "A 56074-2022")</f>
        <v/>
      </c>
      <c r="Y307">
        <f>HYPERLINK("https://klasma.github.io/Logging_0483/tillsynsmail/A 56074-2022 tillsynsbegäran mail.docx", "A 56074-2022")</f>
        <v/>
      </c>
    </row>
    <row r="308" ht="15" customHeight="1">
      <c r="A308" t="inlineStr">
        <is>
          <t>A 27875-2024</t>
        </is>
      </c>
      <c r="B308" s="1" t="n">
        <v>45475</v>
      </c>
      <c r="C308" s="1" t="n">
        <v>45936</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59887-2020</t>
        </is>
      </c>
      <c r="B309" s="1" t="n">
        <v>44151</v>
      </c>
      <c r="C309" s="1" t="n">
        <v>45936</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15184-2023</t>
        </is>
      </c>
      <c r="B310" s="1" t="n">
        <v>45016</v>
      </c>
      <c r="C310" s="1" t="n">
        <v>45936</v>
      </c>
      <c r="D310" t="inlineStr">
        <is>
          <t>SÖDERMANLANDS LÄN</t>
        </is>
      </c>
      <c r="E310" t="inlineStr">
        <is>
          <t>KATRINEHOLM</t>
        </is>
      </c>
      <c r="G310" t="n">
        <v>1.1</v>
      </c>
      <c r="H310" t="n">
        <v>0</v>
      </c>
      <c r="I310" t="n">
        <v>0</v>
      </c>
      <c r="J310" t="n">
        <v>0</v>
      </c>
      <c r="K310" t="n">
        <v>0</v>
      </c>
      <c r="L310" t="n">
        <v>0</v>
      </c>
      <c r="M310" t="n">
        <v>0</v>
      </c>
      <c r="N310" t="n">
        <v>0</v>
      </c>
      <c r="O310" t="n">
        <v>0</v>
      </c>
      <c r="P310" t="n">
        <v>0</v>
      </c>
      <c r="Q310" t="n">
        <v>0</v>
      </c>
      <c r="R310" s="2" t="inlineStr"/>
    </row>
    <row r="311" ht="15" customHeight="1">
      <c r="A311" t="inlineStr">
        <is>
          <t>A 8922-2024</t>
        </is>
      </c>
      <c r="B311" s="1" t="n">
        <v>45357.38601851852</v>
      </c>
      <c r="C311" s="1" t="n">
        <v>45936</v>
      </c>
      <c r="D311" t="inlineStr">
        <is>
          <t>SÖDERMANLANDS LÄN</t>
        </is>
      </c>
      <c r="E311" t="inlineStr">
        <is>
          <t>KATRINEHOLM</t>
        </is>
      </c>
      <c r="G311" t="n">
        <v>2.2</v>
      </c>
      <c r="H311" t="n">
        <v>0</v>
      </c>
      <c r="I311" t="n">
        <v>0</v>
      </c>
      <c r="J311" t="n">
        <v>0</v>
      </c>
      <c r="K311" t="n">
        <v>0</v>
      </c>
      <c r="L311" t="n">
        <v>0</v>
      </c>
      <c r="M311" t="n">
        <v>0</v>
      </c>
      <c r="N311" t="n">
        <v>0</v>
      </c>
      <c r="O311" t="n">
        <v>0</v>
      </c>
      <c r="P311" t="n">
        <v>0</v>
      </c>
      <c r="Q311" t="n">
        <v>0</v>
      </c>
      <c r="R311" s="2" t="inlineStr"/>
    </row>
    <row r="312" ht="15" customHeight="1">
      <c r="A312" t="inlineStr">
        <is>
          <t>A 43088-2022</t>
        </is>
      </c>
      <c r="B312" s="1" t="n">
        <v>44833</v>
      </c>
      <c r="C312" s="1" t="n">
        <v>45936</v>
      </c>
      <c r="D312" t="inlineStr">
        <is>
          <t>SÖDERMANLANDS LÄN</t>
        </is>
      </c>
      <c r="E312" t="inlineStr">
        <is>
          <t>KATRINEHOLM</t>
        </is>
      </c>
      <c r="G312" t="n">
        <v>6.6</v>
      </c>
      <c r="H312" t="n">
        <v>0</v>
      </c>
      <c r="I312" t="n">
        <v>0</v>
      </c>
      <c r="J312" t="n">
        <v>0</v>
      </c>
      <c r="K312" t="n">
        <v>0</v>
      </c>
      <c r="L312" t="n">
        <v>0</v>
      </c>
      <c r="M312" t="n">
        <v>0</v>
      </c>
      <c r="N312" t="n">
        <v>0</v>
      </c>
      <c r="O312" t="n">
        <v>0</v>
      </c>
      <c r="P312" t="n">
        <v>0</v>
      </c>
      <c r="Q312" t="n">
        <v>0</v>
      </c>
      <c r="R312" s="2" t="inlineStr"/>
    </row>
    <row r="313" ht="15" customHeight="1">
      <c r="A313" t="inlineStr">
        <is>
          <t>A 52658-2023</t>
        </is>
      </c>
      <c r="B313" s="1" t="n">
        <v>45225</v>
      </c>
      <c r="C313" s="1" t="n">
        <v>45936</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45376-2022</t>
        </is>
      </c>
      <c r="B314" s="1" t="n">
        <v>44844</v>
      </c>
      <c r="C314" s="1" t="n">
        <v>45936</v>
      </c>
      <c r="D314" t="inlineStr">
        <is>
          <t>SÖDERMANLANDS LÄN</t>
        </is>
      </c>
      <c r="E314" t="inlineStr">
        <is>
          <t>KATRINEHOLM</t>
        </is>
      </c>
      <c r="G314" t="n">
        <v>4.7</v>
      </c>
      <c r="H314" t="n">
        <v>0</v>
      </c>
      <c r="I314" t="n">
        <v>0</v>
      </c>
      <c r="J314" t="n">
        <v>0</v>
      </c>
      <c r="K314" t="n">
        <v>0</v>
      </c>
      <c r="L314" t="n">
        <v>0</v>
      </c>
      <c r="M314" t="n">
        <v>0</v>
      </c>
      <c r="N314" t="n">
        <v>0</v>
      </c>
      <c r="O314" t="n">
        <v>0</v>
      </c>
      <c r="P314" t="n">
        <v>0</v>
      </c>
      <c r="Q314" t="n">
        <v>0</v>
      </c>
      <c r="R314" s="2" t="inlineStr"/>
    </row>
    <row r="315" ht="15" customHeight="1">
      <c r="A315" t="inlineStr">
        <is>
          <t>A 4387-2024</t>
        </is>
      </c>
      <c r="B315" s="1" t="n">
        <v>45327.35068287037</v>
      </c>
      <c r="C315" s="1" t="n">
        <v>45936</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61385-2023</t>
        </is>
      </c>
      <c r="B316" s="1" t="n">
        <v>45264.64241898148</v>
      </c>
      <c r="C316" s="1" t="n">
        <v>45936</v>
      </c>
      <c r="D316" t="inlineStr">
        <is>
          <t>SÖDERMANLANDS LÄN</t>
        </is>
      </c>
      <c r="E316" t="inlineStr">
        <is>
          <t>KATRINEHOLM</t>
        </is>
      </c>
      <c r="G316" t="n">
        <v>0.4</v>
      </c>
      <c r="H316" t="n">
        <v>0</v>
      </c>
      <c r="I316" t="n">
        <v>0</v>
      </c>
      <c r="J316" t="n">
        <v>0</v>
      </c>
      <c r="K316" t="n">
        <v>0</v>
      </c>
      <c r="L316" t="n">
        <v>0</v>
      </c>
      <c r="M316" t="n">
        <v>0</v>
      </c>
      <c r="N316" t="n">
        <v>0</v>
      </c>
      <c r="O316" t="n">
        <v>0</v>
      </c>
      <c r="P316" t="n">
        <v>0</v>
      </c>
      <c r="Q316" t="n">
        <v>0</v>
      </c>
      <c r="R316" s="2" t="inlineStr"/>
    </row>
    <row r="317" ht="15" customHeight="1">
      <c r="A317" t="inlineStr">
        <is>
          <t>A 39748-2022</t>
        </is>
      </c>
      <c r="B317" s="1" t="n">
        <v>44817</v>
      </c>
      <c r="C317" s="1" t="n">
        <v>45936</v>
      </c>
      <c r="D317" t="inlineStr">
        <is>
          <t>SÖDERMANLANDS LÄN</t>
        </is>
      </c>
      <c r="E317" t="inlineStr">
        <is>
          <t>KATRINEHOLM</t>
        </is>
      </c>
      <c r="G317" t="n">
        <v>10.2</v>
      </c>
      <c r="H317" t="n">
        <v>0</v>
      </c>
      <c r="I317" t="n">
        <v>0</v>
      </c>
      <c r="J317" t="n">
        <v>0</v>
      </c>
      <c r="K317" t="n">
        <v>0</v>
      </c>
      <c r="L317" t="n">
        <v>0</v>
      </c>
      <c r="M317" t="n">
        <v>0</v>
      </c>
      <c r="N317" t="n">
        <v>0</v>
      </c>
      <c r="O317" t="n">
        <v>0</v>
      </c>
      <c r="P317" t="n">
        <v>0</v>
      </c>
      <c r="Q317" t="n">
        <v>0</v>
      </c>
      <c r="R317" s="2" t="inlineStr"/>
    </row>
    <row r="318" ht="15" customHeight="1">
      <c r="A318" t="inlineStr">
        <is>
          <t>A 61167-2020</t>
        </is>
      </c>
      <c r="B318" s="1" t="n">
        <v>44155</v>
      </c>
      <c r="C318" s="1" t="n">
        <v>45936</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45936</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48030-2022</t>
        </is>
      </c>
      <c r="B320" s="1" t="n">
        <v>44855</v>
      </c>
      <c r="C320" s="1" t="n">
        <v>45936</v>
      </c>
      <c r="D320" t="inlineStr">
        <is>
          <t>SÖDERMANLANDS LÄN</t>
        </is>
      </c>
      <c r="E320" t="inlineStr">
        <is>
          <t>KATRINEHOLM</t>
        </is>
      </c>
      <c r="F320" t="inlineStr">
        <is>
          <t>Allmännings- och besparingsskogar</t>
        </is>
      </c>
      <c r="G320" t="n">
        <v>1.5</v>
      </c>
      <c r="H320" t="n">
        <v>0</v>
      </c>
      <c r="I320" t="n">
        <v>0</v>
      </c>
      <c r="J320" t="n">
        <v>0</v>
      </c>
      <c r="K320" t="n">
        <v>0</v>
      </c>
      <c r="L320" t="n">
        <v>0</v>
      </c>
      <c r="M320" t="n">
        <v>0</v>
      </c>
      <c r="N320" t="n">
        <v>0</v>
      </c>
      <c r="O320" t="n">
        <v>0</v>
      </c>
      <c r="P320" t="n">
        <v>0</v>
      </c>
      <c r="Q320" t="n">
        <v>0</v>
      </c>
      <c r="R320" s="2" t="inlineStr"/>
    </row>
    <row r="321" ht="15" customHeight="1">
      <c r="A321" t="inlineStr">
        <is>
          <t>A 3090-2025</t>
        </is>
      </c>
      <c r="B321" s="1" t="n">
        <v>45678</v>
      </c>
      <c r="C321" s="1" t="n">
        <v>45936</v>
      </c>
      <c r="D321" t="inlineStr">
        <is>
          <t>SÖDERMANLANDS LÄN</t>
        </is>
      </c>
      <c r="E321" t="inlineStr">
        <is>
          <t>KATRINEHOLM</t>
        </is>
      </c>
      <c r="F321" t="inlineStr">
        <is>
          <t>Kyrkan</t>
        </is>
      </c>
      <c r="G321" t="n">
        <v>6.9</v>
      </c>
      <c r="H321" t="n">
        <v>0</v>
      </c>
      <c r="I321" t="n">
        <v>0</v>
      </c>
      <c r="J321" t="n">
        <v>0</v>
      </c>
      <c r="K321" t="n">
        <v>0</v>
      </c>
      <c r="L321" t="n">
        <v>0</v>
      </c>
      <c r="M321" t="n">
        <v>0</v>
      </c>
      <c r="N321" t="n">
        <v>0</v>
      </c>
      <c r="O321" t="n">
        <v>0</v>
      </c>
      <c r="P321" t="n">
        <v>0</v>
      </c>
      <c r="Q321" t="n">
        <v>0</v>
      </c>
      <c r="R321" s="2" t="inlineStr"/>
    </row>
    <row r="322" ht="15" customHeight="1">
      <c r="A322" t="inlineStr">
        <is>
          <t>A 28431-2024</t>
        </is>
      </c>
      <c r="B322" s="1" t="n">
        <v>45477.65216435185</v>
      </c>
      <c r="C322" s="1" t="n">
        <v>45936</v>
      </c>
      <c r="D322" t="inlineStr">
        <is>
          <t>SÖDERMANLANDS LÄN</t>
        </is>
      </c>
      <c r="E322" t="inlineStr">
        <is>
          <t>KATRINEHOLM</t>
        </is>
      </c>
      <c r="G322" t="n">
        <v>3.5</v>
      </c>
      <c r="H322" t="n">
        <v>0</v>
      </c>
      <c r="I322" t="n">
        <v>0</v>
      </c>
      <c r="J322" t="n">
        <v>0</v>
      </c>
      <c r="K322" t="n">
        <v>0</v>
      </c>
      <c r="L322" t="n">
        <v>0</v>
      </c>
      <c r="M322" t="n">
        <v>0</v>
      </c>
      <c r="N322" t="n">
        <v>0</v>
      </c>
      <c r="O322" t="n">
        <v>0</v>
      </c>
      <c r="P322" t="n">
        <v>0</v>
      </c>
      <c r="Q322" t="n">
        <v>0</v>
      </c>
      <c r="R322" s="2" t="inlineStr"/>
    </row>
    <row r="323" ht="15" customHeight="1">
      <c r="A323" t="inlineStr">
        <is>
          <t>A 18386-2025</t>
        </is>
      </c>
      <c r="B323" s="1" t="n">
        <v>45762</v>
      </c>
      <c r="C323" s="1" t="n">
        <v>45936</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10932-2023</t>
        </is>
      </c>
      <c r="B324" s="1" t="n">
        <v>44985</v>
      </c>
      <c r="C324" s="1" t="n">
        <v>45936</v>
      </c>
      <c r="D324" t="inlineStr">
        <is>
          <t>SÖDERMANLANDS LÄN</t>
        </is>
      </c>
      <c r="E324" t="inlineStr">
        <is>
          <t>KATRINEHOLM</t>
        </is>
      </c>
      <c r="G324" t="n">
        <v>1.8</v>
      </c>
      <c r="H324" t="n">
        <v>0</v>
      </c>
      <c r="I324" t="n">
        <v>0</v>
      </c>
      <c r="J324" t="n">
        <v>0</v>
      </c>
      <c r="K324" t="n">
        <v>0</v>
      </c>
      <c r="L324" t="n">
        <v>0</v>
      </c>
      <c r="M324" t="n">
        <v>0</v>
      </c>
      <c r="N324" t="n">
        <v>0</v>
      </c>
      <c r="O324" t="n">
        <v>0</v>
      </c>
      <c r="P324" t="n">
        <v>0</v>
      </c>
      <c r="Q324" t="n">
        <v>0</v>
      </c>
      <c r="R324" s="2" t="inlineStr"/>
    </row>
    <row r="325" ht="15" customHeight="1">
      <c r="A325" t="inlineStr">
        <is>
          <t>A 14313-2024</t>
        </is>
      </c>
      <c r="B325" s="1" t="n">
        <v>45393</v>
      </c>
      <c r="C325" s="1" t="n">
        <v>45936</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36767-2022</t>
        </is>
      </c>
      <c r="B326" s="1" t="n">
        <v>44805</v>
      </c>
      <c r="C326" s="1" t="n">
        <v>45936</v>
      </c>
      <c r="D326" t="inlineStr">
        <is>
          <t>SÖDERMANLANDS LÄN</t>
        </is>
      </c>
      <c r="E326" t="inlineStr">
        <is>
          <t>KATRINEHOLM</t>
        </is>
      </c>
      <c r="G326" t="n">
        <v>1.1</v>
      </c>
      <c r="H326" t="n">
        <v>0</v>
      </c>
      <c r="I326" t="n">
        <v>0</v>
      </c>
      <c r="J326" t="n">
        <v>0</v>
      </c>
      <c r="K326" t="n">
        <v>0</v>
      </c>
      <c r="L326" t="n">
        <v>0</v>
      </c>
      <c r="M326" t="n">
        <v>0</v>
      </c>
      <c r="N326" t="n">
        <v>0</v>
      </c>
      <c r="O326" t="n">
        <v>0</v>
      </c>
      <c r="P326" t="n">
        <v>0</v>
      </c>
      <c r="Q326" t="n">
        <v>0</v>
      </c>
      <c r="R326" s="2" t="inlineStr"/>
    </row>
    <row r="327" ht="15" customHeight="1">
      <c r="A327" t="inlineStr">
        <is>
          <t>A 12938-2023</t>
        </is>
      </c>
      <c r="B327" s="1" t="n">
        <v>45001</v>
      </c>
      <c r="C327" s="1" t="n">
        <v>45936</v>
      </c>
      <c r="D327" t="inlineStr">
        <is>
          <t>SÖDERMANLANDS LÄN</t>
        </is>
      </c>
      <c r="E327" t="inlineStr">
        <is>
          <t>KATRINEHOLM</t>
        </is>
      </c>
      <c r="G327" t="n">
        <v>0.4</v>
      </c>
      <c r="H327" t="n">
        <v>0</v>
      </c>
      <c r="I327" t="n">
        <v>0</v>
      </c>
      <c r="J327" t="n">
        <v>0</v>
      </c>
      <c r="K327" t="n">
        <v>0</v>
      </c>
      <c r="L327" t="n">
        <v>0</v>
      </c>
      <c r="M327" t="n">
        <v>0</v>
      </c>
      <c r="N327" t="n">
        <v>0</v>
      </c>
      <c r="O327" t="n">
        <v>0</v>
      </c>
      <c r="P327" t="n">
        <v>0</v>
      </c>
      <c r="Q327" t="n">
        <v>0</v>
      </c>
      <c r="R327" s="2" t="inlineStr"/>
    </row>
    <row r="328" ht="15" customHeight="1">
      <c r="A328" t="inlineStr">
        <is>
          <t>A 5834-2025</t>
        </is>
      </c>
      <c r="B328" s="1" t="n">
        <v>45694</v>
      </c>
      <c r="C328" s="1" t="n">
        <v>45936</v>
      </c>
      <c r="D328" t="inlineStr">
        <is>
          <t>SÖDERMANLANDS LÄN</t>
        </is>
      </c>
      <c r="E328" t="inlineStr">
        <is>
          <t>KATRINEHOLM</t>
        </is>
      </c>
      <c r="G328" t="n">
        <v>3.3</v>
      </c>
      <c r="H328" t="n">
        <v>0</v>
      </c>
      <c r="I328" t="n">
        <v>0</v>
      </c>
      <c r="J328" t="n">
        <v>0</v>
      </c>
      <c r="K328" t="n">
        <v>0</v>
      </c>
      <c r="L328" t="n">
        <v>0</v>
      </c>
      <c r="M328" t="n">
        <v>0</v>
      </c>
      <c r="N328" t="n">
        <v>0</v>
      </c>
      <c r="O328" t="n">
        <v>0</v>
      </c>
      <c r="P328" t="n">
        <v>0</v>
      </c>
      <c r="Q328" t="n">
        <v>0</v>
      </c>
      <c r="R328" s="2" t="inlineStr"/>
    </row>
    <row r="329" ht="15" customHeight="1">
      <c r="A329" t="inlineStr">
        <is>
          <t>A 34981-2023</t>
        </is>
      </c>
      <c r="B329" s="1" t="n">
        <v>45142</v>
      </c>
      <c r="C329" s="1" t="n">
        <v>45936</v>
      </c>
      <c r="D329" t="inlineStr">
        <is>
          <t>SÖDERMANLANDS LÄN</t>
        </is>
      </c>
      <c r="E329" t="inlineStr">
        <is>
          <t>KATRINEHOLM</t>
        </is>
      </c>
      <c r="G329" t="n">
        <v>10</v>
      </c>
      <c r="H329" t="n">
        <v>0</v>
      </c>
      <c r="I329" t="n">
        <v>0</v>
      </c>
      <c r="J329" t="n">
        <v>0</v>
      </c>
      <c r="K329" t="n">
        <v>0</v>
      </c>
      <c r="L329" t="n">
        <v>0</v>
      </c>
      <c r="M329" t="n">
        <v>0</v>
      </c>
      <c r="N329" t="n">
        <v>0</v>
      </c>
      <c r="O329" t="n">
        <v>0</v>
      </c>
      <c r="P329" t="n">
        <v>0</v>
      </c>
      <c r="Q329" t="n">
        <v>0</v>
      </c>
      <c r="R329" s="2" t="inlineStr"/>
    </row>
    <row r="330" ht="15" customHeight="1">
      <c r="A330" t="inlineStr">
        <is>
          <t>A 7398-2024</t>
        </is>
      </c>
      <c r="B330" s="1" t="n">
        <v>45345</v>
      </c>
      <c r="C330" s="1" t="n">
        <v>45936</v>
      </c>
      <c r="D330" t="inlineStr">
        <is>
          <t>SÖDERMANLANDS LÄN</t>
        </is>
      </c>
      <c r="E330" t="inlineStr">
        <is>
          <t>KATRINEHOLM</t>
        </is>
      </c>
      <c r="G330" t="n">
        <v>4.4</v>
      </c>
      <c r="H330" t="n">
        <v>0</v>
      </c>
      <c r="I330" t="n">
        <v>0</v>
      </c>
      <c r="J330" t="n">
        <v>0</v>
      </c>
      <c r="K330" t="n">
        <v>0</v>
      </c>
      <c r="L330" t="n">
        <v>0</v>
      </c>
      <c r="M330" t="n">
        <v>0</v>
      </c>
      <c r="N330" t="n">
        <v>0</v>
      </c>
      <c r="O330" t="n">
        <v>0</v>
      </c>
      <c r="P330" t="n">
        <v>0</v>
      </c>
      <c r="Q330" t="n">
        <v>0</v>
      </c>
      <c r="R330" s="2" t="inlineStr"/>
    </row>
    <row r="331" ht="15" customHeight="1">
      <c r="A331" t="inlineStr">
        <is>
          <t>A 9899-2023</t>
        </is>
      </c>
      <c r="B331" s="1" t="n">
        <v>44985</v>
      </c>
      <c r="C331" s="1" t="n">
        <v>45936</v>
      </c>
      <c r="D331" t="inlineStr">
        <is>
          <t>SÖDERMANLANDS LÄN</t>
        </is>
      </c>
      <c r="E331" t="inlineStr">
        <is>
          <t>KATRINEHOLM</t>
        </is>
      </c>
      <c r="F331" t="inlineStr">
        <is>
          <t>Allmännings- och besparingsskogar</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34263-2023</t>
        </is>
      </c>
      <c r="B332" s="1" t="n">
        <v>45138.60248842592</v>
      </c>
      <c r="C332" s="1" t="n">
        <v>45936</v>
      </c>
      <c r="D332" t="inlineStr">
        <is>
          <t>SÖDERMANLANDS LÄN</t>
        </is>
      </c>
      <c r="E332" t="inlineStr">
        <is>
          <t>KATRINEHOLM</t>
        </is>
      </c>
      <c r="G332" t="n">
        <v>0.7</v>
      </c>
      <c r="H332" t="n">
        <v>0</v>
      </c>
      <c r="I332" t="n">
        <v>0</v>
      </c>
      <c r="J332" t="n">
        <v>0</v>
      </c>
      <c r="K332" t="n">
        <v>0</v>
      </c>
      <c r="L332" t="n">
        <v>0</v>
      </c>
      <c r="M332" t="n">
        <v>0</v>
      </c>
      <c r="N332" t="n">
        <v>0</v>
      </c>
      <c r="O332" t="n">
        <v>0</v>
      </c>
      <c r="P332" t="n">
        <v>0</v>
      </c>
      <c r="Q332" t="n">
        <v>0</v>
      </c>
      <c r="R332" s="2" t="inlineStr"/>
    </row>
    <row r="333" ht="15" customHeight="1">
      <c r="A333" t="inlineStr">
        <is>
          <t>A 31740-2022</t>
        </is>
      </c>
      <c r="B333" s="1" t="n">
        <v>44776</v>
      </c>
      <c r="C333" s="1" t="n">
        <v>45936</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53750-2022</t>
        </is>
      </c>
      <c r="B334" s="1" t="n">
        <v>44875</v>
      </c>
      <c r="C334" s="1" t="n">
        <v>45936</v>
      </c>
      <c r="D334" t="inlineStr">
        <is>
          <t>SÖDERMANLANDS LÄN</t>
        </is>
      </c>
      <c r="E334" t="inlineStr">
        <is>
          <t>KATRINEHOLM</t>
        </is>
      </c>
      <c r="F334" t="inlineStr">
        <is>
          <t>Övriga Aktiebolag</t>
        </is>
      </c>
      <c r="G334" t="n">
        <v>12.6</v>
      </c>
      <c r="H334" t="n">
        <v>0</v>
      </c>
      <c r="I334" t="n">
        <v>0</v>
      </c>
      <c r="J334" t="n">
        <v>0</v>
      </c>
      <c r="K334" t="n">
        <v>0</v>
      </c>
      <c r="L334" t="n">
        <v>0</v>
      </c>
      <c r="M334" t="n">
        <v>0</v>
      </c>
      <c r="N334" t="n">
        <v>0</v>
      </c>
      <c r="O334" t="n">
        <v>0</v>
      </c>
      <c r="P334" t="n">
        <v>0</v>
      </c>
      <c r="Q334" t="n">
        <v>0</v>
      </c>
      <c r="R334" s="2" t="inlineStr"/>
    </row>
    <row r="335" ht="15" customHeight="1">
      <c r="A335" t="inlineStr">
        <is>
          <t>A 6092-2025</t>
        </is>
      </c>
      <c r="B335" s="1" t="n">
        <v>45697</v>
      </c>
      <c r="C335" s="1" t="n">
        <v>45936</v>
      </c>
      <c r="D335" t="inlineStr">
        <is>
          <t>SÖDERMANLANDS LÄN</t>
        </is>
      </c>
      <c r="E335" t="inlineStr">
        <is>
          <t>KATRINEHOLM</t>
        </is>
      </c>
      <c r="G335" t="n">
        <v>0.7</v>
      </c>
      <c r="H335" t="n">
        <v>0</v>
      </c>
      <c r="I335" t="n">
        <v>0</v>
      </c>
      <c r="J335" t="n">
        <v>0</v>
      </c>
      <c r="K335" t="n">
        <v>0</v>
      </c>
      <c r="L335" t="n">
        <v>0</v>
      </c>
      <c r="M335" t="n">
        <v>0</v>
      </c>
      <c r="N335" t="n">
        <v>0</v>
      </c>
      <c r="O335" t="n">
        <v>0</v>
      </c>
      <c r="P335" t="n">
        <v>0</v>
      </c>
      <c r="Q335" t="n">
        <v>0</v>
      </c>
      <c r="R335" s="2" t="inlineStr"/>
    </row>
    <row r="336" ht="15" customHeight="1">
      <c r="A336" t="inlineStr">
        <is>
          <t>A 47886-2023</t>
        </is>
      </c>
      <c r="B336" s="1" t="n">
        <v>45204</v>
      </c>
      <c r="C336" s="1" t="n">
        <v>45936</v>
      </c>
      <c r="D336" t="inlineStr">
        <is>
          <t>SÖDERMANLANDS LÄN</t>
        </is>
      </c>
      <c r="E336" t="inlineStr">
        <is>
          <t>KATRINEHOLM</t>
        </is>
      </c>
      <c r="G336" t="n">
        <v>22</v>
      </c>
      <c r="H336" t="n">
        <v>0</v>
      </c>
      <c r="I336" t="n">
        <v>0</v>
      </c>
      <c r="J336" t="n">
        <v>0</v>
      </c>
      <c r="K336" t="n">
        <v>0</v>
      </c>
      <c r="L336" t="n">
        <v>0</v>
      </c>
      <c r="M336" t="n">
        <v>0</v>
      </c>
      <c r="N336" t="n">
        <v>0</v>
      </c>
      <c r="O336" t="n">
        <v>0</v>
      </c>
      <c r="P336" t="n">
        <v>0</v>
      </c>
      <c r="Q336" t="n">
        <v>0</v>
      </c>
      <c r="R336" s="2" t="inlineStr"/>
    </row>
    <row r="337" ht="15" customHeight="1">
      <c r="A337" t="inlineStr">
        <is>
          <t>A 8955-2024</t>
        </is>
      </c>
      <c r="B337" s="1" t="n">
        <v>45357.44873842593</v>
      </c>
      <c r="C337" s="1" t="n">
        <v>45936</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3125-2024</t>
        </is>
      </c>
      <c r="B338" s="1" t="n">
        <v>45316</v>
      </c>
      <c r="C338" s="1" t="n">
        <v>45936</v>
      </c>
      <c r="D338" t="inlineStr">
        <is>
          <t>SÖDERMANLANDS LÄN</t>
        </is>
      </c>
      <c r="E338" t="inlineStr">
        <is>
          <t>KATRINEHOLM</t>
        </is>
      </c>
      <c r="G338" t="n">
        <v>3.4</v>
      </c>
      <c r="H338" t="n">
        <v>0</v>
      </c>
      <c r="I338" t="n">
        <v>0</v>
      </c>
      <c r="J338" t="n">
        <v>0</v>
      </c>
      <c r="K338" t="n">
        <v>0</v>
      </c>
      <c r="L338" t="n">
        <v>0</v>
      </c>
      <c r="M338" t="n">
        <v>0</v>
      </c>
      <c r="N338" t="n">
        <v>0</v>
      </c>
      <c r="O338" t="n">
        <v>0</v>
      </c>
      <c r="P338" t="n">
        <v>0</v>
      </c>
      <c r="Q338" t="n">
        <v>0</v>
      </c>
      <c r="R338" s="2" t="inlineStr"/>
    </row>
    <row r="339" ht="15" customHeight="1">
      <c r="A339" t="inlineStr">
        <is>
          <t>A 55863-2022</t>
        </is>
      </c>
      <c r="B339" s="1" t="n">
        <v>44888</v>
      </c>
      <c r="C339" s="1" t="n">
        <v>45936</v>
      </c>
      <c r="D339" t="inlineStr">
        <is>
          <t>SÖDERMANLANDS LÄN</t>
        </is>
      </c>
      <c r="E339" t="inlineStr">
        <is>
          <t>KATRINEHOLM</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55865-2022</t>
        </is>
      </c>
      <c r="B340" s="1" t="n">
        <v>44888</v>
      </c>
      <c r="C340" s="1" t="n">
        <v>45936</v>
      </c>
      <c r="D340" t="inlineStr">
        <is>
          <t>SÖDERMANLANDS LÄN</t>
        </is>
      </c>
      <c r="E340" t="inlineStr">
        <is>
          <t>KATRINEHOLM</t>
        </is>
      </c>
      <c r="G340" t="n">
        <v>9.1</v>
      </c>
      <c r="H340" t="n">
        <v>0</v>
      </c>
      <c r="I340" t="n">
        <v>0</v>
      </c>
      <c r="J340" t="n">
        <v>0</v>
      </c>
      <c r="K340" t="n">
        <v>0</v>
      </c>
      <c r="L340" t="n">
        <v>0</v>
      </c>
      <c r="M340" t="n">
        <v>0</v>
      </c>
      <c r="N340" t="n">
        <v>0</v>
      </c>
      <c r="O340" t="n">
        <v>0</v>
      </c>
      <c r="P340" t="n">
        <v>0</v>
      </c>
      <c r="Q340" t="n">
        <v>0</v>
      </c>
      <c r="R340" s="2" t="inlineStr"/>
    </row>
    <row r="341" ht="15" customHeight="1">
      <c r="A341" t="inlineStr">
        <is>
          <t>A 8087-2022</t>
        </is>
      </c>
      <c r="B341" s="1" t="n">
        <v>44609.53502314815</v>
      </c>
      <c r="C341" s="1" t="n">
        <v>45936</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10341-2022</t>
        </is>
      </c>
      <c r="B342" s="1" t="n">
        <v>44623</v>
      </c>
      <c r="C342" s="1" t="n">
        <v>45936</v>
      </c>
      <c r="D342" t="inlineStr">
        <is>
          <t>SÖDERMANLANDS LÄN</t>
        </is>
      </c>
      <c r="E342" t="inlineStr">
        <is>
          <t>KATRINEHOLM</t>
        </is>
      </c>
      <c r="G342" t="n">
        <v>2.3</v>
      </c>
      <c r="H342" t="n">
        <v>0</v>
      </c>
      <c r="I342" t="n">
        <v>0</v>
      </c>
      <c r="J342" t="n">
        <v>0</v>
      </c>
      <c r="K342" t="n">
        <v>0</v>
      </c>
      <c r="L342" t="n">
        <v>0</v>
      </c>
      <c r="M342" t="n">
        <v>0</v>
      </c>
      <c r="N342" t="n">
        <v>0</v>
      </c>
      <c r="O342" t="n">
        <v>0</v>
      </c>
      <c r="P342" t="n">
        <v>0</v>
      </c>
      <c r="Q342" t="n">
        <v>0</v>
      </c>
      <c r="R342" s="2" t="inlineStr"/>
    </row>
    <row r="343" ht="15" customHeight="1">
      <c r="A343" t="inlineStr">
        <is>
          <t>A 9437-2022</t>
        </is>
      </c>
      <c r="B343" s="1" t="n">
        <v>44616.69246527777</v>
      </c>
      <c r="C343" s="1" t="n">
        <v>45936</v>
      </c>
      <c r="D343" t="inlineStr">
        <is>
          <t>SÖDERMANLANDS LÄN</t>
        </is>
      </c>
      <c r="E343" t="inlineStr">
        <is>
          <t>KATRINEHOLM</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22345-2023</t>
        </is>
      </c>
      <c r="B344" s="1" t="n">
        <v>45070</v>
      </c>
      <c r="C344" s="1" t="n">
        <v>45936</v>
      </c>
      <c r="D344" t="inlineStr">
        <is>
          <t>SÖDERMANLANDS LÄN</t>
        </is>
      </c>
      <c r="E344" t="inlineStr">
        <is>
          <t>KATRINEHOLM</t>
        </is>
      </c>
      <c r="F344" t="inlineStr">
        <is>
          <t>Holmen skog AB</t>
        </is>
      </c>
      <c r="G344" t="n">
        <v>2</v>
      </c>
      <c r="H344" t="n">
        <v>0</v>
      </c>
      <c r="I344" t="n">
        <v>0</v>
      </c>
      <c r="J344" t="n">
        <v>0</v>
      </c>
      <c r="K344" t="n">
        <v>0</v>
      </c>
      <c r="L344" t="n">
        <v>0</v>
      </c>
      <c r="M344" t="n">
        <v>0</v>
      </c>
      <c r="N344" t="n">
        <v>0</v>
      </c>
      <c r="O344" t="n">
        <v>0</v>
      </c>
      <c r="P344" t="n">
        <v>0</v>
      </c>
      <c r="Q344" t="n">
        <v>0</v>
      </c>
      <c r="R344" s="2" t="inlineStr"/>
    </row>
    <row r="345" ht="15" customHeight="1">
      <c r="A345" t="inlineStr">
        <is>
          <t>A 48528-2021</t>
        </is>
      </c>
      <c r="B345" s="1" t="n">
        <v>44449</v>
      </c>
      <c r="C345" s="1" t="n">
        <v>45936</v>
      </c>
      <c r="D345" t="inlineStr">
        <is>
          <t>SÖDERMANLANDS LÄN</t>
        </is>
      </c>
      <c r="E345" t="inlineStr">
        <is>
          <t>KATRINEHOLM</t>
        </is>
      </c>
      <c r="G345" t="n">
        <v>0.7</v>
      </c>
      <c r="H345" t="n">
        <v>0</v>
      </c>
      <c r="I345" t="n">
        <v>0</v>
      </c>
      <c r="J345" t="n">
        <v>0</v>
      </c>
      <c r="K345" t="n">
        <v>0</v>
      </c>
      <c r="L345" t="n">
        <v>0</v>
      </c>
      <c r="M345" t="n">
        <v>0</v>
      </c>
      <c r="N345" t="n">
        <v>0</v>
      </c>
      <c r="O345" t="n">
        <v>0</v>
      </c>
      <c r="P345" t="n">
        <v>0</v>
      </c>
      <c r="Q345" t="n">
        <v>0</v>
      </c>
      <c r="R345" s="2" t="inlineStr"/>
    </row>
    <row r="346" ht="15" customHeight="1">
      <c r="A346" t="inlineStr">
        <is>
          <t>A 28675-2024</t>
        </is>
      </c>
      <c r="B346" s="1" t="n">
        <v>45478</v>
      </c>
      <c r="C346" s="1" t="n">
        <v>45936</v>
      </c>
      <c r="D346" t="inlineStr">
        <is>
          <t>SÖDERMANLANDS LÄN</t>
        </is>
      </c>
      <c r="E346" t="inlineStr">
        <is>
          <t>KATRINEHOLM</t>
        </is>
      </c>
      <c r="F346" t="inlineStr">
        <is>
          <t>Övriga Aktiebolag</t>
        </is>
      </c>
      <c r="G346" t="n">
        <v>3.5</v>
      </c>
      <c r="H346" t="n">
        <v>0</v>
      </c>
      <c r="I346" t="n">
        <v>0</v>
      </c>
      <c r="J346" t="n">
        <v>0</v>
      </c>
      <c r="K346" t="n">
        <v>0</v>
      </c>
      <c r="L346" t="n">
        <v>0</v>
      </c>
      <c r="M346" t="n">
        <v>0</v>
      </c>
      <c r="N346" t="n">
        <v>0</v>
      </c>
      <c r="O346" t="n">
        <v>0</v>
      </c>
      <c r="P346" t="n">
        <v>0</v>
      </c>
      <c r="Q346" t="n">
        <v>0</v>
      </c>
      <c r="R346" s="2" t="inlineStr"/>
    </row>
    <row r="347" ht="15" customHeight="1">
      <c r="A347" t="inlineStr">
        <is>
          <t>A 36001-2024</t>
        </is>
      </c>
      <c r="B347" s="1" t="n">
        <v>45533.54609953704</v>
      </c>
      <c r="C347" s="1" t="n">
        <v>45936</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36-2023</t>
        </is>
      </c>
      <c r="B348" s="1" t="n">
        <v>44928.36578703704</v>
      </c>
      <c r="C348" s="1" t="n">
        <v>45936</v>
      </c>
      <c r="D348" t="inlineStr">
        <is>
          <t>SÖDERMANLANDS LÄN</t>
        </is>
      </c>
      <c r="E348" t="inlineStr">
        <is>
          <t>KATRINEHOLM</t>
        </is>
      </c>
      <c r="G348" t="n">
        <v>3.7</v>
      </c>
      <c r="H348" t="n">
        <v>0</v>
      </c>
      <c r="I348" t="n">
        <v>0</v>
      </c>
      <c r="J348" t="n">
        <v>0</v>
      </c>
      <c r="K348" t="n">
        <v>0</v>
      </c>
      <c r="L348" t="n">
        <v>0</v>
      </c>
      <c r="M348" t="n">
        <v>0</v>
      </c>
      <c r="N348" t="n">
        <v>0</v>
      </c>
      <c r="O348" t="n">
        <v>0</v>
      </c>
      <c r="P348" t="n">
        <v>0</v>
      </c>
      <c r="Q348" t="n">
        <v>0</v>
      </c>
      <c r="R348" s="2" t="inlineStr"/>
    </row>
    <row r="349" ht="15" customHeight="1">
      <c r="A349" t="inlineStr">
        <is>
          <t>A 27852-2023</t>
        </is>
      </c>
      <c r="B349" s="1" t="n">
        <v>45098</v>
      </c>
      <c r="C349" s="1" t="n">
        <v>45936</v>
      </c>
      <c r="D349" t="inlineStr">
        <is>
          <t>SÖDERMANLANDS LÄN</t>
        </is>
      </c>
      <c r="E349" t="inlineStr">
        <is>
          <t>KATRINEHOLM</t>
        </is>
      </c>
      <c r="G349" t="n">
        <v>7.4</v>
      </c>
      <c r="H349" t="n">
        <v>0</v>
      </c>
      <c r="I349" t="n">
        <v>0</v>
      </c>
      <c r="J349" t="n">
        <v>0</v>
      </c>
      <c r="K349" t="n">
        <v>0</v>
      </c>
      <c r="L349" t="n">
        <v>0</v>
      </c>
      <c r="M349" t="n">
        <v>0</v>
      </c>
      <c r="N349" t="n">
        <v>0</v>
      </c>
      <c r="O349" t="n">
        <v>0</v>
      </c>
      <c r="P349" t="n">
        <v>0</v>
      </c>
      <c r="Q349" t="n">
        <v>0</v>
      </c>
      <c r="R349" s="2" t="inlineStr"/>
    </row>
    <row r="350" ht="15" customHeight="1">
      <c r="A350" t="inlineStr">
        <is>
          <t>A 1143-2024</t>
        </is>
      </c>
      <c r="B350" s="1" t="n">
        <v>45302</v>
      </c>
      <c r="C350" s="1" t="n">
        <v>45936</v>
      </c>
      <c r="D350" t="inlineStr">
        <is>
          <t>SÖDERMANLANDS LÄN</t>
        </is>
      </c>
      <c r="E350" t="inlineStr">
        <is>
          <t>KATRINEHOLM</t>
        </is>
      </c>
      <c r="G350" t="n">
        <v>1.7</v>
      </c>
      <c r="H350" t="n">
        <v>0</v>
      </c>
      <c r="I350" t="n">
        <v>0</v>
      </c>
      <c r="J350" t="n">
        <v>0</v>
      </c>
      <c r="K350" t="n">
        <v>0</v>
      </c>
      <c r="L350" t="n">
        <v>0</v>
      </c>
      <c r="M350" t="n">
        <v>0</v>
      </c>
      <c r="N350" t="n">
        <v>0</v>
      </c>
      <c r="O350" t="n">
        <v>0</v>
      </c>
      <c r="P350" t="n">
        <v>0</v>
      </c>
      <c r="Q350" t="n">
        <v>0</v>
      </c>
      <c r="R350" s="2" t="inlineStr"/>
    </row>
    <row r="351" ht="15" customHeight="1">
      <c r="A351" t="inlineStr">
        <is>
          <t>A 33790-2024</t>
        </is>
      </c>
      <c r="B351" s="1" t="n">
        <v>45520.59179398148</v>
      </c>
      <c r="C351" s="1" t="n">
        <v>45936</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41267-2023</t>
        </is>
      </c>
      <c r="B352" s="1" t="n">
        <v>45174</v>
      </c>
      <c r="C352" s="1" t="n">
        <v>45936</v>
      </c>
      <c r="D352" t="inlineStr">
        <is>
          <t>SÖDERMANLANDS LÄN</t>
        </is>
      </c>
      <c r="E352" t="inlineStr">
        <is>
          <t>KATRINEHOLM</t>
        </is>
      </c>
      <c r="F352" t="inlineStr">
        <is>
          <t>Holmen skog AB</t>
        </is>
      </c>
      <c r="G352" t="n">
        <v>4.5</v>
      </c>
      <c r="H352" t="n">
        <v>0</v>
      </c>
      <c r="I352" t="n">
        <v>0</v>
      </c>
      <c r="J352" t="n">
        <v>0</v>
      </c>
      <c r="K352" t="n">
        <v>0</v>
      </c>
      <c r="L352" t="n">
        <v>0</v>
      </c>
      <c r="M352" t="n">
        <v>0</v>
      </c>
      <c r="N352" t="n">
        <v>0</v>
      </c>
      <c r="O352" t="n">
        <v>0</v>
      </c>
      <c r="P352" t="n">
        <v>0</v>
      </c>
      <c r="Q352" t="n">
        <v>0</v>
      </c>
      <c r="R352" s="2" t="inlineStr"/>
    </row>
    <row r="353" ht="15" customHeight="1">
      <c r="A353" t="inlineStr">
        <is>
          <t>A 59749-2020</t>
        </is>
      </c>
      <c r="B353" s="1" t="n">
        <v>44151</v>
      </c>
      <c r="C353" s="1" t="n">
        <v>45936</v>
      </c>
      <c r="D353" t="inlineStr">
        <is>
          <t>SÖDERMANLANDS LÄN</t>
        </is>
      </c>
      <c r="E353" t="inlineStr">
        <is>
          <t>KATRINEHOLM</t>
        </is>
      </c>
      <c r="G353" t="n">
        <v>2.1</v>
      </c>
      <c r="H353" t="n">
        <v>0</v>
      </c>
      <c r="I353" t="n">
        <v>0</v>
      </c>
      <c r="J353" t="n">
        <v>0</v>
      </c>
      <c r="K353" t="n">
        <v>0</v>
      </c>
      <c r="L353" t="n">
        <v>0</v>
      </c>
      <c r="M353" t="n">
        <v>0</v>
      </c>
      <c r="N353" t="n">
        <v>0</v>
      </c>
      <c r="O353" t="n">
        <v>0</v>
      </c>
      <c r="P353" t="n">
        <v>0</v>
      </c>
      <c r="Q353" t="n">
        <v>0</v>
      </c>
      <c r="R353" s="2" t="inlineStr"/>
    </row>
    <row r="354" ht="15" customHeight="1">
      <c r="A354" t="inlineStr">
        <is>
          <t>A 53809-2021</t>
        </is>
      </c>
      <c r="B354" s="1" t="n">
        <v>44467</v>
      </c>
      <c r="C354" s="1" t="n">
        <v>45936</v>
      </c>
      <c r="D354" t="inlineStr">
        <is>
          <t>SÖDERMANLANDS LÄN</t>
        </is>
      </c>
      <c r="E354" t="inlineStr">
        <is>
          <t>KATRINEHOLM</t>
        </is>
      </c>
      <c r="G354" t="n">
        <v>7</v>
      </c>
      <c r="H354" t="n">
        <v>0</v>
      </c>
      <c r="I354" t="n">
        <v>0</v>
      </c>
      <c r="J354" t="n">
        <v>0</v>
      </c>
      <c r="K354" t="n">
        <v>0</v>
      </c>
      <c r="L354" t="n">
        <v>0</v>
      </c>
      <c r="M354" t="n">
        <v>0</v>
      </c>
      <c r="N354" t="n">
        <v>0</v>
      </c>
      <c r="O354" t="n">
        <v>0</v>
      </c>
      <c r="P354" t="n">
        <v>0</v>
      </c>
      <c r="Q354" t="n">
        <v>0</v>
      </c>
      <c r="R354" s="2" t="inlineStr"/>
    </row>
    <row r="355" ht="15" customHeight="1">
      <c r="A355" t="inlineStr">
        <is>
          <t>A 4758-2025</t>
        </is>
      </c>
      <c r="B355" s="1" t="n">
        <v>45688</v>
      </c>
      <c r="C355" s="1" t="n">
        <v>45936</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46569-2022</t>
        </is>
      </c>
      <c r="B356" s="1" t="n">
        <v>44847</v>
      </c>
      <c r="C356" s="1" t="n">
        <v>45936</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19098-2022</t>
        </is>
      </c>
      <c r="B357" s="1" t="n">
        <v>44691.52616898148</v>
      </c>
      <c r="C357" s="1" t="n">
        <v>45936</v>
      </c>
      <c r="D357" t="inlineStr">
        <is>
          <t>SÖDERMANLANDS LÄN</t>
        </is>
      </c>
      <c r="E357" t="inlineStr">
        <is>
          <t>KATRINEHOLM</t>
        </is>
      </c>
      <c r="G357" t="n">
        <v>5.5</v>
      </c>
      <c r="H357" t="n">
        <v>0</v>
      </c>
      <c r="I357" t="n">
        <v>0</v>
      </c>
      <c r="J357" t="n">
        <v>0</v>
      </c>
      <c r="K357" t="n">
        <v>0</v>
      </c>
      <c r="L357" t="n">
        <v>0</v>
      </c>
      <c r="M357" t="n">
        <v>0</v>
      </c>
      <c r="N357" t="n">
        <v>0</v>
      </c>
      <c r="O357" t="n">
        <v>0</v>
      </c>
      <c r="P357" t="n">
        <v>0</v>
      </c>
      <c r="Q357" t="n">
        <v>0</v>
      </c>
      <c r="R357" s="2" t="inlineStr"/>
    </row>
    <row r="358" ht="15" customHeight="1">
      <c r="A358" t="inlineStr">
        <is>
          <t>A 51530-2023</t>
        </is>
      </c>
      <c r="B358" s="1" t="n">
        <v>45222</v>
      </c>
      <c r="C358" s="1" t="n">
        <v>45936</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28317-2024</t>
        </is>
      </c>
      <c r="B359" s="1" t="n">
        <v>45477</v>
      </c>
      <c r="C359" s="1" t="n">
        <v>45936</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46288-2025</t>
        </is>
      </c>
      <c r="B360" s="1" t="n">
        <v>45925.38545138889</v>
      </c>
      <c r="C360" s="1" t="n">
        <v>45936</v>
      </c>
      <c r="D360" t="inlineStr">
        <is>
          <t>SÖDERMANLANDS LÄN</t>
        </is>
      </c>
      <c r="E360" t="inlineStr">
        <is>
          <t>KATRINEHOLM</t>
        </is>
      </c>
      <c r="G360" t="n">
        <v>0.4</v>
      </c>
      <c r="H360" t="n">
        <v>0</v>
      </c>
      <c r="I360" t="n">
        <v>0</v>
      </c>
      <c r="J360" t="n">
        <v>0</v>
      </c>
      <c r="K360" t="n">
        <v>0</v>
      </c>
      <c r="L360" t="n">
        <v>0</v>
      </c>
      <c r="M360" t="n">
        <v>0</v>
      </c>
      <c r="N360" t="n">
        <v>0</v>
      </c>
      <c r="O360" t="n">
        <v>0</v>
      </c>
      <c r="P360" t="n">
        <v>0</v>
      </c>
      <c r="Q360" t="n">
        <v>0</v>
      </c>
      <c r="R360" s="2" t="inlineStr"/>
    </row>
    <row r="361" ht="15" customHeight="1">
      <c r="A361" t="inlineStr">
        <is>
          <t>A 3315-2023</t>
        </is>
      </c>
      <c r="B361" s="1" t="n">
        <v>44945</v>
      </c>
      <c r="C361" s="1" t="n">
        <v>45936</v>
      </c>
      <c r="D361" t="inlineStr">
        <is>
          <t>SÖDERMANLANDS LÄN</t>
        </is>
      </c>
      <c r="E361" t="inlineStr">
        <is>
          <t>KATRINEHOLM</t>
        </is>
      </c>
      <c r="G361" t="n">
        <v>0.8</v>
      </c>
      <c r="H361" t="n">
        <v>0</v>
      </c>
      <c r="I361" t="n">
        <v>0</v>
      </c>
      <c r="J361" t="n">
        <v>0</v>
      </c>
      <c r="K361" t="n">
        <v>0</v>
      </c>
      <c r="L361" t="n">
        <v>0</v>
      </c>
      <c r="M361" t="n">
        <v>0</v>
      </c>
      <c r="N361" t="n">
        <v>0</v>
      </c>
      <c r="O361" t="n">
        <v>0</v>
      </c>
      <c r="P361" t="n">
        <v>0</v>
      </c>
      <c r="Q361" t="n">
        <v>0</v>
      </c>
      <c r="R361" s="2" t="inlineStr"/>
    </row>
    <row r="362" ht="15" customHeight="1">
      <c r="A362" t="inlineStr">
        <is>
          <t>A 3980-2024</t>
        </is>
      </c>
      <c r="B362" s="1" t="n">
        <v>45322</v>
      </c>
      <c r="C362" s="1" t="n">
        <v>45936</v>
      </c>
      <c r="D362" t="inlineStr">
        <is>
          <t>SÖDERMANLANDS LÄN</t>
        </is>
      </c>
      <c r="E362" t="inlineStr">
        <is>
          <t>KATRINEHOLM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2093-2025</t>
        </is>
      </c>
      <c r="B363" s="1" t="n">
        <v>45672</v>
      </c>
      <c r="C363" s="1" t="n">
        <v>45936</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11543-2025</t>
        </is>
      </c>
      <c r="B364" s="1" t="n">
        <v>45727.34248842593</v>
      </c>
      <c r="C364" s="1" t="n">
        <v>45936</v>
      </c>
      <c r="D364" t="inlineStr">
        <is>
          <t>SÖDERMANLANDS LÄN</t>
        </is>
      </c>
      <c r="E364" t="inlineStr">
        <is>
          <t>KATRINEHOLM</t>
        </is>
      </c>
      <c r="G364" t="n">
        <v>3.6</v>
      </c>
      <c r="H364" t="n">
        <v>0</v>
      </c>
      <c r="I364" t="n">
        <v>0</v>
      </c>
      <c r="J364" t="n">
        <v>0</v>
      </c>
      <c r="K364" t="n">
        <v>0</v>
      </c>
      <c r="L364" t="n">
        <v>0</v>
      </c>
      <c r="M364" t="n">
        <v>0</v>
      </c>
      <c r="N364" t="n">
        <v>0</v>
      </c>
      <c r="O364" t="n">
        <v>0</v>
      </c>
      <c r="P364" t="n">
        <v>0</v>
      </c>
      <c r="Q364" t="n">
        <v>0</v>
      </c>
      <c r="R364" s="2" t="inlineStr"/>
    </row>
    <row r="365" ht="15" customHeight="1">
      <c r="A365" t="inlineStr">
        <is>
          <t>A 35228-2025</t>
        </is>
      </c>
      <c r="B365" s="1" t="n">
        <v>45853</v>
      </c>
      <c r="C365" s="1" t="n">
        <v>45936</v>
      </c>
      <c r="D365" t="inlineStr">
        <is>
          <t>SÖDERMANLANDS LÄN</t>
        </is>
      </c>
      <c r="E365" t="inlineStr">
        <is>
          <t>KATRINEHOLM</t>
        </is>
      </c>
      <c r="G365" t="n">
        <v>1.1</v>
      </c>
      <c r="H365" t="n">
        <v>0</v>
      </c>
      <c r="I365" t="n">
        <v>0</v>
      </c>
      <c r="J365" t="n">
        <v>0</v>
      </c>
      <c r="K365" t="n">
        <v>0</v>
      </c>
      <c r="L365" t="n">
        <v>0</v>
      </c>
      <c r="M365" t="n">
        <v>0</v>
      </c>
      <c r="N365" t="n">
        <v>0</v>
      </c>
      <c r="O365" t="n">
        <v>0</v>
      </c>
      <c r="P365" t="n">
        <v>0</v>
      </c>
      <c r="Q365" t="n">
        <v>0</v>
      </c>
      <c r="R365" s="2" t="inlineStr"/>
    </row>
    <row r="366" ht="15" customHeight="1">
      <c r="A366" t="inlineStr">
        <is>
          <t>A 17335-2023</t>
        </is>
      </c>
      <c r="B366" s="1" t="n">
        <v>45033</v>
      </c>
      <c r="C366" s="1" t="n">
        <v>45936</v>
      </c>
      <c r="D366" t="inlineStr">
        <is>
          <t>SÖDERMANLANDS LÄN</t>
        </is>
      </c>
      <c r="E366" t="inlineStr">
        <is>
          <t>KATRINEHOLM</t>
        </is>
      </c>
      <c r="G366" t="n">
        <v>3.3</v>
      </c>
      <c r="H366" t="n">
        <v>0</v>
      </c>
      <c r="I366" t="n">
        <v>0</v>
      </c>
      <c r="J366" t="n">
        <v>0</v>
      </c>
      <c r="K366" t="n">
        <v>0</v>
      </c>
      <c r="L366" t="n">
        <v>0</v>
      </c>
      <c r="M366" t="n">
        <v>0</v>
      </c>
      <c r="N366" t="n">
        <v>0</v>
      </c>
      <c r="O366" t="n">
        <v>0</v>
      </c>
      <c r="P366" t="n">
        <v>0</v>
      </c>
      <c r="Q366" t="n">
        <v>0</v>
      </c>
      <c r="R366" s="2" t="inlineStr"/>
    </row>
    <row r="367" ht="15" customHeight="1">
      <c r="A367" t="inlineStr">
        <is>
          <t>A 59898-2022</t>
        </is>
      </c>
      <c r="B367" s="1" t="n">
        <v>44908</v>
      </c>
      <c r="C367" s="1" t="n">
        <v>45936</v>
      </c>
      <c r="D367" t="inlineStr">
        <is>
          <t>SÖDERMANLANDS LÄN</t>
        </is>
      </c>
      <c r="E367" t="inlineStr">
        <is>
          <t>KATRINEHOLM</t>
        </is>
      </c>
      <c r="G367" t="n">
        <v>4.8</v>
      </c>
      <c r="H367" t="n">
        <v>0</v>
      </c>
      <c r="I367" t="n">
        <v>0</v>
      </c>
      <c r="J367" t="n">
        <v>0</v>
      </c>
      <c r="K367" t="n">
        <v>0</v>
      </c>
      <c r="L367" t="n">
        <v>0</v>
      </c>
      <c r="M367" t="n">
        <v>0</v>
      </c>
      <c r="N367" t="n">
        <v>0</v>
      </c>
      <c r="O367" t="n">
        <v>0</v>
      </c>
      <c r="P367" t="n">
        <v>0</v>
      </c>
      <c r="Q367" t="n">
        <v>0</v>
      </c>
      <c r="R367" s="2" t="inlineStr"/>
    </row>
    <row r="368" ht="15" customHeight="1">
      <c r="A368" t="inlineStr">
        <is>
          <t>A 62424-2020</t>
        </is>
      </c>
      <c r="B368" s="1" t="n">
        <v>44160</v>
      </c>
      <c r="C368" s="1" t="n">
        <v>45936</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64657-2020</t>
        </is>
      </c>
      <c r="B369" s="1" t="n">
        <v>44169</v>
      </c>
      <c r="C369" s="1" t="n">
        <v>45936</v>
      </c>
      <c r="D369" t="inlineStr">
        <is>
          <t>SÖDERMANLANDS LÄN</t>
        </is>
      </c>
      <c r="E369" t="inlineStr">
        <is>
          <t>KATRINEHOLM</t>
        </is>
      </c>
      <c r="F369" t="inlineStr">
        <is>
          <t>Kyrkan</t>
        </is>
      </c>
      <c r="G369" t="n">
        <v>7.6</v>
      </c>
      <c r="H369" t="n">
        <v>0</v>
      </c>
      <c r="I369" t="n">
        <v>0</v>
      </c>
      <c r="J369" t="n">
        <v>0</v>
      </c>
      <c r="K369" t="n">
        <v>0</v>
      </c>
      <c r="L369" t="n">
        <v>0</v>
      </c>
      <c r="M369" t="n">
        <v>0</v>
      </c>
      <c r="N369" t="n">
        <v>0</v>
      </c>
      <c r="O369" t="n">
        <v>0</v>
      </c>
      <c r="P369" t="n">
        <v>0</v>
      </c>
      <c r="Q369" t="n">
        <v>0</v>
      </c>
      <c r="R369" s="2" t="inlineStr"/>
    </row>
    <row r="370" ht="15" customHeight="1">
      <c r="A370" t="inlineStr">
        <is>
          <t>A 52348-2021</t>
        </is>
      </c>
      <c r="B370" s="1" t="n">
        <v>44464.49756944444</v>
      </c>
      <c r="C370" s="1" t="n">
        <v>45936</v>
      </c>
      <c r="D370" t="inlineStr">
        <is>
          <t>SÖDERMANLANDS LÄN</t>
        </is>
      </c>
      <c r="E370" t="inlineStr">
        <is>
          <t>KATRINEHOLM</t>
        </is>
      </c>
      <c r="G370" t="n">
        <v>1.5</v>
      </c>
      <c r="H370" t="n">
        <v>0</v>
      </c>
      <c r="I370" t="n">
        <v>0</v>
      </c>
      <c r="J370" t="n">
        <v>0</v>
      </c>
      <c r="K370" t="n">
        <v>0</v>
      </c>
      <c r="L370" t="n">
        <v>0</v>
      </c>
      <c r="M370" t="n">
        <v>0</v>
      </c>
      <c r="N370" t="n">
        <v>0</v>
      </c>
      <c r="O370" t="n">
        <v>0</v>
      </c>
      <c r="P370" t="n">
        <v>0</v>
      </c>
      <c r="Q370" t="n">
        <v>0</v>
      </c>
      <c r="R370" s="2" t="inlineStr"/>
    </row>
    <row r="371" ht="15" customHeight="1">
      <c r="A371" t="inlineStr">
        <is>
          <t>A 5795-2022</t>
        </is>
      </c>
      <c r="B371" s="1" t="n">
        <v>44596</v>
      </c>
      <c r="C371" s="1" t="n">
        <v>45936</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55590-2023</t>
        </is>
      </c>
      <c r="B372" s="1" t="n">
        <v>45238</v>
      </c>
      <c r="C372" s="1" t="n">
        <v>45936</v>
      </c>
      <c r="D372" t="inlineStr">
        <is>
          <t>SÖDERMANLANDS LÄN</t>
        </is>
      </c>
      <c r="E372" t="inlineStr">
        <is>
          <t>KATRINEHOLM</t>
        </is>
      </c>
      <c r="G372" t="n">
        <v>4.5</v>
      </c>
      <c r="H372" t="n">
        <v>0</v>
      </c>
      <c r="I372" t="n">
        <v>0</v>
      </c>
      <c r="J372" t="n">
        <v>0</v>
      </c>
      <c r="K372" t="n">
        <v>0</v>
      </c>
      <c r="L372" t="n">
        <v>0</v>
      </c>
      <c r="M372" t="n">
        <v>0</v>
      </c>
      <c r="N372" t="n">
        <v>0</v>
      </c>
      <c r="O372" t="n">
        <v>0</v>
      </c>
      <c r="P372" t="n">
        <v>0</v>
      </c>
      <c r="Q372" t="n">
        <v>0</v>
      </c>
      <c r="R372" s="2" t="inlineStr"/>
    </row>
    <row r="373" ht="15" customHeight="1">
      <c r="A373" t="inlineStr">
        <is>
          <t>A 73412-2021</t>
        </is>
      </c>
      <c r="B373" s="1" t="n">
        <v>44551</v>
      </c>
      <c r="C373" s="1" t="n">
        <v>45936</v>
      </c>
      <c r="D373" t="inlineStr">
        <is>
          <t>SÖDERMANLANDS LÄN</t>
        </is>
      </c>
      <c r="E373" t="inlineStr">
        <is>
          <t>KATRINEHOLM</t>
        </is>
      </c>
      <c r="G373" t="n">
        <v>2</v>
      </c>
      <c r="H373" t="n">
        <v>0</v>
      </c>
      <c r="I373" t="n">
        <v>0</v>
      </c>
      <c r="J373" t="n">
        <v>0</v>
      </c>
      <c r="K373" t="n">
        <v>0</v>
      </c>
      <c r="L373" t="n">
        <v>0</v>
      </c>
      <c r="M373" t="n">
        <v>0</v>
      </c>
      <c r="N373" t="n">
        <v>0</v>
      </c>
      <c r="O373" t="n">
        <v>0</v>
      </c>
      <c r="P373" t="n">
        <v>0</v>
      </c>
      <c r="Q373" t="n">
        <v>0</v>
      </c>
      <c r="R373" s="2" t="inlineStr"/>
    </row>
    <row r="374" ht="15" customHeight="1">
      <c r="A374" t="inlineStr">
        <is>
          <t>A 28995-2024</t>
        </is>
      </c>
      <c r="B374" s="1" t="n">
        <v>45481.49899305555</v>
      </c>
      <c r="C374" s="1" t="n">
        <v>45936</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46257-2021</t>
        </is>
      </c>
      <c r="B375" s="1" t="n">
        <v>44442</v>
      </c>
      <c r="C375" s="1" t="n">
        <v>45936</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28597-2024</t>
        </is>
      </c>
      <c r="B376" s="1" t="n">
        <v>45478</v>
      </c>
      <c r="C376" s="1" t="n">
        <v>45936</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49341-2024</t>
        </is>
      </c>
      <c r="B377" s="1" t="n">
        <v>45595</v>
      </c>
      <c r="C377" s="1" t="n">
        <v>45936</v>
      </c>
      <c r="D377" t="inlineStr">
        <is>
          <t>SÖDERMANLANDS LÄN</t>
        </is>
      </c>
      <c r="E377" t="inlineStr">
        <is>
          <t>KATRINEHOLM</t>
        </is>
      </c>
      <c r="G377" t="n">
        <v>10</v>
      </c>
      <c r="H377" t="n">
        <v>0</v>
      </c>
      <c r="I377" t="n">
        <v>0</v>
      </c>
      <c r="J377" t="n">
        <v>0</v>
      </c>
      <c r="K377" t="n">
        <v>0</v>
      </c>
      <c r="L377" t="n">
        <v>0</v>
      </c>
      <c r="M377" t="n">
        <v>0</v>
      </c>
      <c r="N377" t="n">
        <v>0</v>
      </c>
      <c r="O377" t="n">
        <v>0</v>
      </c>
      <c r="P377" t="n">
        <v>0</v>
      </c>
      <c r="Q377" t="n">
        <v>0</v>
      </c>
      <c r="R377" s="2" t="inlineStr"/>
    </row>
    <row r="378" ht="15" customHeight="1">
      <c r="A378" t="inlineStr">
        <is>
          <t>A 5320-2025</t>
        </is>
      </c>
      <c r="B378" s="1" t="n">
        <v>45692</v>
      </c>
      <c r="C378" s="1" t="n">
        <v>45936</v>
      </c>
      <c r="D378" t="inlineStr">
        <is>
          <t>SÖDERMANLANDS LÄN</t>
        </is>
      </c>
      <c r="E378" t="inlineStr">
        <is>
          <t>KATRINEHOLM</t>
        </is>
      </c>
      <c r="F378" t="inlineStr">
        <is>
          <t>Kommuner</t>
        </is>
      </c>
      <c r="G378" t="n">
        <v>0.9</v>
      </c>
      <c r="H378" t="n">
        <v>0</v>
      </c>
      <c r="I378" t="n">
        <v>0</v>
      </c>
      <c r="J378" t="n">
        <v>0</v>
      </c>
      <c r="K378" t="n">
        <v>0</v>
      </c>
      <c r="L378" t="n">
        <v>0</v>
      </c>
      <c r="M378" t="n">
        <v>0</v>
      </c>
      <c r="N378" t="n">
        <v>0</v>
      </c>
      <c r="O378" t="n">
        <v>0</v>
      </c>
      <c r="P378" t="n">
        <v>0</v>
      </c>
      <c r="Q378" t="n">
        <v>0</v>
      </c>
      <c r="R378" s="2" t="inlineStr"/>
    </row>
    <row r="379" ht="15" customHeight="1">
      <c r="A379" t="inlineStr">
        <is>
          <t>A 49914-2023</t>
        </is>
      </c>
      <c r="B379" s="1" t="n">
        <v>45214</v>
      </c>
      <c r="C379" s="1" t="n">
        <v>45936</v>
      </c>
      <c r="D379" t="inlineStr">
        <is>
          <t>SÖDERMANLANDS LÄN</t>
        </is>
      </c>
      <c r="E379" t="inlineStr">
        <is>
          <t>KATRINEHOLM</t>
        </is>
      </c>
      <c r="G379" t="n">
        <v>1.4</v>
      </c>
      <c r="H379" t="n">
        <v>0</v>
      </c>
      <c r="I379" t="n">
        <v>0</v>
      </c>
      <c r="J379" t="n">
        <v>0</v>
      </c>
      <c r="K379" t="n">
        <v>0</v>
      </c>
      <c r="L379" t="n">
        <v>0</v>
      </c>
      <c r="M379" t="n">
        <v>0</v>
      </c>
      <c r="N379" t="n">
        <v>0</v>
      </c>
      <c r="O379" t="n">
        <v>0</v>
      </c>
      <c r="P379" t="n">
        <v>0</v>
      </c>
      <c r="Q379" t="n">
        <v>0</v>
      </c>
      <c r="R379" s="2" t="inlineStr"/>
    </row>
    <row r="380" ht="15" customHeight="1">
      <c r="A380" t="inlineStr">
        <is>
          <t>A 20826-2022</t>
        </is>
      </c>
      <c r="B380" s="1" t="n">
        <v>44701.44754629629</v>
      </c>
      <c r="C380" s="1" t="n">
        <v>45936</v>
      </c>
      <c r="D380" t="inlineStr">
        <is>
          <t>SÖDERMANLANDS LÄN</t>
        </is>
      </c>
      <c r="E380" t="inlineStr">
        <is>
          <t>KATRINEHOLM</t>
        </is>
      </c>
      <c r="G380" t="n">
        <v>6.8</v>
      </c>
      <c r="H380" t="n">
        <v>0</v>
      </c>
      <c r="I380" t="n">
        <v>0</v>
      </c>
      <c r="J380" t="n">
        <v>0</v>
      </c>
      <c r="K380" t="n">
        <v>0</v>
      </c>
      <c r="L380" t="n">
        <v>0</v>
      </c>
      <c r="M380" t="n">
        <v>0</v>
      </c>
      <c r="N380" t="n">
        <v>0</v>
      </c>
      <c r="O380" t="n">
        <v>0</v>
      </c>
      <c r="P380" t="n">
        <v>0</v>
      </c>
      <c r="Q380" t="n">
        <v>0</v>
      </c>
      <c r="R380" s="2" t="inlineStr"/>
    </row>
    <row r="381" ht="15" customHeight="1">
      <c r="A381" t="inlineStr">
        <is>
          <t>A 20846-2022</t>
        </is>
      </c>
      <c r="B381" s="1" t="n">
        <v>44701.4744212963</v>
      </c>
      <c r="C381" s="1" t="n">
        <v>45936</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44637-2023</t>
        </is>
      </c>
      <c r="B382" s="1" t="n">
        <v>45189</v>
      </c>
      <c r="C382" s="1" t="n">
        <v>45936</v>
      </c>
      <c r="D382" t="inlineStr">
        <is>
          <t>SÖDERMANLANDS LÄN</t>
        </is>
      </c>
      <c r="E382" t="inlineStr">
        <is>
          <t>KATRINEHOLM</t>
        </is>
      </c>
      <c r="G382" t="n">
        <v>5.1</v>
      </c>
      <c r="H382" t="n">
        <v>0</v>
      </c>
      <c r="I382" t="n">
        <v>0</v>
      </c>
      <c r="J382" t="n">
        <v>0</v>
      </c>
      <c r="K382" t="n">
        <v>0</v>
      </c>
      <c r="L382" t="n">
        <v>0</v>
      </c>
      <c r="M382" t="n">
        <v>0</v>
      </c>
      <c r="N382" t="n">
        <v>0</v>
      </c>
      <c r="O382" t="n">
        <v>0</v>
      </c>
      <c r="P382" t="n">
        <v>0</v>
      </c>
      <c r="Q382" t="n">
        <v>0</v>
      </c>
      <c r="R382" s="2" t="inlineStr"/>
    </row>
    <row r="383" ht="15" customHeight="1">
      <c r="A383" t="inlineStr">
        <is>
          <t>A 58522-2024</t>
        </is>
      </c>
      <c r="B383" s="1" t="n">
        <v>45635.43770833333</v>
      </c>
      <c r="C383" s="1" t="n">
        <v>45936</v>
      </c>
      <c r="D383" t="inlineStr">
        <is>
          <t>SÖDERMANLANDS LÄN</t>
        </is>
      </c>
      <c r="E383" t="inlineStr">
        <is>
          <t>KATRINEHOLM</t>
        </is>
      </c>
      <c r="G383" t="n">
        <v>2</v>
      </c>
      <c r="H383" t="n">
        <v>0</v>
      </c>
      <c r="I383" t="n">
        <v>0</v>
      </c>
      <c r="J383" t="n">
        <v>0</v>
      </c>
      <c r="K383" t="n">
        <v>0</v>
      </c>
      <c r="L383" t="n">
        <v>0</v>
      </c>
      <c r="M383" t="n">
        <v>0</v>
      </c>
      <c r="N383" t="n">
        <v>0</v>
      </c>
      <c r="O383" t="n">
        <v>0</v>
      </c>
      <c r="P383" t="n">
        <v>0</v>
      </c>
      <c r="Q383" t="n">
        <v>0</v>
      </c>
      <c r="R383" s="2" t="inlineStr"/>
    </row>
    <row r="384" ht="15" customHeight="1">
      <c r="A384" t="inlineStr">
        <is>
          <t>A 57687-2020</t>
        </is>
      </c>
      <c r="B384" s="1" t="n">
        <v>44140</v>
      </c>
      <c r="C384" s="1" t="n">
        <v>45936</v>
      </c>
      <c r="D384" t="inlineStr">
        <is>
          <t>SÖDERMANLANDS LÄN</t>
        </is>
      </c>
      <c r="E384" t="inlineStr">
        <is>
          <t>KATRINEHOLM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20921-2023</t>
        </is>
      </c>
      <c r="B385" s="1" t="n">
        <v>45061</v>
      </c>
      <c r="C385" s="1" t="n">
        <v>45936</v>
      </c>
      <c r="D385" t="inlineStr">
        <is>
          <t>SÖDERMANLANDS LÄN</t>
        </is>
      </c>
      <c r="E385" t="inlineStr">
        <is>
          <t>KATRINEHOLM</t>
        </is>
      </c>
      <c r="G385" t="n">
        <v>8.9</v>
      </c>
      <c r="H385" t="n">
        <v>0</v>
      </c>
      <c r="I385" t="n">
        <v>0</v>
      </c>
      <c r="J385" t="n">
        <v>0</v>
      </c>
      <c r="K385" t="n">
        <v>0</v>
      </c>
      <c r="L385" t="n">
        <v>0</v>
      </c>
      <c r="M385" t="n">
        <v>0</v>
      </c>
      <c r="N385" t="n">
        <v>0</v>
      </c>
      <c r="O385" t="n">
        <v>0</v>
      </c>
      <c r="P385" t="n">
        <v>0</v>
      </c>
      <c r="Q385" t="n">
        <v>0</v>
      </c>
      <c r="R385" s="2" t="inlineStr"/>
    </row>
    <row r="386" ht="15" customHeight="1">
      <c r="A386" t="inlineStr">
        <is>
          <t>A 17246-2024</t>
        </is>
      </c>
      <c r="B386" s="1" t="n">
        <v>45414</v>
      </c>
      <c r="C386" s="1" t="n">
        <v>45936</v>
      </c>
      <c r="D386" t="inlineStr">
        <is>
          <t>SÖDERMANLANDS LÄN</t>
        </is>
      </c>
      <c r="E386" t="inlineStr">
        <is>
          <t>KATRINEHOLM</t>
        </is>
      </c>
      <c r="F386" t="inlineStr">
        <is>
          <t>Allmännings- och besparingsskogar</t>
        </is>
      </c>
      <c r="G386" t="n">
        <v>13.7</v>
      </c>
      <c r="H386" t="n">
        <v>0</v>
      </c>
      <c r="I386" t="n">
        <v>0</v>
      </c>
      <c r="J386" t="n">
        <v>0</v>
      </c>
      <c r="K386" t="n">
        <v>0</v>
      </c>
      <c r="L386" t="n">
        <v>0</v>
      </c>
      <c r="M386" t="n">
        <v>0</v>
      </c>
      <c r="N386" t="n">
        <v>0</v>
      </c>
      <c r="O386" t="n">
        <v>0</v>
      </c>
      <c r="P386" t="n">
        <v>0</v>
      </c>
      <c r="Q386" t="n">
        <v>0</v>
      </c>
      <c r="R386" s="2" t="inlineStr"/>
    </row>
    <row r="387" ht="15" customHeight="1">
      <c r="A387" t="inlineStr">
        <is>
          <t>A 12929-2023</t>
        </is>
      </c>
      <c r="B387" s="1" t="n">
        <v>45001</v>
      </c>
      <c r="C387" s="1" t="n">
        <v>45936</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12932-2023</t>
        </is>
      </c>
      <c r="B388" s="1" t="n">
        <v>45001</v>
      </c>
      <c r="C388" s="1" t="n">
        <v>45936</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55038-2020</t>
        </is>
      </c>
      <c r="B389" s="1" t="n">
        <v>44130</v>
      </c>
      <c r="C389" s="1" t="n">
        <v>45936</v>
      </c>
      <c r="D389" t="inlineStr">
        <is>
          <t>SÖDERMANLANDS LÄN</t>
        </is>
      </c>
      <c r="E389" t="inlineStr">
        <is>
          <t>KATRINEHOLM</t>
        </is>
      </c>
      <c r="G389" t="n">
        <v>3.2</v>
      </c>
      <c r="H389" t="n">
        <v>0</v>
      </c>
      <c r="I389" t="n">
        <v>0</v>
      </c>
      <c r="J389" t="n">
        <v>0</v>
      </c>
      <c r="K389" t="n">
        <v>0</v>
      </c>
      <c r="L389" t="n">
        <v>0</v>
      </c>
      <c r="M389" t="n">
        <v>0</v>
      </c>
      <c r="N389" t="n">
        <v>0</v>
      </c>
      <c r="O389" t="n">
        <v>0</v>
      </c>
      <c r="P389" t="n">
        <v>0</v>
      </c>
      <c r="Q389" t="n">
        <v>0</v>
      </c>
      <c r="R389" s="2" t="inlineStr"/>
    </row>
    <row r="390" ht="15" customHeight="1">
      <c r="A390" t="inlineStr">
        <is>
          <t>A 6446-2022</t>
        </is>
      </c>
      <c r="B390" s="1" t="n">
        <v>44600</v>
      </c>
      <c r="C390" s="1" t="n">
        <v>45936</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4724-2023</t>
        </is>
      </c>
      <c r="B391" s="1" t="n">
        <v>44957</v>
      </c>
      <c r="C391" s="1" t="n">
        <v>45936</v>
      </c>
      <c r="D391" t="inlineStr">
        <is>
          <t>SÖDERMANLANDS LÄN</t>
        </is>
      </c>
      <c r="E391" t="inlineStr">
        <is>
          <t>KATRINEHOLM</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61431-2024</t>
        </is>
      </c>
      <c r="B392" s="1" t="n">
        <v>45646.45950231481</v>
      </c>
      <c r="C392" s="1" t="n">
        <v>45936</v>
      </c>
      <c r="D392" t="inlineStr">
        <is>
          <t>SÖDERMANLANDS LÄN</t>
        </is>
      </c>
      <c r="E392" t="inlineStr">
        <is>
          <t>KATRINEHOLM</t>
        </is>
      </c>
      <c r="G392" t="n">
        <v>0.8</v>
      </c>
      <c r="H392" t="n">
        <v>0</v>
      </c>
      <c r="I392" t="n">
        <v>0</v>
      </c>
      <c r="J392" t="n">
        <v>0</v>
      </c>
      <c r="K392" t="n">
        <v>0</v>
      </c>
      <c r="L392" t="n">
        <v>0</v>
      </c>
      <c r="M392" t="n">
        <v>0</v>
      </c>
      <c r="N392" t="n">
        <v>0</v>
      </c>
      <c r="O392" t="n">
        <v>0</v>
      </c>
      <c r="P392" t="n">
        <v>0</v>
      </c>
      <c r="Q392" t="n">
        <v>0</v>
      </c>
      <c r="R392" s="2" t="inlineStr"/>
    </row>
    <row r="393" ht="15" customHeight="1">
      <c r="A393" t="inlineStr">
        <is>
          <t>A 24097-2022</t>
        </is>
      </c>
      <c r="B393" s="1" t="n">
        <v>44725.39371527778</v>
      </c>
      <c r="C393" s="1" t="n">
        <v>45936</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53393-2023</t>
        </is>
      </c>
      <c r="B394" s="1" t="n">
        <v>45229</v>
      </c>
      <c r="C394" s="1" t="n">
        <v>45936</v>
      </c>
      <c r="D394" t="inlineStr">
        <is>
          <t>SÖDERMANLANDS LÄN</t>
        </is>
      </c>
      <c r="E394" t="inlineStr">
        <is>
          <t>KATRINEHOLM</t>
        </is>
      </c>
      <c r="F394" t="inlineStr">
        <is>
          <t>Kyrkan</t>
        </is>
      </c>
      <c r="G394" t="n">
        <v>5.6</v>
      </c>
      <c r="H394" t="n">
        <v>0</v>
      </c>
      <c r="I394" t="n">
        <v>0</v>
      </c>
      <c r="J394" t="n">
        <v>0</v>
      </c>
      <c r="K394" t="n">
        <v>0</v>
      </c>
      <c r="L394" t="n">
        <v>0</v>
      </c>
      <c r="M394" t="n">
        <v>0</v>
      </c>
      <c r="N394" t="n">
        <v>0</v>
      </c>
      <c r="O394" t="n">
        <v>0</v>
      </c>
      <c r="P394" t="n">
        <v>0</v>
      </c>
      <c r="Q394" t="n">
        <v>0</v>
      </c>
      <c r="R394" s="2" t="inlineStr"/>
    </row>
    <row r="395" ht="15" customHeight="1">
      <c r="A395" t="inlineStr">
        <is>
          <t>A 12930-2023</t>
        </is>
      </c>
      <c r="B395" s="1" t="n">
        <v>45001</v>
      </c>
      <c r="C395" s="1" t="n">
        <v>45936</v>
      </c>
      <c r="D395" t="inlineStr">
        <is>
          <t>SÖDERMANLANDS LÄN</t>
        </is>
      </c>
      <c r="E395" t="inlineStr">
        <is>
          <t>KATRINEHOLM</t>
        </is>
      </c>
      <c r="G395" t="n">
        <v>0.7</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45936</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23031-2024</t>
        </is>
      </c>
      <c r="B397" s="1" t="n">
        <v>45450.38120370371</v>
      </c>
      <c r="C397" s="1" t="n">
        <v>45936</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64657-2020</t>
        </is>
      </c>
      <c r="B398" s="1" t="n">
        <v>44169</v>
      </c>
      <c r="C398" s="1" t="n">
        <v>45936</v>
      </c>
      <c r="D398" t="inlineStr">
        <is>
          <t>SÖDERMANLANDS LÄN</t>
        </is>
      </c>
      <c r="E398" t="inlineStr">
        <is>
          <t>KATRINEHOLM</t>
        </is>
      </c>
      <c r="F398" t="inlineStr">
        <is>
          <t>Kyrkan</t>
        </is>
      </c>
      <c r="G398" t="n">
        <v>7.6</v>
      </c>
      <c r="H398" t="n">
        <v>0</v>
      </c>
      <c r="I398" t="n">
        <v>0</v>
      </c>
      <c r="J398" t="n">
        <v>0</v>
      </c>
      <c r="K398" t="n">
        <v>0</v>
      </c>
      <c r="L398" t="n">
        <v>0</v>
      </c>
      <c r="M398" t="n">
        <v>0</v>
      </c>
      <c r="N398" t="n">
        <v>0</v>
      </c>
      <c r="O398" t="n">
        <v>0</v>
      </c>
      <c r="P398" t="n">
        <v>0</v>
      </c>
      <c r="Q398" t="n">
        <v>0</v>
      </c>
      <c r="R398" s="2" t="inlineStr"/>
    </row>
    <row r="399" ht="15" customHeight="1">
      <c r="A399" t="inlineStr">
        <is>
          <t>A 40744-2022</t>
        </is>
      </c>
      <c r="B399" s="1" t="n">
        <v>44824.55655092592</v>
      </c>
      <c r="C399" s="1" t="n">
        <v>45936</v>
      </c>
      <c r="D399" t="inlineStr">
        <is>
          <t>SÖDERMANLANDS LÄN</t>
        </is>
      </c>
      <c r="E399" t="inlineStr">
        <is>
          <t>KATRINEHOLM</t>
        </is>
      </c>
      <c r="G399" t="n">
        <v>3.7</v>
      </c>
      <c r="H399" t="n">
        <v>0</v>
      </c>
      <c r="I399" t="n">
        <v>0</v>
      </c>
      <c r="J399" t="n">
        <v>0</v>
      </c>
      <c r="K399" t="n">
        <v>0</v>
      </c>
      <c r="L399" t="n">
        <v>0</v>
      </c>
      <c r="M399" t="n">
        <v>0</v>
      </c>
      <c r="N399" t="n">
        <v>0</v>
      </c>
      <c r="O399" t="n">
        <v>0</v>
      </c>
      <c r="P399" t="n">
        <v>0</v>
      </c>
      <c r="Q399" t="n">
        <v>0</v>
      </c>
      <c r="R399" s="2" t="inlineStr"/>
    </row>
    <row r="400" ht="15" customHeight="1">
      <c r="A400" t="inlineStr">
        <is>
          <t>A 15284-2023</t>
        </is>
      </c>
      <c r="B400" s="1" t="n">
        <v>45019</v>
      </c>
      <c r="C400" s="1" t="n">
        <v>45936</v>
      </c>
      <c r="D400" t="inlineStr">
        <is>
          <t>SÖDERMANLANDS LÄN</t>
        </is>
      </c>
      <c r="E400" t="inlineStr">
        <is>
          <t>KATRINEHOLM</t>
        </is>
      </c>
      <c r="F400" t="inlineStr">
        <is>
          <t>Allmännings- och besparingsskogar</t>
        </is>
      </c>
      <c r="G400" t="n">
        <v>17.4</v>
      </c>
      <c r="H400" t="n">
        <v>0</v>
      </c>
      <c r="I400" t="n">
        <v>0</v>
      </c>
      <c r="J400" t="n">
        <v>0</v>
      </c>
      <c r="K400" t="n">
        <v>0</v>
      </c>
      <c r="L400" t="n">
        <v>0</v>
      </c>
      <c r="M400" t="n">
        <v>0</v>
      </c>
      <c r="N400" t="n">
        <v>0</v>
      </c>
      <c r="O400" t="n">
        <v>0</v>
      </c>
      <c r="P400" t="n">
        <v>0</v>
      </c>
      <c r="Q400" t="n">
        <v>0</v>
      </c>
      <c r="R400" s="2" t="inlineStr"/>
    </row>
    <row r="401" ht="15" customHeight="1">
      <c r="A401" t="inlineStr">
        <is>
          <t>A 20803-2024</t>
        </is>
      </c>
      <c r="B401" s="1" t="n">
        <v>45438</v>
      </c>
      <c r="C401" s="1" t="n">
        <v>45936</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15392-2023</t>
        </is>
      </c>
      <c r="B402" s="1" t="n">
        <v>45016</v>
      </c>
      <c r="C402" s="1" t="n">
        <v>45936</v>
      </c>
      <c r="D402" t="inlineStr">
        <is>
          <t>SÖDERMANLANDS LÄN</t>
        </is>
      </c>
      <c r="E402" t="inlineStr">
        <is>
          <t>KATRINEHOLM</t>
        </is>
      </c>
      <c r="F402" t="inlineStr">
        <is>
          <t>Övriga Aktiebolag</t>
        </is>
      </c>
      <c r="G402" t="n">
        <v>2.7</v>
      </c>
      <c r="H402" t="n">
        <v>0</v>
      </c>
      <c r="I402" t="n">
        <v>0</v>
      </c>
      <c r="J402" t="n">
        <v>0</v>
      </c>
      <c r="K402" t="n">
        <v>0</v>
      </c>
      <c r="L402" t="n">
        <v>0</v>
      </c>
      <c r="M402" t="n">
        <v>0</v>
      </c>
      <c r="N402" t="n">
        <v>0</v>
      </c>
      <c r="O402" t="n">
        <v>0</v>
      </c>
      <c r="P402" t="n">
        <v>0</v>
      </c>
      <c r="Q402" t="n">
        <v>0</v>
      </c>
      <c r="R402" s="2" t="inlineStr"/>
    </row>
    <row r="403" ht="15" customHeight="1">
      <c r="A403" t="inlineStr">
        <is>
          <t>A 4645-2024</t>
        </is>
      </c>
      <c r="B403" s="1" t="n">
        <v>45328</v>
      </c>
      <c r="C403" s="1" t="n">
        <v>45936</v>
      </c>
      <c r="D403" t="inlineStr">
        <is>
          <t>SÖDERMANLANDS LÄN</t>
        </is>
      </c>
      <c r="E403" t="inlineStr">
        <is>
          <t>KATRINEHOLM</t>
        </is>
      </c>
      <c r="G403" t="n">
        <v>2.3</v>
      </c>
      <c r="H403" t="n">
        <v>0</v>
      </c>
      <c r="I403" t="n">
        <v>0</v>
      </c>
      <c r="J403" t="n">
        <v>0</v>
      </c>
      <c r="K403" t="n">
        <v>0</v>
      </c>
      <c r="L403" t="n">
        <v>0</v>
      </c>
      <c r="M403" t="n">
        <v>0</v>
      </c>
      <c r="N403" t="n">
        <v>0</v>
      </c>
      <c r="O403" t="n">
        <v>0</v>
      </c>
      <c r="P403" t="n">
        <v>0</v>
      </c>
      <c r="Q403" t="n">
        <v>0</v>
      </c>
      <c r="R403" s="2" t="inlineStr"/>
    </row>
    <row r="404" ht="15" customHeight="1">
      <c r="A404" t="inlineStr">
        <is>
          <t>A 28508-2023</t>
        </is>
      </c>
      <c r="B404" s="1" t="n">
        <v>45103.46788194445</v>
      </c>
      <c r="C404" s="1" t="n">
        <v>45936</v>
      </c>
      <c r="D404" t="inlineStr">
        <is>
          <t>SÖDERMANLANDS LÄN</t>
        </is>
      </c>
      <c r="E404" t="inlineStr">
        <is>
          <t>KATRINEHOLM</t>
        </is>
      </c>
      <c r="F404" t="inlineStr">
        <is>
          <t>Kyrkan</t>
        </is>
      </c>
      <c r="G404" t="n">
        <v>20.5</v>
      </c>
      <c r="H404" t="n">
        <v>0</v>
      </c>
      <c r="I404" t="n">
        <v>0</v>
      </c>
      <c r="J404" t="n">
        <v>0</v>
      </c>
      <c r="K404" t="n">
        <v>0</v>
      </c>
      <c r="L404" t="n">
        <v>0</v>
      </c>
      <c r="M404" t="n">
        <v>0</v>
      </c>
      <c r="N404" t="n">
        <v>0</v>
      </c>
      <c r="O404" t="n">
        <v>0</v>
      </c>
      <c r="P404" t="n">
        <v>0</v>
      </c>
      <c r="Q404" t="n">
        <v>0</v>
      </c>
      <c r="R404" s="2" t="inlineStr"/>
    </row>
    <row r="405" ht="15" customHeight="1">
      <c r="A405" t="inlineStr">
        <is>
          <t>A 55856-2022</t>
        </is>
      </c>
      <c r="B405" s="1" t="n">
        <v>44888</v>
      </c>
      <c r="C405" s="1" t="n">
        <v>45936</v>
      </c>
      <c r="D405" t="inlineStr">
        <is>
          <t>SÖDERMANLANDS LÄN</t>
        </is>
      </c>
      <c r="E405" t="inlineStr">
        <is>
          <t>KATRINEHOLM</t>
        </is>
      </c>
      <c r="G405" t="n">
        <v>5.6</v>
      </c>
      <c r="H405" t="n">
        <v>0</v>
      </c>
      <c r="I405" t="n">
        <v>0</v>
      </c>
      <c r="J405" t="n">
        <v>0</v>
      </c>
      <c r="K405" t="n">
        <v>0</v>
      </c>
      <c r="L405" t="n">
        <v>0</v>
      </c>
      <c r="M405" t="n">
        <v>0</v>
      </c>
      <c r="N405" t="n">
        <v>0</v>
      </c>
      <c r="O405" t="n">
        <v>0</v>
      </c>
      <c r="P405" t="n">
        <v>0</v>
      </c>
      <c r="Q405" t="n">
        <v>0</v>
      </c>
      <c r="R405" s="2" t="inlineStr"/>
    </row>
    <row r="406" ht="15" customHeight="1">
      <c r="A406" t="inlineStr">
        <is>
          <t>A 61674-2020</t>
        </is>
      </c>
      <c r="B406" s="1" t="n">
        <v>44158</v>
      </c>
      <c r="C406" s="1" t="n">
        <v>45936</v>
      </c>
      <c r="D406" t="inlineStr">
        <is>
          <t>SÖDERMANLANDS LÄN</t>
        </is>
      </c>
      <c r="E406" t="inlineStr">
        <is>
          <t>KATRINEHOLM</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45530-2023</t>
        </is>
      </c>
      <c r="B407" s="1" t="n">
        <v>45188</v>
      </c>
      <c r="C407" s="1" t="n">
        <v>45936</v>
      </c>
      <c r="D407" t="inlineStr">
        <is>
          <t>SÖDERMANLANDS LÄN</t>
        </is>
      </c>
      <c r="E407" t="inlineStr">
        <is>
          <t>KATRINEHOLM</t>
        </is>
      </c>
      <c r="F407" t="inlineStr">
        <is>
          <t>Allmännings- och besparingsskogar</t>
        </is>
      </c>
      <c r="G407" t="n">
        <v>37</v>
      </c>
      <c r="H407" t="n">
        <v>0</v>
      </c>
      <c r="I407" t="n">
        <v>0</v>
      </c>
      <c r="J407" t="n">
        <v>0</v>
      </c>
      <c r="K407" t="n">
        <v>0</v>
      </c>
      <c r="L407" t="n">
        <v>0</v>
      </c>
      <c r="M407" t="n">
        <v>0</v>
      </c>
      <c r="N407" t="n">
        <v>0</v>
      </c>
      <c r="O407" t="n">
        <v>0</v>
      </c>
      <c r="P407" t="n">
        <v>0</v>
      </c>
      <c r="Q407" t="n">
        <v>0</v>
      </c>
      <c r="R407" s="2" t="inlineStr"/>
    </row>
    <row r="408" ht="15" customHeight="1">
      <c r="A408" t="inlineStr">
        <is>
          <t>A 37542-2022</t>
        </is>
      </c>
      <c r="B408" s="1" t="n">
        <v>44809</v>
      </c>
      <c r="C408" s="1" t="n">
        <v>45936</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47889-2023</t>
        </is>
      </c>
      <c r="B409" s="1" t="n">
        <v>45204</v>
      </c>
      <c r="C409" s="1" t="n">
        <v>45936</v>
      </c>
      <c r="D409" t="inlineStr">
        <is>
          <t>SÖDERMANLANDS LÄN</t>
        </is>
      </c>
      <c r="E409" t="inlineStr">
        <is>
          <t>KATRINEHOLM</t>
        </is>
      </c>
      <c r="G409" t="n">
        <v>2.1</v>
      </c>
      <c r="H409" t="n">
        <v>0</v>
      </c>
      <c r="I409" t="n">
        <v>0</v>
      </c>
      <c r="J409" t="n">
        <v>0</v>
      </c>
      <c r="K409" t="n">
        <v>0</v>
      </c>
      <c r="L409" t="n">
        <v>0</v>
      </c>
      <c r="M409" t="n">
        <v>0</v>
      </c>
      <c r="N409" t="n">
        <v>0</v>
      </c>
      <c r="O409" t="n">
        <v>0</v>
      </c>
      <c r="P409" t="n">
        <v>0</v>
      </c>
      <c r="Q409" t="n">
        <v>0</v>
      </c>
      <c r="R409" s="2" t="inlineStr"/>
    </row>
    <row r="410" ht="15" customHeight="1">
      <c r="A410" t="inlineStr">
        <is>
          <t>A 34739-2023</t>
        </is>
      </c>
      <c r="B410" s="1" t="n">
        <v>45141</v>
      </c>
      <c r="C410" s="1" t="n">
        <v>45936</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57947-2020</t>
        </is>
      </c>
      <c r="B411" s="1" t="n">
        <v>44142</v>
      </c>
      <c r="C411" s="1" t="n">
        <v>45936</v>
      </c>
      <c r="D411" t="inlineStr">
        <is>
          <t>SÖDERMANLANDS LÄN</t>
        </is>
      </c>
      <c r="E411" t="inlineStr">
        <is>
          <t>KATRINEHOLM</t>
        </is>
      </c>
      <c r="G411" t="n">
        <v>9.6</v>
      </c>
      <c r="H411" t="n">
        <v>0</v>
      </c>
      <c r="I411" t="n">
        <v>0</v>
      </c>
      <c r="J411" t="n">
        <v>0</v>
      </c>
      <c r="K411" t="n">
        <v>0</v>
      </c>
      <c r="L411" t="n">
        <v>0</v>
      </c>
      <c r="M411" t="n">
        <v>0</v>
      </c>
      <c r="N411" t="n">
        <v>0</v>
      </c>
      <c r="O411" t="n">
        <v>0</v>
      </c>
      <c r="P411" t="n">
        <v>0</v>
      </c>
      <c r="Q411" t="n">
        <v>0</v>
      </c>
      <c r="R411" s="2" t="inlineStr"/>
    </row>
    <row r="412" ht="15" customHeight="1">
      <c r="A412" t="inlineStr">
        <is>
          <t>A 36366-2023</t>
        </is>
      </c>
      <c r="B412" s="1" t="n">
        <v>45152</v>
      </c>
      <c r="C412" s="1" t="n">
        <v>45936</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12975-2022</t>
        </is>
      </c>
      <c r="B413" s="1" t="n">
        <v>44643</v>
      </c>
      <c r="C413" s="1" t="n">
        <v>45936</v>
      </c>
      <c r="D413" t="inlineStr">
        <is>
          <t>SÖDERMANLANDS LÄN</t>
        </is>
      </c>
      <c r="E413" t="inlineStr">
        <is>
          <t>KATRINEHOLM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9668-2023</t>
        </is>
      </c>
      <c r="B414" s="1" t="n">
        <v>44984.41238425926</v>
      </c>
      <c r="C414" s="1" t="n">
        <v>45936</v>
      </c>
      <c r="D414" t="inlineStr">
        <is>
          <t>SÖDERMANLANDS LÄN</t>
        </is>
      </c>
      <c r="E414" t="inlineStr">
        <is>
          <t>KATRINEHOLM</t>
        </is>
      </c>
      <c r="G414" t="n">
        <v>4.8</v>
      </c>
      <c r="H414" t="n">
        <v>0</v>
      </c>
      <c r="I414" t="n">
        <v>0</v>
      </c>
      <c r="J414" t="n">
        <v>0</v>
      </c>
      <c r="K414" t="n">
        <v>0</v>
      </c>
      <c r="L414" t="n">
        <v>0</v>
      </c>
      <c r="M414" t="n">
        <v>0</v>
      </c>
      <c r="N414" t="n">
        <v>0</v>
      </c>
      <c r="O414" t="n">
        <v>0</v>
      </c>
      <c r="P414" t="n">
        <v>0</v>
      </c>
      <c r="Q414" t="n">
        <v>0</v>
      </c>
      <c r="R414" s="2" t="inlineStr"/>
    </row>
    <row r="415" ht="15" customHeight="1">
      <c r="A415" t="inlineStr">
        <is>
          <t>A 41966-2023</t>
        </is>
      </c>
      <c r="B415" s="1" t="n">
        <v>45177</v>
      </c>
      <c r="C415" s="1" t="n">
        <v>45936</v>
      </c>
      <c r="D415" t="inlineStr">
        <is>
          <t>SÖDERMANLANDS LÄN</t>
        </is>
      </c>
      <c r="E415" t="inlineStr">
        <is>
          <t>KATRINEHOLM</t>
        </is>
      </c>
      <c r="G415" t="n">
        <v>36.9</v>
      </c>
      <c r="H415" t="n">
        <v>0</v>
      </c>
      <c r="I415" t="n">
        <v>0</v>
      </c>
      <c r="J415" t="n">
        <v>0</v>
      </c>
      <c r="K415" t="n">
        <v>0</v>
      </c>
      <c r="L415" t="n">
        <v>0</v>
      </c>
      <c r="M415" t="n">
        <v>0</v>
      </c>
      <c r="N415" t="n">
        <v>0</v>
      </c>
      <c r="O415" t="n">
        <v>0</v>
      </c>
      <c r="P415" t="n">
        <v>0</v>
      </c>
      <c r="Q415" t="n">
        <v>0</v>
      </c>
      <c r="R415" s="2" t="inlineStr"/>
    </row>
    <row r="416" ht="15" customHeight="1">
      <c r="A416" t="inlineStr">
        <is>
          <t>A 10446-2024</t>
        </is>
      </c>
      <c r="B416" s="1" t="n">
        <v>45366</v>
      </c>
      <c r="C416" s="1" t="n">
        <v>45936</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29977-2023</t>
        </is>
      </c>
      <c r="B417" s="1" t="n">
        <v>45108</v>
      </c>
      <c r="C417" s="1" t="n">
        <v>45936</v>
      </c>
      <c r="D417" t="inlineStr">
        <is>
          <t>SÖDERMANLANDS LÄN</t>
        </is>
      </c>
      <c r="E417" t="inlineStr">
        <is>
          <t>KATRINEHOLM</t>
        </is>
      </c>
      <c r="G417" t="n">
        <v>2.4</v>
      </c>
      <c r="H417" t="n">
        <v>0</v>
      </c>
      <c r="I417" t="n">
        <v>0</v>
      </c>
      <c r="J417" t="n">
        <v>0</v>
      </c>
      <c r="K417" t="n">
        <v>0</v>
      </c>
      <c r="L417" t="n">
        <v>0</v>
      </c>
      <c r="M417" t="n">
        <v>0</v>
      </c>
      <c r="N417" t="n">
        <v>0</v>
      </c>
      <c r="O417" t="n">
        <v>0</v>
      </c>
      <c r="P417" t="n">
        <v>0</v>
      </c>
      <c r="Q417" t="n">
        <v>0</v>
      </c>
      <c r="R417" s="2" t="inlineStr"/>
    </row>
    <row r="418" ht="15" customHeight="1">
      <c r="A418" t="inlineStr">
        <is>
          <t>A 8761-2023</t>
        </is>
      </c>
      <c r="B418" s="1" t="n">
        <v>44978.49685185185</v>
      </c>
      <c r="C418" s="1" t="n">
        <v>45936</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8778-2023</t>
        </is>
      </c>
      <c r="B419" s="1" t="n">
        <v>44978.5737037037</v>
      </c>
      <c r="C419" s="1" t="n">
        <v>45936</v>
      </c>
      <c r="D419" t="inlineStr">
        <is>
          <t>SÖDERMANLANDS LÄN</t>
        </is>
      </c>
      <c r="E419" t="inlineStr">
        <is>
          <t>KATRINEHOLM</t>
        </is>
      </c>
      <c r="G419" t="n">
        <v>4.5</v>
      </c>
      <c r="H419" t="n">
        <v>0</v>
      </c>
      <c r="I419" t="n">
        <v>0</v>
      </c>
      <c r="J419" t="n">
        <v>0</v>
      </c>
      <c r="K419" t="n">
        <v>0</v>
      </c>
      <c r="L419" t="n">
        <v>0</v>
      </c>
      <c r="M419" t="n">
        <v>0</v>
      </c>
      <c r="N419" t="n">
        <v>0</v>
      </c>
      <c r="O419" t="n">
        <v>0</v>
      </c>
      <c r="P419" t="n">
        <v>0</v>
      </c>
      <c r="Q419" t="n">
        <v>0</v>
      </c>
      <c r="R419" s="2" t="inlineStr"/>
    </row>
    <row r="420" ht="15" customHeight="1">
      <c r="A420" t="inlineStr">
        <is>
          <t>A 63677-2020</t>
        </is>
      </c>
      <c r="B420" s="1" t="n">
        <v>44166</v>
      </c>
      <c r="C420" s="1" t="n">
        <v>45936</v>
      </c>
      <c r="D420" t="inlineStr">
        <is>
          <t>SÖDERMANLANDS LÄN</t>
        </is>
      </c>
      <c r="E420" t="inlineStr">
        <is>
          <t>KATRINEHOLM</t>
        </is>
      </c>
      <c r="F420" t="inlineStr">
        <is>
          <t>Holmen skog AB</t>
        </is>
      </c>
      <c r="G420" t="n">
        <v>2</v>
      </c>
      <c r="H420" t="n">
        <v>0</v>
      </c>
      <c r="I420" t="n">
        <v>0</v>
      </c>
      <c r="J420" t="n">
        <v>0</v>
      </c>
      <c r="K420" t="n">
        <v>0</v>
      </c>
      <c r="L420" t="n">
        <v>0</v>
      </c>
      <c r="M420" t="n">
        <v>0</v>
      </c>
      <c r="N420" t="n">
        <v>0</v>
      </c>
      <c r="O420" t="n">
        <v>0</v>
      </c>
      <c r="P420" t="n">
        <v>0</v>
      </c>
      <c r="Q420" t="n">
        <v>0</v>
      </c>
      <c r="R420" s="2" t="inlineStr"/>
    </row>
    <row r="421" ht="15" customHeight="1">
      <c r="A421" t="inlineStr">
        <is>
          <t>A 15399-2022</t>
        </is>
      </c>
      <c r="B421" s="1" t="n">
        <v>44659</v>
      </c>
      <c r="C421" s="1" t="n">
        <v>45936</v>
      </c>
      <c r="D421" t="inlineStr">
        <is>
          <t>SÖDERMANLANDS LÄN</t>
        </is>
      </c>
      <c r="E421" t="inlineStr">
        <is>
          <t>KATRINEHOLM</t>
        </is>
      </c>
      <c r="G421" t="n">
        <v>5.6</v>
      </c>
      <c r="H421" t="n">
        <v>0</v>
      </c>
      <c r="I421" t="n">
        <v>0</v>
      </c>
      <c r="J421" t="n">
        <v>0</v>
      </c>
      <c r="K421" t="n">
        <v>0</v>
      </c>
      <c r="L421" t="n">
        <v>0</v>
      </c>
      <c r="M421" t="n">
        <v>0</v>
      </c>
      <c r="N421" t="n">
        <v>0</v>
      </c>
      <c r="O421" t="n">
        <v>0</v>
      </c>
      <c r="P421" t="n">
        <v>0</v>
      </c>
      <c r="Q421" t="n">
        <v>0</v>
      </c>
      <c r="R421" s="2" t="inlineStr"/>
    </row>
    <row r="422" ht="15" customHeight="1">
      <c r="A422" t="inlineStr">
        <is>
          <t>A 4669-2023</t>
        </is>
      </c>
      <c r="B422" s="1" t="n">
        <v>44957</v>
      </c>
      <c r="C422" s="1" t="n">
        <v>45936</v>
      </c>
      <c r="D422" t="inlineStr">
        <is>
          <t>SÖDERMANLANDS LÄN</t>
        </is>
      </c>
      <c r="E422" t="inlineStr">
        <is>
          <t>KATRINEHOLM</t>
        </is>
      </c>
      <c r="F422" t="inlineStr">
        <is>
          <t>Holmen skog AB</t>
        </is>
      </c>
      <c r="G422" t="n">
        <v>2.2</v>
      </c>
      <c r="H422" t="n">
        <v>0</v>
      </c>
      <c r="I422" t="n">
        <v>0</v>
      </c>
      <c r="J422" t="n">
        <v>0</v>
      </c>
      <c r="K422" t="n">
        <v>0</v>
      </c>
      <c r="L422" t="n">
        <v>0</v>
      </c>
      <c r="M422" t="n">
        <v>0</v>
      </c>
      <c r="N422" t="n">
        <v>0</v>
      </c>
      <c r="O422" t="n">
        <v>0</v>
      </c>
      <c r="P422" t="n">
        <v>0</v>
      </c>
      <c r="Q422" t="n">
        <v>0</v>
      </c>
      <c r="R422" s="2" t="inlineStr"/>
    </row>
    <row r="423" ht="15" customHeight="1">
      <c r="A423" t="inlineStr">
        <is>
          <t>A 948-2023</t>
        </is>
      </c>
      <c r="B423" s="1" t="n">
        <v>44934</v>
      </c>
      <c r="C423" s="1" t="n">
        <v>45936</v>
      </c>
      <c r="D423" t="inlineStr">
        <is>
          <t>SÖDERMANLANDS LÄN</t>
        </is>
      </c>
      <c r="E423" t="inlineStr">
        <is>
          <t>KATRINEHOLM</t>
        </is>
      </c>
      <c r="G423" t="n">
        <v>1.2</v>
      </c>
      <c r="H423" t="n">
        <v>0</v>
      </c>
      <c r="I423" t="n">
        <v>0</v>
      </c>
      <c r="J423" t="n">
        <v>0</v>
      </c>
      <c r="K423" t="n">
        <v>0</v>
      </c>
      <c r="L423" t="n">
        <v>0</v>
      </c>
      <c r="M423" t="n">
        <v>0</v>
      </c>
      <c r="N423" t="n">
        <v>0</v>
      </c>
      <c r="O423" t="n">
        <v>0</v>
      </c>
      <c r="P423" t="n">
        <v>0</v>
      </c>
      <c r="Q423" t="n">
        <v>0</v>
      </c>
      <c r="R423" s="2" t="inlineStr"/>
    </row>
    <row r="424" ht="15" customHeight="1">
      <c r="A424" t="inlineStr">
        <is>
          <t>A 49116-2024</t>
        </is>
      </c>
      <c r="B424" s="1" t="n">
        <v>45594.6605787037</v>
      </c>
      <c r="C424" s="1" t="n">
        <v>45936</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6087-2022</t>
        </is>
      </c>
      <c r="B425" s="1" t="n">
        <v>44599.61034722222</v>
      </c>
      <c r="C425" s="1" t="n">
        <v>45936</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47134-2022</t>
        </is>
      </c>
      <c r="B426" s="1" t="n">
        <v>44851</v>
      </c>
      <c r="C426" s="1" t="n">
        <v>45936</v>
      </c>
      <c r="D426" t="inlineStr">
        <is>
          <t>SÖDERMANLANDS LÄN</t>
        </is>
      </c>
      <c r="E426" t="inlineStr">
        <is>
          <t>KATRINEHOLM</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28427-2024</t>
        </is>
      </c>
      <c r="B427" s="1" t="n">
        <v>45477.64910879629</v>
      </c>
      <c r="C427" s="1" t="n">
        <v>45936</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6753-2022</t>
        </is>
      </c>
      <c r="B428" s="1" t="n">
        <v>44602</v>
      </c>
      <c r="C428" s="1" t="n">
        <v>45936</v>
      </c>
      <c r="D428" t="inlineStr">
        <is>
          <t>SÖDERMANLANDS LÄN</t>
        </is>
      </c>
      <c r="E428" t="inlineStr">
        <is>
          <t>KATRINEHOLM</t>
        </is>
      </c>
      <c r="G428" t="n">
        <v>4.3</v>
      </c>
      <c r="H428" t="n">
        <v>0</v>
      </c>
      <c r="I428" t="n">
        <v>0</v>
      </c>
      <c r="J428" t="n">
        <v>0</v>
      </c>
      <c r="K428" t="n">
        <v>0</v>
      </c>
      <c r="L428" t="n">
        <v>0</v>
      </c>
      <c r="M428" t="n">
        <v>0</v>
      </c>
      <c r="N428" t="n">
        <v>0</v>
      </c>
      <c r="O428" t="n">
        <v>0</v>
      </c>
      <c r="P428" t="n">
        <v>0</v>
      </c>
      <c r="Q428" t="n">
        <v>0</v>
      </c>
      <c r="R428" s="2" t="inlineStr"/>
    </row>
    <row r="429" ht="15" customHeight="1">
      <c r="A429" t="inlineStr">
        <is>
          <t>A 6763-2022</t>
        </is>
      </c>
      <c r="B429" s="1" t="n">
        <v>44602</v>
      </c>
      <c r="C429" s="1" t="n">
        <v>45936</v>
      </c>
      <c r="D429" t="inlineStr">
        <is>
          <t>SÖDERMANLANDS LÄN</t>
        </is>
      </c>
      <c r="E429" t="inlineStr">
        <is>
          <t>KATRINEHOLM</t>
        </is>
      </c>
      <c r="G429" t="n">
        <v>6.7</v>
      </c>
      <c r="H429" t="n">
        <v>0</v>
      </c>
      <c r="I429" t="n">
        <v>0</v>
      </c>
      <c r="J429" t="n">
        <v>0</v>
      </c>
      <c r="K429" t="n">
        <v>0</v>
      </c>
      <c r="L429" t="n">
        <v>0</v>
      </c>
      <c r="M429" t="n">
        <v>0</v>
      </c>
      <c r="N429" t="n">
        <v>0</v>
      </c>
      <c r="O429" t="n">
        <v>0</v>
      </c>
      <c r="P429" t="n">
        <v>0</v>
      </c>
      <c r="Q429" t="n">
        <v>0</v>
      </c>
      <c r="R429" s="2" t="inlineStr"/>
    </row>
    <row r="430" ht="15" customHeight="1">
      <c r="A430" t="inlineStr">
        <is>
          <t>A 39068-2022</t>
        </is>
      </c>
      <c r="B430" s="1" t="n">
        <v>44816</v>
      </c>
      <c r="C430" s="1" t="n">
        <v>45936</v>
      </c>
      <c r="D430" t="inlineStr">
        <is>
          <t>SÖDERMANLANDS LÄN</t>
        </is>
      </c>
      <c r="E430" t="inlineStr">
        <is>
          <t>KATRINEHOLM</t>
        </is>
      </c>
      <c r="G430" t="n">
        <v>3.6</v>
      </c>
      <c r="H430" t="n">
        <v>0</v>
      </c>
      <c r="I430" t="n">
        <v>0</v>
      </c>
      <c r="J430" t="n">
        <v>0</v>
      </c>
      <c r="K430" t="n">
        <v>0</v>
      </c>
      <c r="L430" t="n">
        <v>0</v>
      </c>
      <c r="M430" t="n">
        <v>0</v>
      </c>
      <c r="N430" t="n">
        <v>0</v>
      </c>
      <c r="O430" t="n">
        <v>0</v>
      </c>
      <c r="P430" t="n">
        <v>0</v>
      </c>
      <c r="Q430" t="n">
        <v>0</v>
      </c>
      <c r="R430" s="2" t="inlineStr"/>
    </row>
    <row r="431" ht="15" customHeight="1">
      <c r="A431" t="inlineStr">
        <is>
          <t>A 61867-2020</t>
        </is>
      </c>
      <c r="B431" s="1" t="n">
        <v>44159</v>
      </c>
      <c r="C431" s="1" t="n">
        <v>45936</v>
      </c>
      <c r="D431" t="inlineStr">
        <is>
          <t>SÖDERMANLANDS LÄN</t>
        </is>
      </c>
      <c r="E431" t="inlineStr">
        <is>
          <t>KATRINEHOLM</t>
        </is>
      </c>
      <c r="G431" t="n">
        <v>2.9</v>
      </c>
      <c r="H431" t="n">
        <v>0</v>
      </c>
      <c r="I431" t="n">
        <v>0</v>
      </c>
      <c r="J431" t="n">
        <v>0</v>
      </c>
      <c r="K431" t="n">
        <v>0</v>
      </c>
      <c r="L431" t="n">
        <v>0</v>
      </c>
      <c r="M431" t="n">
        <v>0</v>
      </c>
      <c r="N431" t="n">
        <v>0</v>
      </c>
      <c r="O431" t="n">
        <v>0</v>
      </c>
      <c r="P431" t="n">
        <v>0</v>
      </c>
      <c r="Q431" t="n">
        <v>0</v>
      </c>
      <c r="R431" s="2" t="inlineStr"/>
    </row>
    <row r="432" ht="15" customHeight="1">
      <c r="A432" t="inlineStr">
        <is>
          <t>A 66540-2021</t>
        </is>
      </c>
      <c r="B432" s="1" t="n">
        <v>44519</v>
      </c>
      <c r="C432" s="1" t="n">
        <v>45936</v>
      </c>
      <c r="D432" t="inlineStr">
        <is>
          <t>SÖDERMANLANDS LÄN</t>
        </is>
      </c>
      <c r="E432" t="inlineStr">
        <is>
          <t>KATRINEHOLM</t>
        </is>
      </c>
      <c r="F432" t="inlineStr">
        <is>
          <t>Holmen skog AB</t>
        </is>
      </c>
      <c r="G432" t="n">
        <v>0.4</v>
      </c>
      <c r="H432" t="n">
        <v>0</v>
      </c>
      <c r="I432" t="n">
        <v>0</v>
      </c>
      <c r="J432" t="n">
        <v>0</v>
      </c>
      <c r="K432" t="n">
        <v>0</v>
      </c>
      <c r="L432" t="n">
        <v>0</v>
      </c>
      <c r="M432" t="n">
        <v>0</v>
      </c>
      <c r="N432" t="n">
        <v>0</v>
      </c>
      <c r="O432" t="n">
        <v>0</v>
      </c>
      <c r="P432" t="n">
        <v>0</v>
      </c>
      <c r="Q432" t="n">
        <v>0</v>
      </c>
      <c r="R432" s="2" t="inlineStr"/>
    </row>
    <row r="433" ht="15" customHeight="1">
      <c r="A433" t="inlineStr">
        <is>
          <t>A 12835-2024</t>
        </is>
      </c>
      <c r="B433" s="1" t="n">
        <v>45384</v>
      </c>
      <c r="C433" s="1" t="n">
        <v>45936</v>
      </c>
      <c r="D433" t="inlineStr">
        <is>
          <t>SÖDERMANLANDS LÄN</t>
        </is>
      </c>
      <c r="E433" t="inlineStr">
        <is>
          <t>KATRINEHOLM</t>
        </is>
      </c>
      <c r="F433" t="inlineStr">
        <is>
          <t>Allmännings- och besparingsskogar</t>
        </is>
      </c>
      <c r="G433" t="n">
        <v>0.5</v>
      </c>
      <c r="H433" t="n">
        <v>0</v>
      </c>
      <c r="I433" t="n">
        <v>0</v>
      </c>
      <c r="J433" t="n">
        <v>0</v>
      </c>
      <c r="K433" t="n">
        <v>0</v>
      </c>
      <c r="L433" t="n">
        <v>0</v>
      </c>
      <c r="M433" t="n">
        <v>0</v>
      </c>
      <c r="N433" t="n">
        <v>0</v>
      </c>
      <c r="O433" t="n">
        <v>0</v>
      </c>
      <c r="P433" t="n">
        <v>0</v>
      </c>
      <c r="Q433" t="n">
        <v>0</v>
      </c>
      <c r="R433" s="2" t="inlineStr"/>
    </row>
    <row r="434" ht="15" customHeight="1">
      <c r="A434" t="inlineStr">
        <is>
          <t>A 41205-2021</t>
        </is>
      </c>
      <c r="B434" s="1" t="n">
        <v>44424.38577546296</v>
      </c>
      <c r="C434" s="1" t="n">
        <v>45936</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69600-2020</t>
        </is>
      </c>
      <c r="B435" s="1" t="n">
        <v>44195</v>
      </c>
      <c r="C435" s="1" t="n">
        <v>45936</v>
      </c>
      <c r="D435" t="inlineStr">
        <is>
          <t>SÖDERMANLANDS LÄN</t>
        </is>
      </c>
      <c r="E435" t="inlineStr">
        <is>
          <t>KATRINEHOLM</t>
        </is>
      </c>
      <c r="G435" t="n">
        <v>11.3</v>
      </c>
      <c r="H435" t="n">
        <v>0</v>
      </c>
      <c r="I435" t="n">
        <v>0</v>
      </c>
      <c r="J435" t="n">
        <v>0</v>
      </c>
      <c r="K435" t="n">
        <v>0</v>
      </c>
      <c r="L435" t="n">
        <v>0</v>
      </c>
      <c r="M435" t="n">
        <v>0</v>
      </c>
      <c r="N435" t="n">
        <v>0</v>
      </c>
      <c r="O435" t="n">
        <v>0</v>
      </c>
      <c r="P435" t="n">
        <v>0</v>
      </c>
      <c r="Q435" t="n">
        <v>0</v>
      </c>
      <c r="R435" s="2" t="inlineStr"/>
    </row>
    <row r="436" ht="15" customHeight="1">
      <c r="A436" t="inlineStr">
        <is>
          <t>A 55296-2022</t>
        </is>
      </c>
      <c r="B436" s="1" t="n">
        <v>44887</v>
      </c>
      <c r="C436" s="1" t="n">
        <v>45936</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9932-2023</t>
        </is>
      </c>
      <c r="B437" s="1" t="n">
        <v>44985.46709490741</v>
      </c>
      <c r="C437" s="1" t="n">
        <v>45936</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47879-2023</t>
        </is>
      </c>
      <c r="B438" s="1" t="n">
        <v>45204</v>
      </c>
      <c r="C438" s="1" t="n">
        <v>45936</v>
      </c>
      <c r="D438" t="inlineStr">
        <is>
          <t>SÖDERMANLANDS LÄN</t>
        </is>
      </c>
      <c r="E438" t="inlineStr">
        <is>
          <t>KATRINEHOLM</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61410-2024</t>
        </is>
      </c>
      <c r="B439" s="1" t="n">
        <v>45646.43950231482</v>
      </c>
      <c r="C439" s="1" t="n">
        <v>45936</v>
      </c>
      <c r="D439" t="inlineStr">
        <is>
          <t>SÖDERMANLANDS LÄN</t>
        </is>
      </c>
      <c r="E439" t="inlineStr">
        <is>
          <t>KATRINEHOLM</t>
        </is>
      </c>
      <c r="G439" t="n">
        <v>1.4</v>
      </c>
      <c r="H439" t="n">
        <v>0</v>
      </c>
      <c r="I439" t="n">
        <v>0</v>
      </c>
      <c r="J439" t="n">
        <v>0</v>
      </c>
      <c r="K439" t="n">
        <v>0</v>
      </c>
      <c r="L439" t="n">
        <v>0</v>
      </c>
      <c r="M439" t="n">
        <v>0</v>
      </c>
      <c r="N439" t="n">
        <v>0</v>
      </c>
      <c r="O439" t="n">
        <v>0</v>
      </c>
      <c r="P439" t="n">
        <v>0</v>
      </c>
      <c r="Q439" t="n">
        <v>0</v>
      </c>
      <c r="R439" s="2" t="inlineStr"/>
    </row>
    <row r="440" ht="15" customHeight="1">
      <c r="A440" t="inlineStr">
        <is>
          <t>A 42590-2022</t>
        </is>
      </c>
      <c r="B440" s="1" t="n">
        <v>44831</v>
      </c>
      <c r="C440" s="1" t="n">
        <v>45936</v>
      </c>
      <c r="D440" t="inlineStr">
        <is>
          <t>SÖDERMANLANDS LÄN</t>
        </is>
      </c>
      <c r="E440" t="inlineStr">
        <is>
          <t>KATRINEHOLM</t>
        </is>
      </c>
      <c r="G440" t="n">
        <v>1.7</v>
      </c>
      <c r="H440" t="n">
        <v>0</v>
      </c>
      <c r="I440" t="n">
        <v>0</v>
      </c>
      <c r="J440" t="n">
        <v>0</v>
      </c>
      <c r="K440" t="n">
        <v>0</v>
      </c>
      <c r="L440" t="n">
        <v>0</v>
      </c>
      <c r="M440" t="n">
        <v>0</v>
      </c>
      <c r="N440" t="n">
        <v>0</v>
      </c>
      <c r="O440" t="n">
        <v>0</v>
      </c>
      <c r="P440" t="n">
        <v>0</v>
      </c>
      <c r="Q440" t="n">
        <v>0</v>
      </c>
      <c r="R440" s="2" t="inlineStr"/>
    </row>
    <row r="441" ht="15" customHeight="1">
      <c r="A441" t="inlineStr">
        <is>
          <t>A 17360-2022</t>
        </is>
      </c>
      <c r="B441" s="1" t="n">
        <v>44678</v>
      </c>
      <c r="C441" s="1" t="n">
        <v>45936</v>
      </c>
      <c r="D441" t="inlineStr">
        <is>
          <t>SÖDERMANLANDS LÄN</t>
        </is>
      </c>
      <c r="E441" t="inlineStr">
        <is>
          <t>KATRINEHOLM</t>
        </is>
      </c>
      <c r="G441" t="n">
        <v>4.5</v>
      </c>
      <c r="H441" t="n">
        <v>0</v>
      </c>
      <c r="I441" t="n">
        <v>0</v>
      </c>
      <c r="J441" t="n">
        <v>0</v>
      </c>
      <c r="K441" t="n">
        <v>0</v>
      </c>
      <c r="L441" t="n">
        <v>0</v>
      </c>
      <c r="M441" t="n">
        <v>0</v>
      </c>
      <c r="N441" t="n">
        <v>0</v>
      </c>
      <c r="O441" t="n">
        <v>0</v>
      </c>
      <c r="P441" t="n">
        <v>0</v>
      </c>
      <c r="Q441" t="n">
        <v>0</v>
      </c>
      <c r="R441" s="2" t="inlineStr"/>
    </row>
    <row r="442" ht="15" customHeight="1">
      <c r="A442" t="inlineStr">
        <is>
          <t>A 48520-2023</t>
        </is>
      </c>
      <c r="B442" s="1" t="n">
        <v>45208</v>
      </c>
      <c r="C442" s="1" t="n">
        <v>45936</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55136-2020</t>
        </is>
      </c>
      <c r="B443" s="1" t="n">
        <v>44130</v>
      </c>
      <c r="C443" s="1" t="n">
        <v>45936</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9693-2024</t>
        </is>
      </c>
      <c r="B444" s="1" t="n">
        <v>45362</v>
      </c>
      <c r="C444" s="1" t="n">
        <v>45936</v>
      </c>
      <c r="D444" t="inlineStr">
        <is>
          <t>SÖDERMANLANDS LÄN</t>
        </is>
      </c>
      <c r="E444" t="inlineStr">
        <is>
          <t>KATRINEHOLM</t>
        </is>
      </c>
      <c r="G444" t="n">
        <v>5.9</v>
      </c>
      <c r="H444" t="n">
        <v>0</v>
      </c>
      <c r="I444" t="n">
        <v>0</v>
      </c>
      <c r="J444" t="n">
        <v>0</v>
      </c>
      <c r="K444" t="n">
        <v>0</v>
      </c>
      <c r="L444" t="n">
        <v>0</v>
      </c>
      <c r="M444" t="n">
        <v>0</v>
      </c>
      <c r="N444" t="n">
        <v>0</v>
      </c>
      <c r="O444" t="n">
        <v>0</v>
      </c>
      <c r="P444" t="n">
        <v>0</v>
      </c>
      <c r="Q444" t="n">
        <v>0</v>
      </c>
      <c r="R444" s="2" t="inlineStr"/>
    </row>
    <row r="445" ht="15" customHeight="1">
      <c r="A445" t="inlineStr">
        <is>
          <t>A 32818-2023</t>
        </is>
      </c>
      <c r="B445" s="1" t="n">
        <v>45124.55633101852</v>
      </c>
      <c r="C445" s="1" t="n">
        <v>45936</v>
      </c>
      <c r="D445" t="inlineStr">
        <is>
          <t>SÖDERMANLANDS LÄN</t>
        </is>
      </c>
      <c r="E445" t="inlineStr">
        <is>
          <t>KATRINEHOLM</t>
        </is>
      </c>
      <c r="G445" t="n">
        <v>3.4</v>
      </c>
      <c r="H445" t="n">
        <v>0</v>
      </c>
      <c r="I445" t="n">
        <v>0</v>
      </c>
      <c r="J445" t="n">
        <v>0</v>
      </c>
      <c r="K445" t="n">
        <v>0</v>
      </c>
      <c r="L445" t="n">
        <v>0</v>
      </c>
      <c r="M445" t="n">
        <v>0</v>
      </c>
      <c r="N445" t="n">
        <v>0</v>
      </c>
      <c r="O445" t="n">
        <v>0</v>
      </c>
      <c r="P445" t="n">
        <v>0</v>
      </c>
      <c r="Q445" t="n">
        <v>0</v>
      </c>
      <c r="R445" s="2" t="inlineStr"/>
    </row>
    <row r="446" ht="15" customHeight="1">
      <c r="A446" t="inlineStr">
        <is>
          <t>A 57132-2020</t>
        </is>
      </c>
      <c r="B446" s="1" t="n">
        <v>44139</v>
      </c>
      <c r="C446" s="1" t="n">
        <v>45936</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35864-2023</t>
        </is>
      </c>
      <c r="B447" s="1" t="n">
        <v>45147</v>
      </c>
      <c r="C447" s="1" t="n">
        <v>45936</v>
      </c>
      <c r="D447" t="inlineStr">
        <is>
          <t>SÖDERMANLANDS LÄN</t>
        </is>
      </c>
      <c r="E447" t="inlineStr">
        <is>
          <t>KATRINEHOLM</t>
        </is>
      </c>
      <c r="F447" t="inlineStr">
        <is>
          <t>Övriga Aktiebolag</t>
        </is>
      </c>
      <c r="G447" t="n">
        <v>4.7</v>
      </c>
      <c r="H447" t="n">
        <v>0</v>
      </c>
      <c r="I447" t="n">
        <v>0</v>
      </c>
      <c r="J447" t="n">
        <v>0</v>
      </c>
      <c r="K447" t="n">
        <v>0</v>
      </c>
      <c r="L447" t="n">
        <v>0</v>
      </c>
      <c r="M447" t="n">
        <v>0</v>
      </c>
      <c r="N447" t="n">
        <v>0</v>
      </c>
      <c r="O447" t="n">
        <v>0</v>
      </c>
      <c r="P447" t="n">
        <v>0</v>
      </c>
      <c r="Q447" t="n">
        <v>0</v>
      </c>
      <c r="R447" s="2" t="inlineStr"/>
    </row>
    <row r="448" ht="15" customHeight="1">
      <c r="A448" t="inlineStr">
        <is>
          <t>A 8288-2023</t>
        </is>
      </c>
      <c r="B448" s="1" t="n">
        <v>44974</v>
      </c>
      <c r="C448" s="1" t="n">
        <v>45936</v>
      </c>
      <c r="D448" t="inlineStr">
        <is>
          <t>SÖDERMANLANDS LÄN</t>
        </is>
      </c>
      <c r="E448" t="inlineStr">
        <is>
          <t>KATRINEHOLM</t>
        </is>
      </c>
      <c r="F448" t="inlineStr">
        <is>
          <t>Allmännings- och besparingsskogar</t>
        </is>
      </c>
      <c r="G448" t="n">
        <v>5.6</v>
      </c>
      <c r="H448" t="n">
        <v>0</v>
      </c>
      <c r="I448" t="n">
        <v>0</v>
      </c>
      <c r="J448" t="n">
        <v>0</v>
      </c>
      <c r="K448" t="n">
        <v>0</v>
      </c>
      <c r="L448" t="n">
        <v>0</v>
      </c>
      <c r="M448" t="n">
        <v>0</v>
      </c>
      <c r="N448" t="n">
        <v>0</v>
      </c>
      <c r="O448" t="n">
        <v>0</v>
      </c>
      <c r="P448" t="n">
        <v>0</v>
      </c>
      <c r="Q448" t="n">
        <v>0</v>
      </c>
      <c r="R448" s="2" t="inlineStr"/>
    </row>
    <row r="449" ht="15" customHeight="1">
      <c r="A449" t="inlineStr">
        <is>
          <t>A 45142-2021</t>
        </is>
      </c>
      <c r="B449" s="1" t="n">
        <v>44439</v>
      </c>
      <c r="C449" s="1" t="n">
        <v>45936</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5788-2022</t>
        </is>
      </c>
      <c r="B450" s="1" t="n">
        <v>44596.54990740741</v>
      </c>
      <c r="C450" s="1" t="n">
        <v>45936</v>
      </c>
      <c r="D450" t="inlineStr">
        <is>
          <t>SÖDERMANLANDS LÄN</t>
        </is>
      </c>
      <c r="E450" t="inlineStr">
        <is>
          <t>KATRINEHOLM</t>
        </is>
      </c>
      <c r="G450" t="n">
        <v>4.1</v>
      </c>
      <c r="H450" t="n">
        <v>0</v>
      </c>
      <c r="I450" t="n">
        <v>0</v>
      </c>
      <c r="J450" t="n">
        <v>0</v>
      </c>
      <c r="K450" t="n">
        <v>0</v>
      </c>
      <c r="L450" t="n">
        <v>0</v>
      </c>
      <c r="M450" t="n">
        <v>0</v>
      </c>
      <c r="N450" t="n">
        <v>0</v>
      </c>
      <c r="O450" t="n">
        <v>0</v>
      </c>
      <c r="P450" t="n">
        <v>0</v>
      </c>
      <c r="Q450" t="n">
        <v>0</v>
      </c>
      <c r="R450" s="2" t="inlineStr"/>
    </row>
    <row r="451" ht="15" customHeight="1">
      <c r="A451" t="inlineStr">
        <is>
          <t>A 5790-2022</t>
        </is>
      </c>
      <c r="B451" s="1" t="n">
        <v>44596.55368055555</v>
      </c>
      <c r="C451" s="1" t="n">
        <v>45936</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17746-2024</t>
        </is>
      </c>
      <c r="B452" s="1" t="n">
        <v>45415</v>
      </c>
      <c r="C452" s="1" t="n">
        <v>45936</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57510-2021</t>
        </is>
      </c>
      <c r="B453" s="1" t="n">
        <v>44483</v>
      </c>
      <c r="C453" s="1" t="n">
        <v>45936</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53387-2023</t>
        </is>
      </c>
      <c r="B454" s="1" t="n">
        <v>45229</v>
      </c>
      <c r="C454" s="1" t="n">
        <v>45936</v>
      </c>
      <c r="D454" t="inlineStr">
        <is>
          <t>SÖDERMANLANDS LÄN</t>
        </is>
      </c>
      <c r="E454" t="inlineStr">
        <is>
          <t>KATRINEHOLM</t>
        </is>
      </c>
      <c r="F454" t="inlineStr">
        <is>
          <t>Kyrkan</t>
        </is>
      </c>
      <c r="G454" t="n">
        <v>7.4</v>
      </c>
      <c r="H454" t="n">
        <v>0</v>
      </c>
      <c r="I454" t="n">
        <v>0</v>
      </c>
      <c r="J454" t="n">
        <v>0</v>
      </c>
      <c r="K454" t="n">
        <v>0</v>
      </c>
      <c r="L454" t="n">
        <v>0</v>
      </c>
      <c r="M454" t="n">
        <v>0</v>
      </c>
      <c r="N454" t="n">
        <v>0</v>
      </c>
      <c r="O454" t="n">
        <v>0</v>
      </c>
      <c r="P454" t="n">
        <v>0</v>
      </c>
      <c r="Q454" t="n">
        <v>0</v>
      </c>
      <c r="R454" s="2" t="inlineStr"/>
    </row>
    <row r="455" ht="15" customHeight="1">
      <c r="A455" t="inlineStr">
        <is>
          <t>A 34731-2023</t>
        </is>
      </c>
      <c r="B455" s="1" t="n">
        <v>45141</v>
      </c>
      <c r="C455" s="1" t="n">
        <v>45936</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55169-2022</t>
        </is>
      </c>
      <c r="B456" s="1" t="n">
        <v>44886</v>
      </c>
      <c r="C456" s="1" t="n">
        <v>45936</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57645-2020</t>
        </is>
      </c>
      <c r="B457" s="1" t="n">
        <v>44140.68782407408</v>
      </c>
      <c r="C457" s="1" t="n">
        <v>45936</v>
      </c>
      <c r="D457" t="inlineStr">
        <is>
          <t>SÖDERMANLANDS LÄN</t>
        </is>
      </c>
      <c r="E457" t="inlineStr">
        <is>
          <t>KATRINEHOLM</t>
        </is>
      </c>
      <c r="G457" t="n">
        <v>17</v>
      </c>
      <c r="H457" t="n">
        <v>0</v>
      </c>
      <c r="I457" t="n">
        <v>0</v>
      </c>
      <c r="J457" t="n">
        <v>0</v>
      </c>
      <c r="K457" t="n">
        <v>0</v>
      </c>
      <c r="L457" t="n">
        <v>0</v>
      </c>
      <c r="M457" t="n">
        <v>0</v>
      </c>
      <c r="N457" t="n">
        <v>0</v>
      </c>
      <c r="O457" t="n">
        <v>0</v>
      </c>
      <c r="P457" t="n">
        <v>0</v>
      </c>
      <c r="Q457" t="n">
        <v>0</v>
      </c>
      <c r="R457" s="2" t="inlineStr"/>
    </row>
    <row r="458" ht="15" customHeight="1">
      <c r="A458" t="inlineStr">
        <is>
          <t>A 38826-2021</t>
        </is>
      </c>
      <c r="B458" s="1" t="n">
        <v>44411</v>
      </c>
      <c r="C458" s="1" t="n">
        <v>45936</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13612-2023</t>
        </is>
      </c>
      <c r="B459" s="1" t="n">
        <v>45006</v>
      </c>
      <c r="C459" s="1" t="n">
        <v>45936</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11875-2023</t>
        </is>
      </c>
      <c r="B460" s="1" t="n">
        <v>44995</v>
      </c>
      <c r="C460" s="1" t="n">
        <v>45936</v>
      </c>
      <c r="D460" t="inlineStr">
        <is>
          <t>SÖDERMANLANDS LÄN</t>
        </is>
      </c>
      <c r="E460" t="inlineStr">
        <is>
          <t>KATRINEHOLM</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6810-2023</t>
        </is>
      </c>
      <c r="B461" s="1" t="n">
        <v>44964</v>
      </c>
      <c r="C461" s="1" t="n">
        <v>45936</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11635-2023</t>
        </is>
      </c>
      <c r="B462" s="1" t="n">
        <v>44994</v>
      </c>
      <c r="C462" s="1" t="n">
        <v>45936</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57648-2020</t>
        </is>
      </c>
      <c r="B463" s="1" t="n">
        <v>44140.69324074074</v>
      </c>
      <c r="C463" s="1" t="n">
        <v>45936</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34732-2022</t>
        </is>
      </c>
      <c r="B464" s="1" t="n">
        <v>44795</v>
      </c>
      <c r="C464" s="1" t="n">
        <v>45936</v>
      </c>
      <c r="D464" t="inlineStr">
        <is>
          <t>SÖDERMANLANDS LÄN</t>
        </is>
      </c>
      <c r="E464" t="inlineStr">
        <is>
          <t>KATRINEHOLM</t>
        </is>
      </c>
      <c r="G464" t="n">
        <v>3</v>
      </c>
      <c r="H464" t="n">
        <v>0</v>
      </c>
      <c r="I464" t="n">
        <v>0</v>
      </c>
      <c r="J464" t="n">
        <v>0</v>
      </c>
      <c r="K464" t="n">
        <v>0</v>
      </c>
      <c r="L464" t="n">
        <v>0</v>
      </c>
      <c r="M464" t="n">
        <v>0</v>
      </c>
      <c r="N464" t="n">
        <v>0</v>
      </c>
      <c r="O464" t="n">
        <v>0</v>
      </c>
      <c r="P464" t="n">
        <v>0</v>
      </c>
      <c r="Q464" t="n">
        <v>0</v>
      </c>
      <c r="R464" s="2" t="inlineStr"/>
    </row>
    <row r="465" ht="15" customHeight="1">
      <c r="A465" t="inlineStr">
        <is>
          <t>A 20949-2021</t>
        </is>
      </c>
      <c r="B465" s="1" t="n">
        <v>44319</v>
      </c>
      <c r="C465" s="1" t="n">
        <v>45936</v>
      </c>
      <c r="D465" t="inlineStr">
        <is>
          <t>SÖDERMANLANDS LÄN</t>
        </is>
      </c>
      <c r="E465" t="inlineStr">
        <is>
          <t>KATRINEHOLM</t>
        </is>
      </c>
      <c r="G465" t="n">
        <v>0.9</v>
      </c>
      <c r="H465" t="n">
        <v>0</v>
      </c>
      <c r="I465" t="n">
        <v>0</v>
      </c>
      <c r="J465" t="n">
        <v>0</v>
      </c>
      <c r="K465" t="n">
        <v>0</v>
      </c>
      <c r="L465" t="n">
        <v>0</v>
      </c>
      <c r="M465" t="n">
        <v>0</v>
      </c>
      <c r="N465" t="n">
        <v>0</v>
      </c>
      <c r="O465" t="n">
        <v>0</v>
      </c>
      <c r="P465" t="n">
        <v>0</v>
      </c>
      <c r="Q465" t="n">
        <v>0</v>
      </c>
      <c r="R465" s="2" t="inlineStr"/>
    </row>
    <row r="466" ht="15" customHeight="1">
      <c r="A466" t="inlineStr">
        <is>
          <t>A 7747-2024</t>
        </is>
      </c>
      <c r="B466" s="1" t="n">
        <v>45348</v>
      </c>
      <c r="C466" s="1" t="n">
        <v>45936</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6808-2023</t>
        </is>
      </c>
      <c r="B467" s="1" t="n">
        <v>44964</v>
      </c>
      <c r="C467" s="1" t="n">
        <v>45936</v>
      </c>
      <c r="D467" t="inlineStr">
        <is>
          <t>SÖDERMANLANDS LÄN</t>
        </is>
      </c>
      <c r="E467" t="inlineStr">
        <is>
          <t>KATRINEHOLM</t>
        </is>
      </c>
      <c r="G467" t="n">
        <v>1.5</v>
      </c>
      <c r="H467" t="n">
        <v>0</v>
      </c>
      <c r="I467" t="n">
        <v>0</v>
      </c>
      <c r="J467" t="n">
        <v>0</v>
      </c>
      <c r="K467" t="n">
        <v>0</v>
      </c>
      <c r="L467" t="n">
        <v>0</v>
      </c>
      <c r="M467" t="n">
        <v>0</v>
      </c>
      <c r="N467" t="n">
        <v>0</v>
      </c>
      <c r="O467" t="n">
        <v>0</v>
      </c>
      <c r="P467" t="n">
        <v>0</v>
      </c>
      <c r="Q467" t="n">
        <v>0</v>
      </c>
      <c r="R467" s="2" t="inlineStr"/>
    </row>
    <row r="468" ht="15" customHeight="1">
      <c r="A468" t="inlineStr">
        <is>
          <t>A 51128-2021</t>
        </is>
      </c>
      <c r="B468" s="1" t="n">
        <v>44460</v>
      </c>
      <c r="C468" s="1" t="n">
        <v>45936</v>
      </c>
      <c r="D468" t="inlineStr">
        <is>
          <t>SÖDERMANLANDS LÄN</t>
        </is>
      </c>
      <c r="E468" t="inlineStr">
        <is>
          <t>KATRINEHOLM</t>
        </is>
      </c>
      <c r="G468" t="n">
        <v>7.8</v>
      </c>
      <c r="H468" t="n">
        <v>0</v>
      </c>
      <c r="I468" t="n">
        <v>0</v>
      </c>
      <c r="J468" t="n">
        <v>0</v>
      </c>
      <c r="K468" t="n">
        <v>0</v>
      </c>
      <c r="L468" t="n">
        <v>0</v>
      </c>
      <c r="M468" t="n">
        <v>0</v>
      </c>
      <c r="N468" t="n">
        <v>0</v>
      </c>
      <c r="O468" t="n">
        <v>0</v>
      </c>
      <c r="P468" t="n">
        <v>0</v>
      </c>
      <c r="Q468" t="n">
        <v>0</v>
      </c>
      <c r="R468" s="2" t="inlineStr"/>
    </row>
    <row r="469" ht="15" customHeight="1">
      <c r="A469" t="inlineStr">
        <is>
          <t>A 51264-2021</t>
        </is>
      </c>
      <c r="B469" s="1" t="n">
        <v>44461</v>
      </c>
      <c r="C469" s="1" t="n">
        <v>45936</v>
      </c>
      <c r="D469" t="inlineStr">
        <is>
          <t>SÖDERMANLANDS LÄN</t>
        </is>
      </c>
      <c r="E469" t="inlineStr">
        <is>
          <t>KATRINEHOLM</t>
        </is>
      </c>
      <c r="G469" t="n">
        <v>3.1</v>
      </c>
      <c r="H469" t="n">
        <v>0</v>
      </c>
      <c r="I469" t="n">
        <v>0</v>
      </c>
      <c r="J469" t="n">
        <v>0</v>
      </c>
      <c r="K469" t="n">
        <v>0</v>
      </c>
      <c r="L469" t="n">
        <v>0</v>
      </c>
      <c r="M469" t="n">
        <v>0</v>
      </c>
      <c r="N469" t="n">
        <v>0</v>
      </c>
      <c r="O469" t="n">
        <v>0</v>
      </c>
      <c r="P469" t="n">
        <v>0</v>
      </c>
      <c r="Q469" t="n">
        <v>0</v>
      </c>
      <c r="R469" s="2" t="inlineStr"/>
    </row>
    <row r="470" ht="15" customHeight="1">
      <c r="A470" t="inlineStr">
        <is>
          <t>A 23207-2023</t>
        </is>
      </c>
      <c r="B470" s="1" t="n">
        <v>45071</v>
      </c>
      <c r="C470" s="1" t="n">
        <v>45936</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3982-2024</t>
        </is>
      </c>
      <c r="B471" s="1" t="n">
        <v>45322</v>
      </c>
      <c r="C471" s="1" t="n">
        <v>45936</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13086-2023</t>
        </is>
      </c>
      <c r="B472" s="1" t="n">
        <v>45002.42188657408</v>
      </c>
      <c r="C472" s="1" t="n">
        <v>45936</v>
      </c>
      <c r="D472" t="inlineStr">
        <is>
          <t>SÖDERMANLANDS LÄN</t>
        </is>
      </c>
      <c r="E472" t="inlineStr">
        <is>
          <t>KATRINEHOLM</t>
        </is>
      </c>
      <c r="G472" t="n">
        <v>2.2</v>
      </c>
      <c r="H472" t="n">
        <v>0</v>
      </c>
      <c r="I472" t="n">
        <v>0</v>
      </c>
      <c r="J472" t="n">
        <v>0</v>
      </c>
      <c r="K472" t="n">
        <v>0</v>
      </c>
      <c r="L472" t="n">
        <v>0</v>
      </c>
      <c r="M472" t="n">
        <v>0</v>
      </c>
      <c r="N472" t="n">
        <v>0</v>
      </c>
      <c r="O472" t="n">
        <v>0</v>
      </c>
      <c r="P472" t="n">
        <v>0</v>
      </c>
      <c r="Q472" t="n">
        <v>0</v>
      </c>
      <c r="R472" s="2" t="inlineStr"/>
    </row>
    <row r="473" ht="15" customHeight="1">
      <c r="A473" t="inlineStr">
        <is>
          <t>A 5935-2023</t>
        </is>
      </c>
      <c r="B473" s="1" t="n">
        <v>44963</v>
      </c>
      <c r="C473" s="1" t="n">
        <v>45936</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4650-2024</t>
        </is>
      </c>
      <c r="B474" s="1" t="n">
        <v>45328</v>
      </c>
      <c r="C474" s="1" t="n">
        <v>45936</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4652-2024</t>
        </is>
      </c>
      <c r="B475" s="1" t="n">
        <v>45328</v>
      </c>
      <c r="C475" s="1" t="n">
        <v>45936</v>
      </c>
      <c r="D475" t="inlineStr">
        <is>
          <t>SÖDERMANLANDS LÄN</t>
        </is>
      </c>
      <c r="E475" t="inlineStr">
        <is>
          <t>KATRINEHOLM</t>
        </is>
      </c>
      <c r="F475" t="inlineStr">
        <is>
          <t>Övriga Aktiebolag</t>
        </is>
      </c>
      <c r="G475" t="n">
        <v>6.1</v>
      </c>
      <c r="H475" t="n">
        <v>0</v>
      </c>
      <c r="I475" t="n">
        <v>0</v>
      </c>
      <c r="J475" t="n">
        <v>0</v>
      </c>
      <c r="K475" t="n">
        <v>0</v>
      </c>
      <c r="L475" t="n">
        <v>0</v>
      </c>
      <c r="M475" t="n">
        <v>0</v>
      </c>
      <c r="N475" t="n">
        <v>0</v>
      </c>
      <c r="O475" t="n">
        <v>0</v>
      </c>
      <c r="P475" t="n">
        <v>0</v>
      </c>
      <c r="Q475" t="n">
        <v>0</v>
      </c>
      <c r="R475" s="2" t="inlineStr"/>
    </row>
    <row r="476" ht="15" customHeight="1">
      <c r="A476" t="inlineStr">
        <is>
          <t>A 11104-2023</t>
        </is>
      </c>
      <c r="B476" s="1" t="n">
        <v>44992</v>
      </c>
      <c r="C476" s="1" t="n">
        <v>45936</v>
      </c>
      <c r="D476" t="inlineStr">
        <is>
          <t>SÖDERMANLANDS LÄN</t>
        </is>
      </c>
      <c r="E476" t="inlineStr">
        <is>
          <t>KATRINEHOLM</t>
        </is>
      </c>
      <c r="F476" t="inlineStr">
        <is>
          <t>Allmännings- och besparingsskogar</t>
        </is>
      </c>
      <c r="G476" t="n">
        <v>7.8</v>
      </c>
      <c r="H476" t="n">
        <v>0</v>
      </c>
      <c r="I476" t="n">
        <v>0</v>
      </c>
      <c r="J476" t="n">
        <v>0</v>
      </c>
      <c r="K476" t="n">
        <v>0</v>
      </c>
      <c r="L476" t="n">
        <v>0</v>
      </c>
      <c r="M476" t="n">
        <v>0</v>
      </c>
      <c r="N476" t="n">
        <v>0</v>
      </c>
      <c r="O476" t="n">
        <v>0</v>
      </c>
      <c r="P476" t="n">
        <v>0</v>
      </c>
      <c r="Q476" t="n">
        <v>0</v>
      </c>
      <c r="R476" s="2" t="inlineStr"/>
    </row>
    <row r="477" ht="15" customHeight="1">
      <c r="A477" t="inlineStr">
        <is>
          <t>A 48253-2022</t>
        </is>
      </c>
      <c r="B477" s="1" t="n">
        <v>44858</v>
      </c>
      <c r="C477" s="1" t="n">
        <v>45936</v>
      </c>
      <c r="D477" t="inlineStr">
        <is>
          <t>SÖDERMANLANDS LÄN</t>
        </is>
      </c>
      <c r="E477" t="inlineStr">
        <is>
          <t>KATRINEHOLM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40159-2023</t>
        </is>
      </c>
      <c r="B478" s="1" t="n">
        <v>45169</v>
      </c>
      <c r="C478" s="1" t="n">
        <v>45936</v>
      </c>
      <c r="D478" t="inlineStr">
        <is>
          <t>SÖDERMANLANDS LÄN</t>
        </is>
      </c>
      <c r="E478" t="inlineStr">
        <is>
          <t>KATRINEHOLM</t>
        </is>
      </c>
      <c r="F478" t="inlineStr">
        <is>
          <t>Övriga Aktiebolag</t>
        </is>
      </c>
      <c r="G478" t="n">
        <v>1.1</v>
      </c>
      <c r="H478" t="n">
        <v>0</v>
      </c>
      <c r="I478" t="n">
        <v>0</v>
      </c>
      <c r="J478" t="n">
        <v>0</v>
      </c>
      <c r="K478" t="n">
        <v>0</v>
      </c>
      <c r="L478" t="n">
        <v>0</v>
      </c>
      <c r="M478" t="n">
        <v>0</v>
      </c>
      <c r="N478" t="n">
        <v>0</v>
      </c>
      <c r="O478" t="n">
        <v>0</v>
      </c>
      <c r="P478" t="n">
        <v>0</v>
      </c>
      <c r="Q478" t="n">
        <v>0</v>
      </c>
      <c r="R478" s="2" t="inlineStr"/>
    </row>
    <row r="479" ht="15" customHeight="1">
      <c r="A479" t="inlineStr">
        <is>
          <t>A 36562-2023</t>
        </is>
      </c>
      <c r="B479" s="1" t="n">
        <v>45153</v>
      </c>
      <c r="C479" s="1" t="n">
        <v>45936</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4872-2024</t>
        </is>
      </c>
      <c r="B480" s="1" t="n">
        <v>45329</v>
      </c>
      <c r="C480" s="1" t="n">
        <v>45936</v>
      </c>
      <c r="D480" t="inlineStr">
        <is>
          <t>SÖDERMANLANDS LÄN</t>
        </is>
      </c>
      <c r="E480" t="inlineStr">
        <is>
          <t>KATRINEHOLM</t>
        </is>
      </c>
      <c r="G480" t="n">
        <v>0.5</v>
      </c>
      <c r="H480" t="n">
        <v>0</v>
      </c>
      <c r="I480" t="n">
        <v>0</v>
      </c>
      <c r="J480" t="n">
        <v>0</v>
      </c>
      <c r="K480" t="n">
        <v>0</v>
      </c>
      <c r="L480" t="n">
        <v>0</v>
      </c>
      <c r="M480" t="n">
        <v>0</v>
      </c>
      <c r="N480" t="n">
        <v>0</v>
      </c>
      <c r="O480" t="n">
        <v>0</v>
      </c>
      <c r="P480" t="n">
        <v>0</v>
      </c>
      <c r="Q480" t="n">
        <v>0</v>
      </c>
      <c r="R480" s="2" t="inlineStr"/>
    </row>
    <row r="481" ht="15" customHeight="1">
      <c r="A481" t="inlineStr">
        <is>
          <t>A 32166-2022</t>
        </is>
      </c>
      <c r="B481" s="1" t="n">
        <v>44781</v>
      </c>
      <c r="C481" s="1" t="n">
        <v>45936</v>
      </c>
      <c r="D481" t="inlineStr">
        <is>
          <t>SÖDERMANLANDS LÄN</t>
        </is>
      </c>
      <c r="E481" t="inlineStr">
        <is>
          <t>KATRINEHOLM</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6611-2023</t>
        </is>
      </c>
      <c r="B482" s="1" t="n">
        <v>44963</v>
      </c>
      <c r="C482" s="1" t="n">
        <v>45936</v>
      </c>
      <c r="D482" t="inlineStr">
        <is>
          <t>SÖDERMANLANDS LÄN</t>
        </is>
      </c>
      <c r="E482" t="inlineStr">
        <is>
          <t>KATRINEHOLM</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38708-2025</t>
        </is>
      </c>
      <c r="B483" s="1" t="n">
        <v>45885</v>
      </c>
      <c r="C483" s="1" t="n">
        <v>45936</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59384-2022</t>
        </is>
      </c>
      <c r="B484" s="1" t="n">
        <v>44905</v>
      </c>
      <c r="C484" s="1" t="n">
        <v>45936</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25823-2023</t>
        </is>
      </c>
      <c r="B485" s="1" t="n">
        <v>45090.55078703703</v>
      </c>
      <c r="C485" s="1" t="n">
        <v>45936</v>
      </c>
      <c r="D485" t="inlineStr">
        <is>
          <t>SÖDERMANLANDS LÄN</t>
        </is>
      </c>
      <c r="E485" t="inlineStr">
        <is>
          <t>KATRINEHOLM</t>
        </is>
      </c>
      <c r="F485" t="inlineStr">
        <is>
          <t>Kyrkan</t>
        </is>
      </c>
      <c r="G485" t="n">
        <v>10.2</v>
      </c>
      <c r="H485" t="n">
        <v>0</v>
      </c>
      <c r="I485" t="n">
        <v>0</v>
      </c>
      <c r="J485" t="n">
        <v>0</v>
      </c>
      <c r="K485" t="n">
        <v>0</v>
      </c>
      <c r="L485" t="n">
        <v>0</v>
      </c>
      <c r="M485" t="n">
        <v>0</v>
      </c>
      <c r="N485" t="n">
        <v>0</v>
      </c>
      <c r="O485" t="n">
        <v>0</v>
      </c>
      <c r="P485" t="n">
        <v>0</v>
      </c>
      <c r="Q485" t="n">
        <v>0</v>
      </c>
      <c r="R485" s="2" t="inlineStr"/>
    </row>
    <row r="486" ht="15" customHeight="1">
      <c r="A486" t="inlineStr">
        <is>
          <t>A 61398-2024</t>
        </is>
      </c>
      <c r="B486" s="1" t="n">
        <v>45646.42608796297</v>
      </c>
      <c r="C486" s="1" t="n">
        <v>45936</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20480-2022</t>
        </is>
      </c>
      <c r="B487" s="1" t="n">
        <v>44699</v>
      </c>
      <c r="C487" s="1" t="n">
        <v>45936</v>
      </c>
      <c r="D487" t="inlineStr">
        <is>
          <t>SÖDERMANLANDS LÄN</t>
        </is>
      </c>
      <c r="E487" t="inlineStr">
        <is>
          <t>KATRINEHOLM</t>
        </is>
      </c>
      <c r="G487" t="n">
        <v>0.8</v>
      </c>
      <c r="H487" t="n">
        <v>0</v>
      </c>
      <c r="I487" t="n">
        <v>0</v>
      </c>
      <c r="J487" t="n">
        <v>0</v>
      </c>
      <c r="K487" t="n">
        <v>0</v>
      </c>
      <c r="L487" t="n">
        <v>0</v>
      </c>
      <c r="M487" t="n">
        <v>0</v>
      </c>
      <c r="N487" t="n">
        <v>0</v>
      </c>
      <c r="O487" t="n">
        <v>0</v>
      </c>
      <c r="P487" t="n">
        <v>0</v>
      </c>
      <c r="Q487" t="n">
        <v>0</v>
      </c>
      <c r="R487" s="2" t="inlineStr"/>
    </row>
    <row r="488" ht="15" customHeight="1">
      <c r="A488" t="inlineStr">
        <is>
          <t>A 3060-2022</t>
        </is>
      </c>
      <c r="B488" s="1" t="n">
        <v>44582.40109953703</v>
      </c>
      <c r="C488" s="1" t="n">
        <v>45936</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10996-2022</t>
        </is>
      </c>
      <c r="B489" s="1" t="n">
        <v>44628</v>
      </c>
      <c r="C489" s="1" t="n">
        <v>45936</v>
      </c>
      <c r="D489" t="inlineStr">
        <is>
          <t>SÖDERMANLANDS LÄN</t>
        </is>
      </c>
      <c r="E489" t="inlineStr">
        <is>
          <t>KATRINEHOLM</t>
        </is>
      </c>
      <c r="G489" t="n">
        <v>0.3</v>
      </c>
      <c r="H489" t="n">
        <v>0</v>
      </c>
      <c r="I489" t="n">
        <v>0</v>
      </c>
      <c r="J489" t="n">
        <v>0</v>
      </c>
      <c r="K489" t="n">
        <v>0</v>
      </c>
      <c r="L489" t="n">
        <v>0</v>
      </c>
      <c r="M489" t="n">
        <v>0</v>
      </c>
      <c r="N489" t="n">
        <v>0</v>
      </c>
      <c r="O489" t="n">
        <v>0</v>
      </c>
      <c r="P489" t="n">
        <v>0</v>
      </c>
      <c r="Q489" t="n">
        <v>0</v>
      </c>
      <c r="R489" s="2" t="inlineStr"/>
    </row>
    <row r="490" ht="15" customHeight="1">
      <c r="A490" t="inlineStr">
        <is>
          <t>A 17820-2025</t>
        </is>
      </c>
      <c r="B490" s="1" t="n">
        <v>45758</v>
      </c>
      <c r="C490" s="1" t="n">
        <v>45936</v>
      </c>
      <c r="D490" t="inlineStr">
        <is>
          <t>SÖDERMANLANDS LÄN</t>
        </is>
      </c>
      <c r="E490" t="inlineStr">
        <is>
          <t>KATRINEHOLM</t>
        </is>
      </c>
      <c r="G490" t="n">
        <v>5.9</v>
      </c>
      <c r="H490" t="n">
        <v>0</v>
      </c>
      <c r="I490" t="n">
        <v>0</v>
      </c>
      <c r="J490" t="n">
        <v>0</v>
      </c>
      <c r="K490" t="n">
        <v>0</v>
      </c>
      <c r="L490" t="n">
        <v>0</v>
      </c>
      <c r="M490" t="n">
        <v>0</v>
      </c>
      <c r="N490" t="n">
        <v>0</v>
      </c>
      <c r="O490" t="n">
        <v>0</v>
      </c>
      <c r="P490" t="n">
        <v>0</v>
      </c>
      <c r="Q490" t="n">
        <v>0</v>
      </c>
      <c r="R490" s="2" t="inlineStr"/>
    </row>
    <row r="491" ht="15" customHeight="1">
      <c r="A491" t="inlineStr">
        <is>
          <t>A 57154-2023</t>
        </is>
      </c>
      <c r="B491" s="1" t="n">
        <v>45245</v>
      </c>
      <c r="C491" s="1" t="n">
        <v>45936</v>
      </c>
      <c r="D491" t="inlineStr">
        <is>
          <t>SÖDERMANLANDS LÄN</t>
        </is>
      </c>
      <c r="E491" t="inlineStr">
        <is>
          <t>KATRINEHOLM</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25363-2023</t>
        </is>
      </c>
      <c r="B492" s="1" t="n">
        <v>45088.83840277778</v>
      </c>
      <c r="C492" s="1" t="n">
        <v>45936</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59308-2020</t>
        </is>
      </c>
      <c r="B493" s="1" t="n">
        <v>44147</v>
      </c>
      <c r="C493" s="1" t="n">
        <v>45936</v>
      </c>
      <c r="D493" t="inlineStr">
        <is>
          <t>SÖDERMANLANDS LÄN</t>
        </is>
      </c>
      <c r="E493" t="inlineStr">
        <is>
          <t>KATRINEHOLM</t>
        </is>
      </c>
      <c r="G493" t="n">
        <v>2</v>
      </c>
      <c r="H493" t="n">
        <v>0</v>
      </c>
      <c r="I493" t="n">
        <v>0</v>
      </c>
      <c r="J493" t="n">
        <v>0</v>
      </c>
      <c r="K493" t="n">
        <v>0</v>
      </c>
      <c r="L493" t="n">
        <v>0</v>
      </c>
      <c r="M493" t="n">
        <v>0</v>
      </c>
      <c r="N493" t="n">
        <v>0</v>
      </c>
      <c r="O493" t="n">
        <v>0</v>
      </c>
      <c r="P493" t="n">
        <v>0</v>
      </c>
      <c r="Q493" t="n">
        <v>0</v>
      </c>
      <c r="R493" s="2" t="inlineStr"/>
    </row>
    <row r="494" ht="15" customHeight="1">
      <c r="A494" t="inlineStr">
        <is>
          <t>A 7705-2021</t>
        </is>
      </c>
      <c r="B494" s="1" t="n">
        <v>44242</v>
      </c>
      <c r="C494" s="1" t="n">
        <v>45936</v>
      </c>
      <c r="D494" t="inlineStr">
        <is>
          <t>SÖDERMANLANDS LÄN</t>
        </is>
      </c>
      <c r="E494" t="inlineStr">
        <is>
          <t>KATRINEHOLM</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3075-2022</t>
        </is>
      </c>
      <c r="B495" s="1" t="n">
        <v>44582</v>
      </c>
      <c r="C495" s="1" t="n">
        <v>45936</v>
      </c>
      <c r="D495" t="inlineStr">
        <is>
          <t>SÖDERMANLANDS LÄN</t>
        </is>
      </c>
      <c r="E495" t="inlineStr">
        <is>
          <t>KATRINEHOLM</t>
        </is>
      </c>
      <c r="G495" t="n">
        <v>3.5</v>
      </c>
      <c r="H495" t="n">
        <v>0</v>
      </c>
      <c r="I495" t="n">
        <v>0</v>
      </c>
      <c r="J495" t="n">
        <v>0</v>
      </c>
      <c r="K495" t="n">
        <v>0</v>
      </c>
      <c r="L495" t="n">
        <v>0</v>
      </c>
      <c r="M495" t="n">
        <v>0</v>
      </c>
      <c r="N495" t="n">
        <v>0</v>
      </c>
      <c r="O495" t="n">
        <v>0</v>
      </c>
      <c r="P495" t="n">
        <v>0</v>
      </c>
      <c r="Q495" t="n">
        <v>0</v>
      </c>
      <c r="R495" s="2" t="inlineStr"/>
    </row>
    <row r="496" ht="15" customHeight="1">
      <c r="A496" t="inlineStr">
        <is>
          <t>A 48398-2022</t>
        </is>
      </c>
      <c r="B496" s="1" t="n">
        <v>44858.60809027778</v>
      </c>
      <c r="C496" s="1" t="n">
        <v>45936</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30242-2023</t>
        </is>
      </c>
      <c r="B497" s="1" t="n">
        <v>45099</v>
      </c>
      <c r="C497" s="1" t="n">
        <v>45936</v>
      </c>
      <c r="D497" t="inlineStr">
        <is>
          <t>SÖDERMANLANDS LÄN</t>
        </is>
      </c>
      <c r="E497" t="inlineStr">
        <is>
          <t>KATRINEHOLM</t>
        </is>
      </c>
      <c r="G497" t="n">
        <v>3</v>
      </c>
      <c r="H497" t="n">
        <v>0</v>
      </c>
      <c r="I497" t="n">
        <v>0</v>
      </c>
      <c r="J497" t="n">
        <v>0</v>
      </c>
      <c r="K497" t="n">
        <v>0</v>
      </c>
      <c r="L497" t="n">
        <v>0</v>
      </c>
      <c r="M497" t="n">
        <v>0</v>
      </c>
      <c r="N497" t="n">
        <v>0</v>
      </c>
      <c r="O497" t="n">
        <v>0</v>
      </c>
      <c r="P497" t="n">
        <v>0</v>
      </c>
      <c r="Q497" t="n">
        <v>0</v>
      </c>
      <c r="R497" s="2" t="inlineStr"/>
    </row>
    <row r="498" ht="15" customHeight="1">
      <c r="A498" t="inlineStr">
        <is>
          <t>A 15945-2024</t>
        </is>
      </c>
      <c r="B498" s="1" t="n">
        <v>45405.48912037037</v>
      </c>
      <c r="C498" s="1" t="n">
        <v>45936</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1329-2025</t>
        </is>
      </c>
      <c r="B499" s="1" t="n">
        <v>45667</v>
      </c>
      <c r="C499" s="1" t="n">
        <v>45936</v>
      </c>
      <c r="D499" t="inlineStr">
        <is>
          <t>SÖDERMANLANDS LÄN</t>
        </is>
      </c>
      <c r="E499" t="inlineStr">
        <is>
          <t>KATRINEHOLM</t>
        </is>
      </c>
      <c r="G499" t="n">
        <v>2.7</v>
      </c>
      <c r="H499" t="n">
        <v>0</v>
      </c>
      <c r="I499" t="n">
        <v>0</v>
      </c>
      <c r="J499" t="n">
        <v>0</v>
      </c>
      <c r="K499" t="n">
        <v>0</v>
      </c>
      <c r="L499" t="n">
        <v>0</v>
      </c>
      <c r="M499" t="n">
        <v>0</v>
      </c>
      <c r="N499" t="n">
        <v>0</v>
      </c>
      <c r="O499" t="n">
        <v>0</v>
      </c>
      <c r="P499" t="n">
        <v>0</v>
      </c>
      <c r="Q499" t="n">
        <v>0</v>
      </c>
      <c r="R499" s="2" t="inlineStr"/>
    </row>
    <row r="500" ht="15" customHeight="1">
      <c r="A500" t="inlineStr">
        <is>
          <t>A 65358-2020</t>
        </is>
      </c>
      <c r="B500" s="1" t="n">
        <v>44173</v>
      </c>
      <c r="C500" s="1" t="n">
        <v>45936</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57265-2022</t>
        </is>
      </c>
      <c r="B501" s="1" t="n">
        <v>44895</v>
      </c>
      <c r="C501" s="1" t="n">
        <v>45936</v>
      </c>
      <c r="D501" t="inlineStr">
        <is>
          <t>SÖDERMANLANDS LÄN</t>
        </is>
      </c>
      <c r="E501" t="inlineStr">
        <is>
          <t>KATRINEHOLM</t>
        </is>
      </c>
      <c r="G501" t="n">
        <v>2</v>
      </c>
      <c r="H501" t="n">
        <v>0</v>
      </c>
      <c r="I501" t="n">
        <v>0</v>
      </c>
      <c r="J501" t="n">
        <v>0</v>
      </c>
      <c r="K501" t="n">
        <v>0</v>
      </c>
      <c r="L501" t="n">
        <v>0</v>
      </c>
      <c r="M501" t="n">
        <v>0</v>
      </c>
      <c r="N501" t="n">
        <v>0</v>
      </c>
      <c r="O501" t="n">
        <v>0</v>
      </c>
      <c r="P501" t="n">
        <v>0</v>
      </c>
      <c r="Q501" t="n">
        <v>0</v>
      </c>
      <c r="R501" s="2" t="inlineStr"/>
    </row>
    <row r="502" ht="15" customHeight="1">
      <c r="A502" t="inlineStr">
        <is>
          <t>A 9388-2021</t>
        </is>
      </c>
      <c r="B502" s="1" t="n">
        <v>44250</v>
      </c>
      <c r="C502" s="1" t="n">
        <v>45936</v>
      </c>
      <c r="D502" t="inlineStr">
        <is>
          <t>SÖDERMANLANDS LÄN</t>
        </is>
      </c>
      <c r="E502" t="inlineStr">
        <is>
          <t>KATRINEHOLM</t>
        </is>
      </c>
      <c r="G502" t="n">
        <v>5.4</v>
      </c>
      <c r="H502" t="n">
        <v>0</v>
      </c>
      <c r="I502" t="n">
        <v>0</v>
      </c>
      <c r="J502" t="n">
        <v>0</v>
      </c>
      <c r="K502" t="n">
        <v>0</v>
      </c>
      <c r="L502" t="n">
        <v>0</v>
      </c>
      <c r="M502" t="n">
        <v>0</v>
      </c>
      <c r="N502" t="n">
        <v>0</v>
      </c>
      <c r="O502" t="n">
        <v>0</v>
      </c>
      <c r="P502" t="n">
        <v>0</v>
      </c>
      <c r="Q502" t="n">
        <v>0</v>
      </c>
      <c r="R502" s="2" t="inlineStr"/>
    </row>
    <row r="503" ht="15" customHeight="1">
      <c r="A503" t="inlineStr">
        <is>
          <t>A 6298-2024</t>
        </is>
      </c>
      <c r="B503" s="1" t="n">
        <v>45338.34245370371</v>
      </c>
      <c r="C503" s="1" t="n">
        <v>45936</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8475-2023</t>
        </is>
      </c>
      <c r="B504" s="1" t="n">
        <v>44977</v>
      </c>
      <c r="C504" s="1" t="n">
        <v>45936</v>
      </c>
      <c r="D504" t="inlineStr">
        <is>
          <t>SÖDERMANLANDS LÄN</t>
        </is>
      </c>
      <c r="E504" t="inlineStr">
        <is>
          <t>KATRINEHOLM</t>
        </is>
      </c>
      <c r="F504" t="inlineStr">
        <is>
          <t>Allmännings- och besparingsskogar</t>
        </is>
      </c>
      <c r="G504" t="n">
        <v>8.1</v>
      </c>
      <c r="H504" t="n">
        <v>0</v>
      </c>
      <c r="I504" t="n">
        <v>0</v>
      </c>
      <c r="J504" t="n">
        <v>0</v>
      </c>
      <c r="K504" t="n">
        <v>0</v>
      </c>
      <c r="L504" t="n">
        <v>0</v>
      </c>
      <c r="M504" t="n">
        <v>0</v>
      </c>
      <c r="N504" t="n">
        <v>0</v>
      </c>
      <c r="O504" t="n">
        <v>0</v>
      </c>
      <c r="P504" t="n">
        <v>0</v>
      </c>
      <c r="Q504" t="n">
        <v>0</v>
      </c>
      <c r="R504" s="2" t="inlineStr"/>
    </row>
    <row r="505" ht="15" customHeight="1">
      <c r="A505" t="inlineStr">
        <is>
          <t>A 8518-2023</t>
        </is>
      </c>
      <c r="B505" s="1" t="n">
        <v>44977</v>
      </c>
      <c r="C505" s="1" t="n">
        <v>45936</v>
      </c>
      <c r="D505" t="inlineStr">
        <is>
          <t>SÖDERMANLANDS LÄN</t>
        </is>
      </c>
      <c r="E505" t="inlineStr">
        <is>
          <t>KATRINEHOLM</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46670-2021</t>
        </is>
      </c>
      <c r="B506" s="1" t="n">
        <v>44445</v>
      </c>
      <c r="C506" s="1" t="n">
        <v>45936</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58958-2020</t>
        </is>
      </c>
      <c r="B507" s="1" t="n">
        <v>44146</v>
      </c>
      <c r="C507" s="1" t="n">
        <v>45936</v>
      </c>
      <c r="D507" t="inlineStr">
        <is>
          <t>SÖDERMANLANDS LÄN</t>
        </is>
      </c>
      <c r="E507" t="inlineStr">
        <is>
          <t>KATRINEHOLM</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48877-2022</t>
        </is>
      </c>
      <c r="B508" s="1" t="n">
        <v>44859</v>
      </c>
      <c r="C508" s="1" t="n">
        <v>45936</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13175-2024</t>
        </is>
      </c>
      <c r="B509" s="1" t="n">
        <v>45386</v>
      </c>
      <c r="C509" s="1" t="n">
        <v>45936</v>
      </c>
      <c r="D509" t="inlineStr">
        <is>
          <t>SÖDERMANLANDS LÄN</t>
        </is>
      </c>
      <c r="E509" t="inlineStr">
        <is>
          <t>KATRINEHOLM</t>
        </is>
      </c>
      <c r="G509" t="n">
        <v>0.7</v>
      </c>
      <c r="H509" t="n">
        <v>0</v>
      </c>
      <c r="I509" t="n">
        <v>0</v>
      </c>
      <c r="J509" t="n">
        <v>0</v>
      </c>
      <c r="K509" t="n">
        <v>0</v>
      </c>
      <c r="L509" t="n">
        <v>0</v>
      </c>
      <c r="M509" t="n">
        <v>0</v>
      </c>
      <c r="N509" t="n">
        <v>0</v>
      </c>
      <c r="O509" t="n">
        <v>0</v>
      </c>
      <c r="P509" t="n">
        <v>0</v>
      </c>
      <c r="Q509" t="n">
        <v>0</v>
      </c>
      <c r="R509" s="2" t="inlineStr"/>
    </row>
    <row r="510" ht="15" customHeight="1">
      <c r="A510" t="inlineStr">
        <is>
          <t>A 34539-2022</t>
        </is>
      </c>
      <c r="B510" s="1" t="n">
        <v>44793.50563657407</v>
      </c>
      <c r="C510" s="1" t="n">
        <v>45936</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3115-2024</t>
        </is>
      </c>
      <c r="B511" s="1" t="n">
        <v>45316.49630787037</v>
      </c>
      <c r="C511" s="1" t="n">
        <v>45936</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26081-2024</t>
        </is>
      </c>
      <c r="B512" s="1" t="n">
        <v>45462</v>
      </c>
      <c r="C512" s="1" t="n">
        <v>45936</v>
      </c>
      <c r="D512" t="inlineStr">
        <is>
          <t>SÖDERMANLANDS LÄN</t>
        </is>
      </c>
      <c r="E512" t="inlineStr">
        <is>
          <t>KATRINEHOLM</t>
        </is>
      </c>
      <c r="G512" t="n">
        <v>4.1</v>
      </c>
      <c r="H512" t="n">
        <v>0</v>
      </c>
      <c r="I512" t="n">
        <v>0</v>
      </c>
      <c r="J512" t="n">
        <v>0</v>
      </c>
      <c r="K512" t="n">
        <v>0</v>
      </c>
      <c r="L512" t="n">
        <v>0</v>
      </c>
      <c r="M512" t="n">
        <v>0</v>
      </c>
      <c r="N512" t="n">
        <v>0</v>
      </c>
      <c r="O512" t="n">
        <v>0</v>
      </c>
      <c r="P512" t="n">
        <v>0</v>
      </c>
      <c r="Q512" t="n">
        <v>0</v>
      </c>
      <c r="R512" s="2" t="inlineStr"/>
    </row>
    <row r="513" ht="15" customHeight="1">
      <c r="A513" t="inlineStr">
        <is>
          <t>A 4667-2024</t>
        </is>
      </c>
      <c r="B513" s="1" t="n">
        <v>45328.47</v>
      </c>
      <c r="C513" s="1" t="n">
        <v>45936</v>
      </c>
      <c r="D513" t="inlineStr">
        <is>
          <t>SÖDERMANLANDS LÄN</t>
        </is>
      </c>
      <c r="E513" t="inlineStr">
        <is>
          <t>KATRINEHOLM</t>
        </is>
      </c>
      <c r="F513" t="inlineStr">
        <is>
          <t>Övriga Aktiebolag</t>
        </is>
      </c>
      <c r="G513" t="n">
        <v>10.2</v>
      </c>
      <c r="H513" t="n">
        <v>0</v>
      </c>
      <c r="I513" t="n">
        <v>0</v>
      </c>
      <c r="J513" t="n">
        <v>0</v>
      </c>
      <c r="K513" t="n">
        <v>0</v>
      </c>
      <c r="L513" t="n">
        <v>0</v>
      </c>
      <c r="M513" t="n">
        <v>0</v>
      </c>
      <c r="N513" t="n">
        <v>0</v>
      </c>
      <c r="O513" t="n">
        <v>0</v>
      </c>
      <c r="P513" t="n">
        <v>0</v>
      </c>
      <c r="Q513" t="n">
        <v>0</v>
      </c>
      <c r="R513" s="2" t="inlineStr"/>
    </row>
    <row r="514" ht="15" customHeight="1">
      <c r="A514" t="inlineStr">
        <is>
          <t>A 5953-2021</t>
        </is>
      </c>
      <c r="B514" s="1" t="n">
        <v>44231</v>
      </c>
      <c r="C514" s="1" t="n">
        <v>45936</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23705-2023</t>
        </is>
      </c>
      <c r="B515" s="1" t="n">
        <v>45077</v>
      </c>
      <c r="C515" s="1" t="n">
        <v>45936</v>
      </c>
      <c r="D515" t="inlineStr">
        <is>
          <t>SÖDERMANLANDS LÄN</t>
        </is>
      </c>
      <c r="E515" t="inlineStr">
        <is>
          <t>KATRINEHOLM</t>
        </is>
      </c>
      <c r="F515" t="inlineStr">
        <is>
          <t>Kyrkan</t>
        </is>
      </c>
      <c r="G515" t="n">
        <v>11.9</v>
      </c>
      <c r="H515" t="n">
        <v>0</v>
      </c>
      <c r="I515" t="n">
        <v>0</v>
      </c>
      <c r="J515" t="n">
        <v>0</v>
      </c>
      <c r="K515" t="n">
        <v>0</v>
      </c>
      <c r="L515" t="n">
        <v>0</v>
      </c>
      <c r="M515" t="n">
        <v>0</v>
      </c>
      <c r="N515" t="n">
        <v>0</v>
      </c>
      <c r="O515" t="n">
        <v>0</v>
      </c>
      <c r="P515" t="n">
        <v>0</v>
      </c>
      <c r="Q515" t="n">
        <v>0</v>
      </c>
      <c r="R515" s="2" t="inlineStr"/>
    </row>
    <row r="516" ht="15" customHeight="1">
      <c r="A516" t="inlineStr">
        <is>
          <t>A 7305-2024</t>
        </is>
      </c>
      <c r="B516" s="1" t="n">
        <v>45344</v>
      </c>
      <c r="C516" s="1" t="n">
        <v>45936</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19107-2022</t>
        </is>
      </c>
      <c r="B517" s="1" t="n">
        <v>44691.54077546296</v>
      </c>
      <c r="C517" s="1" t="n">
        <v>45936</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41074-2025</t>
        </is>
      </c>
      <c r="B518" s="1" t="n">
        <v>45898</v>
      </c>
      <c r="C518" s="1" t="n">
        <v>45936</v>
      </c>
      <c r="D518" t="inlineStr">
        <is>
          <t>SÖDERMANLANDS LÄN</t>
        </is>
      </c>
      <c r="E518" t="inlineStr">
        <is>
          <t>KATRINEHOLM</t>
        </is>
      </c>
      <c r="F518" t="inlineStr">
        <is>
          <t>Allmännings- och besparingsskogar</t>
        </is>
      </c>
      <c r="G518" t="n">
        <v>4.8</v>
      </c>
      <c r="H518" t="n">
        <v>0</v>
      </c>
      <c r="I518" t="n">
        <v>0</v>
      </c>
      <c r="J518" t="n">
        <v>0</v>
      </c>
      <c r="K518" t="n">
        <v>0</v>
      </c>
      <c r="L518" t="n">
        <v>0</v>
      </c>
      <c r="M518" t="n">
        <v>0</v>
      </c>
      <c r="N518" t="n">
        <v>0</v>
      </c>
      <c r="O518" t="n">
        <v>0</v>
      </c>
      <c r="P518" t="n">
        <v>0</v>
      </c>
      <c r="Q518" t="n">
        <v>0</v>
      </c>
      <c r="R518" s="2" t="inlineStr"/>
    </row>
    <row r="519" ht="15" customHeight="1">
      <c r="A519" t="inlineStr">
        <is>
          <t>A 52769-2023</t>
        </is>
      </c>
      <c r="B519" s="1" t="n">
        <v>45226</v>
      </c>
      <c r="C519" s="1" t="n">
        <v>45936</v>
      </c>
      <c r="D519" t="inlineStr">
        <is>
          <t>SÖDERMANLANDS LÄN</t>
        </is>
      </c>
      <c r="E519" t="inlineStr">
        <is>
          <t>KATRINEHOLM</t>
        </is>
      </c>
      <c r="G519" t="n">
        <v>0.5</v>
      </c>
      <c r="H519" t="n">
        <v>0</v>
      </c>
      <c r="I519" t="n">
        <v>0</v>
      </c>
      <c r="J519" t="n">
        <v>0</v>
      </c>
      <c r="K519" t="n">
        <v>0</v>
      </c>
      <c r="L519" t="n">
        <v>0</v>
      </c>
      <c r="M519" t="n">
        <v>0</v>
      </c>
      <c r="N519" t="n">
        <v>0</v>
      </c>
      <c r="O519" t="n">
        <v>0</v>
      </c>
      <c r="P519" t="n">
        <v>0</v>
      </c>
      <c r="Q519" t="n">
        <v>0</v>
      </c>
      <c r="R519" s="2" t="inlineStr"/>
    </row>
    <row r="520" ht="15" customHeight="1">
      <c r="A520" t="inlineStr">
        <is>
          <t>A 7223-2022</t>
        </is>
      </c>
      <c r="B520" s="1" t="n">
        <v>44603</v>
      </c>
      <c r="C520" s="1" t="n">
        <v>45936</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61911-2021</t>
        </is>
      </c>
      <c r="B521" s="1" t="n">
        <v>44502.35746527778</v>
      </c>
      <c r="C521" s="1" t="n">
        <v>45936</v>
      </c>
      <c r="D521" t="inlineStr">
        <is>
          <t>SÖDERMANLANDS LÄN</t>
        </is>
      </c>
      <c r="E521" t="inlineStr">
        <is>
          <t>KATRINEHOLM</t>
        </is>
      </c>
      <c r="G521" t="n">
        <v>3.8</v>
      </c>
      <c r="H521" t="n">
        <v>0</v>
      </c>
      <c r="I521" t="n">
        <v>0</v>
      </c>
      <c r="J521" t="n">
        <v>0</v>
      </c>
      <c r="K521" t="n">
        <v>0</v>
      </c>
      <c r="L521" t="n">
        <v>0</v>
      </c>
      <c r="M521" t="n">
        <v>0</v>
      </c>
      <c r="N521" t="n">
        <v>0</v>
      </c>
      <c r="O521" t="n">
        <v>0</v>
      </c>
      <c r="P521" t="n">
        <v>0</v>
      </c>
      <c r="Q521" t="n">
        <v>0</v>
      </c>
      <c r="R521" s="2" t="inlineStr"/>
    </row>
    <row r="522" ht="15" customHeight="1">
      <c r="A522" t="inlineStr">
        <is>
          <t>A 43513-2023</t>
        </is>
      </c>
      <c r="B522" s="1" t="n">
        <v>45184</v>
      </c>
      <c r="C522" s="1" t="n">
        <v>45936</v>
      </c>
      <c r="D522" t="inlineStr">
        <is>
          <t>SÖDERMANLANDS LÄN</t>
        </is>
      </c>
      <c r="E522" t="inlineStr">
        <is>
          <t>KATRINEHOLM</t>
        </is>
      </c>
      <c r="G522" t="n">
        <v>3.8</v>
      </c>
      <c r="H522" t="n">
        <v>0</v>
      </c>
      <c r="I522" t="n">
        <v>0</v>
      </c>
      <c r="J522" t="n">
        <v>0</v>
      </c>
      <c r="K522" t="n">
        <v>0</v>
      </c>
      <c r="L522" t="n">
        <v>0</v>
      </c>
      <c r="M522" t="n">
        <v>0</v>
      </c>
      <c r="N522" t="n">
        <v>0</v>
      </c>
      <c r="O522" t="n">
        <v>0</v>
      </c>
      <c r="P522" t="n">
        <v>0</v>
      </c>
      <c r="Q522" t="n">
        <v>0</v>
      </c>
      <c r="R522" s="2" t="inlineStr"/>
    </row>
    <row r="523" ht="15" customHeight="1">
      <c r="A523" t="inlineStr">
        <is>
          <t>A 19442-2023</t>
        </is>
      </c>
      <c r="B523" s="1" t="n">
        <v>45050</v>
      </c>
      <c r="C523" s="1" t="n">
        <v>45936</v>
      </c>
      <c r="D523" t="inlineStr">
        <is>
          <t>SÖDERMANLANDS LÄN</t>
        </is>
      </c>
      <c r="E523" t="inlineStr">
        <is>
          <t>KATRINEHOLM</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59093-2024</t>
        </is>
      </c>
      <c r="B524" s="1" t="n">
        <v>45636</v>
      </c>
      <c r="C524" s="1" t="n">
        <v>45936</v>
      </c>
      <c r="D524" t="inlineStr">
        <is>
          <t>SÖDERMANLANDS LÄN</t>
        </is>
      </c>
      <c r="E524" t="inlineStr">
        <is>
          <t>KATRINEHOLM</t>
        </is>
      </c>
      <c r="G524" t="n">
        <v>2.8</v>
      </c>
      <c r="H524" t="n">
        <v>0</v>
      </c>
      <c r="I524" t="n">
        <v>0</v>
      </c>
      <c r="J524" t="n">
        <v>0</v>
      </c>
      <c r="K524" t="n">
        <v>0</v>
      </c>
      <c r="L524" t="n">
        <v>0</v>
      </c>
      <c r="M524" t="n">
        <v>0</v>
      </c>
      <c r="N524" t="n">
        <v>0</v>
      </c>
      <c r="O524" t="n">
        <v>0</v>
      </c>
      <c r="P524" t="n">
        <v>0</v>
      </c>
      <c r="Q524" t="n">
        <v>0</v>
      </c>
      <c r="R524" s="2" t="inlineStr"/>
    </row>
    <row r="525" ht="15" customHeight="1">
      <c r="A525" t="inlineStr">
        <is>
          <t>A 51446-2023</t>
        </is>
      </c>
      <c r="B525" s="1" t="n">
        <v>45220.48068287037</v>
      </c>
      <c r="C525" s="1" t="n">
        <v>45936</v>
      </c>
      <c r="D525" t="inlineStr">
        <is>
          <t>SÖDERMANLANDS LÄN</t>
        </is>
      </c>
      <c r="E525" t="inlineStr">
        <is>
          <t>KATRINEHOLM</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2297-2021</t>
        </is>
      </c>
      <c r="B526" s="1" t="n">
        <v>44212</v>
      </c>
      <c r="C526" s="1" t="n">
        <v>45936</v>
      </c>
      <c r="D526" t="inlineStr">
        <is>
          <t>SÖDERMANLANDS LÄN</t>
        </is>
      </c>
      <c r="E526" t="inlineStr">
        <is>
          <t>KATRINEHOLM</t>
        </is>
      </c>
      <c r="G526" t="n">
        <v>14.4</v>
      </c>
      <c r="H526" t="n">
        <v>0</v>
      </c>
      <c r="I526" t="n">
        <v>0</v>
      </c>
      <c r="J526" t="n">
        <v>0</v>
      </c>
      <c r="K526" t="n">
        <v>0</v>
      </c>
      <c r="L526" t="n">
        <v>0</v>
      </c>
      <c r="M526" t="n">
        <v>0</v>
      </c>
      <c r="N526" t="n">
        <v>0</v>
      </c>
      <c r="O526" t="n">
        <v>0</v>
      </c>
      <c r="P526" t="n">
        <v>0</v>
      </c>
      <c r="Q526" t="n">
        <v>0</v>
      </c>
      <c r="R526" s="2" t="inlineStr"/>
    </row>
    <row r="527" ht="15" customHeight="1">
      <c r="A527" t="inlineStr">
        <is>
          <t>A 2606-2025</t>
        </is>
      </c>
      <c r="B527" s="1" t="n">
        <v>45674</v>
      </c>
      <c r="C527" s="1" t="n">
        <v>45936</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49122-2024</t>
        </is>
      </c>
      <c r="B528" s="1" t="n">
        <v>45594</v>
      </c>
      <c r="C528" s="1" t="n">
        <v>45936</v>
      </c>
      <c r="D528" t="inlineStr">
        <is>
          <t>SÖDERMANLANDS LÄN</t>
        </is>
      </c>
      <c r="E528" t="inlineStr">
        <is>
          <t>KATRINEHOLM</t>
        </is>
      </c>
      <c r="G528" t="n">
        <v>19.4</v>
      </c>
      <c r="H528" t="n">
        <v>0</v>
      </c>
      <c r="I528" t="n">
        <v>0</v>
      </c>
      <c r="J528" t="n">
        <v>0</v>
      </c>
      <c r="K528" t="n">
        <v>0</v>
      </c>
      <c r="L528" t="n">
        <v>0</v>
      </c>
      <c r="M528" t="n">
        <v>0</v>
      </c>
      <c r="N528" t="n">
        <v>0</v>
      </c>
      <c r="O528" t="n">
        <v>0</v>
      </c>
      <c r="P528" t="n">
        <v>0</v>
      </c>
      <c r="Q528" t="n">
        <v>0</v>
      </c>
      <c r="R528" s="2" t="inlineStr"/>
    </row>
    <row r="529" ht="15" customHeight="1">
      <c r="A529" t="inlineStr">
        <is>
          <t>A 48763-2024</t>
        </is>
      </c>
      <c r="B529" s="1" t="n">
        <v>45593.60288194445</v>
      </c>
      <c r="C529" s="1" t="n">
        <v>45936</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8791-2023</t>
        </is>
      </c>
      <c r="B530" s="1" t="n">
        <v>44978</v>
      </c>
      <c r="C530" s="1" t="n">
        <v>45936</v>
      </c>
      <c r="D530" t="inlineStr">
        <is>
          <t>SÖDERMANLANDS LÄN</t>
        </is>
      </c>
      <c r="E530" t="inlineStr">
        <is>
          <t>KATRINEHOLM</t>
        </is>
      </c>
      <c r="G530" t="n">
        <v>1.4</v>
      </c>
      <c r="H530" t="n">
        <v>0</v>
      </c>
      <c r="I530" t="n">
        <v>0</v>
      </c>
      <c r="J530" t="n">
        <v>0</v>
      </c>
      <c r="K530" t="n">
        <v>0</v>
      </c>
      <c r="L530" t="n">
        <v>0</v>
      </c>
      <c r="M530" t="n">
        <v>0</v>
      </c>
      <c r="N530" t="n">
        <v>0</v>
      </c>
      <c r="O530" t="n">
        <v>0</v>
      </c>
      <c r="P530" t="n">
        <v>0</v>
      </c>
      <c r="Q530" t="n">
        <v>0</v>
      </c>
      <c r="R530" s="2" t="inlineStr"/>
    </row>
    <row r="531" ht="15" customHeight="1">
      <c r="A531" t="inlineStr">
        <is>
          <t>A 55825-2022</t>
        </is>
      </c>
      <c r="B531" s="1" t="n">
        <v>44886</v>
      </c>
      <c r="C531" s="1" t="n">
        <v>45936</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28931-2024</t>
        </is>
      </c>
      <c r="B532" s="1" t="n">
        <v>45479</v>
      </c>
      <c r="C532" s="1" t="n">
        <v>45936</v>
      </c>
      <c r="D532" t="inlineStr">
        <is>
          <t>SÖDERMANLANDS LÄN</t>
        </is>
      </c>
      <c r="E532" t="inlineStr">
        <is>
          <t>KATRINEHOLM</t>
        </is>
      </c>
      <c r="G532" t="n">
        <v>7.4</v>
      </c>
      <c r="H532" t="n">
        <v>0</v>
      </c>
      <c r="I532" t="n">
        <v>0</v>
      </c>
      <c r="J532" t="n">
        <v>0</v>
      </c>
      <c r="K532" t="n">
        <v>0</v>
      </c>
      <c r="L532" t="n">
        <v>0</v>
      </c>
      <c r="M532" t="n">
        <v>0</v>
      </c>
      <c r="N532" t="n">
        <v>0</v>
      </c>
      <c r="O532" t="n">
        <v>0</v>
      </c>
      <c r="P532" t="n">
        <v>0</v>
      </c>
      <c r="Q532" t="n">
        <v>0</v>
      </c>
      <c r="R532" s="2" t="inlineStr"/>
    </row>
    <row r="533" ht="15" customHeight="1">
      <c r="A533" t="inlineStr">
        <is>
          <t>A 27646-2023</t>
        </is>
      </c>
      <c r="B533" s="1" t="n">
        <v>45097</v>
      </c>
      <c r="C533" s="1" t="n">
        <v>45936</v>
      </c>
      <c r="D533" t="inlineStr">
        <is>
          <t>SÖDERMANLANDS LÄN</t>
        </is>
      </c>
      <c r="E533" t="inlineStr">
        <is>
          <t>KATRINEHOLM</t>
        </is>
      </c>
      <c r="G533" t="n">
        <v>2.4</v>
      </c>
      <c r="H533" t="n">
        <v>0</v>
      </c>
      <c r="I533" t="n">
        <v>0</v>
      </c>
      <c r="J533" t="n">
        <v>0</v>
      </c>
      <c r="K533" t="n">
        <v>0</v>
      </c>
      <c r="L533" t="n">
        <v>0</v>
      </c>
      <c r="M533" t="n">
        <v>0</v>
      </c>
      <c r="N533" t="n">
        <v>0</v>
      </c>
      <c r="O533" t="n">
        <v>0</v>
      </c>
      <c r="P533" t="n">
        <v>0</v>
      </c>
      <c r="Q533" t="n">
        <v>0</v>
      </c>
      <c r="R533" s="2" t="inlineStr"/>
    </row>
    <row r="534" ht="15" customHeight="1">
      <c r="A534" t="inlineStr">
        <is>
          <t>A 50626-2024</t>
        </is>
      </c>
      <c r="B534" s="1" t="n">
        <v>45601</v>
      </c>
      <c r="C534" s="1" t="n">
        <v>45936</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35183-2022</t>
        </is>
      </c>
      <c r="B535" s="1" t="n">
        <v>44797</v>
      </c>
      <c r="C535" s="1" t="n">
        <v>45936</v>
      </c>
      <c r="D535" t="inlineStr">
        <is>
          <t>SÖDERMANLANDS LÄN</t>
        </is>
      </c>
      <c r="E535" t="inlineStr">
        <is>
          <t>KATRINEHOLM</t>
        </is>
      </c>
      <c r="G535" t="n">
        <v>4.6</v>
      </c>
      <c r="H535" t="n">
        <v>0</v>
      </c>
      <c r="I535" t="n">
        <v>0</v>
      </c>
      <c r="J535" t="n">
        <v>0</v>
      </c>
      <c r="K535" t="n">
        <v>0</v>
      </c>
      <c r="L535" t="n">
        <v>0</v>
      </c>
      <c r="M535" t="n">
        <v>0</v>
      </c>
      <c r="N535" t="n">
        <v>0</v>
      </c>
      <c r="O535" t="n">
        <v>0</v>
      </c>
      <c r="P535" t="n">
        <v>0</v>
      </c>
      <c r="Q535" t="n">
        <v>0</v>
      </c>
      <c r="R535" s="2" t="inlineStr"/>
    </row>
    <row r="536" ht="15" customHeight="1">
      <c r="A536" t="inlineStr">
        <is>
          <t>A 38872-2024</t>
        </is>
      </c>
      <c r="B536" s="1" t="n">
        <v>45547</v>
      </c>
      <c r="C536" s="1" t="n">
        <v>45936</v>
      </c>
      <c r="D536" t="inlineStr">
        <is>
          <t>SÖDERMANLANDS LÄN</t>
        </is>
      </c>
      <c r="E536" t="inlineStr">
        <is>
          <t>KATRINEHOLM</t>
        </is>
      </c>
      <c r="G536" t="n">
        <v>5.7</v>
      </c>
      <c r="H536" t="n">
        <v>0</v>
      </c>
      <c r="I536" t="n">
        <v>0</v>
      </c>
      <c r="J536" t="n">
        <v>0</v>
      </c>
      <c r="K536" t="n">
        <v>0</v>
      </c>
      <c r="L536" t="n">
        <v>0</v>
      </c>
      <c r="M536" t="n">
        <v>0</v>
      </c>
      <c r="N536" t="n">
        <v>0</v>
      </c>
      <c r="O536" t="n">
        <v>0</v>
      </c>
      <c r="P536" t="n">
        <v>0</v>
      </c>
      <c r="Q536" t="n">
        <v>0</v>
      </c>
      <c r="R536" s="2" t="inlineStr"/>
    </row>
    <row r="537" ht="15" customHeight="1">
      <c r="A537" t="inlineStr">
        <is>
          <t>A 62954-2023</t>
        </is>
      </c>
      <c r="B537" s="1" t="n">
        <v>45272.55362268518</v>
      </c>
      <c r="C537" s="1" t="n">
        <v>45936</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65485-2020</t>
        </is>
      </c>
      <c r="B538" s="1" t="n">
        <v>44173</v>
      </c>
      <c r="C538" s="1" t="n">
        <v>45936</v>
      </c>
      <c r="D538" t="inlineStr">
        <is>
          <t>SÖDERMANLANDS LÄN</t>
        </is>
      </c>
      <c r="E538" t="inlineStr">
        <is>
          <t>KATRINEHOLM</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41229-2022</t>
        </is>
      </c>
      <c r="B539" s="1" t="n">
        <v>44825</v>
      </c>
      <c r="C539" s="1" t="n">
        <v>45936</v>
      </c>
      <c r="D539" t="inlineStr">
        <is>
          <t>SÖDERMANLANDS LÄN</t>
        </is>
      </c>
      <c r="E539" t="inlineStr">
        <is>
          <t>KATRINEHOLM</t>
        </is>
      </c>
      <c r="G539" t="n">
        <v>3.8</v>
      </c>
      <c r="H539" t="n">
        <v>0</v>
      </c>
      <c r="I539" t="n">
        <v>0</v>
      </c>
      <c r="J539" t="n">
        <v>0</v>
      </c>
      <c r="K539" t="n">
        <v>0</v>
      </c>
      <c r="L539" t="n">
        <v>0</v>
      </c>
      <c r="M539" t="n">
        <v>0</v>
      </c>
      <c r="N539" t="n">
        <v>0</v>
      </c>
      <c r="O539" t="n">
        <v>0</v>
      </c>
      <c r="P539" t="n">
        <v>0</v>
      </c>
      <c r="Q539" t="n">
        <v>0</v>
      </c>
      <c r="R539" s="2" t="inlineStr"/>
    </row>
    <row r="540" ht="15" customHeight="1">
      <c r="A540" t="inlineStr">
        <is>
          <t>A 39668-2025</t>
        </is>
      </c>
      <c r="B540" s="1" t="n">
        <v>45890</v>
      </c>
      <c r="C540" s="1" t="n">
        <v>45936</v>
      </c>
      <c r="D540" t="inlineStr">
        <is>
          <t>SÖDERMANLANDS LÄN</t>
        </is>
      </c>
      <c r="E540" t="inlineStr">
        <is>
          <t>KATRINEHOLM</t>
        </is>
      </c>
      <c r="G540" t="n">
        <v>2.9</v>
      </c>
      <c r="H540" t="n">
        <v>0</v>
      </c>
      <c r="I540" t="n">
        <v>0</v>
      </c>
      <c r="J540" t="n">
        <v>0</v>
      </c>
      <c r="K540" t="n">
        <v>0</v>
      </c>
      <c r="L540" t="n">
        <v>0</v>
      </c>
      <c r="M540" t="n">
        <v>0</v>
      </c>
      <c r="N540" t="n">
        <v>0</v>
      </c>
      <c r="O540" t="n">
        <v>0</v>
      </c>
      <c r="P540" t="n">
        <v>0</v>
      </c>
      <c r="Q540" t="n">
        <v>0</v>
      </c>
      <c r="R540" s="2" t="inlineStr"/>
    </row>
    <row r="541" ht="15" customHeight="1">
      <c r="A541" t="inlineStr">
        <is>
          <t>A 7191-2023</t>
        </is>
      </c>
      <c r="B541" s="1" t="n">
        <v>44965</v>
      </c>
      <c r="C541" s="1" t="n">
        <v>45936</v>
      </c>
      <c r="D541" t="inlineStr">
        <is>
          <t>SÖDERMANLANDS LÄN</t>
        </is>
      </c>
      <c r="E541" t="inlineStr">
        <is>
          <t>KATRINEHOLM</t>
        </is>
      </c>
      <c r="G541" t="n">
        <v>14.1</v>
      </c>
      <c r="H541" t="n">
        <v>0</v>
      </c>
      <c r="I541" t="n">
        <v>0</v>
      </c>
      <c r="J541" t="n">
        <v>0</v>
      </c>
      <c r="K541" t="n">
        <v>0</v>
      </c>
      <c r="L541" t="n">
        <v>0</v>
      </c>
      <c r="M541" t="n">
        <v>0</v>
      </c>
      <c r="N541" t="n">
        <v>0</v>
      </c>
      <c r="O541" t="n">
        <v>0</v>
      </c>
      <c r="P541" t="n">
        <v>0</v>
      </c>
      <c r="Q541" t="n">
        <v>0</v>
      </c>
      <c r="R541" s="2" t="inlineStr"/>
    </row>
    <row r="542" ht="15" customHeight="1">
      <c r="A542" t="inlineStr">
        <is>
          <t>A 12888-2025</t>
        </is>
      </c>
      <c r="B542" s="1" t="n">
        <v>45733</v>
      </c>
      <c r="C542" s="1" t="n">
        <v>45936</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1091-2025</t>
        </is>
      </c>
      <c r="B543" s="1" t="n">
        <v>45666</v>
      </c>
      <c r="C543" s="1" t="n">
        <v>45936</v>
      </c>
      <c r="D543" t="inlineStr">
        <is>
          <t>SÖDERMANLANDS LÄN</t>
        </is>
      </c>
      <c r="E543" t="inlineStr">
        <is>
          <t>KATRINEHOLM</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7197-2023</t>
        </is>
      </c>
      <c r="B544" s="1" t="n">
        <v>44965</v>
      </c>
      <c r="C544" s="1" t="n">
        <v>45936</v>
      </c>
      <c r="D544" t="inlineStr">
        <is>
          <t>SÖDERMANLANDS LÄN</t>
        </is>
      </c>
      <c r="E544" t="inlineStr">
        <is>
          <t>KATRINEHOLM</t>
        </is>
      </c>
      <c r="G544" t="n">
        <v>5.3</v>
      </c>
      <c r="H544" t="n">
        <v>0</v>
      </c>
      <c r="I544" t="n">
        <v>0</v>
      </c>
      <c r="J544" t="n">
        <v>0</v>
      </c>
      <c r="K544" t="n">
        <v>0</v>
      </c>
      <c r="L544" t="n">
        <v>0</v>
      </c>
      <c r="M544" t="n">
        <v>0</v>
      </c>
      <c r="N544" t="n">
        <v>0</v>
      </c>
      <c r="O544" t="n">
        <v>0</v>
      </c>
      <c r="P544" t="n">
        <v>0</v>
      </c>
      <c r="Q544" t="n">
        <v>0</v>
      </c>
      <c r="R544" s="2" t="inlineStr"/>
    </row>
    <row r="545" ht="15" customHeight="1">
      <c r="A545" t="inlineStr">
        <is>
          <t>A 57693-2020</t>
        </is>
      </c>
      <c r="B545" s="1" t="n">
        <v>44140</v>
      </c>
      <c r="C545" s="1" t="n">
        <v>45936</v>
      </c>
      <c r="D545" t="inlineStr">
        <is>
          <t>SÖDERMANLANDS LÄN</t>
        </is>
      </c>
      <c r="E545" t="inlineStr">
        <is>
          <t>KATRINEHOLM</t>
        </is>
      </c>
      <c r="G545" t="n">
        <v>2.3</v>
      </c>
      <c r="H545" t="n">
        <v>0</v>
      </c>
      <c r="I545" t="n">
        <v>0</v>
      </c>
      <c r="J545" t="n">
        <v>0</v>
      </c>
      <c r="K545" t="n">
        <v>0</v>
      </c>
      <c r="L545" t="n">
        <v>0</v>
      </c>
      <c r="M545" t="n">
        <v>0</v>
      </c>
      <c r="N545" t="n">
        <v>0</v>
      </c>
      <c r="O545" t="n">
        <v>0</v>
      </c>
      <c r="P545" t="n">
        <v>0</v>
      </c>
      <c r="Q545" t="n">
        <v>0</v>
      </c>
      <c r="R545" s="2" t="inlineStr"/>
    </row>
    <row r="546" ht="15" customHeight="1">
      <c r="A546" t="inlineStr">
        <is>
          <t>A 28394-2023</t>
        </is>
      </c>
      <c r="B546" s="1" t="n">
        <v>45100</v>
      </c>
      <c r="C546" s="1" t="n">
        <v>45936</v>
      </c>
      <c r="D546" t="inlineStr">
        <is>
          <t>SÖDERMANLANDS LÄN</t>
        </is>
      </c>
      <c r="E546" t="inlineStr">
        <is>
          <t>KATRINEHOLM</t>
        </is>
      </c>
      <c r="G546" t="n">
        <v>4.2</v>
      </c>
      <c r="H546" t="n">
        <v>0</v>
      </c>
      <c r="I546" t="n">
        <v>0</v>
      </c>
      <c r="J546" t="n">
        <v>0</v>
      </c>
      <c r="K546" t="n">
        <v>0</v>
      </c>
      <c r="L546" t="n">
        <v>0</v>
      </c>
      <c r="M546" t="n">
        <v>0</v>
      </c>
      <c r="N546" t="n">
        <v>0</v>
      </c>
      <c r="O546" t="n">
        <v>0</v>
      </c>
      <c r="P546" t="n">
        <v>0</v>
      </c>
      <c r="Q546" t="n">
        <v>0</v>
      </c>
      <c r="R546" s="2" t="inlineStr"/>
    </row>
    <row r="547" ht="15" customHeight="1">
      <c r="A547" t="inlineStr">
        <is>
          <t>A 37834-2023</t>
        </is>
      </c>
      <c r="B547" s="1" t="n">
        <v>45160</v>
      </c>
      <c r="C547" s="1" t="n">
        <v>45936</v>
      </c>
      <c r="D547" t="inlineStr">
        <is>
          <t>SÖDERMANLANDS LÄN</t>
        </is>
      </c>
      <c r="E547" t="inlineStr">
        <is>
          <t>KATRINEHOLM</t>
        </is>
      </c>
      <c r="F547" t="inlineStr">
        <is>
          <t>Kyrkan</t>
        </is>
      </c>
      <c r="G547" t="n">
        <v>2.8</v>
      </c>
      <c r="H547" t="n">
        <v>0</v>
      </c>
      <c r="I547" t="n">
        <v>0</v>
      </c>
      <c r="J547" t="n">
        <v>0</v>
      </c>
      <c r="K547" t="n">
        <v>0</v>
      </c>
      <c r="L547" t="n">
        <v>0</v>
      </c>
      <c r="M547" t="n">
        <v>0</v>
      </c>
      <c r="N547" t="n">
        <v>0</v>
      </c>
      <c r="O547" t="n">
        <v>0</v>
      </c>
      <c r="P547" t="n">
        <v>0</v>
      </c>
      <c r="Q547" t="n">
        <v>0</v>
      </c>
      <c r="R547" s="2" t="inlineStr"/>
    </row>
    <row r="548" ht="15" customHeight="1">
      <c r="A548" t="inlineStr">
        <is>
          <t>A 39010-2021</t>
        </is>
      </c>
      <c r="B548" s="1" t="n">
        <v>44412</v>
      </c>
      <c r="C548" s="1" t="n">
        <v>45936</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36210-2022</t>
        </is>
      </c>
      <c r="B549" s="1" t="n">
        <v>44803.47950231482</v>
      </c>
      <c r="C549" s="1" t="n">
        <v>45936</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19685-2022</t>
        </is>
      </c>
      <c r="B550" s="1" t="n">
        <v>44694</v>
      </c>
      <c r="C550" s="1" t="n">
        <v>45936</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39737-2025</t>
        </is>
      </c>
      <c r="B551" s="1" t="n">
        <v>45891</v>
      </c>
      <c r="C551" s="1" t="n">
        <v>45936</v>
      </c>
      <c r="D551" t="inlineStr">
        <is>
          <t>SÖDERMANLANDS LÄN</t>
        </is>
      </c>
      <c r="E551" t="inlineStr">
        <is>
          <t>KATRINEHOLM</t>
        </is>
      </c>
      <c r="F551" t="inlineStr">
        <is>
          <t>Holmen skog AB</t>
        </is>
      </c>
      <c r="G551" t="n">
        <v>1.6</v>
      </c>
      <c r="H551" t="n">
        <v>0</v>
      </c>
      <c r="I551" t="n">
        <v>0</v>
      </c>
      <c r="J551" t="n">
        <v>0</v>
      </c>
      <c r="K551" t="n">
        <v>0</v>
      </c>
      <c r="L551" t="n">
        <v>0</v>
      </c>
      <c r="M551" t="n">
        <v>0</v>
      </c>
      <c r="N551" t="n">
        <v>0</v>
      </c>
      <c r="O551" t="n">
        <v>0</v>
      </c>
      <c r="P551" t="n">
        <v>0</v>
      </c>
      <c r="Q551" t="n">
        <v>0</v>
      </c>
      <c r="R551" s="2" t="inlineStr"/>
    </row>
    <row r="552" ht="15" customHeight="1">
      <c r="A552" t="inlineStr">
        <is>
          <t>A 25362-2023</t>
        </is>
      </c>
      <c r="B552" s="1" t="n">
        <v>45088.83430555555</v>
      </c>
      <c r="C552" s="1" t="n">
        <v>45936</v>
      </c>
      <c r="D552" t="inlineStr">
        <is>
          <t>SÖDERMANLANDS LÄN</t>
        </is>
      </c>
      <c r="E552" t="inlineStr">
        <is>
          <t>KATRINEHOLM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6311-2025</t>
        </is>
      </c>
      <c r="B553" s="1" t="n">
        <v>45698</v>
      </c>
      <c r="C553" s="1" t="n">
        <v>45936</v>
      </c>
      <c r="D553" t="inlineStr">
        <is>
          <t>SÖDERMANLANDS LÄN</t>
        </is>
      </c>
      <c r="E553" t="inlineStr">
        <is>
          <t>KATRINEHOLM</t>
        </is>
      </c>
      <c r="G553" t="n">
        <v>0.3</v>
      </c>
      <c r="H553" t="n">
        <v>0</v>
      </c>
      <c r="I553" t="n">
        <v>0</v>
      </c>
      <c r="J553" t="n">
        <v>0</v>
      </c>
      <c r="K553" t="n">
        <v>0</v>
      </c>
      <c r="L553" t="n">
        <v>0</v>
      </c>
      <c r="M553" t="n">
        <v>0</v>
      </c>
      <c r="N553" t="n">
        <v>0</v>
      </c>
      <c r="O553" t="n">
        <v>0</v>
      </c>
      <c r="P553" t="n">
        <v>0</v>
      </c>
      <c r="Q553" t="n">
        <v>0</v>
      </c>
      <c r="R553" s="2" t="inlineStr"/>
    </row>
    <row r="554" ht="15" customHeight="1">
      <c r="A554" t="inlineStr">
        <is>
          <t>A 8951-2024</t>
        </is>
      </c>
      <c r="B554" s="1" t="n">
        <v>45357.44695601852</v>
      </c>
      <c r="C554" s="1" t="n">
        <v>45936</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47456-2022</t>
        </is>
      </c>
      <c r="B555" s="1" t="n">
        <v>44852</v>
      </c>
      <c r="C555" s="1" t="n">
        <v>45936</v>
      </c>
      <c r="D555" t="inlineStr">
        <is>
          <t>SÖDERMANLANDS LÄN</t>
        </is>
      </c>
      <c r="E555" t="inlineStr">
        <is>
          <t>KATRINEHOLM</t>
        </is>
      </c>
      <c r="G555" t="n">
        <v>3.7</v>
      </c>
      <c r="H555" t="n">
        <v>0</v>
      </c>
      <c r="I555" t="n">
        <v>0</v>
      </c>
      <c r="J555" t="n">
        <v>0</v>
      </c>
      <c r="K555" t="n">
        <v>0</v>
      </c>
      <c r="L555" t="n">
        <v>0</v>
      </c>
      <c r="M555" t="n">
        <v>0</v>
      </c>
      <c r="N555" t="n">
        <v>0</v>
      </c>
      <c r="O555" t="n">
        <v>0</v>
      </c>
      <c r="P555" t="n">
        <v>0</v>
      </c>
      <c r="Q555" t="n">
        <v>0</v>
      </c>
      <c r="R555" s="2" t="inlineStr"/>
    </row>
    <row r="556" ht="15" customHeight="1">
      <c r="A556" t="inlineStr">
        <is>
          <t>A 39847-2025</t>
        </is>
      </c>
      <c r="B556" s="1" t="n">
        <v>45891.58381944444</v>
      </c>
      <c r="C556" s="1" t="n">
        <v>45936</v>
      </c>
      <c r="D556" t="inlineStr">
        <is>
          <t>SÖDERMANLANDS LÄN</t>
        </is>
      </c>
      <c r="E556" t="inlineStr">
        <is>
          <t>KATRINEHOLM</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14224-2024</t>
        </is>
      </c>
      <c r="B557" s="1" t="n">
        <v>45393</v>
      </c>
      <c r="C557" s="1" t="n">
        <v>45936</v>
      </c>
      <c r="D557" t="inlineStr">
        <is>
          <t>SÖDERMANLANDS LÄN</t>
        </is>
      </c>
      <c r="E557" t="inlineStr">
        <is>
          <t>KATRINEHOLM</t>
        </is>
      </c>
      <c r="F557" t="inlineStr">
        <is>
          <t>Sveaskog</t>
        </is>
      </c>
      <c r="G557" t="n">
        <v>7.6</v>
      </c>
      <c r="H557" t="n">
        <v>0</v>
      </c>
      <c r="I557" t="n">
        <v>0</v>
      </c>
      <c r="J557" t="n">
        <v>0</v>
      </c>
      <c r="K557" t="n">
        <v>0</v>
      </c>
      <c r="L557" t="n">
        <v>0</v>
      </c>
      <c r="M557" t="n">
        <v>0</v>
      </c>
      <c r="N557" t="n">
        <v>0</v>
      </c>
      <c r="O557" t="n">
        <v>0</v>
      </c>
      <c r="P557" t="n">
        <v>0</v>
      </c>
      <c r="Q557" t="n">
        <v>0</v>
      </c>
      <c r="R557" s="2" t="inlineStr"/>
    </row>
    <row r="558" ht="15" customHeight="1">
      <c r="A558" t="inlineStr">
        <is>
          <t>A 4656-2023</t>
        </is>
      </c>
      <c r="B558" s="1" t="n">
        <v>44957</v>
      </c>
      <c r="C558" s="1" t="n">
        <v>45936</v>
      </c>
      <c r="D558" t="inlineStr">
        <is>
          <t>SÖDERMANLANDS LÄN</t>
        </is>
      </c>
      <c r="E558" t="inlineStr">
        <is>
          <t>KATRINEHOLM</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49078-2024</t>
        </is>
      </c>
      <c r="B559" s="1" t="n">
        <v>45594.62556712963</v>
      </c>
      <c r="C559" s="1" t="n">
        <v>45936</v>
      </c>
      <c r="D559" t="inlineStr">
        <is>
          <t>SÖDERMANLANDS LÄN</t>
        </is>
      </c>
      <c r="E559" t="inlineStr">
        <is>
          <t>KATRINEHOLM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48199-2025</t>
        </is>
      </c>
      <c r="B560" s="1" t="n">
        <v>45933.47856481482</v>
      </c>
      <c r="C560" s="1" t="n">
        <v>45936</v>
      </c>
      <c r="D560" t="inlineStr">
        <is>
          <t>SÖDERMANLANDS LÄN</t>
        </is>
      </c>
      <c r="E560" t="inlineStr">
        <is>
          <t>KATRINEHOLM</t>
        </is>
      </c>
      <c r="G560" t="n">
        <v>4.4</v>
      </c>
      <c r="H560" t="n">
        <v>0</v>
      </c>
      <c r="I560" t="n">
        <v>0</v>
      </c>
      <c r="J560" t="n">
        <v>0</v>
      </c>
      <c r="K560" t="n">
        <v>0</v>
      </c>
      <c r="L560" t="n">
        <v>0</v>
      </c>
      <c r="M560" t="n">
        <v>0</v>
      </c>
      <c r="N560" t="n">
        <v>0</v>
      </c>
      <c r="O560" t="n">
        <v>0</v>
      </c>
      <c r="P560" t="n">
        <v>0</v>
      </c>
      <c r="Q560" t="n">
        <v>0</v>
      </c>
      <c r="R560" s="2" t="inlineStr"/>
    </row>
    <row r="561" ht="15" customHeight="1">
      <c r="A561" t="inlineStr">
        <is>
          <t>A 35188-2022</t>
        </is>
      </c>
      <c r="B561" s="1" t="n">
        <v>44797</v>
      </c>
      <c r="C561" s="1" t="n">
        <v>45936</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39663-2025</t>
        </is>
      </c>
      <c r="B562" s="1" t="n">
        <v>45890</v>
      </c>
      <c r="C562" s="1" t="n">
        <v>45936</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44989-2022</t>
        </is>
      </c>
      <c r="B563" s="1" t="n">
        <v>44840</v>
      </c>
      <c r="C563" s="1" t="n">
        <v>45936</v>
      </c>
      <c r="D563" t="inlineStr">
        <is>
          <t>SÖDERMANLANDS LÄN</t>
        </is>
      </c>
      <c r="E563" t="inlineStr">
        <is>
          <t>KATRINEHOLM</t>
        </is>
      </c>
      <c r="G563" t="n">
        <v>6</v>
      </c>
      <c r="H563" t="n">
        <v>0</v>
      </c>
      <c r="I563" t="n">
        <v>0</v>
      </c>
      <c r="J563" t="n">
        <v>0</v>
      </c>
      <c r="K563" t="n">
        <v>0</v>
      </c>
      <c r="L563" t="n">
        <v>0</v>
      </c>
      <c r="M563" t="n">
        <v>0</v>
      </c>
      <c r="N563" t="n">
        <v>0</v>
      </c>
      <c r="O563" t="n">
        <v>0</v>
      </c>
      <c r="P563" t="n">
        <v>0</v>
      </c>
      <c r="Q563" t="n">
        <v>0</v>
      </c>
      <c r="R563" s="2" t="inlineStr"/>
    </row>
    <row r="564" ht="15" customHeight="1">
      <c r="A564" t="inlineStr">
        <is>
          <t>A 57263-2022</t>
        </is>
      </c>
      <c r="B564" s="1" t="n">
        <v>44895</v>
      </c>
      <c r="C564" s="1" t="n">
        <v>45936</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5327-2025</t>
        </is>
      </c>
      <c r="B565" s="1" t="n">
        <v>45692</v>
      </c>
      <c r="C565" s="1" t="n">
        <v>45936</v>
      </c>
      <c r="D565" t="inlineStr">
        <is>
          <t>SÖDERMANLANDS LÄN</t>
        </is>
      </c>
      <c r="E565" t="inlineStr">
        <is>
          <t>KATRINEHOLM</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65077-2020</t>
        </is>
      </c>
      <c r="B566" s="1" t="n">
        <v>44172</v>
      </c>
      <c r="C566" s="1" t="n">
        <v>45936</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49218-2023</t>
        </is>
      </c>
      <c r="B567" s="1" t="n">
        <v>45205</v>
      </c>
      <c r="C567" s="1" t="n">
        <v>45936</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39645-2025</t>
        </is>
      </c>
      <c r="B568" s="1" t="n">
        <v>45890</v>
      </c>
      <c r="C568" s="1" t="n">
        <v>45936</v>
      </c>
      <c r="D568" t="inlineStr">
        <is>
          <t>SÖDERMANLANDS LÄN</t>
        </is>
      </c>
      <c r="E568" t="inlineStr">
        <is>
          <t>KATRINEHOLM</t>
        </is>
      </c>
      <c r="G568" t="n">
        <v>0.2</v>
      </c>
      <c r="H568" t="n">
        <v>0</v>
      </c>
      <c r="I568" t="n">
        <v>0</v>
      </c>
      <c r="J568" t="n">
        <v>0</v>
      </c>
      <c r="K568" t="n">
        <v>0</v>
      </c>
      <c r="L568" t="n">
        <v>0</v>
      </c>
      <c r="M568" t="n">
        <v>0</v>
      </c>
      <c r="N568" t="n">
        <v>0</v>
      </c>
      <c r="O568" t="n">
        <v>0</v>
      </c>
      <c r="P568" t="n">
        <v>0</v>
      </c>
      <c r="Q568" t="n">
        <v>0</v>
      </c>
      <c r="R568" s="2" t="inlineStr"/>
    </row>
    <row r="569" ht="15" customHeight="1">
      <c r="A569" t="inlineStr">
        <is>
          <t>A 22113-2025</t>
        </is>
      </c>
      <c r="B569" s="1" t="n">
        <v>45785</v>
      </c>
      <c r="C569" s="1" t="n">
        <v>45936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4679-2023</t>
        </is>
      </c>
      <c r="B570" s="1" t="n">
        <v>44957.44885416667</v>
      </c>
      <c r="C570" s="1" t="n">
        <v>45936</v>
      </c>
      <c r="D570" t="inlineStr">
        <is>
          <t>SÖDERMANLANDS LÄN</t>
        </is>
      </c>
      <c r="E570" t="inlineStr">
        <is>
          <t>KATRINEHOLM</t>
        </is>
      </c>
      <c r="G570" t="n">
        <v>5.3</v>
      </c>
      <c r="H570" t="n">
        <v>0</v>
      </c>
      <c r="I570" t="n">
        <v>0</v>
      </c>
      <c r="J570" t="n">
        <v>0</v>
      </c>
      <c r="K570" t="n">
        <v>0</v>
      </c>
      <c r="L570" t="n">
        <v>0</v>
      </c>
      <c r="M570" t="n">
        <v>0</v>
      </c>
      <c r="N570" t="n">
        <v>0</v>
      </c>
      <c r="O570" t="n">
        <v>0</v>
      </c>
      <c r="P570" t="n">
        <v>0</v>
      </c>
      <c r="Q570" t="n">
        <v>0</v>
      </c>
      <c r="R570" s="2" t="inlineStr"/>
    </row>
    <row r="571" ht="15" customHeight="1">
      <c r="A571" t="inlineStr">
        <is>
          <t>A 6175-2023</t>
        </is>
      </c>
      <c r="B571" s="1" t="n">
        <v>44964</v>
      </c>
      <c r="C571" s="1" t="n">
        <v>45936</v>
      </c>
      <c r="D571" t="inlineStr">
        <is>
          <t>SÖDERMANLANDS LÄN</t>
        </is>
      </c>
      <c r="E571" t="inlineStr">
        <is>
          <t>KATRINEHOLM</t>
        </is>
      </c>
      <c r="G571" t="n">
        <v>11.2</v>
      </c>
      <c r="H571" t="n">
        <v>0</v>
      </c>
      <c r="I571" t="n">
        <v>0</v>
      </c>
      <c r="J571" t="n">
        <v>0</v>
      </c>
      <c r="K571" t="n">
        <v>0</v>
      </c>
      <c r="L571" t="n">
        <v>0</v>
      </c>
      <c r="M571" t="n">
        <v>0</v>
      </c>
      <c r="N571" t="n">
        <v>0</v>
      </c>
      <c r="O571" t="n">
        <v>0</v>
      </c>
      <c r="P571" t="n">
        <v>0</v>
      </c>
      <c r="Q571" t="n">
        <v>0</v>
      </c>
      <c r="R571" s="2" t="inlineStr"/>
    </row>
    <row r="572" ht="15" customHeight="1">
      <c r="A572" t="inlineStr">
        <is>
          <t>A 4655-2024</t>
        </is>
      </c>
      <c r="B572" s="1" t="n">
        <v>45328</v>
      </c>
      <c r="C572" s="1" t="n">
        <v>45936</v>
      </c>
      <c r="D572" t="inlineStr">
        <is>
          <t>SÖDERMANLANDS LÄN</t>
        </is>
      </c>
      <c r="E572" t="inlineStr">
        <is>
          <t>KATRINEHOLM</t>
        </is>
      </c>
      <c r="G572" t="n">
        <v>17.7</v>
      </c>
      <c r="H572" t="n">
        <v>0</v>
      </c>
      <c r="I572" t="n">
        <v>0</v>
      </c>
      <c r="J572" t="n">
        <v>0</v>
      </c>
      <c r="K572" t="n">
        <v>0</v>
      </c>
      <c r="L572" t="n">
        <v>0</v>
      </c>
      <c r="M572" t="n">
        <v>0</v>
      </c>
      <c r="N572" t="n">
        <v>0</v>
      </c>
      <c r="O572" t="n">
        <v>0</v>
      </c>
      <c r="P572" t="n">
        <v>0</v>
      </c>
      <c r="Q572" t="n">
        <v>0</v>
      </c>
      <c r="R572" s="2" t="inlineStr"/>
    </row>
    <row r="573" ht="15" customHeight="1">
      <c r="A573" t="inlineStr">
        <is>
          <t>A 22119-2025</t>
        </is>
      </c>
      <c r="B573" s="1" t="n">
        <v>45785</v>
      </c>
      <c r="C573" s="1" t="n">
        <v>45936</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2320-2023</t>
        </is>
      </c>
      <c r="B574" s="1" t="n">
        <v>44942.58850694444</v>
      </c>
      <c r="C574" s="1" t="n">
        <v>45936</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2325-2023</t>
        </is>
      </c>
      <c r="B575" s="1" t="n">
        <v>44942</v>
      </c>
      <c r="C575" s="1" t="n">
        <v>45936</v>
      </c>
      <c r="D575" t="inlineStr">
        <is>
          <t>SÖDERMANLANDS LÄN</t>
        </is>
      </c>
      <c r="E575" t="inlineStr">
        <is>
          <t>KATRINEHOLM</t>
        </is>
      </c>
      <c r="G575" t="n">
        <v>5.6</v>
      </c>
      <c r="H575" t="n">
        <v>0</v>
      </c>
      <c r="I575" t="n">
        <v>0</v>
      </c>
      <c r="J575" t="n">
        <v>0</v>
      </c>
      <c r="K575" t="n">
        <v>0</v>
      </c>
      <c r="L575" t="n">
        <v>0</v>
      </c>
      <c r="M575" t="n">
        <v>0</v>
      </c>
      <c r="N575" t="n">
        <v>0</v>
      </c>
      <c r="O575" t="n">
        <v>0</v>
      </c>
      <c r="P575" t="n">
        <v>0</v>
      </c>
      <c r="Q575" t="n">
        <v>0</v>
      </c>
      <c r="R575" s="2" t="inlineStr"/>
    </row>
    <row r="576" ht="15" customHeight="1">
      <c r="A576" t="inlineStr">
        <is>
          <t>A 24983-2024</t>
        </is>
      </c>
      <c r="B576" s="1" t="n">
        <v>45461</v>
      </c>
      <c r="C576" s="1" t="n">
        <v>45936</v>
      </c>
      <c r="D576" t="inlineStr">
        <is>
          <t>SÖDERMANLANDS LÄN</t>
        </is>
      </c>
      <c r="E576" t="inlineStr">
        <is>
          <t>KATRINEHOLM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45936</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32943-2024</t>
        </is>
      </c>
      <c r="B578" s="1" t="n">
        <v>45517</v>
      </c>
      <c r="C578" s="1" t="n">
        <v>45936</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55732-2023</t>
        </is>
      </c>
      <c r="B579" s="1" t="n">
        <v>45239</v>
      </c>
      <c r="C579" s="1" t="n">
        <v>45936</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17792-2025</t>
        </is>
      </c>
      <c r="B580" s="1" t="n">
        <v>45758</v>
      </c>
      <c r="C580" s="1" t="n">
        <v>45936</v>
      </c>
      <c r="D580" t="inlineStr">
        <is>
          <t>SÖDERMANLANDS LÄN</t>
        </is>
      </c>
      <c r="E580" t="inlineStr">
        <is>
          <t>KATRINEHOLM</t>
        </is>
      </c>
      <c r="G580" t="n">
        <v>4.2</v>
      </c>
      <c r="H580" t="n">
        <v>0</v>
      </c>
      <c r="I580" t="n">
        <v>0</v>
      </c>
      <c r="J580" t="n">
        <v>0</v>
      </c>
      <c r="K580" t="n">
        <v>0</v>
      </c>
      <c r="L580" t="n">
        <v>0</v>
      </c>
      <c r="M580" t="n">
        <v>0</v>
      </c>
      <c r="N580" t="n">
        <v>0</v>
      </c>
      <c r="O580" t="n">
        <v>0</v>
      </c>
      <c r="P580" t="n">
        <v>0</v>
      </c>
      <c r="Q580" t="n">
        <v>0</v>
      </c>
      <c r="R580" s="2" t="inlineStr"/>
    </row>
    <row r="581" ht="15" customHeight="1">
      <c r="A581" t="inlineStr">
        <is>
          <t>A 22476-2025</t>
        </is>
      </c>
      <c r="B581" s="1" t="n">
        <v>45786</v>
      </c>
      <c r="C581" s="1" t="n">
        <v>45936</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23838-2021</t>
        </is>
      </c>
      <c r="B582" s="1" t="n">
        <v>44335</v>
      </c>
      <c r="C582" s="1" t="n">
        <v>45936</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55031-2020</t>
        </is>
      </c>
      <c r="B583" s="1" t="n">
        <v>44130</v>
      </c>
      <c r="C583" s="1" t="n">
        <v>45936</v>
      </c>
      <c r="D583" t="inlineStr">
        <is>
          <t>SÖDERMANLANDS LÄN</t>
        </is>
      </c>
      <c r="E583" t="inlineStr">
        <is>
          <t>KATRINEHOLM</t>
        </is>
      </c>
      <c r="G583" t="n">
        <v>1.9</v>
      </c>
      <c r="H583" t="n">
        <v>0</v>
      </c>
      <c r="I583" t="n">
        <v>0</v>
      </c>
      <c r="J583" t="n">
        <v>0</v>
      </c>
      <c r="K583" t="n">
        <v>0</v>
      </c>
      <c r="L583" t="n">
        <v>0</v>
      </c>
      <c r="M583" t="n">
        <v>0</v>
      </c>
      <c r="N583" t="n">
        <v>0</v>
      </c>
      <c r="O583" t="n">
        <v>0</v>
      </c>
      <c r="P583" t="n">
        <v>0</v>
      </c>
      <c r="Q583" t="n">
        <v>0</v>
      </c>
      <c r="R583" s="2" t="inlineStr"/>
    </row>
    <row r="584" ht="15" customHeight="1">
      <c r="A584" t="inlineStr">
        <is>
          <t>A 58473-2021</t>
        </is>
      </c>
      <c r="B584" s="1" t="n">
        <v>44488</v>
      </c>
      <c r="C584" s="1" t="n">
        <v>45936</v>
      </c>
      <c r="D584" t="inlineStr">
        <is>
          <t>SÖDERMANLANDS LÄN</t>
        </is>
      </c>
      <c r="E584" t="inlineStr">
        <is>
          <t>KATRINEHOLM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53860-2021</t>
        </is>
      </c>
      <c r="B585" s="1" t="n">
        <v>44467</v>
      </c>
      <c r="C585" s="1" t="n">
        <v>45936</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23050-2025</t>
        </is>
      </c>
      <c r="B586" s="1" t="n">
        <v>45790.69971064815</v>
      </c>
      <c r="C586" s="1" t="n">
        <v>45936</v>
      </c>
      <c r="D586" t="inlineStr">
        <is>
          <t>SÖDERMANLANDS LÄN</t>
        </is>
      </c>
      <c r="E586" t="inlineStr">
        <is>
          <t>KATRINEHOLM</t>
        </is>
      </c>
      <c r="G586" t="n">
        <v>3.7</v>
      </c>
      <c r="H586" t="n">
        <v>0</v>
      </c>
      <c r="I586" t="n">
        <v>0</v>
      </c>
      <c r="J586" t="n">
        <v>0</v>
      </c>
      <c r="K586" t="n">
        <v>0</v>
      </c>
      <c r="L586" t="n">
        <v>0</v>
      </c>
      <c r="M586" t="n">
        <v>0</v>
      </c>
      <c r="N586" t="n">
        <v>0</v>
      </c>
      <c r="O586" t="n">
        <v>0</v>
      </c>
      <c r="P586" t="n">
        <v>0</v>
      </c>
      <c r="Q586" t="n">
        <v>0</v>
      </c>
      <c r="R586" s="2" t="inlineStr"/>
    </row>
    <row r="587" ht="15" customHeight="1">
      <c r="A587" t="inlineStr">
        <is>
          <t>A 20533-2023</t>
        </is>
      </c>
      <c r="B587" s="1" t="n">
        <v>45057</v>
      </c>
      <c r="C587" s="1" t="n">
        <v>45936</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c r="T587">
        <f>HYPERLINK("https://klasma.github.io/Logging_0483/kartor/A 20533-2023 karta.png", "A 20533-2023")</f>
        <v/>
      </c>
      <c r="V587">
        <f>HYPERLINK("https://klasma.github.io/Logging_0483/klagomål/A 20533-2023 FSC-klagomål.docx", "A 20533-2023")</f>
        <v/>
      </c>
      <c r="W587">
        <f>HYPERLINK("https://klasma.github.io/Logging_0483/klagomålsmail/A 20533-2023 FSC-klagomål mail.docx", "A 20533-2023")</f>
        <v/>
      </c>
      <c r="X587">
        <f>HYPERLINK("https://klasma.github.io/Logging_0483/tillsyn/A 20533-2023 tillsynsbegäran.docx", "A 20533-2023")</f>
        <v/>
      </c>
      <c r="Y587">
        <f>HYPERLINK("https://klasma.github.io/Logging_0483/tillsynsmail/A 20533-2023 tillsynsbegäran mail.docx", "A 20533-2023")</f>
        <v/>
      </c>
      <c r="Z587">
        <f>HYPERLINK("https://klasma.github.io/Logging_0483/fåglar/A 20533-2023 prioriterade fågelarter.docx", "A 20533-2023")</f>
        <v/>
      </c>
    </row>
    <row r="588" ht="15" customHeight="1">
      <c r="A588" t="inlineStr">
        <is>
          <t>A 29702-2021</t>
        </is>
      </c>
      <c r="B588" s="1" t="n">
        <v>44362</v>
      </c>
      <c r="C588" s="1" t="n">
        <v>45936</v>
      </c>
      <c r="D588" t="inlineStr">
        <is>
          <t>SÖDERMANLANDS LÄN</t>
        </is>
      </c>
      <c r="E588" t="inlineStr">
        <is>
          <t>KATRINEHOLM</t>
        </is>
      </c>
      <c r="F588" t="inlineStr">
        <is>
          <t>Holmen skog AB</t>
        </is>
      </c>
      <c r="G588" t="n">
        <v>0.3</v>
      </c>
      <c r="H588" t="n">
        <v>0</v>
      </c>
      <c r="I588" t="n">
        <v>0</v>
      </c>
      <c r="J588" t="n">
        <v>0</v>
      </c>
      <c r="K588" t="n">
        <v>0</v>
      </c>
      <c r="L588" t="n">
        <v>0</v>
      </c>
      <c r="M588" t="n">
        <v>0</v>
      </c>
      <c r="N588" t="n">
        <v>0</v>
      </c>
      <c r="O588" t="n">
        <v>0</v>
      </c>
      <c r="P588" t="n">
        <v>0</v>
      </c>
      <c r="Q588" t="n">
        <v>0</v>
      </c>
      <c r="R588" s="2" t="inlineStr"/>
    </row>
    <row r="589" ht="15" customHeight="1">
      <c r="A589" t="inlineStr">
        <is>
          <t>A 4662-2023</t>
        </is>
      </c>
      <c r="B589" s="1" t="n">
        <v>44957</v>
      </c>
      <c r="C589" s="1" t="n">
        <v>45936</v>
      </c>
      <c r="D589" t="inlineStr">
        <is>
          <t>SÖDERMANLANDS LÄN</t>
        </is>
      </c>
      <c r="E589" t="inlineStr">
        <is>
          <t>KATRINEHOLM</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22304-2024</t>
        </is>
      </c>
      <c r="B590" s="1" t="n">
        <v>45446.56626157407</v>
      </c>
      <c r="C590" s="1" t="n">
        <v>45936</v>
      </c>
      <c r="D590" t="inlineStr">
        <is>
          <t>SÖDERMANLANDS LÄN</t>
        </is>
      </c>
      <c r="E590" t="inlineStr">
        <is>
          <t>KATRINEHOLM</t>
        </is>
      </c>
      <c r="F590" t="inlineStr">
        <is>
          <t>Kommuner</t>
        </is>
      </c>
      <c r="G590" t="n">
        <v>0.7</v>
      </c>
      <c r="H590" t="n">
        <v>0</v>
      </c>
      <c r="I590" t="n">
        <v>0</v>
      </c>
      <c r="J590" t="n">
        <v>0</v>
      </c>
      <c r="K590" t="n">
        <v>0</v>
      </c>
      <c r="L590" t="n">
        <v>0</v>
      </c>
      <c r="M590" t="n">
        <v>0</v>
      </c>
      <c r="N590" t="n">
        <v>0</v>
      </c>
      <c r="O590" t="n">
        <v>0</v>
      </c>
      <c r="P590" t="n">
        <v>0</v>
      </c>
      <c r="Q590" t="n">
        <v>0</v>
      </c>
      <c r="R590" s="2" t="inlineStr"/>
    </row>
    <row r="591" ht="15" customHeight="1">
      <c r="A591" t="inlineStr">
        <is>
          <t>A 13171-2024</t>
        </is>
      </c>
      <c r="B591" s="1" t="n">
        <v>45386</v>
      </c>
      <c r="C591" s="1" t="n">
        <v>45936</v>
      </c>
      <c r="D591" t="inlineStr">
        <is>
          <t>SÖDERMANLANDS LÄN</t>
        </is>
      </c>
      <c r="E591" t="inlineStr">
        <is>
          <t>KATRINEHOLM</t>
        </is>
      </c>
      <c r="G591" t="n">
        <v>1</v>
      </c>
      <c r="H591" t="n">
        <v>0</v>
      </c>
      <c r="I591" t="n">
        <v>0</v>
      </c>
      <c r="J591" t="n">
        <v>0</v>
      </c>
      <c r="K591" t="n">
        <v>0</v>
      </c>
      <c r="L591" t="n">
        <v>0</v>
      </c>
      <c r="M591" t="n">
        <v>0</v>
      </c>
      <c r="N591" t="n">
        <v>0</v>
      </c>
      <c r="O591" t="n">
        <v>0</v>
      </c>
      <c r="P591" t="n">
        <v>0</v>
      </c>
      <c r="Q591" t="n">
        <v>0</v>
      </c>
      <c r="R591" s="2" t="inlineStr"/>
    </row>
    <row r="592" ht="15" customHeight="1">
      <c r="A592" t="inlineStr">
        <is>
          <t>A 33752-2023</t>
        </is>
      </c>
      <c r="B592" s="1" t="n">
        <v>45120</v>
      </c>
      <c r="C592" s="1" t="n">
        <v>45936</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28652-2024</t>
        </is>
      </c>
      <c r="B593" s="1" t="n">
        <v>45478</v>
      </c>
      <c r="C593" s="1" t="n">
        <v>45936</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24902-2024</t>
        </is>
      </c>
      <c r="B594" s="1" t="n">
        <v>45461</v>
      </c>
      <c r="C594" s="1" t="n">
        <v>45936</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9936-2023</t>
        </is>
      </c>
      <c r="B595" s="1" t="n">
        <v>44985.47086805556</v>
      </c>
      <c r="C595" s="1" t="n">
        <v>45936</v>
      </c>
      <c r="D595" t="inlineStr">
        <is>
          <t>SÖDERMANLANDS LÄN</t>
        </is>
      </c>
      <c r="E595" t="inlineStr">
        <is>
          <t>KATRINEHOLM</t>
        </is>
      </c>
      <c r="G595" t="n">
        <v>0.4</v>
      </c>
      <c r="H595" t="n">
        <v>0</v>
      </c>
      <c r="I595" t="n">
        <v>0</v>
      </c>
      <c r="J595" t="n">
        <v>0</v>
      </c>
      <c r="K595" t="n">
        <v>0</v>
      </c>
      <c r="L595" t="n">
        <v>0</v>
      </c>
      <c r="M595" t="n">
        <v>0</v>
      </c>
      <c r="N595" t="n">
        <v>0</v>
      </c>
      <c r="O595" t="n">
        <v>0</v>
      </c>
      <c r="P595" t="n">
        <v>0</v>
      </c>
      <c r="Q595" t="n">
        <v>0</v>
      </c>
      <c r="R595" s="2" t="inlineStr"/>
    </row>
    <row r="596" ht="15" customHeight="1">
      <c r="A596" t="inlineStr">
        <is>
          <t>A 2603-2025</t>
        </is>
      </c>
      <c r="B596" s="1" t="n">
        <v>45674</v>
      </c>
      <c r="C596" s="1" t="n">
        <v>45936</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9192-2023</t>
        </is>
      </c>
      <c r="B597" s="1" t="n">
        <v>44980</v>
      </c>
      <c r="C597" s="1" t="n">
        <v>45936</v>
      </c>
      <c r="D597" t="inlineStr">
        <is>
          <t>SÖDERMANLANDS LÄN</t>
        </is>
      </c>
      <c r="E597" t="inlineStr">
        <is>
          <t>KATRINEHOLM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57462-2020</t>
        </is>
      </c>
      <c r="B598" s="1" t="n">
        <v>44140</v>
      </c>
      <c r="C598" s="1" t="n">
        <v>45936</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72984-2021</t>
        </is>
      </c>
      <c r="B599" s="1" t="n">
        <v>44549.74741898148</v>
      </c>
      <c r="C599" s="1" t="n">
        <v>45936</v>
      </c>
      <c r="D599" t="inlineStr">
        <is>
          <t>SÖDERMANLANDS LÄN</t>
        </is>
      </c>
      <c r="E599" t="inlineStr">
        <is>
          <t>KATRINEHOLM</t>
        </is>
      </c>
      <c r="G599" t="n">
        <v>4.9</v>
      </c>
      <c r="H599" t="n">
        <v>0</v>
      </c>
      <c r="I599" t="n">
        <v>0</v>
      </c>
      <c r="J599" t="n">
        <v>0</v>
      </c>
      <c r="K599" t="n">
        <v>0</v>
      </c>
      <c r="L599" t="n">
        <v>0</v>
      </c>
      <c r="M599" t="n">
        <v>0</v>
      </c>
      <c r="N599" t="n">
        <v>0</v>
      </c>
      <c r="O599" t="n">
        <v>0</v>
      </c>
      <c r="P599" t="n">
        <v>0</v>
      </c>
      <c r="Q599" t="n">
        <v>0</v>
      </c>
      <c r="R599" s="2" t="inlineStr"/>
    </row>
    <row r="600" ht="15" customHeight="1">
      <c r="A600" t="inlineStr">
        <is>
          <t>A 61423-2024</t>
        </is>
      </c>
      <c r="B600" s="1" t="n">
        <v>45646.45209490741</v>
      </c>
      <c r="C600" s="1" t="n">
        <v>45936</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33712-2022</t>
        </is>
      </c>
      <c r="B601" s="1" t="n">
        <v>44789</v>
      </c>
      <c r="C601" s="1" t="n">
        <v>45936</v>
      </c>
      <c r="D601" t="inlineStr">
        <is>
          <t>SÖDERMANLANDS LÄN</t>
        </is>
      </c>
      <c r="E601" t="inlineStr">
        <is>
          <t>KATRINEHOLM</t>
        </is>
      </c>
      <c r="G601" t="n">
        <v>4.3</v>
      </c>
      <c r="H601" t="n">
        <v>0</v>
      </c>
      <c r="I601" t="n">
        <v>0</v>
      </c>
      <c r="J601" t="n">
        <v>0</v>
      </c>
      <c r="K601" t="n">
        <v>0</v>
      </c>
      <c r="L601" t="n">
        <v>0</v>
      </c>
      <c r="M601" t="n">
        <v>0</v>
      </c>
      <c r="N601" t="n">
        <v>0</v>
      </c>
      <c r="O601" t="n">
        <v>0</v>
      </c>
      <c r="P601" t="n">
        <v>0</v>
      </c>
      <c r="Q601" t="n">
        <v>0</v>
      </c>
      <c r="R601" s="2" t="inlineStr"/>
    </row>
    <row r="602" ht="15" customHeight="1">
      <c r="A602" t="inlineStr">
        <is>
          <t>A 33717-2022</t>
        </is>
      </c>
      <c r="B602" s="1" t="n">
        <v>44789</v>
      </c>
      <c r="C602" s="1" t="n">
        <v>45936</v>
      </c>
      <c r="D602" t="inlineStr">
        <is>
          <t>SÖDERMANLANDS LÄN</t>
        </is>
      </c>
      <c r="E602" t="inlineStr">
        <is>
          <t>KATRINEHOLM</t>
        </is>
      </c>
      <c r="G602" t="n">
        <v>4.4</v>
      </c>
      <c r="H602" t="n">
        <v>0</v>
      </c>
      <c r="I602" t="n">
        <v>0</v>
      </c>
      <c r="J602" t="n">
        <v>0</v>
      </c>
      <c r="K602" t="n">
        <v>0</v>
      </c>
      <c r="L602" t="n">
        <v>0</v>
      </c>
      <c r="M602" t="n">
        <v>0</v>
      </c>
      <c r="N602" t="n">
        <v>0</v>
      </c>
      <c r="O602" t="n">
        <v>0</v>
      </c>
      <c r="P602" t="n">
        <v>0</v>
      </c>
      <c r="Q602" t="n">
        <v>0</v>
      </c>
      <c r="R602" s="2" t="inlineStr"/>
    </row>
    <row r="603" ht="15" customHeight="1">
      <c r="A603" t="inlineStr">
        <is>
          <t>A 51440-2024</t>
        </is>
      </c>
      <c r="B603" s="1" t="n">
        <v>45604</v>
      </c>
      <c r="C603" s="1" t="n">
        <v>45936</v>
      </c>
      <c r="D603" t="inlineStr">
        <is>
          <t>SÖDERMANLANDS LÄN</t>
        </is>
      </c>
      <c r="E603" t="inlineStr">
        <is>
          <t>KATRINEHOLM</t>
        </is>
      </c>
      <c r="G603" t="n">
        <v>4.7</v>
      </c>
      <c r="H603" t="n">
        <v>0</v>
      </c>
      <c r="I603" t="n">
        <v>0</v>
      </c>
      <c r="J603" t="n">
        <v>0</v>
      </c>
      <c r="K603" t="n">
        <v>0</v>
      </c>
      <c r="L603" t="n">
        <v>0</v>
      </c>
      <c r="M603" t="n">
        <v>0</v>
      </c>
      <c r="N603" t="n">
        <v>0</v>
      </c>
      <c r="O603" t="n">
        <v>0</v>
      </c>
      <c r="P603" t="n">
        <v>0</v>
      </c>
      <c r="Q603" t="n">
        <v>0</v>
      </c>
      <c r="R603" s="2" t="inlineStr"/>
    </row>
    <row r="604" ht="15" customHeight="1">
      <c r="A604" t="inlineStr">
        <is>
          <t>A 2298-2021</t>
        </is>
      </c>
      <c r="B604" s="1" t="n">
        <v>44212</v>
      </c>
      <c r="C604" s="1" t="n">
        <v>45936</v>
      </c>
      <c r="D604" t="inlineStr">
        <is>
          <t>SÖDERMANLANDS LÄN</t>
        </is>
      </c>
      <c r="E604" t="inlineStr">
        <is>
          <t>KATRINEHOLM</t>
        </is>
      </c>
      <c r="G604" t="n">
        <v>3.4</v>
      </c>
      <c r="H604" t="n">
        <v>0</v>
      </c>
      <c r="I604" t="n">
        <v>0</v>
      </c>
      <c r="J604" t="n">
        <v>0</v>
      </c>
      <c r="K604" t="n">
        <v>0</v>
      </c>
      <c r="L604" t="n">
        <v>0</v>
      </c>
      <c r="M604" t="n">
        <v>0</v>
      </c>
      <c r="N604" t="n">
        <v>0</v>
      </c>
      <c r="O604" t="n">
        <v>0</v>
      </c>
      <c r="P604" t="n">
        <v>0</v>
      </c>
      <c r="Q604" t="n">
        <v>0</v>
      </c>
      <c r="R604" s="2" t="inlineStr"/>
    </row>
    <row r="605" ht="15" customHeight="1">
      <c r="A605" t="inlineStr">
        <is>
          <t>A 51260-2021</t>
        </is>
      </c>
      <c r="B605" s="1" t="n">
        <v>44461</v>
      </c>
      <c r="C605" s="1" t="n">
        <v>45936</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38879-2024</t>
        </is>
      </c>
      <c r="B606" s="1" t="n">
        <v>45547</v>
      </c>
      <c r="C606" s="1" t="n">
        <v>45936</v>
      </c>
      <c r="D606" t="inlineStr">
        <is>
          <t>SÖDERMANLANDS LÄN</t>
        </is>
      </c>
      <c r="E606" t="inlineStr">
        <is>
          <t>KATRINEHOLM</t>
        </is>
      </c>
      <c r="G606" t="n">
        <v>2.6</v>
      </c>
      <c r="H606" t="n">
        <v>0</v>
      </c>
      <c r="I606" t="n">
        <v>0</v>
      </c>
      <c r="J606" t="n">
        <v>0</v>
      </c>
      <c r="K606" t="n">
        <v>0</v>
      </c>
      <c r="L606" t="n">
        <v>0</v>
      </c>
      <c r="M606" t="n">
        <v>0</v>
      </c>
      <c r="N606" t="n">
        <v>0</v>
      </c>
      <c r="O606" t="n">
        <v>0</v>
      </c>
      <c r="P606" t="n">
        <v>0</v>
      </c>
      <c r="Q606" t="n">
        <v>0</v>
      </c>
      <c r="R606" s="2" t="inlineStr"/>
    </row>
    <row r="607" ht="15" customHeight="1">
      <c r="A607" t="inlineStr">
        <is>
          <t>A 42945-2023</t>
        </is>
      </c>
      <c r="B607" s="1" t="n">
        <v>45182.5793287037</v>
      </c>
      <c r="C607" s="1" t="n">
        <v>45936</v>
      </c>
      <c r="D607" t="inlineStr">
        <is>
          <t>SÖDERMANLANDS LÄN</t>
        </is>
      </c>
      <c r="E607" t="inlineStr">
        <is>
          <t>KATRINEHOLM</t>
        </is>
      </c>
      <c r="F607" t="inlineStr">
        <is>
          <t>Övriga Aktiebolag</t>
        </is>
      </c>
      <c r="G607" t="n">
        <v>2.2</v>
      </c>
      <c r="H607" t="n">
        <v>0</v>
      </c>
      <c r="I607" t="n">
        <v>0</v>
      </c>
      <c r="J607" t="n">
        <v>0</v>
      </c>
      <c r="K607" t="n">
        <v>0</v>
      </c>
      <c r="L607" t="n">
        <v>0</v>
      </c>
      <c r="M607" t="n">
        <v>0</v>
      </c>
      <c r="N607" t="n">
        <v>0</v>
      </c>
      <c r="O607" t="n">
        <v>0</v>
      </c>
      <c r="P607" t="n">
        <v>0</v>
      </c>
      <c r="Q607" t="n">
        <v>0</v>
      </c>
      <c r="R607" s="2" t="inlineStr"/>
    </row>
    <row r="608" ht="15" customHeight="1">
      <c r="A608" t="inlineStr">
        <is>
          <t>A 42962-2023</t>
        </is>
      </c>
      <c r="B608" s="1" t="n">
        <v>45182</v>
      </c>
      <c r="C608" s="1" t="n">
        <v>45936</v>
      </c>
      <c r="D608" t="inlineStr">
        <is>
          <t>SÖDERMANLANDS LÄN</t>
        </is>
      </c>
      <c r="E608" t="inlineStr">
        <is>
          <t>KATRINEHOLM</t>
        </is>
      </c>
      <c r="F608" t="inlineStr">
        <is>
          <t>Övriga Aktiebolag</t>
        </is>
      </c>
      <c r="G608" t="n">
        <v>10.6</v>
      </c>
      <c r="H608" t="n">
        <v>0</v>
      </c>
      <c r="I608" t="n">
        <v>0</v>
      </c>
      <c r="J608" t="n">
        <v>0</v>
      </c>
      <c r="K608" t="n">
        <v>0</v>
      </c>
      <c r="L608" t="n">
        <v>0</v>
      </c>
      <c r="M608" t="n">
        <v>0</v>
      </c>
      <c r="N608" t="n">
        <v>0</v>
      </c>
      <c r="O608" t="n">
        <v>0</v>
      </c>
      <c r="P608" t="n">
        <v>0</v>
      </c>
      <c r="Q608" t="n">
        <v>0</v>
      </c>
      <c r="R608" s="2" t="inlineStr"/>
    </row>
    <row r="609" ht="15" customHeight="1">
      <c r="A609" t="inlineStr">
        <is>
          <t>A 33538-2022</t>
        </is>
      </c>
      <c r="B609" s="1" t="n">
        <v>44789</v>
      </c>
      <c r="C609" s="1" t="n">
        <v>45936</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24605-2025</t>
        </is>
      </c>
      <c r="B610" s="1" t="n">
        <v>45798.57403935185</v>
      </c>
      <c r="C610" s="1" t="n">
        <v>45936</v>
      </c>
      <c r="D610" t="inlineStr">
        <is>
          <t>SÖDERMANLANDS LÄN</t>
        </is>
      </c>
      <c r="E610" t="inlineStr">
        <is>
          <t>KATRINEHOLM</t>
        </is>
      </c>
      <c r="G610" t="n">
        <v>7</v>
      </c>
      <c r="H610" t="n">
        <v>0</v>
      </c>
      <c r="I610" t="n">
        <v>0</v>
      </c>
      <c r="J610" t="n">
        <v>0</v>
      </c>
      <c r="K610" t="n">
        <v>0</v>
      </c>
      <c r="L610" t="n">
        <v>0</v>
      </c>
      <c r="M610" t="n">
        <v>0</v>
      </c>
      <c r="N610" t="n">
        <v>0</v>
      </c>
      <c r="O610" t="n">
        <v>0</v>
      </c>
      <c r="P610" t="n">
        <v>0</v>
      </c>
      <c r="Q610" t="n">
        <v>0</v>
      </c>
      <c r="R610" s="2" t="inlineStr"/>
    </row>
    <row r="611" ht="15" customHeight="1">
      <c r="A611" t="inlineStr">
        <is>
          <t>A 53999-2023</t>
        </is>
      </c>
      <c r="B611" s="1" t="n">
        <v>45231</v>
      </c>
      <c r="C611" s="1" t="n">
        <v>45936</v>
      </c>
      <c r="D611" t="inlineStr">
        <is>
          <t>SÖDERMANLANDS LÄN</t>
        </is>
      </c>
      <c r="E611" t="inlineStr">
        <is>
          <t>KATRINEHOLM</t>
        </is>
      </c>
      <c r="G611" t="n">
        <v>5.4</v>
      </c>
      <c r="H611" t="n">
        <v>0</v>
      </c>
      <c r="I611" t="n">
        <v>0</v>
      </c>
      <c r="J611" t="n">
        <v>0</v>
      </c>
      <c r="K611" t="n">
        <v>0</v>
      </c>
      <c r="L611" t="n">
        <v>0</v>
      </c>
      <c r="M611" t="n">
        <v>0</v>
      </c>
      <c r="N611" t="n">
        <v>0</v>
      </c>
      <c r="O611" t="n">
        <v>0</v>
      </c>
      <c r="P611" t="n">
        <v>0</v>
      </c>
      <c r="Q611" t="n">
        <v>0</v>
      </c>
      <c r="R611" s="2" t="inlineStr"/>
    </row>
    <row r="612" ht="15" customHeight="1">
      <c r="A612" t="inlineStr">
        <is>
          <t>A 41727-2024</t>
        </is>
      </c>
      <c r="B612" s="1" t="n">
        <v>45560</v>
      </c>
      <c r="C612" s="1" t="n">
        <v>45936</v>
      </c>
      <c r="D612" t="inlineStr">
        <is>
          <t>SÖDERMANLANDS LÄN</t>
        </is>
      </c>
      <c r="E612" t="inlineStr">
        <is>
          <t>KATRINEHOLM</t>
        </is>
      </c>
      <c r="G612" t="n">
        <v>3.9</v>
      </c>
      <c r="H612" t="n">
        <v>0</v>
      </c>
      <c r="I612" t="n">
        <v>0</v>
      </c>
      <c r="J612" t="n">
        <v>0</v>
      </c>
      <c r="K612" t="n">
        <v>0</v>
      </c>
      <c r="L612" t="n">
        <v>0</v>
      </c>
      <c r="M612" t="n">
        <v>0</v>
      </c>
      <c r="N612" t="n">
        <v>0</v>
      </c>
      <c r="O612" t="n">
        <v>0</v>
      </c>
      <c r="P612" t="n">
        <v>0</v>
      </c>
      <c r="Q612" t="n">
        <v>0</v>
      </c>
      <c r="R612" s="2" t="inlineStr"/>
    </row>
    <row r="613" ht="15" customHeight="1">
      <c r="A613" t="inlineStr">
        <is>
          <t>A 16605-2025</t>
        </is>
      </c>
      <c r="B613" s="1" t="n">
        <v>45753.61614583333</v>
      </c>
      <c r="C613" s="1" t="n">
        <v>45936</v>
      </c>
      <c r="D613" t="inlineStr">
        <is>
          <t>SÖDERMANLANDS LÄN</t>
        </is>
      </c>
      <c r="E613" t="inlineStr">
        <is>
          <t>KATRINEHOLM</t>
        </is>
      </c>
      <c r="G613" t="n">
        <v>5.2</v>
      </c>
      <c r="H613" t="n">
        <v>0</v>
      </c>
      <c r="I613" t="n">
        <v>0</v>
      </c>
      <c r="J613" t="n">
        <v>0</v>
      </c>
      <c r="K613" t="n">
        <v>0</v>
      </c>
      <c r="L613" t="n">
        <v>0</v>
      </c>
      <c r="M613" t="n">
        <v>0</v>
      </c>
      <c r="N613" t="n">
        <v>0</v>
      </c>
      <c r="O613" t="n">
        <v>0</v>
      </c>
      <c r="P613" t="n">
        <v>0</v>
      </c>
      <c r="Q613" t="n">
        <v>0</v>
      </c>
      <c r="R613" s="2" t="inlineStr"/>
    </row>
    <row r="614" ht="15" customHeight="1">
      <c r="A614" t="inlineStr">
        <is>
          <t>A 24566-2025</t>
        </is>
      </c>
      <c r="B614" s="1" t="n">
        <v>45798.46452546296</v>
      </c>
      <c r="C614" s="1" t="n">
        <v>45936</v>
      </c>
      <c r="D614" t="inlineStr">
        <is>
          <t>SÖDERMANLANDS LÄN</t>
        </is>
      </c>
      <c r="E614" t="inlineStr">
        <is>
          <t>KATRINEHOLM</t>
        </is>
      </c>
      <c r="G614" t="n">
        <v>6.3</v>
      </c>
      <c r="H614" t="n">
        <v>0</v>
      </c>
      <c r="I614" t="n">
        <v>0</v>
      </c>
      <c r="J614" t="n">
        <v>0</v>
      </c>
      <c r="K614" t="n">
        <v>0</v>
      </c>
      <c r="L614" t="n">
        <v>0</v>
      </c>
      <c r="M614" t="n">
        <v>0</v>
      </c>
      <c r="N614" t="n">
        <v>0</v>
      </c>
      <c r="O614" t="n">
        <v>0</v>
      </c>
      <c r="P614" t="n">
        <v>0</v>
      </c>
      <c r="Q614" t="n">
        <v>0</v>
      </c>
      <c r="R614" s="2" t="inlineStr"/>
    </row>
    <row r="615" ht="15" customHeight="1">
      <c r="A615" t="inlineStr">
        <is>
          <t>A 56086-2023</t>
        </is>
      </c>
      <c r="B615" s="1" t="n">
        <v>45240</v>
      </c>
      <c r="C615" s="1" t="n">
        <v>45936</v>
      </c>
      <c r="D615" t="inlineStr">
        <is>
          <t>SÖDERMANLANDS LÄN</t>
        </is>
      </c>
      <c r="E615" t="inlineStr">
        <is>
          <t>KATRINEHOLM</t>
        </is>
      </c>
      <c r="F615" t="inlineStr">
        <is>
          <t>Kyrkan</t>
        </is>
      </c>
      <c r="G615" t="n">
        <v>17</v>
      </c>
      <c r="H615" t="n">
        <v>0</v>
      </c>
      <c r="I615" t="n">
        <v>0</v>
      </c>
      <c r="J615" t="n">
        <v>0</v>
      </c>
      <c r="K615" t="n">
        <v>0</v>
      </c>
      <c r="L615" t="n">
        <v>0</v>
      </c>
      <c r="M615" t="n">
        <v>0</v>
      </c>
      <c r="N615" t="n">
        <v>0</v>
      </c>
      <c r="O615" t="n">
        <v>0</v>
      </c>
      <c r="P615" t="n">
        <v>0</v>
      </c>
      <c r="Q615" t="n">
        <v>0</v>
      </c>
      <c r="R615" s="2" t="inlineStr"/>
    </row>
    <row r="616" ht="15" customHeight="1">
      <c r="A616" t="inlineStr">
        <is>
          <t>A 24719-2025</t>
        </is>
      </c>
      <c r="B616" s="1" t="n">
        <v>45799</v>
      </c>
      <c r="C616" s="1" t="n">
        <v>45936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73409-2021</t>
        </is>
      </c>
      <c r="B617" s="1" t="n">
        <v>44551</v>
      </c>
      <c r="C617" s="1" t="n">
        <v>45936</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73415-2021</t>
        </is>
      </c>
      <c r="B618" s="1" t="n">
        <v>44551</v>
      </c>
      <c r="C618" s="1" t="n">
        <v>45936</v>
      </c>
      <c r="D618" t="inlineStr">
        <is>
          <t>SÖDERMANLANDS LÄN</t>
        </is>
      </c>
      <c r="E618" t="inlineStr">
        <is>
          <t>KATRINEHOLM</t>
        </is>
      </c>
      <c r="G618" t="n">
        <v>3.2</v>
      </c>
      <c r="H618" t="n">
        <v>0</v>
      </c>
      <c r="I618" t="n">
        <v>0</v>
      </c>
      <c r="J618" t="n">
        <v>0</v>
      </c>
      <c r="K618" t="n">
        <v>0</v>
      </c>
      <c r="L618" t="n">
        <v>0</v>
      </c>
      <c r="M618" t="n">
        <v>0</v>
      </c>
      <c r="N618" t="n">
        <v>0</v>
      </c>
      <c r="O618" t="n">
        <v>0</v>
      </c>
      <c r="P618" t="n">
        <v>0</v>
      </c>
      <c r="Q618" t="n">
        <v>0</v>
      </c>
      <c r="R618" s="2" t="inlineStr"/>
    </row>
    <row r="619" ht="15" customHeight="1">
      <c r="A619" t="inlineStr">
        <is>
          <t>A 24717-2025</t>
        </is>
      </c>
      <c r="B619" s="1" t="n">
        <v>45799.27168981481</v>
      </c>
      <c r="C619" s="1" t="n">
        <v>45936</v>
      </c>
      <c r="D619" t="inlineStr">
        <is>
          <t>SÖDERMANLANDS LÄN</t>
        </is>
      </c>
      <c r="E619" t="inlineStr">
        <is>
          <t>KATRINEHOLM</t>
        </is>
      </c>
      <c r="G619" t="n">
        <v>24.5</v>
      </c>
      <c r="H619" t="n">
        <v>0</v>
      </c>
      <c r="I619" t="n">
        <v>0</v>
      </c>
      <c r="J619" t="n">
        <v>0</v>
      </c>
      <c r="K619" t="n">
        <v>0</v>
      </c>
      <c r="L619" t="n">
        <v>0</v>
      </c>
      <c r="M619" t="n">
        <v>0</v>
      </c>
      <c r="N619" t="n">
        <v>0</v>
      </c>
      <c r="O619" t="n">
        <v>0</v>
      </c>
      <c r="P619" t="n">
        <v>0</v>
      </c>
      <c r="Q619" t="n">
        <v>0</v>
      </c>
      <c r="R619" s="2" t="inlineStr"/>
    </row>
    <row r="620" ht="15" customHeight="1">
      <c r="A620" t="inlineStr">
        <is>
          <t>A 63188-2021</t>
        </is>
      </c>
      <c r="B620" s="1" t="n">
        <v>44507.56865740741</v>
      </c>
      <c r="C620" s="1" t="n">
        <v>45936</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64713-2023</t>
        </is>
      </c>
      <c r="B621" s="1" t="n">
        <v>45281</v>
      </c>
      <c r="C621" s="1" t="n">
        <v>45936</v>
      </c>
      <c r="D621" t="inlineStr">
        <is>
          <t>SÖDERMANLANDS LÄN</t>
        </is>
      </c>
      <c r="E621" t="inlineStr">
        <is>
          <t>KATRINEHOLM</t>
        </is>
      </c>
      <c r="G621" t="n">
        <v>4.9</v>
      </c>
      <c r="H621" t="n">
        <v>0</v>
      </c>
      <c r="I621" t="n">
        <v>0</v>
      </c>
      <c r="J621" t="n">
        <v>0</v>
      </c>
      <c r="K621" t="n">
        <v>0</v>
      </c>
      <c r="L621" t="n">
        <v>0</v>
      </c>
      <c r="M621" t="n">
        <v>0</v>
      </c>
      <c r="N621" t="n">
        <v>0</v>
      </c>
      <c r="O621" t="n">
        <v>0</v>
      </c>
      <c r="P621" t="n">
        <v>0</v>
      </c>
      <c r="Q621" t="n">
        <v>0</v>
      </c>
      <c r="R621" s="2" t="inlineStr"/>
    </row>
    <row r="622" ht="15" customHeight="1">
      <c r="A622" t="inlineStr">
        <is>
          <t>A 28304-2024</t>
        </is>
      </c>
      <c r="B622" s="1" t="n">
        <v>45477</v>
      </c>
      <c r="C622" s="1" t="n">
        <v>45936</v>
      </c>
      <c r="D622" t="inlineStr">
        <is>
          <t>SÖDERMANLANDS LÄN</t>
        </is>
      </c>
      <c r="E622" t="inlineStr">
        <is>
          <t>KATRINEHOLM</t>
        </is>
      </c>
      <c r="G622" t="n">
        <v>3.8</v>
      </c>
      <c r="H622" t="n">
        <v>0</v>
      </c>
      <c r="I622" t="n">
        <v>0</v>
      </c>
      <c r="J622" t="n">
        <v>0</v>
      </c>
      <c r="K622" t="n">
        <v>0</v>
      </c>
      <c r="L622" t="n">
        <v>0</v>
      </c>
      <c r="M622" t="n">
        <v>0</v>
      </c>
      <c r="N622" t="n">
        <v>0</v>
      </c>
      <c r="O622" t="n">
        <v>0</v>
      </c>
      <c r="P622" t="n">
        <v>0</v>
      </c>
      <c r="Q622" t="n">
        <v>0</v>
      </c>
      <c r="R622" s="2" t="inlineStr"/>
    </row>
    <row r="623" ht="15" customHeight="1">
      <c r="A623" t="inlineStr">
        <is>
          <t>A 8457-2023</t>
        </is>
      </c>
      <c r="B623" s="1" t="n">
        <v>44977</v>
      </c>
      <c r="C623" s="1" t="n">
        <v>45936</v>
      </c>
      <c r="D623" t="inlineStr">
        <is>
          <t>SÖDERMANLANDS LÄN</t>
        </is>
      </c>
      <c r="E623" t="inlineStr">
        <is>
          <t>KATRINEHOLM</t>
        </is>
      </c>
      <c r="F623" t="inlineStr">
        <is>
          <t>Allmännings- och besparingsskogar</t>
        </is>
      </c>
      <c r="G623" t="n">
        <v>16.1</v>
      </c>
      <c r="H623" t="n">
        <v>0</v>
      </c>
      <c r="I623" t="n">
        <v>0</v>
      </c>
      <c r="J623" t="n">
        <v>0</v>
      </c>
      <c r="K623" t="n">
        <v>0</v>
      </c>
      <c r="L623" t="n">
        <v>0</v>
      </c>
      <c r="M623" t="n">
        <v>0</v>
      </c>
      <c r="N623" t="n">
        <v>0</v>
      </c>
      <c r="O623" t="n">
        <v>0</v>
      </c>
      <c r="P623" t="n">
        <v>0</v>
      </c>
      <c r="Q623" t="n">
        <v>0</v>
      </c>
      <c r="R623" s="2" t="inlineStr"/>
    </row>
    <row r="624" ht="15" customHeight="1">
      <c r="A624" t="inlineStr">
        <is>
          <t>A 52134-2020</t>
        </is>
      </c>
      <c r="B624" s="1" t="n">
        <v>44110</v>
      </c>
      <c r="C624" s="1" t="n">
        <v>45936</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7322-2023</t>
        </is>
      </c>
      <c r="B625" s="1" t="n">
        <v>44970</v>
      </c>
      <c r="C625" s="1" t="n">
        <v>45936</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60160-2022</t>
        </is>
      </c>
      <c r="B626" s="1" t="n">
        <v>44909</v>
      </c>
      <c r="C626" s="1" t="n">
        <v>45936</v>
      </c>
      <c r="D626" t="inlineStr">
        <is>
          <t>SÖDERMANLANDS LÄN</t>
        </is>
      </c>
      <c r="E626" t="inlineStr">
        <is>
          <t>KATRINEHOLM</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12238-2021</t>
        </is>
      </c>
      <c r="B627" s="1" t="n">
        <v>44266</v>
      </c>
      <c r="C627" s="1" t="n">
        <v>45936</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48685-2022</t>
        </is>
      </c>
      <c r="B628" s="1" t="n">
        <v>44859</v>
      </c>
      <c r="C628" s="1" t="n">
        <v>45936</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42519-2024</t>
        </is>
      </c>
      <c r="B629" s="1" t="n">
        <v>45565</v>
      </c>
      <c r="C629" s="1" t="n">
        <v>45936</v>
      </c>
      <c r="D629" t="inlineStr">
        <is>
          <t>SÖDERMANLANDS LÄN</t>
        </is>
      </c>
      <c r="E629" t="inlineStr">
        <is>
          <t>KATRINEHOLM</t>
        </is>
      </c>
      <c r="G629" t="n">
        <v>1.7</v>
      </c>
      <c r="H629" t="n">
        <v>0</v>
      </c>
      <c r="I629" t="n">
        <v>0</v>
      </c>
      <c r="J629" t="n">
        <v>0</v>
      </c>
      <c r="K629" t="n">
        <v>0</v>
      </c>
      <c r="L629" t="n">
        <v>0</v>
      </c>
      <c r="M629" t="n">
        <v>0</v>
      </c>
      <c r="N629" t="n">
        <v>0</v>
      </c>
      <c r="O629" t="n">
        <v>0</v>
      </c>
      <c r="P629" t="n">
        <v>0</v>
      </c>
      <c r="Q629" t="n">
        <v>0</v>
      </c>
      <c r="R629" s="2" t="inlineStr"/>
    </row>
    <row r="630" ht="15" customHeight="1">
      <c r="A630" t="inlineStr">
        <is>
          <t>A 25786-2025</t>
        </is>
      </c>
      <c r="B630" s="1" t="n">
        <v>45804.37456018518</v>
      </c>
      <c r="C630" s="1" t="n">
        <v>45936</v>
      </c>
      <c r="D630" t="inlineStr">
        <is>
          <t>SÖDERMANLANDS LÄN</t>
        </is>
      </c>
      <c r="E630" t="inlineStr">
        <is>
          <t>KATRINEHOLM</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43499-2021</t>
        </is>
      </c>
      <c r="B631" s="1" t="n">
        <v>44433</v>
      </c>
      <c r="C631" s="1" t="n">
        <v>45936</v>
      </c>
      <c r="D631" t="inlineStr">
        <is>
          <t>SÖDERMANLANDS LÄN</t>
        </is>
      </c>
      <c r="E631" t="inlineStr">
        <is>
          <t>KATRINEHOLM</t>
        </is>
      </c>
      <c r="F631" t="inlineStr">
        <is>
          <t>Övriga Aktiebolag</t>
        </is>
      </c>
      <c r="G631" t="n">
        <v>1.4</v>
      </c>
      <c r="H631" t="n">
        <v>0</v>
      </c>
      <c r="I631" t="n">
        <v>0</v>
      </c>
      <c r="J631" t="n">
        <v>0</v>
      </c>
      <c r="K631" t="n">
        <v>0</v>
      </c>
      <c r="L631" t="n">
        <v>0</v>
      </c>
      <c r="M631" t="n">
        <v>0</v>
      </c>
      <c r="N631" t="n">
        <v>0</v>
      </c>
      <c r="O631" t="n">
        <v>0</v>
      </c>
      <c r="P631" t="n">
        <v>0</v>
      </c>
      <c r="Q631" t="n">
        <v>0</v>
      </c>
      <c r="R631" s="2" t="inlineStr"/>
    </row>
    <row r="632" ht="15" customHeight="1">
      <c r="A632" t="inlineStr">
        <is>
          <t>A 32169-2022</t>
        </is>
      </c>
      <c r="B632" s="1" t="n">
        <v>44781</v>
      </c>
      <c r="C632" s="1" t="n">
        <v>45936</v>
      </c>
      <c r="D632" t="inlineStr">
        <is>
          <t>SÖDERMANLANDS LÄN</t>
        </is>
      </c>
      <c r="E632" t="inlineStr">
        <is>
          <t>KATRINEHOLM</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55122-2022</t>
        </is>
      </c>
      <c r="B633" s="1" t="n">
        <v>44886.65092592593</v>
      </c>
      <c r="C633" s="1" t="n">
        <v>45936</v>
      </c>
      <c r="D633" t="inlineStr">
        <is>
          <t>SÖDERMANLANDS LÄN</t>
        </is>
      </c>
      <c r="E633" t="inlineStr">
        <is>
          <t>KATRINEHOLM</t>
        </is>
      </c>
      <c r="G633" t="n">
        <v>6.5</v>
      </c>
      <c r="H633" t="n">
        <v>0</v>
      </c>
      <c r="I633" t="n">
        <v>0</v>
      </c>
      <c r="J633" t="n">
        <v>0</v>
      </c>
      <c r="K633" t="n">
        <v>0</v>
      </c>
      <c r="L633" t="n">
        <v>0</v>
      </c>
      <c r="M633" t="n">
        <v>0</v>
      </c>
      <c r="N633" t="n">
        <v>0</v>
      </c>
      <c r="O633" t="n">
        <v>0</v>
      </c>
      <c r="P633" t="n">
        <v>0</v>
      </c>
      <c r="Q633" t="n">
        <v>0</v>
      </c>
      <c r="R633" s="2" t="inlineStr"/>
    </row>
    <row r="634" ht="15" customHeight="1">
      <c r="A634" t="inlineStr">
        <is>
          <t>A 43964-2022</t>
        </is>
      </c>
      <c r="B634" s="1" t="n">
        <v>44837</v>
      </c>
      <c r="C634" s="1" t="n">
        <v>45936</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46075-2023</t>
        </is>
      </c>
      <c r="B635" s="1" t="n">
        <v>45196</v>
      </c>
      <c r="C635" s="1" t="n">
        <v>45936</v>
      </c>
      <c r="D635" t="inlineStr">
        <is>
          <t>SÖDERMANLANDS LÄN</t>
        </is>
      </c>
      <c r="E635" t="inlineStr">
        <is>
          <t>KATRINEHOLM</t>
        </is>
      </c>
      <c r="F635" t="inlineStr">
        <is>
          <t>Övriga Aktiebolag</t>
        </is>
      </c>
      <c r="G635" t="n">
        <v>9.5</v>
      </c>
      <c r="H635" t="n">
        <v>0</v>
      </c>
      <c r="I635" t="n">
        <v>0</v>
      </c>
      <c r="J635" t="n">
        <v>0</v>
      </c>
      <c r="K635" t="n">
        <v>0</v>
      </c>
      <c r="L635" t="n">
        <v>0</v>
      </c>
      <c r="M635" t="n">
        <v>0</v>
      </c>
      <c r="N635" t="n">
        <v>0</v>
      </c>
      <c r="O635" t="n">
        <v>0</v>
      </c>
      <c r="P635" t="n">
        <v>0</v>
      </c>
      <c r="Q635" t="n">
        <v>0</v>
      </c>
      <c r="R635" s="2" t="inlineStr"/>
    </row>
    <row r="636" ht="15" customHeight="1">
      <c r="A636" t="inlineStr">
        <is>
          <t>A 9992-2022</t>
        </is>
      </c>
      <c r="B636" s="1" t="n">
        <v>44621</v>
      </c>
      <c r="C636" s="1" t="n">
        <v>45936</v>
      </c>
      <c r="D636" t="inlineStr">
        <is>
          <t>SÖDERMANLANDS LÄN</t>
        </is>
      </c>
      <c r="E636" t="inlineStr">
        <is>
          <t>KATRINEHOLM</t>
        </is>
      </c>
      <c r="G636" t="n">
        <v>1.6</v>
      </c>
      <c r="H636" t="n">
        <v>0</v>
      </c>
      <c r="I636" t="n">
        <v>0</v>
      </c>
      <c r="J636" t="n">
        <v>0</v>
      </c>
      <c r="K636" t="n">
        <v>0</v>
      </c>
      <c r="L636" t="n">
        <v>0</v>
      </c>
      <c r="M636" t="n">
        <v>0</v>
      </c>
      <c r="N636" t="n">
        <v>0</v>
      </c>
      <c r="O636" t="n">
        <v>0</v>
      </c>
      <c r="P636" t="n">
        <v>0</v>
      </c>
      <c r="Q636" t="n">
        <v>0</v>
      </c>
      <c r="R636" s="2" t="inlineStr"/>
    </row>
    <row r="637" ht="15" customHeight="1">
      <c r="A637" t="inlineStr">
        <is>
          <t>A 44659-2023</t>
        </is>
      </c>
      <c r="B637" s="1" t="n">
        <v>45189</v>
      </c>
      <c r="C637" s="1" t="n">
        <v>45936</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26154-2025</t>
        </is>
      </c>
      <c r="B638" s="1" t="n">
        <v>45805.43341435185</v>
      </c>
      <c r="C638" s="1" t="n">
        <v>45936</v>
      </c>
      <c r="D638" t="inlineStr">
        <is>
          <t>SÖDERMANLANDS LÄN</t>
        </is>
      </c>
      <c r="E638" t="inlineStr">
        <is>
          <t>KATRINEHOLM</t>
        </is>
      </c>
      <c r="G638" t="n">
        <v>4.5</v>
      </c>
      <c r="H638" t="n">
        <v>0</v>
      </c>
      <c r="I638" t="n">
        <v>0</v>
      </c>
      <c r="J638" t="n">
        <v>0</v>
      </c>
      <c r="K638" t="n">
        <v>0</v>
      </c>
      <c r="L638" t="n">
        <v>0</v>
      </c>
      <c r="M638" t="n">
        <v>0</v>
      </c>
      <c r="N638" t="n">
        <v>0</v>
      </c>
      <c r="O638" t="n">
        <v>0</v>
      </c>
      <c r="P638" t="n">
        <v>0</v>
      </c>
      <c r="Q638" t="n">
        <v>0</v>
      </c>
      <c r="R638" s="2" t="inlineStr"/>
    </row>
    <row r="639" ht="15" customHeight="1">
      <c r="A639" t="inlineStr">
        <is>
          <t>A 26156-2025</t>
        </is>
      </c>
      <c r="B639" s="1" t="n">
        <v>45805.43864583333</v>
      </c>
      <c r="C639" s="1" t="n">
        <v>45936</v>
      </c>
      <c r="D639" t="inlineStr">
        <is>
          <t>SÖDERMANLANDS LÄN</t>
        </is>
      </c>
      <c r="E639" t="inlineStr">
        <is>
          <t>KATRINEHOLM</t>
        </is>
      </c>
      <c r="G639" t="n">
        <v>4.1</v>
      </c>
      <c r="H639" t="n">
        <v>0</v>
      </c>
      <c r="I639" t="n">
        <v>0</v>
      </c>
      <c r="J639" t="n">
        <v>0</v>
      </c>
      <c r="K639" t="n">
        <v>0</v>
      </c>
      <c r="L639" t="n">
        <v>0</v>
      </c>
      <c r="M639" t="n">
        <v>0</v>
      </c>
      <c r="N639" t="n">
        <v>0</v>
      </c>
      <c r="O639" t="n">
        <v>0</v>
      </c>
      <c r="P639" t="n">
        <v>0</v>
      </c>
      <c r="Q639" t="n">
        <v>0</v>
      </c>
      <c r="R639" s="2" t="inlineStr"/>
    </row>
    <row r="640" ht="15" customHeight="1">
      <c r="A640" t="inlineStr">
        <is>
          <t>A 48682-2022</t>
        </is>
      </c>
      <c r="B640" s="1" t="n">
        <v>44859</v>
      </c>
      <c r="C640" s="1" t="n">
        <v>45936</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14629-2023</t>
        </is>
      </c>
      <c r="B641" s="1" t="n">
        <v>45013</v>
      </c>
      <c r="C641" s="1" t="n">
        <v>45936</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57524-2021</t>
        </is>
      </c>
      <c r="B642" s="1" t="n">
        <v>44483</v>
      </c>
      <c r="C642" s="1" t="n">
        <v>45936</v>
      </c>
      <c r="D642" t="inlineStr">
        <is>
          <t>SÖDERMANLANDS LÄN</t>
        </is>
      </c>
      <c r="E642" t="inlineStr">
        <is>
          <t>KATRINEHOLM</t>
        </is>
      </c>
      <c r="G642" t="n">
        <v>0.4</v>
      </c>
      <c r="H642" t="n">
        <v>0</v>
      </c>
      <c r="I642" t="n">
        <v>0</v>
      </c>
      <c r="J642" t="n">
        <v>0</v>
      </c>
      <c r="K642" t="n">
        <v>0</v>
      </c>
      <c r="L642" t="n">
        <v>0</v>
      </c>
      <c r="M642" t="n">
        <v>0</v>
      </c>
      <c r="N642" t="n">
        <v>0</v>
      </c>
      <c r="O642" t="n">
        <v>0</v>
      </c>
      <c r="P642" t="n">
        <v>0</v>
      </c>
      <c r="Q642" t="n">
        <v>0</v>
      </c>
      <c r="R642" s="2" t="inlineStr"/>
    </row>
    <row r="643" ht="15" customHeight="1">
      <c r="A643" t="inlineStr">
        <is>
          <t>A 8917-2024</t>
        </is>
      </c>
      <c r="B643" s="1" t="n">
        <v>45357.37618055556</v>
      </c>
      <c r="C643" s="1" t="n">
        <v>45936</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27552-2025</t>
        </is>
      </c>
      <c r="B644" s="1" t="n">
        <v>45813</v>
      </c>
      <c r="C644" s="1" t="n">
        <v>45936</v>
      </c>
      <c r="D644" t="inlineStr">
        <is>
          <t>SÖDERMANLANDS LÄN</t>
        </is>
      </c>
      <c r="E644" t="inlineStr">
        <is>
          <t>KATRINEHOLM</t>
        </is>
      </c>
      <c r="G644" t="n">
        <v>0.7</v>
      </c>
      <c r="H644" t="n">
        <v>0</v>
      </c>
      <c r="I644" t="n">
        <v>0</v>
      </c>
      <c r="J644" t="n">
        <v>0</v>
      </c>
      <c r="K644" t="n">
        <v>0</v>
      </c>
      <c r="L644" t="n">
        <v>0</v>
      </c>
      <c r="M644" t="n">
        <v>0</v>
      </c>
      <c r="N644" t="n">
        <v>0</v>
      </c>
      <c r="O644" t="n">
        <v>0</v>
      </c>
      <c r="P644" t="n">
        <v>0</v>
      </c>
      <c r="Q644" t="n">
        <v>0</v>
      </c>
      <c r="R644" s="2" t="inlineStr"/>
    </row>
    <row r="645" ht="15" customHeight="1">
      <c r="A645" t="inlineStr">
        <is>
          <t>A 27534-2025</t>
        </is>
      </c>
      <c r="B645" s="1" t="n">
        <v>45813</v>
      </c>
      <c r="C645" s="1" t="n">
        <v>45936</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27345-2023</t>
        </is>
      </c>
      <c r="B646" s="1" t="n">
        <v>45096</v>
      </c>
      <c r="C646" s="1" t="n">
        <v>45936</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53996-2023</t>
        </is>
      </c>
      <c r="B647" s="1" t="n">
        <v>45231</v>
      </c>
      <c r="C647" s="1" t="n">
        <v>45936</v>
      </c>
      <c r="D647" t="inlineStr">
        <is>
          <t>SÖDERMANLANDS LÄN</t>
        </is>
      </c>
      <c r="E647" t="inlineStr">
        <is>
          <t>KATRINEHOLM</t>
        </is>
      </c>
      <c r="G647" t="n">
        <v>4.9</v>
      </c>
      <c r="H647" t="n">
        <v>0</v>
      </c>
      <c r="I647" t="n">
        <v>0</v>
      </c>
      <c r="J647" t="n">
        <v>0</v>
      </c>
      <c r="K647" t="n">
        <v>0</v>
      </c>
      <c r="L647" t="n">
        <v>0</v>
      </c>
      <c r="M647" t="n">
        <v>0</v>
      </c>
      <c r="N647" t="n">
        <v>0</v>
      </c>
      <c r="O647" t="n">
        <v>0</v>
      </c>
      <c r="P647" t="n">
        <v>0</v>
      </c>
      <c r="Q647" t="n">
        <v>0</v>
      </c>
      <c r="R647" s="2" t="inlineStr"/>
    </row>
    <row r="648" ht="15" customHeight="1">
      <c r="A648" t="inlineStr">
        <is>
          <t>A 27636-2025</t>
        </is>
      </c>
      <c r="B648" s="1" t="n">
        <v>45813.57603009259</v>
      </c>
      <c r="C648" s="1" t="n">
        <v>45936</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11127-2023</t>
        </is>
      </c>
      <c r="B649" s="1" t="n">
        <v>44987</v>
      </c>
      <c r="C649" s="1" t="n">
        <v>45936</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37185-2023</t>
        </is>
      </c>
      <c r="B650" s="1" t="n">
        <v>45154</v>
      </c>
      <c r="C650" s="1" t="n">
        <v>45936</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24600-2025</t>
        </is>
      </c>
      <c r="B651" s="1" t="n">
        <v>45798.56348379629</v>
      </c>
      <c r="C651" s="1" t="n">
        <v>45936</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35608-2024</t>
        </is>
      </c>
      <c r="B652" s="1" t="n">
        <v>45531</v>
      </c>
      <c r="C652" s="1" t="n">
        <v>45936</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12633-2022</t>
        </is>
      </c>
      <c r="B653" s="1" t="n">
        <v>44638</v>
      </c>
      <c r="C653" s="1" t="n">
        <v>45936</v>
      </c>
      <c r="D653" t="inlineStr">
        <is>
          <t>SÖDERMANLANDS LÄN</t>
        </is>
      </c>
      <c r="E653" t="inlineStr">
        <is>
          <t>KATRINEHOLM</t>
        </is>
      </c>
      <c r="G653" t="n">
        <v>6.4</v>
      </c>
      <c r="H653" t="n">
        <v>0</v>
      </c>
      <c r="I653" t="n">
        <v>0</v>
      </c>
      <c r="J653" t="n">
        <v>0</v>
      </c>
      <c r="K653" t="n">
        <v>0</v>
      </c>
      <c r="L653" t="n">
        <v>0</v>
      </c>
      <c r="M653" t="n">
        <v>0</v>
      </c>
      <c r="N653" t="n">
        <v>0</v>
      </c>
      <c r="O653" t="n">
        <v>0</v>
      </c>
      <c r="P653" t="n">
        <v>0</v>
      </c>
      <c r="Q653" t="n">
        <v>0</v>
      </c>
      <c r="R653" s="2" t="inlineStr"/>
    </row>
    <row r="654" ht="15" customHeight="1">
      <c r="A654" t="inlineStr">
        <is>
          <t>A 24284-2024</t>
        </is>
      </c>
      <c r="B654" s="1" t="n">
        <v>45457</v>
      </c>
      <c r="C654" s="1" t="n">
        <v>45936</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66393-2021</t>
        </is>
      </c>
      <c r="B655" s="1" t="n">
        <v>44518</v>
      </c>
      <c r="C655" s="1" t="n">
        <v>45936</v>
      </c>
      <c r="D655" t="inlineStr">
        <is>
          <t>SÖDERMANLANDS LÄN</t>
        </is>
      </c>
      <c r="E655" t="inlineStr">
        <is>
          <t>KATRINEHOLM</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50840-2022</t>
        </is>
      </c>
      <c r="B656" s="1" t="n">
        <v>44862</v>
      </c>
      <c r="C656" s="1" t="n">
        <v>45936</v>
      </c>
      <c r="D656" t="inlineStr">
        <is>
          <t>SÖDERMANLANDS LÄN</t>
        </is>
      </c>
      <c r="E656" t="inlineStr">
        <is>
          <t>KATRINEHOLM</t>
        </is>
      </c>
      <c r="G656" t="n">
        <v>4.2</v>
      </c>
      <c r="H656" t="n">
        <v>0</v>
      </c>
      <c r="I656" t="n">
        <v>0</v>
      </c>
      <c r="J656" t="n">
        <v>0</v>
      </c>
      <c r="K656" t="n">
        <v>0</v>
      </c>
      <c r="L656" t="n">
        <v>0</v>
      </c>
      <c r="M656" t="n">
        <v>0</v>
      </c>
      <c r="N656" t="n">
        <v>0</v>
      </c>
      <c r="O656" t="n">
        <v>0</v>
      </c>
      <c r="P656" t="n">
        <v>0</v>
      </c>
      <c r="Q656" t="n">
        <v>0</v>
      </c>
      <c r="R656" s="2" t="inlineStr"/>
    </row>
    <row r="657" ht="15" customHeight="1">
      <c r="A657" t="inlineStr">
        <is>
          <t>A 13113-2023</t>
        </is>
      </c>
      <c r="B657" s="1" t="n">
        <v>45002</v>
      </c>
      <c r="C657" s="1" t="n">
        <v>45936</v>
      </c>
      <c r="D657" t="inlineStr">
        <is>
          <t>SÖDERMANLANDS LÄN</t>
        </is>
      </c>
      <c r="E657" t="inlineStr">
        <is>
          <t>KATRINEHOLM</t>
        </is>
      </c>
      <c r="F657" t="inlineStr">
        <is>
          <t>Allmännings- och besparingsskogar</t>
        </is>
      </c>
      <c r="G657" t="n">
        <v>3.6</v>
      </c>
      <c r="H657" t="n">
        <v>0</v>
      </c>
      <c r="I657" t="n">
        <v>0</v>
      </c>
      <c r="J657" t="n">
        <v>0</v>
      </c>
      <c r="K657" t="n">
        <v>0</v>
      </c>
      <c r="L657" t="n">
        <v>0</v>
      </c>
      <c r="M657" t="n">
        <v>0</v>
      </c>
      <c r="N657" t="n">
        <v>0</v>
      </c>
      <c r="O657" t="n">
        <v>0</v>
      </c>
      <c r="P657" t="n">
        <v>0</v>
      </c>
      <c r="Q657" t="n">
        <v>0</v>
      </c>
      <c r="R657" s="2" t="inlineStr"/>
    </row>
    <row r="658" ht="15" customHeight="1">
      <c r="A658" t="inlineStr">
        <is>
          <t>A 14245-2024</t>
        </is>
      </c>
      <c r="B658" s="1" t="n">
        <v>45393</v>
      </c>
      <c r="C658" s="1" t="n">
        <v>45936</v>
      </c>
      <c r="D658" t="inlineStr">
        <is>
          <t>SÖDERMANLANDS LÄN</t>
        </is>
      </c>
      <c r="E658" t="inlineStr">
        <is>
          <t>KATRINEHOLM</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36832-2023</t>
        </is>
      </c>
      <c r="B659" s="1" t="n">
        <v>45153</v>
      </c>
      <c r="C659" s="1" t="n">
        <v>45936</v>
      </c>
      <c r="D659" t="inlineStr">
        <is>
          <t>SÖDERMANLANDS LÄN</t>
        </is>
      </c>
      <c r="E659" t="inlineStr">
        <is>
          <t>KATRINEHOLM</t>
        </is>
      </c>
      <c r="F659" t="inlineStr">
        <is>
          <t>Övriga Aktiebolag</t>
        </is>
      </c>
      <c r="G659" t="n">
        <v>9</v>
      </c>
      <c r="H659" t="n">
        <v>0</v>
      </c>
      <c r="I659" t="n">
        <v>0</v>
      </c>
      <c r="J659" t="n">
        <v>0</v>
      </c>
      <c r="K659" t="n">
        <v>0</v>
      </c>
      <c r="L659" t="n">
        <v>0</v>
      </c>
      <c r="M659" t="n">
        <v>0</v>
      </c>
      <c r="N659" t="n">
        <v>0</v>
      </c>
      <c r="O659" t="n">
        <v>0</v>
      </c>
      <c r="P659" t="n">
        <v>0</v>
      </c>
      <c r="Q659" t="n">
        <v>0</v>
      </c>
      <c r="R659" s="2" t="inlineStr"/>
    </row>
    <row r="660" ht="15" customHeight="1">
      <c r="A660" t="inlineStr">
        <is>
          <t>A 29189-2025</t>
        </is>
      </c>
      <c r="B660" s="1" t="n">
        <v>45822</v>
      </c>
      <c r="C660" s="1" t="n">
        <v>45936</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39052-2023</t>
        </is>
      </c>
      <c r="B661" s="1" t="n">
        <v>45163</v>
      </c>
      <c r="C661" s="1" t="n">
        <v>45936</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41946-2022</t>
        </is>
      </c>
      <c r="B662" s="1" t="n">
        <v>44830.38502314815</v>
      </c>
      <c r="C662" s="1" t="n">
        <v>45936</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30287-2025</t>
        </is>
      </c>
      <c r="B663" s="1" t="n">
        <v>45827</v>
      </c>
      <c r="C663" s="1" t="n">
        <v>45936</v>
      </c>
      <c r="D663" t="inlineStr">
        <is>
          <t>SÖDERMANLANDS LÄN</t>
        </is>
      </c>
      <c r="E663" t="inlineStr">
        <is>
          <t>KATRINEHOLM</t>
        </is>
      </c>
      <c r="G663" t="n">
        <v>10.2</v>
      </c>
      <c r="H663" t="n">
        <v>0</v>
      </c>
      <c r="I663" t="n">
        <v>0</v>
      </c>
      <c r="J663" t="n">
        <v>0</v>
      </c>
      <c r="K663" t="n">
        <v>0</v>
      </c>
      <c r="L663" t="n">
        <v>0</v>
      </c>
      <c r="M663" t="n">
        <v>0</v>
      </c>
      <c r="N663" t="n">
        <v>0</v>
      </c>
      <c r="O663" t="n">
        <v>0</v>
      </c>
      <c r="P663" t="n">
        <v>0</v>
      </c>
      <c r="Q663" t="n">
        <v>0</v>
      </c>
      <c r="R663" s="2" t="inlineStr"/>
    </row>
    <row r="664" ht="15" customHeight="1">
      <c r="A664" t="inlineStr">
        <is>
          <t>A 30352-2025</t>
        </is>
      </c>
      <c r="B664" s="1" t="n">
        <v>45827</v>
      </c>
      <c r="C664" s="1" t="n">
        <v>45936</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30050-2025</t>
        </is>
      </c>
      <c r="B665" s="1" t="n">
        <v>45826.59151620371</v>
      </c>
      <c r="C665" s="1" t="n">
        <v>45936</v>
      </c>
      <c r="D665" t="inlineStr">
        <is>
          <t>SÖDERMANLANDS LÄN</t>
        </is>
      </c>
      <c r="E665" t="inlineStr">
        <is>
          <t>KATRINEHOLM</t>
        </is>
      </c>
      <c r="G665" t="n">
        <v>7.9</v>
      </c>
      <c r="H665" t="n">
        <v>0</v>
      </c>
      <c r="I665" t="n">
        <v>0</v>
      </c>
      <c r="J665" t="n">
        <v>0</v>
      </c>
      <c r="K665" t="n">
        <v>0</v>
      </c>
      <c r="L665" t="n">
        <v>0</v>
      </c>
      <c r="M665" t="n">
        <v>0</v>
      </c>
      <c r="N665" t="n">
        <v>0</v>
      </c>
      <c r="O665" t="n">
        <v>0</v>
      </c>
      <c r="P665" t="n">
        <v>0</v>
      </c>
      <c r="Q665" t="n">
        <v>0</v>
      </c>
      <c r="R665" s="2" t="inlineStr"/>
    </row>
    <row r="666" ht="15" customHeight="1">
      <c r="A666" t="inlineStr">
        <is>
          <t>A 30350-2025</t>
        </is>
      </c>
      <c r="B666" s="1" t="n">
        <v>45827.53319444445</v>
      </c>
      <c r="C666" s="1" t="n">
        <v>45936</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30386-2025</t>
        </is>
      </c>
      <c r="B667" s="1" t="n">
        <v>45827</v>
      </c>
      <c r="C667" s="1" t="n">
        <v>45936</v>
      </c>
      <c r="D667" t="inlineStr">
        <is>
          <t>SÖDERMANLANDS LÄN</t>
        </is>
      </c>
      <c r="E667" t="inlineStr">
        <is>
          <t>KATRINEHOLM</t>
        </is>
      </c>
      <c r="G667" t="n">
        <v>5.6</v>
      </c>
      <c r="H667" t="n">
        <v>0</v>
      </c>
      <c r="I667" t="n">
        <v>0</v>
      </c>
      <c r="J667" t="n">
        <v>0</v>
      </c>
      <c r="K667" t="n">
        <v>0</v>
      </c>
      <c r="L667" t="n">
        <v>0</v>
      </c>
      <c r="M667" t="n">
        <v>0</v>
      </c>
      <c r="N667" t="n">
        <v>0</v>
      </c>
      <c r="O667" t="n">
        <v>0</v>
      </c>
      <c r="P667" t="n">
        <v>0</v>
      </c>
      <c r="Q667" t="n">
        <v>0</v>
      </c>
      <c r="R667" s="2" t="inlineStr"/>
    </row>
    <row r="668" ht="15" customHeight="1">
      <c r="A668" t="inlineStr">
        <is>
          <t>A 30070-2025</t>
        </is>
      </c>
      <c r="B668" s="1" t="n">
        <v>45826.63324074074</v>
      </c>
      <c r="C668" s="1" t="n">
        <v>45936</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51613-2022</t>
        </is>
      </c>
      <c r="B669" s="1" t="n">
        <v>44871</v>
      </c>
      <c r="C669" s="1" t="n">
        <v>45936</v>
      </c>
      <c r="D669" t="inlineStr">
        <is>
          <t>SÖDERMANLANDS LÄN</t>
        </is>
      </c>
      <c r="E669" t="inlineStr">
        <is>
          <t>KATRINEHOLM</t>
        </is>
      </c>
      <c r="G669" t="n">
        <v>3</v>
      </c>
      <c r="H669" t="n">
        <v>0</v>
      </c>
      <c r="I669" t="n">
        <v>0</v>
      </c>
      <c r="J669" t="n">
        <v>0</v>
      </c>
      <c r="K669" t="n">
        <v>0</v>
      </c>
      <c r="L669" t="n">
        <v>0</v>
      </c>
      <c r="M669" t="n">
        <v>0</v>
      </c>
      <c r="N669" t="n">
        <v>0</v>
      </c>
      <c r="O669" t="n">
        <v>0</v>
      </c>
      <c r="P669" t="n">
        <v>0</v>
      </c>
      <c r="Q669" t="n">
        <v>0</v>
      </c>
      <c r="R669" s="2" t="inlineStr"/>
    </row>
    <row r="670" ht="15" customHeight="1">
      <c r="A670" t="inlineStr">
        <is>
          <t>A 30402-2025</t>
        </is>
      </c>
      <c r="B670" s="1" t="n">
        <v>45827</v>
      </c>
      <c r="C670" s="1" t="n">
        <v>45936</v>
      </c>
      <c r="D670" t="inlineStr">
        <is>
          <t>SÖDERMANLANDS LÄN</t>
        </is>
      </c>
      <c r="E670" t="inlineStr">
        <is>
          <t>KATRINEHOLM</t>
        </is>
      </c>
      <c r="G670" t="n">
        <v>7.1</v>
      </c>
      <c r="H670" t="n">
        <v>0</v>
      </c>
      <c r="I670" t="n">
        <v>0</v>
      </c>
      <c r="J670" t="n">
        <v>0</v>
      </c>
      <c r="K670" t="n">
        <v>0</v>
      </c>
      <c r="L670" t="n">
        <v>0</v>
      </c>
      <c r="M670" t="n">
        <v>0</v>
      </c>
      <c r="N670" t="n">
        <v>0</v>
      </c>
      <c r="O670" t="n">
        <v>0</v>
      </c>
      <c r="P670" t="n">
        <v>0</v>
      </c>
      <c r="Q670" t="n">
        <v>0</v>
      </c>
      <c r="R670" s="2" t="inlineStr"/>
    </row>
    <row r="671" ht="15" customHeight="1">
      <c r="A671" t="inlineStr">
        <is>
          <t>A 27886-2024</t>
        </is>
      </c>
      <c r="B671" s="1" t="n">
        <v>45475</v>
      </c>
      <c r="C671" s="1" t="n">
        <v>45936</v>
      </c>
      <c r="D671" t="inlineStr">
        <is>
          <t>SÖDERMANLANDS LÄN</t>
        </is>
      </c>
      <c r="E671" t="inlineStr">
        <is>
          <t>KATRINEHOLM</t>
        </is>
      </c>
      <c r="G671" t="n">
        <v>10.3</v>
      </c>
      <c r="H671" t="n">
        <v>0</v>
      </c>
      <c r="I671" t="n">
        <v>0</v>
      </c>
      <c r="J671" t="n">
        <v>0</v>
      </c>
      <c r="K671" t="n">
        <v>0</v>
      </c>
      <c r="L671" t="n">
        <v>0</v>
      </c>
      <c r="M671" t="n">
        <v>0</v>
      </c>
      <c r="N671" t="n">
        <v>0</v>
      </c>
      <c r="O671" t="n">
        <v>0</v>
      </c>
      <c r="P671" t="n">
        <v>0</v>
      </c>
      <c r="Q671" t="n">
        <v>0</v>
      </c>
      <c r="R671" s="2" t="inlineStr"/>
    </row>
    <row r="672" ht="15" customHeight="1">
      <c r="A672" t="inlineStr">
        <is>
          <t>A 19868-2022</t>
        </is>
      </c>
      <c r="B672" s="1" t="n">
        <v>44696</v>
      </c>
      <c r="C672" s="1" t="n">
        <v>45936</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58651-2023</t>
        </is>
      </c>
      <c r="B673" s="1" t="n">
        <v>45247</v>
      </c>
      <c r="C673" s="1" t="n">
        <v>45936</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8765-2023</t>
        </is>
      </c>
      <c r="B674" s="1" t="n">
        <v>44978.52131944444</v>
      </c>
      <c r="C674" s="1" t="n">
        <v>45936</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28992-2024</t>
        </is>
      </c>
      <c r="B675" s="1" t="n">
        <v>45481.49289351852</v>
      </c>
      <c r="C675" s="1" t="n">
        <v>45936</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25433-2024</t>
        </is>
      </c>
      <c r="B676" s="1" t="n">
        <v>45463</v>
      </c>
      <c r="C676" s="1" t="n">
        <v>45936</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31392-2025</t>
        </is>
      </c>
      <c r="B677" s="1" t="n">
        <v>45833</v>
      </c>
      <c r="C677" s="1" t="n">
        <v>45936</v>
      </c>
      <c r="D677" t="inlineStr">
        <is>
          <t>SÖDERMANLANDS LÄN</t>
        </is>
      </c>
      <c r="E677" t="inlineStr">
        <is>
          <t>KATRINEHOLM</t>
        </is>
      </c>
      <c r="G677" t="n">
        <v>5</v>
      </c>
      <c r="H677" t="n">
        <v>0</v>
      </c>
      <c r="I677" t="n">
        <v>0</v>
      </c>
      <c r="J677" t="n">
        <v>0</v>
      </c>
      <c r="K677" t="n">
        <v>0</v>
      </c>
      <c r="L677" t="n">
        <v>0</v>
      </c>
      <c r="M677" t="n">
        <v>0</v>
      </c>
      <c r="N677" t="n">
        <v>0</v>
      </c>
      <c r="O677" t="n">
        <v>0</v>
      </c>
      <c r="P677" t="n">
        <v>0</v>
      </c>
      <c r="Q677" t="n">
        <v>0</v>
      </c>
      <c r="R677" s="2" t="inlineStr"/>
    </row>
    <row r="678" ht="15" customHeight="1">
      <c r="A678" t="inlineStr">
        <is>
          <t>A 31376-2025</t>
        </is>
      </c>
      <c r="B678" s="1" t="n">
        <v>45833</v>
      </c>
      <c r="C678" s="1" t="n">
        <v>45936</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31386-2025</t>
        </is>
      </c>
      <c r="B679" s="1" t="n">
        <v>45833.45259259259</v>
      </c>
      <c r="C679" s="1" t="n">
        <v>45936</v>
      </c>
      <c r="D679" t="inlineStr">
        <is>
          <t>SÖDERMANLANDS LÄN</t>
        </is>
      </c>
      <c r="E679" t="inlineStr">
        <is>
          <t>KATRINEHOLM</t>
        </is>
      </c>
      <c r="F679" t="inlineStr">
        <is>
          <t>Övriga Aktiebolag</t>
        </is>
      </c>
      <c r="G679" t="n">
        <v>2.2</v>
      </c>
      <c r="H679" t="n">
        <v>0</v>
      </c>
      <c r="I679" t="n">
        <v>0</v>
      </c>
      <c r="J679" t="n">
        <v>0</v>
      </c>
      <c r="K679" t="n">
        <v>0</v>
      </c>
      <c r="L679" t="n">
        <v>0</v>
      </c>
      <c r="M679" t="n">
        <v>0</v>
      </c>
      <c r="N679" t="n">
        <v>0</v>
      </c>
      <c r="O679" t="n">
        <v>0</v>
      </c>
      <c r="P679" t="n">
        <v>0</v>
      </c>
      <c r="Q679" t="n">
        <v>0</v>
      </c>
      <c r="R679" s="2" t="inlineStr"/>
    </row>
    <row r="680" ht="15" customHeight="1">
      <c r="A680" t="inlineStr">
        <is>
          <t>A 42111-2022</t>
        </is>
      </c>
      <c r="B680" s="1" t="n">
        <v>44830</v>
      </c>
      <c r="C680" s="1" t="n">
        <v>45936</v>
      </c>
      <c r="D680" t="inlineStr">
        <is>
          <t>SÖDERMANLANDS LÄN</t>
        </is>
      </c>
      <c r="E680" t="inlineStr">
        <is>
          <t>KATRINEHOLM</t>
        </is>
      </c>
      <c r="G680" t="n">
        <v>2.5</v>
      </c>
      <c r="H680" t="n">
        <v>0</v>
      </c>
      <c r="I680" t="n">
        <v>0</v>
      </c>
      <c r="J680" t="n">
        <v>0</v>
      </c>
      <c r="K680" t="n">
        <v>0</v>
      </c>
      <c r="L680" t="n">
        <v>0</v>
      </c>
      <c r="M680" t="n">
        <v>0</v>
      </c>
      <c r="N680" t="n">
        <v>0</v>
      </c>
      <c r="O680" t="n">
        <v>0</v>
      </c>
      <c r="P680" t="n">
        <v>0</v>
      </c>
      <c r="Q680" t="n">
        <v>0</v>
      </c>
      <c r="R680" s="2" t="inlineStr"/>
    </row>
    <row r="681" ht="15" customHeight="1">
      <c r="A681" t="inlineStr">
        <is>
          <t>A 36021-2023</t>
        </is>
      </c>
      <c r="B681" s="1" t="n">
        <v>45148</v>
      </c>
      <c r="C681" s="1" t="n">
        <v>45936</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31990-2025</t>
        </is>
      </c>
      <c r="B682" s="1" t="n">
        <v>45835.36697916667</v>
      </c>
      <c r="C682" s="1" t="n">
        <v>45936</v>
      </c>
      <c r="D682" t="inlineStr">
        <is>
          <t>SÖDERMANLANDS LÄN</t>
        </is>
      </c>
      <c r="E682" t="inlineStr">
        <is>
          <t>KATRINEHOLM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33469-2025</t>
        </is>
      </c>
      <c r="B683" s="1" t="n">
        <v>45841.48686342593</v>
      </c>
      <c r="C683" s="1" t="n">
        <v>45936</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33084-2025</t>
        </is>
      </c>
      <c r="B684" s="1" t="n">
        <v>45840.46559027778</v>
      </c>
      <c r="C684" s="1" t="n">
        <v>45936</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33129-2025</t>
        </is>
      </c>
      <c r="B685" s="1" t="n">
        <v>45840.50141203704</v>
      </c>
      <c r="C685" s="1" t="n">
        <v>45936</v>
      </c>
      <c r="D685" t="inlineStr">
        <is>
          <t>SÖDERMANLANDS LÄN</t>
        </is>
      </c>
      <c r="E685" t="inlineStr">
        <is>
          <t>KATRINEHOLM</t>
        </is>
      </c>
      <c r="G685" t="n">
        <v>2.6</v>
      </c>
      <c r="H685" t="n">
        <v>0</v>
      </c>
      <c r="I685" t="n">
        <v>0</v>
      </c>
      <c r="J685" t="n">
        <v>0</v>
      </c>
      <c r="K685" t="n">
        <v>0</v>
      </c>
      <c r="L685" t="n">
        <v>0</v>
      </c>
      <c r="M685" t="n">
        <v>0</v>
      </c>
      <c r="N685" t="n">
        <v>0</v>
      </c>
      <c r="O685" t="n">
        <v>0</v>
      </c>
      <c r="P685" t="n">
        <v>0</v>
      </c>
      <c r="Q685" t="n">
        <v>0</v>
      </c>
      <c r="R685" s="2" t="inlineStr"/>
    </row>
    <row r="686" ht="15" customHeight="1">
      <c r="A686" t="inlineStr">
        <is>
          <t>A 33577-2025</t>
        </is>
      </c>
      <c r="B686" s="1" t="n">
        <v>45841.59056712963</v>
      </c>
      <c r="C686" s="1" t="n">
        <v>45936</v>
      </c>
      <c r="D686" t="inlineStr">
        <is>
          <t>SÖDERMANLANDS LÄN</t>
        </is>
      </c>
      <c r="E686" t="inlineStr">
        <is>
          <t>KATRINEHOLM</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33077-2025</t>
        </is>
      </c>
      <c r="B687" s="1" t="n">
        <v>45840.45864583334</v>
      </c>
      <c r="C687" s="1" t="n">
        <v>45936</v>
      </c>
      <c r="D687" t="inlineStr">
        <is>
          <t>SÖDERMANLANDS LÄN</t>
        </is>
      </c>
      <c r="E687" t="inlineStr">
        <is>
          <t>KATRINEHOLM</t>
        </is>
      </c>
      <c r="G687" t="n">
        <v>7</v>
      </c>
      <c r="H687" t="n">
        <v>0</v>
      </c>
      <c r="I687" t="n">
        <v>0</v>
      </c>
      <c r="J687" t="n">
        <v>0</v>
      </c>
      <c r="K687" t="n">
        <v>0</v>
      </c>
      <c r="L687" t="n">
        <v>0</v>
      </c>
      <c r="M687" t="n">
        <v>0</v>
      </c>
      <c r="N687" t="n">
        <v>0</v>
      </c>
      <c r="O687" t="n">
        <v>0</v>
      </c>
      <c r="P687" t="n">
        <v>0</v>
      </c>
      <c r="Q687" t="n">
        <v>0</v>
      </c>
      <c r="R687" s="2" t="inlineStr"/>
    </row>
    <row r="688" ht="15" customHeight="1">
      <c r="A688" t="inlineStr">
        <is>
          <t>A 33090-2025</t>
        </is>
      </c>
      <c r="B688" s="1" t="n">
        <v>45840.46840277778</v>
      </c>
      <c r="C688" s="1" t="n">
        <v>45936</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33096-2025</t>
        </is>
      </c>
      <c r="B689" s="1" t="n">
        <v>45840.47563657408</v>
      </c>
      <c r="C689" s="1" t="n">
        <v>45936</v>
      </c>
      <c r="D689" t="inlineStr">
        <is>
          <t>SÖDERMANLANDS LÄN</t>
        </is>
      </c>
      <c r="E689" t="inlineStr">
        <is>
          <t>KATRINEHOLM</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33101-2025</t>
        </is>
      </c>
      <c r="B690" s="1" t="n">
        <v>45840.47953703703</v>
      </c>
      <c r="C690" s="1" t="n">
        <v>45936</v>
      </c>
      <c r="D690" t="inlineStr">
        <is>
          <t>SÖDERMANLANDS LÄN</t>
        </is>
      </c>
      <c r="E690" t="inlineStr">
        <is>
          <t>KATRINEHOLM</t>
        </is>
      </c>
      <c r="G690" t="n">
        <v>4.4</v>
      </c>
      <c r="H690" t="n">
        <v>0</v>
      </c>
      <c r="I690" t="n">
        <v>0</v>
      </c>
      <c r="J690" t="n">
        <v>0</v>
      </c>
      <c r="K690" t="n">
        <v>0</v>
      </c>
      <c r="L690" t="n">
        <v>0</v>
      </c>
      <c r="M690" t="n">
        <v>0</v>
      </c>
      <c r="N690" t="n">
        <v>0</v>
      </c>
      <c r="O690" t="n">
        <v>0</v>
      </c>
      <c r="P690" t="n">
        <v>0</v>
      </c>
      <c r="Q690" t="n">
        <v>0</v>
      </c>
      <c r="R690" s="2" t="inlineStr"/>
    </row>
    <row r="691" ht="15" customHeight="1">
      <c r="A691" t="inlineStr">
        <is>
          <t>A 40402-2022</t>
        </is>
      </c>
      <c r="B691" s="1" t="n">
        <v>44823.44353009259</v>
      </c>
      <c r="C691" s="1" t="n">
        <v>45936</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27334-2023</t>
        </is>
      </c>
      <c r="B692" s="1" t="n">
        <v>45096</v>
      </c>
      <c r="C692" s="1" t="n">
        <v>45936</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33812-2025</t>
        </is>
      </c>
      <c r="B693" s="1" t="n">
        <v>45842</v>
      </c>
      <c r="C693" s="1" t="n">
        <v>45936</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7704-2023</t>
        </is>
      </c>
      <c r="B694" s="1" t="n">
        <v>44968</v>
      </c>
      <c r="C694" s="1" t="n">
        <v>45936</v>
      </c>
      <c r="D694" t="inlineStr">
        <is>
          <t>SÖDERMANLANDS LÄN</t>
        </is>
      </c>
      <c r="E694" t="inlineStr">
        <is>
          <t>KATRINEHOLM</t>
        </is>
      </c>
      <c r="G694" t="n">
        <v>7.3</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45936</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58528-2024</t>
        </is>
      </c>
      <c r="B696" s="1" t="n">
        <v>45635.44527777778</v>
      </c>
      <c r="C696" s="1" t="n">
        <v>45936</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14478-2023</t>
        </is>
      </c>
      <c r="B697" s="1" t="n">
        <v>45012.66421296296</v>
      </c>
      <c r="C697" s="1" t="n">
        <v>45936</v>
      </c>
      <c r="D697" t="inlineStr">
        <is>
          <t>SÖDERMANLANDS LÄN</t>
        </is>
      </c>
      <c r="E697" t="inlineStr">
        <is>
          <t>KATRINEHOLM</t>
        </is>
      </c>
      <c r="G697" t="n">
        <v>3.9</v>
      </c>
      <c r="H697" t="n">
        <v>0</v>
      </c>
      <c r="I697" t="n">
        <v>0</v>
      </c>
      <c r="J697" t="n">
        <v>0</v>
      </c>
      <c r="K697" t="n">
        <v>0</v>
      </c>
      <c r="L697" t="n">
        <v>0</v>
      </c>
      <c r="M697" t="n">
        <v>0</v>
      </c>
      <c r="N697" t="n">
        <v>0</v>
      </c>
      <c r="O697" t="n">
        <v>0</v>
      </c>
      <c r="P697" t="n">
        <v>0</v>
      </c>
      <c r="Q697" t="n">
        <v>0</v>
      </c>
      <c r="R697" s="2" t="inlineStr"/>
    </row>
    <row r="698" ht="15" customHeight="1">
      <c r="A698" t="inlineStr">
        <is>
          <t>A 39055-2022</t>
        </is>
      </c>
      <c r="B698" s="1" t="n">
        <v>44817</v>
      </c>
      <c r="C698" s="1" t="n">
        <v>45936</v>
      </c>
      <c r="D698" t="inlineStr">
        <is>
          <t>SÖDERMANLANDS LÄN</t>
        </is>
      </c>
      <c r="E698" t="inlineStr">
        <is>
          <t>KATRINEHOLM</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7056-2022</t>
        </is>
      </c>
      <c r="B699" s="1" t="n">
        <v>44603</v>
      </c>
      <c r="C699" s="1" t="n">
        <v>45936</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12937-2023</t>
        </is>
      </c>
      <c r="B700" s="1" t="n">
        <v>45001</v>
      </c>
      <c r="C700" s="1" t="n">
        <v>45936</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42896-2024</t>
        </is>
      </c>
      <c r="B701" s="1" t="n">
        <v>45566.82973379629</v>
      </c>
      <c r="C701" s="1" t="n">
        <v>45936</v>
      </c>
      <c r="D701" t="inlineStr">
        <is>
          <t>SÖDERMANLANDS LÄN</t>
        </is>
      </c>
      <c r="E701" t="inlineStr">
        <is>
          <t>KATRINEHOLM</t>
        </is>
      </c>
      <c r="G701" t="n">
        <v>4.3</v>
      </c>
      <c r="H701" t="n">
        <v>0</v>
      </c>
      <c r="I701" t="n">
        <v>0</v>
      </c>
      <c r="J701" t="n">
        <v>0</v>
      </c>
      <c r="K701" t="n">
        <v>0</v>
      </c>
      <c r="L701" t="n">
        <v>0</v>
      </c>
      <c r="M701" t="n">
        <v>0</v>
      </c>
      <c r="N701" t="n">
        <v>0</v>
      </c>
      <c r="O701" t="n">
        <v>0</v>
      </c>
      <c r="P701" t="n">
        <v>0</v>
      </c>
      <c r="Q701" t="n">
        <v>0</v>
      </c>
      <c r="R701" s="2" t="inlineStr"/>
    </row>
    <row r="702" ht="15" customHeight="1">
      <c r="A702" t="inlineStr">
        <is>
          <t>A 29008-2024</t>
        </is>
      </c>
      <c r="B702" s="1" t="n">
        <v>45481</v>
      </c>
      <c r="C702" s="1" t="n">
        <v>45936</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62419-2023</t>
        </is>
      </c>
      <c r="B703" s="1" t="n">
        <v>45268</v>
      </c>
      <c r="C703" s="1" t="n">
        <v>45936</v>
      </c>
      <c r="D703" t="inlineStr">
        <is>
          <t>SÖDERMANLANDS LÄN</t>
        </is>
      </c>
      <c r="E703" t="inlineStr">
        <is>
          <t>KATRINEHOLM</t>
        </is>
      </c>
      <c r="G703" t="n">
        <v>9</v>
      </c>
      <c r="H703" t="n">
        <v>0</v>
      </c>
      <c r="I703" t="n">
        <v>0</v>
      </c>
      <c r="J703" t="n">
        <v>0</v>
      </c>
      <c r="K703" t="n">
        <v>0</v>
      </c>
      <c r="L703" t="n">
        <v>0</v>
      </c>
      <c r="M703" t="n">
        <v>0</v>
      </c>
      <c r="N703" t="n">
        <v>0</v>
      </c>
      <c r="O703" t="n">
        <v>0</v>
      </c>
      <c r="P703" t="n">
        <v>0</v>
      </c>
      <c r="Q703" t="n">
        <v>0</v>
      </c>
      <c r="R703" s="2" t="inlineStr"/>
    </row>
    <row r="704" ht="15" customHeight="1">
      <c r="A704" t="inlineStr">
        <is>
          <t>A 53722-2023</t>
        </is>
      </c>
      <c r="B704" s="1" t="n">
        <v>45230</v>
      </c>
      <c r="C704" s="1" t="n">
        <v>45936</v>
      </c>
      <c r="D704" t="inlineStr">
        <is>
          <t>SÖDERMANLANDS LÄN</t>
        </is>
      </c>
      <c r="E704" t="inlineStr">
        <is>
          <t>KATRINEHOLM</t>
        </is>
      </c>
      <c r="F704" t="inlineStr">
        <is>
          <t>Allmännings- och besparingsskogar</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38869-2024</t>
        </is>
      </c>
      <c r="B705" s="1" t="n">
        <v>45547</v>
      </c>
      <c r="C705" s="1" t="n">
        <v>45936</v>
      </c>
      <c r="D705" t="inlineStr">
        <is>
          <t>SÖDERMANLANDS LÄN</t>
        </is>
      </c>
      <c r="E705" t="inlineStr">
        <is>
          <t>KATRINEHOLM</t>
        </is>
      </c>
      <c r="G705" t="n">
        <v>2.2</v>
      </c>
      <c r="H705" t="n">
        <v>0</v>
      </c>
      <c r="I705" t="n">
        <v>0</v>
      </c>
      <c r="J705" t="n">
        <v>0</v>
      </c>
      <c r="K705" t="n">
        <v>0</v>
      </c>
      <c r="L705" t="n">
        <v>0</v>
      </c>
      <c r="M705" t="n">
        <v>0</v>
      </c>
      <c r="N705" t="n">
        <v>0</v>
      </c>
      <c r="O705" t="n">
        <v>0</v>
      </c>
      <c r="P705" t="n">
        <v>0</v>
      </c>
      <c r="Q705" t="n">
        <v>0</v>
      </c>
      <c r="R705" s="2" t="inlineStr"/>
    </row>
    <row r="706" ht="15" customHeight="1">
      <c r="A706" t="inlineStr">
        <is>
          <t>A 20214-2025</t>
        </is>
      </c>
      <c r="B706" s="1" t="n">
        <v>45772.63540509259</v>
      </c>
      <c r="C706" s="1" t="n">
        <v>45936</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33815-2025</t>
        </is>
      </c>
      <c r="B707" s="1" t="n">
        <v>45842</v>
      </c>
      <c r="C707" s="1" t="n">
        <v>45936</v>
      </c>
      <c r="D707" t="inlineStr">
        <is>
          <t>SÖDERMANLANDS LÄN</t>
        </is>
      </c>
      <c r="E707" t="inlineStr">
        <is>
          <t>KATRINEHOLM</t>
        </is>
      </c>
      <c r="G707" t="n">
        <v>3.4</v>
      </c>
      <c r="H707" t="n">
        <v>0</v>
      </c>
      <c r="I707" t="n">
        <v>0</v>
      </c>
      <c r="J707" t="n">
        <v>0</v>
      </c>
      <c r="K707" t="n">
        <v>0</v>
      </c>
      <c r="L707" t="n">
        <v>0</v>
      </c>
      <c r="M707" t="n">
        <v>0</v>
      </c>
      <c r="N707" t="n">
        <v>0</v>
      </c>
      <c r="O707" t="n">
        <v>0</v>
      </c>
      <c r="P707" t="n">
        <v>0</v>
      </c>
      <c r="Q707" t="n">
        <v>0</v>
      </c>
      <c r="R707" s="2" t="inlineStr"/>
    </row>
    <row r="708" ht="15" customHeight="1">
      <c r="A708" t="inlineStr">
        <is>
          <t>A 62140-2022</t>
        </is>
      </c>
      <c r="B708" s="1" t="n">
        <v>44922</v>
      </c>
      <c r="C708" s="1" t="n">
        <v>45936</v>
      </c>
      <c r="D708" t="inlineStr">
        <is>
          <t>SÖDERMANLANDS LÄN</t>
        </is>
      </c>
      <c r="E708" t="inlineStr">
        <is>
          <t>KATRINEHOLM</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20213-2025</t>
        </is>
      </c>
      <c r="B709" s="1" t="n">
        <v>45772.63453703704</v>
      </c>
      <c r="C709" s="1" t="n">
        <v>45936</v>
      </c>
      <c r="D709" t="inlineStr">
        <is>
          <t>SÖDERMANLANDS LÄN</t>
        </is>
      </c>
      <c r="E709" t="inlineStr">
        <is>
          <t>KATRINEHOLM</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27375-2024</t>
        </is>
      </c>
      <c r="B710" s="1" t="n">
        <v>45473.87645833333</v>
      </c>
      <c r="C710" s="1" t="n">
        <v>45936</v>
      </c>
      <c r="D710" t="inlineStr">
        <is>
          <t>SÖDERMANLANDS LÄN</t>
        </is>
      </c>
      <c r="E710" t="inlineStr">
        <is>
          <t>KATRINEHOLM</t>
        </is>
      </c>
      <c r="F710" t="inlineStr">
        <is>
          <t>Kommuner</t>
        </is>
      </c>
      <c r="G710" t="n">
        <v>1.9</v>
      </c>
      <c r="H710" t="n">
        <v>0</v>
      </c>
      <c r="I710" t="n">
        <v>0</v>
      </c>
      <c r="J710" t="n">
        <v>0</v>
      </c>
      <c r="K710" t="n">
        <v>0</v>
      </c>
      <c r="L710" t="n">
        <v>0</v>
      </c>
      <c r="M710" t="n">
        <v>0</v>
      </c>
      <c r="N710" t="n">
        <v>0</v>
      </c>
      <c r="O710" t="n">
        <v>0</v>
      </c>
      <c r="P710" t="n">
        <v>0</v>
      </c>
      <c r="Q710" t="n">
        <v>0</v>
      </c>
      <c r="R710" s="2" t="inlineStr"/>
    </row>
    <row r="711" ht="15" customHeight="1">
      <c r="A711" t="inlineStr">
        <is>
          <t>A 7867-2024</t>
        </is>
      </c>
      <c r="B711" s="1" t="n">
        <v>45350.32991898148</v>
      </c>
      <c r="C711" s="1" t="n">
        <v>45936</v>
      </c>
      <c r="D711" t="inlineStr">
        <is>
          <t>SÖDERMANLANDS LÄN</t>
        </is>
      </c>
      <c r="E711" t="inlineStr">
        <is>
          <t>KATRINEHOLM</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8957-2024</t>
        </is>
      </c>
      <c r="B712" s="1" t="n">
        <v>45357.45089120371</v>
      </c>
      <c r="C712" s="1" t="n">
        <v>45936</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23341-2023</t>
        </is>
      </c>
      <c r="B713" s="1" t="n">
        <v>45076</v>
      </c>
      <c r="C713" s="1" t="n">
        <v>45936</v>
      </c>
      <c r="D713" t="inlineStr">
        <is>
          <t>SÖDERMANLANDS LÄN</t>
        </is>
      </c>
      <c r="E713" t="inlineStr">
        <is>
          <t>KATRINEHOLM</t>
        </is>
      </c>
      <c r="G713" t="n">
        <v>3.5</v>
      </c>
      <c r="H713" t="n">
        <v>0</v>
      </c>
      <c r="I713" t="n">
        <v>0</v>
      </c>
      <c r="J713" t="n">
        <v>0</v>
      </c>
      <c r="K713" t="n">
        <v>0</v>
      </c>
      <c r="L713" t="n">
        <v>0</v>
      </c>
      <c r="M713" t="n">
        <v>0</v>
      </c>
      <c r="N713" t="n">
        <v>0</v>
      </c>
      <c r="O713" t="n">
        <v>0</v>
      </c>
      <c r="P713" t="n">
        <v>0</v>
      </c>
      <c r="Q713" t="n">
        <v>0</v>
      </c>
      <c r="R713" s="2" t="inlineStr"/>
    </row>
    <row r="714" ht="15" customHeight="1">
      <c r="A714" t="inlineStr">
        <is>
          <t>A 35156-2025</t>
        </is>
      </c>
      <c r="B714" s="1" t="n">
        <v>45852</v>
      </c>
      <c r="C714" s="1" t="n">
        <v>45936</v>
      </c>
      <c r="D714" t="inlineStr">
        <is>
          <t>SÖDERMANLANDS LÄN</t>
        </is>
      </c>
      <c r="E714" t="inlineStr">
        <is>
          <t>KATRINEHOLM</t>
        </is>
      </c>
      <c r="G714" t="n">
        <v>5.7</v>
      </c>
      <c r="H714" t="n">
        <v>0</v>
      </c>
      <c r="I714" t="n">
        <v>0</v>
      </c>
      <c r="J714" t="n">
        <v>0</v>
      </c>
      <c r="K714" t="n">
        <v>0</v>
      </c>
      <c r="L714" t="n">
        <v>0</v>
      </c>
      <c r="M714" t="n">
        <v>0</v>
      </c>
      <c r="N714" t="n">
        <v>0</v>
      </c>
      <c r="O714" t="n">
        <v>0</v>
      </c>
      <c r="P714" t="n">
        <v>0</v>
      </c>
      <c r="Q714" t="n">
        <v>0</v>
      </c>
      <c r="R714" s="2" t="inlineStr"/>
    </row>
    <row r="715" ht="15" customHeight="1">
      <c r="A715" t="inlineStr">
        <is>
          <t>A 35145-2025</t>
        </is>
      </c>
      <c r="B715" s="1" t="n">
        <v>45852</v>
      </c>
      <c r="C715" s="1" t="n">
        <v>45936</v>
      </c>
      <c r="D715" t="inlineStr">
        <is>
          <t>SÖDERMANLANDS LÄN</t>
        </is>
      </c>
      <c r="E715" t="inlineStr">
        <is>
          <t>KATRINEHOLM</t>
        </is>
      </c>
      <c r="G715" t="n">
        <v>3.1</v>
      </c>
      <c r="H715" t="n">
        <v>0</v>
      </c>
      <c r="I715" t="n">
        <v>0</v>
      </c>
      <c r="J715" t="n">
        <v>0</v>
      </c>
      <c r="K715" t="n">
        <v>0</v>
      </c>
      <c r="L715" t="n">
        <v>0</v>
      </c>
      <c r="M715" t="n">
        <v>0</v>
      </c>
      <c r="N715" t="n">
        <v>0</v>
      </c>
      <c r="O715" t="n">
        <v>0</v>
      </c>
      <c r="P715" t="n">
        <v>0</v>
      </c>
      <c r="Q715" t="n">
        <v>0</v>
      </c>
      <c r="R715" s="2" t="inlineStr"/>
    </row>
    <row r="716" ht="15" customHeight="1">
      <c r="A716" t="inlineStr">
        <is>
          <t>A 35157-2025</t>
        </is>
      </c>
      <c r="B716" s="1" t="n">
        <v>45852</v>
      </c>
      <c r="C716" s="1" t="n">
        <v>45936</v>
      </c>
      <c r="D716" t="inlineStr">
        <is>
          <t>SÖDERMANLANDS LÄN</t>
        </is>
      </c>
      <c r="E716" t="inlineStr">
        <is>
          <t>KATRINEHOLM</t>
        </is>
      </c>
      <c r="G716" t="n">
        <v>3.7</v>
      </c>
      <c r="H716" t="n">
        <v>0</v>
      </c>
      <c r="I716" t="n">
        <v>0</v>
      </c>
      <c r="J716" t="n">
        <v>0</v>
      </c>
      <c r="K716" t="n">
        <v>0</v>
      </c>
      <c r="L716" t="n">
        <v>0</v>
      </c>
      <c r="M716" t="n">
        <v>0</v>
      </c>
      <c r="N716" t="n">
        <v>0</v>
      </c>
      <c r="O716" t="n">
        <v>0</v>
      </c>
      <c r="P716" t="n">
        <v>0</v>
      </c>
      <c r="Q716" t="n">
        <v>0</v>
      </c>
      <c r="R716" s="2" t="inlineStr"/>
    </row>
    <row r="717" ht="15" customHeight="1">
      <c r="A717" t="inlineStr">
        <is>
          <t>A 35084-2025</t>
        </is>
      </c>
      <c r="B717" s="1" t="n">
        <v>45852</v>
      </c>
      <c r="C717" s="1" t="n">
        <v>45936</v>
      </c>
      <c r="D717" t="inlineStr">
        <is>
          <t>SÖDERMANLANDS LÄN</t>
        </is>
      </c>
      <c r="E717" t="inlineStr">
        <is>
          <t>KATRINEHOLM</t>
        </is>
      </c>
      <c r="G717" t="n">
        <v>3.2</v>
      </c>
      <c r="H717" t="n">
        <v>0</v>
      </c>
      <c r="I717" t="n">
        <v>0</v>
      </c>
      <c r="J717" t="n">
        <v>0</v>
      </c>
      <c r="K717" t="n">
        <v>0</v>
      </c>
      <c r="L717" t="n">
        <v>0</v>
      </c>
      <c r="M717" t="n">
        <v>0</v>
      </c>
      <c r="N717" t="n">
        <v>0</v>
      </c>
      <c r="O717" t="n">
        <v>0</v>
      </c>
      <c r="P717" t="n">
        <v>0</v>
      </c>
      <c r="Q717" t="n">
        <v>0</v>
      </c>
      <c r="R717" s="2" t="inlineStr"/>
    </row>
    <row r="718" ht="15" customHeight="1">
      <c r="A718" t="inlineStr">
        <is>
          <t>A 35149-2025</t>
        </is>
      </c>
      <c r="B718" s="1" t="n">
        <v>45852</v>
      </c>
      <c r="C718" s="1" t="n">
        <v>45936</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35161-2025</t>
        </is>
      </c>
      <c r="B719" s="1" t="n">
        <v>45852.70716435185</v>
      </c>
      <c r="C719" s="1" t="n">
        <v>45936</v>
      </c>
      <c r="D719" t="inlineStr">
        <is>
          <t>SÖDERMANLANDS LÄN</t>
        </is>
      </c>
      <c r="E719" t="inlineStr">
        <is>
          <t>KATRINEHOLM</t>
        </is>
      </c>
      <c r="F719" t="inlineStr">
        <is>
          <t>Övriga Aktiebolag</t>
        </is>
      </c>
      <c r="G719" t="n">
        <v>1.5</v>
      </c>
      <c r="H719" t="n">
        <v>0</v>
      </c>
      <c r="I719" t="n">
        <v>0</v>
      </c>
      <c r="J719" t="n">
        <v>0</v>
      </c>
      <c r="K719" t="n">
        <v>0</v>
      </c>
      <c r="L719" t="n">
        <v>0</v>
      </c>
      <c r="M719" t="n">
        <v>0</v>
      </c>
      <c r="N719" t="n">
        <v>0</v>
      </c>
      <c r="O719" t="n">
        <v>0</v>
      </c>
      <c r="P719" t="n">
        <v>0</v>
      </c>
      <c r="Q719" t="n">
        <v>0</v>
      </c>
      <c r="R719" s="2" t="inlineStr"/>
    </row>
    <row r="720" ht="15" customHeight="1">
      <c r="A720" t="inlineStr">
        <is>
          <t>A 35152-2025</t>
        </is>
      </c>
      <c r="B720" s="1" t="n">
        <v>45852</v>
      </c>
      <c r="C720" s="1" t="n">
        <v>45936</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35165-2025</t>
        </is>
      </c>
      <c r="B721" s="1" t="n">
        <v>45852.72320601852</v>
      </c>
      <c r="C721" s="1" t="n">
        <v>45936</v>
      </c>
      <c r="D721" t="inlineStr">
        <is>
          <t>SÖDERMANLANDS LÄN</t>
        </is>
      </c>
      <c r="E721" t="inlineStr">
        <is>
          <t>KATRINEHOLM</t>
        </is>
      </c>
      <c r="F721" t="inlineStr">
        <is>
          <t>Övriga Aktiebolag</t>
        </is>
      </c>
      <c r="G721" t="n">
        <v>20.7</v>
      </c>
      <c r="H721" t="n">
        <v>0</v>
      </c>
      <c r="I721" t="n">
        <v>0</v>
      </c>
      <c r="J721" t="n">
        <v>0</v>
      </c>
      <c r="K721" t="n">
        <v>0</v>
      </c>
      <c r="L721" t="n">
        <v>0</v>
      </c>
      <c r="M721" t="n">
        <v>0</v>
      </c>
      <c r="N721" t="n">
        <v>0</v>
      </c>
      <c r="O721" t="n">
        <v>0</v>
      </c>
      <c r="P721" t="n">
        <v>0</v>
      </c>
      <c r="Q721" t="n">
        <v>0</v>
      </c>
      <c r="R721" s="2" t="inlineStr"/>
    </row>
    <row r="722" ht="15" customHeight="1">
      <c r="A722" t="inlineStr">
        <is>
          <t>A 35160-2025</t>
        </is>
      </c>
      <c r="B722" s="1" t="n">
        <v>45852.70430555556</v>
      </c>
      <c r="C722" s="1" t="n">
        <v>45936</v>
      </c>
      <c r="D722" t="inlineStr">
        <is>
          <t>SÖDERMANLANDS LÄN</t>
        </is>
      </c>
      <c r="E722" t="inlineStr">
        <is>
          <t>KATRINEHOLM</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51218-2020</t>
        </is>
      </c>
      <c r="B723" s="1" t="n">
        <v>44112</v>
      </c>
      <c r="C723" s="1" t="n">
        <v>45936</v>
      </c>
      <c r="D723" t="inlineStr">
        <is>
          <t>SÖDERMANLANDS LÄN</t>
        </is>
      </c>
      <c r="E723" t="inlineStr">
        <is>
          <t>KATRINEHOLM</t>
        </is>
      </c>
      <c r="F723" t="inlineStr">
        <is>
          <t>Kommuner</t>
        </is>
      </c>
      <c r="G723" t="n">
        <v>1.5</v>
      </c>
      <c r="H723" t="n">
        <v>0</v>
      </c>
      <c r="I723" t="n">
        <v>0</v>
      </c>
      <c r="J723" t="n">
        <v>0</v>
      </c>
      <c r="K723" t="n">
        <v>0</v>
      </c>
      <c r="L723" t="n">
        <v>0</v>
      </c>
      <c r="M723" t="n">
        <v>0</v>
      </c>
      <c r="N723" t="n">
        <v>0</v>
      </c>
      <c r="O723" t="n">
        <v>0</v>
      </c>
      <c r="P723" t="n">
        <v>0</v>
      </c>
      <c r="Q723" t="n">
        <v>0</v>
      </c>
      <c r="R723" s="2" t="inlineStr"/>
    </row>
    <row r="724" ht="15" customHeight="1">
      <c r="A724" t="inlineStr">
        <is>
          <t>A 35158-2025</t>
        </is>
      </c>
      <c r="B724" s="1" t="n">
        <v>45852</v>
      </c>
      <c r="C724" s="1" t="n">
        <v>45936</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60677-2021</t>
        </is>
      </c>
      <c r="B725" s="1" t="n">
        <v>44495</v>
      </c>
      <c r="C725" s="1" t="n">
        <v>45936</v>
      </c>
      <c r="D725" t="inlineStr">
        <is>
          <t>SÖDERMANLANDS LÄN</t>
        </is>
      </c>
      <c r="E725" t="inlineStr">
        <is>
          <t>KATRINEHOLM</t>
        </is>
      </c>
      <c r="G725" t="n">
        <v>1.8</v>
      </c>
      <c r="H725" t="n">
        <v>0</v>
      </c>
      <c r="I725" t="n">
        <v>0</v>
      </c>
      <c r="J725" t="n">
        <v>0</v>
      </c>
      <c r="K725" t="n">
        <v>0</v>
      </c>
      <c r="L725" t="n">
        <v>0</v>
      </c>
      <c r="M725" t="n">
        <v>0</v>
      </c>
      <c r="N725" t="n">
        <v>0</v>
      </c>
      <c r="O725" t="n">
        <v>0</v>
      </c>
      <c r="P725" t="n">
        <v>0</v>
      </c>
      <c r="Q725" t="n">
        <v>0</v>
      </c>
      <c r="R725" s="2" t="inlineStr"/>
    </row>
    <row r="726" ht="15" customHeight="1">
      <c r="A726" t="inlineStr">
        <is>
          <t>A 34439-2025</t>
        </is>
      </c>
      <c r="B726" s="1" t="n">
        <v>45845</v>
      </c>
      <c r="C726" s="1" t="n">
        <v>45936</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3986-2024</t>
        </is>
      </c>
      <c r="B727" s="1" t="n">
        <v>45322</v>
      </c>
      <c r="C727" s="1" t="n">
        <v>45936</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3939-2022</t>
        </is>
      </c>
      <c r="B728" s="1" t="n">
        <v>44587</v>
      </c>
      <c r="C728" s="1" t="n">
        <v>45936</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2683-2025</t>
        </is>
      </c>
      <c r="B729" s="1" t="n">
        <v>45677</v>
      </c>
      <c r="C729" s="1" t="n">
        <v>45936</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3317-2023</t>
        </is>
      </c>
      <c r="B730" s="1" t="n">
        <v>44945</v>
      </c>
      <c r="C730" s="1" t="n">
        <v>45936</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32944-2023</t>
        </is>
      </c>
      <c r="B731" s="1" t="n">
        <v>45125</v>
      </c>
      <c r="C731" s="1" t="n">
        <v>45936</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29198-2023</t>
        </is>
      </c>
      <c r="B732" s="1" t="n">
        <v>45105</v>
      </c>
      <c r="C732" s="1" t="n">
        <v>45936</v>
      </c>
      <c r="D732" t="inlineStr">
        <is>
          <t>SÖDERMANLANDS LÄN</t>
        </is>
      </c>
      <c r="E732" t="inlineStr">
        <is>
          <t>KATRINEHOLM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56661-2021</t>
        </is>
      </c>
      <c r="B733" s="1" t="n">
        <v>44481.24327546296</v>
      </c>
      <c r="C733" s="1" t="n">
        <v>45936</v>
      </c>
      <c r="D733" t="inlineStr">
        <is>
          <t>SÖDERMANLANDS LÄN</t>
        </is>
      </c>
      <c r="E733" t="inlineStr">
        <is>
          <t>KATRINEHOLM</t>
        </is>
      </c>
      <c r="G733" t="n">
        <v>5.8</v>
      </c>
      <c r="H733" t="n">
        <v>0</v>
      </c>
      <c r="I733" t="n">
        <v>0</v>
      </c>
      <c r="J733" t="n">
        <v>0</v>
      </c>
      <c r="K733" t="n">
        <v>0</v>
      </c>
      <c r="L733" t="n">
        <v>0</v>
      </c>
      <c r="M733" t="n">
        <v>0</v>
      </c>
      <c r="N733" t="n">
        <v>0</v>
      </c>
      <c r="O733" t="n">
        <v>0</v>
      </c>
      <c r="P733" t="n">
        <v>0</v>
      </c>
      <c r="Q733" t="n">
        <v>0</v>
      </c>
      <c r="R733" s="2" t="inlineStr"/>
    </row>
    <row r="734" ht="15" customHeight="1">
      <c r="A734" t="inlineStr">
        <is>
          <t>A 45246-2023</t>
        </is>
      </c>
      <c r="B734" s="1" t="n">
        <v>45191</v>
      </c>
      <c r="C734" s="1" t="n">
        <v>45936</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55171-2023</t>
        </is>
      </c>
      <c r="B735" s="1" t="n">
        <v>45231</v>
      </c>
      <c r="C735" s="1" t="n">
        <v>45936</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27376-2024</t>
        </is>
      </c>
      <c r="B736" s="1" t="n">
        <v>45473.88313657408</v>
      </c>
      <c r="C736" s="1" t="n">
        <v>45936</v>
      </c>
      <c r="D736" t="inlineStr">
        <is>
          <t>SÖDERMANLANDS LÄN</t>
        </is>
      </c>
      <c r="E736" t="inlineStr">
        <is>
          <t>KATRINEHOLM</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48097-2023</t>
        </is>
      </c>
      <c r="B737" s="1" t="n">
        <v>45205.31987268518</v>
      </c>
      <c r="C737" s="1" t="n">
        <v>45936</v>
      </c>
      <c r="D737" t="inlineStr">
        <is>
          <t>SÖDERMANLANDS LÄN</t>
        </is>
      </c>
      <c r="E737" t="inlineStr">
        <is>
          <t>KATRINEHOLM</t>
        </is>
      </c>
      <c r="G737" t="n">
        <v>2.3</v>
      </c>
      <c r="H737" t="n">
        <v>0</v>
      </c>
      <c r="I737" t="n">
        <v>0</v>
      </c>
      <c r="J737" t="n">
        <v>0</v>
      </c>
      <c r="K737" t="n">
        <v>0</v>
      </c>
      <c r="L737" t="n">
        <v>0</v>
      </c>
      <c r="M737" t="n">
        <v>0</v>
      </c>
      <c r="N737" t="n">
        <v>0</v>
      </c>
      <c r="O737" t="n">
        <v>0</v>
      </c>
      <c r="P737" t="n">
        <v>0</v>
      </c>
      <c r="Q737" t="n">
        <v>0</v>
      </c>
      <c r="R737" s="2" t="inlineStr"/>
    </row>
    <row r="738" ht="15" customHeight="1">
      <c r="A738" t="inlineStr">
        <is>
          <t>A 7753-2024</t>
        </is>
      </c>
      <c r="B738" s="1" t="n">
        <v>45348</v>
      </c>
      <c r="C738" s="1" t="n">
        <v>45936</v>
      </c>
      <c r="D738" t="inlineStr">
        <is>
          <t>SÖDERMANLANDS LÄN</t>
        </is>
      </c>
      <c r="E738" t="inlineStr">
        <is>
          <t>KATRINEHOLM</t>
        </is>
      </c>
      <c r="G738" t="n">
        <v>13.4</v>
      </c>
      <c r="H738" t="n">
        <v>0</v>
      </c>
      <c r="I738" t="n">
        <v>0</v>
      </c>
      <c r="J738" t="n">
        <v>0</v>
      </c>
      <c r="K738" t="n">
        <v>0</v>
      </c>
      <c r="L738" t="n">
        <v>0</v>
      </c>
      <c r="M738" t="n">
        <v>0</v>
      </c>
      <c r="N738" t="n">
        <v>0</v>
      </c>
      <c r="O738" t="n">
        <v>0</v>
      </c>
      <c r="P738" t="n">
        <v>0</v>
      </c>
      <c r="Q738" t="n">
        <v>0</v>
      </c>
      <c r="R738" s="2" t="inlineStr"/>
    </row>
    <row r="739" ht="15" customHeight="1">
      <c r="A739" t="inlineStr">
        <is>
          <t>A 41498-2025</t>
        </is>
      </c>
      <c r="B739" s="1" t="n">
        <v>45901.49755787037</v>
      </c>
      <c r="C739" s="1" t="n">
        <v>45936</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41548-2025</t>
        </is>
      </c>
      <c r="B740" s="1" t="n">
        <v>45901</v>
      </c>
      <c r="C740" s="1" t="n">
        <v>45936</v>
      </c>
      <c r="D740" t="inlineStr">
        <is>
          <t>SÖDERMANLANDS LÄN</t>
        </is>
      </c>
      <c r="E740" t="inlineStr">
        <is>
          <t>KATRINEHOLM</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41648-2025</t>
        </is>
      </c>
      <c r="B741" s="1" t="n">
        <v>45902.32601851852</v>
      </c>
      <c r="C741" s="1" t="n">
        <v>45936</v>
      </c>
      <c r="D741" t="inlineStr">
        <is>
          <t>SÖDERMANLANDS LÄN</t>
        </is>
      </c>
      <c r="E741" t="inlineStr">
        <is>
          <t>KATRINEHOLM</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61915-2021</t>
        </is>
      </c>
      <c r="B742" s="1" t="n">
        <v>44502.36780092592</v>
      </c>
      <c r="C742" s="1" t="n">
        <v>45936</v>
      </c>
      <c r="D742" t="inlineStr">
        <is>
          <t>SÖDERMANLANDS LÄN</t>
        </is>
      </c>
      <c r="E742" t="inlineStr">
        <is>
          <t>KATRINEHOLM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55795-2023</t>
        </is>
      </c>
      <c r="B743" s="1" t="n">
        <v>45239.54861111111</v>
      </c>
      <c r="C743" s="1" t="n">
        <v>45936</v>
      </c>
      <c r="D743" t="inlineStr">
        <is>
          <t>SÖDERMANLANDS LÄN</t>
        </is>
      </c>
      <c r="E743" t="inlineStr">
        <is>
          <t>KATRINEHOLM</t>
        </is>
      </c>
      <c r="G743" t="n">
        <v>7</v>
      </c>
      <c r="H743" t="n">
        <v>0</v>
      </c>
      <c r="I743" t="n">
        <v>0</v>
      </c>
      <c r="J743" t="n">
        <v>0</v>
      </c>
      <c r="K743" t="n">
        <v>0</v>
      </c>
      <c r="L743" t="n">
        <v>0</v>
      </c>
      <c r="M743" t="n">
        <v>0</v>
      </c>
      <c r="N743" t="n">
        <v>0</v>
      </c>
      <c r="O743" t="n">
        <v>0</v>
      </c>
      <c r="P743" t="n">
        <v>0</v>
      </c>
      <c r="Q743" t="n">
        <v>0</v>
      </c>
      <c r="R743" s="2" t="inlineStr"/>
    </row>
    <row r="744" ht="15" customHeight="1">
      <c r="A744" t="inlineStr">
        <is>
          <t>A 20768-2022</t>
        </is>
      </c>
      <c r="B744" s="1" t="n">
        <v>44701.36431712963</v>
      </c>
      <c r="C744" s="1" t="n">
        <v>45936</v>
      </c>
      <c r="D744" t="inlineStr">
        <is>
          <t>SÖDERMANLANDS LÄN</t>
        </is>
      </c>
      <c r="E744" t="inlineStr">
        <is>
          <t>KATRINEHOLM</t>
        </is>
      </c>
      <c r="G744" t="n">
        <v>3.5</v>
      </c>
      <c r="H744" t="n">
        <v>0</v>
      </c>
      <c r="I744" t="n">
        <v>0</v>
      </c>
      <c r="J744" t="n">
        <v>0</v>
      </c>
      <c r="K744" t="n">
        <v>0</v>
      </c>
      <c r="L744" t="n">
        <v>0</v>
      </c>
      <c r="M744" t="n">
        <v>0</v>
      </c>
      <c r="N744" t="n">
        <v>0</v>
      </c>
      <c r="O744" t="n">
        <v>0</v>
      </c>
      <c r="P744" t="n">
        <v>0</v>
      </c>
      <c r="Q744" t="n">
        <v>0</v>
      </c>
      <c r="R744" s="2" t="inlineStr"/>
    </row>
    <row r="745" ht="15" customHeight="1">
      <c r="A745" t="inlineStr">
        <is>
          <t>A 55846-2022</t>
        </is>
      </c>
      <c r="B745" s="1" t="n">
        <v>44888</v>
      </c>
      <c r="C745" s="1" t="n">
        <v>45936</v>
      </c>
      <c r="D745" t="inlineStr">
        <is>
          <t>SÖDERMANLANDS LÄN</t>
        </is>
      </c>
      <c r="E745" t="inlineStr">
        <is>
          <t>KATRINEHOLM</t>
        </is>
      </c>
      <c r="G745" t="n">
        <v>6.5</v>
      </c>
      <c r="H745" t="n">
        <v>0</v>
      </c>
      <c r="I745" t="n">
        <v>0</v>
      </c>
      <c r="J745" t="n">
        <v>0</v>
      </c>
      <c r="K745" t="n">
        <v>0</v>
      </c>
      <c r="L745" t="n">
        <v>0</v>
      </c>
      <c r="M745" t="n">
        <v>0</v>
      </c>
      <c r="N745" t="n">
        <v>0</v>
      </c>
      <c r="O745" t="n">
        <v>0</v>
      </c>
      <c r="P745" t="n">
        <v>0</v>
      </c>
      <c r="Q745" t="n">
        <v>0</v>
      </c>
      <c r="R745" s="2" t="inlineStr"/>
    </row>
    <row r="746" ht="15" customHeight="1">
      <c r="A746" t="inlineStr">
        <is>
          <t>A 34176-2025</t>
        </is>
      </c>
      <c r="B746" s="1" t="n">
        <v>45845</v>
      </c>
      <c r="C746" s="1" t="n">
        <v>45936</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19452-2023</t>
        </is>
      </c>
      <c r="B747" s="1" t="n">
        <v>45050</v>
      </c>
      <c r="C747" s="1" t="n">
        <v>45936</v>
      </c>
      <c r="D747" t="inlineStr">
        <is>
          <t>SÖDERMANLANDS LÄN</t>
        </is>
      </c>
      <c r="E747" t="inlineStr">
        <is>
          <t>KATRINEHOLM</t>
        </is>
      </c>
      <c r="F747" t="inlineStr">
        <is>
          <t>Holmen skog AB</t>
        </is>
      </c>
      <c r="G747" t="n">
        <v>4.7</v>
      </c>
      <c r="H747" t="n">
        <v>0</v>
      </c>
      <c r="I747" t="n">
        <v>0</v>
      </c>
      <c r="J747" t="n">
        <v>0</v>
      </c>
      <c r="K747" t="n">
        <v>0</v>
      </c>
      <c r="L747" t="n">
        <v>0</v>
      </c>
      <c r="M747" t="n">
        <v>0</v>
      </c>
      <c r="N747" t="n">
        <v>0</v>
      </c>
      <c r="O747" t="n">
        <v>0</v>
      </c>
      <c r="P747" t="n">
        <v>0</v>
      </c>
      <c r="Q747" t="n">
        <v>0</v>
      </c>
      <c r="R747" s="2" t="inlineStr"/>
    </row>
    <row r="748" ht="15" customHeight="1">
      <c r="A748" t="inlineStr">
        <is>
          <t>A 42474-2025</t>
        </is>
      </c>
      <c r="B748" s="1" t="n">
        <v>45905.46659722222</v>
      </c>
      <c r="C748" s="1" t="n">
        <v>45936</v>
      </c>
      <c r="D748" t="inlineStr">
        <is>
          <t>SÖDERMANLANDS LÄN</t>
        </is>
      </c>
      <c r="E748" t="inlineStr">
        <is>
          <t>KATRINEHOLM</t>
        </is>
      </c>
      <c r="G748" t="n">
        <v>4</v>
      </c>
      <c r="H748" t="n">
        <v>0</v>
      </c>
      <c r="I748" t="n">
        <v>0</v>
      </c>
      <c r="J748" t="n">
        <v>0</v>
      </c>
      <c r="K748" t="n">
        <v>0</v>
      </c>
      <c r="L748" t="n">
        <v>0</v>
      </c>
      <c r="M748" t="n">
        <v>0</v>
      </c>
      <c r="N748" t="n">
        <v>0</v>
      </c>
      <c r="O748" t="n">
        <v>0</v>
      </c>
      <c r="P748" t="n">
        <v>0</v>
      </c>
      <c r="Q748" t="n">
        <v>0</v>
      </c>
      <c r="R748" s="2" t="inlineStr"/>
    </row>
    <row r="749" ht="15" customHeight="1">
      <c r="A749" t="inlineStr">
        <is>
          <t>A 31719-2024</t>
        </is>
      </c>
      <c r="B749" s="1" t="n">
        <v>45509</v>
      </c>
      <c r="C749" s="1" t="n">
        <v>45936</v>
      </c>
      <c r="D749" t="inlineStr">
        <is>
          <t>SÖDERMANLANDS LÄN</t>
        </is>
      </c>
      <c r="E749" t="inlineStr">
        <is>
          <t>KATRINEHOLM</t>
        </is>
      </c>
      <c r="F749" t="inlineStr">
        <is>
          <t>Kyrkan</t>
        </is>
      </c>
      <c r="G749" t="n">
        <v>11.9</v>
      </c>
      <c r="H749" t="n">
        <v>0</v>
      </c>
      <c r="I749" t="n">
        <v>0</v>
      </c>
      <c r="J749" t="n">
        <v>0</v>
      </c>
      <c r="K749" t="n">
        <v>0</v>
      </c>
      <c r="L749" t="n">
        <v>0</v>
      </c>
      <c r="M749" t="n">
        <v>0</v>
      </c>
      <c r="N749" t="n">
        <v>0</v>
      </c>
      <c r="O749" t="n">
        <v>0</v>
      </c>
      <c r="P749" t="n">
        <v>0</v>
      </c>
      <c r="Q749" t="n">
        <v>0</v>
      </c>
      <c r="R749" s="2" t="inlineStr"/>
    </row>
    <row r="750" ht="15" customHeight="1">
      <c r="A750" t="inlineStr">
        <is>
          <t>A 43837-2022</t>
        </is>
      </c>
      <c r="B750" s="1" t="n">
        <v>44838</v>
      </c>
      <c r="C750" s="1" t="n">
        <v>45936</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51397-2023</t>
        </is>
      </c>
      <c r="B751" s="1" t="n">
        <v>45214</v>
      </c>
      <c r="C751" s="1" t="n">
        <v>45936</v>
      </c>
      <c r="D751" t="inlineStr">
        <is>
          <t>SÖDERMANLANDS LÄN</t>
        </is>
      </c>
      <c r="E751" t="inlineStr">
        <is>
          <t>KATRINEHOLM</t>
        </is>
      </c>
      <c r="G751" t="n">
        <v>4.9</v>
      </c>
      <c r="H751" t="n">
        <v>0</v>
      </c>
      <c r="I751" t="n">
        <v>0</v>
      </c>
      <c r="J751" t="n">
        <v>0</v>
      </c>
      <c r="K751" t="n">
        <v>0</v>
      </c>
      <c r="L751" t="n">
        <v>0</v>
      </c>
      <c r="M751" t="n">
        <v>0</v>
      </c>
      <c r="N751" t="n">
        <v>0</v>
      </c>
      <c r="O751" t="n">
        <v>0</v>
      </c>
      <c r="P751" t="n">
        <v>0</v>
      </c>
      <c r="Q751" t="n">
        <v>0</v>
      </c>
      <c r="R751" s="2" t="inlineStr"/>
    </row>
    <row r="752" ht="15" customHeight="1">
      <c r="A752" t="inlineStr">
        <is>
          <t>A 19670-2022</t>
        </is>
      </c>
      <c r="B752" s="1" t="n">
        <v>44694</v>
      </c>
      <c r="C752" s="1" t="n">
        <v>45936</v>
      </c>
      <c r="D752" t="inlineStr">
        <is>
          <t>SÖDERMANLANDS LÄN</t>
        </is>
      </c>
      <c r="E752" t="inlineStr">
        <is>
          <t>KATRINEHOLM</t>
        </is>
      </c>
      <c r="G752" t="n">
        <v>13.6</v>
      </c>
      <c r="H752" t="n">
        <v>0</v>
      </c>
      <c r="I752" t="n">
        <v>0</v>
      </c>
      <c r="J752" t="n">
        <v>0</v>
      </c>
      <c r="K752" t="n">
        <v>0</v>
      </c>
      <c r="L752" t="n">
        <v>0</v>
      </c>
      <c r="M752" t="n">
        <v>0</v>
      </c>
      <c r="N752" t="n">
        <v>0</v>
      </c>
      <c r="O752" t="n">
        <v>0</v>
      </c>
      <c r="P752" t="n">
        <v>0</v>
      </c>
      <c r="Q752" t="n">
        <v>0</v>
      </c>
      <c r="R752" s="2" t="inlineStr"/>
    </row>
    <row r="753" ht="15" customHeight="1">
      <c r="A753" t="inlineStr">
        <is>
          <t>A 6606-2022</t>
        </is>
      </c>
      <c r="B753" s="1" t="n">
        <v>44601</v>
      </c>
      <c r="C753" s="1" t="n">
        <v>45936</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4122-2023</t>
        </is>
      </c>
      <c r="B754" s="1" t="n">
        <v>44952</v>
      </c>
      <c r="C754" s="1" t="n">
        <v>45936</v>
      </c>
      <c r="D754" t="inlineStr">
        <is>
          <t>SÖDERMANLANDS LÄN</t>
        </is>
      </c>
      <c r="E754" t="inlineStr">
        <is>
          <t>KATRINEHOLM</t>
        </is>
      </c>
      <c r="G754" t="n">
        <v>9</v>
      </c>
      <c r="H754" t="n">
        <v>0</v>
      </c>
      <c r="I754" t="n">
        <v>0</v>
      </c>
      <c r="J754" t="n">
        <v>0</v>
      </c>
      <c r="K754" t="n">
        <v>0</v>
      </c>
      <c r="L754" t="n">
        <v>0</v>
      </c>
      <c r="M754" t="n">
        <v>0</v>
      </c>
      <c r="N754" t="n">
        <v>0</v>
      </c>
      <c r="O754" t="n">
        <v>0</v>
      </c>
      <c r="P754" t="n">
        <v>0</v>
      </c>
      <c r="Q754" t="n">
        <v>0</v>
      </c>
      <c r="R754" s="2" t="inlineStr"/>
    </row>
    <row r="755" ht="15" customHeight="1">
      <c r="A755" t="inlineStr">
        <is>
          <t>A 23347-2023</t>
        </is>
      </c>
      <c r="B755" s="1" t="n">
        <v>45076</v>
      </c>
      <c r="C755" s="1" t="n">
        <v>45936</v>
      </c>
      <c r="D755" t="inlineStr">
        <is>
          <t>SÖDERMANLANDS LÄN</t>
        </is>
      </c>
      <c r="E755" t="inlineStr">
        <is>
          <t>KATRINEHOLM</t>
        </is>
      </c>
      <c r="G755" t="n">
        <v>4.3</v>
      </c>
      <c r="H755" t="n">
        <v>0</v>
      </c>
      <c r="I755" t="n">
        <v>0</v>
      </c>
      <c r="J755" t="n">
        <v>0</v>
      </c>
      <c r="K755" t="n">
        <v>0</v>
      </c>
      <c r="L755" t="n">
        <v>0</v>
      </c>
      <c r="M755" t="n">
        <v>0</v>
      </c>
      <c r="N755" t="n">
        <v>0</v>
      </c>
      <c r="O755" t="n">
        <v>0</v>
      </c>
      <c r="P755" t="n">
        <v>0</v>
      </c>
      <c r="Q755" t="n">
        <v>0</v>
      </c>
      <c r="R755" s="2" t="inlineStr"/>
    </row>
    <row r="756" ht="15" customHeight="1">
      <c r="A756" t="inlineStr">
        <is>
          <t>A 23916-2023</t>
        </is>
      </c>
      <c r="B756" s="1" t="n">
        <v>45075</v>
      </c>
      <c r="C756" s="1" t="n">
        <v>45936</v>
      </c>
      <c r="D756" t="inlineStr">
        <is>
          <t>SÖDERMANLANDS LÄN</t>
        </is>
      </c>
      <c r="E756" t="inlineStr">
        <is>
          <t>KATRINEHOLM</t>
        </is>
      </c>
      <c r="G756" t="n">
        <v>8</v>
      </c>
      <c r="H756" t="n">
        <v>0</v>
      </c>
      <c r="I756" t="n">
        <v>0</v>
      </c>
      <c r="J756" t="n">
        <v>0</v>
      </c>
      <c r="K756" t="n">
        <v>0</v>
      </c>
      <c r="L756" t="n">
        <v>0</v>
      </c>
      <c r="M756" t="n">
        <v>0</v>
      </c>
      <c r="N756" t="n">
        <v>0</v>
      </c>
      <c r="O756" t="n">
        <v>0</v>
      </c>
      <c r="P756" t="n">
        <v>0</v>
      </c>
      <c r="Q756" t="n">
        <v>0</v>
      </c>
      <c r="R756" s="2" t="inlineStr"/>
    </row>
    <row r="757" ht="15" customHeight="1">
      <c r="A757" t="inlineStr">
        <is>
          <t>A 42799-2025</t>
        </is>
      </c>
      <c r="B757" s="1" t="n">
        <v>45907</v>
      </c>
      <c r="C757" s="1" t="n">
        <v>45936</v>
      </c>
      <c r="D757" t="inlineStr">
        <is>
          <t>SÖDERMANLANDS LÄN</t>
        </is>
      </c>
      <c r="E757" t="inlineStr">
        <is>
          <t>KATRINEHOLM</t>
        </is>
      </c>
      <c r="G757" t="n">
        <v>3.9</v>
      </c>
      <c r="H757" t="n">
        <v>0</v>
      </c>
      <c r="I757" t="n">
        <v>0</v>
      </c>
      <c r="J757" t="n">
        <v>0</v>
      </c>
      <c r="K757" t="n">
        <v>0</v>
      </c>
      <c r="L757" t="n">
        <v>0</v>
      </c>
      <c r="M757" t="n">
        <v>0</v>
      </c>
      <c r="N757" t="n">
        <v>0</v>
      </c>
      <c r="O757" t="n">
        <v>0</v>
      </c>
      <c r="P757" t="n">
        <v>0</v>
      </c>
      <c r="Q757" t="n">
        <v>0</v>
      </c>
      <c r="R757" s="2" t="inlineStr"/>
    </row>
    <row r="758" ht="15" customHeight="1">
      <c r="A758" t="inlineStr">
        <is>
          <t>A 33278-2024</t>
        </is>
      </c>
      <c r="B758" s="1" t="n">
        <v>45518</v>
      </c>
      <c r="C758" s="1" t="n">
        <v>45936</v>
      </c>
      <c r="D758" t="inlineStr">
        <is>
          <t>SÖDERMANLANDS LÄN</t>
        </is>
      </c>
      <c r="E758" t="inlineStr">
        <is>
          <t>KATRINEHOLM</t>
        </is>
      </c>
      <c r="G758" t="n">
        <v>2.1</v>
      </c>
      <c r="H758" t="n">
        <v>0</v>
      </c>
      <c r="I758" t="n">
        <v>0</v>
      </c>
      <c r="J758" t="n">
        <v>0</v>
      </c>
      <c r="K758" t="n">
        <v>0</v>
      </c>
      <c r="L758" t="n">
        <v>0</v>
      </c>
      <c r="M758" t="n">
        <v>0</v>
      </c>
      <c r="N758" t="n">
        <v>0</v>
      </c>
      <c r="O758" t="n">
        <v>0</v>
      </c>
      <c r="P758" t="n">
        <v>0</v>
      </c>
      <c r="Q758" t="n">
        <v>0</v>
      </c>
      <c r="R758" s="2" t="inlineStr"/>
    </row>
    <row r="759" ht="15" customHeight="1">
      <c r="A759" t="inlineStr">
        <is>
          <t>A 44024-2021</t>
        </is>
      </c>
      <c r="B759" s="1" t="n">
        <v>44434</v>
      </c>
      <c r="C759" s="1" t="n">
        <v>45936</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42686-2025</t>
        </is>
      </c>
      <c r="B760" s="1" t="n">
        <v>45908.35550925926</v>
      </c>
      <c r="C760" s="1" t="n">
        <v>45936</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40186-2023</t>
        </is>
      </c>
      <c r="B761" s="1" t="n">
        <v>45169</v>
      </c>
      <c r="C761" s="1" t="n">
        <v>45936</v>
      </c>
      <c r="D761" t="inlineStr">
        <is>
          <t>SÖDERMANLANDS LÄN</t>
        </is>
      </c>
      <c r="E761" t="inlineStr">
        <is>
          <t>KATRINEHOLM</t>
        </is>
      </c>
      <c r="G761" t="n">
        <v>2.1</v>
      </c>
      <c r="H761" t="n">
        <v>0</v>
      </c>
      <c r="I761" t="n">
        <v>0</v>
      </c>
      <c r="J761" t="n">
        <v>0</v>
      </c>
      <c r="K761" t="n">
        <v>0</v>
      </c>
      <c r="L761" t="n">
        <v>0</v>
      </c>
      <c r="M761" t="n">
        <v>0</v>
      </c>
      <c r="N761" t="n">
        <v>0</v>
      </c>
      <c r="O761" t="n">
        <v>0</v>
      </c>
      <c r="P761" t="n">
        <v>0</v>
      </c>
      <c r="Q761" t="n">
        <v>0</v>
      </c>
      <c r="R761" s="2" t="inlineStr"/>
    </row>
    <row r="762" ht="15" customHeight="1">
      <c r="A762" t="inlineStr">
        <is>
          <t>A 41632-2025</t>
        </is>
      </c>
      <c r="B762" s="1" t="n">
        <v>45901</v>
      </c>
      <c r="C762" s="1" t="n">
        <v>45936</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49700-2022</t>
        </is>
      </c>
      <c r="B763" s="1" t="n">
        <v>44862</v>
      </c>
      <c r="C763" s="1" t="n">
        <v>45936</v>
      </c>
      <c r="D763" t="inlineStr">
        <is>
          <t>SÖDERMANLANDS LÄN</t>
        </is>
      </c>
      <c r="E763" t="inlineStr">
        <is>
          <t>KATRINEHOLM</t>
        </is>
      </c>
      <c r="G763" t="n">
        <v>19.5</v>
      </c>
      <c r="H763" t="n">
        <v>0</v>
      </c>
      <c r="I763" t="n">
        <v>0</v>
      </c>
      <c r="J763" t="n">
        <v>0</v>
      </c>
      <c r="K763" t="n">
        <v>0</v>
      </c>
      <c r="L763" t="n">
        <v>0</v>
      </c>
      <c r="M763" t="n">
        <v>0</v>
      </c>
      <c r="N763" t="n">
        <v>0</v>
      </c>
      <c r="O763" t="n">
        <v>0</v>
      </c>
      <c r="P763" t="n">
        <v>0</v>
      </c>
      <c r="Q763" t="n">
        <v>0</v>
      </c>
      <c r="R763" s="2" t="inlineStr"/>
    </row>
    <row r="764" ht="15" customHeight="1">
      <c r="A764" t="inlineStr">
        <is>
          <t>A 27955-2023</t>
        </is>
      </c>
      <c r="B764" s="1" t="n">
        <v>45098</v>
      </c>
      <c r="C764" s="1" t="n">
        <v>45936</v>
      </c>
      <c r="D764" t="inlineStr">
        <is>
          <t>SÖDERMANLANDS LÄN</t>
        </is>
      </c>
      <c r="E764" t="inlineStr">
        <is>
          <t>KATRINEHOLM</t>
        </is>
      </c>
      <c r="G764" t="n">
        <v>5.9</v>
      </c>
      <c r="H764" t="n">
        <v>0</v>
      </c>
      <c r="I764" t="n">
        <v>0</v>
      </c>
      <c r="J764" t="n">
        <v>0</v>
      </c>
      <c r="K764" t="n">
        <v>0</v>
      </c>
      <c r="L764" t="n">
        <v>0</v>
      </c>
      <c r="M764" t="n">
        <v>0</v>
      </c>
      <c r="N764" t="n">
        <v>0</v>
      </c>
      <c r="O764" t="n">
        <v>0</v>
      </c>
      <c r="P764" t="n">
        <v>0</v>
      </c>
      <c r="Q764" t="n">
        <v>0</v>
      </c>
      <c r="R764" s="2" t="inlineStr"/>
    </row>
    <row r="765" ht="15" customHeight="1">
      <c r="A765" t="inlineStr">
        <is>
          <t>A 33141-2023</t>
        </is>
      </c>
      <c r="B765" s="1" t="n">
        <v>45126.65491898148</v>
      </c>
      <c r="C765" s="1" t="n">
        <v>45936</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46899-2022</t>
        </is>
      </c>
      <c r="B766" s="1" t="n">
        <v>44848</v>
      </c>
      <c r="C766" s="1" t="n">
        <v>45936</v>
      </c>
      <c r="D766" t="inlineStr">
        <is>
          <t>SÖDERMANLANDS LÄN</t>
        </is>
      </c>
      <c r="E766" t="inlineStr">
        <is>
          <t>KATRINEHOLM</t>
        </is>
      </c>
      <c r="G766" t="n">
        <v>2</v>
      </c>
      <c r="H766" t="n">
        <v>0</v>
      </c>
      <c r="I766" t="n">
        <v>0</v>
      </c>
      <c r="J766" t="n">
        <v>0</v>
      </c>
      <c r="K766" t="n">
        <v>0</v>
      </c>
      <c r="L766" t="n">
        <v>0</v>
      </c>
      <c r="M766" t="n">
        <v>0</v>
      </c>
      <c r="N766" t="n">
        <v>0</v>
      </c>
      <c r="O766" t="n">
        <v>0</v>
      </c>
      <c r="P766" t="n">
        <v>0</v>
      </c>
      <c r="Q766" t="n">
        <v>0</v>
      </c>
      <c r="R766" s="2" t="inlineStr"/>
    </row>
    <row r="767" ht="15" customHeight="1">
      <c r="A767" t="inlineStr">
        <is>
          <t>A 9714-2024</t>
        </is>
      </c>
      <c r="B767" s="1" t="n">
        <v>45362</v>
      </c>
      <c r="C767" s="1" t="n">
        <v>45936</v>
      </c>
      <c r="D767" t="inlineStr">
        <is>
          <t>SÖDERMANLANDS LÄN</t>
        </is>
      </c>
      <c r="E767" t="inlineStr">
        <is>
          <t>KATRINEHOLM</t>
        </is>
      </c>
      <c r="G767" t="n">
        <v>4</v>
      </c>
      <c r="H767" t="n">
        <v>0</v>
      </c>
      <c r="I767" t="n">
        <v>0</v>
      </c>
      <c r="J767" t="n">
        <v>0</v>
      </c>
      <c r="K767" t="n">
        <v>0</v>
      </c>
      <c r="L767" t="n">
        <v>0</v>
      </c>
      <c r="M767" t="n">
        <v>0</v>
      </c>
      <c r="N767" t="n">
        <v>0</v>
      </c>
      <c r="O767" t="n">
        <v>0</v>
      </c>
      <c r="P767" t="n">
        <v>0</v>
      </c>
      <c r="Q767" t="n">
        <v>0</v>
      </c>
      <c r="R767" s="2" t="inlineStr"/>
    </row>
    <row r="768" ht="15" customHeight="1">
      <c r="A768" t="inlineStr">
        <is>
          <t>A 41793-2025</t>
        </is>
      </c>
      <c r="B768" s="1" t="n">
        <v>45902</v>
      </c>
      <c r="C768" s="1" t="n">
        <v>45936</v>
      </c>
      <c r="D768" t="inlineStr">
        <is>
          <t>SÖDERMANLANDS LÄN</t>
        </is>
      </c>
      <c r="E768" t="inlineStr">
        <is>
          <t>KATRINEHOLM</t>
        </is>
      </c>
      <c r="G768" t="n">
        <v>1.1</v>
      </c>
      <c r="H768" t="n">
        <v>0</v>
      </c>
      <c r="I768" t="n">
        <v>0</v>
      </c>
      <c r="J768" t="n">
        <v>0</v>
      </c>
      <c r="K768" t="n">
        <v>0</v>
      </c>
      <c r="L768" t="n">
        <v>0</v>
      </c>
      <c r="M768" t="n">
        <v>0</v>
      </c>
      <c r="N768" t="n">
        <v>0</v>
      </c>
      <c r="O768" t="n">
        <v>0</v>
      </c>
      <c r="P768" t="n">
        <v>0</v>
      </c>
      <c r="Q768" t="n">
        <v>0</v>
      </c>
      <c r="R768" s="2" t="inlineStr"/>
    </row>
    <row r="769" ht="15" customHeight="1">
      <c r="A769" t="inlineStr">
        <is>
          <t>A 39897-2023</t>
        </is>
      </c>
      <c r="B769" s="1" t="n">
        <v>45168</v>
      </c>
      <c r="C769" s="1" t="n">
        <v>45936</v>
      </c>
      <c r="D769" t="inlineStr">
        <is>
          <t>SÖDERMANLANDS LÄN</t>
        </is>
      </c>
      <c r="E769" t="inlineStr">
        <is>
          <t>KATRINEHOLM</t>
        </is>
      </c>
      <c r="G769" t="n">
        <v>15.6</v>
      </c>
      <c r="H769" t="n">
        <v>0</v>
      </c>
      <c r="I769" t="n">
        <v>0</v>
      </c>
      <c r="J769" t="n">
        <v>0</v>
      </c>
      <c r="K769" t="n">
        <v>0</v>
      </c>
      <c r="L769" t="n">
        <v>0</v>
      </c>
      <c r="M769" t="n">
        <v>0</v>
      </c>
      <c r="N769" t="n">
        <v>0</v>
      </c>
      <c r="O769" t="n">
        <v>0</v>
      </c>
      <c r="P769" t="n">
        <v>0</v>
      </c>
      <c r="Q769" t="n">
        <v>0</v>
      </c>
      <c r="R769" s="2" t="inlineStr"/>
    </row>
    <row r="770" ht="15" customHeight="1">
      <c r="A770" t="inlineStr">
        <is>
          <t>A 2735-2025</t>
        </is>
      </c>
      <c r="B770" s="1" t="n">
        <v>45677</v>
      </c>
      <c r="C770" s="1" t="n">
        <v>45936</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20326-2023</t>
        </is>
      </c>
      <c r="B771" s="1" t="n">
        <v>45056.46821759259</v>
      </c>
      <c r="C771" s="1" t="n">
        <v>45936</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67337-2021</t>
        </is>
      </c>
      <c r="B772" s="1" t="n">
        <v>44523</v>
      </c>
      <c r="C772" s="1" t="n">
        <v>45936</v>
      </c>
      <c r="D772" t="inlineStr">
        <is>
          <t>SÖDERMANLANDS LÄN</t>
        </is>
      </c>
      <c r="E772" t="inlineStr">
        <is>
          <t>KATRINEHOLM</t>
        </is>
      </c>
      <c r="G772" t="n">
        <v>5.2</v>
      </c>
      <c r="H772" t="n">
        <v>0</v>
      </c>
      <c r="I772" t="n">
        <v>0</v>
      </c>
      <c r="J772" t="n">
        <v>0</v>
      </c>
      <c r="K772" t="n">
        <v>0</v>
      </c>
      <c r="L772" t="n">
        <v>0</v>
      </c>
      <c r="M772" t="n">
        <v>0</v>
      </c>
      <c r="N772" t="n">
        <v>0</v>
      </c>
      <c r="O772" t="n">
        <v>0</v>
      </c>
      <c r="P772" t="n">
        <v>0</v>
      </c>
      <c r="Q772" t="n">
        <v>0</v>
      </c>
      <c r="R772" s="2" t="inlineStr"/>
    </row>
    <row r="773">
      <c r="A773" t="inlineStr">
        <is>
          <t>A 9044-2022</t>
        </is>
      </c>
      <c r="B773" s="1" t="n">
        <v>44602</v>
      </c>
      <c r="C773" s="1" t="n">
        <v>45936</v>
      </c>
      <c r="D773" t="inlineStr">
        <is>
          <t>SÖDERMANLANDS LÄN</t>
        </is>
      </c>
      <c r="E773" t="inlineStr">
        <is>
          <t>KATRINEHOLM</t>
        </is>
      </c>
      <c r="G773" t="n">
        <v>5.8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2025-10-06T12:33:32Z</dcterms:created>
  <dcterms:modified xmlns:dcterms="http://purl.org/dc/terms/" xmlns:xsi="http://www.w3.org/2001/XMLSchema-instance" xsi:type="dcterms:W3CDTF">2025-10-06T12:33:32Z</dcterms:modified>
</cp:coreProperties>
</file>