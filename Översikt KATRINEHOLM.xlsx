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46059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46059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46059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46059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46059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46059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46059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46059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46059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46059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46059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46059</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46059</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58684-2025</t>
        </is>
      </c>
      <c r="B15" s="1" t="n">
        <v>45986.56953703704</v>
      </c>
      <c r="C15" s="1" t="n">
        <v>46059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46059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46059</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61384-2021</t>
        </is>
      </c>
      <c r="B18" s="1" t="n">
        <v>44500</v>
      </c>
      <c r="C18" s="1" t="n">
        <v>46059</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70501-2021</t>
        </is>
      </c>
      <c r="B19" s="1" t="n">
        <v>44536</v>
      </c>
      <c r="C19" s="1" t="n">
        <v>46059</v>
      </c>
      <c r="D19" t="inlineStr">
        <is>
          <t>SÖDERMANLANDS LÄN</t>
        </is>
      </c>
      <c r="E19" t="inlineStr">
        <is>
          <t>KATRINEHOLM</t>
        </is>
      </c>
      <c r="G19" t="n">
        <v>5.8</v>
      </c>
      <c r="H19" t="n">
        <v>0</v>
      </c>
      <c r="I19" t="n">
        <v>1</v>
      </c>
      <c r="J19" t="n">
        <v>1</v>
      </c>
      <c r="K19" t="n">
        <v>0</v>
      </c>
      <c r="L19" t="n">
        <v>0</v>
      </c>
      <c r="M19" t="n">
        <v>0</v>
      </c>
      <c r="N19" t="n">
        <v>0</v>
      </c>
      <c r="O19" t="n">
        <v>1</v>
      </c>
      <c r="P19" t="n">
        <v>0</v>
      </c>
      <c r="Q19" t="n">
        <v>2</v>
      </c>
      <c r="R19" s="2" t="inlineStr">
        <is>
          <t>Tallticka
Grovticka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row>
    <row r="20" ht="15" customHeight="1">
      <c r="A20" t="inlineStr">
        <is>
          <t>A 37537-2022</t>
        </is>
      </c>
      <c r="B20" s="1" t="n">
        <v>44809</v>
      </c>
      <c r="C20" s="1" t="n">
        <v>46059</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46059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46059</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46059</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46059</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1150-2025</t>
        </is>
      </c>
      <c r="B25" s="1" t="n">
        <v>45666</v>
      </c>
      <c r="C25" s="1" t="n">
        <v>46059</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46059</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24718-2025</t>
        </is>
      </c>
      <c r="B27" s="1" t="n">
        <v>45799</v>
      </c>
      <c r="C27" s="1" t="n">
        <v>46059</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46059</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46059</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46059</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46059</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46059</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11890-2023</t>
        </is>
      </c>
      <c r="B33" s="1" t="n">
        <v>44995</v>
      </c>
      <c r="C33" s="1" t="n">
        <v>46059</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33801-2023</t>
        </is>
      </c>
      <c r="B34" s="1" t="n">
        <v>45133</v>
      </c>
      <c r="C34" s="1" t="n">
        <v>46059</v>
      </c>
      <c r="D34" t="inlineStr">
        <is>
          <t>SÖDERMANLANDS LÄN</t>
        </is>
      </c>
      <c r="E34" t="inlineStr">
        <is>
          <t>KATRINEHOLM</t>
        </is>
      </c>
      <c r="G34" t="n">
        <v>2.1</v>
      </c>
      <c r="H34" t="n">
        <v>1</v>
      </c>
      <c r="I34" t="n">
        <v>0</v>
      </c>
      <c r="J34" t="n">
        <v>0</v>
      </c>
      <c r="K34" t="n">
        <v>0</v>
      </c>
      <c r="L34" t="n">
        <v>0</v>
      </c>
      <c r="M34" t="n">
        <v>0</v>
      </c>
      <c r="N34" t="n">
        <v>0</v>
      </c>
      <c r="O34" t="n">
        <v>0</v>
      </c>
      <c r="P34" t="n">
        <v>0</v>
      </c>
      <c r="Q34" t="n">
        <v>1</v>
      </c>
      <c r="R34" s="2" t="inlineStr">
        <is>
          <t>Blåsippa</t>
        </is>
      </c>
      <c r="S34">
        <f>HYPERLINK("https://klasma.github.io/Logging_0483/artfynd/A 33801-2023 artfynd.xlsx", "A 33801-2023")</f>
        <v/>
      </c>
      <c r="T34">
        <f>HYPERLINK("https://klasma.github.io/Logging_0483/kartor/A 33801-2023 karta.png", "A 33801-2023")</f>
        <v/>
      </c>
      <c r="V34">
        <f>HYPERLINK("https://klasma.github.io/Logging_0483/klagomål/A 33801-2023 FSC-klagomål.docx", "A 33801-2023")</f>
        <v/>
      </c>
      <c r="W34">
        <f>HYPERLINK("https://klasma.github.io/Logging_0483/klagomålsmail/A 33801-2023 FSC-klagomål mail.docx", "A 33801-2023")</f>
        <v/>
      </c>
      <c r="X34">
        <f>HYPERLINK("https://klasma.github.io/Logging_0483/tillsyn/A 33801-2023 tillsynsbegäran.docx", "A 33801-2023")</f>
        <v/>
      </c>
      <c r="Y34">
        <f>HYPERLINK("https://klasma.github.io/Logging_0483/tillsynsmail/A 33801-2023 tillsynsbegäran mail.docx", "A 33801-2023")</f>
        <v/>
      </c>
    </row>
    <row r="35" ht="15" customHeight="1">
      <c r="A35" t="inlineStr">
        <is>
          <t>A 36220-2022</t>
        </is>
      </c>
      <c r="B35" s="1" t="n">
        <v>44803</v>
      </c>
      <c r="C35" s="1" t="n">
        <v>46059</v>
      </c>
      <c r="D35" t="inlineStr">
        <is>
          <t>SÖDERMANLANDS LÄN</t>
        </is>
      </c>
      <c r="E35" t="inlineStr">
        <is>
          <t>KATRINEHOLM</t>
        </is>
      </c>
      <c r="G35" t="n">
        <v>3.1</v>
      </c>
      <c r="H35" t="n">
        <v>0</v>
      </c>
      <c r="I35" t="n">
        <v>1</v>
      </c>
      <c r="J35" t="n">
        <v>0</v>
      </c>
      <c r="K35" t="n">
        <v>0</v>
      </c>
      <c r="L35" t="n">
        <v>0</v>
      </c>
      <c r="M35" t="n">
        <v>0</v>
      </c>
      <c r="N35" t="n">
        <v>0</v>
      </c>
      <c r="O35" t="n">
        <v>0</v>
      </c>
      <c r="P35" t="n">
        <v>0</v>
      </c>
      <c r="Q35" t="n">
        <v>1</v>
      </c>
      <c r="R35" s="2" t="inlineStr">
        <is>
          <t>Granbräken</t>
        </is>
      </c>
      <c r="S35">
        <f>HYPERLINK("https://klasma.github.io/Logging_0483/artfynd/A 36220-2022 artfynd.xlsx", "A 36220-2022")</f>
        <v/>
      </c>
      <c r="T35">
        <f>HYPERLINK("https://klasma.github.io/Logging_0483/kartor/A 36220-2022 karta.png", "A 36220-2022")</f>
        <v/>
      </c>
      <c r="V35">
        <f>HYPERLINK("https://klasma.github.io/Logging_0483/klagomål/A 36220-2022 FSC-klagomål.docx", "A 36220-2022")</f>
        <v/>
      </c>
      <c r="W35">
        <f>HYPERLINK("https://klasma.github.io/Logging_0483/klagomålsmail/A 36220-2022 FSC-klagomål mail.docx", "A 36220-2022")</f>
        <v/>
      </c>
      <c r="X35">
        <f>HYPERLINK("https://klasma.github.io/Logging_0483/tillsyn/A 36220-2022 tillsynsbegäran.docx", "A 36220-2022")</f>
        <v/>
      </c>
      <c r="Y35">
        <f>HYPERLINK("https://klasma.github.io/Logging_0483/tillsynsmail/A 36220-2022 tillsynsbegäran mail.docx", "A 36220-2022")</f>
        <v/>
      </c>
    </row>
    <row r="36" ht="15" customHeight="1">
      <c r="A36" t="inlineStr">
        <is>
          <t>A 42055-2025</t>
        </is>
      </c>
      <c r="B36" s="1" t="n">
        <v>45903</v>
      </c>
      <c r="C36" s="1" t="n">
        <v>46059</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45530-2023</t>
        </is>
      </c>
      <c r="B37" s="1" t="n">
        <v>45188</v>
      </c>
      <c r="C37" s="1" t="n">
        <v>46059</v>
      </c>
      <c r="D37" t="inlineStr">
        <is>
          <t>SÖDERMANLANDS LÄN</t>
        </is>
      </c>
      <c r="E37" t="inlineStr">
        <is>
          <t>KATRINEHOLM</t>
        </is>
      </c>
      <c r="F37" t="inlineStr">
        <is>
          <t>Allmännings- och besparingsskogar</t>
        </is>
      </c>
      <c r="G37" t="n">
        <v>37</v>
      </c>
      <c r="H37" t="n">
        <v>1</v>
      </c>
      <c r="I37" t="n">
        <v>0</v>
      </c>
      <c r="J37" t="n">
        <v>0</v>
      </c>
      <c r="K37" t="n">
        <v>0</v>
      </c>
      <c r="L37" t="n">
        <v>0</v>
      </c>
      <c r="M37" t="n">
        <v>0</v>
      </c>
      <c r="N37" t="n">
        <v>0</v>
      </c>
      <c r="O37" t="n">
        <v>0</v>
      </c>
      <c r="P37" t="n">
        <v>0</v>
      </c>
      <c r="Q37" t="n">
        <v>1</v>
      </c>
      <c r="R37" s="2" t="inlineStr">
        <is>
          <t>Fläcknycklar</t>
        </is>
      </c>
      <c r="S37">
        <f>HYPERLINK("https://klasma.github.io/Logging_0483/artfynd/A 45530-2023 artfynd.xlsx", "A 45530-2023")</f>
        <v/>
      </c>
      <c r="T37">
        <f>HYPERLINK("https://klasma.github.io/Logging_0483/kartor/A 45530-2023 karta.png", "A 45530-2023")</f>
        <v/>
      </c>
      <c r="V37">
        <f>HYPERLINK("https://klasma.github.io/Logging_0483/klagomål/A 45530-2023 FSC-klagomål.docx", "A 45530-2023")</f>
        <v/>
      </c>
      <c r="W37">
        <f>HYPERLINK("https://klasma.github.io/Logging_0483/klagomålsmail/A 45530-2023 FSC-klagomål mail.docx", "A 45530-2023")</f>
        <v/>
      </c>
      <c r="X37">
        <f>HYPERLINK("https://klasma.github.io/Logging_0483/tillsyn/A 45530-2023 tillsynsbegäran.docx", "A 45530-2023")</f>
        <v/>
      </c>
      <c r="Y37">
        <f>HYPERLINK("https://klasma.github.io/Logging_0483/tillsynsmail/A 45530-2023 tillsynsbegäran mail.docx", "A 45530-2023")</f>
        <v/>
      </c>
    </row>
    <row r="38" ht="15" customHeight="1">
      <c r="A38" t="inlineStr">
        <is>
          <t>A 1260-2026</t>
        </is>
      </c>
      <c r="B38" s="1" t="n">
        <v>46031.45652777778</v>
      </c>
      <c r="C38" s="1" t="n">
        <v>46059</v>
      </c>
      <c r="D38" t="inlineStr">
        <is>
          <t>SÖDERMANLANDS LÄN</t>
        </is>
      </c>
      <c r="E38" t="inlineStr">
        <is>
          <t>KATRINEHOLM</t>
        </is>
      </c>
      <c r="G38" t="n">
        <v>9.1</v>
      </c>
      <c r="H38" t="n">
        <v>1</v>
      </c>
      <c r="I38" t="n">
        <v>0</v>
      </c>
      <c r="J38" t="n">
        <v>1</v>
      </c>
      <c r="K38" t="n">
        <v>0</v>
      </c>
      <c r="L38" t="n">
        <v>0</v>
      </c>
      <c r="M38" t="n">
        <v>0</v>
      </c>
      <c r="N38" t="n">
        <v>0</v>
      </c>
      <c r="O38" t="n">
        <v>1</v>
      </c>
      <c r="P38" t="n">
        <v>0</v>
      </c>
      <c r="Q38" t="n">
        <v>1</v>
      </c>
      <c r="R38" s="2" t="inlineStr">
        <is>
          <t>Spillkråka</t>
        </is>
      </c>
      <c r="S38">
        <f>HYPERLINK("https://klasma.github.io/Logging_0483/artfynd/A 1260-2026 artfynd.xlsx", "A 1260-2026")</f>
        <v/>
      </c>
      <c r="T38">
        <f>HYPERLINK("https://klasma.github.io/Logging_0483/kartor/A 1260-2026 karta.png", "A 1260-2026")</f>
        <v/>
      </c>
      <c r="V38">
        <f>HYPERLINK("https://klasma.github.io/Logging_0483/klagomål/A 1260-2026 FSC-klagomål.docx", "A 1260-2026")</f>
        <v/>
      </c>
      <c r="W38">
        <f>HYPERLINK("https://klasma.github.io/Logging_0483/klagomålsmail/A 1260-2026 FSC-klagomål mail.docx", "A 1260-2026")</f>
        <v/>
      </c>
      <c r="X38">
        <f>HYPERLINK("https://klasma.github.io/Logging_0483/tillsyn/A 1260-2026 tillsynsbegäran.docx", "A 1260-2026")</f>
        <v/>
      </c>
      <c r="Y38">
        <f>HYPERLINK("https://klasma.github.io/Logging_0483/tillsynsmail/A 1260-2026 tillsynsbegäran mail.docx", "A 1260-2026")</f>
        <v/>
      </c>
      <c r="Z38">
        <f>HYPERLINK("https://klasma.github.io/Logging_0483/fåglar/A 1260-2026 prioriterade fågelarter.docx", "A 1260-2026")</f>
        <v/>
      </c>
    </row>
    <row r="39" ht="15" customHeight="1">
      <c r="A39" t="inlineStr">
        <is>
          <t>A 56074-2022</t>
        </is>
      </c>
      <c r="B39" s="1" t="n">
        <v>44889</v>
      </c>
      <c r="C39" s="1" t="n">
        <v>46059</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41980-2025</t>
        </is>
      </c>
      <c r="B40" s="1" t="n">
        <v>45903</v>
      </c>
      <c r="C40" s="1" t="n">
        <v>46059</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48199-2025</t>
        </is>
      </c>
      <c r="B41" s="1" t="n">
        <v>45933.47856481482</v>
      </c>
      <c r="C41" s="1" t="n">
        <v>46059</v>
      </c>
      <c r="D41" t="inlineStr">
        <is>
          <t>SÖDERMANLANDS LÄN</t>
        </is>
      </c>
      <c r="E41" t="inlineStr">
        <is>
          <t>KATRINEHOLM</t>
        </is>
      </c>
      <c r="G41" t="n">
        <v>4.4</v>
      </c>
      <c r="H41" t="n">
        <v>1</v>
      </c>
      <c r="I41" t="n">
        <v>0</v>
      </c>
      <c r="J41" t="n">
        <v>0</v>
      </c>
      <c r="K41" t="n">
        <v>0</v>
      </c>
      <c r="L41" t="n">
        <v>0</v>
      </c>
      <c r="M41" t="n">
        <v>0</v>
      </c>
      <c r="N41" t="n">
        <v>0</v>
      </c>
      <c r="O41" t="n">
        <v>0</v>
      </c>
      <c r="P41" t="n">
        <v>0</v>
      </c>
      <c r="Q41" t="n">
        <v>1</v>
      </c>
      <c r="R41" s="2" t="inlineStr">
        <is>
          <t>Gröngöling</t>
        </is>
      </c>
      <c r="S41">
        <f>HYPERLINK("https://klasma.github.io/Logging_0483/artfynd/A 48199-2025 artfynd.xlsx", "A 48199-2025")</f>
        <v/>
      </c>
      <c r="T41">
        <f>HYPERLINK("https://klasma.github.io/Logging_0483/kartor/A 48199-2025 karta.png", "A 48199-2025")</f>
        <v/>
      </c>
      <c r="V41">
        <f>HYPERLINK("https://klasma.github.io/Logging_0483/klagomål/A 48199-2025 FSC-klagomål.docx", "A 48199-2025")</f>
        <v/>
      </c>
      <c r="W41">
        <f>HYPERLINK("https://klasma.github.io/Logging_0483/klagomålsmail/A 48199-2025 FSC-klagomål mail.docx", "A 48199-2025")</f>
        <v/>
      </c>
      <c r="X41">
        <f>HYPERLINK("https://klasma.github.io/Logging_0483/tillsyn/A 48199-2025 tillsynsbegäran.docx", "A 48199-2025")</f>
        <v/>
      </c>
      <c r="Y41">
        <f>HYPERLINK("https://klasma.github.io/Logging_0483/tillsynsmail/A 48199-2025 tillsynsbegäran mail.docx", "A 48199-2025")</f>
        <v/>
      </c>
      <c r="Z41">
        <f>HYPERLINK("https://klasma.github.io/Logging_0483/fåglar/A 48199-2025 prioriterade fågelarter.docx", "A 48199-2025")</f>
        <v/>
      </c>
    </row>
    <row r="42" ht="15" customHeight="1">
      <c r="A42" t="inlineStr">
        <is>
          <t>A 8917-2024</t>
        </is>
      </c>
      <c r="B42" s="1" t="n">
        <v>45357.37618055556</v>
      </c>
      <c r="C42" s="1" t="n">
        <v>46059</v>
      </c>
      <c r="D42" t="inlineStr">
        <is>
          <t>SÖDERMANLANDS LÄN</t>
        </is>
      </c>
      <c r="E42" t="inlineStr">
        <is>
          <t>KATRINEHOLM</t>
        </is>
      </c>
      <c r="G42" t="n">
        <v>3</v>
      </c>
      <c r="H42" t="n">
        <v>1</v>
      </c>
      <c r="I42" t="n">
        <v>0</v>
      </c>
      <c r="J42" t="n">
        <v>0</v>
      </c>
      <c r="K42" t="n">
        <v>0</v>
      </c>
      <c r="L42" t="n">
        <v>0</v>
      </c>
      <c r="M42" t="n">
        <v>0</v>
      </c>
      <c r="N42" t="n">
        <v>0</v>
      </c>
      <c r="O42" t="n">
        <v>0</v>
      </c>
      <c r="P42" t="n">
        <v>0</v>
      </c>
      <c r="Q42" t="n">
        <v>1</v>
      </c>
      <c r="R42" s="2" t="inlineStr">
        <is>
          <t>Gröngöling</t>
        </is>
      </c>
      <c r="S42">
        <f>HYPERLINK("https://klasma.github.io/Logging_0483/artfynd/A 8917-2024 artfynd.xlsx", "A 8917-2024")</f>
        <v/>
      </c>
      <c r="T42">
        <f>HYPERLINK("https://klasma.github.io/Logging_0483/kartor/A 8917-2024 karta.png", "A 8917-2024")</f>
        <v/>
      </c>
      <c r="V42">
        <f>HYPERLINK("https://klasma.github.io/Logging_0483/klagomål/A 8917-2024 FSC-klagomål.docx", "A 8917-2024")</f>
        <v/>
      </c>
      <c r="W42">
        <f>HYPERLINK("https://klasma.github.io/Logging_0483/klagomålsmail/A 8917-2024 FSC-klagomål mail.docx", "A 8917-2024")</f>
        <v/>
      </c>
      <c r="X42">
        <f>HYPERLINK("https://klasma.github.io/Logging_0483/tillsyn/A 8917-2024 tillsynsbegäran.docx", "A 8917-2024")</f>
        <v/>
      </c>
      <c r="Y42">
        <f>HYPERLINK("https://klasma.github.io/Logging_0483/tillsynsmail/A 8917-2024 tillsynsbegäran mail.docx", "A 8917-2024")</f>
        <v/>
      </c>
      <c r="Z42">
        <f>HYPERLINK("https://klasma.github.io/Logging_0483/fåglar/A 8917-2024 prioriterade fågelarter.docx", "A 8917-2024")</f>
        <v/>
      </c>
    </row>
    <row r="43" ht="15" customHeight="1">
      <c r="A43" t="inlineStr">
        <is>
          <t>A 16458-2022</t>
        </is>
      </c>
      <c r="B43" s="1" t="n">
        <v>44671</v>
      </c>
      <c r="C43" s="1" t="n">
        <v>46059</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63946-2025</t>
        </is>
      </c>
      <c r="B44" s="1" t="n">
        <v>46010</v>
      </c>
      <c r="C44" s="1" t="n">
        <v>46059</v>
      </c>
      <c r="D44" t="inlineStr">
        <is>
          <t>SÖDERMANLANDS LÄN</t>
        </is>
      </c>
      <c r="E44" t="inlineStr">
        <is>
          <t>KATRINEHOLM</t>
        </is>
      </c>
      <c r="F44" t="inlineStr">
        <is>
          <t>Allmännings- och besparingsskogar</t>
        </is>
      </c>
      <c r="G44" t="n">
        <v>2.4</v>
      </c>
      <c r="H44" t="n">
        <v>0</v>
      </c>
      <c r="I44" t="n">
        <v>0</v>
      </c>
      <c r="J44" t="n">
        <v>1</v>
      </c>
      <c r="K44" t="n">
        <v>0</v>
      </c>
      <c r="L44" t="n">
        <v>0</v>
      </c>
      <c r="M44" t="n">
        <v>0</v>
      </c>
      <c r="N44" t="n">
        <v>0</v>
      </c>
      <c r="O44" t="n">
        <v>1</v>
      </c>
      <c r="P44" t="n">
        <v>0</v>
      </c>
      <c r="Q44" t="n">
        <v>1</v>
      </c>
      <c r="R44" s="2" t="inlineStr">
        <is>
          <t>Tallticka</t>
        </is>
      </c>
      <c r="S44">
        <f>HYPERLINK("https://klasma.github.io/Logging_0483/artfynd/A 63946-2025 artfynd.xlsx", "A 63946-2025")</f>
        <v/>
      </c>
      <c r="T44">
        <f>HYPERLINK("https://klasma.github.io/Logging_0483/kartor/A 63946-2025 karta.png", "A 63946-2025")</f>
        <v/>
      </c>
      <c r="V44">
        <f>HYPERLINK("https://klasma.github.io/Logging_0483/klagomål/A 63946-2025 FSC-klagomål.docx", "A 63946-2025")</f>
        <v/>
      </c>
      <c r="W44">
        <f>HYPERLINK("https://klasma.github.io/Logging_0483/klagomålsmail/A 63946-2025 FSC-klagomål mail.docx", "A 63946-2025")</f>
        <v/>
      </c>
      <c r="X44">
        <f>HYPERLINK("https://klasma.github.io/Logging_0483/tillsyn/A 63946-2025 tillsynsbegäran.docx", "A 63946-2025")</f>
        <v/>
      </c>
      <c r="Y44">
        <f>HYPERLINK("https://klasma.github.io/Logging_0483/tillsynsmail/A 63946-2025 tillsynsbegäran mail.docx", "A 63946-2025")</f>
        <v/>
      </c>
    </row>
    <row r="45" ht="15" customHeight="1">
      <c r="A45" t="inlineStr">
        <is>
          <t>A 62957-2025</t>
        </is>
      </c>
      <c r="B45" s="1" t="n">
        <v>46009</v>
      </c>
      <c r="C45" s="1" t="n">
        <v>46059</v>
      </c>
      <c r="D45" t="inlineStr">
        <is>
          <t>SÖDERMANLANDS LÄN</t>
        </is>
      </c>
      <c r="E45" t="inlineStr">
        <is>
          <t>KATRINEHOLM</t>
        </is>
      </c>
      <c r="F45" t="inlineStr">
        <is>
          <t>Allmännings- och besparingsskogar</t>
        </is>
      </c>
      <c r="G45" t="n">
        <v>1.7</v>
      </c>
      <c r="H45" t="n">
        <v>1</v>
      </c>
      <c r="I45" t="n">
        <v>0</v>
      </c>
      <c r="J45" t="n">
        <v>1</v>
      </c>
      <c r="K45" t="n">
        <v>0</v>
      </c>
      <c r="L45" t="n">
        <v>0</v>
      </c>
      <c r="M45" t="n">
        <v>0</v>
      </c>
      <c r="N45" t="n">
        <v>0</v>
      </c>
      <c r="O45" t="n">
        <v>1</v>
      </c>
      <c r="P45" t="n">
        <v>0</v>
      </c>
      <c r="Q45" t="n">
        <v>1</v>
      </c>
      <c r="R45" s="2" t="inlineStr">
        <is>
          <t>Utter</t>
        </is>
      </c>
      <c r="S45">
        <f>HYPERLINK("https://klasma.github.io/Logging_0483/artfynd/A 62957-2025 artfynd.xlsx", "A 62957-2025")</f>
        <v/>
      </c>
      <c r="T45">
        <f>HYPERLINK("https://klasma.github.io/Logging_0483/kartor/A 62957-2025 karta.png", "A 62957-2025")</f>
        <v/>
      </c>
      <c r="V45">
        <f>HYPERLINK("https://klasma.github.io/Logging_0483/klagomål/A 62957-2025 FSC-klagomål.docx", "A 62957-2025")</f>
        <v/>
      </c>
      <c r="W45">
        <f>HYPERLINK("https://klasma.github.io/Logging_0483/klagomålsmail/A 62957-2025 FSC-klagomål mail.docx", "A 62957-2025")</f>
        <v/>
      </c>
      <c r="X45">
        <f>HYPERLINK("https://klasma.github.io/Logging_0483/tillsyn/A 62957-2025 tillsynsbegäran.docx", "A 62957-2025")</f>
        <v/>
      </c>
      <c r="Y45">
        <f>HYPERLINK("https://klasma.github.io/Logging_0483/tillsynsmail/A 62957-2025 tillsynsbegäran mail.docx", "A 62957-2025")</f>
        <v/>
      </c>
    </row>
    <row r="46" ht="15" customHeight="1">
      <c r="A46" t="inlineStr">
        <is>
          <t>A 23568-2023</t>
        </is>
      </c>
      <c r="B46" s="1" t="n">
        <v>45077</v>
      </c>
      <c r="C46" s="1" t="n">
        <v>46059</v>
      </c>
      <c r="D46" t="inlineStr">
        <is>
          <t>SÖDERMANLANDS LÄN</t>
        </is>
      </c>
      <c r="E46" t="inlineStr">
        <is>
          <t>KATRINEHOLM</t>
        </is>
      </c>
      <c r="F46" t="inlineStr">
        <is>
          <t>Kommuner</t>
        </is>
      </c>
      <c r="G46" t="n">
        <v>1.4</v>
      </c>
      <c r="H46" t="n">
        <v>0</v>
      </c>
      <c r="I46" t="n">
        <v>0</v>
      </c>
      <c r="J46" t="n">
        <v>1</v>
      </c>
      <c r="K46" t="n">
        <v>0</v>
      </c>
      <c r="L46" t="n">
        <v>0</v>
      </c>
      <c r="M46" t="n">
        <v>0</v>
      </c>
      <c r="N46" t="n">
        <v>0</v>
      </c>
      <c r="O46" t="n">
        <v>1</v>
      </c>
      <c r="P46" t="n">
        <v>0</v>
      </c>
      <c r="Q46" t="n">
        <v>1</v>
      </c>
      <c r="R46" s="2" t="inlineStr">
        <is>
          <t>Fyrflikig jordstjärna</t>
        </is>
      </c>
      <c r="S46">
        <f>HYPERLINK("https://klasma.github.io/Logging_0483/artfynd/A 23568-2023 artfynd.xlsx", "A 23568-2023")</f>
        <v/>
      </c>
      <c r="T46">
        <f>HYPERLINK("https://klasma.github.io/Logging_0483/kartor/A 23568-2023 karta.png", "A 23568-2023")</f>
        <v/>
      </c>
      <c r="V46">
        <f>HYPERLINK("https://klasma.github.io/Logging_0483/klagomål/A 23568-2023 FSC-klagomål.docx", "A 23568-2023")</f>
        <v/>
      </c>
      <c r="W46">
        <f>HYPERLINK("https://klasma.github.io/Logging_0483/klagomålsmail/A 23568-2023 FSC-klagomål mail.docx", "A 23568-2023")</f>
        <v/>
      </c>
      <c r="X46">
        <f>HYPERLINK("https://klasma.github.io/Logging_0483/tillsyn/A 23568-2023 tillsynsbegäran.docx", "A 23568-2023")</f>
        <v/>
      </c>
      <c r="Y46">
        <f>HYPERLINK("https://klasma.github.io/Logging_0483/tillsynsmail/A 23568-2023 tillsynsbegäran mail.docx", "A 23568-2023")</f>
        <v/>
      </c>
    </row>
    <row r="47" ht="15" customHeight="1">
      <c r="A47" t="inlineStr">
        <is>
          <t>A 57519-2021</t>
        </is>
      </c>
      <c r="B47" s="1" t="n">
        <v>44483</v>
      </c>
      <c r="C47" s="1" t="n">
        <v>46059</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55700-2025</t>
        </is>
      </c>
      <c r="B48" s="1" t="n">
        <v>45972.45605324074</v>
      </c>
      <c r="C48" s="1" t="n">
        <v>46059</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44486-2023</t>
        </is>
      </c>
      <c r="B49" s="1" t="n">
        <v>45183</v>
      </c>
      <c r="C49" s="1" t="n">
        <v>46059</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44632-2023</t>
        </is>
      </c>
      <c r="B50" s="1" t="n">
        <v>45184</v>
      </c>
      <c r="C50" s="1" t="n">
        <v>46059</v>
      </c>
      <c r="D50" t="inlineStr">
        <is>
          <t>SÖDERMANLANDS LÄN</t>
        </is>
      </c>
      <c r="E50" t="inlineStr">
        <is>
          <t>KATRINEHOLM</t>
        </is>
      </c>
      <c r="G50" t="n">
        <v>6.2</v>
      </c>
      <c r="H50" t="n">
        <v>0</v>
      </c>
      <c r="I50" t="n">
        <v>0</v>
      </c>
      <c r="J50" t="n">
        <v>1</v>
      </c>
      <c r="K50" t="n">
        <v>0</v>
      </c>
      <c r="L50" t="n">
        <v>0</v>
      </c>
      <c r="M50" t="n">
        <v>0</v>
      </c>
      <c r="N50" t="n">
        <v>0</v>
      </c>
      <c r="O50" t="n">
        <v>1</v>
      </c>
      <c r="P50" t="n">
        <v>0</v>
      </c>
      <c r="Q50" t="n">
        <v>1</v>
      </c>
      <c r="R50" s="2" t="inlineStr">
        <is>
          <t>Motaggsvamp</t>
        </is>
      </c>
      <c r="S50">
        <f>HYPERLINK("https://klasma.github.io/Logging_0483/artfynd/A 44632-2023 artfynd.xlsx", "A 44632-2023")</f>
        <v/>
      </c>
      <c r="T50">
        <f>HYPERLINK("https://klasma.github.io/Logging_0483/kartor/A 44632-2023 karta.png", "A 44632-2023")</f>
        <v/>
      </c>
      <c r="V50">
        <f>HYPERLINK("https://klasma.github.io/Logging_0483/klagomål/A 44632-2023 FSC-klagomål.docx", "A 44632-2023")</f>
        <v/>
      </c>
      <c r="W50">
        <f>HYPERLINK("https://klasma.github.io/Logging_0483/klagomålsmail/A 44632-2023 FSC-klagomål mail.docx", "A 44632-2023")</f>
        <v/>
      </c>
      <c r="X50">
        <f>HYPERLINK("https://klasma.github.io/Logging_0483/tillsyn/A 44632-2023 tillsynsbegäran.docx", "A 44632-2023")</f>
        <v/>
      </c>
      <c r="Y50">
        <f>HYPERLINK("https://klasma.github.io/Logging_0483/tillsynsmail/A 44632-2023 tillsynsbegäran mail.docx", "A 44632-2023")</f>
        <v/>
      </c>
    </row>
    <row r="51" ht="15" customHeight="1">
      <c r="A51" t="inlineStr">
        <is>
          <t>A 7305-2024</t>
        </is>
      </c>
      <c r="B51" s="1" t="n">
        <v>45344</v>
      </c>
      <c r="C51" s="1" t="n">
        <v>46059</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Gröngöling</t>
        </is>
      </c>
      <c r="S51">
        <f>HYPERLINK("https://klasma.github.io/Logging_0483/artfynd/A 7305-2024 artfynd.xlsx", "A 7305-2024")</f>
        <v/>
      </c>
      <c r="T51">
        <f>HYPERLINK("https://klasma.github.io/Logging_0483/kartor/A 7305-2024 karta.png", "A 7305-2024")</f>
        <v/>
      </c>
      <c r="V51">
        <f>HYPERLINK("https://klasma.github.io/Logging_0483/klagomål/A 7305-2024 FSC-klagomål.docx", "A 7305-2024")</f>
        <v/>
      </c>
      <c r="W51">
        <f>HYPERLINK("https://klasma.github.io/Logging_0483/klagomålsmail/A 7305-2024 FSC-klagomål mail.docx", "A 7305-2024")</f>
        <v/>
      </c>
      <c r="X51">
        <f>HYPERLINK("https://klasma.github.io/Logging_0483/tillsyn/A 7305-2024 tillsynsbegäran.docx", "A 7305-2024")</f>
        <v/>
      </c>
      <c r="Y51">
        <f>HYPERLINK("https://klasma.github.io/Logging_0483/tillsynsmail/A 7305-2024 tillsynsbegäran mail.docx", "A 7305-2024")</f>
        <v/>
      </c>
      <c r="Z51">
        <f>HYPERLINK("https://klasma.github.io/Logging_0483/fåglar/A 7305-2024 prioriterade fågelarter.docx", "A 7305-2024")</f>
        <v/>
      </c>
    </row>
    <row r="52" ht="15" customHeight="1">
      <c r="A52" t="inlineStr">
        <is>
          <t>A 53990-2023</t>
        </is>
      </c>
      <c r="B52" s="1" t="n">
        <v>45231</v>
      </c>
      <c r="C52" s="1" t="n">
        <v>46059</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53154-2023</t>
        </is>
      </c>
      <c r="B53" s="1" t="n">
        <v>45229</v>
      </c>
      <c r="C53" s="1" t="n">
        <v>46059</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11890-2023</t>
        </is>
      </c>
      <c r="B54" s="1" t="n">
        <v>44995</v>
      </c>
      <c r="C54" s="1" t="n">
        <v>46059</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6076-2022</t>
        </is>
      </c>
      <c r="B55" s="1" t="n">
        <v>44599</v>
      </c>
      <c r="C55" s="1" t="n">
        <v>46059</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42745-2022</t>
        </is>
      </c>
      <c r="B56" s="1" t="n">
        <v>44831</v>
      </c>
      <c r="C56" s="1" t="n">
        <v>46059</v>
      </c>
      <c r="D56" t="inlineStr">
        <is>
          <t>SÖDERMANLANDS LÄN</t>
        </is>
      </c>
      <c r="E56" t="inlineStr">
        <is>
          <t>KATRINEHOLM</t>
        </is>
      </c>
      <c r="G56" t="n">
        <v>4.6</v>
      </c>
      <c r="H56" t="n">
        <v>0</v>
      </c>
      <c r="I56" t="n">
        <v>0</v>
      </c>
      <c r="J56" t="n">
        <v>1</v>
      </c>
      <c r="K56" t="n">
        <v>0</v>
      </c>
      <c r="L56" t="n">
        <v>0</v>
      </c>
      <c r="M56" t="n">
        <v>0</v>
      </c>
      <c r="N56" t="n">
        <v>0</v>
      </c>
      <c r="O56" t="n">
        <v>1</v>
      </c>
      <c r="P56" t="n">
        <v>0</v>
      </c>
      <c r="Q56" t="n">
        <v>1</v>
      </c>
      <c r="R56" s="2" t="inlineStr">
        <is>
          <t>Svedjenäva</t>
        </is>
      </c>
      <c r="S56">
        <f>HYPERLINK("https://klasma.github.io/Logging_0483/artfynd/A 42745-2022 artfynd.xlsx", "A 42745-2022")</f>
        <v/>
      </c>
      <c r="T56">
        <f>HYPERLINK("https://klasma.github.io/Logging_0483/kartor/A 42745-2022 karta.png", "A 42745-2022")</f>
        <v/>
      </c>
      <c r="V56">
        <f>HYPERLINK("https://klasma.github.io/Logging_0483/klagomål/A 42745-2022 FSC-klagomål.docx", "A 42745-2022")</f>
        <v/>
      </c>
      <c r="W56">
        <f>HYPERLINK("https://klasma.github.io/Logging_0483/klagomålsmail/A 42745-2022 FSC-klagomål mail.docx", "A 42745-2022")</f>
        <v/>
      </c>
      <c r="X56">
        <f>HYPERLINK("https://klasma.github.io/Logging_0483/tillsyn/A 42745-2022 tillsynsbegäran.docx", "A 42745-2022")</f>
        <v/>
      </c>
      <c r="Y56">
        <f>HYPERLINK("https://klasma.github.io/Logging_0483/tillsynsmail/A 42745-2022 tillsynsbegäran mail.docx", "A 42745-2022")</f>
        <v/>
      </c>
    </row>
    <row r="57" ht="15" customHeight="1">
      <c r="A57" t="inlineStr">
        <is>
          <t>A 12238-2023</t>
        </is>
      </c>
      <c r="B57" s="1" t="n">
        <v>44995</v>
      </c>
      <c r="C57" s="1" t="n">
        <v>46059</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28985-2022</t>
        </is>
      </c>
      <c r="B58" s="1" t="n">
        <v>44749</v>
      </c>
      <c r="C58" s="1" t="n">
        <v>46059</v>
      </c>
      <c r="D58" t="inlineStr">
        <is>
          <t>SÖDERMANLANDS LÄN</t>
        </is>
      </c>
      <c r="E58" t="inlineStr">
        <is>
          <t>KATRINEHOLM</t>
        </is>
      </c>
      <c r="G58" t="n">
        <v>6.4</v>
      </c>
      <c r="H58" t="n">
        <v>0</v>
      </c>
      <c r="I58" t="n">
        <v>0</v>
      </c>
      <c r="J58" t="n">
        <v>1</v>
      </c>
      <c r="K58" t="n">
        <v>0</v>
      </c>
      <c r="L58" t="n">
        <v>0</v>
      </c>
      <c r="M58" t="n">
        <v>0</v>
      </c>
      <c r="N58" t="n">
        <v>0</v>
      </c>
      <c r="O58" t="n">
        <v>1</v>
      </c>
      <c r="P58" t="n">
        <v>0</v>
      </c>
      <c r="Q58" t="n">
        <v>1</v>
      </c>
      <c r="R58" s="2" t="inlineStr">
        <is>
          <t>Igelkott</t>
        </is>
      </c>
      <c r="S58">
        <f>HYPERLINK("https://klasma.github.io/Logging_0483/artfynd/A 28985-2022 artfynd.xlsx", "A 28985-2022")</f>
        <v/>
      </c>
      <c r="T58">
        <f>HYPERLINK("https://klasma.github.io/Logging_0483/kartor/A 28985-2022 karta.png", "A 28985-2022")</f>
        <v/>
      </c>
      <c r="V58">
        <f>HYPERLINK("https://klasma.github.io/Logging_0483/klagomål/A 28985-2022 FSC-klagomål.docx", "A 28985-2022")</f>
        <v/>
      </c>
      <c r="W58">
        <f>HYPERLINK("https://klasma.github.io/Logging_0483/klagomålsmail/A 28985-2022 FSC-klagomål mail.docx", "A 28985-2022")</f>
        <v/>
      </c>
      <c r="X58">
        <f>HYPERLINK("https://klasma.github.io/Logging_0483/tillsyn/A 28985-2022 tillsynsbegäran.docx", "A 28985-2022")</f>
        <v/>
      </c>
      <c r="Y58">
        <f>HYPERLINK("https://klasma.github.io/Logging_0483/tillsynsmail/A 28985-2022 tillsynsbegäran mail.docx", "A 28985-2022")</f>
        <v/>
      </c>
    </row>
    <row r="59" ht="15" customHeight="1">
      <c r="A59" t="inlineStr">
        <is>
          <t>A 44413-2024</t>
        </is>
      </c>
      <c r="B59" s="1" t="n">
        <v>45573.77701388889</v>
      </c>
      <c r="C59" s="1" t="n">
        <v>46059</v>
      </c>
      <c r="D59" t="inlineStr">
        <is>
          <t>SÖDERMANLANDS LÄN</t>
        </is>
      </c>
      <c r="E59" t="inlineStr">
        <is>
          <t>KATRINEHOLM</t>
        </is>
      </c>
      <c r="G59" t="n">
        <v>0.7</v>
      </c>
      <c r="H59" t="n">
        <v>1</v>
      </c>
      <c r="I59" t="n">
        <v>0</v>
      </c>
      <c r="J59" t="n">
        <v>0</v>
      </c>
      <c r="K59" t="n">
        <v>1</v>
      </c>
      <c r="L59" t="n">
        <v>0</v>
      </c>
      <c r="M59" t="n">
        <v>0</v>
      </c>
      <c r="N59" t="n">
        <v>0</v>
      </c>
      <c r="O59" t="n">
        <v>1</v>
      </c>
      <c r="P59" t="n">
        <v>1</v>
      </c>
      <c r="Q59" t="n">
        <v>1</v>
      </c>
      <c r="R59" s="2" t="inlineStr">
        <is>
          <t>Knärot</t>
        </is>
      </c>
      <c r="S59">
        <f>HYPERLINK("https://klasma.github.io/Logging_0483/artfynd/A 44413-2024 artfynd.xlsx", "A 44413-2024")</f>
        <v/>
      </c>
      <c r="T59">
        <f>HYPERLINK("https://klasma.github.io/Logging_0483/kartor/A 44413-2024 karta.png", "A 44413-2024")</f>
        <v/>
      </c>
      <c r="U59">
        <f>HYPERLINK("https://klasma.github.io/Logging_0483/knärot/A 44413-2024 karta knärot.png", "A 44413-2024")</f>
        <v/>
      </c>
      <c r="V59">
        <f>HYPERLINK("https://klasma.github.io/Logging_0483/klagomål/A 44413-2024 FSC-klagomål.docx", "A 44413-2024")</f>
        <v/>
      </c>
      <c r="W59">
        <f>HYPERLINK("https://klasma.github.io/Logging_0483/klagomålsmail/A 44413-2024 FSC-klagomål mail.docx", "A 44413-2024")</f>
        <v/>
      </c>
      <c r="X59">
        <f>HYPERLINK("https://klasma.github.io/Logging_0483/tillsyn/A 44413-2024 tillsynsbegäran.docx", "A 44413-2024")</f>
        <v/>
      </c>
      <c r="Y59">
        <f>HYPERLINK("https://klasma.github.io/Logging_0483/tillsynsmail/A 44413-2024 tillsynsbegäran mail.docx", "A 44413-2024")</f>
        <v/>
      </c>
    </row>
    <row r="60" ht="15" customHeight="1">
      <c r="A60" t="inlineStr">
        <is>
          <t>A 22474-2025</t>
        </is>
      </c>
      <c r="B60" s="1" t="n">
        <v>45786.62152777778</v>
      </c>
      <c r="C60" s="1" t="n">
        <v>46059</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46059</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35163-2025</t>
        </is>
      </c>
      <c r="B62" s="1" t="n">
        <v>45852.71136574074</v>
      </c>
      <c r="C62" s="1" t="n">
        <v>46059</v>
      </c>
      <c r="D62" t="inlineStr">
        <is>
          <t>SÖDERMANLANDS LÄN</t>
        </is>
      </c>
      <c r="E62" t="inlineStr">
        <is>
          <t>KATRINEHOLM</t>
        </is>
      </c>
      <c r="F62" t="inlineStr">
        <is>
          <t>Övriga Aktiebolag</t>
        </is>
      </c>
      <c r="G62" t="n">
        <v>1.1</v>
      </c>
      <c r="H62" t="n">
        <v>0</v>
      </c>
      <c r="I62" t="n">
        <v>1</v>
      </c>
      <c r="J62" t="n">
        <v>0</v>
      </c>
      <c r="K62" t="n">
        <v>0</v>
      </c>
      <c r="L62" t="n">
        <v>0</v>
      </c>
      <c r="M62" t="n">
        <v>0</v>
      </c>
      <c r="N62" t="n">
        <v>0</v>
      </c>
      <c r="O62" t="n">
        <v>0</v>
      </c>
      <c r="P62" t="n">
        <v>0</v>
      </c>
      <c r="Q62" t="n">
        <v>1</v>
      </c>
      <c r="R62" s="2" t="inlineStr">
        <is>
          <t>Kattfotslav</t>
        </is>
      </c>
      <c r="S62">
        <f>HYPERLINK("https://klasma.github.io/Logging_0483/artfynd/A 35163-2025 artfynd.xlsx", "A 35163-2025")</f>
        <v/>
      </c>
      <c r="T62">
        <f>HYPERLINK("https://klasma.github.io/Logging_0483/kartor/A 35163-2025 karta.png", "A 35163-2025")</f>
        <v/>
      </c>
      <c r="V62">
        <f>HYPERLINK("https://klasma.github.io/Logging_0483/klagomål/A 35163-2025 FSC-klagomål.docx", "A 35163-2025")</f>
        <v/>
      </c>
      <c r="W62">
        <f>HYPERLINK("https://klasma.github.io/Logging_0483/klagomålsmail/A 35163-2025 FSC-klagomål mail.docx", "A 35163-2025")</f>
        <v/>
      </c>
      <c r="X62">
        <f>HYPERLINK("https://klasma.github.io/Logging_0483/tillsyn/A 35163-2025 tillsynsbegäran.docx", "A 35163-2025")</f>
        <v/>
      </c>
      <c r="Y62">
        <f>HYPERLINK("https://klasma.github.io/Logging_0483/tillsynsmail/A 35163-2025 tillsynsbegäran mail.docx", "A 35163-2025")</f>
        <v/>
      </c>
    </row>
    <row r="63" ht="15" customHeight="1">
      <c r="A63" t="inlineStr">
        <is>
          <t>A 40289-2021</t>
        </is>
      </c>
      <c r="B63" s="1" t="n">
        <v>44419</v>
      </c>
      <c r="C63" s="1" t="n">
        <v>46059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36856-2021</t>
        </is>
      </c>
      <c r="B64" s="1" t="n">
        <v>44393</v>
      </c>
      <c r="C64" s="1" t="n">
        <v>46059</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46059</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46059</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46059</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46059</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46059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48166-2022</t>
        </is>
      </c>
      <c r="B70" s="1" t="n">
        <v>44853</v>
      </c>
      <c r="C70" s="1" t="n">
        <v>46059</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46059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46059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46059</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46059</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46059</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46059</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46059</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46059</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46059</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46059</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46059</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46059</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46059</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46059</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46059</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46059</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46059</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46059</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46059</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46059</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46059</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46059</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46059</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46059</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46059</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46059</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46059</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46059</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46059</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46059</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46059</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46059</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46059</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46059</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46059</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46059</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46059</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46059</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46059</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46059</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46059</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46059</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46059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46059</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46059</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46059</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46059</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46059</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46059</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46059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46059</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46059</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46059</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46059</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46059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46059</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46059</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46059</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46059</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46059</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46059</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46059</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46059</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46059</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46059</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46059</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46059</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46059</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46059</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46059</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46059</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46059</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46059</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46059</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46059</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46059</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46059</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46059</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46059</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46059</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46059</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46059</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46059</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46059</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46059</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46059</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46059</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46059</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46059</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46059</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46059</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46059</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46059</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46059</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46059</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46059</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46059</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46059</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46059</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46059</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46059</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46059</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46059</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46059</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46059</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46059</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46059</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12658-2022</t>
        </is>
      </c>
      <c r="B178" s="1" t="n">
        <v>44641</v>
      </c>
      <c r="C178" s="1" t="n">
        <v>46059</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46412-2022</t>
        </is>
      </c>
      <c r="B179" s="1" t="n">
        <v>44848.42216435185</v>
      </c>
      <c r="C179" s="1" t="n">
        <v>46059</v>
      </c>
      <c r="D179" t="inlineStr">
        <is>
          <t>SÖDERMANLANDS LÄN</t>
        </is>
      </c>
      <c r="E179" t="inlineStr">
        <is>
          <t>KATRINEHOLM</t>
        </is>
      </c>
      <c r="G179" t="n">
        <v>0.8</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46059</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30276-2023</t>
        </is>
      </c>
      <c r="B181" s="1" t="n">
        <v>45110</v>
      </c>
      <c r="C181" s="1" t="n">
        <v>46059</v>
      </c>
      <c r="D181" t="inlineStr">
        <is>
          <t>SÖDERMANLANDS LÄN</t>
        </is>
      </c>
      <c r="E181" t="inlineStr">
        <is>
          <t>KATRINEHOLM</t>
        </is>
      </c>
      <c r="G181" t="n">
        <v>2.3</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46059</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46059</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46059</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46059</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35228-2025</t>
        </is>
      </c>
      <c r="B186" s="1" t="n">
        <v>45853</v>
      </c>
      <c r="C186" s="1" t="n">
        <v>46059</v>
      </c>
      <c r="D186" t="inlineStr">
        <is>
          <t>SÖDERMANLANDS LÄN</t>
        </is>
      </c>
      <c r="E186" t="inlineStr">
        <is>
          <t>KATRINEHOLM</t>
        </is>
      </c>
      <c r="G186" t="n">
        <v>1.1</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46059</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36590-2025</t>
        </is>
      </c>
      <c r="B188" s="1" t="n">
        <v>45870</v>
      </c>
      <c r="C188" s="1" t="n">
        <v>46059</v>
      </c>
      <c r="D188" t="inlineStr">
        <is>
          <t>SÖDERMANLANDS LÄN</t>
        </is>
      </c>
      <c r="E188" t="inlineStr">
        <is>
          <t>KATRINEHOLM</t>
        </is>
      </c>
      <c r="G188" t="n">
        <v>2</v>
      </c>
      <c r="H188" t="n">
        <v>0</v>
      </c>
      <c r="I188" t="n">
        <v>0</v>
      </c>
      <c r="J188" t="n">
        <v>0</v>
      </c>
      <c r="K188" t="n">
        <v>0</v>
      </c>
      <c r="L188" t="n">
        <v>0</v>
      </c>
      <c r="M188" t="n">
        <v>0</v>
      </c>
      <c r="N188" t="n">
        <v>0</v>
      </c>
      <c r="O188" t="n">
        <v>0</v>
      </c>
      <c r="P188" t="n">
        <v>0</v>
      </c>
      <c r="Q188" t="n">
        <v>0</v>
      </c>
      <c r="R188" s="2" t="inlineStr"/>
    </row>
    <row r="189" ht="15" customHeight="1">
      <c r="A189" t="inlineStr">
        <is>
          <t>A 26684-2025</t>
        </is>
      </c>
      <c r="B189" s="1" t="n">
        <v>45810</v>
      </c>
      <c r="C189" s="1" t="n">
        <v>46059</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67351-2021</t>
        </is>
      </c>
      <c r="B190" s="1" t="n">
        <v>44523</v>
      </c>
      <c r="C190" s="1" t="n">
        <v>46059</v>
      </c>
      <c r="D190" t="inlineStr">
        <is>
          <t>SÖDERMANLANDS LÄN</t>
        </is>
      </c>
      <c r="E190" t="inlineStr">
        <is>
          <t>KATRINEHOLM</t>
        </is>
      </c>
      <c r="G190" t="n">
        <v>5.4</v>
      </c>
      <c r="H190" t="n">
        <v>0</v>
      </c>
      <c r="I190" t="n">
        <v>0</v>
      </c>
      <c r="J190" t="n">
        <v>0</v>
      </c>
      <c r="K190" t="n">
        <v>0</v>
      </c>
      <c r="L190" t="n">
        <v>0</v>
      </c>
      <c r="M190" t="n">
        <v>0</v>
      </c>
      <c r="N190" t="n">
        <v>0</v>
      </c>
      <c r="O190" t="n">
        <v>0</v>
      </c>
      <c r="P190" t="n">
        <v>0</v>
      </c>
      <c r="Q190" t="n">
        <v>0</v>
      </c>
      <c r="R190" s="2" t="inlineStr"/>
    </row>
    <row r="191" ht="15" customHeight="1">
      <c r="A191" t="inlineStr">
        <is>
          <t>A 32733-2021</t>
        </is>
      </c>
      <c r="B191" s="1" t="n">
        <v>44375</v>
      </c>
      <c r="C191" s="1" t="n">
        <v>46059</v>
      </c>
      <c r="D191" t="inlineStr">
        <is>
          <t>SÖDERMANLANDS LÄN</t>
        </is>
      </c>
      <c r="E191" t="inlineStr">
        <is>
          <t>KATRINEHOLM</t>
        </is>
      </c>
      <c r="G191" t="n">
        <v>9</v>
      </c>
      <c r="H191" t="n">
        <v>0</v>
      </c>
      <c r="I191" t="n">
        <v>0</v>
      </c>
      <c r="J191" t="n">
        <v>0</v>
      </c>
      <c r="K191" t="n">
        <v>0</v>
      </c>
      <c r="L191" t="n">
        <v>0</v>
      </c>
      <c r="M191" t="n">
        <v>0</v>
      </c>
      <c r="N191" t="n">
        <v>0</v>
      </c>
      <c r="O191" t="n">
        <v>0</v>
      </c>
      <c r="P191" t="n">
        <v>0</v>
      </c>
      <c r="Q191" t="n">
        <v>0</v>
      </c>
      <c r="R191" s="2" t="inlineStr"/>
      <c r="U191">
        <f>HYPERLINK("https://klasma.github.io/Logging_0483/knärot/A 32733-2021 karta knärot.png", "A 32733-2021")</f>
        <v/>
      </c>
      <c r="V191">
        <f>HYPERLINK("https://klasma.github.io/Logging_0483/klagomål/A 32733-2021 FSC-klagomål.docx", "A 32733-2021")</f>
        <v/>
      </c>
      <c r="W191">
        <f>HYPERLINK("https://klasma.github.io/Logging_0483/klagomålsmail/A 32733-2021 FSC-klagomål mail.docx", "A 32733-2021")</f>
        <v/>
      </c>
      <c r="X191">
        <f>HYPERLINK("https://klasma.github.io/Logging_0483/tillsyn/A 32733-2021 tillsynsbegäran.docx", "A 32733-2021")</f>
        <v/>
      </c>
      <c r="Y191">
        <f>HYPERLINK("https://klasma.github.io/Logging_0483/tillsynsmail/A 32733-2021 tillsynsbegäran mail.docx", "A 32733-2021")</f>
        <v/>
      </c>
    </row>
    <row r="192" ht="15" customHeight="1">
      <c r="A192" t="inlineStr">
        <is>
          <t>A 24098-2022</t>
        </is>
      </c>
      <c r="B192" s="1" t="n">
        <v>44725</v>
      </c>
      <c r="C192" s="1" t="n">
        <v>46059</v>
      </c>
      <c r="D192" t="inlineStr">
        <is>
          <t>SÖDERMANLANDS LÄN</t>
        </is>
      </c>
      <c r="E192" t="inlineStr">
        <is>
          <t>KATRINEHOLM</t>
        </is>
      </c>
      <c r="G192" t="n">
        <v>1.9</v>
      </c>
      <c r="H192" t="n">
        <v>0</v>
      </c>
      <c r="I192" t="n">
        <v>0</v>
      </c>
      <c r="J192" t="n">
        <v>0</v>
      </c>
      <c r="K192" t="n">
        <v>0</v>
      </c>
      <c r="L192" t="n">
        <v>0</v>
      </c>
      <c r="M192" t="n">
        <v>0</v>
      </c>
      <c r="N192" t="n">
        <v>0</v>
      </c>
      <c r="O192" t="n">
        <v>0</v>
      </c>
      <c r="P192" t="n">
        <v>0</v>
      </c>
      <c r="Q192" t="n">
        <v>0</v>
      </c>
      <c r="R192" s="2" t="inlineStr"/>
    </row>
    <row r="193" ht="15" customHeight="1">
      <c r="A193" t="inlineStr">
        <is>
          <t>A 12227-2025</t>
        </is>
      </c>
      <c r="B193" s="1" t="n">
        <v>45729.56836805555</v>
      </c>
      <c r="C193" s="1" t="n">
        <v>46059</v>
      </c>
      <c r="D193" t="inlineStr">
        <is>
          <t>SÖDERMANLANDS LÄN</t>
        </is>
      </c>
      <c r="E193" t="inlineStr">
        <is>
          <t>KATRINEHOLM</t>
        </is>
      </c>
      <c r="G193" t="n">
        <v>7</v>
      </c>
      <c r="H193" t="n">
        <v>0</v>
      </c>
      <c r="I193" t="n">
        <v>0</v>
      </c>
      <c r="J193" t="n">
        <v>0</v>
      </c>
      <c r="K193" t="n">
        <v>0</v>
      </c>
      <c r="L193" t="n">
        <v>0</v>
      </c>
      <c r="M193" t="n">
        <v>0</v>
      </c>
      <c r="N193" t="n">
        <v>0</v>
      </c>
      <c r="O193" t="n">
        <v>0</v>
      </c>
      <c r="P193" t="n">
        <v>0</v>
      </c>
      <c r="Q193" t="n">
        <v>0</v>
      </c>
      <c r="R193" s="2" t="inlineStr"/>
    </row>
    <row r="194" ht="15" customHeight="1">
      <c r="A194" t="inlineStr">
        <is>
          <t>A 57265-2022</t>
        </is>
      </c>
      <c r="B194" s="1" t="n">
        <v>44895</v>
      </c>
      <c r="C194" s="1" t="n">
        <v>46059</v>
      </c>
      <c r="D194" t="inlineStr">
        <is>
          <t>SÖDERMANLANDS LÄN</t>
        </is>
      </c>
      <c r="E194" t="inlineStr">
        <is>
          <t>KATRINEHOLM</t>
        </is>
      </c>
      <c r="G194" t="n">
        <v>2</v>
      </c>
      <c r="H194" t="n">
        <v>0</v>
      </c>
      <c r="I194" t="n">
        <v>0</v>
      </c>
      <c r="J194" t="n">
        <v>0</v>
      </c>
      <c r="K194" t="n">
        <v>0</v>
      </c>
      <c r="L194" t="n">
        <v>0</v>
      </c>
      <c r="M194" t="n">
        <v>0</v>
      </c>
      <c r="N194" t="n">
        <v>0</v>
      </c>
      <c r="O194" t="n">
        <v>0</v>
      </c>
      <c r="P194" t="n">
        <v>0</v>
      </c>
      <c r="Q194" t="n">
        <v>0</v>
      </c>
      <c r="R194" s="2" t="inlineStr"/>
    </row>
    <row r="195" ht="15" customHeight="1">
      <c r="A195" t="inlineStr">
        <is>
          <t>A 12760-2021</t>
        </is>
      </c>
      <c r="B195" s="1" t="n">
        <v>44270</v>
      </c>
      <c r="C195" s="1" t="n">
        <v>46059</v>
      </c>
      <c r="D195" t="inlineStr">
        <is>
          <t>SÖDERMANLANDS LÄN</t>
        </is>
      </c>
      <c r="E195" t="inlineStr">
        <is>
          <t>KATRINEHOLM</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12068-2021</t>
        </is>
      </c>
      <c r="B196" s="1" t="n">
        <v>44266</v>
      </c>
      <c r="C196" s="1" t="n">
        <v>46059</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65162-2021</t>
        </is>
      </c>
      <c r="B197" s="1" t="n">
        <v>44512</v>
      </c>
      <c r="C197" s="1" t="n">
        <v>46059</v>
      </c>
      <c r="D197" t="inlineStr">
        <is>
          <t>SÖDERMANLANDS LÄN</t>
        </is>
      </c>
      <c r="E197" t="inlineStr">
        <is>
          <t>KATRINEHOLM</t>
        </is>
      </c>
      <c r="G197" t="n">
        <v>1</v>
      </c>
      <c r="H197" t="n">
        <v>0</v>
      </c>
      <c r="I197" t="n">
        <v>0</v>
      </c>
      <c r="J197" t="n">
        <v>0</v>
      </c>
      <c r="K197" t="n">
        <v>0</v>
      </c>
      <c r="L197" t="n">
        <v>0</v>
      </c>
      <c r="M197" t="n">
        <v>0</v>
      </c>
      <c r="N197" t="n">
        <v>0</v>
      </c>
      <c r="O197" t="n">
        <v>0</v>
      </c>
      <c r="P197" t="n">
        <v>0</v>
      </c>
      <c r="Q197" t="n">
        <v>0</v>
      </c>
      <c r="R197" s="2" t="inlineStr"/>
    </row>
    <row r="198" ht="15" customHeight="1">
      <c r="A198" t="inlineStr">
        <is>
          <t>A 30567-2022</t>
        </is>
      </c>
      <c r="B198" s="1" t="n">
        <v>44762</v>
      </c>
      <c r="C198" s="1" t="n">
        <v>46059</v>
      </c>
      <c r="D198" t="inlineStr">
        <is>
          <t>SÖDERMANLANDS LÄN</t>
        </is>
      </c>
      <c r="E198" t="inlineStr">
        <is>
          <t>KATRINEHOLM</t>
        </is>
      </c>
      <c r="F198" t="inlineStr">
        <is>
          <t>Övriga Aktiebolag</t>
        </is>
      </c>
      <c r="G198" t="n">
        <v>0.5</v>
      </c>
      <c r="H198" t="n">
        <v>0</v>
      </c>
      <c r="I198" t="n">
        <v>0</v>
      </c>
      <c r="J198" t="n">
        <v>0</v>
      </c>
      <c r="K198" t="n">
        <v>0</v>
      </c>
      <c r="L198" t="n">
        <v>0</v>
      </c>
      <c r="M198" t="n">
        <v>0</v>
      </c>
      <c r="N198" t="n">
        <v>0</v>
      </c>
      <c r="O198" t="n">
        <v>0</v>
      </c>
      <c r="P198" t="n">
        <v>0</v>
      </c>
      <c r="Q198" t="n">
        <v>0</v>
      </c>
      <c r="R198" s="2" t="inlineStr"/>
    </row>
    <row r="199" ht="15" customHeight="1">
      <c r="A199" t="inlineStr">
        <is>
          <t>A 50316-2023</t>
        </is>
      </c>
      <c r="B199" s="1" t="n">
        <v>45209</v>
      </c>
      <c r="C199" s="1" t="n">
        <v>46059</v>
      </c>
      <c r="D199" t="inlineStr">
        <is>
          <t>SÖDERMANLANDS LÄN</t>
        </is>
      </c>
      <c r="E199" t="inlineStr">
        <is>
          <t>KATRINEHOLM</t>
        </is>
      </c>
      <c r="G199" t="n">
        <v>1.9</v>
      </c>
      <c r="H199" t="n">
        <v>0</v>
      </c>
      <c r="I199" t="n">
        <v>0</v>
      </c>
      <c r="J199" t="n">
        <v>0</v>
      </c>
      <c r="K199" t="n">
        <v>0</v>
      </c>
      <c r="L199" t="n">
        <v>0</v>
      </c>
      <c r="M199" t="n">
        <v>0</v>
      </c>
      <c r="N199" t="n">
        <v>0</v>
      </c>
      <c r="O199" t="n">
        <v>0</v>
      </c>
      <c r="P199" t="n">
        <v>0</v>
      </c>
      <c r="Q199" t="n">
        <v>0</v>
      </c>
      <c r="R199" s="2" t="inlineStr"/>
    </row>
    <row r="200" ht="15" customHeight="1">
      <c r="A200" t="inlineStr">
        <is>
          <t>A 52857-2021</t>
        </is>
      </c>
      <c r="B200" s="1" t="n">
        <v>44466</v>
      </c>
      <c r="C200" s="1" t="n">
        <v>46059</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46059</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50021-2023</t>
        </is>
      </c>
      <c r="B202" s="1" t="n">
        <v>45215</v>
      </c>
      <c r="C202" s="1" t="n">
        <v>46059</v>
      </c>
      <c r="D202" t="inlineStr">
        <is>
          <t>SÖDERMANLANDS LÄN</t>
        </is>
      </c>
      <c r="E202" t="inlineStr">
        <is>
          <t>KATRINEHOLM</t>
        </is>
      </c>
      <c r="G202" t="n">
        <v>1.6</v>
      </c>
      <c r="H202" t="n">
        <v>0</v>
      </c>
      <c r="I202" t="n">
        <v>0</v>
      </c>
      <c r="J202" t="n">
        <v>0</v>
      </c>
      <c r="K202" t="n">
        <v>0</v>
      </c>
      <c r="L202" t="n">
        <v>0</v>
      </c>
      <c r="M202" t="n">
        <v>0</v>
      </c>
      <c r="N202" t="n">
        <v>0</v>
      </c>
      <c r="O202" t="n">
        <v>0</v>
      </c>
      <c r="P202" t="n">
        <v>0</v>
      </c>
      <c r="Q202" t="n">
        <v>0</v>
      </c>
      <c r="R202" s="2" t="inlineStr"/>
    </row>
    <row r="203" ht="15" customHeight="1">
      <c r="A203" t="inlineStr">
        <is>
          <t>A 60160-2022</t>
        </is>
      </c>
      <c r="B203" s="1" t="n">
        <v>44909</v>
      </c>
      <c r="C203" s="1" t="n">
        <v>46059</v>
      </c>
      <c r="D203" t="inlineStr">
        <is>
          <t>SÖDERMANLANDS LÄN</t>
        </is>
      </c>
      <c r="E203" t="inlineStr">
        <is>
          <t>KATRINEHOLM</t>
        </is>
      </c>
      <c r="F203" t="inlineStr">
        <is>
          <t>Allmännings- och besparingsskogar</t>
        </is>
      </c>
      <c r="G203" t="n">
        <v>2</v>
      </c>
      <c r="H203" t="n">
        <v>0</v>
      </c>
      <c r="I203" t="n">
        <v>0</v>
      </c>
      <c r="J203" t="n">
        <v>0</v>
      </c>
      <c r="K203" t="n">
        <v>0</v>
      </c>
      <c r="L203" t="n">
        <v>0</v>
      </c>
      <c r="M203" t="n">
        <v>0</v>
      </c>
      <c r="N203" t="n">
        <v>0</v>
      </c>
      <c r="O203" t="n">
        <v>0</v>
      </c>
      <c r="P203" t="n">
        <v>0</v>
      </c>
      <c r="Q203" t="n">
        <v>0</v>
      </c>
      <c r="R203" s="2" t="inlineStr"/>
    </row>
    <row r="204" ht="15" customHeight="1">
      <c r="A204" t="inlineStr">
        <is>
          <t>A 71129-2021</t>
        </is>
      </c>
      <c r="B204" s="1" t="n">
        <v>44539</v>
      </c>
      <c r="C204" s="1" t="n">
        <v>46059</v>
      </c>
      <c r="D204" t="inlineStr">
        <is>
          <t>SÖDERMANLANDS LÄN</t>
        </is>
      </c>
      <c r="E204" t="inlineStr">
        <is>
          <t>KATRINEHOLM</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37043-2025</t>
        </is>
      </c>
      <c r="B205" s="1" t="n">
        <v>45875.3396412037</v>
      </c>
      <c r="C205" s="1" t="n">
        <v>46059</v>
      </c>
      <c r="D205" t="inlineStr">
        <is>
          <t>SÖDERMANLANDS LÄN</t>
        </is>
      </c>
      <c r="E205" t="inlineStr">
        <is>
          <t>KATRINEHOLM</t>
        </is>
      </c>
      <c r="G205" t="n">
        <v>2.2</v>
      </c>
      <c r="H205" t="n">
        <v>0</v>
      </c>
      <c r="I205" t="n">
        <v>0</v>
      </c>
      <c r="J205" t="n">
        <v>0</v>
      </c>
      <c r="K205" t="n">
        <v>0</v>
      </c>
      <c r="L205" t="n">
        <v>0</v>
      </c>
      <c r="M205" t="n">
        <v>0</v>
      </c>
      <c r="N205" t="n">
        <v>0</v>
      </c>
      <c r="O205" t="n">
        <v>0</v>
      </c>
      <c r="P205" t="n">
        <v>0</v>
      </c>
      <c r="Q205" t="n">
        <v>0</v>
      </c>
      <c r="R205" s="2" t="inlineStr"/>
    </row>
    <row r="206" ht="15" customHeight="1">
      <c r="A206" t="inlineStr">
        <is>
          <t>A 45147-2021</t>
        </is>
      </c>
      <c r="B206" s="1" t="n">
        <v>44439</v>
      </c>
      <c r="C206" s="1" t="n">
        <v>46059</v>
      </c>
      <c r="D206" t="inlineStr">
        <is>
          <t>SÖDERMANLANDS LÄN</t>
        </is>
      </c>
      <c r="E206" t="inlineStr">
        <is>
          <t>KATRINEHOLM</t>
        </is>
      </c>
      <c r="G206" t="n">
        <v>3.2</v>
      </c>
      <c r="H206" t="n">
        <v>0</v>
      </c>
      <c r="I206" t="n">
        <v>0</v>
      </c>
      <c r="J206" t="n">
        <v>0</v>
      </c>
      <c r="K206" t="n">
        <v>0</v>
      </c>
      <c r="L206" t="n">
        <v>0</v>
      </c>
      <c r="M206" t="n">
        <v>0</v>
      </c>
      <c r="N206" t="n">
        <v>0</v>
      </c>
      <c r="O206" t="n">
        <v>0</v>
      </c>
      <c r="P206" t="n">
        <v>0</v>
      </c>
      <c r="Q206" t="n">
        <v>0</v>
      </c>
      <c r="R206" s="2" t="inlineStr"/>
    </row>
    <row r="207" ht="15" customHeight="1">
      <c r="A207" t="inlineStr">
        <is>
          <t>A 19442-2023</t>
        </is>
      </c>
      <c r="B207" s="1" t="n">
        <v>45050</v>
      </c>
      <c r="C207" s="1" t="n">
        <v>46059</v>
      </c>
      <c r="D207" t="inlineStr">
        <is>
          <t>SÖDERMANLANDS LÄN</t>
        </is>
      </c>
      <c r="E207" t="inlineStr">
        <is>
          <t>KATRINEHOLM</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40749-2022</t>
        </is>
      </c>
      <c r="B208" s="1" t="n">
        <v>44824</v>
      </c>
      <c r="C208" s="1" t="n">
        <v>46059</v>
      </c>
      <c r="D208" t="inlineStr">
        <is>
          <t>SÖDERMANLANDS LÄN</t>
        </is>
      </c>
      <c r="E208" t="inlineStr">
        <is>
          <t>KATRINEHOLM</t>
        </is>
      </c>
      <c r="G208" t="n">
        <v>0.2</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46059</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28427-2024</t>
        </is>
      </c>
      <c r="B210" s="1" t="n">
        <v>45477.64910879629</v>
      </c>
      <c r="C210" s="1" t="n">
        <v>46059</v>
      </c>
      <c r="D210" t="inlineStr">
        <is>
          <t>SÖDERMANLANDS LÄN</t>
        </is>
      </c>
      <c r="E210" t="inlineStr">
        <is>
          <t>KATRINEHOLM</t>
        </is>
      </c>
      <c r="G210" t="n">
        <v>5.9</v>
      </c>
      <c r="H210" t="n">
        <v>0</v>
      </c>
      <c r="I210" t="n">
        <v>0</v>
      </c>
      <c r="J210" t="n">
        <v>0</v>
      </c>
      <c r="K210" t="n">
        <v>0</v>
      </c>
      <c r="L210" t="n">
        <v>0</v>
      </c>
      <c r="M210" t="n">
        <v>0</v>
      </c>
      <c r="N210" t="n">
        <v>0</v>
      </c>
      <c r="O210" t="n">
        <v>0</v>
      </c>
      <c r="P210" t="n">
        <v>0</v>
      </c>
      <c r="Q210" t="n">
        <v>0</v>
      </c>
      <c r="R210" s="2" t="inlineStr"/>
    </row>
    <row r="211" ht="15" customHeight="1">
      <c r="A211" t="inlineStr">
        <is>
          <t>A 50840-2022</t>
        </is>
      </c>
      <c r="B211" s="1" t="n">
        <v>44862</v>
      </c>
      <c r="C211" s="1" t="n">
        <v>46059</v>
      </c>
      <c r="D211" t="inlineStr">
        <is>
          <t>SÖDERMANLANDS LÄN</t>
        </is>
      </c>
      <c r="E211" t="inlineStr">
        <is>
          <t>KATRINEHOLM</t>
        </is>
      </c>
      <c r="G211" t="n">
        <v>4.2</v>
      </c>
      <c r="H211" t="n">
        <v>0</v>
      </c>
      <c r="I211" t="n">
        <v>0</v>
      </c>
      <c r="J211" t="n">
        <v>0</v>
      </c>
      <c r="K211" t="n">
        <v>0</v>
      </c>
      <c r="L211" t="n">
        <v>0</v>
      </c>
      <c r="M211" t="n">
        <v>0</v>
      </c>
      <c r="N211" t="n">
        <v>0</v>
      </c>
      <c r="O211" t="n">
        <v>0</v>
      </c>
      <c r="P211" t="n">
        <v>0</v>
      </c>
      <c r="Q211" t="n">
        <v>0</v>
      </c>
      <c r="R211" s="2" t="inlineStr"/>
    </row>
    <row r="212" ht="15" customHeight="1">
      <c r="A212" t="inlineStr">
        <is>
          <t>A 38708-2025</t>
        </is>
      </c>
      <c r="B212" s="1" t="n">
        <v>45885</v>
      </c>
      <c r="C212" s="1" t="n">
        <v>46059</v>
      </c>
      <c r="D212" t="inlineStr">
        <is>
          <t>SÖDERMANLANDS LÄN</t>
        </is>
      </c>
      <c r="E212" t="inlineStr">
        <is>
          <t>KATRINEHOLM</t>
        </is>
      </c>
      <c r="G212" t="n">
        <v>1.9</v>
      </c>
      <c r="H212" t="n">
        <v>0</v>
      </c>
      <c r="I212" t="n">
        <v>0</v>
      </c>
      <c r="J212" t="n">
        <v>0</v>
      </c>
      <c r="K212" t="n">
        <v>0</v>
      </c>
      <c r="L212" t="n">
        <v>0</v>
      </c>
      <c r="M212" t="n">
        <v>0</v>
      </c>
      <c r="N212" t="n">
        <v>0</v>
      </c>
      <c r="O212" t="n">
        <v>0</v>
      </c>
      <c r="P212" t="n">
        <v>0</v>
      </c>
      <c r="Q212" t="n">
        <v>0</v>
      </c>
      <c r="R212" s="2" t="inlineStr"/>
    </row>
    <row r="213" ht="15" customHeight="1">
      <c r="A213" t="inlineStr">
        <is>
          <t>A 11543-2025</t>
        </is>
      </c>
      <c r="B213" s="1" t="n">
        <v>45727.34248842593</v>
      </c>
      <c r="C213" s="1" t="n">
        <v>46059</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3060-2022</t>
        </is>
      </c>
      <c r="B214" s="1" t="n">
        <v>44582.40109953703</v>
      </c>
      <c r="C214" s="1" t="n">
        <v>46059</v>
      </c>
      <c r="D214" t="inlineStr">
        <is>
          <t>SÖDERMANLANDS LÄN</t>
        </is>
      </c>
      <c r="E214" t="inlineStr">
        <is>
          <t>KATRINEHOLM</t>
        </is>
      </c>
      <c r="G214" t="n">
        <v>1.6</v>
      </c>
      <c r="H214" t="n">
        <v>0</v>
      </c>
      <c r="I214" t="n">
        <v>0</v>
      </c>
      <c r="J214" t="n">
        <v>0</v>
      </c>
      <c r="K214" t="n">
        <v>0</v>
      </c>
      <c r="L214" t="n">
        <v>0</v>
      </c>
      <c r="M214" t="n">
        <v>0</v>
      </c>
      <c r="N214" t="n">
        <v>0</v>
      </c>
      <c r="O214" t="n">
        <v>0</v>
      </c>
      <c r="P214" t="n">
        <v>0</v>
      </c>
      <c r="Q214" t="n">
        <v>0</v>
      </c>
      <c r="R214" s="2" t="inlineStr"/>
    </row>
    <row r="215" ht="15" customHeight="1">
      <c r="A215" t="inlineStr">
        <is>
          <t>A 35188-2022</t>
        </is>
      </c>
      <c r="B215" s="1" t="n">
        <v>44797</v>
      </c>
      <c r="C215" s="1" t="n">
        <v>46059</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7705-2021</t>
        </is>
      </c>
      <c r="B216" s="1" t="n">
        <v>44242</v>
      </c>
      <c r="C216" s="1" t="n">
        <v>46059</v>
      </c>
      <c r="D216" t="inlineStr">
        <is>
          <t>SÖDERMANLANDS LÄN</t>
        </is>
      </c>
      <c r="E216" t="inlineStr">
        <is>
          <t>KATRINEHOLM</t>
        </is>
      </c>
      <c r="F216" t="inlineStr">
        <is>
          <t>Allmännings- och besparingsskogar</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6611-2023</t>
        </is>
      </c>
      <c r="B217" s="1" t="n">
        <v>44963</v>
      </c>
      <c r="C217" s="1" t="n">
        <v>46059</v>
      </c>
      <c r="D217" t="inlineStr">
        <is>
          <t>SÖDERMANLANDS LÄN</t>
        </is>
      </c>
      <c r="E217" t="inlineStr">
        <is>
          <t>KATRINEHOLM</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37827-2025</t>
        </is>
      </c>
      <c r="B218" s="1" t="n">
        <v>45881.40907407407</v>
      </c>
      <c r="C218" s="1" t="n">
        <v>46059</v>
      </c>
      <c r="D218" t="inlineStr">
        <is>
          <t>SÖDERMANLANDS LÄN</t>
        </is>
      </c>
      <c r="E218" t="inlineStr">
        <is>
          <t>KATRINEHOLM</t>
        </is>
      </c>
      <c r="F218" t="inlineStr">
        <is>
          <t>Övriga Aktiebolag</t>
        </is>
      </c>
      <c r="G218" t="n">
        <v>2</v>
      </c>
      <c r="H218" t="n">
        <v>0</v>
      </c>
      <c r="I218" t="n">
        <v>0</v>
      </c>
      <c r="J218" t="n">
        <v>0</v>
      </c>
      <c r="K218" t="n">
        <v>0</v>
      </c>
      <c r="L218" t="n">
        <v>0</v>
      </c>
      <c r="M218" t="n">
        <v>0</v>
      </c>
      <c r="N218" t="n">
        <v>0</v>
      </c>
      <c r="O218" t="n">
        <v>0</v>
      </c>
      <c r="P218" t="n">
        <v>0</v>
      </c>
      <c r="Q218" t="n">
        <v>0</v>
      </c>
      <c r="R218" s="2" t="inlineStr"/>
    </row>
    <row r="219" ht="15" customHeight="1">
      <c r="A219" t="inlineStr">
        <is>
          <t>A 50804-2023</t>
        </is>
      </c>
      <c r="B219" s="1" t="n">
        <v>45211</v>
      </c>
      <c r="C219" s="1" t="n">
        <v>46059</v>
      </c>
      <c r="D219" t="inlineStr">
        <is>
          <t>SÖDERMANLANDS LÄN</t>
        </is>
      </c>
      <c r="E219" t="inlineStr">
        <is>
          <t>KATRINEHOLM</t>
        </is>
      </c>
      <c r="G219" t="n">
        <v>4</v>
      </c>
      <c r="H219" t="n">
        <v>0</v>
      </c>
      <c r="I219" t="n">
        <v>0</v>
      </c>
      <c r="J219" t="n">
        <v>0</v>
      </c>
      <c r="K219" t="n">
        <v>0</v>
      </c>
      <c r="L219" t="n">
        <v>0</v>
      </c>
      <c r="M219" t="n">
        <v>0</v>
      </c>
      <c r="N219" t="n">
        <v>0</v>
      </c>
      <c r="O219" t="n">
        <v>0</v>
      </c>
      <c r="P219" t="n">
        <v>0</v>
      </c>
      <c r="Q219" t="n">
        <v>0</v>
      </c>
      <c r="R219" s="2" t="inlineStr"/>
    </row>
    <row r="220" ht="15" customHeight="1">
      <c r="A220" t="inlineStr">
        <is>
          <t>A 20533-2023</t>
        </is>
      </c>
      <c r="B220" s="1" t="n">
        <v>45057</v>
      </c>
      <c r="C220" s="1" t="n">
        <v>46059</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c r="T220">
        <f>HYPERLINK("https://klasma.github.io/Logging_0483/kartor/A 20533-2023 karta.png", "A 20533-2023")</f>
        <v/>
      </c>
      <c r="V220">
        <f>HYPERLINK("https://klasma.github.io/Logging_0483/klagomål/A 20533-2023 FSC-klagomål.docx", "A 20533-2023")</f>
        <v/>
      </c>
      <c r="W220">
        <f>HYPERLINK("https://klasma.github.io/Logging_0483/klagomålsmail/A 20533-2023 FSC-klagomål mail.docx", "A 20533-2023")</f>
        <v/>
      </c>
      <c r="X220">
        <f>HYPERLINK("https://klasma.github.io/Logging_0483/tillsyn/A 20533-2023 tillsynsbegäran.docx", "A 20533-2023")</f>
        <v/>
      </c>
      <c r="Y220">
        <f>HYPERLINK("https://klasma.github.io/Logging_0483/tillsynsmail/A 20533-2023 tillsynsbegäran mail.docx", "A 20533-2023")</f>
        <v/>
      </c>
      <c r="Z220">
        <f>HYPERLINK("https://klasma.github.io/Logging_0483/fåglar/A 20533-2023 prioriterade fågelarter.docx", "A 20533-2023")</f>
        <v/>
      </c>
    </row>
    <row r="221" ht="15" customHeight="1">
      <c r="A221" t="inlineStr">
        <is>
          <t>A 6091-2025</t>
        </is>
      </c>
      <c r="B221" s="1" t="n">
        <v>45697</v>
      </c>
      <c r="C221" s="1" t="n">
        <v>46059</v>
      </c>
      <c r="D221" t="inlineStr">
        <is>
          <t>SÖDERMANLANDS LÄN</t>
        </is>
      </c>
      <c r="E221" t="inlineStr">
        <is>
          <t>KATRINEHOLM</t>
        </is>
      </c>
      <c r="G221" t="n">
        <v>2.4</v>
      </c>
      <c r="H221" t="n">
        <v>0</v>
      </c>
      <c r="I221" t="n">
        <v>0</v>
      </c>
      <c r="J221" t="n">
        <v>0</v>
      </c>
      <c r="K221" t="n">
        <v>0</v>
      </c>
      <c r="L221" t="n">
        <v>0</v>
      </c>
      <c r="M221" t="n">
        <v>0</v>
      </c>
      <c r="N221" t="n">
        <v>0</v>
      </c>
      <c r="O221" t="n">
        <v>0</v>
      </c>
      <c r="P221" t="n">
        <v>0</v>
      </c>
      <c r="Q221" t="n">
        <v>0</v>
      </c>
      <c r="R221" s="2" t="inlineStr"/>
    </row>
    <row r="222" ht="15" customHeight="1">
      <c r="A222" t="inlineStr">
        <is>
          <t>A 6093-2025</t>
        </is>
      </c>
      <c r="B222" s="1" t="n">
        <v>45697</v>
      </c>
      <c r="C222" s="1" t="n">
        <v>46059</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41966-2023</t>
        </is>
      </c>
      <c r="B223" s="1" t="n">
        <v>45177</v>
      </c>
      <c r="C223" s="1" t="n">
        <v>46059</v>
      </c>
      <c r="D223" t="inlineStr">
        <is>
          <t>SÖDERMANLANDS LÄN</t>
        </is>
      </c>
      <c r="E223" t="inlineStr">
        <is>
          <t>KATRINEHOLM</t>
        </is>
      </c>
      <c r="G223" t="n">
        <v>36.9</v>
      </c>
      <c r="H223" t="n">
        <v>0</v>
      </c>
      <c r="I223" t="n">
        <v>0</v>
      </c>
      <c r="J223" t="n">
        <v>0</v>
      </c>
      <c r="K223" t="n">
        <v>0</v>
      </c>
      <c r="L223" t="n">
        <v>0</v>
      </c>
      <c r="M223" t="n">
        <v>0</v>
      </c>
      <c r="N223" t="n">
        <v>0</v>
      </c>
      <c r="O223" t="n">
        <v>0</v>
      </c>
      <c r="P223" t="n">
        <v>0</v>
      </c>
      <c r="Q223" t="n">
        <v>0</v>
      </c>
      <c r="R223" s="2" t="inlineStr"/>
    </row>
    <row r="224" ht="15" customHeight="1">
      <c r="A224" t="inlineStr">
        <is>
          <t>A 43499-2021</t>
        </is>
      </c>
      <c r="B224" s="1" t="n">
        <v>44433</v>
      </c>
      <c r="C224" s="1" t="n">
        <v>46059</v>
      </c>
      <c r="D224" t="inlineStr">
        <is>
          <t>SÖDERMANLANDS LÄN</t>
        </is>
      </c>
      <c r="E224" t="inlineStr">
        <is>
          <t>KATRINEHOLM</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53996-2023</t>
        </is>
      </c>
      <c r="B225" s="1" t="n">
        <v>45231</v>
      </c>
      <c r="C225" s="1" t="n">
        <v>46059</v>
      </c>
      <c r="D225" t="inlineStr">
        <is>
          <t>SÖDERMANLANDS LÄN</t>
        </is>
      </c>
      <c r="E225" t="inlineStr">
        <is>
          <t>KATRINEHOLM</t>
        </is>
      </c>
      <c r="G225" t="n">
        <v>4.9</v>
      </c>
      <c r="H225" t="n">
        <v>0</v>
      </c>
      <c r="I225" t="n">
        <v>0</v>
      </c>
      <c r="J225" t="n">
        <v>0</v>
      </c>
      <c r="K225" t="n">
        <v>0</v>
      </c>
      <c r="L225" t="n">
        <v>0</v>
      </c>
      <c r="M225" t="n">
        <v>0</v>
      </c>
      <c r="N225" t="n">
        <v>0</v>
      </c>
      <c r="O225" t="n">
        <v>0</v>
      </c>
      <c r="P225" t="n">
        <v>0</v>
      </c>
      <c r="Q225" t="n">
        <v>0</v>
      </c>
      <c r="R225" s="2" t="inlineStr"/>
    </row>
    <row r="226" ht="15" customHeight="1">
      <c r="A226" t="inlineStr">
        <is>
          <t>A 58473-2021</t>
        </is>
      </c>
      <c r="B226" s="1" t="n">
        <v>44488</v>
      </c>
      <c r="C226" s="1" t="n">
        <v>46059</v>
      </c>
      <c r="D226" t="inlineStr">
        <is>
          <t>SÖDERMANLANDS LÄN</t>
        </is>
      </c>
      <c r="E226" t="inlineStr">
        <is>
          <t>KATRINEHOLM</t>
        </is>
      </c>
      <c r="G226" t="n">
        <v>0.5</v>
      </c>
      <c r="H226" t="n">
        <v>0</v>
      </c>
      <c r="I226" t="n">
        <v>0</v>
      </c>
      <c r="J226" t="n">
        <v>0</v>
      </c>
      <c r="K226" t="n">
        <v>0</v>
      </c>
      <c r="L226" t="n">
        <v>0</v>
      </c>
      <c r="M226" t="n">
        <v>0</v>
      </c>
      <c r="N226" t="n">
        <v>0</v>
      </c>
      <c r="O226" t="n">
        <v>0</v>
      </c>
      <c r="P226" t="n">
        <v>0</v>
      </c>
      <c r="Q226" t="n">
        <v>0</v>
      </c>
      <c r="R226" s="2" t="inlineStr"/>
    </row>
    <row r="227" ht="15" customHeight="1">
      <c r="A227" t="inlineStr">
        <is>
          <t>A 33790-2024</t>
        </is>
      </c>
      <c r="B227" s="1" t="n">
        <v>45520.59179398148</v>
      </c>
      <c r="C227" s="1" t="n">
        <v>46059</v>
      </c>
      <c r="D227" t="inlineStr">
        <is>
          <t>SÖDERMANLANDS LÄN</t>
        </is>
      </c>
      <c r="E227" t="inlineStr">
        <is>
          <t>KATRINEHOLM</t>
        </is>
      </c>
      <c r="G227" t="n">
        <v>14</v>
      </c>
      <c r="H227" t="n">
        <v>0</v>
      </c>
      <c r="I227" t="n">
        <v>0</v>
      </c>
      <c r="J227" t="n">
        <v>0</v>
      </c>
      <c r="K227" t="n">
        <v>0</v>
      </c>
      <c r="L227" t="n">
        <v>0</v>
      </c>
      <c r="M227" t="n">
        <v>0</v>
      </c>
      <c r="N227" t="n">
        <v>0</v>
      </c>
      <c r="O227" t="n">
        <v>0</v>
      </c>
      <c r="P227" t="n">
        <v>0</v>
      </c>
      <c r="Q227" t="n">
        <v>0</v>
      </c>
      <c r="R227" s="2" t="inlineStr"/>
    </row>
    <row r="228" ht="15" customHeight="1">
      <c r="A228" t="inlineStr">
        <is>
          <t>A 47456-2022</t>
        </is>
      </c>
      <c r="B228" s="1" t="n">
        <v>44852</v>
      </c>
      <c r="C228" s="1" t="n">
        <v>46059</v>
      </c>
      <c r="D228" t="inlineStr">
        <is>
          <t>SÖDERMANLANDS LÄN</t>
        </is>
      </c>
      <c r="E228" t="inlineStr">
        <is>
          <t>KATRINEHOLM</t>
        </is>
      </c>
      <c r="G228" t="n">
        <v>3.7</v>
      </c>
      <c r="H228" t="n">
        <v>0</v>
      </c>
      <c r="I228" t="n">
        <v>0</v>
      </c>
      <c r="J228" t="n">
        <v>0</v>
      </c>
      <c r="K228" t="n">
        <v>0</v>
      </c>
      <c r="L228" t="n">
        <v>0</v>
      </c>
      <c r="M228" t="n">
        <v>0</v>
      </c>
      <c r="N228" t="n">
        <v>0</v>
      </c>
      <c r="O228" t="n">
        <v>0</v>
      </c>
      <c r="P228" t="n">
        <v>0</v>
      </c>
      <c r="Q228" t="n">
        <v>0</v>
      </c>
      <c r="R228" s="2" t="inlineStr"/>
    </row>
    <row r="229" ht="15" customHeight="1">
      <c r="A229" t="inlineStr">
        <is>
          <t>A 23347-2023</t>
        </is>
      </c>
      <c r="B229" s="1" t="n">
        <v>45076</v>
      </c>
      <c r="C229" s="1" t="n">
        <v>46059</v>
      </c>
      <c r="D229" t="inlineStr">
        <is>
          <t>SÖDERMANLANDS LÄN</t>
        </is>
      </c>
      <c r="E229" t="inlineStr">
        <is>
          <t>KATRINEHOLM</t>
        </is>
      </c>
      <c r="G229" t="n">
        <v>4.3</v>
      </c>
      <c r="H229" t="n">
        <v>0</v>
      </c>
      <c r="I229" t="n">
        <v>0</v>
      </c>
      <c r="J229" t="n">
        <v>0</v>
      </c>
      <c r="K229" t="n">
        <v>0</v>
      </c>
      <c r="L229" t="n">
        <v>0</v>
      </c>
      <c r="M229" t="n">
        <v>0</v>
      </c>
      <c r="N229" t="n">
        <v>0</v>
      </c>
      <c r="O229" t="n">
        <v>0</v>
      </c>
      <c r="P229" t="n">
        <v>0</v>
      </c>
      <c r="Q229" t="n">
        <v>0</v>
      </c>
      <c r="R229" s="2" t="inlineStr"/>
    </row>
    <row r="230" ht="15" customHeight="1">
      <c r="A230" t="inlineStr">
        <is>
          <t>A 74354-2021</t>
        </is>
      </c>
      <c r="B230" s="1" t="n">
        <v>44559.57041666667</v>
      </c>
      <c r="C230" s="1" t="n">
        <v>46059</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52348-2021</t>
        </is>
      </c>
      <c r="B231" s="1" t="n">
        <v>44464.49756944444</v>
      </c>
      <c r="C231" s="1" t="n">
        <v>46059</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46059</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56628-2021</t>
        </is>
      </c>
      <c r="B233" s="1" t="n">
        <v>44480</v>
      </c>
      <c r="C233" s="1" t="n">
        <v>46059</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45438-2021</t>
        </is>
      </c>
      <c r="B234" s="1" t="n">
        <v>44440</v>
      </c>
      <c r="C234" s="1" t="n">
        <v>46059</v>
      </c>
      <c r="D234" t="inlineStr">
        <is>
          <t>SÖDERMANLANDS LÄN</t>
        </is>
      </c>
      <c r="E234" t="inlineStr">
        <is>
          <t>KATRINEHOLM</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20949-2021</t>
        </is>
      </c>
      <c r="B235" s="1" t="n">
        <v>44319</v>
      </c>
      <c r="C235" s="1" t="n">
        <v>46059</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39645-2025</t>
        </is>
      </c>
      <c r="B236" s="1" t="n">
        <v>45890</v>
      </c>
      <c r="C236" s="1" t="n">
        <v>46059</v>
      </c>
      <c r="D236" t="inlineStr">
        <is>
          <t>SÖDERMANLANDS LÄN</t>
        </is>
      </c>
      <c r="E236" t="inlineStr">
        <is>
          <t>KATRINEHOLM</t>
        </is>
      </c>
      <c r="G236" t="n">
        <v>0.2</v>
      </c>
      <c r="H236" t="n">
        <v>0</v>
      </c>
      <c r="I236" t="n">
        <v>0</v>
      </c>
      <c r="J236" t="n">
        <v>0</v>
      </c>
      <c r="K236" t="n">
        <v>0</v>
      </c>
      <c r="L236" t="n">
        <v>0</v>
      </c>
      <c r="M236" t="n">
        <v>0</v>
      </c>
      <c r="N236" t="n">
        <v>0</v>
      </c>
      <c r="O236" t="n">
        <v>0</v>
      </c>
      <c r="P236" t="n">
        <v>0</v>
      </c>
      <c r="Q236" t="n">
        <v>0</v>
      </c>
      <c r="R236" s="2" t="inlineStr"/>
    </row>
    <row r="237" ht="15" customHeight="1">
      <c r="A237" t="inlineStr">
        <is>
          <t>A 50061-2022</t>
        </is>
      </c>
      <c r="B237" s="1" t="n">
        <v>44865</v>
      </c>
      <c r="C237" s="1" t="n">
        <v>46059</v>
      </c>
      <c r="D237" t="inlineStr">
        <is>
          <t>SÖDERMANLANDS LÄN</t>
        </is>
      </c>
      <c r="E237" t="inlineStr">
        <is>
          <t>KATRINEHOLM</t>
        </is>
      </c>
      <c r="G237" t="n">
        <v>4.9</v>
      </c>
      <c r="H237" t="n">
        <v>0</v>
      </c>
      <c r="I237" t="n">
        <v>0</v>
      </c>
      <c r="J237" t="n">
        <v>0</v>
      </c>
      <c r="K237" t="n">
        <v>0</v>
      </c>
      <c r="L237" t="n">
        <v>0</v>
      </c>
      <c r="M237" t="n">
        <v>0</v>
      </c>
      <c r="N237" t="n">
        <v>0</v>
      </c>
      <c r="O237" t="n">
        <v>0</v>
      </c>
      <c r="P237" t="n">
        <v>0</v>
      </c>
      <c r="Q237" t="n">
        <v>0</v>
      </c>
      <c r="R237" s="2" t="inlineStr"/>
    </row>
    <row r="238" ht="15" customHeight="1">
      <c r="A238" t="inlineStr">
        <is>
          <t>A 10446-2024</t>
        </is>
      </c>
      <c r="B238" s="1" t="n">
        <v>45366</v>
      </c>
      <c r="C238" s="1" t="n">
        <v>46059</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53860-2021</t>
        </is>
      </c>
      <c r="B239" s="1" t="n">
        <v>44467</v>
      </c>
      <c r="C239" s="1" t="n">
        <v>46059</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23842-2023</t>
        </is>
      </c>
      <c r="B240" s="1" t="n">
        <v>45075</v>
      </c>
      <c r="C240" s="1" t="n">
        <v>46059</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36210-2022</t>
        </is>
      </c>
      <c r="B241" s="1" t="n">
        <v>44803.47950231482</v>
      </c>
      <c r="C241" s="1" t="n">
        <v>46059</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34263-2023</t>
        </is>
      </c>
      <c r="B242" s="1" t="n">
        <v>45138.60248842592</v>
      </c>
      <c r="C242" s="1" t="n">
        <v>46059</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39663-2025</t>
        </is>
      </c>
      <c r="B243" s="1" t="n">
        <v>45890</v>
      </c>
      <c r="C243" s="1" t="n">
        <v>46059</v>
      </c>
      <c r="D243" t="inlineStr">
        <is>
          <t>SÖDERMANLANDS LÄN</t>
        </is>
      </c>
      <c r="E243" t="inlineStr">
        <is>
          <t>KATRINEHOLM</t>
        </is>
      </c>
      <c r="G243" t="n">
        <v>0.5</v>
      </c>
      <c r="H243" t="n">
        <v>0</v>
      </c>
      <c r="I243" t="n">
        <v>0</v>
      </c>
      <c r="J243" t="n">
        <v>0</v>
      </c>
      <c r="K243" t="n">
        <v>0</v>
      </c>
      <c r="L243" t="n">
        <v>0</v>
      </c>
      <c r="M243" t="n">
        <v>0</v>
      </c>
      <c r="N243" t="n">
        <v>0</v>
      </c>
      <c r="O243" t="n">
        <v>0</v>
      </c>
      <c r="P243" t="n">
        <v>0</v>
      </c>
      <c r="Q243" t="n">
        <v>0</v>
      </c>
      <c r="R243" s="2" t="inlineStr"/>
    </row>
    <row r="244" ht="15" customHeight="1">
      <c r="A244" t="inlineStr">
        <is>
          <t>A 46899-2022</t>
        </is>
      </c>
      <c r="B244" s="1" t="n">
        <v>44848</v>
      </c>
      <c r="C244" s="1" t="n">
        <v>46059</v>
      </c>
      <c r="D244" t="inlineStr">
        <is>
          <t>SÖDERMANLANDS LÄN</t>
        </is>
      </c>
      <c r="E244" t="inlineStr">
        <is>
          <t>KATRINEHOLM</t>
        </is>
      </c>
      <c r="G244" t="n">
        <v>2</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46059</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39668-2025</t>
        </is>
      </c>
      <c r="B246" s="1" t="n">
        <v>45890</v>
      </c>
      <c r="C246" s="1" t="n">
        <v>46059</v>
      </c>
      <c r="D246" t="inlineStr">
        <is>
          <t>SÖDERMANLANDS LÄN</t>
        </is>
      </c>
      <c r="E246" t="inlineStr">
        <is>
          <t>KATRINEHOLM</t>
        </is>
      </c>
      <c r="G246" t="n">
        <v>2.9</v>
      </c>
      <c r="H246" t="n">
        <v>0</v>
      </c>
      <c r="I246" t="n">
        <v>0</v>
      </c>
      <c r="J246" t="n">
        <v>0</v>
      </c>
      <c r="K246" t="n">
        <v>0</v>
      </c>
      <c r="L246" t="n">
        <v>0</v>
      </c>
      <c r="M246" t="n">
        <v>0</v>
      </c>
      <c r="N246" t="n">
        <v>0</v>
      </c>
      <c r="O246" t="n">
        <v>0</v>
      </c>
      <c r="P246" t="n">
        <v>0</v>
      </c>
      <c r="Q246" t="n">
        <v>0</v>
      </c>
      <c r="R246" s="2" t="inlineStr"/>
    </row>
    <row r="247" ht="15" customHeight="1">
      <c r="A247" t="inlineStr">
        <is>
          <t>A 57524-2021</t>
        </is>
      </c>
      <c r="B247" s="1" t="n">
        <v>44483</v>
      </c>
      <c r="C247" s="1" t="n">
        <v>46059</v>
      </c>
      <c r="D247" t="inlineStr">
        <is>
          <t>SÖDERMANLANDS LÄN</t>
        </is>
      </c>
      <c r="E247" t="inlineStr">
        <is>
          <t>KATRINEHOLM</t>
        </is>
      </c>
      <c r="G247" t="n">
        <v>0.4</v>
      </c>
      <c r="H247" t="n">
        <v>0</v>
      </c>
      <c r="I247" t="n">
        <v>0</v>
      </c>
      <c r="J247" t="n">
        <v>0</v>
      </c>
      <c r="K247" t="n">
        <v>0</v>
      </c>
      <c r="L247" t="n">
        <v>0</v>
      </c>
      <c r="M247" t="n">
        <v>0</v>
      </c>
      <c r="N247" t="n">
        <v>0</v>
      </c>
      <c r="O247" t="n">
        <v>0</v>
      </c>
      <c r="P247" t="n">
        <v>0</v>
      </c>
      <c r="Q247" t="n">
        <v>0</v>
      </c>
      <c r="R247" s="2" t="inlineStr"/>
    </row>
    <row r="248" ht="15" customHeight="1">
      <c r="A248" t="inlineStr">
        <is>
          <t>A 931-2023</t>
        </is>
      </c>
      <c r="B248" s="1" t="n">
        <v>44932.74261574074</v>
      </c>
      <c r="C248" s="1" t="n">
        <v>46059</v>
      </c>
      <c r="D248" t="inlineStr">
        <is>
          <t>SÖDERMANLANDS LÄN</t>
        </is>
      </c>
      <c r="E248" t="inlineStr">
        <is>
          <t>KATRINEHOLM</t>
        </is>
      </c>
      <c r="G248" t="n">
        <v>4</v>
      </c>
      <c r="H248" t="n">
        <v>0</v>
      </c>
      <c r="I248" t="n">
        <v>0</v>
      </c>
      <c r="J248" t="n">
        <v>0</v>
      </c>
      <c r="K248" t="n">
        <v>0</v>
      </c>
      <c r="L248" t="n">
        <v>0</v>
      </c>
      <c r="M248" t="n">
        <v>0</v>
      </c>
      <c r="N248" t="n">
        <v>0</v>
      </c>
      <c r="O248" t="n">
        <v>0</v>
      </c>
      <c r="P248" t="n">
        <v>0</v>
      </c>
      <c r="Q248" t="n">
        <v>0</v>
      </c>
      <c r="R248" s="2" t="inlineStr"/>
    </row>
    <row r="249" ht="15" customHeight="1">
      <c r="A249" t="inlineStr">
        <is>
          <t>A 55171-2023</t>
        </is>
      </c>
      <c r="B249" s="1" t="n">
        <v>45231</v>
      </c>
      <c r="C249" s="1" t="n">
        <v>46059</v>
      </c>
      <c r="D249" t="inlineStr">
        <is>
          <t>SÖDERMANLANDS LÄN</t>
        </is>
      </c>
      <c r="E249" t="inlineStr">
        <is>
          <t>KATRINEHOLM</t>
        </is>
      </c>
      <c r="G249" t="n">
        <v>4.2</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46059</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53393-2023</t>
        </is>
      </c>
      <c r="B251" s="1" t="n">
        <v>45229</v>
      </c>
      <c r="C251" s="1" t="n">
        <v>46059</v>
      </c>
      <c r="D251" t="inlineStr">
        <is>
          <t>SÖDERMANLANDS LÄN</t>
        </is>
      </c>
      <c r="E251" t="inlineStr">
        <is>
          <t>KATRINEHOLM</t>
        </is>
      </c>
      <c r="F251" t="inlineStr">
        <is>
          <t>Kyrkan</t>
        </is>
      </c>
      <c r="G251" t="n">
        <v>5.6</v>
      </c>
      <c r="H251" t="n">
        <v>0</v>
      </c>
      <c r="I251" t="n">
        <v>0</v>
      </c>
      <c r="J251" t="n">
        <v>0</v>
      </c>
      <c r="K251" t="n">
        <v>0</v>
      </c>
      <c r="L251" t="n">
        <v>0</v>
      </c>
      <c r="M251" t="n">
        <v>0</v>
      </c>
      <c r="N251" t="n">
        <v>0</v>
      </c>
      <c r="O251" t="n">
        <v>0</v>
      </c>
      <c r="P251" t="n">
        <v>0</v>
      </c>
      <c r="Q251" t="n">
        <v>0</v>
      </c>
      <c r="R251" s="2" t="inlineStr"/>
    </row>
    <row r="252" ht="15" customHeight="1">
      <c r="A252" t="inlineStr">
        <is>
          <t>A 48682-2022</t>
        </is>
      </c>
      <c r="B252" s="1" t="n">
        <v>44859</v>
      </c>
      <c r="C252" s="1" t="n">
        <v>46059</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39737-2025</t>
        </is>
      </c>
      <c r="B253" s="1" t="n">
        <v>45891</v>
      </c>
      <c r="C253" s="1" t="n">
        <v>46059</v>
      </c>
      <c r="D253" t="inlineStr">
        <is>
          <t>SÖDERMANLANDS LÄN</t>
        </is>
      </c>
      <c r="E253" t="inlineStr">
        <is>
          <t>KATRINEHOLM</t>
        </is>
      </c>
      <c r="F253" t="inlineStr">
        <is>
          <t>Holmen skog AB</t>
        </is>
      </c>
      <c r="G253" t="n">
        <v>1.6</v>
      </c>
      <c r="H253" t="n">
        <v>0</v>
      </c>
      <c r="I253" t="n">
        <v>0</v>
      </c>
      <c r="J253" t="n">
        <v>0</v>
      </c>
      <c r="K253" t="n">
        <v>0</v>
      </c>
      <c r="L253" t="n">
        <v>0</v>
      </c>
      <c r="M253" t="n">
        <v>0</v>
      </c>
      <c r="N253" t="n">
        <v>0</v>
      </c>
      <c r="O253" t="n">
        <v>0</v>
      </c>
      <c r="P253" t="n">
        <v>0</v>
      </c>
      <c r="Q253" t="n">
        <v>0</v>
      </c>
      <c r="R253" s="2" t="inlineStr"/>
    </row>
    <row r="254" ht="15" customHeight="1">
      <c r="A254" t="inlineStr">
        <is>
          <t>A 39847-2025</t>
        </is>
      </c>
      <c r="B254" s="1" t="n">
        <v>45891.58381944444</v>
      </c>
      <c r="C254" s="1" t="n">
        <v>46059</v>
      </c>
      <c r="D254" t="inlineStr">
        <is>
          <t>SÖDERMANLANDS LÄN</t>
        </is>
      </c>
      <c r="E254" t="inlineStr">
        <is>
          <t>KATRINEHOLM</t>
        </is>
      </c>
      <c r="F254" t="inlineStr">
        <is>
          <t>Holmen skog AB</t>
        </is>
      </c>
      <c r="G254" t="n">
        <v>2.5</v>
      </c>
      <c r="H254" t="n">
        <v>0</v>
      </c>
      <c r="I254" t="n">
        <v>0</v>
      </c>
      <c r="J254" t="n">
        <v>0</v>
      </c>
      <c r="K254" t="n">
        <v>0</v>
      </c>
      <c r="L254" t="n">
        <v>0</v>
      </c>
      <c r="M254" t="n">
        <v>0</v>
      </c>
      <c r="N254" t="n">
        <v>0</v>
      </c>
      <c r="O254" t="n">
        <v>0</v>
      </c>
      <c r="P254" t="n">
        <v>0</v>
      </c>
      <c r="Q254" t="n">
        <v>0</v>
      </c>
      <c r="R254" s="2" t="inlineStr"/>
    </row>
    <row r="255" ht="15" customHeight="1">
      <c r="A255" t="inlineStr">
        <is>
          <t>A 23031-2024</t>
        </is>
      </c>
      <c r="B255" s="1" t="n">
        <v>45450.38120370371</v>
      </c>
      <c r="C255" s="1" t="n">
        <v>46059</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22506-2023</t>
        </is>
      </c>
      <c r="B256" s="1" t="n">
        <v>45071.37393518518</v>
      </c>
      <c r="C256" s="1" t="n">
        <v>46059</v>
      </c>
      <c r="D256" t="inlineStr">
        <is>
          <t>SÖDERMANLANDS LÄN</t>
        </is>
      </c>
      <c r="E256" t="inlineStr">
        <is>
          <t>KATRINEHOLM</t>
        </is>
      </c>
      <c r="F256" t="inlineStr">
        <is>
          <t>Kyrkan</t>
        </is>
      </c>
      <c r="G256" t="n">
        <v>5.9</v>
      </c>
      <c r="H256" t="n">
        <v>0</v>
      </c>
      <c r="I256" t="n">
        <v>0</v>
      </c>
      <c r="J256" t="n">
        <v>0</v>
      </c>
      <c r="K256" t="n">
        <v>0</v>
      </c>
      <c r="L256" t="n">
        <v>0</v>
      </c>
      <c r="M256" t="n">
        <v>0</v>
      </c>
      <c r="N256" t="n">
        <v>0</v>
      </c>
      <c r="O256" t="n">
        <v>0</v>
      </c>
      <c r="P256" t="n">
        <v>0</v>
      </c>
      <c r="Q256" t="n">
        <v>0</v>
      </c>
      <c r="R256" s="2" t="inlineStr"/>
    </row>
    <row r="257" ht="15" customHeight="1">
      <c r="A257" t="inlineStr">
        <is>
          <t>A 12888-2025</t>
        </is>
      </c>
      <c r="B257" s="1" t="n">
        <v>45733</v>
      </c>
      <c r="C257" s="1" t="n">
        <v>46059</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17246-2024</t>
        </is>
      </c>
      <c r="B258" s="1" t="n">
        <v>45414</v>
      </c>
      <c r="C258" s="1" t="n">
        <v>46059</v>
      </c>
      <c r="D258" t="inlineStr">
        <is>
          <t>SÖDERMANLANDS LÄN</t>
        </is>
      </c>
      <c r="E258" t="inlineStr">
        <is>
          <t>KATRINEHOLM</t>
        </is>
      </c>
      <c r="F258" t="inlineStr">
        <is>
          <t>Allmännings- och besparingsskogar</t>
        </is>
      </c>
      <c r="G258" t="n">
        <v>13.7</v>
      </c>
      <c r="H258" t="n">
        <v>0</v>
      </c>
      <c r="I258" t="n">
        <v>0</v>
      </c>
      <c r="J258" t="n">
        <v>0</v>
      </c>
      <c r="K258" t="n">
        <v>0</v>
      </c>
      <c r="L258" t="n">
        <v>0</v>
      </c>
      <c r="M258" t="n">
        <v>0</v>
      </c>
      <c r="N258" t="n">
        <v>0</v>
      </c>
      <c r="O258" t="n">
        <v>0</v>
      </c>
      <c r="P258" t="n">
        <v>0</v>
      </c>
      <c r="Q258" t="n">
        <v>0</v>
      </c>
      <c r="R258" s="2" t="inlineStr"/>
    </row>
    <row r="259" ht="15" customHeight="1">
      <c r="A259" t="inlineStr">
        <is>
          <t>A 20460-2025</t>
        </is>
      </c>
      <c r="B259" s="1" t="n">
        <v>45775.52854166667</v>
      </c>
      <c r="C259" s="1" t="n">
        <v>46059</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22345-2023</t>
        </is>
      </c>
      <c r="B260" s="1" t="n">
        <v>45070</v>
      </c>
      <c r="C260" s="1" t="n">
        <v>46059</v>
      </c>
      <c r="D260" t="inlineStr">
        <is>
          <t>SÖDERMANLANDS LÄN</t>
        </is>
      </c>
      <c r="E260" t="inlineStr">
        <is>
          <t>KATRINEHOLM</t>
        </is>
      </c>
      <c r="F260" t="inlineStr">
        <is>
          <t>Holmen skog AB</t>
        </is>
      </c>
      <c r="G260" t="n">
        <v>2</v>
      </c>
      <c r="H260" t="n">
        <v>0</v>
      </c>
      <c r="I260" t="n">
        <v>0</v>
      </c>
      <c r="J260" t="n">
        <v>0</v>
      </c>
      <c r="K260" t="n">
        <v>0</v>
      </c>
      <c r="L260" t="n">
        <v>0</v>
      </c>
      <c r="M260" t="n">
        <v>0</v>
      </c>
      <c r="N260" t="n">
        <v>0</v>
      </c>
      <c r="O260" t="n">
        <v>0</v>
      </c>
      <c r="P260" t="n">
        <v>0</v>
      </c>
      <c r="Q260" t="n">
        <v>0</v>
      </c>
      <c r="R260" s="2" t="inlineStr"/>
    </row>
    <row r="261" ht="15" customHeight="1">
      <c r="A261" t="inlineStr">
        <is>
          <t>A 9693-2024</t>
        </is>
      </c>
      <c r="B261" s="1" t="n">
        <v>45362</v>
      </c>
      <c r="C261" s="1" t="n">
        <v>46059</v>
      </c>
      <c r="D261" t="inlineStr">
        <is>
          <t>SÖDERMANLANDS LÄN</t>
        </is>
      </c>
      <c r="E261" t="inlineStr">
        <is>
          <t>KATRINEHOLM</t>
        </is>
      </c>
      <c r="G261" t="n">
        <v>5.9</v>
      </c>
      <c r="H261" t="n">
        <v>0</v>
      </c>
      <c r="I261" t="n">
        <v>0</v>
      </c>
      <c r="J261" t="n">
        <v>0</v>
      </c>
      <c r="K261" t="n">
        <v>0</v>
      </c>
      <c r="L261" t="n">
        <v>0</v>
      </c>
      <c r="M261" t="n">
        <v>0</v>
      </c>
      <c r="N261" t="n">
        <v>0</v>
      </c>
      <c r="O261" t="n">
        <v>0</v>
      </c>
      <c r="P261" t="n">
        <v>0</v>
      </c>
      <c r="Q261" t="n">
        <v>0</v>
      </c>
      <c r="R261" s="2" t="inlineStr"/>
    </row>
    <row r="262" ht="15" customHeight="1">
      <c r="A262" t="inlineStr">
        <is>
          <t>A 43964-2022</t>
        </is>
      </c>
      <c r="B262" s="1" t="n">
        <v>44837</v>
      </c>
      <c r="C262" s="1" t="n">
        <v>46059</v>
      </c>
      <c r="D262" t="inlineStr">
        <is>
          <t>SÖDERMANLANDS LÄN</t>
        </is>
      </c>
      <c r="E262" t="inlineStr">
        <is>
          <t>KATRINEHOLM</t>
        </is>
      </c>
      <c r="G262" t="n">
        <v>3.6</v>
      </c>
      <c r="H262" t="n">
        <v>0</v>
      </c>
      <c r="I262" t="n">
        <v>0</v>
      </c>
      <c r="J262" t="n">
        <v>0</v>
      </c>
      <c r="K262" t="n">
        <v>0</v>
      </c>
      <c r="L262" t="n">
        <v>0</v>
      </c>
      <c r="M262" t="n">
        <v>0</v>
      </c>
      <c r="N262" t="n">
        <v>0</v>
      </c>
      <c r="O262" t="n">
        <v>0</v>
      </c>
      <c r="P262" t="n">
        <v>0</v>
      </c>
      <c r="Q262" t="n">
        <v>0</v>
      </c>
      <c r="R262" s="2" t="inlineStr"/>
    </row>
    <row r="263" ht="15" customHeight="1">
      <c r="A263" t="inlineStr">
        <is>
          <t>A 48877-2022</t>
        </is>
      </c>
      <c r="B263" s="1" t="n">
        <v>44859</v>
      </c>
      <c r="C263" s="1" t="n">
        <v>46059</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42015-2022</t>
        </is>
      </c>
      <c r="B264" s="1" t="n">
        <v>44830.4649074074</v>
      </c>
      <c r="C264" s="1" t="n">
        <v>46059</v>
      </c>
      <c r="D264" t="inlineStr">
        <is>
          <t>SÖDERMANLANDS LÄN</t>
        </is>
      </c>
      <c r="E264" t="inlineStr">
        <is>
          <t>KATRINEHOLM</t>
        </is>
      </c>
      <c r="G264" t="n">
        <v>3.8</v>
      </c>
      <c r="H264" t="n">
        <v>0</v>
      </c>
      <c r="I264" t="n">
        <v>0</v>
      </c>
      <c r="J264" t="n">
        <v>0</v>
      </c>
      <c r="K264" t="n">
        <v>0</v>
      </c>
      <c r="L264" t="n">
        <v>0</v>
      </c>
      <c r="M264" t="n">
        <v>0</v>
      </c>
      <c r="N264" t="n">
        <v>0</v>
      </c>
      <c r="O264" t="n">
        <v>0</v>
      </c>
      <c r="P264" t="n">
        <v>0</v>
      </c>
      <c r="Q264" t="n">
        <v>0</v>
      </c>
      <c r="R264" s="2" t="inlineStr"/>
    </row>
    <row r="265" ht="15" customHeight="1">
      <c r="A265" t="inlineStr">
        <is>
          <t>A 42020-2022</t>
        </is>
      </c>
      <c r="B265" s="1" t="n">
        <v>44830.46849537037</v>
      </c>
      <c r="C265" s="1" t="n">
        <v>46059</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55846-2022</t>
        </is>
      </c>
      <c r="B266" s="1" t="n">
        <v>44888</v>
      </c>
      <c r="C266" s="1" t="n">
        <v>46059</v>
      </c>
      <c r="D266" t="inlineStr">
        <is>
          <t>SÖDERMANLANDS LÄN</t>
        </is>
      </c>
      <c r="E266" t="inlineStr">
        <is>
          <t>KATRINEHOLM</t>
        </is>
      </c>
      <c r="G266" t="n">
        <v>6.5</v>
      </c>
      <c r="H266" t="n">
        <v>0</v>
      </c>
      <c r="I266" t="n">
        <v>0</v>
      </c>
      <c r="J266" t="n">
        <v>0</v>
      </c>
      <c r="K266" t="n">
        <v>0</v>
      </c>
      <c r="L266" t="n">
        <v>0</v>
      </c>
      <c r="M266" t="n">
        <v>0</v>
      </c>
      <c r="N266" t="n">
        <v>0</v>
      </c>
      <c r="O266" t="n">
        <v>0</v>
      </c>
      <c r="P266" t="n">
        <v>0</v>
      </c>
      <c r="Q266" t="n">
        <v>0</v>
      </c>
      <c r="R266" s="2" t="inlineStr"/>
    </row>
    <row r="267" ht="15" customHeight="1">
      <c r="A267" t="inlineStr">
        <is>
          <t>A 56597-2025</t>
        </is>
      </c>
      <c r="B267" s="1" t="n">
        <v>45975.57271990741</v>
      </c>
      <c r="C267" s="1" t="n">
        <v>46059</v>
      </c>
      <c r="D267" t="inlineStr">
        <is>
          <t>SÖDERMANLANDS LÄN</t>
        </is>
      </c>
      <c r="E267" t="inlineStr">
        <is>
          <t>KATRINEHOLM</t>
        </is>
      </c>
      <c r="G267" t="n">
        <v>1.7</v>
      </c>
      <c r="H267" t="n">
        <v>0</v>
      </c>
      <c r="I267" t="n">
        <v>0</v>
      </c>
      <c r="J267" t="n">
        <v>0</v>
      </c>
      <c r="K267" t="n">
        <v>0</v>
      </c>
      <c r="L267" t="n">
        <v>0</v>
      </c>
      <c r="M267" t="n">
        <v>0</v>
      </c>
      <c r="N267" t="n">
        <v>0</v>
      </c>
      <c r="O267" t="n">
        <v>0</v>
      </c>
      <c r="P267" t="n">
        <v>0</v>
      </c>
      <c r="Q267" t="n">
        <v>0</v>
      </c>
      <c r="R267" s="2" t="inlineStr"/>
    </row>
    <row r="268" ht="15" customHeight="1">
      <c r="A268" t="inlineStr">
        <is>
          <t>A 19868-2022</t>
        </is>
      </c>
      <c r="B268" s="1" t="n">
        <v>44696</v>
      </c>
      <c r="C268" s="1" t="n">
        <v>46059</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53722-2023</t>
        </is>
      </c>
      <c r="B269" s="1" t="n">
        <v>45230</v>
      </c>
      <c r="C269" s="1" t="n">
        <v>46059</v>
      </c>
      <c r="D269" t="inlineStr">
        <is>
          <t>SÖDERMANLANDS LÄN</t>
        </is>
      </c>
      <c r="E269" t="inlineStr">
        <is>
          <t>KATRINEHOLM</t>
        </is>
      </c>
      <c r="F269" t="inlineStr">
        <is>
          <t>Allmännings- och besparingsskogar</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41074-2025</t>
        </is>
      </c>
      <c r="B270" s="1" t="n">
        <v>45898</v>
      </c>
      <c r="C270" s="1" t="n">
        <v>46059</v>
      </c>
      <c r="D270" t="inlineStr">
        <is>
          <t>SÖDERMANLANDS LÄN</t>
        </is>
      </c>
      <c r="E270" t="inlineStr">
        <is>
          <t>KATRINEHOLM</t>
        </is>
      </c>
      <c r="F270" t="inlineStr">
        <is>
          <t>Allmännings- och besparingsskogar</t>
        </is>
      </c>
      <c r="G270" t="n">
        <v>4.8</v>
      </c>
      <c r="H270" t="n">
        <v>0</v>
      </c>
      <c r="I270" t="n">
        <v>0</v>
      </c>
      <c r="J270" t="n">
        <v>0</v>
      </c>
      <c r="K270" t="n">
        <v>0</v>
      </c>
      <c r="L270" t="n">
        <v>0</v>
      </c>
      <c r="M270" t="n">
        <v>0</v>
      </c>
      <c r="N270" t="n">
        <v>0</v>
      </c>
      <c r="O270" t="n">
        <v>0</v>
      </c>
      <c r="P270" t="n">
        <v>0</v>
      </c>
      <c r="Q270" t="n">
        <v>0</v>
      </c>
      <c r="R270" s="2" t="inlineStr"/>
    </row>
    <row r="271" ht="15" customHeight="1">
      <c r="A271" t="inlineStr">
        <is>
          <t>A 55863-2022</t>
        </is>
      </c>
      <c r="B271" s="1" t="n">
        <v>44888</v>
      </c>
      <c r="C271" s="1" t="n">
        <v>46059</v>
      </c>
      <c r="D271" t="inlineStr">
        <is>
          <t>SÖDERMANLANDS LÄN</t>
        </is>
      </c>
      <c r="E271" t="inlineStr">
        <is>
          <t>KATRINEHOLM</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55865-2022</t>
        </is>
      </c>
      <c r="B272" s="1" t="n">
        <v>44888</v>
      </c>
      <c r="C272" s="1" t="n">
        <v>46059</v>
      </c>
      <c r="D272" t="inlineStr">
        <is>
          <t>SÖDERMANLANDS LÄN</t>
        </is>
      </c>
      <c r="E272" t="inlineStr">
        <is>
          <t>KATRINEHOLM</t>
        </is>
      </c>
      <c r="G272" t="n">
        <v>9.1</v>
      </c>
      <c r="H272" t="n">
        <v>0</v>
      </c>
      <c r="I272" t="n">
        <v>0</v>
      </c>
      <c r="J272" t="n">
        <v>0</v>
      </c>
      <c r="K272" t="n">
        <v>0</v>
      </c>
      <c r="L272" t="n">
        <v>0</v>
      </c>
      <c r="M272" t="n">
        <v>0</v>
      </c>
      <c r="N272" t="n">
        <v>0</v>
      </c>
      <c r="O272" t="n">
        <v>0</v>
      </c>
      <c r="P272" t="n">
        <v>0</v>
      </c>
      <c r="Q272" t="n">
        <v>0</v>
      </c>
      <c r="R272" s="2" t="inlineStr"/>
    </row>
    <row r="273" ht="15" customHeight="1">
      <c r="A273" t="inlineStr">
        <is>
          <t>A 63188-2021</t>
        </is>
      </c>
      <c r="B273" s="1" t="n">
        <v>44507.56865740741</v>
      </c>
      <c r="C273" s="1" t="n">
        <v>46059</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48520-2023</t>
        </is>
      </c>
      <c r="B274" s="1" t="n">
        <v>45208</v>
      </c>
      <c r="C274" s="1" t="n">
        <v>46059</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56661-2021</t>
        </is>
      </c>
      <c r="B275" s="1" t="n">
        <v>44481.24327546296</v>
      </c>
      <c r="C275" s="1" t="n">
        <v>46059</v>
      </c>
      <c r="D275" t="inlineStr">
        <is>
          <t>SÖDERMANLANDS LÄN</t>
        </is>
      </c>
      <c r="E275" t="inlineStr">
        <is>
          <t>KATRINEHOLM</t>
        </is>
      </c>
      <c r="G275" t="n">
        <v>5.8</v>
      </c>
      <c r="H275" t="n">
        <v>0</v>
      </c>
      <c r="I275" t="n">
        <v>0</v>
      </c>
      <c r="J275" t="n">
        <v>0</v>
      </c>
      <c r="K275" t="n">
        <v>0</v>
      </c>
      <c r="L275" t="n">
        <v>0</v>
      </c>
      <c r="M275" t="n">
        <v>0</v>
      </c>
      <c r="N275" t="n">
        <v>0</v>
      </c>
      <c r="O275" t="n">
        <v>0</v>
      </c>
      <c r="P275" t="n">
        <v>0</v>
      </c>
      <c r="Q275" t="n">
        <v>0</v>
      </c>
      <c r="R275" s="2" t="inlineStr"/>
    </row>
    <row r="276" ht="15" customHeight="1">
      <c r="A276" t="inlineStr">
        <is>
          <t>A 28394-2023</t>
        </is>
      </c>
      <c r="B276" s="1" t="n">
        <v>45100</v>
      </c>
      <c r="C276" s="1" t="n">
        <v>46059</v>
      </c>
      <c r="D276" t="inlineStr">
        <is>
          <t>SÖDERMANLANDS LÄN</t>
        </is>
      </c>
      <c r="E276" t="inlineStr">
        <is>
          <t>KATRINEHOLM</t>
        </is>
      </c>
      <c r="G276" t="n">
        <v>4.2</v>
      </c>
      <c r="H276" t="n">
        <v>0</v>
      </c>
      <c r="I276" t="n">
        <v>0</v>
      </c>
      <c r="J276" t="n">
        <v>0</v>
      </c>
      <c r="K276" t="n">
        <v>0</v>
      </c>
      <c r="L276" t="n">
        <v>0</v>
      </c>
      <c r="M276" t="n">
        <v>0</v>
      </c>
      <c r="N276" t="n">
        <v>0</v>
      </c>
      <c r="O276" t="n">
        <v>0</v>
      </c>
      <c r="P276" t="n">
        <v>0</v>
      </c>
      <c r="Q276" t="n">
        <v>0</v>
      </c>
      <c r="R276" s="2" t="inlineStr"/>
    </row>
    <row r="277" ht="15" customHeight="1">
      <c r="A277" t="inlineStr">
        <is>
          <t>A 4122-2023</t>
        </is>
      </c>
      <c r="B277" s="1" t="n">
        <v>44952</v>
      </c>
      <c r="C277" s="1" t="n">
        <v>46059</v>
      </c>
      <c r="D277" t="inlineStr">
        <is>
          <t>SÖDERMANLANDS LÄN</t>
        </is>
      </c>
      <c r="E277" t="inlineStr">
        <is>
          <t>KATRINEHOLM</t>
        </is>
      </c>
      <c r="G277" t="n">
        <v>9</v>
      </c>
      <c r="H277" t="n">
        <v>0</v>
      </c>
      <c r="I277" t="n">
        <v>0</v>
      </c>
      <c r="J277" t="n">
        <v>0</v>
      </c>
      <c r="K277" t="n">
        <v>0</v>
      </c>
      <c r="L277" t="n">
        <v>0</v>
      </c>
      <c r="M277" t="n">
        <v>0</v>
      </c>
      <c r="N277" t="n">
        <v>0</v>
      </c>
      <c r="O277" t="n">
        <v>0</v>
      </c>
      <c r="P277" t="n">
        <v>0</v>
      </c>
      <c r="Q277" t="n">
        <v>0</v>
      </c>
      <c r="R277" s="2" t="inlineStr"/>
    </row>
    <row r="278" ht="15" customHeight="1">
      <c r="A278" t="inlineStr">
        <is>
          <t>A 57323-2025</t>
        </is>
      </c>
      <c r="B278" s="1" t="n">
        <v>45980.32501157407</v>
      </c>
      <c r="C278" s="1" t="n">
        <v>46059</v>
      </c>
      <c r="D278" t="inlineStr">
        <is>
          <t>SÖDERMANLANDS LÄN</t>
        </is>
      </c>
      <c r="E278" t="inlineStr">
        <is>
          <t>KATRINEHOLM</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46059</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55795-2023</t>
        </is>
      </c>
      <c r="B280" s="1" t="n">
        <v>45239.54861111111</v>
      </c>
      <c r="C280" s="1" t="n">
        <v>46059</v>
      </c>
      <c r="D280" t="inlineStr">
        <is>
          <t>SÖDERMANLANDS LÄN</t>
        </is>
      </c>
      <c r="E280" t="inlineStr">
        <is>
          <t>KATRINEHOLM</t>
        </is>
      </c>
      <c r="G280" t="n">
        <v>7</v>
      </c>
      <c r="H280" t="n">
        <v>0</v>
      </c>
      <c r="I280" t="n">
        <v>0</v>
      </c>
      <c r="J280" t="n">
        <v>0</v>
      </c>
      <c r="K280" t="n">
        <v>0</v>
      </c>
      <c r="L280" t="n">
        <v>0</v>
      </c>
      <c r="M280" t="n">
        <v>0</v>
      </c>
      <c r="N280" t="n">
        <v>0</v>
      </c>
      <c r="O280" t="n">
        <v>0</v>
      </c>
      <c r="P280" t="n">
        <v>0</v>
      </c>
      <c r="Q280" t="n">
        <v>0</v>
      </c>
      <c r="R280" s="2" t="inlineStr"/>
    </row>
    <row r="281" ht="15" customHeight="1">
      <c r="A281" t="inlineStr">
        <is>
          <t>A 49341-2024</t>
        </is>
      </c>
      <c r="B281" s="1" t="n">
        <v>45595</v>
      </c>
      <c r="C281" s="1" t="n">
        <v>46059</v>
      </c>
      <c r="D281" t="inlineStr">
        <is>
          <t>SÖDERMANLANDS LÄN</t>
        </is>
      </c>
      <c r="E281" t="inlineStr">
        <is>
          <t>KATRINEHOLM</t>
        </is>
      </c>
      <c r="G281" t="n">
        <v>10</v>
      </c>
      <c r="H281" t="n">
        <v>0</v>
      </c>
      <c r="I281" t="n">
        <v>0</v>
      </c>
      <c r="J281" t="n">
        <v>0</v>
      </c>
      <c r="K281" t="n">
        <v>0</v>
      </c>
      <c r="L281" t="n">
        <v>0</v>
      </c>
      <c r="M281" t="n">
        <v>0</v>
      </c>
      <c r="N281" t="n">
        <v>0</v>
      </c>
      <c r="O281" t="n">
        <v>0</v>
      </c>
      <c r="P281" t="n">
        <v>0</v>
      </c>
      <c r="Q281" t="n">
        <v>0</v>
      </c>
      <c r="R281" s="2" t="inlineStr"/>
    </row>
    <row r="282" ht="15" customHeight="1">
      <c r="A282" t="inlineStr">
        <is>
          <t>A 41633-2025</t>
        </is>
      </c>
      <c r="B282" s="1" t="n">
        <v>45901</v>
      </c>
      <c r="C282" s="1" t="n">
        <v>46059</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24284-2024</t>
        </is>
      </c>
      <c r="B283" s="1" t="n">
        <v>45457</v>
      </c>
      <c r="C283" s="1" t="n">
        <v>46059</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41632-2025</t>
        </is>
      </c>
      <c r="B284" s="1" t="n">
        <v>45901</v>
      </c>
      <c r="C284" s="1" t="n">
        <v>46059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46059</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29843-2023</t>
        </is>
      </c>
      <c r="B286" s="1" t="n">
        <v>45107</v>
      </c>
      <c r="C286" s="1" t="n">
        <v>46059</v>
      </c>
      <c r="D286" t="inlineStr">
        <is>
          <t>SÖDERMANLANDS LÄN</t>
        </is>
      </c>
      <c r="E286" t="inlineStr">
        <is>
          <t>KATRINEHOLM</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46059</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29502-2023</t>
        </is>
      </c>
      <c r="B288" s="1" t="n">
        <v>45106</v>
      </c>
      <c r="C288" s="1" t="n">
        <v>46059</v>
      </c>
      <c r="D288" t="inlineStr">
        <is>
          <t>SÖDERMANLANDS LÄN</t>
        </is>
      </c>
      <c r="E288" t="inlineStr">
        <is>
          <t>KATRINEHOLM</t>
        </is>
      </c>
      <c r="G288" t="n">
        <v>2.3</v>
      </c>
      <c r="H288" t="n">
        <v>0</v>
      </c>
      <c r="I288" t="n">
        <v>0</v>
      </c>
      <c r="J288" t="n">
        <v>0</v>
      </c>
      <c r="K288" t="n">
        <v>0</v>
      </c>
      <c r="L288" t="n">
        <v>0</v>
      </c>
      <c r="M288" t="n">
        <v>0</v>
      </c>
      <c r="N288" t="n">
        <v>0</v>
      </c>
      <c r="O288" t="n">
        <v>0</v>
      </c>
      <c r="P288" t="n">
        <v>0</v>
      </c>
      <c r="Q288" t="n">
        <v>0</v>
      </c>
      <c r="R288" s="2" t="inlineStr"/>
    </row>
    <row r="289" ht="15" customHeight="1">
      <c r="A289" t="inlineStr">
        <is>
          <t>A 42111-2022</t>
        </is>
      </c>
      <c r="B289" s="1" t="n">
        <v>44830</v>
      </c>
      <c r="C289" s="1" t="n">
        <v>46059</v>
      </c>
      <c r="D289" t="inlineStr">
        <is>
          <t>SÖDERMANLANDS LÄN</t>
        </is>
      </c>
      <c r="E289" t="inlineStr">
        <is>
          <t>KATRINEHOLM</t>
        </is>
      </c>
      <c r="G289" t="n">
        <v>2.5</v>
      </c>
      <c r="H289" t="n">
        <v>0</v>
      </c>
      <c r="I289" t="n">
        <v>0</v>
      </c>
      <c r="J289" t="n">
        <v>0</v>
      </c>
      <c r="K289" t="n">
        <v>0</v>
      </c>
      <c r="L289" t="n">
        <v>0</v>
      </c>
      <c r="M289" t="n">
        <v>0</v>
      </c>
      <c r="N289" t="n">
        <v>0</v>
      </c>
      <c r="O289" t="n">
        <v>0</v>
      </c>
      <c r="P289" t="n">
        <v>0</v>
      </c>
      <c r="Q289" t="n">
        <v>0</v>
      </c>
      <c r="R289" s="2" t="inlineStr"/>
    </row>
    <row r="290" ht="15" customHeight="1">
      <c r="A290" t="inlineStr">
        <is>
          <t>A 57975-2025</t>
        </is>
      </c>
      <c r="B290" s="1" t="n">
        <v>45981</v>
      </c>
      <c r="C290" s="1" t="n">
        <v>46059</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36767-2022</t>
        </is>
      </c>
      <c r="B291" s="1" t="n">
        <v>44805</v>
      </c>
      <c r="C291" s="1" t="n">
        <v>46059</v>
      </c>
      <c r="D291" t="inlineStr">
        <is>
          <t>SÖDERMANLANDS LÄN</t>
        </is>
      </c>
      <c r="E291" t="inlineStr">
        <is>
          <t>KATRINEHOLM</t>
        </is>
      </c>
      <c r="G291" t="n">
        <v>1.1</v>
      </c>
      <c r="H291" t="n">
        <v>0</v>
      </c>
      <c r="I291" t="n">
        <v>0</v>
      </c>
      <c r="J291" t="n">
        <v>0</v>
      </c>
      <c r="K291" t="n">
        <v>0</v>
      </c>
      <c r="L291" t="n">
        <v>0</v>
      </c>
      <c r="M291" t="n">
        <v>0</v>
      </c>
      <c r="N291" t="n">
        <v>0</v>
      </c>
      <c r="O291" t="n">
        <v>0</v>
      </c>
      <c r="P291" t="n">
        <v>0</v>
      </c>
      <c r="Q291" t="n">
        <v>0</v>
      </c>
      <c r="R291" s="2" t="inlineStr"/>
    </row>
    <row r="292" ht="15" customHeight="1">
      <c r="A292" t="inlineStr">
        <is>
          <t>A 33712-2022</t>
        </is>
      </c>
      <c r="B292" s="1" t="n">
        <v>44789</v>
      </c>
      <c r="C292" s="1" t="n">
        <v>46059</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55034-2021</t>
        </is>
      </c>
      <c r="B293" s="1" t="n">
        <v>44474</v>
      </c>
      <c r="C293" s="1" t="n">
        <v>46059</v>
      </c>
      <c r="D293" t="inlineStr">
        <is>
          <t>SÖDERMANLANDS LÄN</t>
        </is>
      </c>
      <c r="E293" t="inlineStr">
        <is>
          <t>KATRINEHOLM</t>
        </is>
      </c>
      <c r="G293" t="n">
        <v>5</v>
      </c>
      <c r="H293" t="n">
        <v>0</v>
      </c>
      <c r="I293" t="n">
        <v>0</v>
      </c>
      <c r="J293" t="n">
        <v>0</v>
      </c>
      <c r="K293" t="n">
        <v>0</v>
      </c>
      <c r="L293" t="n">
        <v>0</v>
      </c>
      <c r="M293" t="n">
        <v>0</v>
      </c>
      <c r="N293" t="n">
        <v>0</v>
      </c>
      <c r="O293" t="n">
        <v>0</v>
      </c>
      <c r="P293" t="n">
        <v>0</v>
      </c>
      <c r="Q293" t="n">
        <v>0</v>
      </c>
      <c r="R293" s="2" t="inlineStr"/>
    </row>
    <row r="294" ht="15" customHeight="1">
      <c r="A294" t="inlineStr">
        <is>
          <t>A 33717-2022</t>
        </is>
      </c>
      <c r="B294" s="1" t="n">
        <v>44789</v>
      </c>
      <c r="C294" s="1" t="n">
        <v>46059</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33752-2023</t>
        </is>
      </c>
      <c r="B295" s="1" t="n">
        <v>45120</v>
      </c>
      <c r="C295" s="1" t="n">
        <v>46059</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45376-2022</t>
        </is>
      </c>
      <c r="B296" s="1" t="n">
        <v>44844</v>
      </c>
      <c r="C296" s="1" t="n">
        <v>46059</v>
      </c>
      <c r="D296" t="inlineStr">
        <is>
          <t>SÖDERMANLANDS LÄN</t>
        </is>
      </c>
      <c r="E296" t="inlineStr">
        <is>
          <t>KATRINEHOLM</t>
        </is>
      </c>
      <c r="G296" t="n">
        <v>4.7</v>
      </c>
      <c r="H296" t="n">
        <v>0</v>
      </c>
      <c r="I296" t="n">
        <v>0</v>
      </c>
      <c r="J296" t="n">
        <v>0</v>
      </c>
      <c r="K296" t="n">
        <v>0</v>
      </c>
      <c r="L296" t="n">
        <v>0</v>
      </c>
      <c r="M296" t="n">
        <v>0</v>
      </c>
      <c r="N296" t="n">
        <v>0</v>
      </c>
      <c r="O296" t="n">
        <v>0</v>
      </c>
      <c r="P296" t="n">
        <v>0</v>
      </c>
      <c r="Q296" t="n">
        <v>0</v>
      </c>
      <c r="R296" s="2" t="inlineStr"/>
    </row>
    <row r="297" ht="15" customHeight="1">
      <c r="A297" t="inlineStr">
        <is>
          <t>A 55122-2022</t>
        </is>
      </c>
      <c r="B297" s="1" t="n">
        <v>44886.65092592593</v>
      </c>
      <c r="C297" s="1" t="n">
        <v>46059</v>
      </c>
      <c r="D297" t="inlineStr">
        <is>
          <t>SÖDERMANLANDS LÄN</t>
        </is>
      </c>
      <c r="E297" t="inlineStr">
        <is>
          <t>KATRINEHOLM</t>
        </is>
      </c>
      <c r="G297" t="n">
        <v>6.5</v>
      </c>
      <c r="H297" t="n">
        <v>0</v>
      </c>
      <c r="I297" t="n">
        <v>0</v>
      </c>
      <c r="J297" t="n">
        <v>0</v>
      </c>
      <c r="K297" t="n">
        <v>0</v>
      </c>
      <c r="L297" t="n">
        <v>0</v>
      </c>
      <c r="M297" t="n">
        <v>0</v>
      </c>
      <c r="N297" t="n">
        <v>0</v>
      </c>
      <c r="O297" t="n">
        <v>0</v>
      </c>
      <c r="P297" t="n">
        <v>0</v>
      </c>
      <c r="Q297" t="n">
        <v>0</v>
      </c>
      <c r="R297" s="2" t="inlineStr"/>
    </row>
    <row r="298" ht="15" customHeight="1">
      <c r="A298" t="inlineStr">
        <is>
          <t>A 17746-2024</t>
        </is>
      </c>
      <c r="B298" s="1" t="n">
        <v>45415</v>
      </c>
      <c r="C298" s="1" t="n">
        <v>46059</v>
      </c>
      <c r="D298" t="inlineStr">
        <is>
          <t>SÖDERMANLANDS LÄN</t>
        </is>
      </c>
      <c r="E298" t="inlineStr">
        <is>
          <t>KATRINEHOLM</t>
        </is>
      </c>
      <c r="G298" t="n">
        <v>7.8</v>
      </c>
      <c r="H298" t="n">
        <v>0</v>
      </c>
      <c r="I298" t="n">
        <v>0</v>
      </c>
      <c r="J298" t="n">
        <v>0</v>
      </c>
      <c r="K298" t="n">
        <v>0</v>
      </c>
      <c r="L298" t="n">
        <v>0</v>
      </c>
      <c r="M298" t="n">
        <v>0</v>
      </c>
      <c r="N298" t="n">
        <v>0</v>
      </c>
      <c r="O298" t="n">
        <v>0</v>
      </c>
      <c r="P298" t="n">
        <v>0</v>
      </c>
      <c r="Q298" t="n">
        <v>0</v>
      </c>
      <c r="R298" s="2" t="inlineStr"/>
    </row>
    <row r="299" ht="15" customHeight="1">
      <c r="A299" t="inlineStr">
        <is>
          <t>A 24179-2024</t>
        </is>
      </c>
      <c r="B299" s="1" t="n">
        <v>45456.83059027778</v>
      </c>
      <c r="C299" s="1" t="n">
        <v>46059</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51264-2021</t>
        </is>
      </c>
      <c r="B300" s="1" t="n">
        <v>44461</v>
      </c>
      <c r="C300" s="1" t="n">
        <v>46059</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42686-2025</t>
        </is>
      </c>
      <c r="B301" s="1" t="n">
        <v>45908.35550925926</v>
      </c>
      <c r="C301" s="1" t="n">
        <v>46059</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42799-2025</t>
        </is>
      </c>
      <c r="B302" s="1" t="n">
        <v>45907</v>
      </c>
      <c r="C302" s="1" t="n">
        <v>46059</v>
      </c>
      <c r="D302" t="inlineStr">
        <is>
          <t>SÖDERMANLANDS LÄN</t>
        </is>
      </c>
      <c r="E302" t="inlineStr">
        <is>
          <t>KATRINEHOLM</t>
        </is>
      </c>
      <c r="G302" t="n">
        <v>3.9</v>
      </c>
      <c r="H302" t="n">
        <v>0</v>
      </c>
      <c r="I302" t="n">
        <v>0</v>
      </c>
      <c r="J302" t="n">
        <v>0</v>
      </c>
      <c r="K302" t="n">
        <v>0</v>
      </c>
      <c r="L302" t="n">
        <v>0</v>
      </c>
      <c r="M302" t="n">
        <v>0</v>
      </c>
      <c r="N302" t="n">
        <v>0</v>
      </c>
      <c r="O302" t="n">
        <v>0</v>
      </c>
      <c r="P302" t="n">
        <v>0</v>
      </c>
      <c r="Q302" t="n">
        <v>0</v>
      </c>
      <c r="R302" s="2" t="inlineStr"/>
    </row>
    <row r="303" ht="15" customHeight="1">
      <c r="A303" t="inlineStr">
        <is>
          <t>A 51128-2021</t>
        </is>
      </c>
      <c r="B303" s="1" t="n">
        <v>44460</v>
      </c>
      <c r="C303" s="1" t="n">
        <v>46059</v>
      </c>
      <c r="D303" t="inlineStr">
        <is>
          <t>SÖDERMANLANDS LÄN</t>
        </is>
      </c>
      <c r="E303" t="inlineStr">
        <is>
          <t>KATRINEHOLM</t>
        </is>
      </c>
      <c r="G303" t="n">
        <v>7.8</v>
      </c>
      <c r="H303" t="n">
        <v>0</v>
      </c>
      <c r="I303" t="n">
        <v>0</v>
      </c>
      <c r="J303" t="n">
        <v>0</v>
      </c>
      <c r="K303" t="n">
        <v>0</v>
      </c>
      <c r="L303" t="n">
        <v>0</v>
      </c>
      <c r="M303" t="n">
        <v>0</v>
      </c>
      <c r="N303" t="n">
        <v>0</v>
      </c>
      <c r="O303" t="n">
        <v>0</v>
      </c>
      <c r="P303" t="n">
        <v>0</v>
      </c>
      <c r="Q303" t="n">
        <v>0</v>
      </c>
      <c r="R303" s="2" t="inlineStr"/>
    </row>
    <row r="304" ht="15" customHeight="1">
      <c r="A304" t="inlineStr">
        <is>
          <t>A 42474-2025</t>
        </is>
      </c>
      <c r="B304" s="1" t="n">
        <v>45905.46659722222</v>
      </c>
      <c r="C304" s="1" t="n">
        <v>46059</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1106-2026</t>
        </is>
      </c>
      <c r="B305" s="1" t="n">
        <v>46030.67123842592</v>
      </c>
      <c r="C305" s="1" t="n">
        <v>46059</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1114-2026</t>
        </is>
      </c>
      <c r="B306" s="1" t="n">
        <v>46030.684375</v>
      </c>
      <c r="C306" s="1" t="n">
        <v>46059</v>
      </c>
      <c r="D306" t="inlineStr">
        <is>
          <t>SÖDERMANLANDS LÄN</t>
        </is>
      </c>
      <c r="E306" t="inlineStr">
        <is>
          <t>KATRINEHOLM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3980-2024</t>
        </is>
      </c>
      <c r="B307" s="1" t="n">
        <v>45322</v>
      </c>
      <c r="C307" s="1" t="n">
        <v>46059</v>
      </c>
      <c r="D307" t="inlineStr">
        <is>
          <t>SÖDERMANLANDS LÄN</t>
        </is>
      </c>
      <c r="E307" t="inlineStr">
        <is>
          <t>KATRINEHOLM</t>
        </is>
      </c>
      <c r="G307" t="n">
        <v>0.4</v>
      </c>
      <c r="H307" t="n">
        <v>0</v>
      </c>
      <c r="I307" t="n">
        <v>0</v>
      </c>
      <c r="J307" t="n">
        <v>0</v>
      </c>
      <c r="K307" t="n">
        <v>0</v>
      </c>
      <c r="L307" t="n">
        <v>0</v>
      </c>
      <c r="M307" t="n">
        <v>0</v>
      </c>
      <c r="N307" t="n">
        <v>0</v>
      </c>
      <c r="O307" t="n">
        <v>0</v>
      </c>
      <c r="P307" t="n">
        <v>0</v>
      </c>
      <c r="Q307" t="n">
        <v>0</v>
      </c>
      <c r="R307" s="2" t="inlineStr"/>
    </row>
    <row r="308" ht="15" customHeight="1">
      <c r="A308" t="inlineStr">
        <is>
          <t>A 64713-2023</t>
        </is>
      </c>
      <c r="B308" s="1" t="n">
        <v>45281</v>
      </c>
      <c r="C308" s="1" t="n">
        <v>46059</v>
      </c>
      <c r="D308" t="inlineStr">
        <is>
          <t>SÖDERMANLANDS LÄN</t>
        </is>
      </c>
      <c r="E308" t="inlineStr">
        <is>
          <t>KATRINEHOLM</t>
        </is>
      </c>
      <c r="G308" t="n">
        <v>4.9</v>
      </c>
      <c r="H308" t="n">
        <v>0</v>
      </c>
      <c r="I308" t="n">
        <v>0</v>
      </c>
      <c r="J308" t="n">
        <v>0</v>
      </c>
      <c r="K308" t="n">
        <v>0</v>
      </c>
      <c r="L308" t="n">
        <v>0</v>
      </c>
      <c r="M308" t="n">
        <v>0</v>
      </c>
      <c r="N308" t="n">
        <v>0</v>
      </c>
      <c r="O308" t="n">
        <v>0</v>
      </c>
      <c r="P308" t="n">
        <v>0</v>
      </c>
      <c r="Q308" t="n">
        <v>0</v>
      </c>
      <c r="R308" s="2" t="inlineStr"/>
    </row>
    <row r="309" ht="15" customHeight="1">
      <c r="A309" t="inlineStr">
        <is>
          <t>A 60677-2021</t>
        </is>
      </c>
      <c r="B309" s="1" t="n">
        <v>44495</v>
      </c>
      <c r="C309" s="1" t="n">
        <v>46059</v>
      </c>
      <c r="D309" t="inlineStr">
        <is>
          <t>SÖDERMANLANDS LÄN</t>
        </is>
      </c>
      <c r="E309" t="inlineStr">
        <is>
          <t>KATRINEHOLM</t>
        </is>
      </c>
      <c r="G309" t="n">
        <v>1.8</v>
      </c>
      <c r="H309" t="n">
        <v>0</v>
      </c>
      <c r="I309" t="n">
        <v>0</v>
      </c>
      <c r="J309" t="n">
        <v>0</v>
      </c>
      <c r="K309" t="n">
        <v>0</v>
      </c>
      <c r="L309" t="n">
        <v>0</v>
      </c>
      <c r="M309" t="n">
        <v>0</v>
      </c>
      <c r="N309" t="n">
        <v>0</v>
      </c>
      <c r="O309" t="n">
        <v>0</v>
      </c>
      <c r="P309" t="n">
        <v>0</v>
      </c>
      <c r="Q309" t="n">
        <v>0</v>
      </c>
      <c r="R309" s="2" t="inlineStr"/>
    </row>
    <row r="310" ht="15" customHeight="1">
      <c r="A310" t="inlineStr">
        <is>
          <t>A 43088-2022</t>
        </is>
      </c>
      <c r="B310" s="1" t="n">
        <v>44833</v>
      </c>
      <c r="C310" s="1" t="n">
        <v>46059</v>
      </c>
      <c r="D310" t="inlineStr">
        <is>
          <t>SÖDERMANLANDS LÄN</t>
        </is>
      </c>
      <c r="E310" t="inlineStr">
        <is>
          <t>KATRINEHOLM</t>
        </is>
      </c>
      <c r="G310" t="n">
        <v>6.6</v>
      </c>
      <c r="H310" t="n">
        <v>0</v>
      </c>
      <c r="I310" t="n">
        <v>0</v>
      </c>
      <c r="J310" t="n">
        <v>0</v>
      </c>
      <c r="K310" t="n">
        <v>0</v>
      </c>
      <c r="L310" t="n">
        <v>0</v>
      </c>
      <c r="M310" t="n">
        <v>0</v>
      </c>
      <c r="N310" t="n">
        <v>0</v>
      </c>
      <c r="O310" t="n">
        <v>0</v>
      </c>
      <c r="P310" t="n">
        <v>0</v>
      </c>
      <c r="Q310" t="n">
        <v>0</v>
      </c>
      <c r="R310" s="2" t="inlineStr"/>
    </row>
    <row r="311" ht="15" customHeight="1">
      <c r="A311" t="inlineStr">
        <is>
          <t>A 1098-2026</t>
        </is>
      </c>
      <c r="B311" s="1" t="n">
        <v>46030.66519675926</v>
      </c>
      <c r="C311" s="1" t="n">
        <v>46059</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1112-2026</t>
        </is>
      </c>
      <c r="B312" s="1" t="n">
        <v>46030.68107638889</v>
      </c>
      <c r="C312" s="1" t="n">
        <v>46059</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64605-2023</t>
        </is>
      </c>
      <c r="B313" s="1" t="n">
        <v>45281</v>
      </c>
      <c r="C313" s="1" t="n">
        <v>46059</v>
      </c>
      <c r="D313" t="inlineStr">
        <is>
          <t>SÖDERMANLANDS LÄN</t>
        </is>
      </c>
      <c r="E313" t="inlineStr">
        <is>
          <t>KATRINEHOLM</t>
        </is>
      </c>
      <c r="G313" t="n">
        <v>0.5</v>
      </c>
      <c r="H313" t="n">
        <v>0</v>
      </c>
      <c r="I313" t="n">
        <v>0</v>
      </c>
      <c r="J313" t="n">
        <v>0</v>
      </c>
      <c r="K313" t="n">
        <v>0</v>
      </c>
      <c r="L313" t="n">
        <v>0</v>
      </c>
      <c r="M313" t="n">
        <v>0</v>
      </c>
      <c r="N313" t="n">
        <v>0</v>
      </c>
      <c r="O313" t="n">
        <v>0</v>
      </c>
      <c r="P313" t="n">
        <v>0</v>
      </c>
      <c r="Q313" t="n">
        <v>0</v>
      </c>
      <c r="R313" s="2" t="inlineStr"/>
    </row>
    <row r="314" ht="15" customHeight="1">
      <c r="A314" t="inlineStr">
        <is>
          <t>A 5834-2025</t>
        </is>
      </c>
      <c r="B314" s="1" t="n">
        <v>45694</v>
      </c>
      <c r="C314" s="1" t="n">
        <v>46059</v>
      </c>
      <c r="D314" t="inlineStr">
        <is>
          <t>SÖDERMANLANDS LÄN</t>
        </is>
      </c>
      <c r="E314" t="inlineStr">
        <is>
          <t>KATRINEHOLM</t>
        </is>
      </c>
      <c r="G314" t="n">
        <v>3.3</v>
      </c>
      <c r="H314" t="n">
        <v>0</v>
      </c>
      <c r="I314" t="n">
        <v>0</v>
      </c>
      <c r="J314" t="n">
        <v>0</v>
      </c>
      <c r="K314" t="n">
        <v>0</v>
      </c>
      <c r="L314" t="n">
        <v>0</v>
      </c>
      <c r="M314" t="n">
        <v>0</v>
      </c>
      <c r="N314" t="n">
        <v>0</v>
      </c>
      <c r="O314" t="n">
        <v>0</v>
      </c>
      <c r="P314" t="n">
        <v>0</v>
      </c>
      <c r="Q314" t="n">
        <v>0</v>
      </c>
      <c r="R314" s="2" t="inlineStr"/>
    </row>
    <row r="315" ht="15" customHeight="1">
      <c r="A315" t="inlineStr">
        <is>
          <t>A 28582-2024</t>
        </is>
      </c>
      <c r="B315" s="1" t="n">
        <v>45478.40751157407</v>
      </c>
      <c r="C315" s="1" t="n">
        <v>46059</v>
      </c>
      <c r="D315" t="inlineStr">
        <is>
          <t>SÖDERMANLANDS LÄN</t>
        </is>
      </c>
      <c r="E315" t="inlineStr">
        <is>
          <t>KATRINEHOLM</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26081-2024</t>
        </is>
      </c>
      <c r="B316" s="1" t="n">
        <v>45462</v>
      </c>
      <c r="C316" s="1" t="n">
        <v>46059</v>
      </c>
      <c r="D316" t="inlineStr">
        <is>
          <t>SÖDERMANLANDS LÄN</t>
        </is>
      </c>
      <c r="E316" t="inlineStr">
        <is>
          <t>KATRINEHOLM</t>
        </is>
      </c>
      <c r="G316" t="n">
        <v>4.1</v>
      </c>
      <c r="H316" t="n">
        <v>0</v>
      </c>
      <c r="I316" t="n">
        <v>0</v>
      </c>
      <c r="J316" t="n">
        <v>0</v>
      </c>
      <c r="K316" t="n">
        <v>0</v>
      </c>
      <c r="L316" t="n">
        <v>0</v>
      </c>
      <c r="M316" t="n">
        <v>0</v>
      </c>
      <c r="N316" t="n">
        <v>0</v>
      </c>
      <c r="O316" t="n">
        <v>0</v>
      </c>
      <c r="P316" t="n">
        <v>0</v>
      </c>
      <c r="Q316" t="n">
        <v>0</v>
      </c>
      <c r="R316" s="2" t="inlineStr"/>
    </row>
    <row r="317" ht="15" customHeight="1">
      <c r="A317" t="inlineStr">
        <is>
          <t>A 30242-2023</t>
        </is>
      </c>
      <c r="B317" s="1" t="n">
        <v>45099</v>
      </c>
      <c r="C317" s="1" t="n">
        <v>46059</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44071-2025</t>
        </is>
      </c>
      <c r="B318" s="1" t="n">
        <v>45915</v>
      </c>
      <c r="C318" s="1" t="n">
        <v>46059</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43975-2025</t>
        </is>
      </c>
      <c r="B319" s="1" t="n">
        <v>45915.41148148148</v>
      </c>
      <c r="C319" s="1" t="n">
        <v>46059</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69117-2021</t>
        </is>
      </c>
      <c r="B320" s="1" t="n">
        <v>44530.82445601852</v>
      </c>
      <c r="C320" s="1" t="n">
        <v>46059</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38308-2021</t>
        </is>
      </c>
      <c r="B321" s="1" t="n">
        <v>44406</v>
      </c>
      <c r="C321" s="1" t="n">
        <v>46059</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55172-2022</t>
        </is>
      </c>
      <c r="B322" s="1" t="n">
        <v>44886</v>
      </c>
      <c r="C322" s="1" t="n">
        <v>46059</v>
      </c>
      <c r="D322" t="inlineStr">
        <is>
          <t>SÖDERMANLANDS LÄN</t>
        </is>
      </c>
      <c r="E322" t="inlineStr">
        <is>
          <t>KATRINEHOLM</t>
        </is>
      </c>
      <c r="G322" t="n">
        <v>1.3</v>
      </c>
      <c r="H322" t="n">
        <v>0</v>
      </c>
      <c r="I322" t="n">
        <v>0</v>
      </c>
      <c r="J322" t="n">
        <v>0</v>
      </c>
      <c r="K322" t="n">
        <v>0</v>
      </c>
      <c r="L322" t="n">
        <v>0</v>
      </c>
      <c r="M322" t="n">
        <v>0</v>
      </c>
      <c r="N322" t="n">
        <v>0</v>
      </c>
      <c r="O322" t="n">
        <v>0</v>
      </c>
      <c r="P322" t="n">
        <v>0</v>
      </c>
      <c r="Q322" t="n">
        <v>0</v>
      </c>
      <c r="R322" s="2" t="inlineStr"/>
    </row>
    <row r="323" ht="15" customHeight="1">
      <c r="A323" t="inlineStr">
        <is>
          <t>A 67337-2021</t>
        </is>
      </c>
      <c r="B323" s="1" t="n">
        <v>44523</v>
      </c>
      <c r="C323" s="1" t="n">
        <v>46059</v>
      </c>
      <c r="D323" t="inlineStr">
        <is>
          <t>SÖDERMANLANDS LÄN</t>
        </is>
      </c>
      <c r="E323" t="inlineStr">
        <is>
          <t>KATRINEHOLM</t>
        </is>
      </c>
      <c r="G323" t="n">
        <v>5.2</v>
      </c>
      <c r="H323" t="n">
        <v>0</v>
      </c>
      <c r="I323" t="n">
        <v>0</v>
      </c>
      <c r="J323" t="n">
        <v>0</v>
      </c>
      <c r="K323" t="n">
        <v>0</v>
      </c>
      <c r="L323" t="n">
        <v>0</v>
      </c>
      <c r="M323" t="n">
        <v>0</v>
      </c>
      <c r="N323" t="n">
        <v>0</v>
      </c>
      <c r="O323" t="n">
        <v>0</v>
      </c>
      <c r="P323" t="n">
        <v>0</v>
      </c>
      <c r="Q323" t="n">
        <v>0</v>
      </c>
      <c r="R323" s="2" t="inlineStr"/>
    </row>
    <row r="324" ht="15" customHeight="1">
      <c r="A324" t="inlineStr">
        <is>
          <t>A 1668-2026</t>
        </is>
      </c>
      <c r="B324" s="1" t="n">
        <v>46034.55986111111</v>
      </c>
      <c r="C324" s="1" t="n">
        <v>46059</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29394-2024</t>
        </is>
      </c>
      <c r="B325" s="1" t="n">
        <v>45483</v>
      </c>
      <c r="C325" s="1" t="n">
        <v>46059</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50032-2022</t>
        </is>
      </c>
      <c r="B326" s="1" t="n">
        <v>44860</v>
      </c>
      <c r="C326" s="1" t="n">
        <v>46059</v>
      </c>
      <c r="D326" t="inlineStr">
        <is>
          <t>SÖDERMANLANDS LÄN</t>
        </is>
      </c>
      <c r="E326" t="inlineStr">
        <is>
          <t>KATRINEHOLM</t>
        </is>
      </c>
      <c r="G326" t="n">
        <v>7.5</v>
      </c>
      <c r="H326" t="n">
        <v>0</v>
      </c>
      <c r="I326" t="n">
        <v>0</v>
      </c>
      <c r="J326" t="n">
        <v>0</v>
      </c>
      <c r="K326" t="n">
        <v>0</v>
      </c>
      <c r="L326" t="n">
        <v>0</v>
      </c>
      <c r="M326" t="n">
        <v>0</v>
      </c>
      <c r="N326" t="n">
        <v>0</v>
      </c>
      <c r="O326" t="n">
        <v>0</v>
      </c>
      <c r="P326" t="n">
        <v>0</v>
      </c>
      <c r="Q326" t="n">
        <v>0</v>
      </c>
      <c r="R326" s="2" t="inlineStr"/>
    </row>
    <row r="327" ht="15" customHeight="1">
      <c r="A327" t="inlineStr">
        <is>
          <t>A 26713-2024</t>
        </is>
      </c>
      <c r="B327" s="1" t="n">
        <v>45470</v>
      </c>
      <c r="C327" s="1" t="n">
        <v>46059</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43837-2022</t>
        </is>
      </c>
      <c r="B328" s="1" t="n">
        <v>44838</v>
      </c>
      <c r="C328" s="1" t="n">
        <v>46059</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57510-2021</t>
        </is>
      </c>
      <c r="B329" s="1" t="n">
        <v>44483</v>
      </c>
      <c r="C329" s="1" t="n">
        <v>46059</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34981-2023</t>
        </is>
      </c>
      <c r="B330" s="1" t="n">
        <v>45142</v>
      </c>
      <c r="C330" s="1" t="n">
        <v>46059</v>
      </c>
      <c r="D330" t="inlineStr">
        <is>
          <t>SÖDERMANLANDS LÄN</t>
        </is>
      </c>
      <c r="E330" t="inlineStr">
        <is>
          <t>KATRINEHOLM</t>
        </is>
      </c>
      <c r="G330" t="n">
        <v>10</v>
      </c>
      <c r="H330" t="n">
        <v>0</v>
      </c>
      <c r="I330" t="n">
        <v>0</v>
      </c>
      <c r="J330" t="n">
        <v>0</v>
      </c>
      <c r="K330" t="n">
        <v>0</v>
      </c>
      <c r="L330" t="n">
        <v>0</v>
      </c>
      <c r="M330" t="n">
        <v>0</v>
      </c>
      <c r="N330" t="n">
        <v>0</v>
      </c>
      <c r="O330" t="n">
        <v>0</v>
      </c>
      <c r="P330" t="n">
        <v>0</v>
      </c>
      <c r="Q330" t="n">
        <v>0</v>
      </c>
      <c r="R330" s="2" t="inlineStr"/>
    </row>
    <row r="331" ht="15" customHeight="1">
      <c r="A331" t="inlineStr">
        <is>
          <t>A 55732-2023</t>
        </is>
      </c>
      <c r="B331" s="1" t="n">
        <v>45239</v>
      </c>
      <c r="C331" s="1" t="n">
        <v>46059</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40159-2023</t>
        </is>
      </c>
      <c r="B332" s="1" t="n">
        <v>45169</v>
      </c>
      <c r="C332" s="1" t="n">
        <v>46059</v>
      </c>
      <c r="D332" t="inlineStr">
        <is>
          <t>SÖDERMANLANDS LÄN</t>
        </is>
      </c>
      <c r="E332" t="inlineStr">
        <is>
          <t>KATRINEHOLM</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28675-2024</t>
        </is>
      </c>
      <c r="B333" s="1" t="n">
        <v>45478</v>
      </c>
      <c r="C333" s="1" t="n">
        <v>46059</v>
      </c>
      <c r="D333" t="inlineStr">
        <is>
          <t>SÖDERMANLANDS LÄN</t>
        </is>
      </c>
      <c r="E333" t="inlineStr">
        <is>
          <t>KATRINEHOLM</t>
        </is>
      </c>
      <c r="F333" t="inlineStr">
        <is>
          <t>Övriga Aktiebolag</t>
        </is>
      </c>
      <c r="G333" t="n">
        <v>3.5</v>
      </c>
      <c r="H333" t="n">
        <v>0</v>
      </c>
      <c r="I333" t="n">
        <v>0</v>
      </c>
      <c r="J333" t="n">
        <v>0</v>
      </c>
      <c r="K333" t="n">
        <v>0</v>
      </c>
      <c r="L333" t="n">
        <v>0</v>
      </c>
      <c r="M333" t="n">
        <v>0</v>
      </c>
      <c r="N333" t="n">
        <v>0</v>
      </c>
      <c r="O333" t="n">
        <v>0</v>
      </c>
      <c r="P333" t="n">
        <v>0</v>
      </c>
      <c r="Q333" t="n">
        <v>0</v>
      </c>
      <c r="R333" s="2" t="inlineStr"/>
    </row>
    <row r="334" ht="15" customHeight="1">
      <c r="A334" t="inlineStr">
        <is>
          <t>A 27875-2024</t>
        </is>
      </c>
      <c r="B334" s="1" t="n">
        <v>45475</v>
      </c>
      <c r="C334" s="1" t="n">
        <v>46059</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27376-2024</t>
        </is>
      </c>
      <c r="B335" s="1" t="n">
        <v>45473.88313657408</v>
      </c>
      <c r="C335" s="1" t="n">
        <v>46059</v>
      </c>
      <c r="D335" t="inlineStr">
        <is>
          <t>SÖDERMANLANDS LÄN</t>
        </is>
      </c>
      <c r="E335" t="inlineStr">
        <is>
          <t>KATRINEHOLM</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73412-2021</t>
        </is>
      </c>
      <c r="B336" s="1" t="n">
        <v>44551</v>
      </c>
      <c r="C336" s="1" t="n">
        <v>46059</v>
      </c>
      <c r="D336" t="inlineStr">
        <is>
          <t>SÖDERMANLANDS LÄN</t>
        </is>
      </c>
      <c r="E336" t="inlineStr">
        <is>
          <t>KATRINEHOLM</t>
        </is>
      </c>
      <c r="G336" t="n">
        <v>2</v>
      </c>
      <c r="H336" t="n">
        <v>0</v>
      </c>
      <c r="I336" t="n">
        <v>0</v>
      </c>
      <c r="J336" t="n">
        <v>0</v>
      </c>
      <c r="K336" t="n">
        <v>0</v>
      </c>
      <c r="L336" t="n">
        <v>0</v>
      </c>
      <c r="M336" t="n">
        <v>0</v>
      </c>
      <c r="N336" t="n">
        <v>0</v>
      </c>
      <c r="O336" t="n">
        <v>0</v>
      </c>
      <c r="P336" t="n">
        <v>0</v>
      </c>
      <c r="Q336" t="n">
        <v>0</v>
      </c>
      <c r="R336" s="2" t="inlineStr"/>
    </row>
    <row r="337" ht="15" customHeight="1">
      <c r="A337" t="inlineStr">
        <is>
          <t>A 28995-2024</t>
        </is>
      </c>
      <c r="B337" s="1" t="n">
        <v>45481.49899305555</v>
      </c>
      <c r="C337" s="1" t="n">
        <v>46059</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46059</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46059</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28992-2024</t>
        </is>
      </c>
      <c r="B340" s="1" t="n">
        <v>45481.49289351852</v>
      </c>
      <c r="C340" s="1" t="n">
        <v>46059</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59967-2025</t>
        </is>
      </c>
      <c r="B341" s="1" t="n">
        <v>45993.48525462963</v>
      </c>
      <c r="C341" s="1" t="n">
        <v>46059</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53750-2022</t>
        </is>
      </c>
      <c r="B342" s="1" t="n">
        <v>44875</v>
      </c>
      <c r="C342" s="1" t="n">
        <v>46059</v>
      </c>
      <c r="D342" t="inlineStr">
        <is>
          <t>SÖDERMANLANDS LÄN</t>
        </is>
      </c>
      <c r="E342" t="inlineStr">
        <is>
          <t>KATRINEHOLM</t>
        </is>
      </c>
      <c r="F342" t="inlineStr">
        <is>
          <t>Övriga Aktiebolag</t>
        </is>
      </c>
      <c r="G342" t="n">
        <v>12.6</v>
      </c>
      <c r="H342" t="n">
        <v>0</v>
      </c>
      <c r="I342" t="n">
        <v>0</v>
      </c>
      <c r="J342" t="n">
        <v>0</v>
      </c>
      <c r="K342" t="n">
        <v>0</v>
      </c>
      <c r="L342" t="n">
        <v>0</v>
      </c>
      <c r="M342" t="n">
        <v>0</v>
      </c>
      <c r="N342" t="n">
        <v>0</v>
      </c>
      <c r="O342" t="n">
        <v>0</v>
      </c>
      <c r="P342" t="n">
        <v>0</v>
      </c>
      <c r="Q342" t="n">
        <v>0</v>
      </c>
      <c r="R342" s="2" t="inlineStr"/>
    </row>
    <row r="343" ht="15" customHeight="1">
      <c r="A343" t="inlineStr">
        <is>
          <t>A 7322-2023</t>
        </is>
      </c>
      <c r="B343" s="1" t="n">
        <v>44970</v>
      </c>
      <c r="C343" s="1" t="n">
        <v>46059</v>
      </c>
      <c r="D343" t="inlineStr">
        <is>
          <t>SÖDERMANLANDS LÄN</t>
        </is>
      </c>
      <c r="E343" t="inlineStr">
        <is>
          <t>KATRINEHOLM</t>
        </is>
      </c>
      <c r="G343" t="n">
        <v>2.1</v>
      </c>
      <c r="H343" t="n">
        <v>0</v>
      </c>
      <c r="I343" t="n">
        <v>0</v>
      </c>
      <c r="J343" t="n">
        <v>0</v>
      </c>
      <c r="K343" t="n">
        <v>0</v>
      </c>
      <c r="L343" t="n">
        <v>0</v>
      </c>
      <c r="M343" t="n">
        <v>0</v>
      </c>
      <c r="N343" t="n">
        <v>0</v>
      </c>
      <c r="O343" t="n">
        <v>0</v>
      </c>
      <c r="P343" t="n">
        <v>0</v>
      </c>
      <c r="Q343" t="n">
        <v>0</v>
      </c>
      <c r="R343" s="2" t="inlineStr"/>
    </row>
    <row r="344" ht="15" customHeight="1">
      <c r="A344" t="inlineStr">
        <is>
          <t>A 2093-2025</t>
        </is>
      </c>
      <c r="B344" s="1" t="n">
        <v>45672</v>
      </c>
      <c r="C344" s="1" t="n">
        <v>46059</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27886-2024</t>
        </is>
      </c>
      <c r="B345" s="1" t="n">
        <v>45475</v>
      </c>
      <c r="C345" s="1" t="n">
        <v>46059</v>
      </c>
      <c r="D345" t="inlineStr">
        <is>
          <t>SÖDERMANLANDS LÄN</t>
        </is>
      </c>
      <c r="E345" t="inlineStr">
        <is>
          <t>KATRINEHOLM</t>
        </is>
      </c>
      <c r="G345" t="n">
        <v>10.3</v>
      </c>
      <c r="H345" t="n">
        <v>0</v>
      </c>
      <c r="I345" t="n">
        <v>0</v>
      </c>
      <c r="J345" t="n">
        <v>0</v>
      </c>
      <c r="K345" t="n">
        <v>0</v>
      </c>
      <c r="L345" t="n">
        <v>0</v>
      </c>
      <c r="M345" t="n">
        <v>0</v>
      </c>
      <c r="N345" t="n">
        <v>0</v>
      </c>
      <c r="O345" t="n">
        <v>0</v>
      </c>
      <c r="P345" t="n">
        <v>0</v>
      </c>
      <c r="Q345" t="n">
        <v>0</v>
      </c>
      <c r="R345" s="2" t="inlineStr"/>
    </row>
    <row r="346" ht="15" customHeight="1">
      <c r="A346" t="inlineStr">
        <is>
          <t>A 14245-2024</t>
        </is>
      </c>
      <c r="B346" s="1" t="n">
        <v>45393</v>
      </c>
      <c r="C346" s="1" t="n">
        <v>46059</v>
      </c>
      <c r="D346" t="inlineStr">
        <is>
          <t>SÖDERMANLANDS LÄN</t>
        </is>
      </c>
      <c r="E346" t="inlineStr">
        <is>
          <t>KATRINEHOLM</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11104-2023</t>
        </is>
      </c>
      <c r="B347" s="1" t="n">
        <v>44992</v>
      </c>
      <c r="C347" s="1" t="n">
        <v>46059</v>
      </c>
      <c r="D347" t="inlineStr">
        <is>
          <t>SÖDERMANLANDS LÄN</t>
        </is>
      </c>
      <c r="E347" t="inlineStr">
        <is>
          <t>KATRINEHOLM</t>
        </is>
      </c>
      <c r="F347" t="inlineStr">
        <is>
          <t>Allmännings- och besparingsskogar</t>
        </is>
      </c>
      <c r="G347" t="n">
        <v>7.8</v>
      </c>
      <c r="H347" t="n">
        <v>0</v>
      </c>
      <c r="I347" t="n">
        <v>0</v>
      </c>
      <c r="J347" t="n">
        <v>0</v>
      </c>
      <c r="K347" t="n">
        <v>0</v>
      </c>
      <c r="L347" t="n">
        <v>0</v>
      </c>
      <c r="M347" t="n">
        <v>0</v>
      </c>
      <c r="N347" t="n">
        <v>0</v>
      </c>
      <c r="O347" t="n">
        <v>0</v>
      </c>
      <c r="P347" t="n">
        <v>0</v>
      </c>
      <c r="Q347" t="n">
        <v>0</v>
      </c>
      <c r="R347" s="2" t="inlineStr"/>
    </row>
    <row r="348" ht="15" customHeight="1">
      <c r="A348" t="inlineStr">
        <is>
          <t>A 46288-2025</t>
        </is>
      </c>
      <c r="B348" s="1" t="n">
        <v>45925.38545138889</v>
      </c>
      <c r="C348" s="1" t="n">
        <v>46059</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25363-2023</t>
        </is>
      </c>
      <c r="B349" s="1" t="n">
        <v>45088.83840277778</v>
      </c>
      <c r="C349" s="1" t="n">
        <v>46059</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60678-2025</t>
        </is>
      </c>
      <c r="B350" s="1" t="n">
        <v>45996.56251157408</v>
      </c>
      <c r="C350" s="1" t="n">
        <v>46059</v>
      </c>
      <c r="D350" t="inlineStr">
        <is>
          <t>SÖDERMANLANDS LÄN</t>
        </is>
      </c>
      <c r="E350" t="inlineStr">
        <is>
          <t>KATRINEHOLM</t>
        </is>
      </c>
      <c r="G350" t="n">
        <v>2</v>
      </c>
      <c r="H350" t="n">
        <v>0</v>
      </c>
      <c r="I350" t="n">
        <v>0</v>
      </c>
      <c r="J350" t="n">
        <v>0</v>
      </c>
      <c r="K350" t="n">
        <v>0</v>
      </c>
      <c r="L350" t="n">
        <v>0</v>
      </c>
      <c r="M350" t="n">
        <v>0</v>
      </c>
      <c r="N350" t="n">
        <v>0</v>
      </c>
      <c r="O350" t="n">
        <v>0</v>
      </c>
      <c r="P350" t="n">
        <v>0</v>
      </c>
      <c r="Q350" t="n">
        <v>0</v>
      </c>
      <c r="R350" s="2" t="inlineStr"/>
    </row>
    <row r="351" ht="15" customHeight="1">
      <c r="A351" t="inlineStr">
        <is>
          <t>A 6722-2022</t>
        </is>
      </c>
      <c r="B351" s="1" t="n">
        <v>44602</v>
      </c>
      <c r="C351" s="1" t="n">
        <v>46059</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6763-2022</t>
        </is>
      </c>
      <c r="B352" s="1" t="n">
        <v>44602</v>
      </c>
      <c r="C352" s="1" t="n">
        <v>46059</v>
      </c>
      <c r="D352" t="inlineStr">
        <is>
          <t>SÖDERMANLANDS LÄN</t>
        </is>
      </c>
      <c r="E352" t="inlineStr">
        <is>
          <t>KATRINEHOLM</t>
        </is>
      </c>
      <c r="G352" t="n">
        <v>6.7</v>
      </c>
      <c r="H352" t="n">
        <v>0</v>
      </c>
      <c r="I352" t="n">
        <v>0</v>
      </c>
      <c r="J352" t="n">
        <v>0</v>
      </c>
      <c r="K352" t="n">
        <v>0</v>
      </c>
      <c r="L352" t="n">
        <v>0</v>
      </c>
      <c r="M352" t="n">
        <v>0</v>
      </c>
      <c r="N352" t="n">
        <v>0</v>
      </c>
      <c r="O352" t="n">
        <v>0</v>
      </c>
      <c r="P352" t="n">
        <v>0</v>
      </c>
      <c r="Q352" t="n">
        <v>0</v>
      </c>
      <c r="R352" s="2" t="inlineStr"/>
    </row>
    <row r="353" ht="15" customHeight="1">
      <c r="A353" t="inlineStr">
        <is>
          <t>A 2672-2026</t>
        </is>
      </c>
      <c r="B353" s="1" t="n">
        <v>46037</v>
      </c>
      <c r="C353" s="1" t="n">
        <v>46059</v>
      </c>
      <c r="D353" t="inlineStr">
        <is>
          <t>SÖDERMANLANDS LÄN</t>
        </is>
      </c>
      <c r="E353" t="inlineStr">
        <is>
          <t>KATRINEHOLM</t>
        </is>
      </c>
      <c r="G353" t="n">
        <v>2.1</v>
      </c>
      <c r="H353" t="n">
        <v>0</v>
      </c>
      <c r="I353" t="n">
        <v>0</v>
      </c>
      <c r="J353" t="n">
        <v>0</v>
      </c>
      <c r="K353" t="n">
        <v>0</v>
      </c>
      <c r="L353" t="n">
        <v>0</v>
      </c>
      <c r="M353" t="n">
        <v>0</v>
      </c>
      <c r="N353" t="n">
        <v>0</v>
      </c>
      <c r="O353" t="n">
        <v>0</v>
      </c>
      <c r="P353" t="n">
        <v>0</v>
      </c>
      <c r="Q353" t="n">
        <v>0</v>
      </c>
      <c r="R353" s="2" t="inlineStr"/>
    </row>
    <row r="354" ht="15" customHeight="1">
      <c r="A354" t="inlineStr">
        <is>
          <t>A 5790-2022</t>
        </is>
      </c>
      <c r="B354" s="1" t="n">
        <v>44596.55368055555</v>
      </c>
      <c r="C354" s="1" t="n">
        <v>46059</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2473-2026</t>
        </is>
      </c>
      <c r="B355" s="1" t="n">
        <v>46037.37704861111</v>
      </c>
      <c r="C355" s="1" t="n">
        <v>46059</v>
      </c>
      <c r="D355" t="inlineStr">
        <is>
          <t>SÖDERMANLANDS LÄN</t>
        </is>
      </c>
      <c r="E355" t="inlineStr">
        <is>
          <t>KATRINEHOLM</t>
        </is>
      </c>
      <c r="F355" t="inlineStr">
        <is>
          <t>Övriga Aktiebolag</t>
        </is>
      </c>
      <c r="G355" t="n">
        <v>3.6</v>
      </c>
      <c r="H355" t="n">
        <v>0</v>
      </c>
      <c r="I355" t="n">
        <v>0</v>
      </c>
      <c r="J355" t="n">
        <v>0</v>
      </c>
      <c r="K355" t="n">
        <v>0</v>
      </c>
      <c r="L355" t="n">
        <v>0</v>
      </c>
      <c r="M355" t="n">
        <v>0</v>
      </c>
      <c r="N355" t="n">
        <v>0</v>
      </c>
      <c r="O355" t="n">
        <v>0</v>
      </c>
      <c r="P355" t="n">
        <v>0</v>
      </c>
      <c r="Q355" t="n">
        <v>0</v>
      </c>
      <c r="R355" s="2" t="inlineStr"/>
    </row>
    <row r="356" ht="15" customHeight="1">
      <c r="A356" t="inlineStr">
        <is>
          <t>A 14313-2024</t>
        </is>
      </c>
      <c r="B356" s="1" t="n">
        <v>45393</v>
      </c>
      <c r="C356" s="1" t="n">
        <v>46059</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29397-2024</t>
        </is>
      </c>
      <c r="B357" s="1" t="n">
        <v>45483</v>
      </c>
      <c r="C357" s="1" t="n">
        <v>46059</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2913-2026</t>
        </is>
      </c>
      <c r="B358" s="1" t="n">
        <v>46038.56913194444</v>
      </c>
      <c r="C358" s="1" t="n">
        <v>46059</v>
      </c>
      <c r="D358" t="inlineStr">
        <is>
          <t>SÖDERMANLANDS LÄN</t>
        </is>
      </c>
      <c r="E358" t="inlineStr">
        <is>
          <t>KATRINEHOLM</t>
        </is>
      </c>
      <c r="F358" t="inlineStr">
        <is>
          <t>Övriga Aktiebolag</t>
        </is>
      </c>
      <c r="G358" t="n">
        <v>6.2</v>
      </c>
      <c r="H358" t="n">
        <v>0</v>
      </c>
      <c r="I358" t="n">
        <v>0</v>
      </c>
      <c r="J358" t="n">
        <v>0</v>
      </c>
      <c r="K358" t="n">
        <v>0</v>
      </c>
      <c r="L358" t="n">
        <v>0</v>
      </c>
      <c r="M358" t="n">
        <v>0</v>
      </c>
      <c r="N358" t="n">
        <v>0</v>
      </c>
      <c r="O358" t="n">
        <v>0</v>
      </c>
      <c r="P358" t="n">
        <v>0</v>
      </c>
      <c r="Q358" t="n">
        <v>0</v>
      </c>
      <c r="R358" s="2" t="inlineStr"/>
    </row>
    <row r="359" ht="15" customHeight="1">
      <c r="A359" t="inlineStr">
        <is>
          <t>A 2645-2026</t>
        </is>
      </c>
      <c r="B359" s="1" t="n">
        <v>46037.62321759259</v>
      </c>
      <c r="C359" s="1" t="n">
        <v>46059</v>
      </c>
      <c r="D359" t="inlineStr">
        <is>
          <t>SÖDERMANLANDS LÄN</t>
        </is>
      </c>
      <c r="E359" t="inlineStr">
        <is>
          <t>KATRINEHOLM</t>
        </is>
      </c>
      <c r="G359" t="n">
        <v>2.1</v>
      </c>
      <c r="H359" t="n">
        <v>0</v>
      </c>
      <c r="I359" t="n">
        <v>0</v>
      </c>
      <c r="J359" t="n">
        <v>0</v>
      </c>
      <c r="K359" t="n">
        <v>0</v>
      </c>
      <c r="L359" t="n">
        <v>0</v>
      </c>
      <c r="M359" t="n">
        <v>0</v>
      </c>
      <c r="N359" t="n">
        <v>0</v>
      </c>
      <c r="O359" t="n">
        <v>0</v>
      </c>
      <c r="P359" t="n">
        <v>0</v>
      </c>
      <c r="Q359" t="n">
        <v>0</v>
      </c>
      <c r="R359" s="2" t="inlineStr"/>
    </row>
    <row r="360" ht="15" customHeight="1">
      <c r="A360" t="inlineStr">
        <is>
          <t>A 46524-2025</t>
        </is>
      </c>
      <c r="B360" s="1" t="n">
        <v>45926</v>
      </c>
      <c r="C360" s="1" t="n">
        <v>46059</v>
      </c>
      <c r="D360" t="inlineStr">
        <is>
          <t>SÖDERMANLANDS LÄN</t>
        </is>
      </c>
      <c r="E360" t="inlineStr">
        <is>
          <t>KATRINEHOLM</t>
        </is>
      </c>
      <c r="G360" t="n">
        <v>5.7</v>
      </c>
      <c r="H360" t="n">
        <v>0</v>
      </c>
      <c r="I360" t="n">
        <v>0</v>
      </c>
      <c r="J360" t="n">
        <v>0</v>
      </c>
      <c r="K360" t="n">
        <v>0</v>
      </c>
      <c r="L360" t="n">
        <v>0</v>
      </c>
      <c r="M360" t="n">
        <v>0</v>
      </c>
      <c r="N360" t="n">
        <v>0</v>
      </c>
      <c r="O360" t="n">
        <v>0</v>
      </c>
      <c r="P360" t="n">
        <v>0</v>
      </c>
      <c r="Q360" t="n">
        <v>0</v>
      </c>
      <c r="R360" s="2" t="inlineStr"/>
    </row>
    <row r="361" ht="15" customHeight="1">
      <c r="A361" t="inlineStr">
        <is>
          <t>A 33278-2024</t>
        </is>
      </c>
      <c r="B361" s="1" t="n">
        <v>45518</v>
      </c>
      <c r="C361" s="1" t="n">
        <v>46059</v>
      </c>
      <c r="D361" t="inlineStr">
        <is>
          <t>SÖDERMANLANDS LÄN</t>
        </is>
      </c>
      <c r="E361" t="inlineStr">
        <is>
          <t>KATRINEHOLM</t>
        </is>
      </c>
      <c r="G361" t="n">
        <v>2.1</v>
      </c>
      <c r="H361" t="n">
        <v>0</v>
      </c>
      <c r="I361" t="n">
        <v>0</v>
      </c>
      <c r="J361" t="n">
        <v>0</v>
      </c>
      <c r="K361" t="n">
        <v>0</v>
      </c>
      <c r="L361" t="n">
        <v>0</v>
      </c>
      <c r="M361" t="n">
        <v>0</v>
      </c>
      <c r="N361" t="n">
        <v>0</v>
      </c>
      <c r="O361" t="n">
        <v>0</v>
      </c>
      <c r="P361" t="n">
        <v>0</v>
      </c>
      <c r="Q361" t="n">
        <v>0</v>
      </c>
      <c r="R361" s="2" t="inlineStr"/>
    </row>
    <row r="362" ht="15" customHeight="1">
      <c r="A362" t="inlineStr">
        <is>
          <t>A 61121-2025</t>
        </is>
      </c>
      <c r="B362" s="1" t="n">
        <v>46000.46746527778</v>
      </c>
      <c r="C362" s="1" t="n">
        <v>46059</v>
      </c>
      <c r="D362" t="inlineStr">
        <is>
          <t>SÖDERMANLANDS LÄN</t>
        </is>
      </c>
      <c r="E362" t="inlineStr">
        <is>
          <t>KATRINEHOLM</t>
        </is>
      </c>
      <c r="G362" t="n">
        <v>0.2</v>
      </c>
      <c r="H362" t="n">
        <v>0</v>
      </c>
      <c r="I362" t="n">
        <v>0</v>
      </c>
      <c r="J362" t="n">
        <v>0</v>
      </c>
      <c r="K362" t="n">
        <v>0</v>
      </c>
      <c r="L362" t="n">
        <v>0</v>
      </c>
      <c r="M362" t="n">
        <v>0</v>
      </c>
      <c r="N362" t="n">
        <v>0</v>
      </c>
      <c r="O362" t="n">
        <v>0</v>
      </c>
      <c r="P362" t="n">
        <v>0</v>
      </c>
      <c r="Q362" t="n">
        <v>0</v>
      </c>
      <c r="R362" s="2" t="inlineStr"/>
    </row>
    <row r="363" ht="15" customHeight="1">
      <c r="A363" t="inlineStr">
        <is>
          <t>A 9714-2024</t>
        </is>
      </c>
      <c r="B363" s="1" t="n">
        <v>45362</v>
      </c>
      <c r="C363" s="1" t="n">
        <v>46059</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61066-2025</t>
        </is>
      </c>
      <c r="B364" s="1" t="n">
        <v>46000.37695601852</v>
      </c>
      <c r="C364" s="1" t="n">
        <v>46059</v>
      </c>
      <c r="D364" t="inlineStr">
        <is>
          <t>SÖDERMANLANDS LÄN</t>
        </is>
      </c>
      <c r="E364" t="inlineStr">
        <is>
          <t>KATRINEHOLM</t>
        </is>
      </c>
      <c r="F364" t="inlineStr">
        <is>
          <t>Kyrkan</t>
        </is>
      </c>
      <c r="G364" t="n">
        <v>5</v>
      </c>
      <c r="H364" t="n">
        <v>0</v>
      </c>
      <c r="I364" t="n">
        <v>0</v>
      </c>
      <c r="J364" t="n">
        <v>0</v>
      </c>
      <c r="K364" t="n">
        <v>0</v>
      </c>
      <c r="L364" t="n">
        <v>0</v>
      </c>
      <c r="M364" t="n">
        <v>0</v>
      </c>
      <c r="N364" t="n">
        <v>0</v>
      </c>
      <c r="O364" t="n">
        <v>0</v>
      </c>
      <c r="P364" t="n">
        <v>0</v>
      </c>
      <c r="Q364" t="n">
        <v>0</v>
      </c>
      <c r="R364" s="2" t="inlineStr"/>
    </row>
    <row r="365" ht="15" customHeight="1">
      <c r="A365" t="inlineStr">
        <is>
          <t>A 24619-2024</t>
        </is>
      </c>
      <c r="B365" s="1" t="n">
        <v>45460</v>
      </c>
      <c r="C365" s="1" t="n">
        <v>46059</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9699-2024</t>
        </is>
      </c>
      <c r="B366" s="1" t="n">
        <v>45362</v>
      </c>
      <c r="C366" s="1" t="n">
        <v>46059</v>
      </c>
      <c r="D366" t="inlineStr">
        <is>
          <t>SÖDERMANLANDS LÄN</t>
        </is>
      </c>
      <c r="E366" t="inlineStr">
        <is>
          <t>KATRINEHOLM</t>
        </is>
      </c>
      <c r="G366" t="n">
        <v>7.7</v>
      </c>
      <c r="H366" t="n">
        <v>0</v>
      </c>
      <c r="I366" t="n">
        <v>0</v>
      </c>
      <c r="J366" t="n">
        <v>0</v>
      </c>
      <c r="K366" t="n">
        <v>0</v>
      </c>
      <c r="L366" t="n">
        <v>0</v>
      </c>
      <c r="M366" t="n">
        <v>0</v>
      </c>
      <c r="N366" t="n">
        <v>0</v>
      </c>
      <c r="O366" t="n">
        <v>0</v>
      </c>
      <c r="P366" t="n">
        <v>0</v>
      </c>
      <c r="Q366" t="n">
        <v>0</v>
      </c>
      <c r="R366" s="2" t="inlineStr"/>
    </row>
    <row r="367" ht="15" customHeight="1">
      <c r="A367" t="inlineStr">
        <is>
          <t>A 59474-2021</t>
        </is>
      </c>
      <c r="B367" s="1" t="n">
        <v>44491</v>
      </c>
      <c r="C367" s="1" t="n">
        <v>46059</v>
      </c>
      <c r="D367" t="inlineStr">
        <is>
          <t>SÖDERMANLANDS LÄN</t>
        </is>
      </c>
      <c r="E367" t="inlineStr">
        <is>
          <t>KATRINEHOLM</t>
        </is>
      </c>
      <c r="G367" t="n">
        <v>2.7</v>
      </c>
      <c r="H367" t="n">
        <v>0</v>
      </c>
      <c r="I367" t="n">
        <v>0</v>
      </c>
      <c r="J367" t="n">
        <v>0</v>
      </c>
      <c r="K367" t="n">
        <v>0</v>
      </c>
      <c r="L367" t="n">
        <v>0</v>
      </c>
      <c r="M367" t="n">
        <v>0</v>
      </c>
      <c r="N367" t="n">
        <v>0</v>
      </c>
      <c r="O367" t="n">
        <v>0</v>
      </c>
      <c r="P367" t="n">
        <v>0</v>
      </c>
      <c r="Q367" t="n">
        <v>0</v>
      </c>
      <c r="R367" s="2" t="inlineStr"/>
    </row>
    <row r="368" ht="15" customHeight="1">
      <c r="A368" t="inlineStr">
        <is>
          <t>A 4387-2024</t>
        </is>
      </c>
      <c r="B368" s="1" t="n">
        <v>45327.35068287037</v>
      </c>
      <c r="C368" s="1" t="n">
        <v>46059</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14239-2024</t>
        </is>
      </c>
      <c r="B369" s="1" t="n">
        <v>45393</v>
      </c>
      <c r="C369" s="1" t="n">
        <v>46059</v>
      </c>
      <c r="D369" t="inlineStr">
        <is>
          <t>SÖDERMANLANDS LÄN</t>
        </is>
      </c>
      <c r="E369" t="inlineStr">
        <is>
          <t>KATRINEHOLM</t>
        </is>
      </c>
      <c r="G369" t="n">
        <v>2.7</v>
      </c>
      <c r="H369" t="n">
        <v>0</v>
      </c>
      <c r="I369" t="n">
        <v>0</v>
      </c>
      <c r="J369" t="n">
        <v>0</v>
      </c>
      <c r="K369" t="n">
        <v>0</v>
      </c>
      <c r="L369" t="n">
        <v>0</v>
      </c>
      <c r="M369" t="n">
        <v>0</v>
      </c>
      <c r="N369" t="n">
        <v>0</v>
      </c>
      <c r="O369" t="n">
        <v>0</v>
      </c>
      <c r="P369" t="n">
        <v>0</v>
      </c>
      <c r="Q369" t="n">
        <v>0</v>
      </c>
      <c r="R369" s="2" t="inlineStr"/>
    </row>
    <row r="370" ht="15" customHeight="1">
      <c r="A370" t="inlineStr">
        <is>
          <t>A 14248-2024</t>
        </is>
      </c>
      <c r="B370" s="1" t="n">
        <v>45393</v>
      </c>
      <c r="C370" s="1" t="n">
        <v>46059</v>
      </c>
      <c r="D370" t="inlineStr">
        <is>
          <t>SÖDERMANLANDS LÄN</t>
        </is>
      </c>
      <c r="E370" t="inlineStr">
        <is>
          <t>KATRINEHOLM</t>
        </is>
      </c>
      <c r="G370" t="n">
        <v>1.4</v>
      </c>
      <c r="H370" t="n">
        <v>0</v>
      </c>
      <c r="I370" t="n">
        <v>0</v>
      </c>
      <c r="J370" t="n">
        <v>0</v>
      </c>
      <c r="K370" t="n">
        <v>0</v>
      </c>
      <c r="L370" t="n">
        <v>0</v>
      </c>
      <c r="M370" t="n">
        <v>0</v>
      </c>
      <c r="N370" t="n">
        <v>0</v>
      </c>
      <c r="O370" t="n">
        <v>0</v>
      </c>
      <c r="P370" t="n">
        <v>0</v>
      </c>
      <c r="Q370" t="n">
        <v>0</v>
      </c>
      <c r="R370" s="2" t="inlineStr"/>
    </row>
    <row r="371" ht="15" customHeight="1">
      <c r="A371" t="inlineStr">
        <is>
          <t>A 11635-2023</t>
        </is>
      </c>
      <c r="B371" s="1" t="n">
        <v>44994</v>
      </c>
      <c r="C371" s="1" t="n">
        <v>46059</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4872-2024</t>
        </is>
      </c>
      <c r="B372" s="1" t="n">
        <v>45329</v>
      </c>
      <c r="C372" s="1" t="n">
        <v>46059</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10932-2023</t>
        </is>
      </c>
      <c r="B373" s="1" t="n">
        <v>44985</v>
      </c>
      <c r="C373" s="1" t="n">
        <v>46059</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6087-2022</t>
        </is>
      </c>
      <c r="B374" s="1" t="n">
        <v>44599.61034722222</v>
      </c>
      <c r="C374" s="1" t="n">
        <v>46059</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8957-2024</t>
        </is>
      </c>
      <c r="B375" s="1" t="n">
        <v>45357.45089120371</v>
      </c>
      <c r="C375" s="1" t="n">
        <v>46059</v>
      </c>
      <c r="D375" t="inlineStr">
        <is>
          <t>SÖDERMANLANDS LÄN</t>
        </is>
      </c>
      <c r="E375" t="inlineStr">
        <is>
          <t>KATRINEHOLM</t>
        </is>
      </c>
      <c r="G375" t="n">
        <v>3.6</v>
      </c>
      <c r="H375" t="n">
        <v>0</v>
      </c>
      <c r="I375" t="n">
        <v>0</v>
      </c>
      <c r="J375" t="n">
        <v>0</v>
      </c>
      <c r="K375" t="n">
        <v>0</v>
      </c>
      <c r="L375" t="n">
        <v>0</v>
      </c>
      <c r="M375" t="n">
        <v>0</v>
      </c>
      <c r="N375" t="n">
        <v>0</v>
      </c>
      <c r="O375" t="n">
        <v>0</v>
      </c>
      <c r="P375" t="n">
        <v>0</v>
      </c>
      <c r="Q375" t="n">
        <v>0</v>
      </c>
      <c r="R375" s="2" t="inlineStr"/>
    </row>
    <row r="376" ht="15" customHeight="1">
      <c r="A376" t="inlineStr">
        <is>
          <t>A 29702-2021</t>
        </is>
      </c>
      <c r="B376" s="1" t="n">
        <v>44362</v>
      </c>
      <c r="C376" s="1" t="n">
        <v>46059</v>
      </c>
      <c r="D376" t="inlineStr">
        <is>
          <t>SÖDERMANLANDS LÄN</t>
        </is>
      </c>
      <c r="E376" t="inlineStr">
        <is>
          <t>KATRINEHOLM</t>
        </is>
      </c>
      <c r="F376" t="inlineStr">
        <is>
          <t>Holmen skog AB</t>
        </is>
      </c>
      <c r="G376" t="n">
        <v>0.3</v>
      </c>
      <c r="H376" t="n">
        <v>0</v>
      </c>
      <c r="I376" t="n">
        <v>0</v>
      </c>
      <c r="J376" t="n">
        <v>0</v>
      </c>
      <c r="K376" t="n">
        <v>0</v>
      </c>
      <c r="L376" t="n">
        <v>0</v>
      </c>
      <c r="M376" t="n">
        <v>0</v>
      </c>
      <c r="N376" t="n">
        <v>0</v>
      </c>
      <c r="O376" t="n">
        <v>0</v>
      </c>
      <c r="P376" t="n">
        <v>0</v>
      </c>
      <c r="Q376" t="n">
        <v>0</v>
      </c>
      <c r="R376" s="2" t="inlineStr"/>
    </row>
    <row r="377" ht="15" customHeight="1">
      <c r="A377" t="inlineStr">
        <is>
          <t>A 42896-2024</t>
        </is>
      </c>
      <c r="B377" s="1" t="n">
        <v>45566.82973379629</v>
      </c>
      <c r="C377" s="1" t="n">
        <v>46059</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7747-2024</t>
        </is>
      </c>
      <c r="B378" s="1" t="n">
        <v>45348</v>
      </c>
      <c r="C378" s="1" t="n">
        <v>46059</v>
      </c>
      <c r="D378" t="inlineStr">
        <is>
          <t>SÖDERMANLANDS LÄN</t>
        </is>
      </c>
      <c r="E378" t="inlineStr">
        <is>
          <t>KATRINEHOLM</t>
        </is>
      </c>
      <c r="G378" t="n">
        <v>1.1</v>
      </c>
      <c r="H378" t="n">
        <v>0</v>
      </c>
      <c r="I378" t="n">
        <v>0</v>
      </c>
      <c r="J378" t="n">
        <v>0</v>
      </c>
      <c r="K378" t="n">
        <v>0</v>
      </c>
      <c r="L378" t="n">
        <v>0</v>
      </c>
      <c r="M378" t="n">
        <v>0</v>
      </c>
      <c r="N378" t="n">
        <v>0</v>
      </c>
      <c r="O378" t="n">
        <v>0</v>
      </c>
      <c r="P378" t="n">
        <v>0</v>
      </c>
      <c r="Q378" t="n">
        <v>0</v>
      </c>
      <c r="R378" s="2" t="inlineStr"/>
    </row>
    <row r="379" ht="15" customHeight="1">
      <c r="A379" t="inlineStr">
        <is>
          <t>A 7753-2024</t>
        </is>
      </c>
      <c r="B379" s="1" t="n">
        <v>45348</v>
      </c>
      <c r="C379" s="1" t="n">
        <v>46059</v>
      </c>
      <c r="D379" t="inlineStr">
        <is>
          <t>SÖDERMANLANDS LÄN</t>
        </is>
      </c>
      <c r="E379" t="inlineStr">
        <is>
          <t>KATRINEHOLM</t>
        </is>
      </c>
      <c r="G379" t="n">
        <v>13.4</v>
      </c>
      <c r="H379" t="n">
        <v>0</v>
      </c>
      <c r="I379" t="n">
        <v>0</v>
      </c>
      <c r="J379" t="n">
        <v>0</v>
      </c>
      <c r="K379" t="n">
        <v>0</v>
      </c>
      <c r="L379" t="n">
        <v>0</v>
      </c>
      <c r="M379" t="n">
        <v>0</v>
      </c>
      <c r="N379" t="n">
        <v>0</v>
      </c>
      <c r="O379" t="n">
        <v>0</v>
      </c>
      <c r="P379" t="n">
        <v>0</v>
      </c>
      <c r="Q379" t="n">
        <v>0</v>
      </c>
      <c r="R379" s="2" t="inlineStr"/>
    </row>
    <row r="380" ht="15" customHeight="1">
      <c r="A380" t="inlineStr">
        <is>
          <t>A 61721-2025</t>
        </is>
      </c>
      <c r="B380" s="1" t="n">
        <v>46002.57778935185</v>
      </c>
      <c r="C380" s="1" t="n">
        <v>46059</v>
      </c>
      <c r="D380" t="inlineStr">
        <is>
          <t>SÖDERMANLANDS LÄN</t>
        </is>
      </c>
      <c r="E380" t="inlineStr">
        <is>
          <t>KATRINEHOLM</t>
        </is>
      </c>
      <c r="G380" t="n">
        <v>4.5</v>
      </c>
      <c r="H380" t="n">
        <v>0</v>
      </c>
      <c r="I380" t="n">
        <v>0</v>
      </c>
      <c r="J380" t="n">
        <v>0</v>
      </c>
      <c r="K380" t="n">
        <v>0</v>
      </c>
      <c r="L380" t="n">
        <v>0</v>
      </c>
      <c r="M380" t="n">
        <v>0</v>
      </c>
      <c r="N380" t="n">
        <v>0</v>
      </c>
      <c r="O380" t="n">
        <v>0</v>
      </c>
      <c r="P380" t="n">
        <v>0</v>
      </c>
      <c r="Q380" t="n">
        <v>0</v>
      </c>
      <c r="R380" s="2" t="inlineStr"/>
    </row>
    <row r="381" ht="15" customHeight="1">
      <c r="A381" t="inlineStr">
        <is>
          <t>A 63895-2025</t>
        </is>
      </c>
      <c r="B381" s="1" t="n">
        <v>46020</v>
      </c>
      <c r="C381" s="1" t="n">
        <v>46059</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3986-2024</t>
        </is>
      </c>
      <c r="B382" s="1" t="n">
        <v>45322</v>
      </c>
      <c r="C382" s="1" t="n">
        <v>46059</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5935-2023</t>
        </is>
      </c>
      <c r="B383" s="1" t="n">
        <v>44963</v>
      </c>
      <c r="C383" s="1" t="n">
        <v>46059</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10996-2022</t>
        </is>
      </c>
      <c r="B384" s="1" t="n">
        <v>44628</v>
      </c>
      <c r="C384" s="1" t="n">
        <v>46059</v>
      </c>
      <c r="D384" t="inlineStr">
        <is>
          <t>SÖDERMANLANDS LÄN</t>
        </is>
      </c>
      <c r="E384" t="inlineStr">
        <is>
          <t>KATRINEHOLM</t>
        </is>
      </c>
      <c r="G384" t="n">
        <v>0.3</v>
      </c>
      <c r="H384" t="n">
        <v>0</v>
      </c>
      <c r="I384" t="n">
        <v>0</v>
      </c>
      <c r="J384" t="n">
        <v>0</v>
      </c>
      <c r="K384" t="n">
        <v>0</v>
      </c>
      <c r="L384" t="n">
        <v>0</v>
      </c>
      <c r="M384" t="n">
        <v>0</v>
      </c>
      <c r="N384" t="n">
        <v>0</v>
      </c>
      <c r="O384" t="n">
        <v>0</v>
      </c>
      <c r="P384" t="n">
        <v>0</v>
      </c>
      <c r="Q384" t="n">
        <v>0</v>
      </c>
      <c r="R384" s="2" t="inlineStr"/>
    </row>
    <row r="385" ht="15" customHeight="1">
      <c r="A385" t="inlineStr">
        <is>
          <t>A 10732-2022</t>
        </is>
      </c>
      <c r="B385" s="1" t="n">
        <v>44627.34033564815</v>
      </c>
      <c r="C385" s="1" t="n">
        <v>46059</v>
      </c>
      <c r="D385" t="inlineStr">
        <is>
          <t>SÖDERMANLANDS LÄN</t>
        </is>
      </c>
      <c r="E385" t="inlineStr">
        <is>
          <t>KATRINEHOLM</t>
        </is>
      </c>
      <c r="G385" t="n">
        <v>2.4</v>
      </c>
      <c r="H385" t="n">
        <v>0</v>
      </c>
      <c r="I385" t="n">
        <v>0</v>
      </c>
      <c r="J385" t="n">
        <v>0</v>
      </c>
      <c r="K385" t="n">
        <v>0</v>
      </c>
      <c r="L385" t="n">
        <v>0</v>
      </c>
      <c r="M385" t="n">
        <v>0</v>
      </c>
      <c r="N385" t="n">
        <v>0</v>
      </c>
      <c r="O385" t="n">
        <v>0</v>
      </c>
      <c r="P385" t="n">
        <v>0</v>
      </c>
      <c r="Q385" t="n">
        <v>0</v>
      </c>
      <c r="R385" s="2" t="inlineStr"/>
    </row>
    <row r="386" ht="15" customHeight="1">
      <c r="A386" t="inlineStr">
        <is>
          <t>A 42451-2023</t>
        </is>
      </c>
      <c r="B386" s="1" t="n">
        <v>45180</v>
      </c>
      <c r="C386" s="1" t="n">
        <v>46059</v>
      </c>
      <c r="D386" t="inlineStr">
        <is>
          <t>SÖDERMANLANDS LÄN</t>
        </is>
      </c>
      <c r="E386" t="inlineStr">
        <is>
          <t>KATRINEHOLM</t>
        </is>
      </c>
      <c r="G386" t="n">
        <v>3.8</v>
      </c>
      <c r="H386" t="n">
        <v>0</v>
      </c>
      <c r="I386" t="n">
        <v>0</v>
      </c>
      <c r="J386" t="n">
        <v>0</v>
      </c>
      <c r="K386" t="n">
        <v>0</v>
      </c>
      <c r="L386" t="n">
        <v>0</v>
      </c>
      <c r="M386" t="n">
        <v>0</v>
      </c>
      <c r="N386" t="n">
        <v>0</v>
      </c>
      <c r="O386" t="n">
        <v>0</v>
      </c>
      <c r="P386" t="n">
        <v>0</v>
      </c>
      <c r="Q386" t="n">
        <v>0</v>
      </c>
      <c r="R386" s="2" t="inlineStr"/>
    </row>
    <row r="387" ht="15" customHeight="1">
      <c r="A387" t="inlineStr">
        <is>
          <t>A 4889-2026</t>
        </is>
      </c>
      <c r="B387" s="1" t="n">
        <v>46048.66766203703</v>
      </c>
      <c r="C387" s="1" t="n">
        <v>46059</v>
      </c>
      <c r="D387" t="inlineStr">
        <is>
          <t>SÖDERMANLANDS LÄN</t>
        </is>
      </c>
      <c r="E387" t="inlineStr">
        <is>
          <t>KATRINEHOLM</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3939-2022</t>
        </is>
      </c>
      <c r="B388" s="1" t="n">
        <v>44587</v>
      </c>
      <c r="C388" s="1" t="n">
        <v>46059</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56074-2022</t>
        </is>
      </c>
      <c r="B389" s="1" t="n">
        <v>44889</v>
      </c>
      <c r="C389" s="1" t="n">
        <v>46059</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c r="T389">
        <f>HYPERLINK("https://klasma.github.io/Logging_0483/kartor/A 56074-2022 karta.png", "A 56074-2022")</f>
        <v/>
      </c>
      <c r="V389">
        <f>HYPERLINK("https://klasma.github.io/Logging_0483/klagomål/A 56074-2022 FSC-klagomål.docx", "A 56074-2022")</f>
        <v/>
      </c>
      <c r="W389">
        <f>HYPERLINK("https://klasma.github.io/Logging_0483/klagomålsmail/A 56074-2022 FSC-klagomål mail.docx", "A 56074-2022")</f>
        <v/>
      </c>
      <c r="X389">
        <f>HYPERLINK("https://klasma.github.io/Logging_0483/tillsyn/A 56074-2022 tillsynsbegäran.docx", "A 56074-2022")</f>
        <v/>
      </c>
      <c r="Y389">
        <f>HYPERLINK("https://klasma.github.io/Logging_0483/tillsynsmail/A 56074-2022 tillsynsbegäran mail.docx", "A 56074-2022")</f>
        <v/>
      </c>
    </row>
    <row r="390" ht="15" customHeight="1">
      <c r="A390" t="inlineStr">
        <is>
          <t>A 13113-2023</t>
        </is>
      </c>
      <c r="B390" s="1" t="n">
        <v>45002</v>
      </c>
      <c r="C390" s="1" t="n">
        <v>46059</v>
      </c>
      <c r="D390" t="inlineStr">
        <is>
          <t>SÖDERMANLANDS LÄN</t>
        </is>
      </c>
      <c r="E390" t="inlineStr">
        <is>
          <t>KATRINEHOLM</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61915-2021</t>
        </is>
      </c>
      <c r="B391" s="1" t="n">
        <v>44502.36780092592</v>
      </c>
      <c r="C391" s="1" t="n">
        <v>46059</v>
      </c>
      <c r="D391" t="inlineStr">
        <is>
          <t>SÖDERMANLANDS LÄN</t>
        </is>
      </c>
      <c r="E391" t="inlineStr">
        <is>
          <t>KATRINEHOLM</t>
        </is>
      </c>
      <c r="G391" t="n">
        <v>2.6</v>
      </c>
      <c r="H391" t="n">
        <v>0</v>
      </c>
      <c r="I391" t="n">
        <v>0</v>
      </c>
      <c r="J391" t="n">
        <v>0</v>
      </c>
      <c r="K391" t="n">
        <v>0</v>
      </c>
      <c r="L391" t="n">
        <v>0</v>
      </c>
      <c r="M391" t="n">
        <v>0</v>
      </c>
      <c r="N391" t="n">
        <v>0</v>
      </c>
      <c r="O391" t="n">
        <v>0</v>
      </c>
      <c r="P391" t="n">
        <v>0</v>
      </c>
      <c r="Q391" t="n">
        <v>0</v>
      </c>
      <c r="R391" s="2" t="inlineStr"/>
    </row>
    <row r="392" ht="15" customHeight="1">
      <c r="A392" t="inlineStr">
        <is>
          <t>A 49743-2025</t>
        </is>
      </c>
      <c r="B392" s="1" t="n">
        <v>45940</v>
      </c>
      <c r="C392" s="1" t="n">
        <v>46059</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6606-2022</t>
        </is>
      </c>
      <c r="B393" s="1" t="n">
        <v>44601</v>
      </c>
      <c r="C393" s="1" t="n">
        <v>46059</v>
      </c>
      <c r="D393" t="inlineStr">
        <is>
          <t>SÖDERMANLANDS LÄN</t>
        </is>
      </c>
      <c r="E393" t="inlineStr">
        <is>
          <t>KATRINEHOLM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27646-2023</t>
        </is>
      </c>
      <c r="B394" s="1" t="n">
        <v>45097</v>
      </c>
      <c r="C394" s="1" t="n">
        <v>46059</v>
      </c>
      <c r="D394" t="inlineStr">
        <is>
          <t>SÖDERMANLANDS LÄN</t>
        </is>
      </c>
      <c r="E394" t="inlineStr">
        <is>
          <t>KATRINEHOLM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4656-2023</t>
        </is>
      </c>
      <c r="B395" s="1" t="n">
        <v>44957</v>
      </c>
      <c r="C395" s="1" t="n">
        <v>46059</v>
      </c>
      <c r="D395" t="inlineStr">
        <is>
          <t>SÖDERMANLANDS LÄN</t>
        </is>
      </c>
      <c r="E395" t="inlineStr">
        <is>
          <t>KATRINEHOLM</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15235-2023</t>
        </is>
      </c>
      <c r="B396" s="1" t="n">
        <v>45019</v>
      </c>
      <c r="C396" s="1" t="n">
        <v>46059</v>
      </c>
      <c r="D396" t="inlineStr">
        <is>
          <t>SÖDERMANLANDS LÄN</t>
        </is>
      </c>
      <c r="E396" t="inlineStr">
        <is>
          <t>KATRINEHOLM</t>
        </is>
      </c>
      <c r="F396" t="inlineStr">
        <is>
          <t>Holmen skog AB</t>
        </is>
      </c>
      <c r="G396" t="n">
        <v>0.7</v>
      </c>
      <c r="H396" t="n">
        <v>0</v>
      </c>
      <c r="I396" t="n">
        <v>0</v>
      </c>
      <c r="J396" t="n">
        <v>0</v>
      </c>
      <c r="K396" t="n">
        <v>0</v>
      </c>
      <c r="L396" t="n">
        <v>0</v>
      </c>
      <c r="M396" t="n">
        <v>0</v>
      </c>
      <c r="N396" t="n">
        <v>0</v>
      </c>
      <c r="O396" t="n">
        <v>0</v>
      </c>
      <c r="P396" t="n">
        <v>0</v>
      </c>
      <c r="Q396" t="n">
        <v>0</v>
      </c>
      <c r="R396" s="2" t="inlineStr"/>
    </row>
    <row r="397" ht="15" customHeight="1">
      <c r="A397" t="inlineStr">
        <is>
          <t>A 59093-2024</t>
        </is>
      </c>
      <c r="B397" s="1" t="n">
        <v>45636</v>
      </c>
      <c r="C397" s="1" t="n">
        <v>46059</v>
      </c>
      <c r="D397" t="inlineStr">
        <is>
          <t>SÖDERMANLANDS LÄN</t>
        </is>
      </c>
      <c r="E397" t="inlineStr">
        <is>
          <t>KATRINEHOLM</t>
        </is>
      </c>
      <c r="G397" t="n">
        <v>2.8</v>
      </c>
      <c r="H397" t="n">
        <v>0</v>
      </c>
      <c r="I397" t="n">
        <v>0</v>
      </c>
      <c r="J397" t="n">
        <v>0</v>
      </c>
      <c r="K397" t="n">
        <v>0</v>
      </c>
      <c r="L397" t="n">
        <v>0</v>
      </c>
      <c r="M397" t="n">
        <v>0</v>
      </c>
      <c r="N397" t="n">
        <v>0</v>
      </c>
      <c r="O397" t="n">
        <v>0</v>
      </c>
      <c r="P397" t="n">
        <v>0</v>
      </c>
      <c r="Q397" t="n">
        <v>0</v>
      </c>
      <c r="R397" s="2" t="inlineStr"/>
    </row>
    <row r="398" ht="15" customHeight="1">
      <c r="A398" t="inlineStr">
        <is>
          <t>A 50934-2025</t>
        </is>
      </c>
      <c r="B398" s="1" t="n">
        <v>45946.69195601852</v>
      </c>
      <c r="C398" s="1" t="n">
        <v>46059</v>
      </c>
      <c r="D398" t="inlineStr">
        <is>
          <t>SÖDERMANLANDS LÄN</t>
        </is>
      </c>
      <c r="E398" t="inlineStr">
        <is>
          <t>KATRINEHOLM</t>
        </is>
      </c>
      <c r="G398" t="n">
        <v>2</v>
      </c>
      <c r="H398" t="n">
        <v>0</v>
      </c>
      <c r="I398" t="n">
        <v>0</v>
      </c>
      <c r="J398" t="n">
        <v>0</v>
      </c>
      <c r="K398" t="n">
        <v>0</v>
      </c>
      <c r="L398" t="n">
        <v>0</v>
      </c>
      <c r="M398" t="n">
        <v>0</v>
      </c>
      <c r="N398" t="n">
        <v>0</v>
      </c>
      <c r="O398" t="n">
        <v>0</v>
      </c>
      <c r="P398" t="n">
        <v>0</v>
      </c>
      <c r="Q398" t="n">
        <v>0</v>
      </c>
      <c r="R398" s="2" t="inlineStr"/>
    </row>
    <row r="399" ht="15" customHeight="1">
      <c r="A399" t="inlineStr">
        <is>
          <t>A 38872-2024</t>
        </is>
      </c>
      <c r="B399" s="1" t="n">
        <v>45547</v>
      </c>
      <c r="C399" s="1" t="n">
        <v>46059</v>
      </c>
      <c r="D399" t="inlineStr">
        <is>
          <t>SÖDERMANLANDS LÄN</t>
        </is>
      </c>
      <c r="E399" t="inlineStr">
        <is>
          <t>KATRINEHOLM</t>
        </is>
      </c>
      <c r="G399" t="n">
        <v>5.7</v>
      </c>
      <c r="H399" t="n">
        <v>0</v>
      </c>
      <c r="I399" t="n">
        <v>0</v>
      </c>
      <c r="J399" t="n">
        <v>0</v>
      </c>
      <c r="K399" t="n">
        <v>0</v>
      </c>
      <c r="L399" t="n">
        <v>0</v>
      </c>
      <c r="M399" t="n">
        <v>0</v>
      </c>
      <c r="N399" t="n">
        <v>0</v>
      </c>
      <c r="O399" t="n">
        <v>0</v>
      </c>
      <c r="P399" t="n">
        <v>0</v>
      </c>
      <c r="Q399" t="n">
        <v>0</v>
      </c>
      <c r="R399" s="2" t="inlineStr"/>
    </row>
    <row r="400" ht="15" customHeight="1">
      <c r="A400" t="inlineStr">
        <is>
          <t>A 51367-2025</t>
        </is>
      </c>
      <c r="B400" s="1" t="n">
        <v>45950.44700231482</v>
      </c>
      <c r="C400" s="1" t="n">
        <v>46059</v>
      </c>
      <c r="D400" t="inlineStr">
        <is>
          <t>SÖDERMANLANDS LÄN</t>
        </is>
      </c>
      <c r="E400" t="inlineStr">
        <is>
          <t>KATRINEHOLM</t>
        </is>
      </c>
      <c r="G400" t="n">
        <v>2.7</v>
      </c>
      <c r="H400" t="n">
        <v>0</v>
      </c>
      <c r="I400" t="n">
        <v>0</v>
      </c>
      <c r="J400" t="n">
        <v>0</v>
      </c>
      <c r="K400" t="n">
        <v>0</v>
      </c>
      <c r="L400" t="n">
        <v>0</v>
      </c>
      <c r="M400" t="n">
        <v>0</v>
      </c>
      <c r="N400" t="n">
        <v>0</v>
      </c>
      <c r="O400" t="n">
        <v>0</v>
      </c>
      <c r="P400" t="n">
        <v>0</v>
      </c>
      <c r="Q400" t="n">
        <v>0</v>
      </c>
      <c r="R400" s="2" t="inlineStr"/>
    </row>
    <row r="401" ht="15" customHeight="1">
      <c r="A401" t="inlineStr">
        <is>
          <t>A 9932-2023</t>
        </is>
      </c>
      <c r="B401" s="1" t="n">
        <v>44985.46709490741</v>
      </c>
      <c r="C401" s="1" t="n">
        <v>46059</v>
      </c>
      <c r="D401" t="inlineStr">
        <is>
          <t>SÖDERMANLANDS LÄN</t>
        </is>
      </c>
      <c r="E401" t="inlineStr">
        <is>
          <t>KATRINEHOLM</t>
        </is>
      </c>
      <c r="G401" t="n">
        <v>0.3</v>
      </c>
      <c r="H401" t="n">
        <v>0</v>
      </c>
      <c r="I401" t="n">
        <v>0</v>
      </c>
      <c r="J401" t="n">
        <v>0</v>
      </c>
      <c r="K401" t="n">
        <v>0</v>
      </c>
      <c r="L401" t="n">
        <v>0</v>
      </c>
      <c r="M401" t="n">
        <v>0</v>
      </c>
      <c r="N401" t="n">
        <v>0</v>
      </c>
      <c r="O401" t="n">
        <v>0</v>
      </c>
      <c r="P401" t="n">
        <v>0</v>
      </c>
      <c r="Q401" t="n">
        <v>0</v>
      </c>
      <c r="R401" s="2" t="inlineStr"/>
    </row>
    <row r="402" ht="15" customHeight="1">
      <c r="A402" t="inlineStr">
        <is>
          <t>A 25433-2024</t>
        </is>
      </c>
      <c r="B402" s="1" t="n">
        <v>45463</v>
      </c>
      <c r="C402" s="1" t="n">
        <v>46059</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9192-2023</t>
        </is>
      </c>
      <c r="B403" s="1" t="n">
        <v>44980</v>
      </c>
      <c r="C403" s="1" t="n">
        <v>46059</v>
      </c>
      <c r="D403" t="inlineStr">
        <is>
          <t>SÖDERMANLANDS LÄN</t>
        </is>
      </c>
      <c r="E403" t="inlineStr">
        <is>
          <t>KATRINEHOLM</t>
        </is>
      </c>
      <c r="F403" t="inlineStr">
        <is>
          <t>Övriga Aktiebolag</t>
        </is>
      </c>
      <c r="G403" t="n">
        <v>1.6</v>
      </c>
      <c r="H403" t="n">
        <v>0</v>
      </c>
      <c r="I403" t="n">
        <v>0</v>
      </c>
      <c r="J403" t="n">
        <v>0</v>
      </c>
      <c r="K403" t="n">
        <v>0</v>
      </c>
      <c r="L403" t="n">
        <v>0</v>
      </c>
      <c r="M403" t="n">
        <v>0</v>
      </c>
      <c r="N403" t="n">
        <v>0</v>
      </c>
      <c r="O403" t="n">
        <v>0</v>
      </c>
      <c r="P403" t="n">
        <v>0</v>
      </c>
      <c r="Q403" t="n">
        <v>0</v>
      </c>
      <c r="R403" s="2" t="inlineStr"/>
    </row>
    <row r="404" ht="15" customHeight="1">
      <c r="A404" t="inlineStr">
        <is>
          <t>A 15399-2022</t>
        </is>
      </c>
      <c r="B404" s="1" t="n">
        <v>44659</v>
      </c>
      <c r="C404" s="1" t="n">
        <v>46059</v>
      </c>
      <c r="D404" t="inlineStr">
        <is>
          <t>SÖDERMANLANDS LÄN</t>
        </is>
      </c>
      <c r="E404" t="inlineStr">
        <is>
          <t>KATRINEHOLM</t>
        </is>
      </c>
      <c r="G404" t="n">
        <v>5.6</v>
      </c>
      <c r="H404" t="n">
        <v>0</v>
      </c>
      <c r="I404" t="n">
        <v>0</v>
      </c>
      <c r="J404" t="n">
        <v>0</v>
      </c>
      <c r="K404" t="n">
        <v>0</v>
      </c>
      <c r="L404" t="n">
        <v>0</v>
      </c>
      <c r="M404" t="n">
        <v>0</v>
      </c>
      <c r="N404" t="n">
        <v>0</v>
      </c>
      <c r="O404" t="n">
        <v>0</v>
      </c>
      <c r="P404" t="n">
        <v>0</v>
      </c>
      <c r="Q404" t="n">
        <v>0</v>
      </c>
      <c r="R404" s="2" t="inlineStr"/>
    </row>
    <row r="405" ht="15" customHeight="1">
      <c r="A405" t="inlineStr">
        <is>
          <t>A 63945-2025</t>
        </is>
      </c>
      <c r="B405" s="1" t="n">
        <v>46010</v>
      </c>
      <c r="C405" s="1" t="n">
        <v>46059</v>
      </c>
      <c r="D405" t="inlineStr">
        <is>
          <t>SÖDERMANLANDS LÄN</t>
        </is>
      </c>
      <c r="E405" t="inlineStr">
        <is>
          <t>KATRINEHOLM</t>
        </is>
      </c>
      <c r="F405" t="inlineStr">
        <is>
          <t>Allmännings- och besparingsskogar</t>
        </is>
      </c>
      <c r="G405" t="n">
        <v>1.2</v>
      </c>
      <c r="H405" t="n">
        <v>0</v>
      </c>
      <c r="I405" t="n">
        <v>0</v>
      </c>
      <c r="J405" t="n">
        <v>0</v>
      </c>
      <c r="K405" t="n">
        <v>0</v>
      </c>
      <c r="L405" t="n">
        <v>0</v>
      </c>
      <c r="M405" t="n">
        <v>0</v>
      </c>
      <c r="N405" t="n">
        <v>0</v>
      </c>
      <c r="O405" t="n">
        <v>0</v>
      </c>
      <c r="P405" t="n">
        <v>0</v>
      </c>
      <c r="Q405" t="n">
        <v>0</v>
      </c>
      <c r="R405" s="2" t="inlineStr"/>
    </row>
    <row r="406" ht="15" customHeight="1">
      <c r="A406" t="inlineStr">
        <is>
          <t>A 63947-2025</t>
        </is>
      </c>
      <c r="B406" s="1" t="n">
        <v>46010</v>
      </c>
      <c r="C406" s="1" t="n">
        <v>46059</v>
      </c>
      <c r="D406" t="inlineStr">
        <is>
          <t>SÖDERMANLANDS LÄN</t>
        </is>
      </c>
      <c r="E406" t="inlineStr">
        <is>
          <t>KATRINEHOLM</t>
        </is>
      </c>
      <c r="F406" t="inlineStr">
        <is>
          <t>Allmännings- och besparingsskogar</t>
        </is>
      </c>
      <c r="G406" t="n">
        <v>4.8</v>
      </c>
      <c r="H406" t="n">
        <v>0</v>
      </c>
      <c r="I406" t="n">
        <v>0</v>
      </c>
      <c r="J406" t="n">
        <v>0</v>
      </c>
      <c r="K406" t="n">
        <v>0</v>
      </c>
      <c r="L406" t="n">
        <v>0</v>
      </c>
      <c r="M406" t="n">
        <v>0</v>
      </c>
      <c r="N406" t="n">
        <v>0</v>
      </c>
      <c r="O406" t="n">
        <v>0</v>
      </c>
      <c r="P406" t="n">
        <v>0</v>
      </c>
      <c r="Q406" t="n">
        <v>0</v>
      </c>
      <c r="R406" s="2" t="inlineStr"/>
    </row>
    <row r="407" ht="15" customHeight="1">
      <c r="A407" t="inlineStr">
        <is>
          <t>A 63949-2025</t>
        </is>
      </c>
      <c r="B407" s="1" t="n">
        <v>46010</v>
      </c>
      <c r="C407" s="1" t="n">
        <v>46059</v>
      </c>
      <c r="D407" t="inlineStr">
        <is>
          <t>SÖDERMANLANDS LÄN</t>
        </is>
      </c>
      <c r="E407" t="inlineStr">
        <is>
          <t>KATRINEHOLM</t>
        </is>
      </c>
      <c r="F407" t="inlineStr">
        <is>
          <t>Allmännings- och besparingsskogar</t>
        </is>
      </c>
      <c r="G407" t="n">
        <v>5.1</v>
      </c>
      <c r="H407" t="n">
        <v>0</v>
      </c>
      <c r="I407" t="n">
        <v>0</v>
      </c>
      <c r="J407" t="n">
        <v>0</v>
      </c>
      <c r="K407" t="n">
        <v>0</v>
      </c>
      <c r="L407" t="n">
        <v>0</v>
      </c>
      <c r="M407" t="n">
        <v>0</v>
      </c>
      <c r="N407" t="n">
        <v>0</v>
      </c>
      <c r="O407" t="n">
        <v>0</v>
      </c>
      <c r="P407" t="n">
        <v>0</v>
      </c>
      <c r="Q407" t="n">
        <v>0</v>
      </c>
      <c r="R407" s="2" t="inlineStr"/>
    </row>
    <row r="408" ht="15" customHeight="1">
      <c r="A408" t="inlineStr">
        <is>
          <t>A 11872-2023</t>
        </is>
      </c>
      <c r="B408" s="1" t="n">
        <v>44995</v>
      </c>
      <c r="C408" s="1" t="n">
        <v>46059</v>
      </c>
      <c r="D408" t="inlineStr">
        <is>
          <t>SÖDERMANLANDS LÄN</t>
        </is>
      </c>
      <c r="E408" t="inlineStr">
        <is>
          <t>KATRINEHOLM</t>
        </is>
      </c>
      <c r="F408" t="inlineStr">
        <is>
          <t>Kommuner</t>
        </is>
      </c>
      <c r="G408" t="n">
        <v>0.9</v>
      </c>
      <c r="H408" t="n">
        <v>0</v>
      </c>
      <c r="I408" t="n">
        <v>0</v>
      </c>
      <c r="J408" t="n">
        <v>0</v>
      </c>
      <c r="K408" t="n">
        <v>0</v>
      </c>
      <c r="L408" t="n">
        <v>0</v>
      </c>
      <c r="M408" t="n">
        <v>0</v>
      </c>
      <c r="N408" t="n">
        <v>0</v>
      </c>
      <c r="O408" t="n">
        <v>0</v>
      </c>
      <c r="P408" t="n">
        <v>0</v>
      </c>
      <c r="Q408" t="n">
        <v>0</v>
      </c>
      <c r="R408" s="2" t="inlineStr"/>
    </row>
    <row r="409" ht="15" customHeight="1">
      <c r="A409" t="inlineStr">
        <is>
          <t>A 49092-2024</t>
        </is>
      </c>
      <c r="B409" s="1" t="n">
        <v>45594.63619212963</v>
      </c>
      <c r="C409" s="1" t="n">
        <v>46059</v>
      </c>
      <c r="D409" t="inlineStr">
        <is>
          <t>SÖDERMANLANDS LÄN</t>
        </is>
      </c>
      <c r="E409" t="inlineStr">
        <is>
          <t>KATRINEHOLM</t>
        </is>
      </c>
      <c r="F409" t="inlineStr">
        <is>
          <t>Övriga Aktiebolag</t>
        </is>
      </c>
      <c r="G409" t="n">
        <v>0.4</v>
      </c>
      <c r="H409" t="n">
        <v>0</v>
      </c>
      <c r="I409" t="n">
        <v>0</v>
      </c>
      <c r="J409" t="n">
        <v>0</v>
      </c>
      <c r="K409" t="n">
        <v>0</v>
      </c>
      <c r="L409" t="n">
        <v>0</v>
      </c>
      <c r="M409" t="n">
        <v>0</v>
      </c>
      <c r="N409" t="n">
        <v>0</v>
      </c>
      <c r="O409" t="n">
        <v>0</v>
      </c>
      <c r="P409" t="n">
        <v>0</v>
      </c>
      <c r="Q409" t="n">
        <v>0</v>
      </c>
      <c r="R409" s="2" t="inlineStr"/>
    </row>
    <row r="410" ht="15" customHeight="1">
      <c r="A410" t="inlineStr">
        <is>
          <t>A 49095-2024</t>
        </is>
      </c>
      <c r="B410" s="1" t="n">
        <v>45594.63828703704</v>
      </c>
      <c r="C410" s="1" t="n">
        <v>46059</v>
      </c>
      <c r="D410" t="inlineStr">
        <is>
          <t>SÖDERMANLANDS LÄN</t>
        </is>
      </c>
      <c r="E410" t="inlineStr">
        <is>
          <t>KATRINEHOLM</t>
        </is>
      </c>
      <c r="F410" t="inlineStr">
        <is>
          <t>Övriga Aktiebolag</t>
        </is>
      </c>
      <c r="G410" t="n">
        <v>0.4</v>
      </c>
      <c r="H410" t="n">
        <v>0</v>
      </c>
      <c r="I410" t="n">
        <v>0</v>
      </c>
      <c r="J410" t="n">
        <v>0</v>
      </c>
      <c r="K410" t="n">
        <v>0</v>
      </c>
      <c r="L410" t="n">
        <v>0</v>
      </c>
      <c r="M410" t="n">
        <v>0</v>
      </c>
      <c r="N410" t="n">
        <v>0</v>
      </c>
      <c r="O410" t="n">
        <v>0</v>
      </c>
      <c r="P410" t="n">
        <v>0</v>
      </c>
      <c r="Q410" t="n">
        <v>0</v>
      </c>
      <c r="R410" s="2" t="inlineStr"/>
    </row>
    <row r="411" ht="15" customHeight="1">
      <c r="A411" t="inlineStr">
        <is>
          <t>A 22304-2024</t>
        </is>
      </c>
      <c r="B411" s="1" t="n">
        <v>45446.56626157407</v>
      </c>
      <c r="C411" s="1" t="n">
        <v>46059</v>
      </c>
      <c r="D411" t="inlineStr">
        <is>
          <t>SÖDERMANLANDS LÄN</t>
        </is>
      </c>
      <c r="E411" t="inlineStr">
        <is>
          <t>KATRINEHOLM</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51780-2025</t>
        </is>
      </c>
      <c r="B412" s="1" t="n">
        <v>45951.65725694445</v>
      </c>
      <c r="C412" s="1" t="n">
        <v>46059</v>
      </c>
      <c r="D412" t="inlineStr">
        <is>
          <t>SÖDERMANLANDS LÄN</t>
        </is>
      </c>
      <c r="E412" t="inlineStr">
        <is>
          <t>KATRINEHOLM</t>
        </is>
      </c>
      <c r="F412" t="inlineStr">
        <is>
          <t>Allmännings- och besparingsskogar</t>
        </is>
      </c>
      <c r="G412" t="n">
        <v>1.3</v>
      </c>
      <c r="H412" t="n">
        <v>0</v>
      </c>
      <c r="I412" t="n">
        <v>0</v>
      </c>
      <c r="J412" t="n">
        <v>0</v>
      </c>
      <c r="K412" t="n">
        <v>0</v>
      </c>
      <c r="L412" t="n">
        <v>0</v>
      </c>
      <c r="M412" t="n">
        <v>0</v>
      </c>
      <c r="N412" t="n">
        <v>0</v>
      </c>
      <c r="O412" t="n">
        <v>0</v>
      </c>
      <c r="P412" t="n">
        <v>0</v>
      </c>
      <c r="Q412" t="n">
        <v>0</v>
      </c>
      <c r="R412" s="2" t="inlineStr"/>
    </row>
    <row r="413" ht="15" customHeight="1">
      <c r="A413" t="inlineStr">
        <is>
          <t>A 7254-2021</t>
        </is>
      </c>
      <c r="B413" s="1" t="n">
        <v>44238</v>
      </c>
      <c r="C413" s="1" t="n">
        <v>46059</v>
      </c>
      <c r="D413" t="inlineStr">
        <is>
          <t>SÖDERMANLANDS LÄN</t>
        </is>
      </c>
      <c r="E413" t="inlineStr">
        <is>
          <t>KATRINEHOLM</t>
        </is>
      </c>
      <c r="G413" t="n">
        <v>3.6</v>
      </c>
      <c r="H413" t="n">
        <v>0</v>
      </c>
      <c r="I413" t="n">
        <v>0</v>
      </c>
      <c r="J413" t="n">
        <v>0</v>
      </c>
      <c r="K413" t="n">
        <v>0</v>
      </c>
      <c r="L413" t="n">
        <v>0</v>
      </c>
      <c r="M413" t="n">
        <v>0</v>
      </c>
      <c r="N413" t="n">
        <v>0</v>
      </c>
      <c r="O413" t="n">
        <v>0</v>
      </c>
      <c r="P413" t="n">
        <v>0</v>
      </c>
      <c r="Q413" t="n">
        <v>0</v>
      </c>
      <c r="R413" s="2" t="inlineStr"/>
    </row>
    <row r="414" ht="15" customHeight="1">
      <c r="A414" t="inlineStr">
        <is>
          <t>A 5703-2026</t>
        </is>
      </c>
      <c r="B414" s="1" t="n">
        <v>46051.50774305555</v>
      </c>
      <c r="C414" s="1" t="n">
        <v>46059</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51774-2025</t>
        </is>
      </c>
      <c r="B415" s="1" t="n">
        <v>45951.65359953704</v>
      </c>
      <c r="C415" s="1" t="n">
        <v>46059</v>
      </c>
      <c r="D415" t="inlineStr">
        <is>
          <t>SÖDERMANLANDS LÄN</t>
        </is>
      </c>
      <c r="E415" t="inlineStr">
        <is>
          <t>KATRINEHOLM</t>
        </is>
      </c>
      <c r="F415" t="inlineStr">
        <is>
          <t>Allmännings- och besparingsskogar</t>
        </is>
      </c>
      <c r="G415" t="n">
        <v>3.7</v>
      </c>
      <c r="H415" t="n">
        <v>0</v>
      </c>
      <c r="I415" t="n">
        <v>0</v>
      </c>
      <c r="J415" t="n">
        <v>0</v>
      </c>
      <c r="K415" t="n">
        <v>0</v>
      </c>
      <c r="L415" t="n">
        <v>0</v>
      </c>
      <c r="M415" t="n">
        <v>0</v>
      </c>
      <c r="N415" t="n">
        <v>0</v>
      </c>
      <c r="O415" t="n">
        <v>0</v>
      </c>
      <c r="P415" t="n">
        <v>0</v>
      </c>
      <c r="Q415" t="n">
        <v>0</v>
      </c>
      <c r="R415" s="2" t="inlineStr"/>
    </row>
    <row r="416" ht="15" customHeight="1">
      <c r="A416" t="inlineStr">
        <is>
          <t>A 51783-2025</t>
        </is>
      </c>
      <c r="B416" s="1" t="n">
        <v>45951.67546296296</v>
      </c>
      <c r="C416" s="1" t="n">
        <v>46059</v>
      </c>
      <c r="D416" t="inlineStr">
        <is>
          <t>SÖDERMANLANDS LÄN</t>
        </is>
      </c>
      <c r="E416" t="inlineStr">
        <is>
          <t>KATRINEHOLM</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63948-2025</t>
        </is>
      </c>
      <c r="B417" s="1" t="n">
        <v>46010</v>
      </c>
      <c r="C417" s="1" t="n">
        <v>46059</v>
      </c>
      <c r="D417" t="inlineStr">
        <is>
          <t>SÖDERMANLANDS LÄN</t>
        </is>
      </c>
      <c r="E417" t="inlineStr">
        <is>
          <t>KATRINEHOLM</t>
        </is>
      </c>
      <c r="F417" t="inlineStr">
        <is>
          <t>Allmännings- och besparingsskogar</t>
        </is>
      </c>
      <c r="G417" t="n">
        <v>4.9</v>
      </c>
      <c r="H417" t="n">
        <v>0</v>
      </c>
      <c r="I417" t="n">
        <v>0</v>
      </c>
      <c r="J417" t="n">
        <v>0</v>
      </c>
      <c r="K417" t="n">
        <v>0</v>
      </c>
      <c r="L417" t="n">
        <v>0</v>
      </c>
      <c r="M417" t="n">
        <v>0</v>
      </c>
      <c r="N417" t="n">
        <v>0</v>
      </c>
      <c r="O417" t="n">
        <v>0</v>
      </c>
      <c r="P417" t="n">
        <v>0</v>
      </c>
      <c r="Q417" t="n">
        <v>0</v>
      </c>
      <c r="R417" s="2" t="inlineStr"/>
    </row>
    <row r="418" ht="15" customHeight="1">
      <c r="A418" t="inlineStr">
        <is>
          <t>A 36-2023</t>
        </is>
      </c>
      <c r="B418" s="1" t="n">
        <v>44928.36578703704</v>
      </c>
      <c r="C418" s="1" t="n">
        <v>46059</v>
      </c>
      <c r="D418" t="inlineStr">
        <is>
          <t>SÖDERMANLANDS LÄN</t>
        </is>
      </c>
      <c r="E418" t="inlineStr">
        <is>
          <t>KATRINEHOLM</t>
        </is>
      </c>
      <c r="G418" t="n">
        <v>3.7</v>
      </c>
      <c r="H418" t="n">
        <v>0</v>
      </c>
      <c r="I418" t="n">
        <v>0</v>
      </c>
      <c r="J418" t="n">
        <v>0</v>
      </c>
      <c r="K418" t="n">
        <v>0</v>
      </c>
      <c r="L418" t="n">
        <v>0</v>
      </c>
      <c r="M418" t="n">
        <v>0</v>
      </c>
      <c r="N418" t="n">
        <v>0</v>
      </c>
      <c r="O418" t="n">
        <v>0</v>
      </c>
      <c r="P418" t="n">
        <v>0</v>
      </c>
      <c r="Q418" t="n">
        <v>0</v>
      </c>
      <c r="R418" s="2" t="inlineStr"/>
    </row>
    <row r="419" ht="15" customHeight="1">
      <c r="A419" t="inlineStr">
        <is>
          <t>A 10341-2022</t>
        </is>
      </c>
      <c r="B419" s="1" t="n">
        <v>44623</v>
      </c>
      <c r="C419" s="1" t="n">
        <v>46059</v>
      </c>
      <c r="D419" t="inlineStr">
        <is>
          <t>SÖDERMANLANDS LÄN</t>
        </is>
      </c>
      <c r="E419" t="inlineStr">
        <is>
          <t>KATRINEHOLM</t>
        </is>
      </c>
      <c r="G419" t="n">
        <v>2.3</v>
      </c>
      <c r="H419" t="n">
        <v>0</v>
      </c>
      <c r="I419" t="n">
        <v>0</v>
      </c>
      <c r="J419" t="n">
        <v>0</v>
      </c>
      <c r="K419" t="n">
        <v>0</v>
      </c>
      <c r="L419" t="n">
        <v>0</v>
      </c>
      <c r="M419" t="n">
        <v>0</v>
      </c>
      <c r="N419" t="n">
        <v>0</v>
      </c>
      <c r="O419" t="n">
        <v>0</v>
      </c>
      <c r="P419" t="n">
        <v>0</v>
      </c>
      <c r="Q419" t="n">
        <v>0</v>
      </c>
      <c r="R419" s="2" t="inlineStr"/>
    </row>
    <row r="420" ht="15" customHeight="1">
      <c r="A420" t="inlineStr">
        <is>
          <t>A 52242-2025</t>
        </is>
      </c>
      <c r="B420" s="1" t="n">
        <v>45953.46886574074</v>
      </c>
      <c r="C420" s="1" t="n">
        <v>46059</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12835-2024</t>
        </is>
      </c>
      <c r="B421" s="1" t="n">
        <v>45384</v>
      </c>
      <c r="C421" s="1" t="n">
        <v>46059</v>
      </c>
      <c r="D421" t="inlineStr">
        <is>
          <t>SÖDERMANLANDS LÄN</t>
        </is>
      </c>
      <c r="E421" t="inlineStr">
        <is>
          <t>KATRINEHOLM</t>
        </is>
      </c>
      <c r="F421" t="inlineStr">
        <is>
          <t>Allmännings- och besparingsskogar</t>
        </is>
      </c>
      <c r="G421" t="n">
        <v>0.5</v>
      </c>
      <c r="H421" t="n">
        <v>0</v>
      </c>
      <c r="I421" t="n">
        <v>0</v>
      </c>
      <c r="J421" t="n">
        <v>0</v>
      </c>
      <c r="K421" t="n">
        <v>0</v>
      </c>
      <c r="L421" t="n">
        <v>0</v>
      </c>
      <c r="M421" t="n">
        <v>0</v>
      </c>
      <c r="N421" t="n">
        <v>0</v>
      </c>
      <c r="O421" t="n">
        <v>0</v>
      </c>
      <c r="P421" t="n">
        <v>0</v>
      </c>
      <c r="Q421" t="n">
        <v>0</v>
      </c>
      <c r="R421" s="2" t="inlineStr"/>
    </row>
    <row r="422" ht="15" customHeight="1">
      <c r="A422" t="inlineStr">
        <is>
          <t>A 52239-2025</t>
        </is>
      </c>
      <c r="B422" s="1" t="n">
        <v>45953.46193287037</v>
      </c>
      <c r="C422" s="1" t="n">
        <v>46059</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46059</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25716-2022</t>
        </is>
      </c>
      <c r="B424" s="1" t="n">
        <v>44733.39600694444</v>
      </c>
      <c r="C424" s="1" t="n">
        <v>46059</v>
      </c>
      <c r="D424" t="inlineStr">
        <is>
          <t>SÖDERMANLANDS LÄN</t>
        </is>
      </c>
      <c r="E424" t="inlineStr">
        <is>
          <t>KATRINEHOLM</t>
        </is>
      </c>
      <c r="G424" t="n">
        <v>3.4</v>
      </c>
      <c r="H424" t="n">
        <v>0</v>
      </c>
      <c r="I424" t="n">
        <v>0</v>
      </c>
      <c r="J424" t="n">
        <v>0</v>
      </c>
      <c r="K424" t="n">
        <v>0</v>
      </c>
      <c r="L424" t="n">
        <v>0</v>
      </c>
      <c r="M424" t="n">
        <v>0</v>
      </c>
      <c r="N424" t="n">
        <v>0</v>
      </c>
      <c r="O424" t="n">
        <v>0</v>
      </c>
      <c r="P424" t="n">
        <v>0</v>
      </c>
      <c r="Q424" t="n">
        <v>0</v>
      </c>
      <c r="R424" s="2" t="inlineStr"/>
    </row>
    <row r="425" ht="15" customHeight="1">
      <c r="A425" t="inlineStr">
        <is>
          <t>A 6807-2023</t>
        </is>
      </c>
      <c r="B425" s="1" t="n">
        <v>44964</v>
      </c>
      <c r="C425" s="1" t="n">
        <v>46059</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9668-2023</t>
        </is>
      </c>
      <c r="B426" s="1" t="n">
        <v>44984.41238425926</v>
      </c>
      <c r="C426" s="1" t="n">
        <v>46059</v>
      </c>
      <c r="D426" t="inlineStr">
        <is>
          <t>SÖDERMANLANDS LÄN</t>
        </is>
      </c>
      <c r="E426" t="inlineStr">
        <is>
          <t>KATRINEHOLM</t>
        </is>
      </c>
      <c r="G426" t="n">
        <v>4.8</v>
      </c>
      <c r="H426" t="n">
        <v>0</v>
      </c>
      <c r="I426" t="n">
        <v>0</v>
      </c>
      <c r="J426" t="n">
        <v>0</v>
      </c>
      <c r="K426" t="n">
        <v>0</v>
      </c>
      <c r="L426" t="n">
        <v>0</v>
      </c>
      <c r="M426" t="n">
        <v>0</v>
      </c>
      <c r="N426" t="n">
        <v>0</v>
      </c>
      <c r="O426" t="n">
        <v>0</v>
      </c>
      <c r="P426" t="n">
        <v>0</v>
      </c>
      <c r="Q426" t="n">
        <v>0</v>
      </c>
      <c r="R426" s="2" t="inlineStr"/>
    </row>
    <row r="427" ht="15" customHeight="1">
      <c r="A427" t="inlineStr">
        <is>
          <t>A 9044-2022</t>
        </is>
      </c>
      <c r="B427" s="1" t="n">
        <v>44602</v>
      </c>
      <c r="C427" s="1" t="n">
        <v>46059</v>
      </c>
      <c r="D427" t="inlineStr">
        <is>
          <t>SÖDERMANLANDS LÄN</t>
        </is>
      </c>
      <c r="E427" t="inlineStr">
        <is>
          <t>KATRINEHOLM</t>
        </is>
      </c>
      <c r="G427" t="n">
        <v>5.8</v>
      </c>
      <c r="H427" t="n">
        <v>0</v>
      </c>
      <c r="I427" t="n">
        <v>0</v>
      </c>
      <c r="J427" t="n">
        <v>0</v>
      </c>
      <c r="K427" t="n">
        <v>0</v>
      </c>
      <c r="L427" t="n">
        <v>0</v>
      </c>
      <c r="M427" t="n">
        <v>0</v>
      </c>
      <c r="N427" t="n">
        <v>0</v>
      </c>
      <c r="O427" t="n">
        <v>0</v>
      </c>
      <c r="P427" t="n">
        <v>0</v>
      </c>
      <c r="Q427" t="n">
        <v>0</v>
      </c>
      <c r="R427" s="2" t="inlineStr"/>
    </row>
    <row r="428" ht="15" customHeight="1">
      <c r="A428" t="inlineStr">
        <is>
          <t>A 14224-2024</t>
        </is>
      </c>
      <c r="B428" s="1" t="n">
        <v>45393</v>
      </c>
      <c r="C428" s="1" t="n">
        <v>46059</v>
      </c>
      <c r="D428" t="inlineStr">
        <is>
          <t>SÖDERMANLANDS LÄN</t>
        </is>
      </c>
      <c r="E428" t="inlineStr">
        <is>
          <t>KATRINEHOLM</t>
        </is>
      </c>
      <c r="F428" t="inlineStr">
        <is>
          <t>Sveaskog</t>
        </is>
      </c>
      <c r="G428" t="n">
        <v>7.6</v>
      </c>
      <c r="H428" t="n">
        <v>0</v>
      </c>
      <c r="I428" t="n">
        <v>0</v>
      </c>
      <c r="J428" t="n">
        <v>0</v>
      </c>
      <c r="K428" t="n">
        <v>0</v>
      </c>
      <c r="L428" t="n">
        <v>0</v>
      </c>
      <c r="M428" t="n">
        <v>0</v>
      </c>
      <c r="N428" t="n">
        <v>0</v>
      </c>
      <c r="O428" t="n">
        <v>0</v>
      </c>
      <c r="P428" t="n">
        <v>0</v>
      </c>
      <c r="Q428" t="n">
        <v>0</v>
      </c>
      <c r="R428" s="2" t="inlineStr"/>
    </row>
    <row r="429" ht="15" customHeight="1">
      <c r="A429" t="inlineStr">
        <is>
          <t>A 23341-2023</t>
        </is>
      </c>
      <c r="B429" s="1" t="n">
        <v>45076</v>
      </c>
      <c r="C429" s="1" t="n">
        <v>46059</v>
      </c>
      <c r="D429" t="inlineStr">
        <is>
          <t>SÖDERMANLANDS LÄN</t>
        </is>
      </c>
      <c r="E429" t="inlineStr">
        <is>
          <t>KATRINEHOLM</t>
        </is>
      </c>
      <c r="G429" t="n">
        <v>3.5</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46059</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48091-2024</t>
        </is>
      </c>
      <c r="B431" s="1" t="n">
        <v>45590</v>
      </c>
      <c r="C431" s="1" t="n">
        <v>46059</v>
      </c>
      <c r="D431" t="inlineStr">
        <is>
          <t>SÖDERMANLANDS LÄN</t>
        </is>
      </c>
      <c r="E431" t="inlineStr">
        <is>
          <t>KATRINEHOLM</t>
        </is>
      </c>
      <c r="G431" t="n">
        <v>3.1</v>
      </c>
      <c r="H431" t="n">
        <v>0</v>
      </c>
      <c r="I431" t="n">
        <v>0</v>
      </c>
      <c r="J431" t="n">
        <v>0</v>
      </c>
      <c r="K431" t="n">
        <v>0</v>
      </c>
      <c r="L431" t="n">
        <v>0</v>
      </c>
      <c r="M431" t="n">
        <v>0</v>
      </c>
      <c r="N431" t="n">
        <v>0</v>
      </c>
      <c r="O431" t="n">
        <v>0</v>
      </c>
      <c r="P431" t="n">
        <v>0</v>
      </c>
      <c r="Q431" t="n">
        <v>0</v>
      </c>
      <c r="R431" s="2" t="inlineStr"/>
    </row>
    <row r="432" ht="15" customHeight="1">
      <c r="A432" t="inlineStr">
        <is>
          <t>A 24097-2022</t>
        </is>
      </c>
      <c r="B432" s="1" t="n">
        <v>44725.39371527778</v>
      </c>
      <c r="C432" s="1" t="n">
        <v>46059</v>
      </c>
      <c r="D432" t="inlineStr">
        <is>
          <t>SÖDERMANLANDS LÄN</t>
        </is>
      </c>
      <c r="E432" t="inlineStr">
        <is>
          <t>KATRINEHOLM</t>
        </is>
      </c>
      <c r="G432" t="n">
        <v>6.5</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46059</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54873-2025</t>
        </is>
      </c>
      <c r="B434" s="1" t="n">
        <v>45967</v>
      </c>
      <c r="C434" s="1" t="n">
        <v>46059</v>
      </c>
      <c r="D434" t="inlineStr">
        <is>
          <t>SÖDERMANLANDS LÄN</t>
        </is>
      </c>
      <c r="E434" t="inlineStr">
        <is>
          <t>KATRINEHOLM</t>
        </is>
      </c>
      <c r="G434" t="n">
        <v>2.7</v>
      </c>
      <c r="H434" t="n">
        <v>0</v>
      </c>
      <c r="I434" t="n">
        <v>0</v>
      </c>
      <c r="J434" t="n">
        <v>0</v>
      </c>
      <c r="K434" t="n">
        <v>0</v>
      </c>
      <c r="L434" t="n">
        <v>0</v>
      </c>
      <c r="M434" t="n">
        <v>0</v>
      </c>
      <c r="N434" t="n">
        <v>0</v>
      </c>
      <c r="O434" t="n">
        <v>0</v>
      </c>
      <c r="P434" t="n">
        <v>0</v>
      </c>
      <c r="Q434" t="n">
        <v>0</v>
      </c>
      <c r="R434" s="2" t="inlineStr"/>
    </row>
    <row r="435" ht="15" customHeight="1">
      <c r="A435" t="inlineStr">
        <is>
          <t>A 62954-2023</t>
        </is>
      </c>
      <c r="B435" s="1" t="n">
        <v>45272.55362268518</v>
      </c>
      <c r="C435" s="1" t="n">
        <v>46059</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53338-2025</t>
        </is>
      </c>
      <c r="B436" s="1" t="n">
        <v>45959.40447916667</v>
      </c>
      <c r="C436" s="1" t="n">
        <v>46059</v>
      </c>
      <c r="D436" t="inlineStr">
        <is>
          <t>SÖDERMANLANDS LÄN</t>
        </is>
      </c>
      <c r="E436" t="inlineStr">
        <is>
          <t>KATRINEHOLM</t>
        </is>
      </c>
      <c r="G436" t="n">
        <v>2.9</v>
      </c>
      <c r="H436" t="n">
        <v>0</v>
      </c>
      <c r="I436" t="n">
        <v>0</v>
      </c>
      <c r="J436" t="n">
        <v>0</v>
      </c>
      <c r="K436" t="n">
        <v>0</v>
      </c>
      <c r="L436" t="n">
        <v>0</v>
      </c>
      <c r="M436" t="n">
        <v>0</v>
      </c>
      <c r="N436" t="n">
        <v>0</v>
      </c>
      <c r="O436" t="n">
        <v>0</v>
      </c>
      <c r="P436" t="n">
        <v>0</v>
      </c>
      <c r="Q436" t="n">
        <v>0</v>
      </c>
      <c r="R436" s="2" t="inlineStr"/>
    </row>
    <row r="437" ht="15" customHeight="1">
      <c r="A437" t="inlineStr">
        <is>
          <t>A 58651-2023</t>
        </is>
      </c>
      <c r="B437" s="1" t="n">
        <v>45247</v>
      </c>
      <c r="C437" s="1" t="n">
        <v>46059</v>
      </c>
      <c r="D437" t="inlineStr">
        <is>
          <t>SÖDERMANLANDS LÄN</t>
        </is>
      </c>
      <c r="E437" t="inlineStr">
        <is>
          <t>KATRINEHOLM</t>
        </is>
      </c>
      <c r="G437" t="n">
        <v>2.7</v>
      </c>
      <c r="H437" t="n">
        <v>0</v>
      </c>
      <c r="I437" t="n">
        <v>0</v>
      </c>
      <c r="J437" t="n">
        <v>0</v>
      </c>
      <c r="K437" t="n">
        <v>0</v>
      </c>
      <c r="L437" t="n">
        <v>0</v>
      </c>
      <c r="M437" t="n">
        <v>0</v>
      </c>
      <c r="N437" t="n">
        <v>0</v>
      </c>
      <c r="O437" t="n">
        <v>0</v>
      </c>
      <c r="P437" t="n">
        <v>0</v>
      </c>
      <c r="Q437" t="n">
        <v>0</v>
      </c>
      <c r="R437" s="2" t="inlineStr"/>
    </row>
    <row r="438" ht="15" customHeight="1">
      <c r="A438" t="inlineStr">
        <is>
          <t>A 12238-2021</t>
        </is>
      </c>
      <c r="B438" s="1" t="n">
        <v>44266</v>
      </c>
      <c r="C438" s="1" t="n">
        <v>46059</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33469-2025</t>
        </is>
      </c>
      <c r="B439" s="1" t="n">
        <v>45841.48686342593</v>
      </c>
      <c r="C439" s="1" t="n">
        <v>46059</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33129-2025</t>
        </is>
      </c>
      <c r="B440" s="1" t="n">
        <v>45840.50141203704</v>
      </c>
      <c r="C440" s="1" t="n">
        <v>46059</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41548-2025</t>
        </is>
      </c>
      <c r="B441" s="1" t="n">
        <v>45901</v>
      </c>
      <c r="C441" s="1" t="n">
        <v>46059</v>
      </c>
      <c r="D441" t="inlineStr">
        <is>
          <t>SÖDERMANLANDS LÄN</t>
        </is>
      </c>
      <c r="E441" t="inlineStr">
        <is>
          <t>KATRINEHOLM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6446-2022</t>
        </is>
      </c>
      <c r="B442" s="1" t="n">
        <v>44600</v>
      </c>
      <c r="C442" s="1" t="n">
        <v>46059</v>
      </c>
      <c r="D442" t="inlineStr">
        <is>
          <t>SÖDERMANLANDS LÄN</t>
        </is>
      </c>
      <c r="E442" t="inlineStr">
        <is>
          <t>KATRINEHOLM</t>
        </is>
      </c>
      <c r="G442" t="n">
        <v>1.5</v>
      </c>
      <c r="H442" t="n">
        <v>0</v>
      </c>
      <c r="I442" t="n">
        <v>0</v>
      </c>
      <c r="J442" t="n">
        <v>0</v>
      </c>
      <c r="K442" t="n">
        <v>0</v>
      </c>
      <c r="L442" t="n">
        <v>0</v>
      </c>
      <c r="M442" t="n">
        <v>0</v>
      </c>
      <c r="N442" t="n">
        <v>0</v>
      </c>
      <c r="O442" t="n">
        <v>0</v>
      </c>
      <c r="P442" t="n">
        <v>0</v>
      </c>
      <c r="Q442" t="n">
        <v>0</v>
      </c>
      <c r="R442" s="2" t="inlineStr"/>
    </row>
    <row r="443" ht="15" customHeight="1">
      <c r="A443" t="inlineStr">
        <is>
          <t>A 33096-2025</t>
        </is>
      </c>
      <c r="B443" s="1" t="n">
        <v>45840.47563657408</v>
      </c>
      <c r="C443" s="1" t="n">
        <v>46059</v>
      </c>
      <c r="D443" t="inlineStr">
        <is>
          <t>SÖDERMANLANDS LÄN</t>
        </is>
      </c>
      <c r="E443" t="inlineStr">
        <is>
          <t>KATRINEHOLM</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33077-2025</t>
        </is>
      </c>
      <c r="B444" s="1" t="n">
        <v>45840.45864583334</v>
      </c>
      <c r="C444" s="1" t="n">
        <v>46059</v>
      </c>
      <c r="D444" t="inlineStr">
        <is>
          <t>SÖDERMANLANDS LÄN</t>
        </is>
      </c>
      <c r="E444" t="inlineStr">
        <is>
          <t>KATRINEHOLM</t>
        </is>
      </c>
      <c r="G444" t="n">
        <v>7</v>
      </c>
      <c r="H444" t="n">
        <v>0</v>
      </c>
      <c r="I444" t="n">
        <v>0</v>
      </c>
      <c r="J444" t="n">
        <v>0</v>
      </c>
      <c r="K444" t="n">
        <v>0</v>
      </c>
      <c r="L444" t="n">
        <v>0</v>
      </c>
      <c r="M444" t="n">
        <v>0</v>
      </c>
      <c r="N444" t="n">
        <v>0</v>
      </c>
      <c r="O444" t="n">
        <v>0</v>
      </c>
      <c r="P444" t="n">
        <v>0</v>
      </c>
      <c r="Q444" t="n">
        <v>0</v>
      </c>
      <c r="R444" s="2" t="inlineStr"/>
    </row>
    <row r="445" ht="15" customHeight="1">
      <c r="A445" t="inlineStr">
        <is>
          <t>A 33101-2025</t>
        </is>
      </c>
      <c r="B445" s="1" t="n">
        <v>45840.47953703703</v>
      </c>
      <c r="C445" s="1" t="n">
        <v>46059</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54359-2025</t>
        </is>
      </c>
      <c r="B446" s="1" t="n">
        <v>45964</v>
      </c>
      <c r="C446" s="1" t="n">
        <v>46059</v>
      </c>
      <c r="D446" t="inlineStr">
        <is>
          <t>SÖDERMANLANDS LÄN</t>
        </is>
      </c>
      <c r="E446" t="inlineStr">
        <is>
          <t>KATRINEHOLM</t>
        </is>
      </c>
      <c r="G446" t="n">
        <v>2.5</v>
      </c>
      <c r="H446" t="n">
        <v>0</v>
      </c>
      <c r="I446" t="n">
        <v>0</v>
      </c>
      <c r="J446" t="n">
        <v>0</v>
      </c>
      <c r="K446" t="n">
        <v>0</v>
      </c>
      <c r="L446" t="n">
        <v>0</v>
      </c>
      <c r="M446" t="n">
        <v>0</v>
      </c>
      <c r="N446" t="n">
        <v>0</v>
      </c>
      <c r="O446" t="n">
        <v>0</v>
      </c>
      <c r="P446" t="n">
        <v>0</v>
      </c>
      <c r="Q446" t="n">
        <v>0</v>
      </c>
      <c r="R446" s="2" t="inlineStr"/>
    </row>
    <row r="447" ht="15" customHeight="1">
      <c r="A447" t="inlineStr">
        <is>
          <t>A 54395-2025</t>
        </is>
      </c>
      <c r="B447" s="1" t="n">
        <v>45964</v>
      </c>
      <c r="C447" s="1" t="n">
        <v>46059</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51923-2023</t>
        </is>
      </c>
      <c r="B448" s="1" t="n">
        <v>45223</v>
      </c>
      <c r="C448" s="1" t="n">
        <v>46059</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36366-2023</t>
        </is>
      </c>
      <c r="B449" s="1" t="n">
        <v>45152</v>
      </c>
      <c r="C449" s="1" t="n">
        <v>46059</v>
      </c>
      <c r="D449" t="inlineStr">
        <is>
          <t>SÖDERMANLANDS LÄN</t>
        </is>
      </c>
      <c r="E449" t="inlineStr">
        <is>
          <t>KATRINEHOLM</t>
        </is>
      </c>
      <c r="G449" t="n">
        <v>0.8</v>
      </c>
      <c r="H449" t="n">
        <v>0</v>
      </c>
      <c r="I449" t="n">
        <v>0</v>
      </c>
      <c r="J449" t="n">
        <v>0</v>
      </c>
      <c r="K449" t="n">
        <v>0</v>
      </c>
      <c r="L449" t="n">
        <v>0</v>
      </c>
      <c r="M449" t="n">
        <v>0</v>
      </c>
      <c r="N449" t="n">
        <v>0</v>
      </c>
      <c r="O449" t="n">
        <v>0</v>
      </c>
      <c r="P449" t="n">
        <v>0</v>
      </c>
      <c r="Q449" t="n">
        <v>0</v>
      </c>
      <c r="R449" s="2" t="inlineStr"/>
    </row>
    <row r="450" ht="15" customHeight="1">
      <c r="A450" t="inlineStr">
        <is>
          <t>A 36021-2023</t>
        </is>
      </c>
      <c r="B450" s="1" t="n">
        <v>45148</v>
      </c>
      <c r="C450" s="1" t="n">
        <v>46059</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18386-2025</t>
        </is>
      </c>
      <c r="B451" s="1" t="n">
        <v>45762</v>
      </c>
      <c r="C451" s="1" t="n">
        <v>46059</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3125-2024</t>
        </is>
      </c>
      <c r="B452" s="1" t="n">
        <v>45316</v>
      </c>
      <c r="C452" s="1" t="n">
        <v>46059</v>
      </c>
      <c r="D452" t="inlineStr">
        <is>
          <t>SÖDERMANLANDS LÄN</t>
        </is>
      </c>
      <c r="E452" t="inlineStr">
        <is>
          <t>KATRINEHOLM</t>
        </is>
      </c>
      <c r="G452" t="n">
        <v>3.4</v>
      </c>
      <c r="H452" t="n">
        <v>0</v>
      </c>
      <c r="I452" t="n">
        <v>0</v>
      </c>
      <c r="J452" t="n">
        <v>0</v>
      </c>
      <c r="K452" t="n">
        <v>0</v>
      </c>
      <c r="L452" t="n">
        <v>0</v>
      </c>
      <c r="M452" t="n">
        <v>0</v>
      </c>
      <c r="N452" t="n">
        <v>0</v>
      </c>
      <c r="O452" t="n">
        <v>0</v>
      </c>
      <c r="P452" t="n">
        <v>0</v>
      </c>
      <c r="Q452" t="n">
        <v>0</v>
      </c>
      <c r="R452" s="2" t="inlineStr"/>
    </row>
    <row r="453" ht="15" customHeight="1">
      <c r="A453" t="inlineStr">
        <is>
          <t>A 35183-2022</t>
        </is>
      </c>
      <c r="B453" s="1" t="n">
        <v>44797</v>
      </c>
      <c r="C453" s="1" t="n">
        <v>46059</v>
      </c>
      <c r="D453" t="inlineStr">
        <is>
          <t>SÖDERMANLANDS LÄN</t>
        </is>
      </c>
      <c r="E453" t="inlineStr">
        <is>
          <t>KATRINEHOLM</t>
        </is>
      </c>
      <c r="G453" t="n">
        <v>4.6</v>
      </c>
      <c r="H453" t="n">
        <v>0</v>
      </c>
      <c r="I453" t="n">
        <v>0</v>
      </c>
      <c r="J453" t="n">
        <v>0</v>
      </c>
      <c r="K453" t="n">
        <v>0</v>
      </c>
      <c r="L453" t="n">
        <v>0</v>
      </c>
      <c r="M453" t="n">
        <v>0</v>
      </c>
      <c r="N453" t="n">
        <v>0</v>
      </c>
      <c r="O453" t="n">
        <v>0</v>
      </c>
      <c r="P453" t="n">
        <v>0</v>
      </c>
      <c r="Q453" t="n">
        <v>0</v>
      </c>
      <c r="R453" s="2" t="inlineStr"/>
    </row>
    <row r="454" ht="15" customHeight="1">
      <c r="A454" t="inlineStr">
        <is>
          <t>A 28597-2024</t>
        </is>
      </c>
      <c r="B454" s="1" t="n">
        <v>45478</v>
      </c>
      <c r="C454" s="1" t="n">
        <v>46059</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42519-2024</t>
        </is>
      </c>
      <c r="B455" s="1" t="n">
        <v>45565</v>
      </c>
      <c r="C455" s="1" t="n">
        <v>46059</v>
      </c>
      <c r="D455" t="inlineStr">
        <is>
          <t>SÖDERMANLANDS LÄN</t>
        </is>
      </c>
      <c r="E455" t="inlineStr">
        <is>
          <t>KATRINEHOLM</t>
        </is>
      </c>
      <c r="G455" t="n">
        <v>1.7</v>
      </c>
      <c r="H455" t="n">
        <v>0</v>
      </c>
      <c r="I455" t="n">
        <v>0</v>
      </c>
      <c r="J455" t="n">
        <v>0</v>
      </c>
      <c r="K455" t="n">
        <v>0</v>
      </c>
      <c r="L455" t="n">
        <v>0</v>
      </c>
      <c r="M455" t="n">
        <v>0</v>
      </c>
      <c r="N455" t="n">
        <v>0</v>
      </c>
      <c r="O455" t="n">
        <v>0</v>
      </c>
      <c r="P455" t="n">
        <v>0</v>
      </c>
      <c r="Q455" t="n">
        <v>0</v>
      </c>
      <c r="R455" s="2" t="inlineStr"/>
    </row>
    <row r="456" ht="15" customHeight="1">
      <c r="A456" t="inlineStr">
        <is>
          <t>A 20826-2022</t>
        </is>
      </c>
      <c r="B456" s="1" t="n">
        <v>44701.44754629629</v>
      </c>
      <c r="C456" s="1" t="n">
        <v>46059</v>
      </c>
      <c r="D456" t="inlineStr">
        <is>
          <t>SÖDERMANLANDS LÄN</t>
        </is>
      </c>
      <c r="E456" t="inlineStr">
        <is>
          <t>KATRINEHOLM</t>
        </is>
      </c>
      <c r="G456" t="n">
        <v>6.8</v>
      </c>
      <c r="H456" t="n">
        <v>0</v>
      </c>
      <c r="I456" t="n">
        <v>0</v>
      </c>
      <c r="J456" t="n">
        <v>0</v>
      </c>
      <c r="K456" t="n">
        <v>0</v>
      </c>
      <c r="L456" t="n">
        <v>0</v>
      </c>
      <c r="M456" t="n">
        <v>0</v>
      </c>
      <c r="N456" t="n">
        <v>0</v>
      </c>
      <c r="O456" t="n">
        <v>0</v>
      </c>
      <c r="P456" t="n">
        <v>0</v>
      </c>
      <c r="Q456" t="n">
        <v>0</v>
      </c>
      <c r="R456" s="2" t="inlineStr"/>
    </row>
    <row r="457" ht="15" customHeight="1">
      <c r="A457" t="inlineStr">
        <is>
          <t>A 20846-2022</t>
        </is>
      </c>
      <c r="B457" s="1" t="n">
        <v>44701.4744212963</v>
      </c>
      <c r="C457" s="1" t="n">
        <v>46059</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55029-2025</t>
        </is>
      </c>
      <c r="B458" s="1" t="n">
        <v>45967.63784722222</v>
      </c>
      <c r="C458" s="1" t="n">
        <v>46059</v>
      </c>
      <c r="D458" t="inlineStr">
        <is>
          <t>SÖDERMANLANDS LÄN</t>
        </is>
      </c>
      <c r="E458" t="inlineStr">
        <is>
          <t>KATRINEHOLM</t>
        </is>
      </c>
      <c r="G458" t="n">
        <v>10.1</v>
      </c>
      <c r="H458" t="n">
        <v>0</v>
      </c>
      <c r="I458" t="n">
        <v>0</v>
      </c>
      <c r="J458" t="n">
        <v>0</v>
      </c>
      <c r="K458" t="n">
        <v>0</v>
      </c>
      <c r="L458" t="n">
        <v>0</v>
      </c>
      <c r="M458" t="n">
        <v>0</v>
      </c>
      <c r="N458" t="n">
        <v>0</v>
      </c>
      <c r="O458" t="n">
        <v>0</v>
      </c>
      <c r="P458" t="n">
        <v>0</v>
      </c>
      <c r="Q458" t="n">
        <v>0</v>
      </c>
      <c r="R458" s="2" t="inlineStr"/>
    </row>
    <row r="459" ht="15" customHeight="1">
      <c r="A459" t="inlineStr">
        <is>
          <t>A 54999-2025</t>
        </is>
      </c>
      <c r="B459" s="1" t="n">
        <v>45967.59880787037</v>
      </c>
      <c r="C459" s="1" t="n">
        <v>46059</v>
      </c>
      <c r="D459" t="inlineStr">
        <is>
          <t>SÖDERMANLANDS LÄN</t>
        </is>
      </c>
      <c r="E459" t="inlineStr">
        <is>
          <t>KATRINEHOLM</t>
        </is>
      </c>
      <c r="G459" t="n">
        <v>8.5</v>
      </c>
      <c r="H459" t="n">
        <v>0</v>
      </c>
      <c r="I459" t="n">
        <v>0</v>
      </c>
      <c r="J459" t="n">
        <v>0</v>
      </c>
      <c r="K459" t="n">
        <v>0</v>
      </c>
      <c r="L459" t="n">
        <v>0</v>
      </c>
      <c r="M459" t="n">
        <v>0</v>
      </c>
      <c r="N459" t="n">
        <v>0</v>
      </c>
      <c r="O459" t="n">
        <v>0</v>
      </c>
      <c r="P459" t="n">
        <v>0</v>
      </c>
      <c r="Q459" t="n">
        <v>0</v>
      </c>
      <c r="R459" s="2" t="inlineStr"/>
    </row>
    <row r="460" ht="15" customHeight="1">
      <c r="A460" t="inlineStr">
        <is>
          <t>A 49078-2024</t>
        </is>
      </c>
      <c r="B460" s="1" t="n">
        <v>45594.62556712963</v>
      </c>
      <c r="C460" s="1" t="n">
        <v>46059</v>
      </c>
      <c r="D460" t="inlineStr">
        <is>
          <t>SÖDERMANLANDS LÄN</t>
        </is>
      </c>
      <c r="E460" t="inlineStr">
        <is>
          <t>KATRINEHOLM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51440-2024</t>
        </is>
      </c>
      <c r="B461" s="1" t="n">
        <v>45604</v>
      </c>
      <c r="C461" s="1" t="n">
        <v>46059</v>
      </c>
      <c r="D461" t="inlineStr">
        <is>
          <t>SÖDERMANLANDS LÄN</t>
        </is>
      </c>
      <c r="E461" t="inlineStr">
        <is>
          <t>KATRINEHOLM</t>
        </is>
      </c>
      <c r="G461" t="n">
        <v>4.7</v>
      </c>
      <c r="H461" t="n">
        <v>0</v>
      </c>
      <c r="I461" t="n">
        <v>0</v>
      </c>
      <c r="J461" t="n">
        <v>0</v>
      </c>
      <c r="K461" t="n">
        <v>0</v>
      </c>
      <c r="L461" t="n">
        <v>0</v>
      </c>
      <c r="M461" t="n">
        <v>0</v>
      </c>
      <c r="N461" t="n">
        <v>0</v>
      </c>
      <c r="O461" t="n">
        <v>0</v>
      </c>
      <c r="P461" t="n">
        <v>0</v>
      </c>
      <c r="Q461" t="n">
        <v>0</v>
      </c>
      <c r="R461" s="2" t="inlineStr"/>
    </row>
    <row r="462" ht="15" customHeight="1">
      <c r="A462" t="inlineStr">
        <is>
          <t>A 47879-2023</t>
        </is>
      </c>
      <c r="B462" s="1" t="n">
        <v>45204</v>
      </c>
      <c r="C462" s="1" t="n">
        <v>46059</v>
      </c>
      <c r="D462" t="inlineStr">
        <is>
          <t>SÖDERMANLANDS LÄN</t>
        </is>
      </c>
      <c r="E462" t="inlineStr">
        <is>
          <t>KATRINEHOLM</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12975-2022</t>
        </is>
      </c>
      <c r="B463" s="1" t="n">
        <v>44643</v>
      </c>
      <c r="C463" s="1" t="n">
        <v>46059</v>
      </c>
      <c r="D463" t="inlineStr">
        <is>
          <t>SÖDERMANLANDS LÄN</t>
        </is>
      </c>
      <c r="E463" t="inlineStr">
        <is>
          <t>KATRINEHOLM</t>
        </is>
      </c>
      <c r="G463" t="n">
        <v>2.4</v>
      </c>
      <c r="H463" t="n">
        <v>0</v>
      </c>
      <c r="I463" t="n">
        <v>0</v>
      </c>
      <c r="J463" t="n">
        <v>0</v>
      </c>
      <c r="K463" t="n">
        <v>0</v>
      </c>
      <c r="L463" t="n">
        <v>0</v>
      </c>
      <c r="M463" t="n">
        <v>0</v>
      </c>
      <c r="N463" t="n">
        <v>0</v>
      </c>
      <c r="O463" t="n">
        <v>0</v>
      </c>
      <c r="P463" t="n">
        <v>0</v>
      </c>
      <c r="Q463" t="n">
        <v>0</v>
      </c>
      <c r="R463" s="2" t="inlineStr"/>
    </row>
    <row r="464" ht="15" customHeight="1">
      <c r="A464" t="inlineStr">
        <is>
          <t>A 51260-2021</t>
        </is>
      </c>
      <c r="B464" s="1" t="n">
        <v>44461</v>
      </c>
      <c r="C464" s="1" t="n">
        <v>46059</v>
      </c>
      <c r="D464" t="inlineStr">
        <is>
          <t>SÖDERMANLANDS LÄN</t>
        </is>
      </c>
      <c r="E464" t="inlineStr">
        <is>
          <t>KATRINEHOLM</t>
        </is>
      </c>
      <c r="G464" t="n">
        <v>0.7</v>
      </c>
      <c r="H464" t="n">
        <v>0</v>
      </c>
      <c r="I464" t="n">
        <v>0</v>
      </c>
      <c r="J464" t="n">
        <v>0</v>
      </c>
      <c r="K464" t="n">
        <v>0</v>
      </c>
      <c r="L464" t="n">
        <v>0</v>
      </c>
      <c r="M464" t="n">
        <v>0</v>
      </c>
      <c r="N464" t="n">
        <v>0</v>
      </c>
      <c r="O464" t="n">
        <v>0</v>
      </c>
      <c r="P464" t="n">
        <v>0</v>
      </c>
      <c r="Q464" t="n">
        <v>0</v>
      </c>
      <c r="R464" s="2" t="inlineStr"/>
    </row>
    <row r="465" ht="15" customHeight="1">
      <c r="A465" t="inlineStr">
        <is>
          <t>A 53843-2023</t>
        </is>
      </c>
      <c r="B465" s="1" t="n">
        <v>45230</v>
      </c>
      <c r="C465" s="1" t="n">
        <v>46059</v>
      </c>
      <c r="D465" t="inlineStr">
        <is>
          <t>SÖDERMANLANDS LÄN</t>
        </is>
      </c>
      <c r="E465" t="inlineStr">
        <is>
          <t>KATRINEHOLM</t>
        </is>
      </c>
      <c r="G465" t="n">
        <v>14.2</v>
      </c>
      <c r="H465" t="n">
        <v>0</v>
      </c>
      <c r="I465" t="n">
        <v>0</v>
      </c>
      <c r="J465" t="n">
        <v>0</v>
      </c>
      <c r="K465" t="n">
        <v>0</v>
      </c>
      <c r="L465" t="n">
        <v>0</v>
      </c>
      <c r="M465" t="n">
        <v>0</v>
      </c>
      <c r="N465" t="n">
        <v>0</v>
      </c>
      <c r="O465" t="n">
        <v>0</v>
      </c>
      <c r="P465" t="n">
        <v>0</v>
      </c>
      <c r="Q465" t="n">
        <v>0</v>
      </c>
      <c r="R465" s="2" t="inlineStr"/>
    </row>
    <row r="466" ht="15" customHeight="1">
      <c r="A466" t="inlineStr">
        <is>
          <t>A 48763-2024</t>
        </is>
      </c>
      <c r="B466" s="1" t="n">
        <v>45593.60288194445</v>
      </c>
      <c r="C466" s="1" t="n">
        <v>46059</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14478-2023</t>
        </is>
      </c>
      <c r="B467" s="1" t="n">
        <v>45012.66421296296</v>
      </c>
      <c r="C467" s="1" t="n">
        <v>46059</v>
      </c>
      <c r="D467" t="inlineStr">
        <is>
          <t>SÖDERMANLANDS LÄN</t>
        </is>
      </c>
      <c r="E467" t="inlineStr">
        <is>
          <t>KATRINEHOLM</t>
        </is>
      </c>
      <c r="G467" t="n">
        <v>3.9</v>
      </c>
      <c r="H467" t="n">
        <v>0</v>
      </c>
      <c r="I467" t="n">
        <v>0</v>
      </c>
      <c r="J467" t="n">
        <v>0</v>
      </c>
      <c r="K467" t="n">
        <v>0</v>
      </c>
      <c r="L467" t="n">
        <v>0</v>
      </c>
      <c r="M467" t="n">
        <v>0</v>
      </c>
      <c r="N467" t="n">
        <v>0</v>
      </c>
      <c r="O467" t="n">
        <v>0</v>
      </c>
      <c r="P467" t="n">
        <v>0</v>
      </c>
      <c r="Q467" t="n">
        <v>0</v>
      </c>
      <c r="R467" s="2" t="inlineStr"/>
    </row>
    <row r="468" ht="15" customHeight="1">
      <c r="A468" t="inlineStr">
        <is>
          <t>A 20921-2023</t>
        </is>
      </c>
      <c r="B468" s="1" t="n">
        <v>45061</v>
      </c>
      <c r="C468" s="1" t="n">
        <v>46059</v>
      </c>
      <c r="D468" t="inlineStr">
        <is>
          <t>SÖDERMANLANDS LÄN</t>
        </is>
      </c>
      <c r="E468" t="inlineStr">
        <is>
          <t>KATRINEHOLM</t>
        </is>
      </c>
      <c r="G468" t="n">
        <v>8.9</v>
      </c>
      <c r="H468" t="n">
        <v>0</v>
      </c>
      <c r="I468" t="n">
        <v>0</v>
      </c>
      <c r="J468" t="n">
        <v>0</v>
      </c>
      <c r="K468" t="n">
        <v>0</v>
      </c>
      <c r="L468" t="n">
        <v>0</v>
      </c>
      <c r="M468" t="n">
        <v>0</v>
      </c>
      <c r="N468" t="n">
        <v>0</v>
      </c>
      <c r="O468" t="n">
        <v>0</v>
      </c>
      <c r="P468" t="n">
        <v>0</v>
      </c>
      <c r="Q468" t="n">
        <v>0</v>
      </c>
      <c r="R468" s="2" t="inlineStr"/>
    </row>
    <row r="469" ht="15" customHeight="1">
      <c r="A469" t="inlineStr">
        <is>
          <t>A 12930-2023</t>
        </is>
      </c>
      <c r="B469" s="1" t="n">
        <v>45001</v>
      </c>
      <c r="C469" s="1" t="n">
        <v>46059</v>
      </c>
      <c r="D469" t="inlineStr">
        <is>
          <t>SÖDERMANLANDS LÄN</t>
        </is>
      </c>
      <c r="E469" t="inlineStr">
        <is>
          <t>KATRINEHOLM</t>
        </is>
      </c>
      <c r="G469" t="n">
        <v>0.7</v>
      </c>
      <c r="H469" t="n">
        <v>0</v>
      </c>
      <c r="I469" t="n">
        <v>0</v>
      </c>
      <c r="J469" t="n">
        <v>0</v>
      </c>
      <c r="K469" t="n">
        <v>0</v>
      </c>
      <c r="L469" t="n">
        <v>0</v>
      </c>
      <c r="M469" t="n">
        <v>0</v>
      </c>
      <c r="N469" t="n">
        <v>0</v>
      </c>
      <c r="O469" t="n">
        <v>0</v>
      </c>
      <c r="P469" t="n">
        <v>0</v>
      </c>
      <c r="Q469" t="n">
        <v>0</v>
      </c>
      <c r="R469" s="2" t="inlineStr"/>
    </row>
    <row r="470" ht="15" customHeight="1">
      <c r="A470" t="inlineStr">
        <is>
          <t>A 12938-2023</t>
        </is>
      </c>
      <c r="B470" s="1" t="n">
        <v>45001</v>
      </c>
      <c r="C470" s="1" t="n">
        <v>46059</v>
      </c>
      <c r="D470" t="inlineStr">
        <is>
          <t>SÖDERMANLANDS LÄN</t>
        </is>
      </c>
      <c r="E470" t="inlineStr">
        <is>
          <t>KATRINEHOLM</t>
        </is>
      </c>
      <c r="G470" t="n">
        <v>0.4</v>
      </c>
      <c r="H470" t="n">
        <v>0</v>
      </c>
      <c r="I470" t="n">
        <v>0</v>
      </c>
      <c r="J470" t="n">
        <v>0</v>
      </c>
      <c r="K470" t="n">
        <v>0</v>
      </c>
      <c r="L470" t="n">
        <v>0</v>
      </c>
      <c r="M470" t="n">
        <v>0</v>
      </c>
      <c r="N470" t="n">
        <v>0</v>
      </c>
      <c r="O470" t="n">
        <v>0</v>
      </c>
      <c r="P470" t="n">
        <v>0</v>
      </c>
      <c r="Q470" t="n">
        <v>0</v>
      </c>
      <c r="R470" s="2" t="inlineStr"/>
    </row>
    <row r="471" ht="15" customHeight="1">
      <c r="A471" t="inlineStr">
        <is>
          <t>A 12559-2023</t>
        </is>
      </c>
      <c r="B471" s="1" t="n">
        <v>45000.36373842593</v>
      </c>
      <c r="C471" s="1" t="n">
        <v>46059</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7704-2023</t>
        </is>
      </c>
      <c r="B472" s="1" t="n">
        <v>44968</v>
      </c>
      <c r="C472" s="1" t="n">
        <v>46059</v>
      </c>
      <c r="D472" t="inlineStr">
        <is>
          <t>SÖDERMANLANDS LÄN</t>
        </is>
      </c>
      <c r="E472" t="inlineStr">
        <is>
          <t>KATRINEHOLM</t>
        </is>
      </c>
      <c r="G472" t="n">
        <v>7.3</v>
      </c>
      <c r="H472" t="n">
        <v>0</v>
      </c>
      <c r="I472" t="n">
        <v>0</v>
      </c>
      <c r="J472" t="n">
        <v>0</v>
      </c>
      <c r="K472" t="n">
        <v>0</v>
      </c>
      <c r="L472" t="n">
        <v>0</v>
      </c>
      <c r="M472" t="n">
        <v>0</v>
      </c>
      <c r="N472" t="n">
        <v>0</v>
      </c>
      <c r="O472" t="n">
        <v>0</v>
      </c>
      <c r="P472" t="n">
        <v>0</v>
      </c>
      <c r="Q472" t="n">
        <v>0</v>
      </c>
      <c r="R472" s="2" t="inlineStr"/>
    </row>
    <row r="473" ht="15" customHeight="1">
      <c r="A473" t="inlineStr">
        <is>
          <t>A 49122-2024</t>
        </is>
      </c>
      <c r="B473" s="1" t="n">
        <v>45594</v>
      </c>
      <c r="C473" s="1" t="n">
        <v>46059</v>
      </c>
      <c r="D473" t="inlineStr">
        <is>
          <t>SÖDERMANLANDS LÄN</t>
        </is>
      </c>
      <c r="E473" t="inlineStr">
        <is>
          <t>KATRINEHOLM</t>
        </is>
      </c>
      <c r="G473" t="n">
        <v>19.4</v>
      </c>
      <c r="H473" t="n">
        <v>0</v>
      </c>
      <c r="I473" t="n">
        <v>0</v>
      </c>
      <c r="J473" t="n">
        <v>0</v>
      </c>
      <c r="K473" t="n">
        <v>0</v>
      </c>
      <c r="L473" t="n">
        <v>0</v>
      </c>
      <c r="M473" t="n">
        <v>0</v>
      </c>
      <c r="N473" t="n">
        <v>0</v>
      </c>
      <c r="O473" t="n">
        <v>0</v>
      </c>
      <c r="P473" t="n">
        <v>0</v>
      </c>
      <c r="Q473" t="n">
        <v>0</v>
      </c>
      <c r="R473" s="2" t="inlineStr"/>
    </row>
    <row r="474" ht="15" customHeight="1">
      <c r="A474" t="inlineStr">
        <is>
          <t>A 12937-2023</t>
        </is>
      </c>
      <c r="B474" s="1" t="n">
        <v>45001</v>
      </c>
      <c r="C474" s="1" t="n">
        <v>46059</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11127-2023</t>
        </is>
      </c>
      <c r="B475" s="1" t="n">
        <v>44987</v>
      </c>
      <c r="C475" s="1" t="n">
        <v>46059</v>
      </c>
      <c r="D475" t="inlineStr">
        <is>
          <t>SÖDERMANLANDS LÄN</t>
        </is>
      </c>
      <c r="E475" t="inlineStr">
        <is>
          <t>KATRINEHOLM</t>
        </is>
      </c>
      <c r="G475" t="n">
        <v>4.3</v>
      </c>
      <c r="H475" t="n">
        <v>0</v>
      </c>
      <c r="I475" t="n">
        <v>0</v>
      </c>
      <c r="J475" t="n">
        <v>0</v>
      </c>
      <c r="K475" t="n">
        <v>0</v>
      </c>
      <c r="L475" t="n">
        <v>0</v>
      </c>
      <c r="M475" t="n">
        <v>0</v>
      </c>
      <c r="N475" t="n">
        <v>0</v>
      </c>
      <c r="O475" t="n">
        <v>0</v>
      </c>
      <c r="P475" t="n">
        <v>0</v>
      </c>
      <c r="Q475" t="n">
        <v>0</v>
      </c>
      <c r="R475" s="2" t="inlineStr"/>
    </row>
    <row r="476" ht="15" customHeight="1">
      <c r="A476" t="inlineStr">
        <is>
          <t>A 55829-2025</t>
        </is>
      </c>
      <c r="B476" s="1" t="n">
        <v>45972.79274305556</v>
      </c>
      <c r="C476" s="1" t="n">
        <v>46059</v>
      </c>
      <c r="D476" t="inlineStr">
        <is>
          <t>SÖDERMANLANDS LÄN</t>
        </is>
      </c>
      <c r="E476" t="inlineStr">
        <is>
          <t>KATRINEHOLM</t>
        </is>
      </c>
      <c r="G476" t="n">
        <v>3.2</v>
      </c>
      <c r="H476" t="n">
        <v>0</v>
      </c>
      <c r="I476" t="n">
        <v>0</v>
      </c>
      <c r="J476" t="n">
        <v>0</v>
      </c>
      <c r="K476" t="n">
        <v>0</v>
      </c>
      <c r="L476" t="n">
        <v>0</v>
      </c>
      <c r="M476" t="n">
        <v>0</v>
      </c>
      <c r="N476" t="n">
        <v>0</v>
      </c>
      <c r="O476" t="n">
        <v>0</v>
      </c>
      <c r="P476" t="n">
        <v>0</v>
      </c>
      <c r="Q476" t="n">
        <v>0</v>
      </c>
      <c r="R476" s="2" t="inlineStr"/>
    </row>
    <row r="477" ht="15" customHeight="1">
      <c r="A477" t="inlineStr">
        <is>
          <t>A 55832-2025</t>
        </is>
      </c>
      <c r="B477" s="1" t="n">
        <v>45972.81768518518</v>
      </c>
      <c r="C477" s="1" t="n">
        <v>46059</v>
      </c>
      <c r="D477" t="inlineStr">
        <is>
          <t>SÖDERMANLANDS LÄN</t>
        </is>
      </c>
      <c r="E477" t="inlineStr">
        <is>
          <t>KATRINEHOLM</t>
        </is>
      </c>
      <c r="G477" t="n">
        <v>2</v>
      </c>
      <c r="H477" t="n">
        <v>0</v>
      </c>
      <c r="I477" t="n">
        <v>0</v>
      </c>
      <c r="J477" t="n">
        <v>0</v>
      </c>
      <c r="K477" t="n">
        <v>0</v>
      </c>
      <c r="L477" t="n">
        <v>0</v>
      </c>
      <c r="M477" t="n">
        <v>0</v>
      </c>
      <c r="N477" t="n">
        <v>0</v>
      </c>
      <c r="O477" t="n">
        <v>0</v>
      </c>
      <c r="P477" t="n">
        <v>0</v>
      </c>
      <c r="Q477" t="n">
        <v>0</v>
      </c>
      <c r="R477" s="2" t="inlineStr"/>
    </row>
    <row r="478" ht="15" customHeight="1">
      <c r="A478" t="inlineStr">
        <is>
          <t>A 29198-2023</t>
        </is>
      </c>
      <c r="B478" s="1" t="n">
        <v>45105</v>
      </c>
      <c r="C478" s="1" t="n">
        <v>46059</v>
      </c>
      <c r="D478" t="inlineStr">
        <is>
          <t>SÖDERMANLANDS LÄN</t>
        </is>
      </c>
      <c r="E478" t="inlineStr">
        <is>
          <t>KATRINEHOLM</t>
        </is>
      </c>
      <c r="F478" t="inlineStr">
        <is>
          <t>Övriga Aktiebolag</t>
        </is>
      </c>
      <c r="G478" t="n">
        <v>1</v>
      </c>
      <c r="H478" t="n">
        <v>0</v>
      </c>
      <c r="I478" t="n">
        <v>0</v>
      </c>
      <c r="J478" t="n">
        <v>0</v>
      </c>
      <c r="K478" t="n">
        <v>0</v>
      </c>
      <c r="L478" t="n">
        <v>0</v>
      </c>
      <c r="M478" t="n">
        <v>0</v>
      </c>
      <c r="N478" t="n">
        <v>0</v>
      </c>
      <c r="O478" t="n">
        <v>0</v>
      </c>
      <c r="P478" t="n">
        <v>0</v>
      </c>
      <c r="Q478" t="n">
        <v>0</v>
      </c>
      <c r="R478" s="2" t="inlineStr"/>
    </row>
    <row r="479" ht="15" customHeight="1">
      <c r="A479" t="inlineStr">
        <is>
          <t>A 27345-2023</t>
        </is>
      </c>
      <c r="B479" s="1" t="n">
        <v>45096</v>
      </c>
      <c r="C479" s="1" t="n">
        <v>46059</v>
      </c>
      <c r="D479" t="inlineStr">
        <is>
          <t>SÖDERMANLANDS LÄN</t>
        </is>
      </c>
      <c r="E479" t="inlineStr">
        <is>
          <t>KATRINEHOLM</t>
        </is>
      </c>
      <c r="G479" t="n">
        <v>1.4</v>
      </c>
      <c r="H479" t="n">
        <v>0</v>
      </c>
      <c r="I479" t="n">
        <v>0</v>
      </c>
      <c r="J479" t="n">
        <v>0</v>
      </c>
      <c r="K479" t="n">
        <v>0</v>
      </c>
      <c r="L479" t="n">
        <v>0</v>
      </c>
      <c r="M479" t="n">
        <v>0</v>
      </c>
      <c r="N479" t="n">
        <v>0</v>
      </c>
      <c r="O479" t="n">
        <v>0</v>
      </c>
      <c r="P479" t="n">
        <v>0</v>
      </c>
      <c r="Q479" t="n">
        <v>0</v>
      </c>
      <c r="R479" s="2" t="inlineStr"/>
    </row>
    <row r="480" ht="15" customHeight="1">
      <c r="A480" t="inlineStr">
        <is>
          <t>A 1151-2025</t>
        </is>
      </c>
      <c r="B480" s="1" t="n">
        <v>45666</v>
      </c>
      <c r="C480" s="1" t="n">
        <v>46059</v>
      </c>
      <c r="D480" t="inlineStr">
        <is>
          <t>SÖDERMANLANDS LÄN</t>
        </is>
      </c>
      <c r="E480" t="inlineStr">
        <is>
          <t>KATRINEHOLM</t>
        </is>
      </c>
      <c r="G480" t="n">
        <v>1.9</v>
      </c>
      <c r="H480" t="n">
        <v>0</v>
      </c>
      <c r="I480" t="n">
        <v>0</v>
      </c>
      <c r="J480" t="n">
        <v>0</v>
      </c>
      <c r="K480" t="n">
        <v>0</v>
      </c>
      <c r="L480" t="n">
        <v>0</v>
      </c>
      <c r="M480" t="n">
        <v>0</v>
      </c>
      <c r="N480" t="n">
        <v>0</v>
      </c>
      <c r="O480" t="n">
        <v>0</v>
      </c>
      <c r="P480" t="n">
        <v>0</v>
      </c>
      <c r="Q480" t="n">
        <v>0</v>
      </c>
      <c r="R480" s="2" t="inlineStr"/>
    </row>
    <row r="481" ht="15" customHeight="1">
      <c r="A481" t="inlineStr">
        <is>
          <t>A 6808-2023</t>
        </is>
      </c>
      <c r="B481" s="1" t="n">
        <v>44964</v>
      </c>
      <c r="C481" s="1" t="n">
        <v>46059</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9992-2022</t>
        </is>
      </c>
      <c r="B482" s="1" t="n">
        <v>44621</v>
      </c>
      <c r="C482" s="1" t="n">
        <v>46059</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55831-2025</t>
        </is>
      </c>
      <c r="B483" s="1" t="n">
        <v>45972.81034722222</v>
      </c>
      <c r="C483" s="1" t="n">
        <v>46059</v>
      </c>
      <c r="D483" t="inlineStr">
        <is>
          <t>SÖDERMANLANDS LÄN</t>
        </is>
      </c>
      <c r="E483" t="inlineStr">
        <is>
          <t>KATRINEHOLM</t>
        </is>
      </c>
      <c r="G483" t="n">
        <v>6.2</v>
      </c>
      <c r="H483" t="n">
        <v>0</v>
      </c>
      <c r="I483" t="n">
        <v>0</v>
      </c>
      <c r="J483" t="n">
        <v>0</v>
      </c>
      <c r="K483" t="n">
        <v>0</v>
      </c>
      <c r="L483" t="n">
        <v>0</v>
      </c>
      <c r="M483" t="n">
        <v>0</v>
      </c>
      <c r="N483" t="n">
        <v>0</v>
      </c>
      <c r="O483" t="n">
        <v>0</v>
      </c>
      <c r="P483" t="n">
        <v>0</v>
      </c>
      <c r="Q483" t="n">
        <v>0</v>
      </c>
      <c r="R483" s="2" t="inlineStr"/>
    </row>
    <row r="484" ht="15" customHeight="1">
      <c r="A484" t="inlineStr">
        <is>
          <t>A 41267-2023</t>
        </is>
      </c>
      <c r="B484" s="1" t="n">
        <v>45174</v>
      </c>
      <c r="C484" s="1" t="n">
        <v>46059</v>
      </c>
      <c r="D484" t="inlineStr">
        <is>
          <t>SÖDERMANLANDS LÄN</t>
        </is>
      </c>
      <c r="E484" t="inlineStr">
        <is>
          <t>KATRINEHOLM</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56330-2025</t>
        </is>
      </c>
      <c r="B485" s="1" t="n">
        <v>45974.64094907408</v>
      </c>
      <c r="C485" s="1" t="n">
        <v>46059</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61394-2024</t>
        </is>
      </c>
      <c r="B486" s="1" t="n">
        <v>45646.42061342593</v>
      </c>
      <c r="C486" s="1" t="n">
        <v>46059</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46059</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46059</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29008-2024</t>
        </is>
      </c>
      <c r="B489" s="1" t="n">
        <v>45481</v>
      </c>
      <c r="C489" s="1" t="n">
        <v>46059</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9936-2023</t>
        </is>
      </c>
      <c r="B490" s="1" t="n">
        <v>44985.47086805556</v>
      </c>
      <c r="C490" s="1" t="n">
        <v>46059</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18339-2023</t>
        </is>
      </c>
      <c r="B491" s="1" t="n">
        <v>45041</v>
      </c>
      <c r="C491" s="1" t="n">
        <v>46059</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58522-2024</t>
        </is>
      </c>
      <c r="B492" s="1" t="n">
        <v>45635.43770833333</v>
      </c>
      <c r="C492" s="1" t="n">
        <v>46059</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4645-2024</t>
        </is>
      </c>
      <c r="B493" s="1" t="n">
        <v>45328</v>
      </c>
      <c r="C493" s="1" t="n">
        <v>46059</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47889-2023</t>
        </is>
      </c>
      <c r="B494" s="1" t="n">
        <v>45204</v>
      </c>
      <c r="C494" s="1" t="n">
        <v>46059</v>
      </c>
      <c r="D494" t="inlineStr">
        <is>
          <t>SÖDERMANLANDS LÄN</t>
        </is>
      </c>
      <c r="E494" t="inlineStr">
        <is>
          <t>KATRINEHOLM</t>
        </is>
      </c>
      <c r="G494" t="n">
        <v>2.1</v>
      </c>
      <c r="H494" t="n">
        <v>0</v>
      </c>
      <c r="I494" t="n">
        <v>0</v>
      </c>
      <c r="J494" t="n">
        <v>0</v>
      </c>
      <c r="K494" t="n">
        <v>0</v>
      </c>
      <c r="L494" t="n">
        <v>0</v>
      </c>
      <c r="M494" t="n">
        <v>0</v>
      </c>
      <c r="N494" t="n">
        <v>0</v>
      </c>
      <c r="O494" t="n">
        <v>0</v>
      </c>
      <c r="P494" t="n">
        <v>0</v>
      </c>
      <c r="Q494" t="n">
        <v>0</v>
      </c>
      <c r="R494" s="2" t="inlineStr"/>
    </row>
    <row r="495" ht="15" customHeight="1">
      <c r="A495" t="inlineStr">
        <is>
          <t>A 36001-2024</t>
        </is>
      </c>
      <c r="B495" s="1" t="n">
        <v>45533.54609953704</v>
      </c>
      <c r="C495" s="1" t="n">
        <v>46059</v>
      </c>
      <c r="D495" t="inlineStr">
        <is>
          <t>SÖDERMANLANDS LÄN</t>
        </is>
      </c>
      <c r="E495" t="inlineStr">
        <is>
          <t>KATRINEHOLM</t>
        </is>
      </c>
      <c r="G495" t="n">
        <v>1</v>
      </c>
      <c r="H495" t="n">
        <v>0</v>
      </c>
      <c r="I495" t="n">
        <v>0</v>
      </c>
      <c r="J495" t="n">
        <v>0</v>
      </c>
      <c r="K495" t="n">
        <v>0</v>
      </c>
      <c r="L495" t="n">
        <v>0</v>
      </c>
      <c r="M495" t="n">
        <v>0</v>
      </c>
      <c r="N495" t="n">
        <v>0</v>
      </c>
      <c r="O495" t="n">
        <v>0</v>
      </c>
      <c r="P495" t="n">
        <v>0</v>
      </c>
      <c r="Q495" t="n">
        <v>0</v>
      </c>
      <c r="R495" s="2" t="inlineStr"/>
    </row>
    <row r="496" ht="15" customHeight="1">
      <c r="A496" t="inlineStr">
        <is>
          <t>A 34732-2022</t>
        </is>
      </c>
      <c r="B496" s="1" t="n">
        <v>44795</v>
      </c>
      <c r="C496" s="1" t="n">
        <v>46059</v>
      </c>
      <c r="D496" t="inlineStr">
        <is>
          <t>SÖDERMANLANDS LÄN</t>
        </is>
      </c>
      <c r="E496" t="inlineStr">
        <is>
          <t>KATRINEHOLM</t>
        </is>
      </c>
      <c r="G496" t="n">
        <v>3</v>
      </c>
      <c r="H496" t="n">
        <v>0</v>
      </c>
      <c r="I496" t="n">
        <v>0</v>
      </c>
      <c r="J496" t="n">
        <v>0</v>
      </c>
      <c r="K496" t="n">
        <v>0</v>
      </c>
      <c r="L496" t="n">
        <v>0</v>
      </c>
      <c r="M496" t="n">
        <v>0</v>
      </c>
      <c r="N496" t="n">
        <v>0</v>
      </c>
      <c r="O496" t="n">
        <v>0</v>
      </c>
      <c r="P496" t="n">
        <v>0</v>
      </c>
      <c r="Q496" t="n">
        <v>0</v>
      </c>
      <c r="R496" s="2" t="inlineStr"/>
    </row>
    <row r="497" ht="15" customHeight="1">
      <c r="A497" t="inlineStr">
        <is>
          <t>A 36832-2023</t>
        </is>
      </c>
      <c r="B497" s="1" t="n">
        <v>45153</v>
      </c>
      <c r="C497" s="1" t="n">
        <v>46059</v>
      </c>
      <c r="D497" t="inlineStr">
        <is>
          <t>SÖDERMANLANDS LÄN</t>
        </is>
      </c>
      <c r="E497" t="inlineStr">
        <is>
          <t>KATRINEHOLM</t>
        </is>
      </c>
      <c r="F497" t="inlineStr">
        <is>
          <t>Övriga Aktiebolag</t>
        </is>
      </c>
      <c r="G497" t="n">
        <v>9</v>
      </c>
      <c r="H497" t="n">
        <v>0</v>
      </c>
      <c r="I497" t="n">
        <v>0</v>
      </c>
      <c r="J497" t="n">
        <v>0</v>
      </c>
      <c r="K497" t="n">
        <v>0</v>
      </c>
      <c r="L497" t="n">
        <v>0</v>
      </c>
      <c r="M497" t="n">
        <v>0</v>
      </c>
      <c r="N497" t="n">
        <v>0</v>
      </c>
      <c r="O497" t="n">
        <v>0</v>
      </c>
      <c r="P497" t="n">
        <v>0</v>
      </c>
      <c r="Q497" t="n">
        <v>0</v>
      </c>
      <c r="R497" s="2" t="inlineStr"/>
    </row>
    <row r="498" ht="15" customHeight="1">
      <c r="A498" t="inlineStr">
        <is>
          <t>A 28931-2024</t>
        </is>
      </c>
      <c r="B498" s="1" t="n">
        <v>45479</v>
      </c>
      <c r="C498" s="1" t="n">
        <v>46059</v>
      </c>
      <c r="D498" t="inlineStr">
        <is>
          <t>SÖDERMANLANDS LÄN</t>
        </is>
      </c>
      <c r="E498" t="inlineStr">
        <is>
          <t>KATRINEHOLM</t>
        </is>
      </c>
      <c r="G498" t="n">
        <v>7.4</v>
      </c>
      <c r="H498" t="n">
        <v>0</v>
      </c>
      <c r="I498" t="n">
        <v>0</v>
      </c>
      <c r="J498" t="n">
        <v>0</v>
      </c>
      <c r="K498" t="n">
        <v>0</v>
      </c>
      <c r="L498" t="n">
        <v>0</v>
      </c>
      <c r="M498" t="n">
        <v>0</v>
      </c>
      <c r="N498" t="n">
        <v>0</v>
      </c>
      <c r="O498" t="n">
        <v>0</v>
      </c>
      <c r="P498" t="n">
        <v>0</v>
      </c>
      <c r="Q498" t="n">
        <v>0</v>
      </c>
      <c r="R498" s="2" t="inlineStr"/>
    </row>
    <row r="499" ht="15" customHeight="1">
      <c r="A499" t="inlineStr">
        <is>
          <t>A 32166-2022</t>
        </is>
      </c>
      <c r="B499" s="1" t="n">
        <v>44781</v>
      </c>
      <c r="C499" s="1" t="n">
        <v>46059</v>
      </c>
      <c r="D499" t="inlineStr">
        <is>
          <t>SÖDERMANLANDS LÄN</t>
        </is>
      </c>
      <c r="E499" t="inlineStr">
        <is>
          <t>KATRINEHOLM</t>
        </is>
      </c>
      <c r="F499" t="inlineStr">
        <is>
          <t>Kommuner</t>
        </is>
      </c>
      <c r="G499" t="n">
        <v>0.5</v>
      </c>
      <c r="H499" t="n">
        <v>0</v>
      </c>
      <c r="I499" t="n">
        <v>0</v>
      </c>
      <c r="J499" t="n">
        <v>0</v>
      </c>
      <c r="K499" t="n">
        <v>0</v>
      </c>
      <c r="L499" t="n">
        <v>0</v>
      </c>
      <c r="M499" t="n">
        <v>0</v>
      </c>
      <c r="N499" t="n">
        <v>0</v>
      </c>
      <c r="O499" t="n">
        <v>0</v>
      </c>
      <c r="P499" t="n">
        <v>0</v>
      </c>
      <c r="Q499" t="n">
        <v>0</v>
      </c>
      <c r="R499" s="2" t="inlineStr"/>
    </row>
    <row r="500" ht="15" customHeight="1">
      <c r="A500" t="inlineStr">
        <is>
          <t>A 32169-2022</t>
        </is>
      </c>
      <c r="B500" s="1" t="n">
        <v>44781</v>
      </c>
      <c r="C500" s="1" t="n">
        <v>46059</v>
      </c>
      <c r="D500" t="inlineStr">
        <is>
          <t>SÖDERMANLANDS LÄN</t>
        </is>
      </c>
      <c r="E500" t="inlineStr">
        <is>
          <t>KATRINEHOLM</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35864-2023</t>
        </is>
      </c>
      <c r="B501" s="1" t="n">
        <v>45147</v>
      </c>
      <c r="C501" s="1" t="n">
        <v>46059</v>
      </c>
      <c r="D501" t="inlineStr">
        <is>
          <t>SÖDERMANLANDS LÄN</t>
        </is>
      </c>
      <c r="E501" t="inlineStr">
        <is>
          <t>KATRINEHOLM</t>
        </is>
      </c>
      <c r="F501" t="inlineStr">
        <is>
          <t>Övriga Aktiebolag</t>
        </is>
      </c>
      <c r="G501" t="n">
        <v>4.7</v>
      </c>
      <c r="H501" t="n">
        <v>0</v>
      </c>
      <c r="I501" t="n">
        <v>0</v>
      </c>
      <c r="J501" t="n">
        <v>0</v>
      </c>
      <c r="K501" t="n">
        <v>0</v>
      </c>
      <c r="L501" t="n">
        <v>0</v>
      </c>
      <c r="M501" t="n">
        <v>0</v>
      </c>
      <c r="N501" t="n">
        <v>0</v>
      </c>
      <c r="O501" t="n">
        <v>0</v>
      </c>
      <c r="P501" t="n">
        <v>0</v>
      </c>
      <c r="Q501" t="n">
        <v>0</v>
      </c>
      <c r="R501" s="2" t="inlineStr"/>
    </row>
    <row r="502" ht="15" customHeight="1">
      <c r="A502" t="inlineStr">
        <is>
          <t>A 6810-2023</t>
        </is>
      </c>
      <c r="B502" s="1" t="n">
        <v>44964</v>
      </c>
      <c r="C502" s="1" t="n">
        <v>46059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32944-2023</t>
        </is>
      </c>
      <c r="B503" s="1" t="n">
        <v>45125</v>
      </c>
      <c r="C503" s="1" t="n">
        <v>46059</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44637-2023</t>
        </is>
      </c>
      <c r="B504" s="1" t="n">
        <v>45189</v>
      </c>
      <c r="C504" s="1" t="n">
        <v>46059</v>
      </c>
      <c r="D504" t="inlineStr">
        <is>
          <t>SÖDERMANLANDS LÄN</t>
        </is>
      </c>
      <c r="E504" t="inlineStr">
        <is>
          <t>KATRINEHOLM</t>
        </is>
      </c>
      <c r="G504" t="n">
        <v>5.1</v>
      </c>
      <c r="H504" t="n">
        <v>0</v>
      </c>
      <c r="I504" t="n">
        <v>0</v>
      </c>
      <c r="J504" t="n">
        <v>0</v>
      </c>
      <c r="K504" t="n">
        <v>0</v>
      </c>
      <c r="L504" t="n">
        <v>0</v>
      </c>
      <c r="M504" t="n">
        <v>0</v>
      </c>
      <c r="N504" t="n">
        <v>0</v>
      </c>
      <c r="O504" t="n">
        <v>0</v>
      </c>
      <c r="P504" t="n">
        <v>0</v>
      </c>
      <c r="Q504" t="n">
        <v>0</v>
      </c>
      <c r="R504" s="2" t="inlineStr"/>
    </row>
    <row r="505" ht="15" customHeight="1">
      <c r="A505" t="inlineStr">
        <is>
          <t>A 29977-2023</t>
        </is>
      </c>
      <c r="B505" s="1" t="n">
        <v>45108</v>
      </c>
      <c r="C505" s="1" t="n">
        <v>46059</v>
      </c>
      <c r="D505" t="inlineStr">
        <is>
          <t>SÖDERMANLANDS LÄN</t>
        </is>
      </c>
      <c r="E505" t="inlineStr">
        <is>
          <t>KATRINEHOLM</t>
        </is>
      </c>
      <c r="G505" t="n">
        <v>2.4</v>
      </c>
      <c r="H505" t="n">
        <v>0</v>
      </c>
      <c r="I505" t="n">
        <v>0</v>
      </c>
      <c r="J505" t="n">
        <v>0</v>
      </c>
      <c r="K505" t="n">
        <v>0</v>
      </c>
      <c r="L505" t="n">
        <v>0</v>
      </c>
      <c r="M505" t="n">
        <v>0</v>
      </c>
      <c r="N505" t="n">
        <v>0</v>
      </c>
      <c r="O505" t="n">
        <v>0</v>
      </c>
      <c r="P505" t="n">
        <v>0</v>
      </c>
      <c r="Q505" t="n">
        <v>0</v>
      </c>
      <c r="R505" s="2" t="inlineStr"/>
    </row>
    <row r="506" ht="15" customHeight="1">
      <c r="A506" t="inlineStr">
        <is>
          <t>A 5788-2022</t>
        </is>
      </c>
      <c r="B506" s="1" t="n">
        <v>44596.54990740741</v>
      </c>
      <c r="C506" s="1" t="n">
        <v>46059</v>
      </c>
      <c r="D506" t="inlineStr">
        <is>
          <t>SÖDERMANLANDS LÄN</t>
        </is>
      </c>
      <c r="E506" t="inlineStr">
        <is>
          <t>KATRINEHOLM</t>
        </is>
      </c>
      <c r="G506" t="n">
        <v>4.1</v>
      </c>
      <c r="H506" t="n">
        <v>0</v>
      </c>
      <c r="I506" t="n">
        <v>0</v>
      </c>
      <c r="J506" t="n">
        <v>0</v>
      </c>
      <c r="K506" t="n">
        <v>0</v>
      </c>
      <c r="L506" t="n">
        <v>0</v>
      </c>
      <c r="M506" t="n">
        <v>0</v>
      </c>
      <c r="N506" t="n">
        <v>0</v>
      </c>
      <c r="O506" t="n">
        <v>0</v>
      </c>
      <c r="P506" t="n">
        <v>0</v>
      </c>
      <c r="Q506" t="n">
        <v>0</v>
      </c>
      <c r="R506" s="2" t="inlineStr"/>
    </row>
    <row r="507" ht="15" customHeight="1">
      <c r="A507" t="inlineStr">
        <is>
          <t>A 20803-2024</t>
        </is>
      </c>
      <c r="B507" s="1" t="n">
        <v>45438</v>
      </c>
      <c r="C507" s="1" t="n">
        <v>46059</v>
      </c>
      <c r="D507" t="inlineStr">
        <is>
          <t>SÖDERMANLANDS LÄN</t>
        </is>
      </c>
      <c r="E507" t="inlineStr">
        <is>
          <t>KATRINEHOLM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5795-2022</t>
        </is>
      </c>
      <c r="B508" s="1" t="n">
        <v>44596</v>
      </c>
      <c r="C508" s="1" t="n">
        <v>46059</v>
      </c>
      <c r="D508" t="inlineStr">
        <is>
          <t>SÖDERMANLANDS LÄN</t>
        </is>
      </c>
      <c r="E508" t="inlineStr">
        <is>
          <t>KATRINEHOLM</t>
        </is>
      </c>
      <c r="G508" t="n">
        <v>8.1</v>
      </c>
      <c r="H508" t="n">
        <v>0</v>
      </c>
      <c r="I508" t="n">
        <v>0</v>
      </c>
      <c r="J508" t="n">
        <v>0</v>
      </c>
      <c r="K508" t="n">
        <v>0</v>
      </c>
      <c r="L508" t="n">
        <v>0</v>
      </c>
      <c r="M508" t="n">
        <v>0</v>
      </c>
      <c r="N508" t="n">
        <v>0</v>
      </c>
      <c r="O508" t="n">
        <v>0</v>
      </c>
      <c r="P508" t="n">
        <v>0</v>
      </c>
      <c r="Q508" t="n">
        <v>0</v>
      </c>
      <c r="R508" s="2" t="inlineStr"/>
    </row>
    <row r="509" ht="15" customHeight="1">
      <c r="A509" t="inlineStr">
        <is>
          <t>A 3075-2022</t>
        </is>
      </c>
      <c r="B509" s="1" t="n">
        <v>44582</v>
      </c>
      <c r="C509" s="1" t="n">
        <v>46059</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39055-2022</t>
        </is>
      </c>
      <c r="B510" s="1" t="n">
        <v>44817</v>
      </c>
      <c r="C510" s="1" t="n">
        <v>46059</v>
      </c>
      <c r="D510" t="inlineStr">
        <is>
          <t>SÖDERMANLANDS LÄN</t>
        </is>
      </c>
      <c r="E510" t="inlineStr">
        <is>
          <t>KATRINEHOLM</t>
        </is>
      </c>
      <c r="F510" t="inlineStr">
        <is>
          <t>Övriga Aktiebolag</t>
        </is>
      </c>
      <c r="G510" t="n">
        <v>0.6</v>
      </c>
      <c r="H510" t="n">
        <v>0</v>
      </c>
      <c r="I510" t="n">
        <v>0</v>
      </c>
      <c r="J510" t="n">
        <v>0</v>
      </c>
      <c r="K510" t="n">
        <v>0</v>
      </c>
      <c r="L510" t="n">
        <v>0</v>
      </c>
      <c r="M510" t="n">
        <v>0</v>
      </c>
      <c r="N510" t="n">
        <v>0</v>
      </c>
      <c r="O510" t="n">
        <v>0</v>
      </c>
      <c r="P510" t="n">
        <v>0</v>
      </c>
      <c r="Q510" t="n">
        <v>0</v>
      </c>
      <c r="R510" s="2" t="inlineStr"/>
    </row>
    <row r="511" ht="15" customHeight="1">
      <c r="A511" t="inlineStr">
        <is>
          <t>A 73409-2021</t>
        </is>
      </c>
      <c r="B511" s="1" t="n">
        <v>44551</v>
      </c>
      <c r="C511" s="1" t="n">
        <v>46059</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73415-2021</t>
        </is>
      </c>
      <c r="B512" s="1" t="n">
        <v>44551</v>
      </c>
      <c r="C512" s="1" t="n">
        <v>46059</v>
      </c>
      <c r="D512" t="inlineStr">
        <is>
          <t>SÖDERMANLANDS LÄN</t>
        </is>
      </c>
      <c r="E512" t="inlineStr">
        <is>
          <t>KATRINEHOLM</t>
        </is>
      </c>
      <c r="G512" t="n">
        <v>3.2</v>
      </c>
      <c r="H512" t="n">
        <v>0</v>
      </c>
      <c r="I512" t="n">
        <v>0</v>
      </c>
      <c r="J512" t="n">
        <v>0</v>
      </c>
      <c r="K512" t="n">
        <v>0</v>
      </c>
      <c r="L512" t="n">
        <v>0</v>
      </c>
      <c r="M512" t="n">
        <v>0</v>
      </c>
      <c r="N512" t="n">
        <v>0</v>
      </c>
      <c r="O512" t="n">
        <v>0</v>
      </c>
      <c r="P512" t="n">
        <v>0</v>
      </c>
      <c r="Q512" t="n">
        <v>0</v>
      </c>
      <c r="R512" s="2" t="inlineStr"/>
    </row>
    <row r="513" ht="15" customHeight="1">
      <c r="A513" t="inlineStr">
        <is>
          <t>A 46257-2021</t>
        </is>
      </c>
      <c r="B513" s="1" t="n">
        <v>44442</v>
      </c>
      <c r="C513" s="1" t="n">
        <v>46059</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8087-2022</t>
        </is>
      </c>
      <c r="B514" s="1" t="n">
        <v>44609.53502314815</v>
      </c>
      <c r="C514" s="1" t="n">
        <v>46059</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50935-2023</t>
        </is>
      </c>
      <c r="B515" s="1" t="n">
        <v>45211</v>
      </c>
      <c r="C515" s="1" t="n">
        <v>46059</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6298-2024</t>
        </is>
      </c>
      <c r="B516" s="1" t="n">
        <v>45338.34245370371</v>
      </c>
      <c r="C516" s="1" t="n">
        <v>46059</v>
      </c>
      <c r="D516" t="inlineStr">
        <is>
          <t>SÖDERMANLANDS LÄN</t>
        </is>
      </c>
      <c r="E516" t="inlineStr">
        <is>
          <t>KATRINEHOLM</t>
        </is>
      </c>
      <c r="G516" t="n">
        <v>1.4</v>
      </c>
      <c r="H516" t="n">
        <v>0</v>
      </c>
      <c r="I516" t="n">
        <v>0</v>
      </c>
      <c r="J516" t="n">
        <v>0</v>
      </c>
      <c r="K516" t="n">
        <v>0</v>
      </c>
      <c r="L516" t="n">
        <v>0</v>
      </c>
      <c r="M516" t="n">
        <v>0</v>
      </c>
      <c r="N516" t="n">
        <v>0</v>
      </c>
      <c r="O516" t="n">
        <v>0</v>
      </c>
      <c r="P516" t="n">
        <v>0</v>
      </c>
      <c r="Q516" t="n">
        <v>0</v>
      </c>
      <c r="R516" s="2" t="inlineStr"/>
    </row>
    <row r="517" ht="15" customHeight="1">
      <c r="A517" t="inlineStr">
        <is>
          <t>A 33001-2024</t>
        </is>
      </c>
      <c r="B517" s="1" t="n">
        <v>45517</v>
      </c>
      <c r="C517" s="1" t="n">
        <v>46059</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52769-2023</t>
        </is>
      </c>
      <c r="B518" s="1" t="n">
        <v>45226</v>
      </c>
      <c r="C518" s="1" t="n">
        <v>46059</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4758-2025</t>
        </is>
      </c>
      <c r="B519" s="1" t="n">
        <v>45688</v>
      </c>
      <c r="C519" s="1" t="n">
        <v>46059</v>
      </c>
      <c r="D519" t="inlineStr">
        <is>
          <t>SÖDERMANLANDS LÄN</t>
        </is>
      </c>
      <c r="E519" t="inlineStr">
        <is>
          <t>KATRINEHOLM</t>
        </is>
      </c>
      <c r="G519" t="n">
        <v>2.3</v>
      </c>
      <c r="H519" t="n">
        <v>0</v>
      </c>
      <c r="I519" t="n">
        <v>0</v>
      </c>
      <c r="J519" t="n">
        <v>0</v>
      </c>
      <c r="K519" t="n">
        <v>0</v>
      </c>
      <c r="L519" t="n">
        <v>0</v>
      </c>
      <c r="M519" t="n">
        <v>0</v>
      </c>
      <c r="N519" t="n">
        <v>0</v>
      </c>
      <c r="O519" t="n">
        <v>0</v>
      </c>
      <c r="P519" t="n">
        <v>0</v>
      </c>
      <c r="Q519" t="n">
        <v>0</v>
      </c>
      <c r="R519" s="2" t="inlineStr"/>
    </row>
    <row r="520" ht="15" customHeight="1">
      <c r="A520" t="inlineStr">
        <is>
          <t>A 27852-2023</t>
        </is>
      </c>
      <c r="B520" s="1" t="n">
        <v>45098</v>
      </c>
      <c r="C520" s="1" t="n">
        <v>46059</v>
      </c>
      <c r="D520" t="inlineStr">
        <is>
          <t>SÖDERMANLANDS LÄN</t>
        </is>
      </c>
      <c r="E520" t="inlineStr">
        <is>
          <t>KATRINEHOLM</t>
        </is>
      </c>
      <c r="G520" t="n">
        <v>7.4</v>
      </c>
      <c r="H520" t="n">
        <v>0</v>
      </c>
      <c r="I520" t="n">
        <v>0</v>
      </c>
      <c r="J520" t="n">
        <v>0</v>
      </c>
      <c r="K520" t="n">
        <v>0</v>
      </c>
      <c r="L520" t="n">
        <v>0</v>
      </c>
      <c r="M520" t="n">
        <v>0</v>
      </c>
      <c r="N520" t="n">
        <v>0</v>
      </c>
      <c r="O520" t="n">
        <v>0</v>
      </c>
      <c r="P520" t="n">
        <v>0</v>
      </c>
      <c r="Q520" t="n">
        <v>0</v>
      </c>
      <c r="R520" s="2" t="inlineStr"/>
    </row>
    <row r="521" ht="15" customHeight="1">
      <c r="A521" t="inlineStr">
        <is>
          <t>A 28304-2024</t>
        </is>
      </c>
      <c r="B521" s="1" t="n">
        <v>45477</v>
      </c>
      <c r="C521" s="1" t="n">
        <v>46059</v>
      </c>
      <c r="D521" t="inlineStr">
        <is>
          <t>SÖDERMANLANDS LÄN</t>
        </is>
      </c>
      <c r="E521" t="inlineStr">
        <is>
          <t>KATRINEHOLM</t>
        </is>
      </c>
      <c r="G521" t="n">
        <v>3.8</v>
      </c>
      <c r="H521" t="n">
        <v>0</v>
      </c>
      <c r="I521" t="n">
        <v>0</v>
      </c>
      <c r="J521" t="n">
        <v>0</v>
      </c>
      <c r="K521" t="n">
        <v>0</v>
      </c>
      <c r="L521" t="n">
        <v>0</v>
      </c>
      <c r="M521" t="n">
        <v>0</v>
      </c>
      <c r="N521" t="n">
        <v>0</v>
      </c>
      <c r="O521" t="n">
        <v>0</v>
      </c>
      <c r="P521" t="n">
        <v>0</v>
      </c>
      <c r="Q521" t="n">
        <v>0</v>
      </c>
      <c r="R521" s="2" t="inlineStr"/>
    </row>
    <row r="522" ht="15" customHeight="1">
      <c r="A522" t="inlineStr">
        <is>
          <t>A 61911-2021</t>
        </is>
      </c>
      <c r="B522" s="1" t="n">
        <v>44502.35746527778</v>
      </c>
      <c r="C522" s="1" t="n">
        <v>46059</v>
      </c>
      <c r="D522" t="inlineStr">
        <is>
          <t>SÖDERMANLANDS LÄN</t>
        </is>
      </c>
      <c r="E522" t="inlineStr">
        <is>
          <t>KATRINEHOLM</t>
        </is>
      </c>
      <c r="G522" t="n">
        <v>3.8</v>
      </c>
      <c r="H522" t="n">
        <v>0</v>
      </c>
      <c r="I522" t="n">
        <v>0</v>
      </c>
      <c r="J522" t="n">
        <v>0</v>
      </c>
      <c r="K522" t="n">
        <v>0</v>
      </c>
      <c r="L522" t="n">
        <v>0</v>
      </c>
      <c r="M522" t="n">
        <v>0</v>
      </c>
      <c r="N522" t="n">
        <v>0</v>
      </c>
      <c r="O522" t="n">
        <v>0</v>
      </c>
      <c r="P522" t="n">
        <v>0</v>
      </c>
      <c r="Q522" t="n">
        <v>0</v>
      </c>
      <c r="R522" s="2" t="inlineStr"/>
    </row>
    <row r="523" ht="15" customHeight="1">
      <c r="A523" t="inlineStr">
        <is>
          <t>A 42945-2023</t>
        </is>
      </c>
      <c r="B523" s="1" t="n">
        <v>45182.5793287037</v>
      </c>
      <c r="C523" s="1" t="n">
        <v>46059</v>
      </c>
      <c r="D523" t="inlineStr">
        <is>
          <t>SÖDERMANLANDS LÄN</t>
        </is>
      </c>
      <c r="E523" t="inlineStr">
        <is>
          <t>KATRINEHOLM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42962-2023</t>
        </is>
      </c>
      <c r="B524" s="1" t="n">
        <v>45182</v>
      </c>
      <c r="C524" s="1" t="n">
        <v>46059</v>
      </c>
      <c r="D524" t="inlineStr">
        <is>
          <t>SÖDERMANLANDS LÄN</t>
        </is>
      </c>
      <c r="E524" t="inlineStr">
        <is>
          <t>KATRINEHOLM</t>
        </is>
      </c>
      <c r="F524" t="inlineStr">
        <is>
          <t>Övriga Aktiebolag</t>
        </is>
      </c>
      <c r="G524" t="n">
        <v>10.6</v>
      </c>
      <c r="H524" t="n">
        <v>0</v>
      </c>
      <c r="I524" t="n">
        <v>0</v>
      </c>
      <c r="J524" t="n">
        <v>0</v>
      </c>
      <c r="K524" t="n">
        <v>0</v>
      </c>
      <c r="L524" t="n">
        <v>0</v>
      </c>
      <c r="M524" t="n">
        <v>0</v>
      </c>
      <c r="N524" t="n">
        <v>0</v>
      </c>
      <c r="O524" t="n">
        <v>0</v>
      </c>
      <c r="P524" t="n">
        <v>0</v>
      </c>
      <c r="Q524" t="n">
        <v>0</v>
      </c>
      <c r="R524" s="2" t="inlineStr"/>
    </row>
    <row r="525" ht="15" customHeight="1">
      <c r="A525" t="inlineStr">
        <is>
          <t>A 58175-2024</t>
        </is>
      </c>
      <c r="B525" s="1" t="n">
        <v>45632.46648148148</v>
      </c>
      <c r="C525" s="1" t="n">
        <v>46059</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53715-2023</t>
        </is>
      </c>
      <c r="B526" s="1" t="n">
        <v>45230</v>
      </c>
      <c r="C526" s="1" t="n">
        <v>46059</v>
      </c>
      <c r="D526" t="inlineStr">
        <is>
          <t>SÖDERMANLANDS LÄN</t>
        </is>
      </c>
      <c r="E526" t="inlineStr">
        <is>
          <t>KATRINEHOLM</t>
        </is>
      </c>
      <c r="F526" t="inlineStr">
        <is>
          <t>Allmännings- och besparingsskogar</t>
        </is>
      </c>
      <c r="G526" t="n">
        <v>5.6</v>
      </c>
      <c r="H526" t="n">
        <v>0</v>
      </c>
      <c r="I526" t="n">
        <v>0</v>
      </c>
      <c r="J526" t="n">
        <v>0</v>
      </c>
      <c r="K526" t="n">
        <v>0</v>
      </c>
      <c r="L526" t="n">
        <v>0</v>
      </c>
      <c r="M526" t="n">
        <v>0</v>
      </c>
      <c r="N526" t="n">
        <v>0</v>
      </c>
      <c r="O526" t="n">
        <v>0</v>
      </c>
      <c r="P526" t="n">
        <v>0</v>
      </c>
      <c r="Q526" t="n">
        <v>0</v>
      </c>
      <c r="R526" s="2" t="inlineStr"/>
    </row>
    <row r="527" ht="15" customHeight="1">
      <c r="A527" t="inlineStr">
        <is>
          <t>A 44915-2022</t>
        </is>
      </c>
      <c r="B527" s="1" t="n">
        <v>44840</v>
      </c>
      <c r="C527" s="1" t="n">
        <v>46059</v>
      </c>
      <c r="D527" t="inlineStr">
        <is>
          <t>SÖDERMANLANDS LÄN</t>
        </is>
      </c>
      <c r="E527" t="inlineStr">
        <is>
          <t>KATRINEHOLM</t>
        </is>
      </c>
      <c r="G527" t="n">
        <v>6.3</v>
      </c>
      <c r="H527" t="n">
        <v>0</v>
      </c>
      <c r="I527" t="n">
        <v>0</v>
      </c>
      <c r="J527" t="n">
        <v>0</v>
      </c>
      <c r="K527" t="n">
        <v>0</v>
      </c>
      <c r="L527" t="n">
        <v>0</v>
      </c>
      <c r="M527" t="n">
        <v>0</v>
      </c>
      <c r="N527" t="n">
        <v>0</v>
      </c>
      <c r="O527" t="n">
        <v>0</v>
      </c>
      <c r="P527" t="n">
        <v>0</v>
      </c>
      <c r="Q527" t="n">
        <v>0</v>
      </c>
      <c r="R527" s="2" t="inlineStr"/>
    </row>
    <row r="528" ht="15" customHeight="1">
      <c r="A528" t="inlineStr">
        <is>
          <t>A 23705-2023</t>
        </is>
      </c>
      <c r="B528" s="1" t="n">
        <v>45077</v>
      </c>
      <c r="C528" s="1" t="n">
        <v>46059</v>
      </c>
      <c r="D528" t="inlineStr">
        <is>
          <t>SÖDERMANLANDS LÄN</t>
        </is>
      </c>
      <c r="E528" t="inlineStr">
        <is>
          <t>KATRINEHOLM</t>
        </is>
      </c>
      <c r="F528" t="inlineStr">
        <is>
          <t>Kyrkan</t>
        </is>
      </c>
      <c r="G528" t="n">
        <v>11.9</v>
      </c>
      <c r="H528" t="n">
        <v>0</v>
      </c>
      <c r="I528" t="n">
        <v>0</v>
      </c>
      <c r="J528" t="n">
        <v>0</v>
      </c>
      <c r="K528" t="n">
        <v>0</v>
      </c>
      <c r="L528" t="n">
        <v>0</v>
      </c>
      <c r="M528" t="n">
        <v>0</v>
      </c>
      <c r="N528" t="n">
        <v>0</v>
      </c>
      <c r="O528" t="n">
        <v>0</v>
      </c>
      <c r="P528" t="n">
        <v>0</v>
      </c>
      <c r="Q528" t="n">
        <v>0</v>
      </c>
      <c r="R528" s="2" t="inlineStr"/>
    </row>
    <row r="529" ht="15" customHeight="1">
      <c r="A529" t="inlineStr">
        <is>
          <t>A 48097-2023</t>
        </is>
      </c>
      <c r="B529" s="1" t="n">
        <v>45205.31987268518</v>
      </c>
      <c r="C529" s="1" t="n">
        <v>46059</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45793-2022</t>
        </is>
      </c>
      <c r="B530" s="1" t="n">
        <v>44844</v>
      </c>
      <c r="C530" s="1" t="n">
        <v>46059</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40393-2022</t>
        </is>
      </c>
      <c r="B531" s="1" t="n">
        <v>44823</v>
      </c>
      <c r="C531" s="1" t="n">
        <v>46059</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48685-2022</t>
        </is>
      </c>
      <c r="B532" s="1" t="n">
        <v>44859</v>
      </c>
      <c r="C532" s="1" t="n">
        <v>46059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39120-2023</t>
        </is>
      </c>
      <c r="B533" s="1" t="n">
        <v>45165</v>
      </c>
      <c r="C533" s="1" t="n">
        <v>46059</v>
      </c>
      <c r="D533" t="inlineStr">
        <is>
          <t>SÖDERMANLANDS LÄN</t>
        </is>
      </c>
      <c r="E533" t="inlineStr">
        <is>
          <t>KATRINEHOLM</t>
        </is>
      </c>
      <c r="G533" t="n">
        <v>4.4</v>
      </c>
      <c r="H533" t="n">
        <v>0</v>
      </c>
      <c r="I533" t="n">
        <v>0</v>
      </c>
      <c r="J533" t="n">
        <v>0</v>
      </c>
      <c r="K533" t="n">
        <v>0</v>
      </c>
      <c r="L533" t="n">
        <v>0</v>
      </c>
      <c r="M533" t="n">
        <v>0</v>
      </c>
      <c r="N533" t="n">
        <v>0</v>
      </c>
      <c r="O533" t="n">
        <v>0</v>
      </c>
      <c r="P533" t="n">
        <v>0</v>
      </c>
      <c r="Q533" t="n">
        <v>0</v>
      </c>
      <c r="R533" s="2" t="inlineStr"/>
    </row>
    <row r="534" ht="15" customHeight="1">
      <c r="A534" t="inlineStr">
        <is>
          <t>A 36133-2021</t>
        </is>
      </c>
      <c r="B534" s="1" t="n">
        <v>44386</v>
      </c>
      <c r="C534" s="1" t="n">
        <v>46059</v>
      </c>
      <c r="D534" t="inlineStr">
        <is>
          <t>SÖDERMANLANDS LÄN</t>
        </is>
      </c>
      <c r="E534" t="inlineStr">
        <is>
          <t>KATRINEHOLM</t>
        </is>
      </c>
      <c r="F534" t="inlineStr">
        <is>
          <t>Övriga Aktiebolag</t>
        </is>
      </c>
      <c r="G534" t="n">
        <v>8.9</v>
      </c>
      <c r="H534" t="n">
        <v>0</v>
      </c>
      <c r="I534" t="n">
        <v>0</v>
      </c>
      <c r="J534" t="n">
        <v>0</v>
      </c>
      <c r="K534" t="n">
        <v>0</v>
      </c>
      <c r="L534" t="n">
        <v>0</v>
      </c>
      <c r="M534" t="n">
        <v>0</v>
      </c>
      <c r="N534" t="n">
        <v>0</v>
      </c>
      <c r="O534" t="n">
        <v>0</v>
      </c>
      <c r="P534" t="n">
        <v>0</v>
      </c>
      <c r="Q534" t="n">
        <v>0</v>
      </c>
      <c r="R534" s="2" t="inlineStr"/>
    </row>
    <row r="535" ht="15" customHeight="1">
      <c r="A535" t="inlineStr">
        <is>
          <t>A 49700-2022</t>
        </is>
      </c>
      <c r="B535" s="1" t="n">
        <v>44862</v>
      </c>
      <c r="C535" s="1" t="n">
        <v>46059</v>
      </c>
      <c r="D535" t="inlineStr">
        <is>
          <t>SÖDERMANLANDS LÄN</t>
        </is>
      </c>
      <c r="E535" t="inlineStr">
        <is>
          <t>KATRINEHOLM</t>
        </is>
      </c>
      <c r="G535" t="n">
        <v>19.5</v>
      </c>
      <c r="H535" t="n">
        <v>0</v>
      </c>
      <c r="I535" t="n">
        <v>0</v>
      </c>
      <c r="J535" t="n">
        <v>0</v>
      </c>
      <c r="K535" t="n">
        <v>0</v>
      </c>
      <c r="L535" t="n">
        <v>0</v>
      </c>
      <c r="M535" t="n">
        <v>0</v>
      </c>
      <c r="N535" t="n">
        <v>0</v>
      </c>
      <c r="O535" t="n">
        <v>0</v>
      </c>
      <c r="P535" t="n">
        <v>0</v>
      </c>
      <c r="Q535" t="n">
        <v>0</v>
      </c>
      <c r="R535" s="2" t="inlineStr"/>
    </row>
    <row r="536" ht="15" customHeight="1">
      <c r="A536" t="inlineStr">
        <is>
          <t>A 51397-2023</t>
        </is>
      </c>
      <c r="B536" s="1" t="n">
        <v>45214</v>
      </c>
      <c r="C536" s="1" t="n">
        <v>46059</v>
      </c>
      <c r="D536" t="inlineStr">
        <is>
          <t>SÖDERMANLANDS LÄN</t>
        </is>
      </c>
      <c r="E536" t="inlineStr">
        <is>
          <t>KATRINEHOLM</t>
        </is>
      </c>
      <c r="G536" t="n">
        <v>4.9</v>
      </c>
      <c r="H536" t="n">
        <v>0</v>
      </c>
      <c r="I536" t="n">
        <v>0</v>
      </c>
      <c r="J536" t="n">
        <v>0</v>
      </c>
      <c r="K536" t="n">
        <v>0</v>
      </c>
      <c r="L536" t="n">
        <v>0</v>
      </c>
      <c r="M536" t="n">
        <v>0</v>
      </c>
      <c r="N536" t="n">
        <v>0</v>
      </c>
      <c r="O536" t="n">
        <v>0</v>
      </c>
      <c r="P536" t="n">
        <v>0</v>
      </c>
      <c r="Q536" t="n">
        <v>0</v>
      </c>
      <c r="R536" s="2" t="inlineStr"/>
    </row>
    <row r="537" ht="15" customHeight="1">
      <c r="A537" t="inlineStr">
        <is>
          <t>A 19452-2023</t>
        </is>
      </c>
      <c r="B537" s="1" t="n">
        <v>45050</v>
      </c>
      <c r="C537" s="1" t="n">
        <v>46059</v>
      </c>
      <c r="D537" t="inlineStr">
        <is>
          <t>SÖDERMANLANDS LÄN</t>
        </is>
      </c>
      <c r="E537" t="inlineStr">
        <is>
          <t>KATRINEHOLM</t>
        </is>
      </c>
      <c r="F537" t="inlineStr">
        <is>
          <t>Holmen skog AB</t>
        </is>
      </c>
      <c r="G537" t="n">
        <v>4.7</v>
      </c>
      <c r="H537" t="n">
        <v>0</v>
      </c>
      <c r="I537" t="n">
        <v>0</v>
      </c>
      <c r="J537" t="n">
        <v>0</v>
      </c>
      <c r="K537" t="n">
        <v>0</v>
      </c>
      <c r="L537" t="n">
        <v>0</v>
      </c>
      <c r="M537" t="n">
        <v>0</v>
      </c>
      <c r="N537" t="n">
        <v>0</v>
      </c>
      <c r="O537" t="n">
        <v>0</v>
      </c>
      <c r="P537" t="n">
        <v>0</v>
      </c>
      <c r="Q537" t="n">
        <v>0</v>
      </c>
      <c r="R537" s="2" t="inlineStr"/>
    </row>
    <row r="538" ht="15" customHeight="1">
      <c r="A538" t="inlineStr">
        <is>
          <t>A 52658-2023</t>
        </is>
      </c>
      <c r="B538" s="1" t="n">
        <v>45225</v>
      </c>
      <c r="C538" s="1" t="n">
        <v>46059</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5320-2025</t>
        </is>
      </c>
      <c r="B539" s="1" t="n">
        <v>45692</v>
      </c>
      <c r="C539" s="1" t="n">
        <v>46059</v>
      </c>
      <c r="D539" t="inlineStr">
        <is>
          <t>SÖDERMANLANDS LÄN</t>
        </is>
      </c>
      <c r="E539" t="inlineStr">
        <is>
          <t>KATRINEHOLM</t>
        </is>
      </c>
      <c r="F539" t="inlineStr">
        <is>
          <t>Kommuner</t>
        </is>
      </c>
      <c r="G539" t="n">
        <v>0.9</v>
      </c>
      <c r="H539" t="n">
        <v>0</v>
      </c>
      <c r="I539" t="n">
        <v>0</v>
      </c>
      <c r="J539" t="n">
        <v>0</v>
      </c>
      <c r="K539" t="n">
        <v>0</v>
      </c>
      <c r="L539" t="n">
        <v>0</v>
      </c>
      <c r="M539" t="n">
        <v>0</v>
      </c>
      <c r="N539" t="n">
        <v>0</v>
      </c>
      <c r="O539" t="n">
        <v>0</v>
      </c>
      <c r="P539" t="n">
        <v>0</v>
      </c>
      <c r="Q539" t="n">
        <v>0</v>
      </c>
      <c r="R539" s="2" t="inlineStr"/>
    </row>
    <row r="540" ht="15" customHeight="1">
      <c r="A540" t="inlineStr">
        <is>
          <t>A 2606-2025</t>
        </is>
      </c>
      <c r="B540" s="1" t="n">
        <v>45674</v>
      </c>
      <c r="C540" s="1" t="n">
        <v>46059</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39748-2022</t>
        </is>
      </c>
      <c r="B541" s="1" t="n">
        <v>44817</v>
      </c>
      <c r="C541" s="1" t="n">
        <v>46059</v>
      </c>
      <c r="D541" t="inlineStr">
        <is>
          <t>SÖDERMANLANDS LÄN</t>
        </is>
      </c>
      <c r="E541" t="inlineStr">
        <is>
          <t>KATRINEHOLM</t>
        </is>
      </c>
      <c r="G541" t="n">
        <v>10.2</v>
      </c>
      <c r="H541" t="n">
        <v>0</v>
      </c>
      <c r="I541" t="n">
        <v>0</v>
      </c>
      <c r="J541" t="n">
        <v>0</v>
      </c>
      <c r="K541" t="n">
        <v>0</v>
      </c>
      <c r="L541" t="n">
        <v>0</v>
      </c>
      <c r="M541" t="n">
        <v>0</v>
      </c>
      <c r="N541" t="n">
        <v>0</v>
      </c>
      <c r="O541" t="n">
        <v>0</v>
      </c>
      <c r="P541" t="n">
        <v>0</v>
      </c>
      <c r="Q541" t="n">
        <v>0</v>
      </c>
      <c r="R541" s="2" t="inlineStr"/>
    </row>
    <row r="542" ht="15" customHeight="1">
      <c r="A542" t="inlineStr">
        <is>
          <t>A 34731-2023</t>
        </is>
      </c>
      <c r="B542" s="1" t="n">
        <v>45141</v>
      </c>
      <c r="C542" s="1" t="n">
        <v>46059</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34739-2023</t>
        </is>
      </c>
      <c r="B543" s="1" t="n">
        <v>45141</v>
      </c>
      <c r="C543" s="1" t="n">
        <v>46059</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20480-2022</t>
        </is>
      </c>
      <c r="B544" s="1" t="n">
        <v>44699</v>
      </c>
      <c r="C544" s="1" t="n">
        <v>46059</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50017-2023</t>
        </is>
      </c>
      <c r="B545" s="1" t="n">
        <v>45215</v>
      </c>
      <c r="C545" s="1" t="n">
        <v>46059</v>
      </c>
      <c r="D545" t="inlineStr">
        <is>
          <t>SÖDERMANLANDS LÄN</t>
        </is>
      </c>
      <c r="E545" t="inlineStr">
        <is>
          <t>KATRINEHOLM</t>
        </is>
      </c>
      <c r="G545" t="n">
        <v>0.9</v>
      </c>
      <c r="H545" t="n">
        <v>0</v>
      </c>
      <c r="I545" t="n">
        <v>0</v>
      </c>
      <c r="J545" t="n">
        <v>0</v>
      </c>
      <c r="K545" t="n">
        <v>0</v>
      </c>
      <c r="L545" t="n">
        <v>0</v>
      </c>
      <c r="M545" t="n">
        <v>0</v>
      </c>
      <c r="N545" t="n">
        <v>0</v>
      </c>
      <c r="O545" t="n">
        <v>0</v>
      </c>
      <c r="P545" t="n">
        <v>0</v>
      </c>
      <c r="Q545" t="n">
        <v>0</v>
      </c>
      <c r="R545" s="2" t="inlineStr"/>
    </row>
    <row r="546" ht="15" customHeight="1">
      <c r="A546" t="inlineStr">
        <is>
          <t>A 50018-2023</t>
        </is>
      </c>
      <c r="B546" s="1" t="n">
        <v>45215</v>
      </c>
      <c r="C546" s="1" t="n">
        <v>46059</v>
      </c>
      <c r="D546" t="inlineStr">
        <is>
          <t>SÖDERMANLANDS LÄN</t>
        </is>
      </c>
      <c r="E546" t="inlineStr">
        <is>
          <t>KATRINEHOLM</t>
        </is>
      </c>
      <c r="G546" t="n">
        <v>2.4</v>
      </c>
      <c r="H546" t="n">
        <v>0</v>
      </c>
      <c r="I546" t="n">
        <v>0</v>
      </c>
      <c r="J546" t="n">
        <v>0</v>
      </c>
      <c r="K546" t="n">
        <v>0</v>
      </c>
      <c r="L546" t="n">
        <v>0</v>
      </c>
      <c r="M546" t="n">
        <v>0</v>
      </c>
      <c r="N546" t="n">
        <v>0</v>
      </c>
      <c r="O546" t="n">
        <v>0</v>
      </c>
      <c r="P546" t="n">
        <v>0</v>
      </c>
      <c r="Q546" t="n">
        <v>0</v>
      </c>
      <c r="R546" s="2" t="inlineStr"/>
    </row>
    <row r="547" ht="15" customHeight="1">
      <c r="A547" t="inlineStr">
        <is>
          <t>A 28508-2023</t>
        </is>
      </c>
      <c r="B547" s="1" t="n">
        <v>45103.46788194445</v>
      </c>
      <c r="C547" s="1" t="n">
        <v>46059</v>
      </c>
      <c r="D547" t="inlineStr">
        <is>
          <t>SÖDERMANLANDS LÄN</t>
        </is>
      </c>
      <c r="E547" t="inlineStr">
        <is>
          <t>KATRINEHOLM</t>
        </is>
      </c>
      <c r="F547" t="inlineStr">
        <is>
          <t>Kyrkan</t>
        </is>
      </c>
      <c r="G547" t="n">
        <v>20.5</v>
      </c>
      <c r="H547" t="n">
        <v>0</v>
      </c>
      <c r="I547" t="n">
        <v>0</v>
      </c>
      <c r="J547" t="n">
        <v>0</v>
      </c>
      <c r="K547" t="n">
        <v>0</v>
      </c>
      <c r="L547" t="n">
        <v>0</v>
      </c>
      <c r="M547" t="n">
        <v>0</v>
      </c>
      <c r="N547" t="n">
        <v>0</v>
      </c>
      <c r="O547" t="n">
        <v>0</v>
      </c>
      <c r="P547" t="n">
        <v>0</v>
      </c>
      <c r="Q547" t="n">
        <v>0</v>
      </c>
      <c r="R547" s="2" t="inlineStr"/>
    </row>
    <row r="548" ht="15" customHeight="1">
      <c r="A548" t="inlineStr">
        <is>
          <t>A 46075-2023</t>
        </is>
      </c>
      <c r="B548" s="1" t="n">
        <v>45196</v>
      </c>
      <c r="C548" s="1" t="n">
        <v>46059</v>
      </c>
      <c r="D548" t="inlineStr">
        <is>
          <t>SÖDERMANLANDS LÄN</t>
        </is>
      </c>
      <c r="E548" t="inlineStr">
        <is>
          <t>KATRINEHOLM</t>
        </is>
      </c>
      <c r="F548" t="inlineStr">
        <is>
          <t>Övriga Aktiebolag</t>
        </is>
      </c>
      <c r="G548" t="n">
        <v>9.5</v>
      </c>
      <c r="H548" t="n">
        <v>0</v>
      </c>
      <c r="I548" t="n">
        <v>0</v>
      </c>
      <c r="J548" t="n">
        <v>0</v>
      </c>
      <c r="K548" t="n">
        <v>0</v>
      </c>
      <c r="L548" t="n">
        <v>0</v>
      </c>
      <c r="M548" t="n">
        <v>0</v>
      </c>
      <c r="N548" t="n">
        <v>0</v>
      </c>
      <c r="O548" t="n">
        <v>0</v>
      </c>
      <c r="P548" t="n">
        <v>0</v>
      </c>
      <c r="Q548" t="n">
        <v>0</v>
      </c>
      <c r="R548" s="2" t="inlineStr"/>
    </row>
    <row r="549" ht="15" customHeight="1">
      <c r="A549" t="inlineStr">
        <is>
          <t>A 25823-2023</t>
        </is>
      </c>
      <c r="B549" s="1" t="n">
        <v>45090.55078703703</v>
      </c>
      <c r="C549" s="1" t="n">
        <v>46059</v>
      </c>
      <c r="D549" t="inlineStr">
        <is>
          <t>SÖDERMANLANDS LÄN</t>
        </is>
      </c>
      <c r="E549" t="inlineStr">
        <is>
          <t>KATRINEHOLM</t>
        </is>
      </c>
      <c r="F549" t="inlineStr">
        <is>
          <t>Kyrkan</t>
        </is>
      </c>
      <c r="G549" t="n">
        <v>10.2</v>
      </c>
      <c r="H549" t="n">
        <v>0</v>
      </c>
      <c r="I549" t="n">
        <v>0</v>
      </c>
      <c r="J549" t="n">
        <v>0</v>
      </c>
      <c r="K549" t="n">
        <v>0</v>
      </c>
      <c r="L549" t="n">
        <v>0</v>
      </c>
      <c r="M549" t="n">
        <v>0</v>
      </c>
      <c r="N549" t="n">
        <v>0</v>
      </c>
      <c r="O549" t="n">
        <v>0</v>
      </c>
      <c r="P549" t="n">
        <v>0</v>
      </c>
      <c r="Q549" t="n">
        <v>0</v>
      </c>
      <c r="R549" s="2" t="inlineStr"/>
    </row>
    <row r="550" ht="15" customHeight="1">
      <c r="A550" t="inlineStr">
        <is>
          <t>A 17360-2022</t>
        </is>
      </c>
      <c r="B550" s="1" t="n">
        <v>44678</v>
      </c>
      <c r="C550" s="1" t="n">
        <v>46059</v>
      </c>
      <c r="D550" t="inlineStr">
        <is>
          <t>SÖDERMANLANDS LÄN</t>
        </is>
      </c>
      <c r="E550" t="inlineStr">
        <is>
          <t>KATRINEHOLM</t>
        </is>
      </c>
      <c r="G550" t="n">
        <v>4.5</v>
      </c>
      <c r="H550" t="n">
        <v>0</v>
      </c>
      <c r="I550" t="n">
        <v>0</v>
      </c>
      <c r="J550" t="n">
        <v>0</v>
      </c>
      <c r="K550" t="n">
        <v>0</v>
      </c>
      <c r="L550" t="n">
        <v>0</v>
      </c>
      <c r="M550" t="n">
        <v>0</v>
      </c>
      <c r="N550" t="n">
        <v>0</v>
      </c>
      <c r="O550" t="n">
        <v>0</v>
      </c>
      <c r="P550" t="n">
        <v>0</v>
      </c>
      <c r="Q550" t="n">
        <v>0</v>
      </c>
      <c r="R550" s="2" t="inlineStr"/>
    </row>
    <row r="551" ht="15" customHeight="1">
      <c r="A551" t="inlineStr">
        <is>
          <t>A 22295-2024</t>
        </is>
      </c>
      <c r="B551" s="1" t="n">
        <v>45446.56141203704</v>
      </c>
      <c r="C551" s="1" t="n">
        <v>46059</v>
      </c>
      <c r="D551" t="inlineStr">
        <is>
          <t>SÖDERMANLANDS LÄN</t>
        </is>
      </c>
      <c r="E551" t="inlineStr">
        <is>
          <t>KATRINEHOLM</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46700-2023</t>
        </is>
      </c>
      <c r="B552" s="1" t="n">
        <v>45194</v>
      </c>
      <c r="C552" s="1" t="n">
        <v>46059</v>
      </c>
      <c r="D552" t="inlineStr">
        <is>
          <t>SÖDERMANLANDS LÄN</t>
        </is>
      </c>
      <c r="E552" t="inlineStr">
        <is>
          <t>KATRINEHOLM</t>
        </is>
      </c>
      <c r="G552" t="n">
        <v>3</v>
      </c>
      <c r="H552" t="n">
        <v>0</v>
      </c>
      <c r="I552" t="n">
        <v>0</v>
      </c>
      <c r="J552" t="n">
        <v>0</v>
      </c>
      <c r="K552" t="n">
        <v>0</v>
      </c>
      <c r="L552" t="n">
        <v>0</v>
      </c>
      <c r="M552" t="n">
        <v>0</v>
      </c>
      <c r="N552" t="n">
        <v>0</v>
      </c>
      <c r="O552" t="n">
        <v>0</v>
      </c>
      <c r="P552" t="n">
        <v>0</v>
      </c>
      <c r="Q552" t="n">
        <v>0</v>
      </c>
      <c r="R552" s="2" t="inlineStr"/>
    </row>
    <row r="553" ht="15" customHeight="1">
      <c r="A553" t="inlineStr">
        <is>
          <t>A 55590-2023</t>
        </is>
      </c>
      <c r="B553" s="1" t="n">
        <v>45238</v>
      </c>
      <c r="C553" s="1" t="n">
        <v>46059</v>
      </c>
      <c r="D553" t="inlineStr">
        <is>
          <t>SÖDERMANLANDS LÄN</t>
        </is>
      </c>
      <c r="E553" t="inlineStr">
        <is>
          <t>KATRINEHOLM</t>
        </is>
      </c>
      <c r="G553" t="n">
        <v>4.5</v>
      </c>
      <c r="H553" t="n">
        <v>0</v>
      </c>
      <c r="I553" t="n">
        <v>0</v>
      </c>
      <c r="J553" t="n">
        <v>0</v>
      </c>
      <c r="K553" t="n">
        <v>0</v>
      </c>
      <c r="L553" t="n">
        <v>0</v>
      </c>
      <c r="M553" t="n">
        <v>0</v>
      </c>
      <c r="N553" t="n">
        <v>0</v>
      </c>
      <c r="O553" t="n">
        <v>0</v>
      </c>
      <c r="P553" t="n">
        <v>0</v>
      </c>
      <c r="Q553" t="n">
        <v>0</v>
      </c>
      <c r="R553" s="2" t="inlineStr"/>
    </row>
    <row r="554" ht="15" customHeight="1">
      <c r="A554" t="inlineStr">
        <is>
          <t>A 15898-2022</t>
        </is>
      </c>
      <c r="B554" s="1" t="n">
        <v>44664.55688657407</v>
      </c>
      <c r="C554" s="1" t="n">
        <v>46059</v>
      </c>
      <c r="D554" t="inlineStr">
        <is>
          <t>SÖDERMANLANDS LÄN</t>
        </is>
      </c>
      <c r="E554" t="inlineStr">
        <is>
          <t>KATRINEHOLM</t>
        </is>
      </c>
      <c r="G554" t="n">
        <v>6.5</v>
      </c>
      <c r="H554" t="n">
        <v>0</v>
      </c>
      <c r="I554" t="n">
        <v>0</v>
      </c>
      <c r="J554" t="n">
        <v>0</v>
      </c>
      <c r="K554" t="n">
        <v>0</v>
      </c>
      <c r="L554" t="n">
        <v>0</v>
      </c>
      <c r="M554" t="n">
        <v>0</v>
      </c>
      <c r="N554" t="n">
        <v>0</v>
      </c>
      <c r="O554" t="n">
        <v>0</v>
      </c>
      <c r="P554" t="n">
        <v>0</v>
      </c>
      <c r="Q554" t="n">
        <v>0</v>
      </c>
      <c r="R554" s="2" t="inlineStr"/>
    </row>
    <row r="555" ht="15" customHeight="1">
      <c r="A555" t="inlineStr">
        <is>
          <t>A 15910-2022</t>
        </is>
      </c>
      <c r="B555" s="1" t="n">
        <v>44664</v>
      </c>
      <c r="C555" s="1" t="n">
        <v>46059</v>
      </c>
      <c r="D555" t="inlineStr">
        <is>
          <t>SÖDERMANLANDS LÄN</t>
        </is>
      </c>
      <c r="E555" t="inlineStr">
        <is>
          <t>KATRINEHOLM</t>
        </is>
      </c>
      <c r="G555" t="n">
        <v>5.6</v>
      </c>
      <c r="H555" t="n">
        <v>0</v>
      </c>
      <c r="I555" t="n">
        <v>0</v>
      </c>
      <c r="J555" t="n">
        <v>0</v>
      </c>
      <c r="K555" t="n">
        <v>0</v>
      </c>
      <c r="L555" t="n">
        <v>0</v>
      </c>
      <c r="M555" t="n">
        <v>0</v>
      </c>
      <c r="N555" t="n">
        <v>0</v>
      </c>
      <c r="O555" t="n">
        <v>0</v>
      </c>
      <c r="P555" t="n">
        <v>0</v>
      </c>
      <c r="Q555" t="n">
        <v>0</v>
      </c>
      <c r="R555" s="2" t="inlineStr"/>
    </row>
    <row r="556" ht="15" customHeight="1">
      <c r="A556" t="inlineStr">
        <is>
          <t>A 32818-2023</t>
        </is>
      </c>
      <c r="B556" s="1" t="n">
        <v>45124.55633101852</v>
      </c>
      <c r="C556" s="1" t="n">
        <v>46059</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20214-2025</t>
        </is>
      </c>
      <c r="B557" s="1" t="n">
        <v>45772.63540509259</v>
      </c>
      <c r="C557" s="1" t="n">
        <v>46059</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22272-2022</t>
        </is>
      </c>
      <c r="B558" s="1" t="n">
        <v>44712</v>
      </c>
      <c r="C558" s="1" t="n">
        <v>46059</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27334-2023</t>
        </is>
      </c>
      <c r="B559" s="1" t="n">
        <v>45096</v>
      </c>
      <c r="C559" s="1" t="n">
        <v>46059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40186-2023</t>
        </is>
      </c>
      <c r="B560" s="1" t="n">
        <v>45169</v>
      </c>
      <c r="C560" s="1" t="n">
        <v>46059</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47886-2023</t>
        </is>
      </c>
      <c r="B561" s="1" t="n">
        <v>45204</v>
      </c>
      <c r="C561" s="1" t="n">
        <v>46059</v>
      </c>
      <c r="D561" t="inlineStr">
        <is>
          <t>SÖDERMANLANDS LÄN</t>
        </is>
      </c>
      <c r="E561" t="inlineStr">
        <is>
          <t>KATRINEHOLM</t>
        </is>
      </c>
      <c r="G561" t="n">
        <v>22</v>
      </c>
      <c r="H561" t="n">
        <v>0</v>
      </c>
      <c r="I561" t="n">
        <v>0</v>
      </c>
      <c r="J561" t="n">
        <v>0</v>
      </c>
      <c r="K561" t="n">
        <v>0</v>
      </c>
      <c r="L561" t="n">
        <v>0</v>
      </c>
      <c r="M561" t="n">
        <v>0</v>
      </c>
      <c r="N561" t="n">
        <v>0</v>
      </c>
      <c r="O561" t="n">
        <v>0</v>
      </c>
      <c r="P561" t="n">
        <v>0</v>
      </c>
      <c r="Q561" t="n">
        <v>0</v>
      </c>
      <c r="R561" s="2" t="inlineStr"/>
    </row>
    <row r="562" ht="15" customHeight="1">
      <c r="A562" t="inlineStr">
        <is>
          <t>A 36562-2023</t>
        </is>
      </c>
      <c r="B562" s="1" t="n">
        <v>45153</v>
      </c>
      <c r="C562" s="1" t="n">
        <v>46059</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34539-2022</t>
        </is>
      </c>
      <c r="B563" s="1" t="n">
        <v>44793.50563657407</v>
      </c>
      <c r="C563" s="1" t="n">
        <v>46059</v>
      </c>
      <c r="D563" t="inlineStr">
        <is>
          <t>SÖDERMANLANDS LÄN</t>
        </is>
      </c>
      <c r="E563" t="inlineStr">
        <is>
          <t>KATRINEHOLM</t>
        </is>
      </c>
      <c r="G563" t="n">
        <v>1</v>
      </c>
      <c r="H563" t="n">
        <v>0</v>
      </c>
      <c r="I563" t="n">
        <v>0</v>
      </c>
      <c r="J563" t="n">
        <v>0</v>
      </c>
      <c r="K563" t="n">
        <v>0</v>
      </c>
      <c r="L563" t="n">
        <v>0</v>
      </c>
      <c r="M563" t="n">
        <v>0</v>
      </c>
      <c r="N563" t="n">
        <v>0</v>
      </c>
      <c r="O563" t="n">
        <v>0</v>
      </c>
      <c r="P563" t="n">
        <v>0</v>
      </c>
      <c r="Q563" t="n">
        <v>0</v>
      </c>
      <c r="R563" s="2" t="inlineStr"/>
    </row>
    <row r="564" ht="15" customHeight="1">
      <c r="A564" t="inlineStr">
        <is>
          <t>A 41205-2021</t>
        </is>
      </c>
      <c r="B564" s="1" t="n">
        <v>44424.38577546296</v>
      </c>
      <c r="C564" s="1" t="n">
        <v>46059</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24748-2024</t>
        </is>
      </c>
      <c r="B565" s="1" t="n">
        <v>45460.66567129629</v>
      </c>
      <c r="C565" s="1" t="n">
        <v>46059</v>
      </c>
      <c r="D565" t="inlineStr">
        <is>
          <t>SÖDERMANLANDS LÄN</t>
        </is>
      </c>
      <c r="E565" t="inlineStr">
        <is>
          <t>KATRINEHOLM</t>
        </is>
      </c>
      <c r="G565" t="n">
        <v>3.3</v>
      </c>
      <c r="H565" t="n">
        <v>0</v>
      </c>
      <c r="I565" t="n">
        <v>0</v>
      </c>
      <c r="J565" t="n">
        <v>0</v>
      </c>
      <c r="K565" t="n">
        <v>0</v>
      </c>
      <c r="L565" t="n">
        <v>0</v>
      </c>
      <c r="M565" t="n">
        <v>0</v>
      </c>
      <c r="N565" t="n">
        <v>0</v>
      </c>
      <c r="O565" t="n">
        <v>0</v>
      </c>
      <c r="P565" t="n">
        <v>0</v>
      </c>
      <c r="Q565" t="n">
        <v>0</v>
      </c>
      <c r="R565" s="2" t="inlineStr"/>
    </row>
    <row r="566" ht="15" customHeight="1">
      <c r="A566" t="inlineStr">
        <is>
          <t>A 40402-2022</t>
        </is>
      </c>
      <c r="B566" s="1" t="n">
        <v>44823.44353009259</v>
      </c>
      <c r="C566" s="1" t="n">
        <v>46059</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17792-2025</t>
        </is>
      </c>
      <c r="B567" s="1" t="n">
        <v>45758</v>
      </c>
      <c r="C567" s="1" t="n">
        <v>46059</v>
      </c>
      <c r="D567" t="inlineStr">
        <is>
          <t>SÖDERMANLANDS LÄN</t>
        </is>
      </c>
      <c r="E567" t="inlineStr">
        <is>
          <t>KATRINEHOLM</t>
        </is>
      </c>
      <c r="G567" t="n">
        <v>4.2</v>
      </c>
      <c r="H567" t="n">
        <v>0</v>
      </c>
      <c r="I567" t="n">
        <v>0</v>
      </c>
      <c r="J567" t="n">
        <v>0</v>
      </c>
      <c r="K567" t="n">
        <v>0</v>
      </c>
      <c r="L567" t="n">
        <v>0</v>
      </c>
      <c r="M567" t="n">
        <v>0</v>
      </c>
      <c r="N567" t="n">
        <v>0</v>
      </c>
      <c r="O567" t="n">
        <v>0</v>
      </c>
      <c r="P567" t="n">
        <v>0</v>
      </c>
      <c r="Q567" t="n">
        <v>0</v>
      </c>
      <c r="R567" s="2" t="inlineStr"/>
    </row>
    <row r="568" ht="15" customHeight="1">
      <c r="A568" t="inlineStr">
        <is>
          <t>A 17820-2025</t>
        </is>
      </c>
      <c r="B568" s="1" t="n">
        <v>45758</v>
      </c>
      <c r="C568" s="1" t="n">
        <v>46059</v>
      </c>
      <c r="D568" t="inlineStr">
        <is>
          <t>SÖDERMANLANDS LÄN</t>
        </is>
      </c>
      <c r="E568" t="inlineStr">
        <is>
          <t>KATRINEHOLM</t>
        </is>
      </c>
      <c r="G568" t="n">
        <v>5.9</v>
      </c>
      <c r="H568" t="n">
        <v>0</v>
      </c>
      <c r="I568" t="n">
        <v>0</v>
      </c>
      <c r="J568" t="n">
        <v>0</v>
      </c>
      <c r="K568" t="n">
        <v>0</v>
      </c>
      <c r="L568" t="n">
        <v>0</v>
      </c>
      <c r="M568" t="n">
        <v>0</v>
      </c>
      <c r="N568" t="n">
        <v>0</v>
      </c>
      <c r="O568" t="n">
        <v>0</v>
      </c>
      <c r="P568" t="n">
        <v>0</v>
      </c>
      <c r="Q568" t="n">
        <v>0</v>
      </c>
      <c r="R568" s="2" t="inlineStr"/>
    </row>
    <row r="569" ht="15" customHeight="1">
      <c r="A569" t="inlineStr">
        <is>
          <t>A 30387-2022</t>
        </is>
      </c>
      <c r="B569" s="1" t="n">
        <v>44760</v>
      </c>
      <c r="C569" s="1" t="n">
        <v>46059</v>
      </c>
      <c r="D569" t="inlineStr">
        <is>
          <t>SÖDERMANLANDS LÄN</t>
        </is>
      </c>
      <c r="E569" t="inlineStr">
        <is>
          <t>KATRINEHOLM</t>
        </is>
      </c>
      <c r="G569" t="n">
        <v>1.9</v>
      </c>
      <c r="H569" t="n">
        <v>0</v>
      </c>
      <c r="I569" t="n">
        <v>0</v>
      </c>
      <c r="J569" t="n">
        <v>0</v>
      </c>
      <c r="K569" t="n">
        <v>0</v>
      </c>
      <c r="L569" t="n">
        <v>0</v>
      </c>
      <c r="M569" t="n">
        <v>0</v>
      </c>
      <c r="N569" t="n">
        <v>0</v>
      </c>
      <c r="O569" t="n">
        <v>0</v>
      </c>
      <c r="P569" t="n">
        <v>0</v>
      </c>
      <c r="Q569" t="n">
        <v>0</v>
      </c>
      <c r="R569" s="2" t="inlineStr"/>
    </row>
    <row r="570" ht="15" customHeight="1">
      <c r="A570" t="inlineStr">
        <is>
          <t>A 39052-2023</t>
        </is>
      </c>
      <c r="B570" s="1" t="n">
        <v>45163</v>
      </c>
      <c r="C570" s="1" t="n">
        <v>46059</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8922-2024</t>
        </is>
      </c>
      <c r="B571" s="1" t="n">
        <v>45357.38601851852</v>
      </c>
      <c r="C571" s="1" t="n">
        <v>46059</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48160-2022</t>
        </is>
      </c>
      <c r="B572" s="1" t="n">
        <v>44853</v>
      </c>
      <c r="C572" s="1" t="n">
        <v>46059</v>
      </c>
      <c r="D572" t="inlineStr">
        <is>
          <t>SÖDERMANLANDS LÄN</t>
        </is>
      </c>
      <c r="E572" t="inlineStr">
        <is>
          <t>KATRINEHOLM</t>
        </is>
      </c>
      <c r="F572" t="inlineStr">
        <is>
          <t>Övriga statliga verk och myndigheter</t>
        </is>
      </c>
      <c r="G572" t="n">
        <v>2.2</v>
      </c>
      <c r="H572" t="n">
        <v>0</v>
      </c>
      <c r="I572" t="n">
        <v>0</v>
      </c>
      <c r="J572" t="n">
        <v>0</v>
      </c>
      <c r="K572" t="n">
        <v>0</v>
      </c>
      <c r="L572" t="n">
        <v>0</v>
      </c>
      <c r="M572" t="n">
        <v>0</v>
      </c>
      <c r="N572" t="n">
        <v>0</v>
      </c>
      <c r="O572" t="n">
        <v>0</v>
      </c>
      <c r="P572" t="n">
        <v>0</v>
      </c>
      <c r="Q572" t="n">
        <v>0</v>
      </c>
      <c r="R572" s="2" t="inlineStr"/>
    </row>
    <row r="573" ht="15" customHeight="1">
      <c r="A573" t="inlineStr">
        <is>
          <t>A 28317-2024</t>
        </is>
      </c>
      <c r="B573" s="1" t="n">
        <v>45477</v>
      </c>
      <c r="C573" s="1" t="n">
        <v>46059</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66393-2021</t>
        </is>
      </c>
      <c r="B574" s="1" t="n">
        <v>44518</v>
      </c>
      <c r="C574" s="1" t="n">
        <v>46059</v>
      </c>
      <c r="D574" t="inlineStr">
        <is>
          <t>SÖDERMANLANDS LÄN</t>
        </is>
      </c>
      <c r="E574" t="inlineStr">
        <is>
          <t>KATRINEHOLM</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47134-2022</t>
        </is>
      </c>
      <c r="B575" s="1" t="n">
        <v>44851</v>
      </c>
      <c r="C575" s="1" t="n">
        <v>46059</v>
      </c>
      <c r="D575" t="inlineStr">
        <is>
          <t>SÖDERMANLANDS LÄN</t>
        </is>
      </c>
      <c r="E575" t="inlineStr">
        <is>
          <t>KATRINEHOLM</t>
        </is>
      </c>
      <c r="F575" t="inlineStr">
        <is>
          <t>Övriga statliga verk och myndigheter</t>
        </is>
      </c>
      <c r="G575" t="n">
        <v>1.5</v>
      </c>
      <c r="H575" t="n">
        <v>0</v>
      </c>
      <c r="I575" t="n">
        <v>0</v>
      </c>
      <c r="J575" t="n">
        <v>0</v>
      </c>
      <c r="K575" t="n">
        <v>0</v>
      </c>
      <c r="L575" t="n">
        <v>0</v>
      </c>
      <c r="M575" t="n">
        <v>0</v>
      </c>
      <c r="N575" t="n">
        <v>0</v>
      </c>
      <c r="O575" t="n">
        <v>0</v>
      </c>
      <c r="P575" t="n">
        <v>0</v>
      </c>
      <c r="Q575" t="n">
        <v>0</v>
      </c>
      <c r="R575" s="2" t="inlineStr"/>
    </row>
    <row r="576" ht="15" customHeight="1">
      <c r="A576" t="inlineStr">
        <is>
          <t>A 1143-2024</t>
        </is>
      </c>
      <c r="B576" s="1" t="n">
        <v>45302</v>
      </c>
      <c r="C576" s="1" t="n">
        <v>46059</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3982-2024</t>
        </is>
      </c>
      <c r="B577" s="1" t="n">
        <v>45322</v>
      </c>
      <c r="C577" s="1" t="n">
        <v>46059</v>
      </c>
      <c r="D577" t="inlineStr">
        <is>
          <t>SÖDERMANLANDS LÄN</t>
        </is>
      </c>
      <c r="E577" t="inlineStr">
        <is>
          <t>KATRINEHOLM</t>
        </is>
      </c>
      <c r="G577" t="n">
        <v>3.7</v>
      </c>
      <c r="H577" t="n">
        <v>0</v>
      </c>
      <c r="I577" t="n">
        <v>0</v>
      </c>
      <c r="J577" t="n">
        <v>0</v>
      </c>
      <c r="K577" t="n">
        <v>0</v>
      </c>
      <c r="L577" t="n">
        <v>0</v>
      </c>
      <c r="M577" t="n">
        <v>0</v>
      </c>
      <c r="N577" t="n">
        <v>0</v>
      </c>
      <c r="O577" t="n">
        <v>0</v>
      </c>
      <c r="P577" t="n">
        <v>0</v>
      </c>
      <c r="Q577" t="n">
        <v>0</v>
      </c>
      <c r="R577" s="2" t="inlineStr"/>
    </row>
    <row r="578" ht="15" customHeight="1">
      <c r="A578" t="inlineStr">
        <is>
          <t>A 57263-2022</t>
        </is>
      </c>
      <c r="B578" s="1" t="n">
        <v>44895</v>
      </c>
      <c r="C578" s="1" t="n">
        <v>46059</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28431-2024</t>
        </is>
      </c>
      <c r="B579" s="1" t="n">
        <v>45477.65216435185</v>
      </c>
      <c r="C579" s="1" t="n">
        <v>46059</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62418-2023</t>
        </is>
      </c>
      <c r="B580" s="1" t="n">
        <v>45268</v>
      </c>
      <c r="C580" s="1" t="n">
        <v>46059</v>
      </c>
      <c r="D580" t="inlineStr">
        <is>
          <t>SÖDERMANLANDS LÄN</t>
        </is>
      </c>
      <c r="E580" t="inlineStr">
        <is>
          <t>KATRINEHOLM</t>
        </is>
      </c>
      <c r="G580" t="n">
        <v>3</v>
      </c>
      <c r="H580" t="n">
        <v>0</v>
      </c>
      <c r="I580" t="n">
        <v>0</v>
      </c>
      <c r="J580" t="n">
        <v>0</v>
      </c>
      <c r="K580" t="n">
        <v>0</v>
      </c>
      <c r="L580" t="n">
        <v>0</v>
      </c>
      <c r="M580" t="n">
        <v>0</v>
      </c>
      <c r="N580" t="n">
        <v>0</v>
      </c>
      <c r="O580" t="n">
        <v>0</v>
      </c>
      <c r="P580" t="n">
        <v>0</v>
      </c>
      <c r="Q580" t="n">
        <v>0</v>
      </c>
      <c r="R580" s="2" t="inlineStr"/>
    </row>
    <row r="581" ht="15" customHeight="1">
      <c r="A581" t="inlineStr">
        <is>
          <t>A 45142-2021</t>
        </is>
      </c>
      <c r="B581" s="1" t="n">
        <v>44439</v>
      </c>
      <c r="C581" s="1" t="n">
        <v>46059</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7191-2023</t>
        </is>
      </c>
      <c r="B582" s="1" t="n">
        <v>44965</v>
      </c>
      <c r="C582" s="1" t="n">
        <v>46059</v>
      </c>
      <c r="D582" t="inlineStr">
        <is>
          <t>SÖDERMANLANDS LÄN</t>
        </is>
      </c>
      <c r="E582" t="inlineStr">
        <is>
          <t>KATRINEHOLM</t>
        </is>
      </c>
      <c r="G582" t="n">
        <v>14.1</v>
      </c>
      <c r="H582" t="n">
        <v>0</v>
      </c>
      <c r="I582" t="n">
        <v>0</v>
      </c>
      <c r="J582" t="n">
        <v>0</v>
      </c>
      <c r="K582" t="n">
        <v>0</v>
      </c>
      <c r="L582" t="n">
        <v>0</v>
      </c>
      <c r="M582" t="n">
        <v>0</v>
      </c>
      <c r="N582" t="n">
        <v>0</v>
      </c>
      <c r="O582" t="n">
        <v>0</v>
      </c>
      <c r="P582" t="n">
        <v>0</v>
      </c>
      <c r="Q582" t="n">
        <v>0</v>
      </c>
      <c r="R582" s="2" t="inlineStr"/>
    </row>
    <row r="583" ht="15" customHeight="1">
      <c r="A583" t="inlineStr">
        <is>
          <t>A 66540-2021</t>
        </is>
      </c>
      <c r="B583" s="1" t="n">
        <v>44519</v>
      </c>
      <c r="C583" s="1" t="n">
        <v>46059</v>
      </c>
      <c r="D583" t="inlineStr">
        <is>
          <t>SÖDERMANLANDS LÄN</t>
        </is>
      </c>
      <c r="E583" t="inlineStr">
        <is>
          <t>KATRINEHOLM</t>
        </is>
      </c>
      <c r="F583" t="inlineStr">
        <is>
          <t>Holmen skog AB</t>
        </is>
      </c>
      <c r="G583" t="n">
        <v>0.4</v>
      </c>
      <c r="H583" t="n">
        <v>0</v>
      </c>
      <c r="I583" t="n">
        <v>0</v>
      </c>
      <c r="J583" t="n">
        <v>0</v>
      </c>
      <c r="K583" t="n">
        <v>0</v>
      </c>
      <c r="L583" t="n">
        <v>0</v>
      </c>
      <c r="M583" t="n">
        <v>0</v>
      </c>
      <c r="N583" t="n">
        <v>0</v>
      </c>
      <c r="O583" t="n">
        <v>0</v>
      </c>
      <c r="P583" t="n">
        <v>0</v>
      </c>
      <c r="Q583" t="n">
        <v>0</v>
      </c>
      <c r="R583" s="2" t="inlineStr"/>
    </row>
    <row r="584" ht="15" customHeight="1">
      <c r="A584" t="inlineStr">
        <is>
          <t>A 8394-2024</t>
        </is>
      </c>
      <c r="B584" s="1" t="n">
        <v>45352</v>
      </c>
      <c r="C584" s="1" t="n">
        <v>46059</v>
      </c>
      <c r="D584" t="inlineStr">
        <is>
          <t>SÖDERMANLANDS LÄN</t>
        </is>
      </c>
      <c r="E584" t="inlineStr">
        <is>
          <t>KATRINEHOLM</t>
        </is>
      </c>
      <c r="G584" t="n">
        <v>4</v>
      </c>
      <c r="H584" t="n">
        <v>0</v>
      </c>
      <c r="I584" t="n">
        <v>0</v>
      </c>
      <c r="J584" t="n">
        <v>0</v>
      </c>
      <c r="K584" t="n">
        <v>0</v>
      </c>
      <c r="L584" t="n">
        <v>0</v>
      </c>
      <c r="M584" t="n">
        <v>0</v>
      </c>
      <c r="N584" t="n">
        <v>0</v>
      </c>
      <c r="O584" t="n">
        <v>0</v>
      </c>
      <c r="P584" t="n">
        <v>0</v>
      </c>
      <c r="Q584" t="n">
        <v>0</v>
      </c>
      <c r="R584" s="2" t="inlineStr"/>
    </row>
    <row r="585" ht="15" customHeight="1">
      <c r="A585" t="inlineStr">
        <is>
          <t>A 13658-2023</t>
        </is>
      </c>
      <c r="B585" s="1" t="n">
        <v>45006</v>
      </c>
      <c r="C585" s="1" t="n">
        <v>46059</v>
      </c>
      <c r="D585" t="inlineStr">
        <is>
          <t>SÖDERMANLANDS LÄN</t>
        </is>
      </c>
      <c r="E585" t="inlineStr">
        <is>
          <t>KATRINEHOLM</t>
        </is>
      </c>
      <c r="F585" t="inlineStr">
        <is>
          <t>Kyrkan</t>
        </is>
      </c>
      <c r="G585" t="n">
        <v>24.3</v>
      </c>
      <c r="H585" t="n">
        <v>0</v>
      </c>
      <c r="I585" t="n">
        <v>0</v>
      </c>
      <c r="J585" t="n">
        <v>0</v>
      </c>
      <c r="K585" t="n">
        <v>0</v>
      </c>
      <c r="L585" t="n">
        <v>0</v>
      </c>
      <c r="M585" t="n">
        <v>0</v>
      </c>
      <c r="N585" t="n">
        <v>0</v>
      </c>
      <c r="O585" t="n">
        <v>0</v>
      </c>
      <c r="P585" t="n">
        <v>0</v>
      </c>
      <c r="Q585" t="n">
        <v>0</v>
      </c>
      <c r="R585" s="2" t="inlineStr"/>
    </row>
    <row r="586" ht="15" customHeight="1">
      <c r="A586" t="inlineStr">
        <is>
          <t>A 61385-2023</t>
        </is>
      </c>
      <c r="B586" s="1" t="n">
        <v>45264.64241898148</v>
      </c>
      <c r="C586" s="1" t="n">
        <v>46059</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55825-2022</t>
        </is>
      </c>
      <c r="B587" s="1" t="n">
        <v>44886</v>
      </c>
      <c r="C587" s="1" t="n">
        <v>46059</v>
      </c>
      <c r="D587" t="inlineStr">
        <is>
          <t>SÖDERMANLANDS LÄN</t>
        </is>
      </c>
      <c r="E587" t="inlineStr">
        <is>
          <t>KATRINEHOLM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55856-2022</t>
        </is>
      </c>
      <c r="B588" s="1" t="n">
        <v>44888</v>
      </c>
      <c r="C588" s="1" t="n">
        <v>46059</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43513-2023</t>
        </is>
      </c>
      <c r="B589" s="1" t="n">
        <v>45184</v>
      </c>
      <c r="C589" s="1" t="n">
        <v>46059</v>
      </c>
      <c r="D589" t="inlineStr">
        <is>
          <t>SÖDERMANLANDS LÄN</t>
        </is>
      </c>
      <c r="E589" t="inlineStr">
        <is>
          <t>KATRINEHOLM</t>
        </is>
      </c>
      <c r="G589" t="n">
        <v>3.8</v>
      </c>
      <c r="H589" t="n">
        <v>0</v>
      </c>
      <c r="I589" t="n">
        <v>0</v>
      </c>
      <c r="J589" t="n">
        <v>0</v>
      </c>
      <c r="K589" t="n">
        <v>0</v>
      </c>
      <c r="L589" t="n">
        <v>0</v>
      </c>
      <c r="M589" t="n">
        <v>0</v>
      </c>
      <c r="N589" t="n">
        <v>0</v>
      </c>
      <c r="O589" t="n">
        <v>0</v>
      </c>
      <c r="P589" t="n">
        <v>0</v>
      </c>
      <c r="Q589" t="n">
        <v>0</v>
      </c>
      <c r="R589" s="2" t="inlineStr"/>
    </row>
    <row r="590" ht="15" customHeight="1">
      <c r="A590" t="inlineStr">
        <is>
          <t>A 8951-2024</t>
        </is>
      </c>
      <c r="B590" s="1" t="n">
        <v>45357.44695601852</v>
      </c>
      <c r="C590" s="1" t="n">
        <v>46059</v>
      </c>
      <c r="D590" t="inlineStr">
        <is>
          <t>SÖDERMANLANDS LÄN</t>
        </is>
      </c>
      <c r="E590" t="inlineStr">
        <is>
          <t>KATRINEHOLM</t>
        </is>
      </c>
      <c r="G590" t="n">
        <v>3.3</v>
      </c>
      <c r="H590" t="n">
        <v>0</v>
      </c>
      <c r="I590" t="n">
        <v>0</v>
      </c>
      <c r="J590" t="n">
        <v>0</v>
      </c>
      <c r="K590" t="n">
        <v>0</v>
      </c>
      <c r="L590" t="n">
        <v>0</v>
      </c>
      <c r="M590" t="n">
        <v>0</v>
      </c>
      <c r="N590" t="n">
        <v>0</v>
      </c>
      <c r="O590" t="n">
        <v>0</v>
      </c>
      <c r="P590" t="n">
        <v>0</v>
      </c>
      <c r="Q590" t="n">
        <v>0</v>
      </c>
      <c r="R590" s="2" t="inlineStr"/>
    </row>
    <row r="591" ht="15" customHeight="1">
      <c r="A591" t="inlineStr">
        <is>
          <t>A 8955-2024</t>
        </is>
      </c>
      <c r="B591" s="1" t="n">
        <v>45357.44873842593</v>
      </c>
      <c r="C591" s="1" t="n">
        <v>46059</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15945-2024</t>
        </is>
      </c>
      <c r="B592" s="1" t="n">
        <v>45405.48912037037</v>
      </c>
      <c r="C592" s="1" t="n">
        <v>46059</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4655-2024</t>
        </is>
      </c>
      <c r="B593" s="1" t="n">
        <v>45328</v>
      </c>
      <c r="C593" s="1" t="n">
        <v>46059</v>
      </c>
      <c r="D593" t="inlineStr">
        <is>
          <t>SÖDERMANLANDS LÄN</t>
        </is>
      </c>
      <c r="E593" t="inlineStr">
        <is>
          <t>KATRINEHOLM</t>
        </is>
      </c>
      <c r="G593" t="n">
        <v>17.7</v>
      </c>
      <c r="H593" t="n">
        <v>0</v>
      </c>
      <c r="I593" t="n">
        <v>0</v>
      </c>
      <c r="J593" t="n">
        <v>0</v>
      </c>
      <c r="K593" t="n">
        <v>0</v>
      </c>
      <c r="L593" t="n">
        <v>0</v>
      </c>
      <c r="M593" t="n">
        <v>0</v>
      </c>
      <c r="N593" t="n">
        <v>0</v>
      </c>
      <c r="O593" t="n">
        <v>0</v>
      </c>
      <c r="P593" t="n">
        <v>0</v>
      </c>
      <c r="Q593" t="n">
        <v>0</v>
      </c>
      <c r="R593" s="2" t="inlineStr"/>
    </row>
    <row r="594" ht="15" customHeight="1">
      <c r="A594" t="inlineStr">
        <is>
          <t>A 53387-2023</t>
        </is>
      </c>
      <c r="B594" s="1" t="n">
        <v>45229</v>
      </c>
      <c r="C594" s="1" t="n">
        <v>46059</v>
      </c>
      <c r="D594" t="inlineStr">
        <is>
          <t>SÖDERMANLANDS LÄN</t>
        </is>
      </c>
      <c r="E594" t="inlineStr">
        <is>
          <t>KATRINEHOLM</t>
        </is>
      </c>
      <c r="F594" t="inlineStr">
        <is>
          <t>Kyrkan</t>
        </is>
      </c>
      <c r="G594" t="n">
        <v>7.4</v>
      </c>
      <c r="H594" t="n">
        <v>0</v>
      </c>
      <c r="I594" t="n">
        <v>0</v>
      </c>
      <c r="J594" t="n">
        <v>0</v>
      </c>
      <c r="K594" t="n">
        <v>0</v>
      </c>
      <c r="L594" t="n">
        <v>0</v>
      </c>
      <c r="M594" t="n">
        <v>0</v>
      </c>
      <c r="N594" t="n">
        <v>0</v>
      </c>
      <c r="O594" t="n">
        <v>0</v>
      </c>
      <c r="P594" t="n">
        <v>0</v>
      </c>
      <c r="Q594" t="n">
        <v>0</v>
      </c>
      <c r="R594" s="2" t="inlineStr"/>
    </row>
    <row r="595" ht="15" customHeight="1">
      <c r="A595" t="inlineStr">
        <is>
          <t>A 42590-2022</t>
        </is>
      </c>
      <c r="B595" s="1" t="n">
        <v>44831</v>
      </c>
      <c r="C595" s="1" t="n">
        <v>46059</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38883-2024</t>
        </is>
      </c>
      <c r="B596" s="1" t="n">
        <v>45547</v>
      </c>
      <c r="C596" s="1" t="n">
        <v>46059</v>
      </c>
      <c r="D596" t="inlineStr">
        <is>
          <t>SÖDERMANLANDS LÄN</t>
        </is>
      </c>
      <c r="E596" t="inlineStr">
        <is>
          <t>KATRINEHOLM</t>
        </is>
      </c>
      <c r="G596" t="n">
        <v>3.1</v>
      </c>
      <c r="H596" t="n">
        <v>0</v>
      </c>
      <c r="I596" t="n">
        <v>0</v>
      </c>
      <c r="J596" t="n">
        <v>0</v>
      </c>
      <c r="K596" t="n">
        <v>0</v>
      </c>
      <c r="L596" t="n">
        <v>0</v>
      </c>
      <c r="M596" t="n">
        <v>0</v>
      </c>
      <c r="N596" t="n">
        <v>0</v>
      </c>
      <c r="O596" t="n">
        <v>0</v>
      </c>
      <c r="P596" t="n">
        <v>0</v>
      </c>
      <c r="Q596" t="n">
        <v>0</v>
      </c>
      <c r="R596" s="2" t="inlineStr"/>
    </row>
    <row r="597" ht="15" customHeight="1">
      <c r="A597" t="inlineStr">
        <is>
          <t>A 4667-2024</t>
        </is>
      </c>
      <c r="B597" s="1" t="n">
        <v>45328.47</v>
      </c>
      <c r="C597" s="1" t="n">
        <v>46059</v>
      </c>
      <c r="D597" t="inlineStr">
        <is>
          <t>SÖDERMANLANDS LÄN</t>
        </is>
      </c>
      <c r="E597" t="inlineStr">
        <is>
          <t>KATRINEHOLM</t>
        </is>
      </c>
      <c r="F597" t="inlineStr">
        <is>
          <t>Övriga Aktiebolag</t>
        </is>
      </c>
      <c r="G597" t="n">
        <v>10.2</v>
      </c>
      <c r="H597" t="n">
        <v>0</v>
      </c>
      <c r="I597" t="n">
        <v>0</v>
      </c>
      <c r="J597" t="n">
        <v>0</v>
      </c>
      <c r="K597" t="n">
        <v>0</v>
      </c>
      <c r="L597" t="n">
        <v>0</v>
      </c>
      <c r="M597" t="n">
        <v>0</v>
      </c>
      <c r="N597" t="n">
        <v>0</v>
      </c>
      <c r="O597" t="n">
        <v>0</v>
      </c>
      <c r="P597" t="n">
        <v>0</v>
      </c>
      <c r="Q597" t="n">
        <v>0</v>
      </c>
      <c r="R597" s="2" t="inlineStr"/>
    </row>
    <row r="598" ht="15" customHeight="1">
      <c r="A598" t="inlineStr">
        <is>
          <t>A 39704-2023</t>
        </is>
      </c>
      <c r="B598" s="1" t="n">
        <v>45167</v>
      </c>
      <c r="C598" s="1" t="n">
        <v>46059</v>
      </c>
      <c r="D598" t="inlineStr">
        <is>
          <t>SÖDERMANLANDS LÄN</t>
        </is>
      </c>
      <c r="E598" t="inlineStr">
        <is>
          <t>KATRINEHOLM</t>
        </is>
      </c>
      <c r="F598" t="inlineStr">
        <is>
          <t>Övriga Aktiebolag</t>
        </is>
      </c>
      <c r="G598" t="n">
        <v>3.4</v>
      </c>
      <c r="H598" t="n">
        <v>0</v>
      </c>
      <c r="I598" t="n">
        <v>0</v>
      </c>
      <c r="J598" t="n">
        <v>0</v>
      </c>
      <c r="K598" t="n">
        <v>0</v>
      </c>
      <c r="L598" t="n">
        <v>0</v>
      </c>
      <c r="M598" t="n">
        <v>0</v>
      </c>
      <c r="N598" t="n">
        <v>0</v>
      </c>
      <c r="O598" t="n">
        <v>0</v>
      </c>
      <c r="P598" t="n">
        <v>0</v>
      </c>
      <c r="Q598" t="n">
        <v>0</v>
      </c>
      <c r="R598" s="2" t="inlineStr"/>
    </row>
    <row r="599" ht="15" customHeight="1">
      <c r="A599" t="inlineStr">
        <is>
          <t>A 16087-2023</t>
        </is>
      </c>
      <c r="B599" s="1" t="n">
        <v>45026</v>
      </c>
      <c r="C599" s="1" t="n">
        <v>46059</v>
      </c>
      <c r="D599" t="inlineStr">
        <is>
          <t>SÖDERMANLANDS LÄN</t>
        </is>
      </c>
      <c r="E599" t="inlineStr">
        <is>
          <t>KATRINEHOLM</t>
        </is>
      </c>
      <c r="G599" t="n">
        <v>2</v>
      </c>
      <c r="H599" t="n">
        <v>0</v>
      </c>
      <c r="I599" t="n">
        <v>0</v>
      </c>
      <c r="J599" t="n">
        <v>0</v>
      </c>
      <c r="K599" t="n">
        <v>0</v>
      </c>
      <c r="L599" t="n">
        <v>0</v>
      </c>
      <c r="M599" t="n">
        <v>0</v>
      </c>
      <c r="N599" t="n">
        <v>0</v>
      </c>
      <c r="O599" t="n">
        <v>0</v>
      </c>
      <c r="P599" t="n">
        <v>0</v>
      </c>
      <c r="Q599" t="n">
        <v>0</v>
      </c>
      <c r="R599" s="2" t="inlineStr"/>
    </row>
    <row r="600" ht="15" customHeight="1">
      <c r="A600" t="inlineStr">
        <is>
          <t>A 28652-2024</t>
        </is>
      </c>
      <c r="B600" s="1" t="n">
        <v>45478</v>
      </c>
      <c r="C600" s="1" t="n">
        <v>46059</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42791-2023</t>
        </is>
      </c>
      <c r="B601" s="1" t="n">
        <v>45181.92876157408</v>
      </c>
      <c r="C601" s="1" t="n">
        <v>46059</v>
      </c>
      <c r="D601" t="inlineStr">
        <is>
          <t>SÖDERMANLANDS LÄN</t>
        </is>
      </c>
      <c r="E601" t="inlineStr">
        <is>
          <t>KATRINEHOLM</t>
        </is>
      </c>
      <c r="G601" t="n">
        <v>4.1</v>
      </c>
      <c r="H601" t="n">
        <v>0</v>
      </c>
      <c r="I601" t="n">
        <v>0</v>
      </c>
      <c r="J601" t="n">
        <v>0</v>
      </c>
      <c r="K601" t="n">
        <v>0</v>
      </c>
      <c r="L601" t="n">
        <v>0</v>
      </c>
      <c r="M601" t="n">
        <v>0</v>
      </c>
      <c r="N601" t="n">
        <v>0</v>
      </c>
      <c r="O601" t="n">
        <v>0</v>
      </c>
      <c r="P601" t="n">
        <v>0</v>
      </c>
      <c r="Q601" t="n">
        <v>0</v>
      </c>
      <c r="R601" s="2" t="inlineStr"/>
    </row>
    <row r="602" ht="15" customHeight="1">
      <c r="A602" t="inlineStr">
        <is>
          <t>A 42792-2023</t>
        </is>
      </c>
      <c r="B602" s="1" t="n">
        <v>45181.95491898148</v>
      </c>
      <c r="C602" s="1" t="n">
        <v>46059</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31740-2022</t>
        </is>
      </c>
      <c r="B603" s="1" t="n">
        <v>44776</v>
      </c>
      <c r="C603" s="1" t="n">
        <v>46059</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4679-2023</t>
        </is>
      </c>
      <c r="B604" s="1" t="n">
        <v>44957.44885416667</v>
      </c>
      <c r="C604" s="1" t="n">
        <v>46059</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48528-2021</t>
        </is>
      </c>
      <c r="B605" s="1" t="n">
        <v>44449</v>
      </c>
      <c r="C605" s="1" t="n">
        <v>46059</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48398-2022</t>
        </is>
      </c>
      <c r="B606" s="1" t="n">
        <v>44858.60809027778</v>
      </c>
      <c r="C606" s="1" t="n">
        <v>46059</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6753-2022</t>
        </is>
      </c>
      <c r="B607" s="1" t="n">
        <v>44602</v>
      </c>
      <c r="C607" s="1" t="n">
        <v>46059</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15184-2023</t>
        </is>
      </c>
      <c r="B608" s="1" t="n">
        <v>45016</v>
      </c>
      <c r="C608" s="1" t="n">
        <v>46059</v>
      </c>
      <c r="D608" t="inlineStr">
        <is>
          <t>SÖDERMANLANDS LÄN</t>
        </is>
      </c>
      <c r="E608" t="inlineStr">
        <is>
          <t>KATRINEHOLM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38826-2021</t>
        </is>
      </c>
      <c r="B609" s="1" t="n">
        <v>44411</v>
      </c>
      <c r="C609" s="1" t="n">
        <v>46059</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9388-2021</t>
        </is>
      </c>
      <c r="B610" s="1" t="n">
        <v>44250</v>
      </c>
      <c r="C610" s="1" t="n">
        <v>46059</v>
      </c>
      <c r="D610" t="inlineStr">
        <is>
          <t>SÖDERMANLANDS LÄN</t>
        </is>
      </c>
      <c r="E610" t="inlineStr">
        <is>
          <t>KATRINEHOLM</t>
        </is>
      </c>
      <c r="G610" t="n">
        <v>5.4</v>
      </c>
      <c r="H610" t="n">
        <v>0</v>
      </c>
      <c r="I610" t="n">
        <v>0</v>
      </c>
      <c r="J610" t="n">
        <v>0</v>
      </c>
      <c r="K610" t="n">
        <v>0</v>
      </c>
      <c r="L610" t="n">
        <v>0</v>
      </c>
      <c r="M610" t="n">
        <v>0</v>
      </c>
      <c r="N610" t="n">
        <v>0</v>
      </c>
      <c r="O610" t="n">
        <v>0</v>
      </c>
      <c r="P610" t="n">
        <v>0</v>
      </c>
      <c r="Q610" t="n">
        <v>0</v>
      </c>
      <c r="R610" s="2" t="inlineStr"/>
    </row>
    <row r="611" ht="15" customHeight="1">
      <c r="A611" t="inlineStr">
        <is>
          <t>A 29830-2023</t>
        </is>
      </c>
      <c r="B611" s="1" t="n">
        <v>45107</v>
      </c>
      <c r="C611" s="1" t="n">
        <v>46059</v>
      </c>
      <c r="D611" t="inlineStr">
        <is>
          <t>SÖDERMANLANDS LÄN</t>
        </is>
      </c>
      <c r="E611" t="inlineStr">
        <is>
          <t>KATRINEHOLM</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19098-2022</t>
        </is>
      </c>
      <c r="B612" s="1" t="n">
        <v>44691.52616898148</v>
      </c>
      <c r="C612" s="1" t="n">
        <v>46059</v>
      </c>
      <c r="D612" t="inlineStr">
        <is>
          <t>SÖDERMANLANDS LÄN</t>
        </is>
      </c>
      <c r="E612" t="inlineStr">
        <is>
          <t>KATRINEHOLM</t>
        </is>
      </c>
      <c r="G612" t="n">
        <v>5.5</v>
      </c>
      <c r="H612" t="n">
        <v>0</v>
      </c>
      <c r="I612" t="n">
        <v>0</v>
      </c>
      <c r="J612" t="n">
        <v>0</v>
      </c>
      <c r="K612" t="n">
        <v>0</v>
      </c>
      <c r="L612" t="n">
        <v>0</v>
      </c>
      <c r="M612" t="n">
        <v>0</v>
      </c>
      <c r="N612" t="n">
        <v>0</v>
      </c>
      <c r="O612" t="n">
        <v>0</v>
      </c>
      <c r="P612" t="n">
        <v>0</v>
      </c>
      <c r="Q612" t="n">
        <v>0</v>
      </c>
      <c r="R612" s="2" t="inlineStr"/>
    </row>
    <row r="613" ht="15" customHeight="1">
      <c r="A613" t="inlineStr">
        <is>
          <t>A 6628-2022</t>
        </is>
      </c>
      <c r="B613" s="1" t="n">
        <v>44601.78850694445</v>
      </c>
      <c r="C613" s="1" t="n">
        <v>46059</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72984-2021</t>
        </is>
      </c>
      <c r="B614" s="1" t="n">
        <v>44549.74741898148</v>
      </c>
      <c r="C614" s="1" t="n">
        <v>46059</v>
      </c>
      <c r="D614" t="inlineStr">
        <is>
          <t>SÖDERMANLANDS LÄN</t>
        </is>
      </c>
      <c r="E614" t="inlineStr">
        <is>
          <t>KATRINEHOLM</t>
        </is>
      </c>
      <c r="G614" t="n">
        <v>4.9</v>
      </c>
      <c r="H614" t="n">
        <v>0</v>
      </c>
      <c r="I614" t="n">
        <v>0</v>
      </c>
      <c r="J614" t="n">
        <v>0</v>
      </c>
      <c r="K614" t="n">
        <v>0</v>
      </c>
      <c r="L614" t="n">
        <v>0</v>
      </c>
      <c r="M614" t="n">
        <v>0</v>
      </c>
      <c r="N614" t="n">
        <v>0</v>
      </c>
      <c r="O614" t="n">
        <v>0</v>
      </c>
      <c r="P614" t="n">
        <v>0</v>
      </c>
      <c r="Q614" t="n">
        <v>0</v>
      </c>
      <c r="R614" s="2" t="inlineStr"/>
    </row>
    <row r="615" ht="15" customHeight="1">
      <c r="A615" t="inlineStr">
        <is>
          <t>A 2325-2023</t>
        </is>
      </c>
      <c r="B615" s="1" t="n">
        <v>44942</v>
      </c>
      <c r="C615" s="1" t="n">
        <v>46059</v>
      </c>
      <c r="D615" t="inlineStr">
        <is>
          <t>SÖDERMANLANDS LÄN</t>
        </is>
      </c>
      <c r="E615" t="inlineStr">
        <is>
          <t>KATRINEHOLM</t>
        </is>
      </c>
      <c r="G615" t="n">
        <v>5.6</v>
      </c>
      <c r="H615" t="n">
        <v>0</v>
      </c>
      <c r="I615" t="n">
        <v>0</v>
      </c>
      <c r="J615" t="n">
        <v>0</v>
      </c>
      <c r="K615" t="n">
        <v>0</v>
      </c>
      <c r="L615" t="n">
        <v>0</v>
      </c>
      <c r="M615" t="n">
        <v>0</v>
      </c>
      <c r="N615" t="n">
        <v>0</v>
      </c>
      <c r="O615" t="n">
        <v>0</v>
      </c>
      <c r="P615" t="n">
        <v>0</v>
      </c>
      <c r="Q615" t="n">
        <v>0</v>
      </c>
      <c r="R615" s="2" t="inlineStr"/>
    </row>
    <row r="616" ht="15" customHeight="1">
      <c r="A616" t="inlineStr">
        <is>
          <t>A 46011-2021</t>
        </is>
      </c>
      <c r="B616" s="1" t="n">
        <v>44441.88092592593</v>
      </c>
      <c r="C616" s="1" t="n">
        <v>46059</v>
      </c>
      <c r="D616" t="inlineStr">
        <is>
          <t>SÖDERMANLANDS LÄN</t>
        </is>
      </c>
      <c r="E616" t="inlineStr">
        <is>
          <t>KATRINEHOLM</t>
        </is>
      </c>
      <c r="G616" t="n">
        <v>4.7</v>
      </c>
      <c r="H616" t="n">
        <v>0</v>
      </c>
      <c r="I616" t="n">
        <v>0</v>
      </c>
      <c r="J616" t="n">
        <v>0</v>
      </c>
      <c r="K616" t="n">
        <v>0</v>
      </c>
      <c r="L616" t="n">
        <v>0</v>
      </c>
      <c r="M616" t="n">
        <v>0</v>
      </c>
      <c r="N616" t="n">
        <v>0</v>
      </c>
      <c r="O616" t="n">
        <v>0</v>
      </c>
      <c r="P616" t="n">
        <v>0</v>
      </c>
      <c r="Q616" t="n">
        <v>0</v>
      </c>
      <c r="R616" s="2" t="inlineStr"/>
    </row>
    <row r="617" ht="15" customHeight="1">
      <c r="A617" t="inlineStr">
        <is>
          <t>A 62140-2022</t>
        </is>
      </c>
      <c r="B617" s="1" t="n">
        <v>44922</v>
      </c>
      <c r="C617" s="1" t="n">
        <v>46059</v>
      </c>
      <c r="D617" t="inlineStr">
        <is>
          <t>SÖDERMANLANDS LÄN</t>
        </is>
      </c>
      <c r="E617" t="inlineStr">
        <is>
          <t>KATRINEHOLM</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33934-2022</t>
        </is>
      </c>
      <c r="B618" s="1" t="n">
        <v>44790</v>
      </c>
      <c r="C618" s="1" t="n">
        <v>46059</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13171-2024</t>
        </is>
      </c>
      <c r="B619" s="1" t="n">
        <v>45386</v>
      </c>
      <c r="C619" s="1" t="n">
        <v>46059</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59384-2022</t>
        </is>
      </c>
      <c r="B620" s="1" t="n">
        <v>44905</v>
      </c>
      <c r="C620" s="1" t="n">
        <v>46059</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13086-2023</t>
        </is>
      </c>
      <c r="B621" s="1" t="n">
        <v>45002.42188657408</v>
      </c>
      <c r="C621" s="1" t="n">
        <v>46059</v>
      </c>
      <c r="D621" t="inlineStr">
        <is>
          <t>SÖDERMANLANDS LÄN</t>
        </is>
      </c>
      <c r="E621" t="inlineStr">
        <is>
          <t>KATRINEHOLM</t>
        </is>
      </c>
      <c r="G621" t="n">
        <v>2.2</v>
      </c>
      <c r="H621" t="n">
        <v>0</v>
      </c>
      <c r="I621" t="n">
        <v>0</v>
      </c>
      <c r="J621" t="n">
        <v>0</v>
      </c>
      <c r="K621" t="n">
        <v>0</v>
      </c>
      <c r="L621" t="n">
        <v>0</v>
      </c>
      <c r="M621" t="n">
        <v>0</v>
      </c>
      <c r="N621" t="n">
        <v>0</v>
      </c>
      <c r="O621" t="n">
        <v>0</v>
      </c>
      <c r="P621" t="n">
        <v>0</v>
      </c>
      <c r="Q621" t="n">
        <v>0</v>
      </c>
      <c r="R621" s="2" t="inlineStr"/>
    </row>
    <row r="622" ht="15" customHeight="1">
      <c r="A622" t="inlineStr">
        <is>
          <t>A 19670-2022</t>
        </is>
      </c>
      <c r="B622" s="1" t="n">
        <v>44694</v>
      </c>
      <c r="C622" s="1" t="n">
        <v>46059</v>
      </c>
      <c r="D622" t="inlineStr">
        <is>
          <t>SÖDERMANLANDS LÄN</t>
        </is>
      </c>
      <c r="E622" t="inlineStr">
        <is>
          <t>KATRINEHOLM</t>
        </is>
      </c>
      <c r="G622" t="n">
        <v>13.6</v>
      </c>
      <c r="H622" t="n">
        <v>0</v>
      </c>
      <c r="I622" t="n">
        <v>0</v>
      </c>
      <c r="J622" t="n">
        <v>0</v>
      </c>
      <c r="K622" t="n">
        <v>0</v>
      </c>
      <c r="L622" t="n">
        <v>0</v>
      </c>
      <c r="M622" t="n">
        <v>0</v>
      </c>
      <c r="N622" t="n">
        <v>0</v>
      </c>
      <c r="O622" t="n">
        <v>0</v>
      </c>
      <c r="P622" t="n">
        <v>0</v>
      </c>
      <c r="Q622" t="n">
        <v>0</v>
      </c>
      <c r="R622" s="2" t="inlineStr"/>
    </row>
    <row r="623" ht="15" customHeight="1">
      <c r="A623" t="inlineStr">
        <is>
          <t>A 19107-2022</t>
        </is>
      </c>
      <c r="B623" s="1" t="n">
        <v>44691.54077546296</v>
      </c>
      <c r="C623" s="1" t="n">
        <v>46059</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30333-2023</t>
        </is>
      </c>
      <c r="B624" s="1" t="n">
        <v>45111</v>
      </c>
      <c r="C624" s="1" t="n">
        <v>46059</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6175-2023</t>
        </is>
      </c>
      <c r="B625" s="1" t="n">
        <v>44964</v>
      </c>
      <c r="C625" s="1" t="n">
        <v>46059</v>
      </c>
      <c r="D625" t="inlineStr">
        <is>
          <t>SÖDERMANLANDS LÄN</t>
        </is>
      </c>
      <c r="E625" t="inlineStr">
        <is>
          <t>KATRINEHOLM</t>
        </is>
      </c>
      <c r="G625" t="n">
        <v>11.2</v>
      </c>
      <c r="H625" t="n">
        <v>0</v>
      </c>
      <c r="I625" t="n">
        <v>0</v>
      </c>
      <c r="J625" t="n">
        <v>0</v>
      </c>
      <c r="K625" t="n">
        <v>0</v>
      </c>
      <c r="L625" t="n">
        <v>0</v>
      </c>
      <c r="M625" t="n">
        <v>0</v>
      </c>
      <c r="N625" t="n">
        <v>0</v>
      </c>
      <c r="O625" t="n">
        <v>0</v>
      </c>
      <c r="P625" t="n">
        <v>0</v>
      </c>
      <c r="Q625" t="n">
        <v>0</v>
      </c>
      <c r="R625" s="2" t="inlineStr"/>
    </row>
    <row r="626" ht="15" customHeight="1">
      <c r="A626" t="inlineStr">
        <is>
          <t>A 11875-2023</t>
        </is>
      </c>
      <c r="B626" s="1" t="n">
        <v>44995</v>
      </c>
      <c r="C626" s="1" t="n">
        <v>46059</v>
      </c>
      <c r="D626" t="inlineStr">
        <is>
          <t>SÖDERMANLANDS LÄN</t>
        </is>
      </c>
      <c r="E626" t="inlineStr">
        <is>
          <t>KATRINEHOLM</t>
        </is>
      </c>
      <c r="F626" t="inlineStr">
        <is>
          <t>Kommuner</t>
        </is>
      </c>
      <c r="G626" t="n">
        <v>1.1</v>
      </c>
      <c r="H626" t="n">
        <v>0</v>
      </c>
      <c r="I626" t="n">
        <v>0</v>
      </c>
      <c r="J626" t="n">
        <v>0</v>
      </c>
      <c r="K626" t="n">
        <v>0</v>
      </c>
      <c r="L626" t="n">
        <v>0</v>
      </c>
      <c r="M626" t="n">
        <v>0</v>
      </c>
      <c r="N626" t="n">
        <v>0</v>
      </c>
      <c r="O626" t="n">
        <v>0</v>
      </c>
      <c r="P626" t="n">
        <v>0</v>
      </c>
      <c r="Q626" t="n">
        <v>0</v>
      </c>
      <c r="R626" s="2" t="inlineStr"/>
    </row>
    <row r="627" ht="15" customHeight="1">
      <c r="A627" t="inlineStr">
        <is>
          <t>A 6796-2022</t>
        </is>
      </c>
      <c r="B627" s="1" t="n">
        <v>44602</v>
      </c>
      <c r="C627" s="1" t="n">
        <v>46059</v>
      </c>
      <c r="D627" t="inlineStr">
        <is>
          <t>SÖDERMANLANDS LÄN</t>
        </is>
      </c>
      <c r="E627" t="inlineStr">
        <is>
          <t>KATRINEHOLM</t>
        </is>
      </c>
      <c r="G627" t="n">
        <v>1.2</v>
      </c>
      <c r="H627" t="n">
        <v>0</v>
      </c>
      <c r="I627" t="n">
        <v>0</v>
      </c>
      <c r="J627" t="n">
        <v>0</v>
      </c>
      <c r="K627" t="n">
        <v>0</v>
      </c>
      <c r="L627" t="n">
        <v>0</v>
      </c>
      <c r="M627" t="n">
        <v>0</v>
      </c>
      <c r="N627" t="n">
        <v>0</v>
      </c>
      <c r="O627" t="n">
        <v>0</v>
      </c>
      <c r="P627" t="n">
        <v>0</v>
      </c>
      <c r="Q627" t="n">
        <v>0</v>
      </c>
      <c r="R627" s="2" t="inlineStr"/>
    </row>
    <row r="628" ht="15" customHeight="1">
      <c r="A628" t="inlineStr">
        <is>
          <t>A 13612-2023</t>
        </is>
      </c>
      <c r="B628" s="1" t="n">
        <v>45006</v>
      </c>
      <c r="C628" s="1" t="n">
        <v>46059</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39068-2022</t>
        </is>
      </c>
      <c r="B629" s="1" t="n">
        <v>44816</v>
      </c>
      <c r="C629" s="1" t="n">
        <v>46059</v>
      </c>
      <c r="D629" t="inlineStr">
        <is>
          <t>SÖDERMANLANDS LÄN</t>
        </is>
      </c>
      <c r="E629" t="inlineStr">
        <is>
          <t>KATRINEHOLM</t>
        </is>
      </c>
      <c r="G629" t="n">
        <v>3.6</v>
      </c>
      <c r="H629" t="n">
        <v>0</v>
      </c>
      <c r="I629" t="n">
        <v>0</v>
      </c>
      <c r="J629" t="n">
        <v>0</v>
      </c>
      <c r="K629" t="n">
        <v>0</v>
      </c>
      <c r="L629" t="n">
        <v>0</v>
      </c>
      <c r="M629" t="n">
        <v>0</v>
      </c>
      <c r="N629" t="n">
        <v>0</v>
      </c>
      <c r="O629" t="n">
        <v>0</v>
      </c>
      <c r="P629" t="n">
        <v>0</v>
      </c>
      <c r="Q629" t="n">
        <v>0</v>
      </c>
      <c r="R629" s="2" t="inlineStr"/>
    </row>
    <row r="630" ht="15" customHeight="1">
      <c r="A630" t="inlineStr">
        <is>
          <t>A 8765-2023</t>
        </is>
      </c>
      <c r="B630" s="1" t="n">
        <v>44978.52131944444</v>
      </c>
      <c r="C630" s="1" t="n">
        <v>46059</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57154-2023</t>
        </is>
      </c>
      <c r="B631" s="1" t="n">
        <v>45245</v>
      </c>
      <c r="C631" s="1" t="n">
        <v>46059</v>
      </c>
      <c r="D631" t="inlineStr">
        <is>
          <t>SÖDERMANLANDS LÄN</t>
        </is>
      </c>
      <c r="E631" t="inlineStr">
        <is>
          <t>KATRINEHOLM</t>
        </is>
      </c>
      <c r="F631" t="inlineStr">
        <is>
          <t>Allmännings- och besparingsskogar</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21959-2022</t>
        </is>
      </c>
      <c r="B632" s="1" t="n">
        <v>44708</v>
      </c>
      <c r="C632" s="1" t="n">
        <v>46059</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51530-2023</t>
        </is>
      </c>
      <c r="B633" s="1" t="n">
        <v>45222</v>
      </c>
      <c r="C633" s="1" t="n">
        <v>46059</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23916-2023</t>
        </is>
      </c>
      <c r="B634" s="1" t="n">
        <v>45075</v>
      </c>
      <c r="C634" s="1" t="n">
        <v>46059</v>
      </c>
      <c r="D634" t="inlineStr">
        <is>
          <t>SÖDERMANLANDS LÄN</t>
        </is>
      </c>
      <c r="E634" t="inlineStr">
        <is>
          <t>KATRINEHOLM</t>
        </is>
      </c>
      <c r="G634" t="n">
        <v>8</v>
      </c>
      <c r="H634" t="n">
        <v>0</v>
      </c>
      <c r="I634" t="n">
        <v>0</v>
      </c>
      <c r="J634" t="n">
        <v>0</v>
      </c>
      <c r="K634" t="n">
        <v>0</v>
      </c>
      <c r="L634" t="n">
        <v>0</v>
      </c>
      <c r="M634" t="n">
        <v>0</v>
      </c>
      <c r="N634" t="n">
        <v>0</v>
      </c>
      <c r="O634" t="n">
        <v>0</v>
      </c>
      <c r="P634" t="n">
        <v>0</v>
      </c>
      <c r="Q634" t="n">
        <v>0</v>
      </c>
      <c r="R634" s="2" t="inlineStr"/>
    </row>
    <row r="635" ht="15" customHeight="1">
      <c r="A635" t="inlineStr">
        <is>
          <t>A 38879-2024</t>
        </is>
      </c>
      <c r="B635" s="1" t="n">
        <v>45547</v>
      </c>
      <c r="C635" s="1" t="n">
        <v>46059</v>
      </c>
      <c r="D635" t="inlineStr">
        <is>
          <t>SÖDERMANLANDS LÄN</t>
        </is>
      </c>
      <c r="E635" t="inlineStr">
        <is>
          <t>KATRINEHOLM</t>
        </is>
      </c>
      <c r="G635" t="n">
        <v>2.6</v>
      </c>
      <c r="H635" t="n">
        <v>0</v>
      </c>
      <c r="I635" t="n">
        <v>0</v>
      </c>
      <c r="J635" t="n">
        <v>0</v>
      </c>
      <c r="K635" t="n">
        <v>0</v>
      </c>
      <c r="L635" t="n">
        <v>0</v>
      </c>
      <c r="M635" t="n">
        <v>0</v>
      </c>
      <c r="N635" t="n">
        <v>0</v>
      </c>
      <c r="O635" t="n">
        <v>0</v>
      </c>
      <c r="P635" t="n">
        <v>0</v>
      </c>
      <c r="Q635" t="n">
        <v>0</v>
      </c>
      <c r="R635" s="2" t="inlineStr"/>
    </row>
    <row r="636" ht="15" customHeight="1">
      <c r="A636" t="inlineStr">
        <is>
          <t>A 9437-2022</t>
        </is>
      </c>
      <c r="B636" s="1" t="n">
        <v>44616.69246527777</v>
      </c>
      <c r="C636" s="1" t="n">
        <v>46059</v>
      </c>
      <c r="D636" t="inlineStr">
        <is>
          <t>SÖDERMANLANDS LÄN</t>
        </is>
      </c>
      <c r="E636" t="inlineStr">
        <is>
          <t>KATRINEHOLM</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25362-2023</t>
        </is>
      </c>
      <c r="B637" s="1" t="n">
        <v>45088.83430555555</v>
      </c>
      <c r="C637" s="1" t="n">
        <v>46059</v>
      </c>
      <c r="D637" t="inlineStr">
        <is>
          <t>SÖDERMANLANDS LÄN</t>
        </is>
      </c>
      <c r="E637" t="inlineStr">
        <is>
          <t>KATRINEHOLM</t>
        </is>
      </c>
      <c r="G637" t="n">
        <v>1.5</v>
      </c>
      <c r="H637" t="n">
        <v>0</v>
      </c>
      <c r="I637" t="n">
        <v>0</v>
      </c>
      <c r="J637" t="n">
        <v>0</v>
      </c>
      <c r="K637" t="n">
        <v>0</v>
      </c>
      <c r="L637" t="n">
        <v>0</v>
      </c>
      <c r="M637" t="n">
        <v>0</v>
      </c>
      <c r="N637" t="n">
        <v>0</v>
      </c>
      <c r="O637" t="n">
        <v>0</v>
      </c>
      <c r="P637" t="n">
        <v>0</v>
      </c>
      <c r="Q637" t="n">
        <v>0</v>
      </c>
      <c r="R637" s="2" t="inlineStr"/>
    </row>
    <row r="638" ht="15" customHeight="1">
      <c r="A638" t="inlineStr">
        <is>
          <t>A 4662-2023</t>
        </is>
      </c>
      <c r="B638" s="1" t="n">
        <v>44957</v>
      </c>
      <c r="C638" s="1" t="n">
        <v>46059</v>
      </c>
      <c r="D638" t="inlineStr">
        <is>
          <t>SÖDERMANLANDS LÄN</t>
        </is>
      </c>
      <c r="E638" t="inlineStr">
        <is>
          <t>KATRINEHOLM</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19685-2022</t>
        </is>
      </c>
      <c r="B639" s="1" t="n">
        <v>44694</v>
      </c>
      <c r="C639" s="1" t="n">
        <v>46059</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62419-2023</t>
        </is>
      </c>
      <c r="B640" s="1" t="n">
        <v>45268</v>
      </c>
      <c r="C640" s="1" t="n">
        <v>46059</v>
      </c>
      <c r="D640" t="inlineStr">
        <is>
          <t>SÖDERMANLANDS LÄN</t>
        </is>
      </c>
      <c r="E640" t="inlineStr">
        <is>
          <t>KATRINEHOLM</t>
        </is>
      </c>
      <c r="G640" t="n">
        <v>9</v>
      </c>
      <c r="H640" t="n">
        <v>0</v>
      </c>
      <c r="I640" t="n">
        <v>0</v>
      </c>
      <c r="J640" t="n">
        <v>0</v>
      </c>
      <c r="K640" t="n">
        <v>0</v>
      </c>
      <c r="L640" t="n">
        <v>0</v>
      </c>
      <c r="M640" t="n">
        <v>0</v>
      </c>
      <c r="N640" t="n">
        <v>0</v>
      </c>
      <c r="O640" t="n">
        <v>0</v>
      </c>
      <c r="P640" t="n">
        <v>0</v>
      </c>
      <c r="Q640" t="n">
        <v>0</v>
      </c>
      <c r="R640" s="2" t="inlineStr"/>
    </row>
    <row r="641" ht="15" customHeight="1">
      <c r="A641" t="inlineStr">
        <is>
          <t>A 39897-2023</t>
        </is>
      </c>
      <c r="B641" s="1" t="n">
        <v>45168</v>
      </c>
      <c r="C641" s="1" t="n">
        <v>46059</v>
      </c>
      <c r="D641" t="inlineStr">
        <is>
          <t>SÖDERMANLANDS LÄN</t>
        </is>
      </c>
      <c r="E641" t="inlineStr">
        <is>
          <t>KATRINEHOLM</t>
        </is>
      </c>
      <c r="G641" t="n">
        <v>15.6</v>
      </c>
      <c r="H641" t="n">
        <v>0</v>
      </c>
      <c r="I641" t="n">
        <v>0</v>
      </c>
      <c r="J641" t="n">
        <v>0</v>
      </c>
      <c r="K641" t="n">
        <v>0</v>
      </c>
      <c r="L641" t="n">
        <v>0</v>
      </c>
      <c r="M641" t="n">
        <v>0</v>
      </c>
      <c r="N641" t="n">
        <v>0</v>
      </c>
      <c r="O641" t="n">
        <v>0</v>
      </c>
      <c r="P641" t="n">
        <v>0</v>
      </c>
      <c r="Q641" t="n">
        <v>0</v>
      </c>
      <c r="R641" s="2" t="inlineStr"/>
    </row>
    <row r="642" ht="15" customHeight="1">
      <c r="A642" t="inlineStr">
        <is>
          <t>A 23207-2023</t>
        </is>
      </c>
      <c r="B642" s="1" t="n">
        <v>45071</v>
      </c>
      <c r="C642" s="1" t="n">
        <v>46059</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42025-2022</t>
        </is>
      </c>
      <c r="B643" s="1" t="n">
        <v>44830.47399305556</v>
      </c>
      <c r="C643" s="1" t="n">
        <v>46059</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8791-2023</t>
        </is>
      </c>
      <c r="B644" s="1" t="n">
        <v>44978</v>
      </c>
      <c r="C644" s="1" t="n">
        <v>46059</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48253-2022</t>
        </is>
      </c>
      <c r="B645" s="1" t="n">
        <v>44858</v>
      </c>
      <c r="C645" s="1" t="n">
        <v>46059</v>
      </c>
      <c r="D645" t="inlineStr">
        <is>
          <t>SÖDERMANLANDS LÄN</t>
        </is>
      </c>
      <c r="E645" t="inlineStr">
        <is>
          <t>KATRINEHOLM</t>
        </is>
      </c>
      <c r="G645" t="n">
        <v>4.7</v>
      </c>
      <c r="H645" t="n">
        <v>0</v>
      </c>
      <c r="I645" t="n">
        <v>0</v>
      </c>
      <c r="J645" t="n">
        <v>0</v>
      </c>
      <c r="K645" t="n">
        <v>0</v>
      </c>
      <c r="L645" t="n">
        <v>0</v>
      </c>
      <c r="M645" t="n">
        <v>0</v>
      </c>
      <c r="N645" t="n">
        <v>0</v>
      </c>
      <c r="O645" t="n">
        <v>0</v>
      </c>
      <c r="P645" t="n">
        <v>0</v>
      </c>
      <c r="Q645" t="n">
        <v>0</v>
      </c>
      <c r="R645" s="2" t="inlineStr"/>
    </row>
    <row r="646" ht="15" customHeight="1">
      <c r="A646" t="inlineStr">
        <is>
          <t>A 53809-2021</t>
        </is>
      </c>
      <c r="B646" s="1" t="n">
        <v>44467</v>
      </c>
      <c r="C646" s="1" t="n">
        <v>46059</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31719-2024</t>
        </is>
      </c>
      <c r="B647" s="1" t="n">
        <v>45509</v>
      </c>
      <c r="C647" s="1" t="n">
        <v>46059</v>
      </c>
      <c r="D647" t="inlineStr">
        <is>
          <t>SÖDERMANLANDS LÄN</t>
        </is>
      </c>
      <c r="E647" t="inlineStr">
        <is>
          <t>KATRINEHOLM</t>
        </is>
      </c>
      <c r="F647" t="inlineStr">
        <is>
          <t>Kyrkan</t>
        </is>
      </c>
      <c r="G647" t="n">
        <v>11.9</v>
      </c>
      <c r="H647" t="n">
        <v>0</v>
      </c>
      <c r="I647" t="n">
        <v>0</v>
      </c>
      <c r="J647" t="n">
        <v>0</v>
      </c>
      <c r="K647" t="n">
        <v>0</v>
      </c>
      <c r="L647" t="n">
        <v>0</v>
      </c>
      <c r="M647" t="n">
        <v>0</v>
      </c>
      <c r="N647" t="n">
        <v>0</v>
      </c>
      <c r="O647" t="n">
        <v>0</v>
      </c>
      <c r="P647" t="n">
        <v>0</v>
      </c>
      <c r="Q647" t="n">
        <v>0</v>
      </c>
      <c r="R647" s="2" t="inlineStr"/>
    </row>
    <row r="648" ht="15" customHeight="1">
      <c r="A648" t="inlineStr">
        <is>
          <t>A 13175-2024</t>
        </is>
      </c>
      <c r="B648" s="1" t="n">
        <v>45386</v>
      </c>
      <c r="C648" s="1" t="n">
        <v>46059</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40744-2022</t>
        </is>
      </c>
      <c r="B649" s="1" t="n">
        <v>44824.55655092592</v>
      </c>
      <c r="C649" s="1" t="n">
        <v>46059</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8761-2023</t>
        </is>
      </c>
      <c r="B650" s="1" t="n">
        <v>44978.49685185185</v>
      </c>
      <c r="C650" s="1" t="n">
        <v>46059</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8778-2023</t>
        </is>
      </c>
      <c r="B651" s="1" t="n">
        <v>44978.5737037037</v>
      </c>
      <c r="C651" s="1" t="n">
        <v>46059</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8457-2023</t>
        </is>
      </c>
      <c r="B652" s="1" t="n">
        <v>44977</v>
      </c>
      <c r="C652" s="1" t="n">
        <v>46059</v>
      </c>
      <c r="D652" t="inlineStr">
        <is>
          <t>SÖDERMANLANDS LÄN</t>
        </is>
      </c>
      <c r="E652" t="inlineStr">
        <is>
          <t>KATRINEHOLM</t>
        </is>
      </c>
      <c r="F652" t="inlineStr">
        <is>
          <t>Allmännings- och besparingsskogar</t>
        </is>
      </c>
      <c r="G652" t="n">
        <v>16.1</v>
      </c>
      <c r="H652" t="n">
        <v>0</v>
      </c>
      <c r="I652" t="n">
        <v>0</v>
      </c>
      <c r="J652" t="n">
        <v>0</v>
      </c>
      <c r="K652" t="n">
        <v>0</v>
      </c>
      <c r="L652" t="n">
        <v>0</v>
      </c>
      <c r="M652" t="n">
        <v>0</v>
      </c>
      <c r="N652" t="n">
        <v>0</v>
      </c>
      <c r="O652" t="n">
        <v>0</v>
      </c>
      <c r="P652" t="n">
        <v>0</v>
      </c>
      <c r="Q652" t="n">
        <v>0</v>
      </c>
      <c r="R652" s="2" t="inlineStr"/>
    </row>
    <row r="653" ht="15" customHeight="1">
      <c r="A653" t="inlineStr">
        <is>
          <t>A 7056-2022</t>
        </is>
      </c>
      <c r="B653" s="1" t="n">
        <v>44603</v>
      </c>
      <c r="C653" s="1" t="n">
        <v>46059</v>
      </c>
      <c r="D653" t="inlineStr">
        <is>
          <t>SÖDERMANLANDS LÄN</t>
        </is>
      </c>
      <c r="E653" t="inlineStr">
        <is>
          <t>KATRINEHOLM</t>
        </is>
      </c>
      <c r="G653" t="n">
        <v>0.5</v>
      </c>
      <c r="H653" t="n">
        <v>0</v>
      </c>
      <c r="I653" t="n">
        <v>0</v>
      </c>
      <c r="J653" t="n">
        <v>0</v>
      </c>
      <c r="K653" t="n">
        <v>0</v>
      </c>
      <c r="L653" t="n">
        <v>0</v>
      </c>
      <c r="M653" t="n">
        <v>0</v>
      </c>
      <c r="N653" t="n">
        <v>0</v>
      </c>
      <c r="O653" t="n">
        <v>0</v>
      </c>
      <c r="P653" t="n">
        <v>0</v>
      </c>
      <c r="Q653" t="n">
        <v>0</v>
      </c>
      <c r="R653" s="2" t="inlineStr"/>
    </row>
    <row r="654" ht="15" customHeight="1">
      <c r="A654" t="inlineStr">
        <is>
          <t>A 32786-2022</t>
        </is>
      </c>
      <c r="B654" s="1" t="n">
        <v>44784</v>
      </c>
      <c r="C654" s="1" t="n">
        <v>46059</v>
      </c>
      <c r="D654" t="inlineStr">
        <is>
          <t>SÖDERMANLANDS LÄN</t>
        </is>
      </c>
      <c r="E654" t="inlineStr">
        <is>
          <t>KATRINEHOLM</t>
        </is>
      </c>
      <c r="G654" t="n">
        <v>7</v>
      </c>
      <c r="H654" t="n">
        <v>0</v>
      </c>
      <c r="I654" t="n">
        <v>0</v>
      </c>
      <c r="J654" t="n">
        <v>0</v>
      </c>
      <c r="K654" t="n">
        <v>0</v>
      </c>
      <c r="L654" t="n">
        <v>0</v>
      </c>
      <c r="M654" t="n">
        <v>0</v>
      </c>
      <c r="N654" t="n">
        <v>0</v>
      </c>
      <c r="O654" t="n">
        <v>0</v>
      </c>
      <c r="P654" t="n">
        <v>0</v>
      </c>
      <c r="Q654" t="n">
        <v>0</v>
      </c>
      <c r="R654" s="2" t="inlineStr"/>
    </row>
    <row r="655" ht="15" customHeight="1">
      <c r="A655" t="inlineStr">
        <is>
          <t>A 7223-2022</t>
        </is>
      </c>
      <c r="B655" s="1" t="n">
        <v>44603</v>
      </c>
      <c r="C655" s="1" t="n">
        <v>46059</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7459-2022</t>
        </is>
      </c>
      <c r="B656" s="1" t="n">
        <v>44607.35009259259</v>
      </c>
      <c r="C656" s="1" t="n">
        <v>46059</v>
      </c>
      <c r="D656" t="inlineStr">
        <is>
          <t>SÖDERMANLANDS LÄN</t>
        </is>
      </c>
      <c r="E656" t="inlineStr">
        <is>
          <t>KATRINEHOLM</t>
        </is>
      </c>
      <c r="G656" t="n">
        <v>2</v>
      </c>
      <c r="H656" t="n">
        <v>0</v>
      </c>
      <c r="I656" t="n">
        <v>0</v>
      </c>
      <c r="J656" t="n">
        <v>0</v>
      </c>
      <c r="K656" t="n">
        <v>0</v>
      </c>
      <c r="L656" t="n">
        <v>0</v>
      </c>
      <c r="M656" t="n">
        <v>0</v>
      </c>
      <c r="N656" t="n">
        <v>0</v>
      </c>
      <c r="O656" t="n">
        <v>0</v>
      </c>
      <c r="P656" t="n">
        <v>0</v>
      </c>
      <c r="Q656" t="n">
        <v>0</v>
      </c>
      <c r="R656" s="2" t="inlineStr"/>
    </row>
    <row r="657" ht="15" customHeight="1">
      <c r="A657" t="inlineStr">
        <is>
          <t>A 27375-2024</t>
        </is>
      </c>
      <c r="B657" s="1" t="n">
        <v>45473.87645833333</v>
      </c>
      <c r="C657" s="1" t="n">
        <v>46059</v>
      </c>
      <c r="D657" t="inlineStr">
        <is>
          <t>SÖDERMANLANDS LÄN</t>
        </is>
      </c>
      <c r="E657" t="inlineStr">
        <is>
          <t>KATRINEHOLM</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20768-2022</t>
        </is>
      </c>
      <c r="B658" s="1" t="n">
        <v>44701.36431712963</v>
      </c>
      <c r="C658" s="1" t="n">
        <v>46059</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15284-2023</t>
        </is>
      </c>
      <c r="B659" s="1" t="n">
        <v>45019</v>
      </c>
      <c r="C659" s="1" t="n">
        <v>46059</v>
      </c>
      <c r="D659" t="inlineStr">
        <is>
          <t>SÖDERMANLANDS LÄN</t>
        </is>
      </c>
      <c r="E659" t="inlineStr">
        <is>
          <t>KATRINEHOLM</t>
        </is>
      </c>
      <c r="F659" t="inlineStr">
        <is>
          <t>Allmännings- och besparingsskogar</t>
        </is>
      </c>
      <c r="G659" t="n">
        <v>17.4</v>
      </c>
      <c r="H659" t="n">
        <v>0</v>
      </c>
      <c r="I659" t="n">
        <v>0</v>
      </c>
      <c r="J659" t="n">
        <v>0</v>
      </c>
      <c r="K659" t="n">
        <v>0</v>
      </c>
      <c r="L659" t="n">
        <v>0</v>
      </c>
      <c r="M659" t="n">
        <v>0</v>
      </c>
      <c r="N659" t="n">
        <v>0</v>
      </c>
      <c r="O659" t="n">
        <v>0</v>
      </c>
      <c r="P659" t="n">
        <v>0</v>
      </c>
      <c r="Q659" t="n">
        <v>0</v>
      </c>
      <c r="R659" s="2" t="inlineStr"/>
    </row>
    <row r="660" ht="15" customHeight="1">
      <c r="A660" t="inlineStr">
        <is>
          <t>A 51613-2022</t>
        </is>
      </c>
      <c r="B660" s="1" t="n">
        <v>44871</v>
      </c>
      <c r="C660" s="1" t="n">
        <v>46059</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37834-2023</t>
        </is>
      </c>
      <c r="B661" s="1" t="n">
        <v>45160</v>
      </c>
      <c r="C661" s="1" t="n">
        <v>46059</v>
      </c>
      <c r="D661" t="inlineStr">
        <is>
          <t>SÖDERMANLANDS LÄN</t>
        </is>
      </c>
      <c r="E661" t="inlineStr">
        <is>
          <t>KATRINEHOLM</t>
        </is>
      </c>
      <c r="F661" t="inlineStr">
        <is>
          <t>Kyrkan</t>
        </is>
      </c>
      <c r="G661" t="n">
        <v>2.8</v>
      </c>
      <c r="H661" t="n">
        <v>0</v>
      </c>
      <c r="I661" t="n">
        <v>0</v>
      </c>
      <c r="J661" t="n">
        <v>0</v>
      </c>
      <c r="K661" t="n">
        <v>0</v>
      </c>
      <c r="L661" t="n">
        <v>0</v>
      </c>
      <c r="M661" t="n">
        <v>0</v>
      </c>
      <c r="N661" t="n">
        <v>0</v>
      </c>
      <c r="O661" t="n">
        <v>0</v>
      </c>
      <c r="P661" t="n">
        <v>0</v>
      </c>
      <c r="Q661" t="n">
        <v>0</v>
      </c>
      <c r="R661" s="2" t="inlineStr"/>
    </row>
    <row r="662" ht="15" customHeight="1">
      <c r="A662" t="inlineStr">
        <is>
          <t>A 8475-2023</t>
        </is>
      </c>
      <c r="B662" s="1" t="n">
        <v>44977</v>
      </c>
      <c r="C662" s="1" t="n">
        <v>46059</v>
      </c>
      <c r="D662" t="inlineStr">
        <is>
          <t>SÖDERMANLANDS LÄN</t>
        </is>
      </c>
      <c r="E662" t="inlineStr">
        <is>
          <t>KATRINEHOLM</t>
        </is>
      </c>
      <c r="F662" t="inlineStr">
        <is>
          <t>Allmännings- och besparingsskogar</t>
        </is>
      </c>
      <c r="G662" t="n">
        <v>8.1</v>
      </c>
      <c r="H662" t="n">
        <v>0</v>
      </c>
      <c r="I662" t="n">
        <v>0</v>
      </c>
      <c r="J662" t="n">
        <v>0</v>
      </c>
      <c r="K662" t="n">
        <v>0</v>
      </c>
      <c r="L662" t="n">
        <v>0</v>
      </c>
      <c r="M662" t="n">
        <v>0</v>
      </c>
      <c r="N662" t="n">
        <v>0</v>
      </c>
      <c r="O662" t="n">
        <v>0</v>
      </c>
      <c r="P662" t="n">
        <v>0</v>
      </c>
      <c r="Q662" t="n">
        <v>0</v>
      </c>
      <c r="R662" s="2" t="inlineStr"/>
    </row>
    <row r="663" ht="15" customHeight="1">
      <c r="A663" t="inlineStr">
        <is>
          <t>A 32890-2024</t>
        </is>
      </c>
      <c r="B663" s="1" t="n">
        <v>45516</v>
      </c>
      <c r="C663" s="1" t="n">
        <v>46059</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2320-2023</t>
        </is>
      </c>
      <c r="B664" s="1" t="n">
        <v>44942.58850694444</v>
      </c>
      <c r="C664" s="1" t="n">
        <v>46059</v>
      </c>
      <c r="D664" t="inlineStr">
        <is>
          <t>SÖDERMANLANDS LÄN</t>
        </is>
      </c>
      <c r="E664" t="inlineStr">
        <is>
          <t>KATRINEHOLM</t>
        </is>
      </c>
      <c r="G664" t="n">
        <v>1.9</v>
      </c>
      <c r="H664" t="n">
        <v>0</v>
      </c>
      <c r="I664" t="n">
        <v>0</v>
      </c>
      <c r="J664" t="n">
        <v>0</v>
      </c>
      <c r="K664" t="n">
        <v>0</v>
      </c>
      <c r="L664" t="n">
        <v>0</v>
      </c>
      <c r="M664" t="n">
        <v>0</v>
      </c>
      <c r="N664" t="n">
        <v>0</v>
      </c>
      <c r="O664" t="n">
        <v>0</v>
      </c>
      <c r="P664" t="n">
        <v>0</v>
      </c>
      <c r="Q664" t="n">
        <v>0</v>
      </c>
      <c r="R664" s="2" t="inlineStr"/>
    </row>
    <row r="665" ht="15" customHeight="1">
      <c r="A665" t="inlineStr">
        <is>
          <t>A 59898-2022</t>
        </is>
      </c>
      <c r="B665" s="1" t="n">
        <v>44908</v>
      </c>
      <c r="C665" s="1" t="n">
        <v>46059</v>
      </c>
      <c r="D665" t="inlineStr">
        <is>
          <t>SÖDERMANLANDS LÄN</t>
        </is>
      </c>
      <c r="E665" t="inlineStr">
        <is>
          <t>KATRINEHOLM</t>
        </is>
      </c>
      <c r="G665" t="n">
        <v>4.8</v>
      </c>
      <c r="H665" t="n">
        <v>0</v>
      </c>
      <c r="I665" t="n">
        <v>0</v>
      </c>
      <c r="J665" t="n">
        <v>0</v>
      </c>
      <c r="K665" t="n">
        <v>0</v>
      </c>
      <c r="L665" t="n">
        <v>0</v>
      </c>
      <c r="M665" t="n">
        <v>0</v>
      </c>
      <c r="N665" t="n">
        <v>0</v>
      </c>
      <c r="O665" t="n">
        <v>0</v>
      </c>
      <c r="P665" t="n">
        <v>0</v>
      </c>
      <c r="Q665" t="n">
        <v>0</v>
      </c>
      <c r="R665" s="2" t="inlineStr"/>
    </row>
    <row r="666" ht="15" customHeight="1">
      <c r="A666" t="inlineStr">
        <is>
          <t>A 20326-2023</t>
        </is>
      </c>
      <c r="B666" s="1" t="n">
        <v>45056.46821759259</v>
      </c>
      <c r="C666" s="1" t="n">
        <v>46059</v>
      </c>
      <c r="D666" t="inlineStr">
        <is>
          <t>SÖDERMANLANDS LÄN</t>
        </is>
      </c>
      <c r="E666" t="inlineStr">
        <is>
          <t>KATRINEHOLM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15392-2023</t>
        </is>
      </c>
      <c r="B667" s="1" t="n">
        <v>45016</v>
      </c>
      <c r="C667" s="1" t="n">
        <v>46059</v>
      </c>
      <c r="D667" t="inlineStr">
        <is>
          <t>SÖDERMANLANDS LÄN</t>
        </is>
      </c>
      <c r="E667" t="inlineStr">
        <is>
          <t>KATRINEHOLM</t>
        </is>
      </c>
      <c r="F667" t="inlineStr">
        <is>
          <t>Övriga Aktiebolag</t>
        </is>
      </c>
      <c r="G667" t="n">
        <v>2.7</v>
      </c>
      <c r="H667" t="n">
        <v>0</v>
      </c>
      <c r="I667" t="n">
        <v>0</v>
      </c>
      <c r="J667" t="n">
        <v>0</v>
      </c>
      <c r="K667" t="n">
        <v>0</v>
      </c>
      <c r="L667" t="n">
        <v>0</v>
      </c>
      <c r="M667" t="n">
        <v>0</v>
      </c>
      <c r="N667" t="n">
        <v>0</v>
      </c>
      <c r="O667" t="n">
        <v>0</v>
      </c>
      <c r="P667" t="n">
        <v>0</v>
      </c>
      <c r="Q667" t="n">
        <v>0</v>
      </c>
      <c r="R667" s="2" t="inlineStr"/>
    </row>
    <row r="668" ht="15" customHeight="1">
      <c r="A668" t="inlineStr">
        <is>
          <t>A 45246-2023</t>
        </is>
      </c>
      <c r="B668" s="1" t="n">
        <v>45191</v>
      </c>
      <c r="C668" s="1" t="n">
        <v>46059</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2735-2025</t>
        </is>
      </c>
      <c r="B669" s="1" t="n">
        <v>45677</v>
      </c>
      <c r="C669" s="1" t="n">
        <v>46059</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49914-2023</t>
        </is>
      </c>
      <c r="B670" s="1" t="n">
        <v>45214</v>
      </c>
      <c r="C670" s="1" t="n">
        <v>46059</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17335-2023</t>
        </is>
      </c>
      <c r="B671" s="1" t="n">
        <v>45033</v>
      </c>
      <c r="C671" s="1" t="n">
        <v>46059</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16605-2025</t>
        </is>
      </c>
      <c r="B672" s="1" t="n">
        <v>45753.61614583333</v>
      </c>
      <c r="C672" s="1" t="n">
        <v>46059</v>
      </c>
      <c r="D672" t="inlineStr">
        <is>
          <t>SÖDERMANLANDS LÄN</t>
        </is>
      </c>
      <c r="E672" t="inlineStr">
        <is>
          <t>KATRINEHOLM</t>
        </is>
      </c>
      <c r="G672" t="n">
        <v>5.2</v>
      </c>
      <c r="H672" t="n">
        <v>0</v>
      </c>
      <c r="I672" t="n">
        <v>0</v>
      </c>
      <c r="J672" t="n">
        <v>0</v>
      </c>
      <c r="K672" t="n">
        <v>0</v>
      </c>
      <c r="L672" t="n">
        <v>0</v>
      </c>
      <c r="M672" t="n">
        <v>0</v>
      </c>
      <c r="N672" t="n">
        <v>0</v>
      </c>
      <c r="O672" t="n">
        <v>0</v>
      </c>
      <c r="P672" t="n">
        <v>0</v>
      </c>
      <c r="Q672" t="n">
        <v>0</v>
      </c>
      <c r="R672" s="2" t="inlineStr"/>
    </row>
    <row r="673" ht="15" customHeight="1">
      <c r="A673" t="inlineStr">
        <is>
          <t>A 33141-2023</t>
        </is>
      </c>
      <c r="B673" s="1" t="n">
        <v>45126.65491898148</v>
      </c>
      <c r="C673" s="1" t="n">
        <v>46059</v>
      </c>
      <c r="D673" t="inlineStr">
        <is>
          <t>SÖDERMANLANDS LÄN</t>
        </is>
      </c>
      <c r="E673" t="inlineStr">
        <is>
          <t>KATRINEHOLM</t>
        </is>
      </c>
      <c r="G673" t="n">
        <v>1.4</v>
      </c>
      <c r="H673" t="n">
        <v>0</v>
      </c>
      <c r="I673" t="n">
        <v>0</v>
      </c>
      <c r="J673" t="n">
        <v>0</v>
      </c>
      <c r="K673" t="n">
        <v>0</v>
      </c>
      <c r="L673" t="n">
        <v>0</v>
      </c>
      <c r="M673" t="n">
        <v>0</v>
      </c>
      <c r="N673" t="n">
        <v>0</v>
      </c>
      <c r="O673" t="n">
        <v>0</v>
      </c>
      <c r="P673" t="n">
        <v>0</v>
      </c>
      <c r="Q673" t="n">
        <v>0</v>
      </c>
      <c r="R673" s="2" t="inlineStr"/>
    </row>
    <row r="674" ht="15" customHeight="1">
      <c r="A674" t="inlineStr">
        <is>
          <t>A 58528-2024</t>
        </is>
      </c>
      <c r="B674" s="1" t="n">
        <v>45635.44527777778</v>
      </c>
      <c r="C674" s="1" t="n">
        <v>46059</v>
      </c>
      <c r="D674" t="inlineStr">
        <is>
          <t>SÖDERMANLANDS LÄN</t>
        </is>
      </c>
      <c r="E674" t="inlineStr">
        <is>
          <t>KATRINEHOLM</t>
        </is>
      </c>
      <c r="G674" t="n">
        <v>2.4</v>
      </c>
      <c r="H674" t="n">
        <v>0</v>
      </c>
      <c r="I674" t="n">
        <v>0</v>
      </c>
      <c r="J674" t="n">
        <v>0</v>
      </c>
      <c r="K674" t="n">
        <v>0</v>
      </c>
      <c r="L674" t="n">
        <v>0</v>
      </c>
      <c r="M674" t="n">
        <v>0</v>
      </c>
      <c r="N674" t="n">
        <v>0</v>
      </c>
      <c r="O674" t="n">
        <v>0</v>
      </c>
      <c r="P674" t="n">
        <v>0</v>
      </c>
      <c r="Q674" t="n">
        <v>0</v>
      </c>
      <c r="R674" s="2" t="inlineStr"/>
    </row>
    <row r="675" ht="15" customHeight="1">
      <c r="A675" t="inlineStr">
        <is>
          <t>A 9899-2023</t>
        </is>
      </c>
      <c r="B675" s="1" t="n">
        <v>44985</v>
      </c>
      <c r="C675" s="1" t="n">
        <v>46059</v>
      </c>
      <c r="D675" t="inlineStr">
        <is>
          <t>SÖDERMANLANDS LÄN</t>
        </is>
      </c>
      <c r="E675" t="inlineStr">
        <is>
          <t>KATRINEHOLM</t>
        </is>
      </c>
      <c r="F675" t="inlineStr">
        <is>
          <t>Allmännings- och besparingsskogar</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8288-2023</t>
        </is>
      </c>
      <c r="B676" s="1" t="n">
        <v>44974</v>
      </c>
      <c r="C676" s="1" t="n">
        <v>46059</v>
      </c>
      <c r="D676" t="inlineStr">
        <is>
          <t>SÖDERMANLANDS LÄN</t>
        </is>
      </c>
      <c r="E676" t="inlineStr">
        <is>
          <t>KATRINEHOLM</t>
        </is>
      </c>
      <c r="F676" t="inlineStr">
        <is>
          <t>Allmännings- och besparingsskogar</t>
        </is>
      </c>
      <c r="G676" t="n">
        <v>5.6</v>
      </c>
      <c r="H676" t="n">
        <v>0</v>
      </c>
      <c r="I676" t="n">
        <v>0</v>
      </c>
      <c r="J676" t="n">
        <v>0</v>
      </c>
      <c r="K676" t="n">
        <v>0</v>
      </c>
      <c r="L676" t="n">
        <v>0</v>
      </c>
      <c r="M676" t="n">
        <v>0</v>
      </c>
      <c r="N676" t="n">
        <v>0</v>
      </c>
      <c r="O676" t="n">
        <v>0</v>
      </c>
      <c r="P676" t="n">
        <v>0</v>
      </c>
      <c r="Q676" t="n">
        <v>0</v>
      </c>
      <c r="R676" s="2" t="inlineStr"/>
    </row>
    <row r="677" ht="15" customHeight="1">
      <c r="A677" t="inlineStr">
        <is>
          <t>A 3317-2023</t>
        </is>
      </c>
      <c r="B677" s="1" t="n">
        <v>44945</v>
      </c>
      <c r="C677" s="1" t="n">
        <v>46059</v>
      </c>
      <c r="D677" t="inlineStr">
        <is>
          <t>SÖDERMANLANDS LÄN</t>
        </is>
      </c>
      <c r="E677" t="inlineStr">
        <is>
          <t>KATRINEHOLM</t>
        </is>
      </c>
      <c r="G677" t="n">
        <v>3.2</v>
      </c>
      <c r="H677" t="n">
        <v>0</v>
      </c>
      <c r="I677" t="n">
        <v>0</v>
      </c>
      <c r="J677" t="n">
        <v>0</v>
      </c>
      <c r="K677" t="n">
        <v>0</v>
      </c>
      <c r="L677" t="n">
        <v>0</v>
      </c>
      <c r="M677" t="n">
        <v>0</v>
      </c>
      <c r="N677" t="n">
        <v>0</v>
      </c>
      <c r="O677" t="n">
        <v>0</v>
      </c>
      <c r="P677" t="n">
        <v>0</v>
      </c>
      <c r="Q677" t="n">
        <v>0</v>
      </c>
      <c r="R677" s="2" t="inlineStr"/>
    </row>
    <row r="678" ht="15" customHeight="1">
      <c r="A678" t="inlineStr">
        <is>
          <t>A 37185-2023</t>
        </is>
      </c>
      <c r="B678" s="1" t="n">
        <v>45154</v>
      </c>
      <c r="C678" s="1" t="n">
        <v>46059</v>
      </c>
      <c r="D678" t="inlineStr">
        <is>
          <t>SÖDERMANLANDS LÄN</t>
        </is>
      </c>
      <c r="E678" t="inlineStr">
        <is>
          <t>KATRINEHOLM</t>
        </is>
      </c>
      <c r="G678" t="n">
        <v>3</v>
      </c>
      <c r="H678" t="n">
        <v>0</v>
      </c>
      <c r="I678" t="n">
        <v>0</v>
      </c>
      <c r="J678" t="n">
        <v>0</v>
      </c>
      <c r="K678" t="n">
        <v>0</v>
      </c>
      <c r="L678" t="n">
        <v>0</v>
      </c>
      <c r="M678" t="n">
        <v>0</v>
      </c>
      <c r="N678" t="n">
        <v>0</v>
      </c>
      <c r="O678" t="n">
        <v>0</v>
      </c>
      <c r="P678" t="n">
        <v>0</v>
      </c>
      <c r="Q678" t="n">
        <v>0</v>
      </c>
      <c r="R678" s="2" t="inlineStr"/>
    </row>
    <row r="679" ht="15" customHeight="1">
      <c r="A679" t="inlineStr">
        <is>
          <t>A 51848-2022</t>
        </is>
      </c>
      <c r="B679" s="1" t="n">
        <v>44872.57752314815</v>
      </c>
      <c r="C679" s="1" t="n">
        <v>46059</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49218-2023</t>
        </is>
      </c>
      <c r="B680" s="1" t="n">
        <v>45205</v>
      </c>
      <c r="C680" s="1" t="n">
        <v>46059</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55169-2022</t>
        </is>
      </c>
      <c r="B681" s="1" t="n">
        <v>44886</v>
      </c>
      <c r="C681" s="1" t="n">
        <v>46059</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1329-2025</t>
        </is>
      </c>
      <c r="B682" s="1" t="n">
        <v>45667</v>
      </c>
      <c r="C682" s="1" t="n">
        <v>46059</v>
      </c>
      <c r="D682" t="inlineStr">
        <is>
          <t>SÖDERMANLANDS LÄN</t>
        </is>
      </c>
      <c r="E682" t="inlineStr">
        <is>
          <t>KATRINEHOLM</t>
        </is>
      </c>
      <c r="G682" t="n">
        <v>2.7</v>
      </c>
      <c r="H682" t="n">
        <v>0</v>
      </c>
      <c r="I682" t="n">
        <v>0</v>
      </c>
      <c r="J682" t="n">
        <v>0</v>
      </c>
      <c r="K682" t="n">
        <v>0</v>
      </c>
      <c r="L682" t="n">
        <v>0</v>
      </c>
      <c r="M682" t="n">
        <v>0</v>
      </c>
      <c r="N682" t="n">
        <v>0</v>
      </c>
      <c r="O682" t="n">
        <v>0</v>
      </c>
      <c r="P682" t="n">
        <v>0</v>
      </c>
      <c r="Q682" t="n">
        <v>0</v>
      </c>
      <c r="R682" s="2" t="inlineStr"/>
    </row>
    <row r="683" ht="15" customHeight="1">
      <c r="A683" t="inlineStr">
        <is>
          <t>A 61398-2024</t>
        </is>
      </c>
      <c r="B683" s="1" t="n">
        <v>45646.42608796297</v>
      </c>
      <c r="C683" s="1" t="n">
        <v>46059</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24287-2024</t>
        </is>
      </c>
      <c r="B684" s="1" t="n">
        <v>45457</v>
      </c>
      <c r="C684" s="1" t="n">
        <v>46059</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8518-2023</t>
        </is>
      </c>
      <c r="B685" s="1" t="n">
        <v>44977</v>
      </c>
      <c r="C685" s="1" t="n">
        <v>46059</v>
      </c>
      <c r="D685" t="inlineStr">
        <is>
          <t>SÖDERMANLANDS LÄN</t>
        </is>
      </c>
      <c r="E685" t="inlineStr">
        <is>
          <t>KATRINEHOLM</t>
        </is>
      </c>
      <c r="F685" t="inlineStr">
        <is>
          <t>Allmännings- och besparingsskogar</t>
        </is>
      </c>
      <c r="G685" t="n">
        <v>35.3</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46059</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948-2023</t>
        </is>
      </c>
      <c r="B687" s="1" t="n">
        <v>44934</v>
      </c>
      <c r="C687" s="1" t="n">
        <v>46059</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37542-2022</t>
        </is>
      </c>
      <c r="B688" s="1" t="n">
        <v>44809</v>
      </c>
      <c r="C688" s="1" t="n">
        <v>46059</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41229-2022</t>
        </is>
      </c>
      <c r="B689" s="1" t="n">
        <v>44825</v>
      </c>
      <c r="C689" s="1" t="n">
        <v>46059</v>
      </c>
      <c r="D689" t="inlineStr">
        <is>
          <t>SÖDERMANLANDS LÄN</t>
        </is>
      </c>
      <c r="E689" t="inlineStr">
        <is>
          <t>KATRINEHOLM</t>
        </is>
      </c>
      <c r="G689" t="n">
        <v>3.8</v>
      </c>
      <c r="H689" t="n">
        <v>0</v>
      </c>
      <c r="I689" t="n">
        <v>0</v>
      </c>
      <c r="J689" t="n">
        <v>0</v>
      </c>
      <c r="K689" t="n">
        <v>0</v>
      </c>
      <c r="L689" t="n">
        <v>0</v>
      </c>
      <c r="M689" t="n">
        <v>0</v>
      </c>
      <c r="N689" t="n">
        <v>0</v>
      </c>
      <c r="O689" t="n">
        <v>0</v>
      </c>
      <c r="P689" t="n">
        <v>0</v>
      </c>
      <c r="Q689" t="n">
        <v>0</v>
      </c>
      <c r="R689" s="2" t="inlineStr"/>
    </row>
    <row r="690" ht="15" customHeight="1">
      <c r="A690" t="inlineStr">
        <is>
          <t>A 64652-2023</t>
        </is>
      </c>
      <c r="B690" s="1" t="n">
        <v>45281</v>
      </c>
      <c r="C690" s="1" t="n">
        <v>46059</v>
      </c>
      <c r="D690" t="inlineStr">
        <is>
          <t>SÖDERMANLANDS LÄN</t>
        </is>
      </c>
      <c r="E690" t="inlineStr">
        <is>
          <t>KATRINEHOLM</t>
        </is>
      </c>
      <c r="F690" t="inlineStr">
        <is>
          <t>Övriga Aktiebolag</t>
        </is>
      </c>
      <c r="G690" t="n">
        <v>2.2</v>
      </c>
      <c r="H690" t="n">
        <v>0</v>
      </c>
      <c r="I690" t="n">
        <v>0</v>
      </c>
      <c r="J690" t="n">
        <v>0</v>
      </c>
      <c r="K690" t="n">
        <v>0</v>
      </c>
      <c r="L690" t="n">
        <v>0</v>
      </c>
      <c r="M690" t="n">
        <v>0</v>
      </c>
      <c r="N690" t="n">
        <v>0</v>
      </c>
      <c r="O690" t="n">
        <v>0</v>
      </c>
      <c r="P690" t="n">
        <v>0</v>
      </c>
      <c r="Q690" t="n">
        <v>0</v>
      </c>
      <c r="R690" s="2" t="inlineStr"/>
    </row>
    <row r="691" ht="15" customHeight="1">
      <c r="A691" t="inlineStr">
        <is>
          <t>A 51404-2023</t>
        </is>
      </c>
      <c r="B691" s="1" t="n">
        <v>45214</v>
      </c>
      <c r="C691" s="1" t="n">
        <v>46059</v>
      </c>
      <c r="D691" t="inlineStr">
        <is>
          <t>SÖDERMANLANDS LÄN</t>
        </is>
      </c>
      <c r="E691" t="inlineStr">
        <is>
          <t>KATRINEHOLM</t>
        </is>
      </c>
      <c r="G691" t="n">
        <v>9</v>
      </c>
      <c r="H691" t="n">
        <v>0</v>
      </c>
      <c r="I691" t="n">
        <v>0</v>
      </c>
      <c r="J691" t="n">
        <v>0</v>
      </c>
      <c r="K691" t="n">
        <v>0</v>
      </c>
      <c r="L691" t="n">
        <v>0</v>
      </c>
      <c r="M691" t="n">
        <v>0</v>
      </c>
      <c r="N691" t="n">
        <v>0</v>
      </c>
      <c r="O691" t="n">
        <v>0</v>
      </c>
      <c r="P691" t="n">
        <v>0</v>
      </c>
      <c r="Q691" t="n">
        <v>0</v>
      </c>
      <c r="R691" s="2" t="inlineStr"/>
    </row>
    <row r="692" ht="15" customHeight="1">
      <c r="A692" t="inlineStr">
        <is>
          <t>A 41946-2022</t>
        </is>
      </c>
      <c r="B692" s="1" t="n">
        <v>44830.38502314815</v>
      </c>
      <c r="C692" s="1" t="n">
        <v>46059</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3115-2024</t>
        </is>
      </c>
      <c r="B693" s="1" t="n">
        <v>45316.49630787037</v>
      </c>
      <c r="C693" s="1" t="n">
        <v>46059</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61431-2024</t>
        </is>
      </c>
      <c r="B694" s="1" t="n">
        <v>45646.45950231481</v>
      </c>
      <c r="C694" s="1" t="n">
        <v>46059</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44659-2023</t>
        </is>
      </c>
      <c r="B695" s="1" t="n">
        <v>45189</v>
      </c>
      <c r="C695" s="1" t="n">
        <v>46059</v>
      </c>
      <c r="D695" t="inlineStr">
        <is>
          <t>SÖDERMANLANDS LÄN</t>
        </is>
      </c>
      <c r="E695" t="inlineStr">
        <is>
          <t>KATRINEHOLM</t>
        </is>
      </c>
      <c r="G695" t="n">
        <v>3.5</v>
      </c>
      <c r="H695" t="n">
        <v>0</v>
      </c>
      <c r="I695" t="n">
        <v>0</v>
      </c>
      <c r="J695" t="n">
        <v>0</v>
      </c>
      <c r="K695" t="n">
        <v>0</v>
      </c>
      <c r="L695" t="n">
        <v>0</v>
      </c>
      <c r="M695" t="n">
        <v>0</v>
      </c>
      <c r="N695" t="n">
        <v>0</v>
      </c>
      <c r="O695" t="n">
        <v>0</v>
      </c>
      <c r="P695" t="n">
        <v>0</v>
      </c>
      <c r="Q695" t="n">
        <v>0</v>
      </c>
      <c r="R695" s="2" t="inlineStr"/>
    </row>
    <row r="696" ht="15" customHeight="1">
      <c r="A696" t="inlineStr">
        <is>
          <t>A 51446-2023</t>
        </is>
      </c>
      <c r="B696" s="1" t="n">
        <v>45220.48068287037</v>
      </c>
      <c r="C696" s="1" t="n">
        <v>46059</v>
      </c>
      <c r="D696" t="inlineStr">
        <is>
          <t>SÖDERMANLANDS LÄN</t>
        </is>
      </c>
      <c r="E696" t="inlineStr">
        <is>
          <t>KATRINEHOLM</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27955-2023</t>
        </is>
      </c>
      <c r="B697" s="1" t="n">
        <v>45098</v>
      </c>
      <c r="C697" s="1" t="n">
        <v>46059</v>
      </c>
      <c r="D697" t="inlineStr">
        <is>
          <t>SÖDERMANLANDS LÄN</t>
        </is>
      </c>
      <c r="E697" t="inlineStr">
        <is>
          <t>KATRINEHOLM</t>
        </is>
      </c>
      <c r="G697" t="n">
        <v>5.9</v>
      </c>
      <c r="H697" t="n">
        <v>0</v>
      </c>
      <c r="I697" t="n">
        <v>0</v>
      </c>
      <c r="J697" t="n">
        <v>0</v>
      </c>
      <c r="K697" t="n">
        <v>0</v>
      </c>
      <c r="L697" t="n">
        <v>0</v>
      </c>
      <c r="M697" t="n">
        <v>0</v>
      </c>
      <c r="N697" t="n">
        <v>0</v>
      </c>
      <c r="O697" t="n">
        <v>0</v>
      </c>
      <c r="P697" t="n">
        <v>0</v>
      </c>
      <c r="Q697" t="n">
        <v>0</v>
      </c>
      <c r="R697" s="2" t="inlineStr"/>
    </row>
    <row r="698" ht="15" customHeight="1">
      <c r="A698" t="inlineStr">
        <is>
          <t>A 4669-2023</t>
        </is>
      </c>
      <c r="B698" s="1" t="n">
        <v>44957</v>
      </c>
      <c r="C698" s="1" t="n">
        <v>46059</v>
      </c>
      <c r="D698" t="inlineStr">
        <is>
          <t>SÖDERMANLANDS LÄN</t>
        </is>
      </c>
      <c r="E698" t="inlineStr">
        <is>
          <t>KATRINEHOLM</t>
        </is>
      </c>
      <c r="F698" t="inlineStr">
        <is>
          <t>Holmen skog AB</t>
        </is>
      </c>
      <c r="G698" t="n">
        <v>2.2</v>
      </c>
      <c r="H698" t="n">
        <v>0</v>
      </c>
      <c r="I698" t="n">
        <v>0</v>
      </c>
      <c r="J698" t="n">
        <v>0</v>
      </c>
      <c r="K698" t="n">
        <v>0</v>
      </c>
      <c r="L698" t="n">
        <v>0</v>
      </c>
      <c r="M698" t="n">
        <v>0</v>
      </c>
      <c r="N698" t="n">
        <v>0</v>
      </c>
      <c r="O698" t="n">
        <v>0</v>
      </c>
      <c r="P698" t="n">
        <v>0</v>
      </c>
      <c r="Q698" t="n">
        <v>0</v>
      </c>
      <c r="R698" s="2" t="inlineStr"/>
    </row>
    <row r="699" ht="15" customHeight="1">
      <c r="A699" t="inlineStr">
        <is>
          <t>A 4724-2023</t>
        </is>
      </c>
      <c r="B699" s="1" t="n">
        <v>44957</v>
      </c>
      <c r="C699" s="1" t="n">
        <v>46059</v>
      </c>
      <c r="D699" t="inlineStr">
        <is>
          <t>SÖDERMANLANDS LÄN</t>
        </is>
      </c>
      <c r="E699" t="inlineStr">
        <is>
          <t>KATRINEHOLM</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7197-2023</t>
        </is>
      </c>
      <c r="B700" s="1" t="n">
        <v>44965</v>
      </c>
      <c r="C700" s="1" t="n">
        <v>46059</v>
      </c>
      <c r="D700" t="inlineStr">
        <is>
          <t>SÖDERMANLANDS LÄN</t>
        </is>
      </c>
      <c r="E700" t="inlineStr">
        <is>
          <t>KATRINEHOLM</t>
        </is>
      </c>
      <c r="G700" t="n">
        <v>5.3</v>
      </c>
      <c r="H700" t="n">
        <v>0</v>
      </c>
      <c r="I700" t="n">
        <v>0</v>
      </c>
      <c r="J700" t="n">
        <v>0</v>
      </c>
      <c r="K700" t="n">
        <v>0</v>
      </c>
      <c r="L700" t="n">
        <v>0</v>
      </c>
      <c r="M700" t="n">
        <v>0</v>
      </c>
      <c r="N700" t="n">
        <v>0</v>
      </c>
      <c r="O700" t="n">
        <v>0</v>
      </c>
      <c r="P700" t="n">
        <v>0</v>
      </c>
      <c r="Q700" t="n">
        <v>0</v>
      </c>
      <c r="R700" s="2" t="inlineStr"/>
    </row>
    <row r="701" ht="15" customHeight="1">
      <c r="A701" t="inlineStr">
        <is>
          <t>A 6092-2025</t>
        </is>
      </c>
      <c r="B701" s="1" t="n">
        <v>45697</v>
      </c>
      <c r="C701" s="1" t="n">
        <v>46059</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5327-2025</t>
        </is>
      </c>
      <c r="B702" s="1" t="n">
        <v>45692</v>
      </c>
      <c r="C702" s="1" t="n">
        <v>46059</v>
      </c>
      <c r="D702" t="inlineStr">
        <is>
          <t>SÖDERMANLANDS LÄN</t>
        </is>
      </c>
      <c r="E702" t="inlineStr">
        <is>
          <t>KATRINEHOLM</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46059</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46059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50626-2024</t>
        </is>
      </c>
      <c r="B705" s="1" t="n">
        <v>45601</v>
      </c>
      <c r="C705" s="1" t="n">
        <v>46059</v>
      </c>
      <c r="D705" t="inlineStr">
        <is>
          <t>SÖDERMANLANDS LÄN</t>
        </is>
      </c>
      <c r="E705" t="inlineStr">
        <is>
          <t>KATRINEHOLM</t>
        </is>
      </c>
      <c r="G705" t="n">
        <v>1</v>
      </c>
      <c r="H705" t="n">
        <v>0</v>
      </c>
      <c r="I705" t="n">
        <v>0</v>
      </c>
      <c r="J705" t="n">
        <v>0</v>
      </c>
      <c r="K705" t="n">
        <v>0</v>
      </c>
      <c r="L705" t="n">
        <v>0</v>
      </c>
      <c r="M705" t="n">
        <v>0</v>
      </c>
      <c r="N705" t="n">
        <v>0</v>
      </c>
      <c r="O705" t="n">
        <v>0</v>
      </c>
      <c r="P705" t="n">
        <v>0</v>
      </c>
      <c r="Q705" t="n">
        <v>0</v>
      </c>
      <c r="R705" s="2" t="inlineStr"/>
    </row>
    <row r="706" ht="15" customHeight="1">
      <c r="A706" t="inlineStr">
        <is>
          <t>A 7398-2024</t>
        </is>
      </c>
      <c r="B706" s="1" t="n">
        <v>45345</v>
      </c>
      <c r="C706" s="1" t="n">
        <v>46059</v>
      </c>
      <c r="D706" t="inlineStr">
        <is>
          <t>SÖDERMANLANDS LÄN</t>
        </is>
      </c>
      <c r="E706" t="inlineStr">
        <is>
          <t>KATRINEHOLM</t>
        </is>
      </c>
      <c r="G706" t="n">
        <v>4.4</v>
      </c>
      <c r="H706" t="n">
        <v>0</v>
      </c>
      <c r="I706" t="n">
        <v>0</v>
      </c>
      <c r="J706" t="n">
        <v>0</v>
      </c>
      <c r="K706" t="n">
        <v>0</v>
      </c>
      <c r="L706" t="n">
        <v>0</v>
      </c>
      <c r="M706" t="n">
        <v>0</v>
      </c>
      <c r="N706" t="n">
        <v>0</v>
      </c>
      <c r="O706" t="n">
        <v>0</v>
      </c>
      <c r="P706" t="n">
        <v>0</v>
      </c>
      <c r="Q706" t="n">
        <v>0</v>
      </c>
      <c r="R706" s="2" t="inlineStr"/>
    </row>
    <row r="707" ht="15" customHeight="1">
      <c r="A707" t="inlineStr">
        <is>
          <t>A 14629-2023</t>
        </is>
      </c>
      <c r="B707" s="1" t="n">
        <v>45013</v>
      </c>
      <c r="C707" s="1" t="n">
        <v>46059</v>
      </c>
      <c r="D707" t="inlineStr">
        <is>
          <t>SÖDERMANLANDS LÄN</t>
        </is>
      </c>
      <c r="E707" t="inlineStr">
        <is>
          <t>KATRINEHOLM</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49116-2024</t>
        </is>
      </c>
      <c r="B708" s="1" t="n">
        <v>45594.6605787037</v>
      </c>
      <c r="C708" s="1" t="n">
        <v>46059</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2683-2025</t>
        </is>
      </c>
      <c r="B709" s="1" t="n">
        <v>45677</v>
      </c>
      <c r="C709" s="1" t="n">
        <v>46059</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61410-2024</t>
        </is>
      </c>
      <c r="B710" s="1" t="n">
        <v>45646.43950231482</v>
      </c>
      <c r="C710" s="1" t="n">
        <v>46059</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3315-2023</t>
        </is>
      </c>
      <c r="B711" s="1" t="n">
        <v>44945</v>
      </c>
      <c r="C711" s="1" t="n">
        <v>46059</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7867-2024</t>
        </is>
      </c>
      <c r="B712" s="1" t="n">
        <v>45350.32991898148</v>
      </c>
      <c r="C712" s="1" t="n">
        <v>46059</v>
      </c>
      <c r="D712" t="inlineStr">
        <is>
          <t>SÖDERMANLANDS LÄN</t>
        </is>
      </c>
      <c r="E712" t="inlineStr">
        <is>
          <t>KATRINEHOLM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38869-2024</t>
        </is>
      </c>
      <c r="B713" s="1" t="n">
        <v>45547</v>
      </c>
      <c r="C713" s="1" t="n">
        <v>46059</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39010-2021</t>
        </is>
      </c>
      <c r="B714" s="1" t="n">
        <v>44412</v>
      </c>
      <c r="C714" s="1" t="n">
        <v>46059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1091-2025</t>
        </is>
      </c>
      <c r="B715" s="1" t="n">
        <v>45666</v>
      </c>
      <c r="C715" s="1" t="n">
        <v>46059</v>
      </c>
      <c r="D715" t="inlineStr">
        <is>
          <t>SÖDERMANLANDS LÄN</t>
        </is>
      </c>
      <c r="E715" t="inlineStr">
        <is>
          <t>KATRINEHOLM</t>
        </is>
      </c>
      <c r="F715" t="inlineStr">
        <is>
          <t>Övriga Aktiebolag</t>
        </is>
      </c>
      <c r="G715" t="n">
        <v>0.8</v>
      </c>
      <c r="H715" t="n">
        <v>0</v>
      </c>
      <c r="I715" t="n">
        <v>0</v>
      </c>
      <c r="J715" t="n">
        <v>0</v>
      </c>
      <c r="K715" t="n">
        <v>0</v>
      </c>
      <c r="L715" t="n">
        <v>0</v>
      </c>
      <c r="M715" t="n">
        <v>0</v>
      </c>
      <c r="N715" t="n">
        <v>0</v>
      </c>
      <c r="O715" t="n">
        <v>0</v>
      </c>
      <c r="P715" t="n">
        <v>0</v>
      </c>
      <c r="Q715" t="n">
        <v>0</v>
      </c>
      <c r="R715" s="2" t="inlineStr"/>
    </row>
    <row r="716" ht="15" customHeight="1">
      <c r="A716" t="inlineStr">
        <is>
          <t>A 6311-2025</t>
        </is>
      </c>
      <c r="B716" s="1" t="n">
        <v>45698</v>
      </c>
      <c r="C716" s="1" t="n">
        <v>46059</v>
      </c>
      <c r="D716" t="inlineStr">
        <is>
          <t>SÖDERMANLANDS LÄN</t>
        </is>
      </c>
      <c r="E716" t="inlineStr">
        <is>
          <t>KATRINEHOLM</t>
        </is>
      </c>
      <c r="G716" t="n">
        <v>0.3</v>
      </c>
      <c r="H716" t="n">
        <v>0</v>
      </c>
      <c r="I716" t="n">
        <v>0</v>
      </c>
      <c r="J716" t="n">
        <v>0</v>
      </c>
      <c r="K716" t="n">
        <v>0</v>
      </c>
      <c r="L716" t="n">
        <v>0</v>
      </c>
      <c r="M716" t="n">
        <v>0</v>
      </c>
      <c r="N716" t="n">
        <v>0</v>
      </c>
      <c r="O716" t="n">
        <v>0</v>
      </c>
      <c r="P716" t="n">
        <v>0</v>
      </c>
      <c r="Q716" t="n">
        <v>0</v>
      </c>
      <c r="R716" s="2" t="inlineStr"/>
    </row>
    <row r="717" ht="15" customHeight="1">
      <c r="A717" t="inlineStr">
        <is>
          <t>A 23838-2021</t>
        </is>
      </c>
      <c r="B717" s="1" t="n">
        <v>44335</v>
      </c>
      <c r="C717" s="1" t="n">
        <v>46059</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32943-2024</t>
        </is>
      </c>
      <c r="B718" s="1" t="n">
        <v>45517</v>
      </c>
      <c r="C718" s="1" t="n">
        <v>46059</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22119-2025</t>
        </is>
      </c>
      <c r="B719" s="1" t="n">
        <v>45785</v>
      </c>
      <c r="C719" s="1" t="n">
        <v>46059</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22113-2025</t>
        </is>
      </c>
      <c r="B720" s="1" t="n">
        <v>45785</v>
      </c>
      <c r="C720" s="1" t="n">
        <v>46059</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24983-2024</t>
        </is>
      </c>
      <c r="B721" s="1" t="n">
        <v>45461</v>
      </c>
      <c r="C721" s="1" t="n">
        <v>46059</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22476-2025</t>
        </is>
      </c>
      <c r="B722" s="1" t="n">
        <v>45786</v>
      </c>
      <c r="C722" s="1" t="n">
        <v>46059</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22336-2025</t>
        </is>
      </c>
      <c r="B723" s="1" t="n">
        <v>45786.44217592593</v>
      </c>
      <c r="C723" s="1" t="n">
        <v>46059</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23050-2025</t>
        </is>
      </c>
      <c r="B724" s="1" t="n">
        <v>45790.69971064815</v>
      </c>
      <c r="C724" s="1" t="n">
        <v>46059</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24902-2024</t>
        </is>
      </c>
      <c r="B725" s="1" t="n">
        <v>45461</v>
      </c>
      <c r="C725" s="1" t="n">
        <v>46059</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2603-2025</t>
        </is>
      </c>
      <c r="B726" s="1" t="n">
        <v>45674</v>
      </c>
      <c r="C726" s="1" t="n">
        <v>46059</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24566-2025</t>
        </is>
      </c>
      <c r="B727" s="1" t="n">
        <v>45798.46452546296</v>
      </c>
      <c r="C727" s="1" t="n">
        <v>46059</v>
      </c>
      <c r="D727" t="inlineStr">
        <is>
          <t>SÖDERMANLANDS LÄN</t>
        </is>
      </c>
      <c r="E727" t="inlineStr">
        <is>
          <t>KATRINEHOLM</t>
        </is>
      </c>
      <c r="G727" t="n">
        <v>6.3</v>
      </c>
      <c r="H727" t="n">
        <v>0</v>
      </c>
      <c r="I727" t="n">
        <v>0</v>
      </c>
      <c r="J727" t="n">
        <v>0</v>
      </c>
      <c r="K727" t="n">
        <v>0</v>
      </c>
      <c r="L727" t="n">
        <v>0</v>
      </c>
      <c r="M727" t="n">
        <v>0</v>
      </c>
      <c r="N727" t="n">
        <v>0</v>
      </c>
      <c r="O727" t="n">
        <v>0</v>
      </c>
      <c r="P727" t="n">
        <v>0</v>
      </c>
      <c r="Q727" t="n">
        <v>0</v>
      </c>
      <c r="R727" s="2" t="inlineStr"/>
    </row>
    <row r="728" ht="15" customHeight="1">
      <c r="A728" t="inlineStr">
        <is>
          <t>A 24605-2025</t>
        </is>
      </c>
      <c r="B728" s="1" t="n">
        <v>45798.57403935185</v>
      </c>
      <c r="C728" s="1" t="n">
        <v>46059</v>
      </c>
      <c r="D728" t="inlineStr">
        <is>
          <t>SÖDERMANLANDS LÄN</t>
        </is>
      </c>
      <c r="E728" t="inlineStr">
        <is>
          <t>KATRINEHOLM</t>
        </is>
      </c>
      <c r="G728" t="n">
        <v>7</v>
      </c>
      <c r="H728" t="n">
        <v>0</v>
      </c>
      <c r="I728" t="n">
        <v>0</v>
      </c>
      <c r="J728" t="n">
        <v>0</v>
      </c>
      <c r="K728" t="n">
        <v>0</v>
      </c>
      <c r="L728" t="n">
        <v>0</v>
      </c>
      <c r="M728" t="n">
        <v>0</v>
      </c>
      <c r="N728" t="n">
        <v>0</v>
      </c>
      <c r="O728" t="n">
        <v>0</v>
      </c>
      <c r="P728" t="n">
        <v>0</v>
      </c>
      <c r="Q728" t="n">
        <v>0</v>
      </c>
      <c r="R728" s="2" t="inlineStr"/>
    </row>
    <row r="729" ht="15" customHeight="1">
      <c r="A729" t="inlineStr">
        <is>
          <t>A 56086-2023</t>
        </is>
      </c>
      <c r="B729" s="1" t="n">
        <v>45240</v>
      </c>
      <c r="C729" s="1" t="n">
        <v>46059</v>
      </c>
      <c r="D729" t="inlineStr">
        <is>
          <t>SÖDERMANLANDS LÄN</t>
        </is>
      </c>
      <c r="E729" t="inlineStr">
        <is>
          <t>KATRINEHOLM</t>
        </is>
      </c>
      <c r="F729" t="inlineStr">
        <is>
          <t>Kyrkan</t>
        </is>
      </c>
      <c r="G729" t="n">
        <v>17</v>
      </c>
      <c r="H729" t="n">
        <v>0</v>
      </c>
      <c r="I729" t="n">
        <v>0</v>
      </c>
      <c r="J729" t="n">
        <v>0</v>
      </c>
      <c r="K729" t="n">
        <v>0</v>
      </c>
      <c r="L729" t="n">
        <v>0</v>
      </c>
      <c r="M729" t="n">
        <v>0</v>
      </c>
      <c r="N729" t="n">
        <v>0</v>
      </c>
      <c r="O729" t="n">
        <v>0</v>
      </c>
      <c r="P729" t="n">
        <v>0</v>
      </c>
      <c r="Q729" t="n">
        <v>0</v>
      </c>
      <c r="R729" s="2" t="inlineStr"/>
    </row>
    <row r="730" ht="15" customHeight="1">
      <c r="A730" t="inlineStr">
        <is>
          <t>A 61423-2024</t>
        </is>
      </c>
      <c r="B730" s="1" t="n">
        <v>45646.45209490741</v>
      </c>
      <c r="C730" s="1" t="n">
        <v>46059</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41727-2024</t>
        </is>
      </c>
      <c r="B731" s="1" t="n">
        <v>45560</v>
      </c>
      <c r="C731" s="1" t="n">
        <v>46059</v>
      </c>
      <c r="D731" t="inlineStr">
        <is>
          <t>SÖDERMANLANDS LÄN</t>
        </is>
      </c>
      <c r="E731" t="inlineStr">
        <is>
          <t>KATRINEHOLM</t>
        </is>
      </c>
      <c r="G731" t="n">
        <v>3.9</v>
      </c>
      <c r="H731" t="n">
        <v>0</v>
      </c>
      <c r="I731" t="n">
        <v>0</v>
      </c>
      <c r="J731" t="n">
        <v>0</v>
      </c>
      <c r="K731" t="n">
        <v>0</v>
      </c>
      <c r="L731" t="n">
        <v>0</v>
      </c>
      <c r="M731" t="n">
        <v>0</v>
      </c>
      <c r="N731" t="n">
        <v>0</v>
      </c>
      <c r="O731" t="n">
        <v>0</v>
      </c>
      <c r="P731" t="n">
        <v>0</v>
      </c>
      <c r="Q731" t="n">
        <v>0</v>
      </c>
      <c r="R731" s="2" t="inlineStr"/>
    </row>
    <row r="732" ht="15" customHeight="1">
      <c r="A732" t="inlineStr">
        <is>
          <t>A 24717-2025</t>
        </is>
      </c>
      <c r="B732" s="1" t="n">
        <v>45799.27168981481</v>
      </c>
      <c r="C732" s="1" t="n">
        <v>46059</v>
      </c>
      <c r="D732" t="inlineStr">
        <is>
          <t>SÖDERMANLANDS LÄN</t>
        </is>
      </c>
      <c r="E732" t="inlineStr">
        <is>
          <t>KATRINEHOLM</t>
        </is>
      </c>
      <c r="G732" t="n">
        <v>24.5</v>
      </c>
      <c r="H732" t="n">
        <v>0</v>
      </c>
      <c r="I732" t="n">
        <v>0</v>
      </c>
      <c r="J732" t="n">
        <v>0</v>
      </c>
      <c r="K732" t="n">
        <v>0</v>
      </c>
      <c r="L732" t="n">
        <v>0</v>
      </c>
      <c r="M732" t="n">
        <v>0</v>
      </c>
      <c r="N732" t="n">
        <v>0</v>
      </c>
      <c r="O732" t="n">
        <v>0</v>
      </c>
      <c r="P732" t="n">
        <v>0</v>
      </c>
      <c r="Q732" t="n">
        <v>0</v>
      </c>
      <c r="R732" s="2" t="inlineStr"/>
    </row>
    <row r="733" ht="15" customHeight="1">
      <c r="A733" t="inlineStr">
        <is>
          <t>A 53999-2023</t>
        </is>
      </c>
      <c r="B733" s="1" t="n">
        <v>45231</v>
      </c>
      <c r="C733" s="1" t="n">
        <v>46059</v>
      </c>
      <c r="D733" t="inlineStr">
        <is>
          <t>SÖDERMANLANDS LÄN</t>
        </is>
      </c>
      <c r="E733" t="inlineStr">
        <is>
          <t>KATRINEHOLM</t>
        </is>
      </c>
      <c r="G733" t="n">
        <v>5.4</v>
      </c>
      <c r="H733" t="n">
        <v>0</v>
      </c>
      <c r="I733" t="n">
        <v>0</v>
      </c>
      <c r="J733" t="n">
        <v>0</v>
      </c>
      <c r="K733" t="n">
        <v>0</v>
      </c>
      <c r="L733" t="n">
        <v>0</v>
      </c>
      <c r="M733" t="n">
        <v>0</v>
      </c>
      <c r="N733" t="n">
        <v>0</v>
      </c>
      <c r="O733" t="n">
        <v>0</v>
      </c>
      <c r="P733" t="n">
        <v>0</v>
      </c>
      <c r="Q733" t="n">
        <v>0</v>
      </c>
      <c r="R733" s="2" t="inlineStr"/>
    </row>
    <row r="734" ht="15" customHeight="1">
      <c r="A734" t="inlineStr">
        <is>
          <t>A 24719-2025</t>
        </is>
      </c>
      <c r="B734" s="1" t="n">
        <v>45799</v>
      </c>
      <c r="C734" s="1" t="n">
        <v>46059</v>
      </c>
      <c r="D734" t="inlineStr">
        <is>
          <t>SÖDERMANLANDS LÄN</t>
        </is>
      </c>
      <c r="E734" t="inlineStr">
        <is>
          <t>KATRINEHOLM</t>
        </is>
      </c>
      <c r="G734" t="n">
        <v>1.8</v>
      </c>
      <c r="H734" t="n">
        <v>0</v>
      </c>
      <c r="I734" t="n">
        <v>0</v>
      </c>
      <c r="J734" t="n">
        <v>0</v>
      </c>
      <c r="K734" t="n">
        <v>0</v>
      </c>
      <c r="L734" t="n">
        <v>0</v>
      </c>
      <c r="M734" t="n">
        <v>0</v>
      </c>
      <c r="N734" t="n">
        <v>0</v>
      </c>
      <c r="O734" t="n">
        <v>0</v>
      </c>
      <c r="P734" t="n">
        <v>0</v>
      </c>
      <c r="Q734" t="n">
        <v>0</v>
      </c>
      <c r="R734" s="2" t="inlineStr"/>
    </row>
    <row r="735" ht="15" customHeight="1">
      <c r="A735" t="inlineStr">
        <is>
          <t>A 25786-2025</t>
        </is>
      </c>
      <c r="B735" s="1" t="n">
        <v>45804.37456018518</v>
      </c>
      <c r="C735" s="1" t="n">
        <v>46059</v>
      </c>
      <c r="D735" t="inlineStr">
        <is>
          <t>SÖDERMANLANDS LÄN</t>
        </is>
      </c>
      <c r="E735" t="inlineStr">
        <is>
          <t>KATRINEHOLM</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26154-2025</t>
        </is>
      </c>
      <c r="B736" s="1" t="n">
        <v>45805.43341435185</v>
      </c>
      <c r="C736" s="1" t="n">
        <v>46059</v>
      </c>
      <c r="D736" t="inlineStr">
        <is>
          <t>SÖDERMANLANDS LÄN</t>
        </is>
      </c>
      <c r="E736" t="inlineStr">
        <is>
          <t>KATRINEHOLM</t>
        </is>
      </c>
      <c r="G736" t="n">
        <v>4.5</v>
      </c>
      <c r="H736" t="n">
        <v>0</v>
      </c>
      <c r="I736" t="n">
        <v>0</v>
      </c>
      <c r="J736" t="n">
        <v>0</v>
      </c>
      <c r="K736" t="n">
        <v>0</v>
      </c>
      <c r="L736" t="n">
        <v>0</v>
      </c>
      <c r="M736" t="n">
        <v>0</v>
      </c>
      <c r="N736" t="n">
        <v>0</v>
      </c>
      <c r="O736" t="n">
        <v>0</v>
      </c>
      <c r="P736" t="n">
        <v>0</v>
      </c>
      <c r="Q736" t="n">
        <v>0</v>
      </c>
      <c r="R736" s="2" t="inlineStr"/>
    </row>
    <row r="737" ht="15" customHeight="1">
      <c r="A737" t="inlineStr">
        <is>
          <t>A 26156-2025</t>
        </is>
      </c>
      <c r="B737" s="1" t="n">
        <v>45805.43864583333</v>
      </c>
      <c r="C737" s="1" t="n">
        <v>46059</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27534-2025</t>
        </is>
      </c>
      <c r="B738" s="1" t="n">
        <v>45813</v>
      </c>
      <c r="C738" s="1" t="n">
        <v>46059</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27552-2025</t>
        </is>
      </c>
      <c r="B739" s="1" t="n">
        <v>45813</v>
      </c>
      <c r="C739" s="1" t="n">
        <v>46059</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27636-2025</t>
        </is>
      </c>
      <c r="B740" s="1" t="n">
        <v>45813.57603009259</v>
      </c>
      <c r="C740" s="1" t="n">
        <v>46059</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24600-2025</t>
        </is>
      </c>
      <c r="B741" s="1" t="n">
        <v>45798.56348379629</v>
      </c>
      <c r="C741" s="1" t="n">
        <v>46059</v>
      </c>
      <c r="D741" t="inlineStr">
        <is>
          <t>SÖDERMANLANDS LÄN</t>
        </is>
      </c>
      <c r="E741" t="inlineStr">
        <is>
          <t>KATRINEHOLM</t>
        </is>
      </c>
      <c r="G741" t="n">
        <v>1.7</v>
      </c>
      <c r="H741" t="n">
        <v>0</v>
      </c>
      <c r="I741" t="n">
        <v>0</v>
      </c>
      <c r="J741" t="n">
        <v>0</v>
      </c>
      <c r="K741" t="n">
        <v>0</v>
      </c>
      <c r="L741" t="n">
        <v>0</v>
      </c>
      <c r="M741" t="n">
        <v>0</v>
      </c>
      <c r="N741" t="n">
        <v>0</v>
      </c>
      <c r="O741" t="n">
        <v>0</v>
      </c>
      <c r="P741" t="n">
        <v>0</v>
      </c>
      <c r="Q741" t="n">
        <v>0</v>
      </c>
      <c r="R741" s="2" t="inlineStr"/>
    </row>
    <row r="742" ht="15" customHeight="1">
      <c r="A742" t="inlineStr">
        <is>
          <t>A 35608-2024</t>
        </is>
      </c>
      <c r="B742" s="1" t="n">
        <v>45531</v>
      </c>
      <c r="C742" s="1" t="n">
        <v>46059</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12633-2022</t>
        </is>
      </c>
      <c r="B743" s="1" t="n">
        <v>44638</v>
      </c>
      <c r="C743" s="1" t="n">
        <v>46059</v>
      </c>
      <c r="D743" t="inlineStr">
        <is>
          <t>SÖDERMANLANDS LÄN</t>
        </is>
      </c>
      <c r="E743" t="inlineStr">
        <is>
          <t>KATRINEHOLM</t>
        </is>
      </c>
      <c r="G743" t="n">
        <v>6.4</v>
      </c>
      <c r="H743" t="n">
        <v>0</v>
      </c>
      <c r="I743" t="n">
        <v>0</v>
      </c>
      <c r="J743" t="n">
        <v>0</v>
      </c>
      <c r="K743" t="n">
        <v>0</v>
      </c>
      <c r="L743" t="n">
        <v>0</v>
      </c>
      <c r="M743" t="n">
        <v>0</v>
      </c>
      <c r="N743" t="n">
        <v>0</v>
      </c>
      <c r="O743" t="n">
        <v>0</v>
      </c>
      <c r="P743" t="n">
        <v>0</v>
      </c>
      <c r="Q743" t="n">
        <v>0</v>
      </c>
      <c r="R743" s="2" t="inlineStr"/>
    </row>
    <row r="744" ht="15" customHeight="1">
      <c r="A744" t="inlineStr">
        <is>
          <t>A 29189-2025</t>
        </is>
      </c>
      <c r="B744" s="1" t="n">
        <v>45822</v>
      </c>
      <c r="C744" s="1" t="n">
        <v>46059</v>
      </c>
      <c r="D744" t="inlineStr">
        <is>
          <t>SÖDERMANLANDS LÄN</t>
        </is>
      </c>
      <c r="E744" t="inlineStr">
        <is>
          <t>KATRINEHOLM</t>
        </is>
      </c>
      <c r="G744" t="n">
        <v>3.5</v>
      </c>
      <c r="H744" t="n">
        <v>0</v>
      </c>
      <c r="I744" t="n">
        <v>0</v>
      </c>
      <c r="J744" t="n">
        <v>0</v>
      </c>
      <c r="K744" t="n">
        <v>0</v>
      </c>
      <c r="L744" t="n">
        <v>0</v>
      </c>
      <c r="M744" t="n">
        <v>0</v>
      </c>
      <c r="N744" t="n">
        <v>0</v>
      </c>
      <c r="O744" t="n">
        <v>0</v>
      </c>
      <c r="P744" t="n">
        <v>0</v>
      </c>
      <c r="Q744" t="n">
        <v>0</v>
      </c>
      <c r="R744" s="2" t="inlineStr"/>
    </row>
    <row r="745" ht="15" customHeight="1">
      <c r="A745" t="inlineStr">
        <is>
          <t>A 30050-2025</t>
        </is>
      </c>
      <c r="B745" s="1" t="n">
        <v>45826.59151620371</v>
      </c>
      <c r="C745" s="1" t="n">
        <v>46059</v>
      </c>
      <c r="D745" t="inlineStr">
        <is>
          <t>SÖDERMANLANDS LÄN</t>
        </is>
      </c>
      <c r="E745" t="inlineStr">
        <is>
          <t>KATRINEHOLM</t>
        </is>
      </c>
      <c r="G745" t="n">
        <v>7.9</v>
      </c>
      <c r="H745" t="n">
        <v>0</v>
      </c>
      <c r="I745" t="n">
        <v>0</v>
      </c>
      <c r="J745" t="n">
        <v>0</v>
      </c>
      <c r="K745" t="n">
        <v>0</v>
      </c>
      <c r="L745" t="n">
        <v>0</v>
      </c>
      <c r="M745" t="n">
        <v>0</v>
      </c>
      <c r="N745" t="n">
        <v>0</v>
      </c>
      <c r="O745" t="n">
        <v>0</v>
      </c>
      <c r="P745" t="n">
        <v>0</v>
      </c>
      <c r="Q745" t="n">
        <v>0</v>
      </c>
      <c r="R745" s="2" t="inlineStr"/>
    </row>
    <row r="746" ht="15" customHeight="1">
      <c r="A746" t="inlineStr">
        <is>
          <t>A 30070-2025</t>
        </is>
      </c>
      <c r="B746" s="1" t="n">
        <v>45826.63324074074</v>
      </c>
      <c r="C746" s="1" t="n">
        <v>46059</v>
      </c>
      <c r="D746" t="inlineStr">
        <is>
          <t>SÖDERMANLANDS LÄN</t>
        </is>
      </c>
      <c r="E746" t="inlineStr">
        <is>
          <t>KATRINEHOLM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30287-2025</t>
        </is>
      </c>
      <c r="B747" s="1" t="n">
        <v>45827</v>
      </c>
      <c r="C747" s="1" t="n">
        <v>46059</v>
      </c>
      <c r="D747" t="inlineStr">
        <is>
          <t>SÖDERMANLANDS LÄN</t>
        </is>
      </c>
      <c r="E747" t="inlineStr">
        <is>
          <t>KATRINEHOLM</t>
        </is>
      </c>
      <c r="G747" t="n">
        <v>10.2</v>
      </c>
      <c r="H747" t="n">
        <v>0</v>
      </c>
      <c r="I747" t="n">
        <v>0</v>
      </c>
      <c r="J747" t="n">
        <v>0</v>
      </c>
      <c r="K747" t="n">
        <v>0</v>
      </c>
      <c r="L747" t="n">
        <v>0</v>
      </c>
      <c r="M747" t="n">
        <v>0</v>
      </c>
      <c r="N747" t="n">
        <v>0</v>
      </c>
      <c r="O747" t="n">
        <v>0</v>
      </c>
      <c r="P747" t="n">
        <v>0</v>
      </c>
      <c r="Q747" t="n">
        <v>0</v>
      </c>
      <c r="R747" s="2" t="inlineStr"/>
    </row>
    <row r="748" ht="15" customHeight="1">
      <c r="A748" t="inlineStr">
        <is>
          <t>A 30350-2025</t>
        </is>
      </c>
      <c r="B748" s="1" t="n">
        <v>45827.53319444445</v>
      </c>
      <c r="C748" s="1" t="n">
        <v>46059</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30352-2025</t>
        </is>
      </c>
      <c r="B749" s="1" t="n">
        <v>45827</v>
      </c>
      <c r="C749" s="1" t="n">
        <v>46059</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30386-2025</t>
        </is>
      </c>
      <c r="B750" s="1" t="n">
        <v>45827</v>
      </c>
      <c r="C750" s="1" t="n">
        <v>46059</v>
      </c>
      <c r="D750" t="inlineStr">
        <is>
          <t>SÖDERMANLANDS LÄN</t>
        </is>
      </c>
      <c r="E750" t="inlineStr">
        <is>
          <t>KATRINEHOLM</t>
        </is>
      </c>
      <c r="G750" t="n">
        <v>5.6</v>
      </c>
      <c r="H750" t="n">
        <v>0</v>
      </c>
      <c r="I750" t="n">
        <v>0</v>
      </c>
      <c r="J750" t="n">
        <v>0</v>
      </c>
      <c r="K750" t="n">
        <v>0</v>
      </c>
      <c r="L750" t="n">
        <v>0</v>
      </c>
      <c r="M750" t="n">
        <v>0</v>
      </c>
      <c r="N750" t="n">
        <v>0</v>
      </c>
      <c r="O750" t="n">
        <v>0</v>
      </c>
      <c r="P750" t="n">
        <v>0</v>
      </c>
      <c r="Q750" t="n">
        <v>0</v>
      </c>
      <c r="R750" s="2" t="inlineStr"/>
    </row>
    <row r="751" ht="15" customHeight="1">
      <c r="A751" t="inlineStr">
        <is>
          <t>A 30402-2025</t>
        </is>
      </c>
      <c r="B751" s="1" t="n">
        <v>45827</v>
      </c>
      <c r="C751" s="1" t="n">
        <v>46059</v>
      </c>
      <c r="D751" t="inlineStr">
        <is>
          <t>SÖDERMANLANDS LÄN</t>
        </is>
      </c>
      <c r="E751" t="inlineStr">
        <is>
          <t>KATRINEHOLM</t>
        </is>
      </c>
      <c r="G751" t="n">
        <v>7.1</v>
      </c>
      <c r="H751" t="n">
        <v>0</v>
      </c>
      <c r="I751" t="n">
        <v>0</v>
      </c>
      <c r="J751" t="n">
        <v>0</v>
      </c>
      <c r="K751" t="n">
        <v>0</v>
      </c>
      <c r="L751" t="n">
        <v>0</v>
      </c>
      <c r="M751" t="n">
        <v>0</v>
      </c>
      <c r="N751" t="n">
        <v>0</v>
      </c>
      <c r="O751" t="n">
        <v>0</v>
      </c>
      <c r="P751" t="n">
        <v>0</v>
      </c>
      <c r="Q751" t="n">
        <v>0</v>
      </c>
      <c r="R751" s="2" t="inlineStr"/>
    </row>
    <row r="752" ht="15" customHeight="1">
      <c r="A752" t="inlineStr">
        <is>
          <t>A 31376-2025</t>
        </is>
      </c>
      <c r="B752" s="1" t="n">
        <v>45833</v>
      </c>
      <c r="C752" s="1" t="n">
        <v>46059</v>
      </c>
      <c r="D752" t="inlineStr">
        <is>
          <t>SÖDERMANLANDS LÄN</t>
        </is>
      </c>
      <c r="E752" t="inlineStr">
        <is>
          <t>KATRINEHOLM</t>
        </is>
      </c>
      <c r="G752" t="n">
        <v>1.6</v>
      </c>
      <c r="H752" t="n">
        <v>0</v>
      </c>
      <c r="I752" t="n">
        <v>0</v>
      </c>
      <c r="J752" t="n">
        <v>0</v>
      </c>
      <c r="K752" t="n">
        <v>0</v>
      </c>
      <c r="L752" t="n">
        <v>0</v>
      </c>
      <c r="M752" t="n">
        <v>0</v>
      </c>
      <c r="N752" t="n">
        <v>0</v>
      </c>
      <c r="O752" t="n">
        <v>0</v>
      </c>
      <c r="P752" t="n">
        <v>0</v>
      </c>
      <c r="Q752" t="n">
        <v>0</v>
      </c>
      <c r="R752" s="2" t="inlineStr"/>
    </row>
    <row r="753" ht="15" customHeight="1">
      <c r="A753" t="inlineStr">
        <is>
          <t>A 31392-2025</t>
        </is>
      </c>
      <c r="B753" s="1" t="n">
        <v>45833</v>
      </c>
      <c r="C753" s="1" t="n">
        <v>46059</v>
      </c>
      <c r="D753" t="inlineStr">
        <is>
          <t>SÖDERMANLANDS LÄN</t>
        </is>
      </c>
      <c r="E753" t="inlineStr">
        <is>
          <t>KATRINEHOLM</t>
        </is>
      </c>
      <c r="G753" t="n">
        <v>5</v>
      </c>
      <c r="H753" t="n">
        <v>0</v>
      </c>
      <c r="I753" t="n">
        <v>0</v>
      </c>
      <c r="J753" t="n">
        <v>0</v>
      </c>
      <c r="K753" t="n">
        <v>0</v>
      </c>
      <c r="L753" t="n">
        <v>0</v>
      </c>
      <c r="M753" t="n">
        <v>0</v>
      </c>
      <c r="N753" t="n">
        <v>0</v>
      </c>
      <c r="O753" t="n">
        <v>0</v>
      </c>
      <c r="P753" t="n">
        <v>0</v>
      </c>
      <c r="Q753" t="n">
        <v>0</v>
      </c>
      <c r="R753" s="2" t="inlineStr"/>
    </row>
    <row r="754" ht="15" customHeight="1">
      <c r="A754" t="inlineStr">
        <is>
          <t>A 31386-2025</t>
        </is>
      </c>
      <c r="B754" s="1" t="n">
        <v>45833.45259259259</v>
      </c>
      <c r="C754" s="1" t="n">
        <v>46059</v>
      </c>
      <c r="D754" t="inlineStr">
        <is>
          <t>SÖDERMANLANDS LÄN</t>
        </is>
      </c>
      <c r="E754" t="inlineStr">
        <is>
          <t>KATRINEHOLM</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31990-2025</t>
        </is>
      </c>
      <c r="B755" s="1" t="n">
        <v>45835.36697916667</v>
      </c>
      <c r="C755" s="1" t="n">
        <v>46059</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33090-2025</t>
        </is>
      </c>
      <c r="B756" s="1" t="n">
        <v>45840.46840277778</v>
      </c>
      <c r="C756" s="1" t="n">
        <v>46059</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33084-2025</t>
        </is>
      </c>
      <c r="B757" s="1" t="n">
        <v>45840.46559027778</v>
      </c>
      <c r="C757" s="1" t="n">
        <v>46059</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33577-2025</t>
        </is>
      </c>
      <c r="B758" s="1" t="n">
        <v>45841.59056712963</v>
      </c>
      <c r="C758" s="1" t="n">
        <v>46059</v>
      </c>
      <c r="D758" t="inlineStr">
        <is>
          <t>SÖDERMANLANDS LÄN</t>
        </is>
      </c>
      <c r="E758" t="inlineStr">
        <is>
          <t>KATRINEHOLM</t>
        </is>
      </c>
      <c r="F758" t="inlineStr">
        <is>
          <t>Holmen skog AB</t>
        </is>
      </c>
      <c r="G758" t="n">
        <v>0.3</v>
      </c>
      <c r="H758" t="n">
        <v>0</v>
      </c>
      <c r="I758" t="n">
        <v>0</v>
      </c>
      <c r="J758" t="n">
        <v>0</v>
      </c>
      <c r="K758" t="n">
        <v>0</v>
      </c>
      <c r="L758" t="n">
        <v>0</v>
      </c>
      <c r="M758" t="n">
        <v>0</v>
      </c>
      <c r="N758" t="n">
        <v>0</v>
      </c>
      <c r="O758" t="n">
        <v>0</v>
      </c>
      <c r="P758" t="n">
        <v>0</v>
      </c>
      <c r="Q758" t="n">
        <v>0</v>
      </c>
      <c r="R758" s="2" t="inlineStr"/>
    </row>
    <row r="759" ht="15" customHeight="1">
      <c r="A759" t="inlineStr">
        <is>
          <t>A 33812-2025</t>
        </is>
      </c>
      <c r="B759" s="1" t="n">
        <v>45842</v>
      </c>
      <c r="C759" s="1" t="n">
        <v>46059</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33815-2025</t>
        </is>
      </c>
      <c r="B760" s="1" t="n">
        <v>45842</v>
      </c>
      <c r="C760" s="1" t="n">
        <v>46059</v>
      </c>
      <c r="D760" t="inlineStr">
        <is>
          <t>SÖDERMANLANDS LÄN</t>
        </is>
      </c>
      <c r="E760" t="inlineStr">
        <is>
          <t>KATRINEHOLM</t>
        </is>
      </c>
      <c r="G760" t="n">
        <v>3.4</v>
      </c>
      <c r="H760" t="n">
        <v>0</v>
      </c>
      <c r="I760" t="n">
        <v>0</v>
      </c>
      <c r="J760" t="n">
        <v>0</v>
      </c>
      <c r="K760" t="n">
        <v>0</v>
      </c>
      <c r="L760" t="n">
        <v>0</v>
      </c>
      <c r="M760" t="n">
        <v>0</v>
      </c>
      <c r="N760" t="n">
        <v>0</v>
      </c>
      <c r="O760" t="n">
        <v>0</v>
      </c>
      <c r="P760" t="n">
        <v>0</v>
      </c>
      <c r="Q760" t="n">
        <v>0</v>
      </c>
      <c r="R760" s="2" t="inlineStr"/>
    </row>
    <row r="761" ht="15" customHeight="1">
      <c r="A761" t="inlineStr">
        <is>
          <t>A 6762-2025</t>
        </is>
      </c>
      <c r="B761" s="1" t="n">
        <v>45700</v>
      </c>
      <c r="C761" s="1" t="n">
        <v>46059</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20213-2025</t>
        </is>
      </c>
      <c r="B762" s="1" t="n">
        <v>45772.63453703704</v>
      </c>
      <c r="C762" s="1" t="n">
        <v>46059</v>
      </c>
      <c r="D762" t="inlineStr">
        <is>
          <t>SÖDERMANLANDS LÄN</t>
        </is>
      </c>
      <c r="E762" t="inlineStr">
        <is>
          <t>KATRINEHOLM</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35156-2025</t>
        </is>
      </c>
      <c r="B763" s="1" t="n">
        <v>45852</v>
      </c>
      <c r="C763" s="1" t="n">
        <v>46059</v>
      </c>
      <c r="D763" t="inlineStr">
        <is>
          <t>SÖDERMANLANDS LÄN</t>
        </is>
      </c>
      <c r="E763" t="inlineStr">
        <is>
          <t>KATRINEHOLM</t>
        </is>
      </c>
      <c r="G763" t="n">
        <v>5.7</v>
      </c>
      <c r="H763" t="n">
        <v>0</v>
      </c>
      <c r="I763" t="n">
        <v>0</v>
      </c>
      <c r="J763" t="n">
        <v>0</v>
      </c>
      <c r="K763" t="n">
        <v>0</v>
      </c>
      <c r="L763" t="n">
        <v>0</v>
      </c>
      <c r="M763" t="n">
        <v>0</v>
      </c>
      <c r="N763" t="n">
        <v>0</v>
      </c>
      <c r="O763" t="n">
        <v>0</v>
      </c>
      <c r="P763" t="n">
        <v>0</v>
      </c>
      <c r="Q763" t="n">
        <v>0</v>
      </c>
      <c r="R763" s="2" t="inlineStr"/>
    </row>
    <row r="764" ht="15" customHeight="1">
      <c r="A764" t="inlineStr">
        <is>
          <t>A 35152-2025</t>
        </is>
      </c>
      <c r="B764" s="1" t="n">
        <v>45852</v>
      </c>
      <c r="C764" s="1" t="n">
        <v>46059</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35165-2025</t>
        </is>
      </c>
      <c r="B765" s="1" t="n">
        <v>45852.72320601852</v>
      </c>
      <c r="C765" s="1" t="n">
        <v>46059</v>
      </c>
      <c r="D765" t="inlineStr">
        <is>
          <t>SÖDERMANLANDS LÄN</t>
        </is>
      </c>
      <c r="E765" t="inlineStr">
        <is>
          <t>KATRINEHOLM</t>
        </is>
      </c>
      <c r="F765" t="inlineStr">
        <is>
          <t>Övriga Aktiebolag</t>
        </is>
      </c>
      <c r="G765" t="n">
        <v>20.7</v>
      </c>
      <c r="H765" t="n">
        <v>0</v>
      </c>
      <c r="I765" t="n">
        <v>0</v>
      </c>
      <c r="J765" t="n">
        <v>0</v>
      </c>
      <c r="K765" t="n">
        <v>0</v>
      </c>
      <c r="L765" t="n">
        <v>0</v>
      </c>
      <c r="M765" t="n">
        <v>0</v>
      </c>
      <c r="N765" t="n">
        <v>0</v>
      </c>
      <c r="O765" t="n">
        <v>0</v>
      </c>
      <c r="P765" t="n">
        <v>0</v>
      </c>
      <c r="Q765" t="n">
        <v>0</v>
      </c>
      <c r="R765" s="2" t="inlineStr"/>
    </row>
    <row r="766" ht="15" customHeight="1">
      <c r="A766" t="inlineStr">
        <is>
          <t>A 35149-2025</t>
        </is>
      </c>
      <c r="B766" s="1" t="n">
        <v>45852</v>
      </c>
      <c r="C766" s="1" t="n">
        <v>46059</v>
      </c>
      <c r="D766" t="inlineStr">
        <is>
          <t>SÖDERMANLANDS LÄN</t>
        </is>
      </c>
      <c r="E766" t="inlineStr">
        <is>
          <t>KATRINEHOLM</t>
        </is>
      </c>
      <c r="G766" t="n">
        <v>2.3</v>
      </c>
      <c r="H766" t="n">
        <v>0</v>
      </c>
      <c r="I766" t="n">
        <v>0</v>
      </c>
      <c r="J766" t="n">
        <v>0</v>
      </c>
      <c r="K766" t="n">
        <v>0</v>
      </c>
      <c r="L766" t="n">
        <v>0</v>
      </c>
      <c r="M766" t="n">
        <v>0</v>
      </c>
      <c r="N766" t="n">
        <v>0</v>
      </c>
      <c r="O766" t="n">
        <v>0</v>
      </c>
      <c r="P766" t="n">
        <v>0</v>
      </c>
      <c r="Q766" t="n">
        <v>0</v>
      </c>
      <c r="R766" s="2" t="inlineStr"/>
    </row>
    <row r="767" ht="15" customHeight="1">
      <c r="A767" t="inlineStr">
        <is>
          <t>A 35161-2025</t>
        </is>
      </c>
      <c r="B767" s="1" t="n">
        <v>45852.70716435185</v>
      </c>
      <c r="C767" s="1" t="n">
        <v>46059</v>
      </c>
      <c r="D767" t="inlineStr">
        <is>
          <t>SÖDERMANLANDS LÄN</t>
        </is>
      </c>
      <c r="E767" t="inlineStr">
        <is>
          <t>KATRINEHOLM</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35084-2025</t>
        </is>
      </c>
      <c r="B768" s="1" t="n">
        <v>45852</v>
      </c>
      <c r="C768" s="1" t="n">
        <v>46059</v>
      </c>
      <c r="D768" t="inlineStr">
        <is>
          <t>SÖDERMANLANDS LÄN</t>
        </is>
      </c>
      <c r="E768" t="inlineStr">
        <is>
          <t>KATRINEHOLM</t>
        </is>
      </c>
      <c r="G768" t="n">
        <v>3.2</v>
      </c>
      <c r="H768" t="n">
        <v>0</v>
      </c>
      <c r="I768" t="n">
        <v>0</v>
      </c>
      <c r="J768" t="n">
        <v>0</v>
      </c>
      <c r="K768" t="n">
        <v>0</v>
      </c>
      <c r="L768" t="n">
        <v>0</v>
      </c>
      <c r="M768" t="n">
        <v>0</v>
      </c>
      <c r="N768" t="n">
        <v>0</v>
      </c>
      <c r="O768" t="n">
        <v>0</v>
      </c>
      <c r="P768" t="n">
        <v>0</v>
      </c>
      <c r="Q768" t="n">
        <v>0</v>
      </c>
      <c r="R768" s="2" t="inlineStr"/>
    </row>
    <row r="769" ht="15" customHeight="1">
      <c r="A769" t="inlineStr">
        <is>
          <t>A 35145-2025</t>
        </is>
      </c>
      <c r="B769" s="1" t="n">
        <v>45852</v>
      </c>
      <c r="C769" s="1" t="n">
        <v>46059</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34439-2025</t>
        </is>
      </c>
      <c r="B770" s="1" t="n">
        <v>45845</v>
      </c>
      <c r="C770" s="1" t="n">
        <v>46059</v>
      </c>
      <c r="D770" t="inlineStr">
        <is>
          <t>SÖDERMANLANDS LÄN</t>
        </is>
      </c>
      <c r="E770" t="inlineStr">
        <is>
          <t>KATRINEHOLM</t>
        </is>
      </c>
      <c r="G770" t="n">
        <v>1.4</v>
      </c>
      <c r="H770" t="n">
        <v>0</v>
      </c>
      <c r="I770" t="n">
        <v>0</v>
      </c>
      <c r="J770" t="n">
        <v>0</v>
      </c>
      <c r="K770" t="n">
        <v>0</v>
      </c>
      <c r="L770" t="n">
        <v>0</v>
      </c>
      <c r="M770" t="n">
        <v>0</v>
      </c>
      <c r="N770" t="n">
        <v>0</v>
      </c>
      <c r="O770" t="n">
        <v>0</v>
      </c>
      <c r="P770" t="n">
        <v>0</v>
      </c>
      <c r="Q770" t="n">
        <v>0</v>
      </c>
      <c r="R770" s="2" t="inlineStr"/>
    </row>
    <row r="771" ht="15" customHeight="1">
      <c r="A771" t="inlineStr">
        <is>
          <t>A 35157-2025</t>
        </is>
      </c>
      <c r="B771" s="1" t="n">
        <v>45852</v>
      </c>
      <c r="C771" s="1" t="n">
        <v>46059</v>
      </c>
      <c r="D771" t="inlineStr">
        <is>
          <t>SÖDERMANLANDS LÄN</t>
        </is>
      </c>
      <c r="E771" t="inlineStr">
        <is>
          <t>KATRINEHOLM</t>
        </is>
      </c>
      <c r="G771" t="n">
        <v>3.7</v>
      </c>
      <c r="H771" t="n">
        <v>0</v>
      </c>
      <c r="I771" t="n">
        <v>0</v>
      </c>
      <c r="J771" t="n">
        <v>0</v>
      </c>
      <c r="K771" t="n">
        <v>0</v>
      </c>
      <c r="L771" t="n">
        <v>0</v>
      </c>
      <c r="M771" t="n">
        <v>0</v>
      </c>
      <c r="N771" t="n">
        <v>0</v>
      </c>
      <c r="O771" t="n">
        <v>0</v>
      </c>
      <c r="P771" t="n">
        <v>0</v>
      </c>
      <c r="Q771" t="n">
        <v>0</v>
      </c>
      <c r="R771" s="2" t="inlineStr"/>
    </row>
    <row r="772" ht="15" customHeight="1">
      <c r="A772" t="inlineStr">
        <is>
          <t>A 35158-2025</t>
        </is>
      </c>
      <c r="B772" s="1" t="n">
        <v>45852</v>
      </c>
      <c r="C772" s="1" t="n">
        <v>46059</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34176-2025</t>
        </is>
      </c>
      <c r="B773" s="1" t="n">
        <v>45845</v>
      </c>
      <c r="C773" s="1" t="n">
        <v>46059</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c r="A774" t="inlineStr">
        <is>
          <t>A 44024-2021</t>
        </is>
      </c>
      <c r="B774" s="1" t="n">
        <v>44434</v>
      </c>
      <c r="C774" s="1" t="n">
        <v>46059</v>
      </c>
      <c r="D774" t="inlineStr">
        <is>
          <t>SÖDERMANLANDS LÄN</t>
        </is>
      </c>
      <c r="E774" t="inlineStr">
        <is>
          <t>KATRINEHOLM</t>
        </is>
      </c>
      <c r="G774" t="n">
        <v>13</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2026-02-06T11:10:26Z</dcterms:created>
  <dcterms:modified xmlns:dcterms="http://purl.org/dc/terms/" xmlns:xsi="http://www.w3.org/2001/XMLSchema-instance" xsi:type="dcterms:W3CDTF">2026-02-06T11:10:27Z</dcterms:modified>
</cp:coreProperties>
</file>