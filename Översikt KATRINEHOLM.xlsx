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46037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46037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46037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46037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46037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46037</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46037</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46037</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46037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46037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46037</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24718-2025</t>
        </is>
      </c>
      <c r="B23" s="1" t="n">
        <v>45799</v>
      </c>
      <c r="C23" s="1" t="n">
        <v>46037</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14655-2023</t>
        </is>
      </c>
      <c r="B24" s="1" t="n">
        <v>45013</v>
      </c>
      <c r="C24" s="1" t="n">
        <v>46037</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14858-2023</t>
        </is>
      </c>
      <c r="B25" s="1" t="n">
        <v>45014</v>
      </c>
      <c r="C25" s="1" t="n">
        <v>46037</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46037</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46037</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46037</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46037</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46037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46037</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46037</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46037</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56074-2022</t>
        </is>
      </c>
      <c r="B36" s="1" t="n">
        <v>44889</v>
      </c>
      <c r="C36" s="1" t="n">
        <v>46037</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27926-2025</t>
        </is>
      </c>
      <c r="B37" s="1" t="n">
        <v>45814</v>
      </c>
      <c r="C37" s="1" t="n">
        <v>46037</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46037</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41980-2025</t>
        </is>
      </c>
      <c r="B39" s="1" t="n">
        <v>45903</v>
      </c>
      <c r="C39" s="1" t="n">
        <v>46037</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8917-2024</t>
        </is>
      </c>
      <c r="B40" s="1" t="n">
        <v>45357.37618055556</v>
      </c>
      <c r="C40" s="1" t="n">
        <v>46037</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16458-2022</t>
        </is>
      </c>
      <c r="B41" s="1" t="n">
        <v>44671</v>
      </c>
      <c r="C41" s="1" t="n">
        <v>46037</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46037</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48199-2025</t>
        </is>
      </c>
      <c r="B43" s="1" t="n">
        <v>45933.47856481482</v>
      </c>
      <c r="C43" s="1" t="n">
        <v>46037</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35163-2025</t>
        </is>
      </c>
      <c r="B44" s="1" t="n">
        <v>45852.71136574074</v>
      </c>
      <c r="C44" s="1" t="n">
        <v>46037</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46037</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46037</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46037</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55700-2025</t>
        </is>
      </c>
      <c r="B48" s="1" t="n">
        <v>45972.45605324074</v>
      </c>
      <c r="C48" s="1" t="n">
        <v>46037</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46037</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63946-2025</t>
        </is>
      </c>
      <c r="B50" s="1" t="n">
        <v>46010</v>
      </c>
      <c r="C50" s="1" t="n">
        <v>46037</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36220-2022</t>
        </is>
      </c>
      <c r="B51" s="1" t="n">
        <v>44803</v>
      </c>
      <c r="C51" s="1" t="n">
        <v>46037</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46037</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62957-2025</t>
        </is>
      </c>
      <c r="B53" s="1" t="n">
        <v>46009</v>
      </c>
      <c r="C53" s="1" t="n">
        <v>46037</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46037</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46037</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46037</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46037</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46037</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46037</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46037</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46037</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46037</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22474-2025</t>
        </is>
      </c>
      <c r="B63" s="1" t="n">
        <v>45786.62152777778</v>
      </c>
      <c r="C63" s="1" t="n">
        <v>46037</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36856-2021</t>
        </is>
      </c>
      <c r="B64" s="1" t="n">
        <v>44393</v>
      </c>
      <c r="C64" s="1" t="n">
        <v>46037</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46037</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46037</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46037</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46037</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46037</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46037</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48166-2022</t>
        </is>
      </c>
      <c r="B71" s="1" t="n">
        <v>44853</v>
      </c>
      <c r="C71" s="1" t="n">
        <v>46037</v>
      </c>
      <c r="D71" t="inlineStr">
        <is>
          <t>SÖDERMANLANDS LÄN</t>
        </is>
      </c>
      <c r="E71" t="inlineStr">
        <is>
          <t>KATRINEHOLM</t>
        </is>
      </c>
      <c r="F71" t="inlineStr">
        <is>
          <t>Övriga statliga verk och myndigheter</t>
        </is>
      </c>
      <c r="G71" t="n">
        <v>0.6</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46037</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46037</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46037</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46037</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46037</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46037</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11893-2021</t>
        </is>
      </c>
      <c r="B78" s="1" t="n">
        <v>44265</v>
      </c>
      <c r="C78" s="1" t="n">
        <v>46037</v>
      </c>
      <c r="D78" t="inlineStr">
        <is>
          <t>SÖDERMANLANDS LÄN</t>
        </is>
      </c>
      <c r="E78" t="inlineStr">
        <is>
          <t>KATRINEHOLM</t>
        </is>
      </c>
      <c r="G78" t="n">
        <v>7.1</v>
      </c>
      <c r="H78" t="n">
        <v>0</v>
      </c>
      <c r="I78" t="n">
        <v>0</v>
      </c>
      <c r="J78" t="n">
        <v>0</v>
      </c>
      <c r="K78" t="n">
        <v>0</v>
      </c>
      <c r="L78" t="n">
        <v>0</v>
      </c>
      <c r="M78" t="n">
        <v>0</v>
      </c>
      <c r="N78" t="n">
        <v>0</v>
      </c>
      <c r="O78" t="n">
        <v>0</v>
      </c>
      <c r="P78" t="n">
        <v>0</v>
      </c>
      <c r="Q78" t="n">
        <v>0</v>
      </c>
      <c r="R78" s="2" t="inlineStr"/>
    </row>
    <row r="79" ht="15" customHeight="1">
      <c r="A79" t="inlineStr">
        <is>
          <t>A 41141-2021</t>
        </is>
      </c>
      <c r="B79" s="1" t="n">
        <v>44423</v>
      </c>
      <c r="C79" s="1" t="n">
        <v>46037</v>
      </c>
      <c r="D79" t="inlineStr">
        <is>
          <t>SÖDERMANLANDS LÄN</t>
        </is>
      </c>
      <c r="E79" t="inlineStr">
        <is>
          <t>KATRINEHOLM</t>
        </is>
      </c>
      <c r="G79" t="n">
        <v>1.8</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46037</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65188-2021</t>
        </is>
      </c>
      <c r="B81" s="1" t="n">
        <v>44512</v>
      </c>
      <c r="C81" s="1" t="n">
        <v>46037</v>
      </c>
      <c r="D81" t="inlineStr">
        <is>
          <t>SÖDERMANLANDS LÄN</t>
        </is>
      </c>
      <c r="E81" t="inlineStr">
        <is>
          <t>KATRINEHOLM</t>
        </is>
      </c>
      <c r="G81" t="n">
        <v>0.6</v>
      </c>
      <c r="H81" t="n">
        <v>0</v>
      </c>
      <c r="I81" t="n">
        <v>0</v>
      </c>
      <c r="J81" t="n">
        <v>0</v>
      </c>
      <c r="K81" t="n">
        <v>0</v>
      </c>
      <c r="L81" t="n">
        <v>0</v>
      </c>
      <c r="M81" t="n">
        <v>0</v>
      </c>
      <c r="N81" t="n">
        <v>0</v>
      </c>
      <c r="O81" t="n">
        <v>0</v>
      </c>
      <c r="P81" t="n">
        <v>0</v>
      </c>
      <c r="Q81" t="n">
        <v>0</v>
      </c>
      <c r="R81" s="2" t="inlineStr"/>
    </row>
    <row r="82" ht="15" customHeight="1">
      <c r="A82" t="inlineStr">
        <is>
          <t>A 12063-2021</t>
        </is>
      </c>
      <c r="B82" s="1" t="n">
        <v>44266</v>
      </c>
      <c r="C82" s="1" t="n">
        <v>46037</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12070-2021</t>
        </is>
      </c>
      <c r="B83" s="1" t="n">
        <v>44266</v>
      </c>
      <c r="C83" s="1" t="n">
        <v>46037</v>
      </c>
      <c r="D83" t="inlineStr">
        <is>
          <t>SÖDERMANLANDS LÄN</t>
        </is>
      </c>
      <c r="E83" t="inlineStr">
        <is>
          <t>KATRINEHOLM</t>
        </is>
      </c>
      <c r="G83" t="n">
        <v>2.4</v>
      </c>
      <c r="H83" t="n">
        <v>0</v>
      </c>
      <c r="I83" t="n">
        <v>0</v>
      </c>
      <c r="J83" t="n">
        <v>0</v>
      </c>
      <c r="K83" t="n">
        <v>0</v>
      </c>
      <c r="L83" t="n">
        <v>0</v>
      </c>
      <c r="M83" t="n">
        <v>0</v>
      </c>
      <c r="N83" t="n">
        <v>0</v>
      </c>
      <c r="O83" t="n">
        <v>0</v>
      </c>
      <c r="P83" t="n">
        <v>0</v>
      </c>
      <c r="Q83" t="n">
        <v>0</v>
      </c>
      <c r="R83" s="2" t="inlineStr"/>
    </row>
    <row r="84" ht="15" customHeight="1">
      <c r="A84" t="inlineStr">
        <is>
          <t>A 50625-2022</t>
        </is>
      </c>
      <c r="B84" s="1" t="n">
        <v>44866.87912037037</v>
      </c>
      <c r="C84" s="1" t="n">
        <v>46037</v>
      </c>
      <c r="D84" t="inlineStr">
        <is>
          <t>SÖDERMANLANDS LÄN</t>
        </is>
      </c>
      <c r="E84" t="inlineStr">
        <is>
          <t>KATRINEHOLM</t>
        </is>
      </c>
      <c r="F84" t="inlineStr">
        <is>
          <t>Kyrkan</t>
        </is>
      </c>
      <c r="G84" t="n">
        <v>25</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46037</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46037</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46037</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46037</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46037</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40818-2022</t>
        </is>
      </c>
      <c r="B90" s="1" t="n">
        <v>44824</v>
      </c>
      <c r="C90" s="1" t="n">
        <v>46037</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46037</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46037</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46037</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46037</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46037</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46037</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46037</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46037</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46037</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56337-2021</t>
        </is>
      </c>
      <c r="B100" s="1" t="n">
        <v>44480</v>
      </c>
      <c r="C100" s="1" t="n">
        <v>46037</v>
      </c>
      <c r="D100" t="inlineStr">
        <is>
          <t>SÖDERMANLANDS LÄN</t>
        </is>
      </c>
      <c r="E100" t="inlineStr">
        <is>
          <t>KATRINEHOLM</t>
        </is>
      </c>
      <c r="F100" t="inlineStr">
        <is>
          <t>Holmen skog AB</t>
        </is>
      </c>
      <c r="G100" t="n">
        <v>0.6</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46037</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46037</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46037</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46037</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46037</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46037</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34070-2022</t>
        </is>
      </c>
      <c r="B107" s="1" t="n">
        <v>44791.42287037037</v>
      </c>
      <c r="C107" s="1" t="n">
        <v>46037</v>
      </c>
      <c r="D107" t="inlineStr">
        <is>
          <t>SÖDERMANLANDS LÄN</t>
        </is>
      </c>
      <c r="E107" t="inlineStr">
        <is>
          <t>KATRINEHOLM</t>
        </is>
      </c>
      <c r="G107" t="n">
        <v>1.8</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46037</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9786-2022</t>
        </is>
      </c>
      <c r="B109" s="1" t="n">
        <v>44619</v>
      </c>
      <c r="C109" s="1" t="n">
        <v>46037</v>
      </c>
      <c r="D109" t="inlineStr">
        <is>
          <t>SÖDERMANLANDS LÄN</t>
        </is>
      </c>
      <c r="E109" t="inlineStr">
        <is>
          <t>KATRINEHOLM</t>
        </is>
      </c>
      <c r="G109" t="n">
        <v>1.4</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46037</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20039-2021</t>
        </is>
      </c>
      <c r="B111" s="1" t="n">
        <v>44314.33722222222</v>
      </c>
      <c r="C111" s="1" t="n">
        <v>46037</v>
      </c>
      <c r="D111" t="inlineStr">
        <is>
          <t>SÖDERMANLANDS LÄN</t>
        </is>
      </c>
      <c r="E111" t="inlineStr">
        <is>
          <t>KATRINEHOLM</t>
        </is>
      </c>
      <c r="G111" t="n">
        <v>0.6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46037</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46037</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46037</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46037</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46037</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46037</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46037</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46037</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46037</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46037</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46037</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46037</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46037</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46037</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46037</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46037</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46037</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46037</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46037</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46037</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46037</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46037</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46037</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46037</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46037</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46037</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46037</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20847-2022</t>
        </is>
      </c>
      <c r="B139" s="1" t="n">
        <v>44701</v>
      </c>
      <c r="C139" s="1" t="n">
        <v>46037</v>
      </c>
      <c r="D139" t="inlineStr">
        <is>
          <t>SÖDERMANLANDS LÄN</t>
        </is>
      </c>
      <c r="E139" t="inlineStr">
        <is>
          <t>KATRINEHOLM</t>
        </is>
      </c>
      <c r="G139" t="n">
        <v>3.5</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46037</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46037</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46037</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46037</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46037</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46037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46037</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46037</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46037</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46037</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46037</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46037</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46037</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46037</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46037</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68206-2021</t>
        </is>
      </c>
      <c r="B155" s="1" t="n">
        <v>44526</v>
      </c>
      <c r="C155" s="1" t="n">
        <v>46037</v>
      </c>
      <c r="D155" t="inlineStr">
        <is>
          <t>SÖDERMANLANDS LÄN</t>
        </is>
      </c>
      <c r="E155" t="inlineStr">
        <is>
          <t>KATRINEHOLM</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46037</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46037</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46037</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46037</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46037</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46037</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46037</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46037</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21576-2022</t>
        </is>
      </c>
      <c r="B164" s="1" t="n">
        <v>44706</v>
      </c>
      <c r="C164" s="1" t="n">
        <v>46037</v>
      </c>
      <c r="D164" t="inlineStr">
        <is>
          <t>SÖDERMANLANDS LÄN</t>
        </is>
      </c>
      <c r="E164" t="inlineStr">
        <is>
          <t>KATRINEHOLM</t>
        </is>
      </c>
      <c r="G164" t="n">
        <v>4.2</v>
      </c>
      <c r="H164" t="n">
        <v>0</v>
      </c>
      <c r="I164" t="n">
        <v>0</v>
      </c>
      <c r="J164" t="n">
        <v>0</v>
      </c>
      <c r="K164" t="n">
        <v>0</v>
      </c>
      <c r="L164" t="n">
        <v>0</v>
      </c>
      <c r="M164" t="n">
        <v>0</v>
      </c>
      <c r="N164" t="n">
        <v>0</v>
      </c>
      <c r="O164" t="n">
        <v>0</v>
      </c>
      <c r="P164" t="n">
        <v>0</v>
      </c>
      <c r="Q164" t="n">
        <v>0</v>
      </c>
      <c r="R164" s="2" t="inlineStr"/>
    </row>
    <row r="165" ht="15" customHeight="1">
      <c r="A165" t="inlineStr">
        <is>
          <t>A 43967-2022</t>
        </is>
      </c>
      <c r="B165" s="1" t="n">
        <v>44837</v>
      </c>
      <c r="C165" s="1" t="n">
        <v>46037</v>
      </c>
      <c r="D165" t="inlineStr">
        <is>
          <t>SÖDERMANLANDS LÄN</t>
        </is>
      </c>
      <c r="E165" t="inlineStr">
        <is>
          <t>KATRINEHOLM</t>
        </is>
      </c>
      <c r="G165" t="n">
        <v>6.2</v>
      </c>
      <c r="H165" t="n">
        <v>0</v>
      </c>
      <c r="I165" t="n">
        <v>0</v>
      </c>
      <c r="J165" t="n">
        <v>0</v>
      </c>
      <c r="K165" t="n">
        <v>0</v>
      </c>
      <c r="L165" t="n">
        <v>0</v>
      </c>
      <c r="M165" t="n">
        <v>0</v>
      </c>
      <c r="N165" t="n">
        <v>0</v>
      </c>
      <c r="O165" t="n">
        <v>0</v>
      </c>
      <c r="P165" t="n">
        <v>0</v>
      </c>
      <c r="Q165" t="n">
        <v>0</v>
      </c>
      <c r="R165" s="2" t="inlineStr"/>
    </row>
    <row r="166" ht="15" customHeight="1">
      <c r="A166" t="inlineStr">
        <is>
          <t>A 44012-2022</t>
        </is>
      </c>
      <c r="B166" s="1" t="n">
        <v>44838</v>
      </c>
      <c r="C166" s="1" t="n">
        <v>46037</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51835-2022</t>
        </is>
      </c>
      <c r="B167" s="1" t="n">
        <v>44872.57288194444</v>
      </c>
      <c r="C167" s="1" t="n">
        <v>46037</v>
      </c>
      <c r="D167" t="inlineStr">
        <is>
          <t>SÖDERMANLANDS LÄN</t>
        </is>
      </c>
      <c r="E167" t="inlineStr">
        <is>
          <t>KATRINEHOLM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35088-2022</t>
        </is>
      </c>
      <c r="B168" s="1" t="n">
        <v>44797</v>
      </c>
      <c r="C168" s="1" t="n">
        <v>46037</v>
      </c>
      <c r="D168" t="inlineStr">
        <is>
          <t>SÖDERMANLANDS LÄN</t>
        </is>
      </c>
      <c r="E168" t="inlineStr">
        <is>
          <t>KATRINEHOLM</t>
        </is>
      </c>
      <c r="G168" t="n">
        <v>2.8</v>
      </c>
      <c r="H168" t="n">
        <v>0</v>
      </c>
      <c r="I168" t="n">
        <v>0</v>
      </c>
      <c r="J168" t="n">
        <v>0</v>
      </c>
      <c r="K168" t="n">
        <v>0</v>
      </c>
      <c r="L168" t="n">
        <v>0</v>
      </c>
      <c r="M168" t="n">
        <v>0</v>
      </c>
      <c r="N168" t="n">
        <v>0</v>
      </c>
      <c r="O168" t="n">
        <v>0</v>
      </c>
      <c r="P168" t="n">
        <v>0</v>
      </c>
      <c r="Q168" t="n">
        <v>0</v>
      </c>
      <c r="R168" s="2" t="inlineStr"/>
    </row>
    <row r="169" ht="15" customHeight="1">
      <c r="A169" t="inlineStr">
        <is>
          <t>A 24099-2022</t>
        </is>
      </c>
      <c r="B169" s="1" t="n">
        <v>44725</v>
      </c>
      <c r="C169" s="1" t="n">
        <v>46037</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46037</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2877-2022</t>
        </is>
      </c>
      <c r="B171" s="1" t="n">
        <v>44581</v>
      </c>
      <c r="C171" s="1" t="n">
        <v>46037</v>
      </c>
      <c r="D171" t="inlineStr">
        <is>
          <t>SÖDERMANLANDS LÄN</t>
        </is>
      </c>
      <c r="E171" t="inlineStr">
        <is>
          <t>KATRINEHOLM</t>
        </is>
      </c>
      <c r="G171" t="n">
        <v>10.3</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44496.58033564815</v>
      </c>
      <c r="C172" s="1" t="n">
        <v>46037</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33753-2022</t>
        </is>
      </c>
      <c r="B173" s="1" t="n">
        <v>44789</v>
      </c>
      <c r="C173" s="1" t="n">
        <v>46037</v>
      </c>
      <c r="D173" t="inlineStr">
        <is>
          <t>SÖDERMANLANDS LÄN</t>
        </is>
      </c>
      <c r="E173" t="inlineStr">
        <is>
          <t>KATRINEHOLM</t>
        </is>
      </c>
      <c r="G173" t="n">
        <v>4.9</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46037</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46037</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46037</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38607-2021</t>
        </is>
      </c>
      <c r="B177" s="1" t="n">
        <v>44409.41428240741</v>
      </c>
      <c r="C177" s="1" t="n">
        <v>46037</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46037</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46037</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46037</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46037</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46037</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46037</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9419-2022</t>
        </is>
      </c>
      <c r="B184" s="1" t="n">
        <v>44616</v>
      </c>
      <c r="C184" s="1" t="n">
        <v>46037</v>
      </c>
      <c r="D184" t="inlineStr">
        <is>
          <t>SÖDERMANLANDS LÄN</t>
        </is>
      </c>
      <c r="E184" t="inlineStr">
        <is>
          <t>KATRINEHOLM</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46037</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51885-2022</t>
        </is>
      </c>
      <c r="B186" s="1" t="n">
        <v>44872.60384259259</v>
      </c>
      <c r="C186" s="1" t="n">
        <v>46037</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42735-2022</t>
        </is>
      </c>
      <c r="B187" s="1" t="n">
        <v>44832</v>
      </c>
      <c r="C187" s="1" t="n">
        <v>46037</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45038-2022</t>
        </is>
      </c>
      <c r="B188" s="1" t="n">
        <v>44840</v>
      </c>
      <c r="C188" s="1" t="n">
        <v>46037</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67351-2021</t>
        </is>
      </c>
      <c r="B189" s="1" t="n">
        <v>44523</v>
      </c>
      <c r="C189" s="1" t="n">
        <v>46037</v>
      </c>
      <c r="D189" t="inlineStr">
        <is>
          <t>SÖDERMANLANDS LÄN</t>
        </is>
      </c>
      <c r="E189" t="inlineStr">
        <is>
          <t>KATRINEHOLM</t>
        </is>
      </c>
      <c r="G189" t="n">
        <v>5.4</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46037</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32733-2021</t>
        </is>
      </c>
      <c r="B191" s="1" t="n">
        <v>44375</v>
      </c>
      <c r="C191" s="1" t="n">
        <v>46037</v>
      </c>
      <c r="D191" t="inlineStr">
        <is>
          <t>SÖDERMANLANDS LÄN</t>
        </is>
      </c>
      <c r="E191" t="inlineStr">
        <is>
          <t>KATRINEHOLM</t>
        </is>
      </c>
      <c r="G191" t="n">
        <v>9</v>
      </c>
      <c r="H191" t="n">
        <v>0</v>
      </c>
      <c r="I191" t="n">
        <v>0</v>
      </c>
      <c r="J191" t="n">
        <v>0</v>
      </c>
      <c r="K191" t="n">
        <v>0</v>
      </c>
      <c r="L191" t="n">
        <v>0</v>
      </c>
      <c r="M191" t="n">
        <v>0</v>
      </c>
      <c r="N191" t="n">
        <v>0</v>
      </c>
      <c r="O191" t="n">
        <v>0</v>
      </c>
      <c r="P191" t="n">
        <v>0</v>
      </c>
      <c r="Q191" t="n">
        <v>0</v>
      </c>
      <c r="R191" s="2" t="inlineStr"/>
      <c r="U191">
        <f>HYPERLINK("https://klasma.github.io/Logging_0483/knärot/A 32733-2021 karta knärot.png", "A 32733-2021")</f>
        <v/>
      </c>
      <c r="V191">
        <f>HYPERLINK("https://klasma.github.io/Logging_0483/klagomål/A 32733-2021 FSC-klagomål.docx", "A 32733-2021")</f>
        <v/>
      </c>
      <c r="W191">
        <f>HYPERLINK("https://klasma.github.io/Logging_0483/klagomålsmail/A 32733-2021 FSC-klagomål mail.docx", "A 32733-2021")</f>
        <v/>
      </c>
      <c r="X191">
        <f>HYPERLINK("https://klasma.github.io/Logging_0483/tillsyn/A 32733-2021 tillsynsbegäran.docx", "A 32733-2021")</f>
        <v/>
      </c>
      <c r="Y191">
        <f>HYPERLINK("https://klasma.github.io/Logging_0483/tillsynsmail/A 32733-2021 tillsynsbegäran mail.docx", "A 32733-2021")</f>
        <v/>
      </c>
    </row>
    <row r="192" ht="15" customHeight="1">
      <c r="A192" t="inlineStr">
        <is>
          <t>A 12760-2021</t>
        </is>
      </c>
      <c r="B192" s="1" t="n">
        <v>44270</v>
      </c>
      <c r="C192" s="1" t="n">
        <v>46037</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46037</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46037</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46037</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46037</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46037</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46037</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12068-2021</t>
        </is>
      </c>
      <c r="B199" s="1" t="n">
        <v>44266</v>
      </c>
      <c r="C199" s="1" t="n">
        <v>46037</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7705-2021</t>
        </is>
      </c>
      <c r="B200" s="1" t="n">
        <v>44242</v>
      </c>
      <c r="C200" s="1" t="n">
        <v>46037</v>
      </c>
      <c r="D200" t="inlineStr">
        <is>
          <t>SÖDERMANLANDS LÄN</t>
        </is>
      </c>
      <c r="E200" t="inlineStr">
        <is>
          <t>KATRINEHOLM</t>
        </is>
      </c>
      <c r="F200" t="inlineStr">
        <is>
          <t>Allmännings- och besparingsskogar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58473-2021</t>
        </is>
      </c>
      <c r="B201" s="1" t="n">
        <v>44488</v>
      </c>
      <c r="C201" s="1" t="n">
        <v>46037</v>
      </c>
      <c r="D201" t="inlineStr">
        <is>
          <t>SÖDERMANLANDS LÄN</t>
        </is>
      </c>
      <c r="E201" t="inlineStr">
        <is>
          <t>KATRINEHOLM</t>
        </is>
      </c>
      <c r="G201" t="n">
        <v>0.5</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46037</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46037</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46037</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46037</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35188-2022</t>
        </is>
      </c>
      <c r="B206" s="1" t="n">
        <v>44797</v>
      </c>
      <c r="C206" s="1" t="n">
        <v>46037</v>
      </c>
      <c r="D206" t="inlineStr">
        <is>
          <t>SÖDERMANLANDS LÄN</t>
        </is>
      </c>
      <c r="E206" t="inlineStr">
        <is>
          <t>KATRINEHOLM</t>
        </is>
      </c>
      <c r="G206" t="n">
        <v>3</v>
      </c>
      <c r="H206" t="n">
        <v>0</v>
      </c>
      <c r="I206" t="n">
        <v>0</v>
      </c>
      <c r="J206" t="n">
        <v>0</v>
      </c>
      <c r="K206" t="n">
        <v>0</v>
      </c>
      <c r="L206" t="n">
        <v>0</v>
      </c>
      <c r="M206" t="n">
        <v>0</v>
      </c>
      <c r="N206" t="n">
        <v>0</v>
      </c>
      <c r="O206" t="n">
        <v>0</v>
      </c>
      <c r="P206" t="n">
        <v>0</v>
      </c>
      <c r="Q206" t="n">
        <v>0</v>
      </c>
      <c r="R206" s="2" t="inlineStr"/>
    </row>
    <row r="207" ht="15" customHeight="1">
      <c r="A207" t="inlineStr">
        <is>
          <t>A 36210-2022</t>
        </is>
      </c>
      <c r="B207" s="1" t="n">
        <v>44803.47950231482</v>
      </c>
      <c r="C207" s="1" t="n">
        <v>46037</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46037</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46037</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46037</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20460-2025</t>
        </is>
      </c>
      <c r="B211" s="1" t="n">
        <v>45775.52854166667</v>
      </c>
      <c r="C211" s="1" t="n">
        <v>46037</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9693-2024</t>
        </is>
      </c>
      <c r="B212" s="1" t="n">
        <v>45362</v>
      </c>
      <c r="C212" s="1" t="n">
        <v>46037</v>
      </c>
      <c r="D212" t="inlineStr">
        <is>
          <t>SÖDERMANLANDS LÄN</t>
        </is>
      </c>
      <c r="E212" t="inlineStr">
        <is>
          <t>KATRINEHOLM</t>
        </is>
      </c>
      <c r="G212" t="n">
        <v>5.9</v>
      </c>
      <c r="H212" t="n">
        <v>0</v>
      </c>
      <c r="I212" t="n">
        <v>0</v>
      </c>
      <c r="J212" t="n">
        <v>0</v>
      </c>
      <c r="K212" t="n">
        <v>0</v>
      </c>
      <c r="L212" t="n">
        <v>0</v>
      </c>
      <c r="M212" t="n">
        <v>0</v>
      </c>
      <c r="N212" t="n">
        <v>0</v>
      </c>
      <c r="O212" t="n">
        <v>0</v>
      </c>
      <c r="P212" t="n">
        <v>0</v>
      </c>
      <c r="Q212" t="n">
        <v>0</v>
      </c>
      <c r="R212" s="2" t="inlineStr"/>
    </row>
    <row r="213" ht="15" customHeight="1">
      <c r="A213" t="inlineStr">
        <is>
          <t>A 43964-2022</t>
        </is>
      </c>
      <c r="B213" s="1" t="n">
        <v>44837</v>
      </c>
      <c r="C213" s="1" t="n">
        <v>46037</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46037</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46037</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55846-2022</t>
        </is>
      </c>
      <c r="B216" s="1" t="n">
        <v>44888</v>
      </c>
      <c r="C216" s="1" t="n">
        <v>46037</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53722-2023</t>
        </is>
      </c>
      <c r="B217" s="1" t="n">
        <v>45230</v>
      </c>
      <c r="C217" s="1" t="n">
        <v>46037</v>
      </c>
      <c r="D217" t="inlineStr">
        <is>
          <t>SÖDERMANLANDS LÄN</t>
        </is>
      </c>
      <c r="E217" t="inlineStr">
        <is>
          <t>KATRINEHOLM</t>
        </is>
      </c>
      <c r="F217" t="inlineStr">
        <is>
          <t>Allmännings- och besparingsskogar</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33538-2022</t>
        </is>
      </c>
      <c r="B218" s="1" t="n">
        <v>44789</v>
      </c>
      <c r="C218" s="1" t="n">
        <v>46037</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55863-2022</t>
        </is>
      </c>
      <c r="B219" s="1" t="n">
        <v>44888</v>
      </c>
      <c r="C219" s="1" t="n">
        <v>46037</v>
      </c>
      <c r="D219" t="inlineStr">
        <is>
          <t>SÖDERMANLANDS LÄN</t>
        </is>
      </c>
      <c r="E219" t="inlineStr">
        <is>
          <t>KATRINEHOLM</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55865-2022</t>
        </is>
      </c>
      <c r="B220" s="1" t="n">
        <v>44888</v>
      </c>
      <c r="C220" s="1" t="n">
        <v>46037</v>
      </c>
      <c r="D220" t="inlineStr">
        <is>
          <t>SÖDERMANLANDS LÄN</t>
        </is>
      </c>
      <c r="E220" t="inlineStr">
        <is>
          <t>KATRINEHOLM</t>
        </is>
      </c>
      <c r="G220" t="n">
        <v>9.1</v>
      </c>
      <c r="H220" t="n">
        <v>0</v>
      </c>
      <c r="I220" t="n">
        <v>0</v>
      </c>
      <c r="J220" t="n">
        <v>0</v>
      </c>
      <c r="K220" t="n">
        <v>0</v>
      </c>
      <c r="L220" t="n">
        <v>0</v>
      </c>
      <c r="M220" t="n">
        <v>0</v>
      </c>
      <c r="N220" t="n">
        <v>0</v>
      </c>
      <c r="O220" t="n">
        <v>0</v>
      </c>
      <c r="P220" t="n">
        <v>0</v>
      </c>
      <c r="Q220" t="n">
        <v>0</v>
      </c>
      <c r="R220" s="2" t="inlineStr"/>
    </row>
    <row r="221" ht="15" customHeight="1">
      <c r="A221" t="inlineStr">
        <is>
          <t>A 48520-2023</t>
        </is>
      </c>
      <c r="B221" s="1" t="n">
        <v>45208</v>
      </c>
      <c r="C221" s="1" t="n">
        <v>46037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55795-2023</t>
        </is>
      </c>
      <c r="B222" s="1" t="n">
        <v>45239.54861111111</v>
      </c>
      <c r="C222" s="1" t="n">
        <v>46037</v>
      </c>
      <c r="D222" t="inlineStr">
        <is>
          <t>SÖDERMANLANDS LÄN</t>
        </is>
      </c>
      <c r="E222" t="inlineStr">
        <is>
          <t>KATRINEHOLM</t>
        </is>
      </c>
      <c r="G222" t="n">
        <v>7</v>
      </c>
      <c r="H222" t="n">
        <v>0</v>
      </c>
      <c r="I222" t="n">
        <v>0</v>
      </c>
      <c r="J222" t="n">
        <v>0</v>
      </c>
      <c r="K222" t="n">
        <v>0</v>
      </c>
      <c r="L222" t="n">
        <v>0</v>
      </c>
      <c r="M222" t="n">
        <v>0</v>
      </c>
      <c r="N222" t="n">
        <v>0</v>
      </c>
      <c r="O222" t="n">
        <v>0</v>
      </c>
      <c r="P222" t="n">
        <v>0</v>
      </c>
      <c r="Q222" t="n">
        <v>0</v>
      </c>
      <c r="R222" s="2" t="inlineStr"/>
    </row>
    <row r="223" ht="15" customHeight="1">
      <c r="A223" t="inlineStr">
        <is>
          <t>A 56661-2021</t>
        </is>
      </c>
      <c r="B223" s="1" t="n">
        <v>44481.24327546296</v>
      </c>
      <c r="C223" s="1" t="n">
        <v>46037</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28394-2023</t>
        </is>
      </c>
      <c r="B224" s="1" t="n">
        <v>45100</v>
      </c>
      <c r="C224" s="1" t="n">
        <v>46037</v>
      </c>
      <c r="D224" t="inlineStr">
        <is>
          <t>SÖDERMANLANDS LÄN</t>
        </is>
      </c>
      <c r="E224" t="inlineStr">
        <is>
          <t>KATRINEHOLM</t>
        </is>
      </c>
      <c r="G224" t="n">
        <v>4.2</v>
      </c>
      <c r="H224" t="n">
        <v>0</v>
      </c>
      <c r="I224" t="n">
        <v>0</v>
      </c>
      <c r="J224" t="n">
        <v>0</v>
      </c>
      <c r="K224" t="n">
        <v>0</v>
      </c>
      <c r="L224" t="n">
        <v>0</v>
      </c>
      <c r="M224" t="n">
        <v>0</v>
      </c>
      <c r="N224" t="n">
        <v>0</v>
      </c>
      <c r="O224" t="n">
        <v>0</v>
      </c>
      <c r="P224" t="n">
        <v>0</v>
      </c>
      <c r="Q224" t="n">
        <v>0</v>
      </c>
      <c r="R224" s="2" t="inlineStr"/>
    </row>
    <row r="225" ht="15" customHeight="1">
      <c r="A225" t="inlineStr">
        <is>
          <t>A 4122-2023</t>
        </is>
      </c>
      <c r="B225" s="1" t="n">
        <v>44952</v>
      </c>
      <c r="C225" s="1" t="n">
        <v>46037</v>
      </c>
      <c r="D225" t="inlineStr">
        <is>
          <t>SÖDERMANLANDS LÄN</t>
        </is>
      </c>
      <c r="E225" t="inlineStr">
        <is>
          <t>KATRINEHOLM</t>
        </is>
      </c>
      <c r="G225" t="n">
        <v>9</v>
      </c>
      <c r="H225" t="n">
        <v>0</v>
      </c>
      <c r="I225" t="n">
        <v>0</v>
      </c>
      <c r="J225" t="n">
        <v>0</v>
      </c>
      <c r="K225" t="n">
        <v>0</v>
      </c>
      <c r="L225" t="n">
        <v>0</v>
      </c>
      <c r="M225" t="n">
        <v>0</v>
      </c>
      <c r="N225" t="n">
        <v>0</v>
      </c>
      <c r="O225" t="n">
        <v>0</v>
      </c>
      <c r="P225" t="n">
        <v>0</v>
      </c>
      <c r="Q225" t="n">
        <v>0</v>
      </c>
      <c r="R225" s="2" t="inlineStr"/>
    </row>
    <row r="226" ht="15" customHeight="1">
      <c r="A226" t="inlineStr">
        <is>
          <t>A 24284-2024</t>
        </is>
      </c>
      <c r="B226" s="1" t="n">
        <v>45457</v>
      </c>
      <c r="C226" s="1" t="n">
        <v>46037</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20949-2021</t>
        </is>
      </c>
      <c r="B227" s="1" t="n">
        <v>44319</v>
      </c>
      <c r="C227" s="1" t="n">
        <v>46037</v>
      </c>
      <c r="D227" t="inlineStr">
        <is>
          <t>SÖDERMANLANDS LÄN</t>
        </is>
      </c>
      <c r="E227" t="inlineStr">
        <is>
          <t>KATRINEHOLM</t>
        </is>
      </c>
      <c r="G227" t="n">
        <v>0.9</v>
      </c>
      <c r="H227" t="n">
        <v>0</v>
      </c>
      <c r="I227" t="n">
        <v>0</v>
      </c>
      <c r="J227" t="n">
        <v>0</v>
      </c>
      <c r="K227" t="n">
        <v>0</v>
      </c>
      <c r="L227" t="n">
        <v>0</v>
      </c>
      <c r="M227" t="n">
        <v>0</v>
      </c>
      <c r="N227" t="n">
        <v>0</v>
      </c>
      <c r="O227" t="n">
        <v>0</v>
      </c>
      <c r="P227" t="n">
        <v>0</v>
      </c>
      <c r="Q227" t="n">
        <v>0</v>
      </c>
      <c r="R227" s="2" t="inlineStr"/>
    </row>
    <row r="228" ht="15" customHeight="1">
      <c r="A228" t="inlineStr">
        <is>
          <t>A 33712-2022</t>
        </is>
      </c>
      <c r="B228" s="1" t="n">
        <v>44789</v>
      </c>
      <c r="C228" s="1" t="n">
        <v>46037</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46037</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46037</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29502-2023</t>
        </is>
      </c>
      <c r="B231" s="1" t="n">
        <v>45106</v>
      </c>
      <c r="C231" s="1" t="n">
        <v>46037</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23050-2025</t>
        </is>
      </c>
      <c r="B232" s="1" t="n">
        <v>45790.69971064815</v>
      </c>
      <c r="C232" s="1" t="n">
        <v>46037</v>
      </c>
      <c r="D232" t="inlineStr">
        <is>
          <t>SÖDERMANLANDS LÄN</t>
        </is>
      </c>
      <c r="E232" t="inlineStr">
        <is>
          <t>KATRINEHOLM</t>
        </is>
      </c>
      <c r="G232" t="n">
        <v>3.7</v>
      </c>
      <c r="H232" t="n">
        <v>0</v>
      </c>
      <c r="I232" t="n">
        <v>0</v>
      </c>
      <c r="J232" t="n">
        <v>0</v>
      </c>
      <c r="K232" t="n">
        <v>0</v>
      </c>
      <c r="L232" t="n">
        <v>0</v>
      </c>
      <c r="M232" t="n">
        <v>0</v>
      </c>
      <c r="N232" t="n">
        <v>0</v>
      </c>
      <c r="O232" t="n">
        <v>0</v>
      </c>
      <c r="P232" t="n">
        <v>0</v>
      </c>
      <c r="Q232" t="n">
        <v>0</v>
      </c>
      <c r="R232" s="2" t="inlineStr"/>
    </row>
    <row r="233" ht="15" customHeight="1">
      <c r="A233" t="inlineStr">
        <is>
          <t>A 42111-2022</t>
        </is>
      </c>
      <c r="B233" s="1" t="n">
        <v>44830</v>
      </c>
      <c r="C233" s="1" t="n">
        <v>46037</v>
      </c>
      <c r="D233" t="inlineStr">
        <is>
          <t>SÖDERMANLANDS LÄN</t>
        </is>
      </c>
      <c r="E233" t="inlineStr">
        <is>
          <t>KATRINEHOLM</t>
        </is>
      </c>
      <c r="G233" t="n">
        <v>2.5</v>
      </c>
      <c r="H233" t="n">
        <v>0</v>
      </c>
      <c r="I233" t="n">
        <v>0</v>
      </c>
      <c r="J233" t="n">
        <v>0</v>
      </c>
      <c r="K233" t="n">
        <v>0</v>
      </c>
      <c r="L233" t="n">
        <v>0</v>
      </c>
      <c r="M233" t="n">
        <v>0</v>
      </c>
      <c r="N233" t="n">
        <v>0</v>
      </c>
      <c r="O233" t="n">
        <v>0</v>
      </c>
      <c r="P233" t="n">
        <v>0</v>
      </c>
      <c r="Q233" t="n">
        <v>0</v>
      </c>
      <c r="R233" s="2" t="inlineStr"/>
    </row>
    <row r="234" ht="15" customHeight="1">
      <c r="A234" t="inlineStr">
        <is>
          <t>A 33752-2023</t>
        </is>
      </c>
      <c r="B234" s="1" t="n">
        <v>45120</v>
      </c>
      <c r="C234" s="1" t="n">
        <v>46037</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45376-2022</t>
        </is>
      </c>
      <c r="B235" s="1" t="n">
        <v>44844</v>
      </c>
      <c r="C235" s="1" t="n">
        <v>46037</v>
      </c>
      <c r="D235" t="inlineStr">
        <is>
          <t>SÖDERMANLANDS LÄN</t>
        </is>
      </c>
      <c r="E235" t="inlineStr">
        <is>
          <t>KATRINEHOLM</t>
        </is>
      </c>
      <c r="G235" t="n">
        <v>4.7</v>
      </c>
      <c r="H235" t="n">
        <v>0</v>
      </c>
      <c r="I235" t="n">
        <v>0</v>
      </c>
      <c r="J235" t="n">
        <v>0</v>
      </c>
      <c r="K235" t="n">
        <v>0</v>
      </c>
      <c r="L235" t="n">
        <v>0</v>
      </c>
      <c r="M235" t="n">
        <v>0</v>
      </c>
      <c r="N235" t="n">
        <v>0</v>
      </c>
      <c r="O235" t="n">
        <v>0</v>
      </c>
      <c r="P235" t="n">
        <v>0</v>
      </c>
      <c r="Q235" t="n">
        <v>0</v>
      </c>
      <c r="R235" s="2" t="inlineStr"/>
    </row>
    <row r="236" ht="15" customHeight="1">
      <c r="A236" t="inlineStr">
        <is>
          <t>A 36767-2022</t>
        </is>
      </c>
      <c r="B236" s="1" t="n">
        <v>44805</v>
      </c>
      <c r="C236" s="1" t="n">
        <v>46037</v>
      </c>
      <c r="D236" t="inlineStr">
        <is>
          <t>SÖDERMANLANDS LÄN</t>
        </is>
      </c>
      <c r="E236" t="inlineStr">
        <is>
          <t>KATRINEHOLM</t>
        </is>
      </c>
      <c r="G236" t="n">
        <v>1.1</v>
      </c>
      <c r="H236" t="n">
        <v>0</v>
      </c>
      <c r="I236" t="n">
        <v>0</v>
      </c>
      <c r="J236" t="n">
        <v>0</v>
      </c>
      <c r="K236" t="n">
        <v>0</v>
      </c>
      <c r="L236" t="n">
        <v>0</v>
      </c>
      <c r="M236" t="n">
        <v>0</v>
      </c>
      <c r="N236" t="n">
        <v>0</v>
      </c>
      <c r="O236" t="n">
        <v>0</v>
      </c>
      <c r="P236" t="n">
        <v>0</v>
      </c>
      <c r="Q236" t="n">
        <v>0</v>
      </c>
      <c r="R236" s="2" t="inlineStr"/>
    </row>
    <row r="237" ht="15" customHeight="1">
      <c r="A237" t="inlineStr">
        <is>
          <t>A 55122-2022</t>
        </is>
      </c>
      <c r="B237" s="1" t="n">
        <v>44886.65092592593</v>
      </c>
      <c r="C237" s="1" t="n">
        <v>46037</v>
      </c>
      <c r="D237" t="inlineStr">
        <is>
          <t>SÖDERMANLANDS LÄN</t>
        </is>
      </c>
      <c r="E237" t="inlineStr">
        <is>
          <t>KATRINEHOLM</t>
        </is>
      </c>
      <c r="G237" t="n">
        <v>6.5</v>
      </c>
      <c r="H237" t="n">
        <v>0</v>
      </c>
      <c r="I237" t="n">
        <v>0</v>
      </c>
      <c r="J237" t="n">
        <v>0</v>
      </c>
      <c r="K237" t="n">
        <v>0</v>
      </c>
      <c r="L237" t="n">
        <v>0</v>
      </c>
      <c r="M237" t="n">
        <v>0</v>
      </c>
      <c r="N237" t="n">
        <v>0</v>
      </c>
      <c r="O237" t="n">
        <v>0</v>
      </c>
      <c r="P237" t="n">
        <v>0</v>
      </c>
      <c r="Q237" t="n">
        <v>0</v>
      </c>
      <c r="R237" s="2" t="inlineStr"/>
    </row>
    <row r="238" ht="15" customHeight="1">
      <c r="A238" t="inlineStr">
        <is>
          <t>A 17746-2024</t>
        </is>
      </c>
      <c r="B238" s="1" t="n">
        <v>45415</v>
      </c>
      <c r="C238" s="1" t="n">
        <v>46037</v>
      </c>
      <c r="D238" t="inlineStr">
        <is>
          <t>SÖDERMANLANDS LÄN</t>
        </is>
      </c>
      <c r="E238" t="inlineStr">
        <is>
          <t>KATRINEHOLM</t>
        </is>
      </c>
      <c r="G238" t="n">
        <v>7.8</v>
      </c>
      <c r="H238" t="n">
        <v>0</v>
      </c>
      <c r="I238" t="n">
        <v>0</v>
      </c>
      <c r="J238" t="n">
        <v>0</v>
      </c>
      <c r="K238" t="n">
        <v>0</v>
      </c>
      <c r="L238" t="n">
        <v>0</v>
      </c>
      <c r="M238" t="n">
        <v>0</v>
      </c>
      <c r="N238" t="n">
        <v>0</v>
      </c>
      <c r="O238" t="n">
        <v>0</v>
      </c>
      <c r="P238" t="n">
        <v>0</v>
      </c>
      <c r="Q238" t="n">
        <v>0</v>
      </c>
      <c r="R238" s="2" t="inlineStr"/>
    </row>
    <row r="239" ht="15" customHeight="1">
      <c r="A239" t="inlineStr">
        <is>
          <t>A 24179-2024</t>
        </is>
      </c>
      <c r="B239" s="1" t="n">
        <v>45456.83059027778</v>
      </c>
      <c r="C239" s="1" t="n">
        <v>46037</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51264-2021</t>
        </is>
      </c>
      <c r="B240" s="1" t="n">
        <v>44461</v>
      </c>
      <c r="C240" s="1" t="n">
        <v>46037</v>
      </c>
      <c r="D240" t="inlineStr">
        <is>
          <t>SÖDERMANLANDS LÄN</t>
        </is>
      </c>
      <c r="E240" t="inlineStr">
        <is>
          <t>KATRINEHOLM</t>
        </is>
      </c>
      <c r="G240" t="n">
        <v>3.1</v>
      </c>
      <c r="H240" t="n">
        <v>0</v>
      </c>
      <c r="I240" t="n">
        <v>0</v>
      </c>
      <c r="J240" t="n">
        <v>0</v>
      </c>
      <c r="K240" t="n">
        <v>0</v>
      </c>
      <c r="L240" t="n">
        <v>0</v>
      </c>
      <c r="M240" t="n">
        <v>0</v>
      </c>
      <c r="N240" t="n">
        <v>0</v>
      </c>
      <c r="O240" t="n">
        <v>0</v>
      </c>
      <c r="P240" t="n">
        <v>0</v>
      </c>
      <c r="Q240" t="n">
        <v>0</v>
      </c>
      <c r="R240" s="2" t="inlineStr"/>
    </row>
    <row r="241" ht="15" customHeight="1">
      <c r="A241" t="inlineStr">
        <is>
          <t>A 35228-2025</t>
        </is>
      </c>
      <c r="B241" s="1" t="n">
        <v>45853</v>
      </c>
      <c r="C241" s="1" t="n">
        <v>46037</v>
      </c>
      <c r="D241" t="inlineStr">
        <is>
          <t>SÖDERMANLANDS LÄN</t>
        </is>
      </c>
      <c r="E241" t="inlineStr">
        <is>
          <t>KATRINEHOLM</t>
        </is>
      </c>
      <c r="G241" t="n">
        <v>1.1</v>
      </c>
      <c r="H241" t="n">
        <v>0</v>
      </c>
      <c r="I241" t="n">
        <v>0</v>
      </c>
      <c r="J241" t="n">
        <v>0</v>
      </c>
      <c r="K241" t="n">
        <v>0</v>
      </c>
      <c r="L241" t="n">
        <v>0</v>
      </c>
      <c r="M241" t="n">
        <v>0</v>
      </c>
      <c r="N241" t="n">
        <v>0</v>
      </c>
      <c r="O241" t="n">
        <v>0</v>
      </c>
      <c r="P241" t="n">
        <v>0</v>
      </c>
      <c r="Q241" t="n">
        <v>0</v>
      </c>
      <c r="R241" s="2" t="inlineStr"/>
    </row>
    <row r="242" ht="15" customHeight="1">
      <c r="A242" t="inlineStr">
        <is>
          <t>A 51128-2021</t>
        </is>
      </c>
      <c r="B242" s="1" t="n">
        <v>44460</v>
      </c>
      <c r="C242" s="1" t="n">
        <v>46037</v>
      </c>
      <c r="D242" t="inlineStr">
        <is>
          <t>SÖDERMANLANDS LÄN</t>
        </is>
      </c>
      <c r="E242" t="inlineStr">
        <is>
          <t>KATRINEHOLM</t>
        </is>
      </c>
      <c r="G242" t="n">
        <v>7.8</v>
      </c>
      <c r="H242" t="n">
        <v>0</v>
      </c>
      <c r="I242" t="n">
        <v>0</v>
      </c>
      <c r="J242" t="n">
        <v>0</v>
      </c>
      <c r="K242" t="n">
        <v>0</v>
      </c>
      <c r="L242" t="n">
        <v>0</v>
      </c>
      <c r="M242" t="n">
        <v>0</v>
      </c>
      <c r="N242" t="n">
        <v>0</v>
      </c>
      <c r="O242" t="n">
        <v>0</v>
      </c>
      <c r="P242" t="n">
        <v>0</v>
      </c>
      <c r="Q242" t="n">
        <v>0</v>
      </c>
      <c r="R242" s="2" t="inlineStr"/>
    </row>
    <row r="243" ht="15" customHeight="1">
      <c r="A243" t="inlineStr">
        <is>
          <t>A 3980-2024</t>
        </is>
      </c>
      <c r="B243" s="1" t="n">
        <v>45322</v>
      </c>
      <c r="C243" s="1" t="n">
        <v>46037</v>
      </c>
      <c r="D243" t="inlineStr">
        <is>
          <t>SÖDERMANLANDS LÄN</t>
        </is>
      </c>
      <c r="E243" t="inlineStr">
        <is>
          <t>KATRINEHOLM</t>
        </is>
      </c>
      <c r="G243" t="n">
        <v>0.4</v>
      </c>
      <c r="H243" t="n">
        <v>0</v>
      </c>
      <c r="I243" t="n">
        <v>0</v>
      </c>
      <c r="J243" t="n">
        <v>0</v>
      </c>
      <c r="K243" t="n">
        <v>0</v>
      </c>
      <c r="L243" t="n">
        <v>0</v>
      </c>
      <c r="M243" t="n">
        <v>0</v>
      </c>
      <c r="N243" t="n">
        <v>0</v>
      </c>
      <c r="O243" t="n">
        <v>0</v>
      </c>
      <c r="P243" t="n">
        <v>0</v>
      </c>
      <c r="Q243" t="n">
        <v>0</v>
      </c>
      <c r="R243" s="2" t="inlineStr"/>
    </row>
    <row r="244" ht="15" customHeight="1">
      <c r="A244" t="inlineStr">
        <is>
          <t>A 24902-2024</t>
        </is>
      </c>
      <c r="B244" s="1" t="n">
        <v>45461</v>
      </c>
      <c r="C244" s="1" t="n">
        <v>46037</v>
      </c>
      <c r="D244" t="inlineStr">
        <is>
          <t>SÖDERMANLANDS LÄN</t>
        </is>
      </c>
      <c r="E244" t="inlineStr">
        <is>
          <t>KATRINEHOLM</t>
        </is>
      </c>
      <c r="G244" t="n">
        <v>3.5</v>
      </c>
      <c r="H244" t="n">
        <v>0</v>
      </c>
      <c r="I244" t="n">
        <v>0</v>
      </c>
      <c r="J244" t="n">
        <v>0</v>
      </c>
      <c r="K244" t="n">
        <v>0</v>
      </c>
      <c r="L244" t="n">
        <v>0</v>
      </c>
      <c r="M244" t="n">
        <v>0</v>
      </c>
      <c r="N244" t="n">
        <v>0</v>
      </c>
      <c r="O244" t="n">
        <v>0</v>
      </c>
      <c r="P244" t="n">
        <v>0</v>
      </c>
      <c r="Q244" t="n">
        <v>0</v>
      </c>
      <c r="R244" s="2" t="inlineStr"/>
    </row>
    <row r="245" ht="15" customHeight="1">
      <c r="A245" t="inlineStr">
        <is>
          <t>A 64713-2023</t>
        </is>
      </c>
      <c r="B245" s="1" t="n">
        <v>45281</v>
      </c>
      <c r="C245" s="1" t="n">
        <v>46037</v>
      </c>
      <c r="D245" t="inlineStr">
        <is>
          <t>SÖDERMANLANDS LÄN</t>
        </is>
      </c>
      <c r="E245" t="inlineStr">
        <is>
          <t>KATRINEHOLM</t>
        </is>
      </c>
      <c r="G245" t="n">
        <v>4.9</v>
      </c>
      <c r="H245" t="n">
        <v>0</v>
      </c>
      <c r="I245" t="n">
        <v>0</v>
      </c>
      <c r="J245" t="n">
        <v>0</v>
      </c>
      <c r="K245" t="n">
        <v>0</v>
      </c>
      <c r="L245" t="n">
        <v>0</v>
      </c>
      <c r="M245" t="n">
        <v>0</v>
      </c>
      <c r="N245" t="n">
        <v>0</v>
      </c>
      <c r="O245" t="n">
        <v>0</v>
      </c>
      <c r="P245" t="n">
        <v>0</v>
      </c>
      <c r="Q245" t="n">
        <v>0</v>
      </c>
      <c r="R245" s="2" t="inlineStr"/>
    </row>
    <row r="246" ht="15" customHeight="1">
      <c r="A246" t="inlineStr">
        <is>
          <t>A 60677-2021</t>
        </is>
      </c>
      <c r="B246" s="1" t="n">
        <v>44495</v>
      </c>
      <c r="C246" s="1" t="n">
        <v>46037</v>
      </c>
      <c r="D246" t="inlineStr">
        <is>
          <t>SÖDERMANLANDS LÄN</t>
        </is>
      </c>
      <c r="E246" t="inlineStr">
        <is>
          <t>KATRINEHOLM</t>
        </is>
      </c>
      <c r="G246" t="n">
        <v>1.8</v>
      </c>
      <c r="H246" t="n">
        <v>0</v>
      </c>
      <c r="I246" t="n">
        <v>0</v>
      </c>
      <c r="J246" t="n">
        <v>0</v>
      </c>
      <c r="K246" t="n">
        <v>0</v>
      </c>
      <c r="L246" t="n">
        <v>0</v>
      </c>
      <c r="M246" t="n">
        <v>0</v>
      </c>
      <c r="N246" t="n">
        <v>0</v>
      </c>
      <c r="O246" t="n">
        <v>0</v>
      </c>
      <c r="P246" t="n">
        <v>0</v>
      </c>
      <c r="Q246" t="n">
        <v>0</v>
      </c>
      <c r="R246" s="2" t="inlineStr"/>
    </row>
    <row r="247" ht="15" customHeight="1">
      <c r="A247" t="inlineStr">
        <is>
          <t>A 2603-2025</t>
        </is>
      </c>
      <c r="B247" s="1" t="n">
        <v>45674</v>
      </c>
      <c r="C247" s="1" t="n">
        <v>46037</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24566-2025</t>
        </is>
      </c>
      <c r="B248" s="1" t="n">
        <v>45798.46452546296</v>
      </c>
      <c r="C248" s="1" t="n">
        <v>46037</v>
      </c>
      <c r="D248" t="inlineStr">
        <is>
          <t>SÖDERMANLANDS LÄN</t>
        </is>
      </c>
      <c r="E248" t="inlineStr">
        <is>
          <t>KATRINEHOLM</t>
        </is>
      </c>
      <c r="G248" t="n">
        <v>6.3</v>
      </c>
      <c r="H248" t="n">
        <v>0</v>
      </c>
      <c r="I248" t="n">
        <v>0</v>
      </c>
      <c r="J248" t="n">
        <v>0</v>
      </c>
      <c r="K248" t="n">
        <v>0</v>
      </c>
      <c r="L248" t="n">
        <v>0</v>
      </c>
      <c r="M248" t="n">
        <v>0</v>
      </c>
      <c r="N248" t="n">
        <v>0</v>
      </c>
      <c r="O248" t="n">
        <v>0</v>
      </c>
      <c r="P248" t="n">
        <v>0</v>
      </c>
      <c r="Q248" t="n">
        <v>0</v>
      </c>
      <c r="R248" s="2" t="inlineStr"/>
    </row>
    <row r="249" ht="15" customHeight="1">
      <c r="A249" t="inlineStr">
        <is>
          <t>A 24605-2025</t>
        </is>
      </c>
      <c r="B249" s="1" t="n">
        <v>45798.57403935185</v>
      </c>
      <c r="C249" s="1" t="n">
        <v>46037</v>
      </c>
      <c r="D249" t="inlineStr">
        <is>
          <t>SÖDERMANLANDS LÄN</t>
        </is>
      </c>
      <c r="E249" t="inlineStr">
        <is>
          <t>KATRINEHOLM</t>
        </is>
      </c>
      <c r="G249" t="n">
        <v>7</v>
      </c>
      <c r="H249" t="n">
        <v>0</v>
      </c>
      <c r="I249" t="n">
        <v>0</v>
      </c>
      <c r="J249" t="n">
        <v>0</v>
      </c>
      <c r="K249" t="n">
        <v>0</v>
      </c>
      <c r="L249" t="n">
        <v>0</v>
      </c>
      <c r="M249" t="n">
        <v>0</v>
      </c>
      <c r="N249" t="n">
        <v>0</v>
      </c>
      <c r="O249" t="n">
        <v>0</v>
      </c>
      <c r="P249" t="n">
        <v>0</v>
      </c>
      <c r="Q249" t="n">
        <v>0</v>
      </c>
      <c r="R249" s="2" t="inlineStr"/>
    </row>
    <row r="250" ht="15" customHeight="1">
      <c r="A250" t="inlineStr">
        <is>
          <t>A 43088-2022</t>
        </is>
      </c>
      <c r="B250" s="1" t="n">
        <v>44833</v>
      </c>
      <c r="C250" s="1" t="n">
        <v>46037</v>
      </c>
      <c r="D250" t="inlineStr">
        <is>
          <t>SÖDERMANLANDS LÄN</t>
        </is>
      </c>
      <c r="E250" t="inlineStr">
        <is>
          <t>KATRINEHOLM</t>
        </is>
      </c>
      <c r="G250" t="n">
        <v>6.6</v>
      </c>
      <c r="H250" t="n">
        <v>0</v>
      </c>
      <c r="I250" t="n">
        <v>0</v>
      </c>
      <c r="J250" t="n">
        <v>0</v>
      </c>
      <c r="K250" t="n">
        <v>0</v>
      </c>
      <c r="L250" t="n">
        <v>0</v>
      </c>
      <c r="M250" t="n">
        <v>0</v>
      </c>
      <c r="N250" t="n">
        <v>0</v>
      </c>
      <c r="O250" t="n">
        <v>0</v>
      </c>
      <c r="P250" t="n">
        <v>0</v>
      </c>
      <c r="Q250" t="n">
        <v>0</v>
      </c>
      <c r="R250" s="2" t="inlineStr"/>
    </row>
    <row r="251" ht="15" customHeight="1">
      <c r="A251" t="inlineStr">
        <is>
          <t>A 64605-2023</t>
        </is>
      </c>
      <c r="B251" s="1" t="n">
        <v>45281</v>
      </c>
      <c r="C251" s="1" t="n">
        <v>46037</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56086-2023</t>
        </is>
      </c>
      <c r="B252" s="1" t="n">
        <v>45240</v>
      </c>
      <c r="C252" s="1" t="n">
        <v>46037</v>
      </c>
      <c r="D252" t="inlineStr">
        <is>
          <t>SÖDERMANLANDS LÄN</t>
        </is>
      </c>
      <c r="E252" t="inlineStr">
        <is>
          <t>KATRINEHOLM</t>
        </is>
      </c>
      <c r="F252" t="inlineStr">
        <is>
          <t>Kyrkan</t>
        </is>
      </c>
      <c r="G252" t="n">
        <v>17</v>
      </c>
      <c r="H252" t="n">
        <v>0</v>
      </c>
      <c r="I252" t="n">
        <v>0</v>
      </c>
      <c r="J252" t="n">
        <v>0</v>
      </c>
      <c r="K252" t="n">
        <v>0</v>
      </c>
      <c r="L252" t="n">
        <v>0</v>
      </c>
      <c r="M252" t="n">
        <v>0</v>
      </c>
      <c r="N252" t="n">
        <v>0</v>
      </c>
      <c r="O252" t="n">
        <v>0</v>
      </c>
      <c r="P252" t="n">
        <v>0</v>
      </c>
      <c r="Q252" t="n">
        <v>0</v>
      </c>
      <c r="R252" s="2" t="inlineStr"/>
    </row>
    <row r="253" ht="15" customHeight="1">
      <c r="A253" t="inlineStr">
        <is>
          <t>A 61423-2024</t>
        </is>
      </c>
      <c r="B253" s="1" t="n">
        <v>45646.45209490741</v>
      </c>
      <c r="C253" s="1" t="n">
        <v>46037</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41727-2024</t>
        </is>
      </c>
      <c r="B254" s="1" t="n">
        <v>45560</v>
      </c>
      <c r="C254" s="1" t="n">
        <v>46037</v>
      </c>
      <c r="D254" t="inlineStr">
        <is>
          <t>SÖDERMANLANDS LÄN</t>
        </is>
      </c>
      <c r="E254" t="inlineStr">
        <is>
          <t>KATRINEHOLM</t>
        </is>
      </c>
      <c r="G254" t="n">
        <v>3.9</v>
      </c>
      <c r="H254" t="n">
        <v>0</v>
      </c>
      <c r="I254" t="n">
        <v>0</v>
      </c>
      <c r="J254" t="n">
        <v>0</v>
      </c>
      <c r="K254" t="n">
        <v>0</v>
      </c>
      <c r="L254" t="n">
        <v>0</v>
      </c>
      <c r="M254" t="n">
        <v>0</v>
      </c>
      <c r="N254" t="n">
        <v>0</v>
      </c>
      <c r="O254" t="n">
        <v>0</v>
      </c>
      <c r="P254" t="n">
        <v>0</v>
      </c>
      <c r="Q254" t="n">
        <v>0</v>
      </c>
      <c r="R254" s="2" t="inlineStr"/>
    </row>
    <row r="255" ht="15" customHeight="1">
      <c r="A255" t="inlineStr">
        <is>
          <t>A 28427-2024</t>
        </is>
      </c>
      <c r="B255" s="1" t="n">
        <v>45477.64910879629</v>
      </c>
      <c r="C255" s="1" t="n">
        <v>46037</v>
      </c>
      <c r="D255" t="inlineStr">
        <is>
          <t>SÖDERMANLANDS LÄN</t>
        </is>
      </c>
      <c r="E255" t="inlineStr">
        <is>
          <t>KATRINEHOLM</t>
        </is>
      </c>
      <c r="G255" t="n">
        <v>5.9</v>
      </c>
      <c r="H255" t="n">
        <v>0</v>
      </c>
      <c r="I255" t="n">
        <v>0</v>
      </c>
      <c r="J255" t="n">
        <v>0</v>
      </c>
      <c r="K255" t="n">
        <v>0</v>
      </c>
      <c r="L255" t="n">
        <v>0</v>
      </c>
      <c r="M255" t="n">
        <v>0</v>
      </c>
      <c r="N255" t="n">
        <v>0</v>
      </c>
      <c r="O255" t="n">
        <v>0</v>
      </c>
      <c r="P255" t="n">
        <v>0</v>
      </c>
      <c r="Q255" t="n">
        <v>0</v>
      </c>
      <c r="R255" s="2" t="inlineStr"/>
    </row>
    <row r="256" ht="15" customHeight="1">
      <c r="A256" t="inlineStr">
        <is>
          <t>A 28582-2024</t>
        </is>
      </c>
      <c r="B256" s="1" t="n">
        <v>45478.40751157407</v>
      </c>
      <c r="C256" s="1" t="n">
        <v>46037</v>
      </c>
      <c r="D256" t="inlineStr">
        <is>
          <t>SÖDERMANLANDS LÄN</t>
        </is>
      </c>
      <c r="E256" t="inlineStr">
        <is>
          <t>KATRINEHOLM</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26081-2024</t>
        </is>
      </c>
      <c r="B257" s="1" t="n">
        <v>45462</v>
      </c>
      <c r="C257" s="1" t="n">
        <v>46037</v>
      </c>
      <c r="D257" t="inlineStr">
        <is>
          <t>SÖDERMANLANDS LÄN</t>
        </is>
      </c>
      <c r="E257" t="inlineStr">
        <is>
          <t>KATRINEHOLM</t>
        </is>
      </c>
      <c r="G257" t="n">
        <v>4.1</v>
      </c>
      <c r="H257" t="n">
        <v>0</v>
      </c>
      <c r="I257" t="n">
        <v>0</v>
      </c>
      <c r="J257" t="n">
        <v>0</v>
      </c>
      <c r="K257" t="n">
        <v>0</v>
      </c>
      <c r="L257" t="n">
        <v>0</v>
      </c>
      <c r="M257" t="n">
        <v>0</v>
      </c>
      <c r="N257" t="n">
        <v>0</v>
      </c>
      <c r="O257" t="n">
        <v>0</v>
      </c>
      <c r="P257" t="n">
        <v>0</v>
      </c>
      <c r="Q257" t="n">
        <v>0</v>
      </c>
      <c r="R257" s="2" t="inlineStr"/>
    </row>
    <row r="258" ht="15" customHeight="1">
      <c r="A258" t="inlineStr">
        <is>
          <t>A 38708-2025</t>
        </is>
      </c>
      <c r="B258" s="1" t="n">
        <v>45885</v>
      </c>
      <c r="C258" s="1" t="n">
        <v>46037</v>
      </c>
      <c r="D258" t="inlineStr">
        <is>
          <t>SÖDERMANLANDS LÄN</t>
        </is>
      </c>
      <c r="E258" t="inlineStr">
        <is>
          <t>KATRINEHOLM</t>
        </is>
      </c>
      <c r="G258" t="n">
        <v>1.9</v>
      </c>
      <c r="H258" t="n">
        <v>0</v>
      </c>
      <c r="I258" t="n">
        <v>0</v>
      </c>
      <c r="J258" t="n">
        <v>0</v>
      </c>
      <c r="K258" t="n">
        <v>0</v>
      </c>
      <c r="L258" t="n">
        <v>0</v>
      </c>
      <c r="M258" t="n">
        <v>0</v>
      </c>
      <c r="N258" t="n">
        <v>0</v>
      </c>
      <c r="O258" t="n">
        <v>0</v>
      </c>
      <c r="P258" t="n">
        <v>0</v>
      </c>
      <c r="Q258" t="n">
        <v>0</v>
      </c>
      <c r="R258" s="2" t="inlineStr"/>
    </row>
    <row r="259" ht="15" customHeight="1">
      <c r="A259" t="inlineStr">
        <is>
          <t>A 30242-2023</t>
        </is>
      </c>
      <c r="B259" s="1" t="n">
        <v>45099</v>
      </c>
      <c r="C259" s="1" t="n">
        <v>46037</v>
      </c>
      <c r="D259" t="inlineStr">
        <is>
          <t>SÖDERMANLANDS LÄN</t>
        </is>
      </c>
      <c r="E259" t="inlineStr">
        <is>
          <t>KATRINEHOLM</t>
        </is>
      </c>
      <c r="G259" t="n">
        <v>3</v>
      </c>
      <c r="H259" t="n">
        <v>0</v>
      </c>
      <c r="I259" t="n">
        <v>0</v>
      </c>
      <c r="J259" t="n">
        <v>0</v>
      </c>
      <c r="K259" t="n">
        <v>0</v>
      </c>
      <c r="L259" t="n">
        <v>0</v>
      </c>
      <c r="M259" t="n">
        <v>0</v>
      </c>
      <c r="N259" t="n">
        <v>0</v>
      </c>
      <c r="O259" t="n">
        <v>0</v>
      </c>
      <c r="P259" t="n">
        <v>0</v>
      </c>
      <c r="Q259" t="n">
        <v>0</v>
      </c>
      <c r="R259" s="2" t="inlineStr"/>
    </row>
    <row r="260" ht="15" customHeight="1">
      <c r="A260" t="inlineStr">
        <is>
          <t>A 24717-2025</t>
        </is>
      </c>
      <c r="B260" s="1" t="n">
        <v>45799.27168981481</v>
      </c>
      <c r="C260" s="1" t="n">
        <v>46037</v>
      </c>
      <c r="D260" t="inlineStr">
        <is>
          <t>SÖDERMANLANDS LÄN</t>
        </is>
      </c>
      <c r="E260" t="inlineStr">
        <is>
          <t>KATRINEHOLM</t>
        </is>
      </c>
      <c r="G260" t="n">
        <v>24.5</v>
      </c>
      <c r="H260" t="n">
        <v>0</v>
      </c>
      <c r="I260" t="n">
        <v>0</v>
      </c>
      <c r="J260" t="n">
        <v>0</v>
      </c>
      <c r="K260" t="n">
        <v>0</v>
      </c>
      <c r="L260" t="n">
        <v>0</v>
      </c>
      <c r="M260" t="n">
        <v>0</v>
      </c>
      <c r="N260" t="n">
        <v>0</v>
      </c>
      <c r="O260" t="n">
        <v>0</v>
      </c>
      <c r="P260" t="n">
        <v>0</v>
      </c>
      <c r="Q260" t="n">
        <v>0</v>
      </c>
      <c r="R260" s="2" t="inlineStr"/>
    </row>
    <row r="261" ht="15" customHeight="1">
      <c r="A261" t="inlineStr">
        <is>
          <t>A 53999-2023</t>
        </is>
      </c>
      <c r="B261" s="1" t="n">
        <v>45231</v>
      </c>
      <c r="C261" s="1" t="n">
        <v>46037</v>
      </c>
      <c r="D261" t="inlineStr">
        <is>
          <t>SÖDERMANLANDS LÄN</t>
        </is>
      </c>
      <c r="E261" t="inlineStr">
        <is>
          <t>KATRINEHOLM</t>
        </is>
      </c>
      <c r="G261" t="n">
        <v>5.4</v>
      </c>
      <c r="H261" t="n">
        <v>0</v>
      </c>
      <c r="I261" t="n">
        <v>0</v>
      </c>
      <c r="J261" t="n">
        <v>0</v>
      </c>
      <c r="K261" t="n">
        <v>0</v>
      </c>
      <c r="L261" t="n">
        <v>0</v>
      </c>
      <c r="M261" t="n">
        <v>0</v>
      </c>
      <c r="N261" t="n">
        <v>0</v>
      </c>
      <c r="O261" t="n">
        <v>0</v>
      </c>
      <c r="P261" t="n">
        <v>0</v>
      </c>
      <c r="Q261" t="n">
        <v>0</v>
      </c>
      <c r="R261" s="2" t="inlineStr"/>
    </row>
    <row r="262" ht="15" customHeight="1">
      <c r="A262" t="inlineStr">
        <is>
          <t>A 24719-2025</t>
        </is>
      </c>
      <c r="B262" s="1" t="n">
        <v>45799</v>
      </c>
      <c r="C262" s="1" t="n">
        <v>46037</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69117-2021</t>
        </is>
      </c>
      <c r="B263" s="1" t="n">
        <v>44530.82445601852</v>
      </c>
      <c r="C263" s="1" t="n">
        <v>46037</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39645-2025</t>
        </is>
      </c>
      <c r="B264" s="1" t="n">
        <v>45890</v>
      </c>
      <c r="C264" s="1" t="n">
        <v>46037</v>
      </c>
      <c r="D264" t="inlineStr">
        <is>
          <t>SÖDERMANLANDS LÄN</t>
        </is>
      </c>
      <c r="E264" t="inlineStr">
        <is>
          <t>KATRINEHOLM</t>
        </is>
      </c>
      <c r="G264" t="n">
        <v>0.2</v>
      </c>
      <c r="H264" t="n">
        <v>0</v>
      </c>
      <c r="I264" t="n">
        <v>0</v>
      </c>
      <c r="J264" t="n">
        <v>0</v>
      </c>
      <c r="K264" t="n">
        <v>0</v>
      </c>
      <c r="L264" t="n">
        <v>0</v>
      </c>
      <c r="M264" t="n">
        <v>0</v>
      </c>
      <c r="N264" t="n">
        <v>0</v>
      </c>
      <c r="O264" t="n">
        <v>0</v>
      </c>
      <c r="P264" t="n">
        <v>0</v>
      </c>
      <c r="Q264" t="n">
        <v>0</v>
      </c>
      <c r="R264" s="2" t="inlineStr"/>
    </row>
    <row r="265" ht="15" customHeight="1">
      <c r="A265" t="inlineStr">
        <is>
          <t>A 38308-2021</t>
        </is>
      </c>
      <c r="B265" s="1" t="n">
        <v>44406</v>
      </c>
      <c r="C265" s="1" t="n">
        <v>46037</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55172-2022</t>
        </is>
      </c>
      <c r="B266" s="1" t="n">
        <v>44886</v>
      </c>
      <c r="C266" s="1" t="n">
        <v>46037</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67337-2021</t>
        </is>
      </c>
      <c r="B267" s="1" t="n">
        <v>44523</v>
      </c>
      <c r="C267" s="1" t="n">
        <v>46037</v>
      </c>
      <c r="D267" t="inlineStr">
        <is>
          <t>SÖDERMANLANDS LÄN</t>
        </is>
      </c>
      <c r="E267" t="inlineStr">
        <is>
          <t>KATRINEHOLM</t>
        </is>
      </c>
      <c r="G267" t="n">
        <v>5.2</v>
      </c>
      <c r="H267" t="n">
        <v>0</v>
      </c>
      <c r="I267" t="n">
        <v>0</v>
      </c>
      <c r="J267" t="n">
        <v>0</v>
      </c>
      <c r="K267" t="n">
        <v>0</v>
      </c>
      <c r="L267" t="n">
        <v>0</v>
      </c>
      <c r="M267" t="n">
        <v>0</v>
      </c>
      <c r="N267" t="n">
        <v>0</v>
      </c>
      <c r="O267" t="n">
        <v>0</v>
      </c>
      <c r="P267" t="n">
        <v>0</v>
      </c>
      <c r="Q267" t="n">
        <v>0</v>
      </c>
      <c r="R267" s="2" t="inlineStr"/>
    </row>
    <row r="268" ht="15" customHeight="1">
      <c r="A268" t="inlineStr">
        <is>
          <t>A 39663-2025</t>
        </is>
      </c>
      <c r="B268" s="1" t="n">
        <v>45890</v>
      </c>
      <c r="C268" s="1" t="n">
        <v>46037</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39668-2025</t>
        </is>
      </c>
      <c r="B269" s="1" t="n">
        <v>45890</v>
      </c>
      <c r="C269" s="1" t="n">
        <v>46037</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29394-2024</t>
        </is>
      </c>
      <c r="B270" s="1" t="n">
        <v>45483</v>
      </c>
      <c r="C270" s="1" t="n">
        <v>46037</v>
      </c>
      <c r="D270" t="inlineStr">
        <is>
          <t>SÖDERMANLANDS LÄN</t>
        </is>
      </c>
      <c r="E270" t="inlineStr">
        <is>
          <t>KATRINEHOLM</t>
        </is>
      </c>
      <c r="G270" t="n">
        <v>0.9</v>
      </c>
      <c r="H270" t="n">
        <v>0</v>
      </c>
      <c r="I270" t="n">
        <v>0</v>
      </c>
      <c r="J270" t="n">
        <v>0</v>
      </c>
      <c r="K270" t="n">
        <v>0</v>
      </c>
      <c r="L270" t="n">
        <v>0</v>
      </c>
      <c r="M270" t="n">
        <v>0</v>
      </c>
      <c r="N270" t="n">
        <v>0</v>
      </c>
      <c r="O270" t="n">
        <v>0</v>
      </c>
      <c r="P270" t="n">
        <v>0</v>
      </c>
      <c r="Q270" t="n">
        <v>0</v>
      </c>
      <c r="R270" s="2" t="inlineStr"/>
    </row>
    <row r="271" ht="15" customHeight="1">
      <c r="A271" t="inlineStr">
        <is>
          <t>A 25786-2025</t>
        </is>
      </c>
      <c r="B271" s="1" t="n">
        <v>45804.37456018518</v>
      </c>
      <c r="C271" s="1" t="n">
        <v>46037</v>
      </c>
      <c r="D271" t="inlineStr">
        <is>
          <t>SÖDERMANLANDS LÄN</t>
        </is>
      </c>
      <c r="E271" t="inlineStr">
        <is>
          <t>KATRINEHOLM</t>
        </is>
      </c>
      <c r="F271" t="inlineStr">
        <is>
          <t>Holmen skog AB</t>
        </is>
      </c>
      <c r="G271" t="n">
        <v>1.3</v>
      </c>
      <c r="H271" t="n">
        <v>0</v>
      </c>
      <c r="I271" t="n">
        <v>0</v>
      </c>
      <c r="J271" t="n">
        <v>0</v>
      </c>
      <c r="K271" t="n">
        <v>0</v>
      </c>
      <c r="L271" t="n">
        <v>0</v>
      </c>
      <c r="M271" t="n">
        <v>0</v>
      </c>
      <c r="N271" t="n">
        <v>0</v>
      </c>
      <c r="O271" t="n">
        <v>0</v>
      </c>
      <c r="P271" t="n">
        <v>0</v>
      </c>
      <c r="Q271" t="n">
        <v>0</v>
      </c>
      <c r="R271" s="2" t="inlineStr"/>
    </row>
    <row r="272" ht="15" customHeight="1">
      <c r="A272" t="inlineStr">
        <is>
          <t>A 50032-2022</t>
        </is>
      </c>
      <c r="B272" s="1" t="n">
        <v>44860</v>
      </c>
      <c r="C272" s="1" t="n">
        <v>46037</v>
      </c>
      <c r="D272" t="inlineStr">
        <is>
          <t>SÖDERMANLANDS LÄN</t>
        </is>
      </c>
      <c r="E272" t="inlineStr">
        <is>
          <t>KATRINEHOLM</t>
        </is>
      </c>
      <c r="G272" t="n">
        <v>7.5</v>
      </c>
      <c r="H272" t="n">
        <v>0</v>
      </c>
      <c r="I272" t="n">
        <v>0</v>
      </c>
      <c r="J272" t="n">
        <v>0</v>
      </c>
      <c r="K272" t="n">
        <v>0</v>
      </c>
      <c r="L272" t="n">
        <v>0</v>
      </c>
      <c r="M272" t="n">
        <v>0</v>
      </c>
      <c r="N272" t="n">
        <v>0</v>
      </c>
      <c r="O272" t="n">
        <v>0</v>
      </c>
      <c r="P272" t="n">
        <v>0</v>
      </c>
      <c r="Q272" t="n">
        <v>0</v>
      </c>
      <c r="R272" s="2" t="inlineStr"/>
    </row>
    <row r="273" ht="15" customHeight="1">
      <c r="A273" t="inlineStr">
        <is>
          <t>A 26713-2024</t>
        </is>
      </c>
      <c r="B273" s="1" t="n">
        <v>45470</v>
      </c>
      <c r="C273" s="1" t="n">
        <v>46037</v>
      </c>
      <c r="D273" t="inlineStr">
        <is>
          <t>SÖDERMANLANDS LÄN</t>
        </is>
      </c>
      <c r="E273" t="inlineStr">
        <is>
          <t>KATRINEHOLM</t>
        </is>
      </c>
      <c r="G273" t="n">
        <v>0.7</v>
      </c>
      <c r="H273" t="n">
        <v>0</v>
      </c>
      <c r="I273" t="n">
        <v>0</v>
      </c>
      <c r="J273" t="n">
        <v>0</v>
      </c>
      <c r="K273" t="n">
        <v>0</v>
      </c>
      <c r="L273" t="n">
        <v>0</v>
      </c>
      <c r="M273" t="n">
        <v>0</v>
      </c>
      <c r="N273" t="n">
        <v>0</v>
      </c>
      <c r="O273" t="n">
        <v>0</v>
      </c>
      <c r="P273" t="n">
        <v>0</v>
      </c>
      <c r="Q273" t="n">
        <v>0</v>
      </c>
      <c r="R273" s="2" t="inlineStr"/>
    </row>
    <row r="274" ht="15" customHeight="1">
      <c r="A274" t="inlineStr">
        <is>
          <t>A 43837-2022</t>
        </is>
      </c>
      <c r="B274" s="1" t="n">
        <v>44838</v>
      </c>
      <c r="C274" s="1" t="n">
        <v>46037</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26154-2025</t>
        </is>
      </c>
      <c r="B275" s="1" t="n">
        <v>45805.43341435185</v>
      </c>
      <c r="C275" s="1" t="n">
        <v>46037</v>
      </c>
      <c r="D275" t="inlineStr">
        <is>
          <t>SÖDERMANLANDS LÄN</t>
        </is>
      </c>
      <c r="E275" t="inlineStr">
        <is>
          <t>KATRINEHOLM</t>
        </is>
      </c>
      <c r="G275" t="n">
        <v>4.5</v>
      </c>
      <c r="H275" t="n">
        <v>0</v>
      </c>
      <c r="I275" t="n">
        <v>0</v>
      </c>
      <c r="J275" t="n">
        <v>0</v>
      </c>
      <c r="K275" t="n">
        <v>0</v>
      </c>
      <c r="L275" t="n">
        <v>0</v>
      </c>
      <c r="M275" t="n">
        <v>0</v>
      </c>
      <c r="N275" t="n">
        <v>0</v>
      </c>
      <c r="O275" t="n">
        <v>0</v>
      </c>
      <c r="P275" t="n">
        <v>0</v>
      </c>
      <c r="Q275" t="n">
        <v>0</v>
      </c>
      <c r="R275" s="2" t="inlineStr"/>
    </row>
    <row r="276" ht="15" customHeight="1">
      <c r="A276" t="inlineStr">
        <is>
          <t>A 57510-2021</t>
        </is>
      </c>
      <c r="B276" s="1" t="n">
        <v>44483</v>
      </c>
      <c r="C276" s="1" t="n">
        <v>46037</v>
      </c>
      <c r="D276" t="inlineStr">
        <is>
          <t>SÖDERMANLANDS LÄN</t>
        </is>
      </c>
      <c r="E276" t="inlineStr">
        <is>
          <t>KATRINEHOLM</t>
        </is>
      </c>
      <c r="G276" t="n">
        <v>0.6</v>
      </c>
      <c r="H276" t="n">
        <v>0</v>
      </c>
      <c r="I276" t="n">
        <v>0</v>
      </c>
      <c r="J276" t="n">
        <v>0</v>
      </c>
      <c r="K276" t="n">
        <v>0</v>
      </c>
      <c r="L276" t="n">
        <v>0</v>
      </c>
      <c r="M276" t="n">
        <v>0</v>
      </c>
      <c r="N276" t="n">
        <v>0</v>
      </c>
      <c r="O276" t="n">
        <v>0</v>
      </c>
      <c r="P276" t="n">
        <v>0</v>
      </c>
      <c r="Q276" t="n">
        <v>0</v>
      </c>
      <c r="R276" s="2" t="inlineStr"/>
    </row>
    <row r="277" ht="15" customHeight="1">
      <c r="A277" t="inlineStr">
        <is>
          <t>A 26156-2025</t>
        </is>
      </c>
      <c r="B277" s="1" t="n">
        <v>45805.43864583333</v>
      </c>
      <c r="C277" s="1" t="n">
        <v>46037</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39737-2025</t>
        </is>
      </c>
      <c r="B278" s="1" t="n">
        <v>45891</v>
      </c>
      <c r="C278" s="1" t="n">
        <v>46037</v>
      </c>
      <c r="D278" t="inlineStr">
        <is>
          <t>SÖDERMANLANDS LÄN</t>
        </is>
      </c>
      <c r="E278" t="inlineStr">
        <is>
          <t>KATRINEHOLM</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39847-2025</t>
        </is>
      </c>
      <c r="B279" s="1" t="n">
        <v>45891.58381944444</v>
      </c>
      <c r="C279" s="1" t="n">
        <v>46037</v>
      </c>
      <c r="D279" t="inlineStr">
        <is>
          <t>SÖDERMANLANDS LÄN</t>
        </is>
      </c>
      <c r="E279" t="inlineStr">
        <is>
          <t>KATRINEHOLM</t>
        </is>
      </c>
      <c r="F279" t="inlineStr">
        <is>
          <t>Holmen skog AB</t>
        </is>
      </c>
      <c r="G279" t="n">
        <v>2.5</v>
      </c>
      <c r="H279" t="n">
        <v>0</v>
      </c>
      <c r="I279" t="n">
        <v>0</v>
      </c>
      <c r="J279" t="n">
        <v>0</v>
      </c>
      <c r="K279" t="n">
        <v>0</v>
      </c>
      <c r="L279" t="n">
        <v>0</v>
      </c>
      <c r="M279" t="n">
        <v>0</v>
      </c>
      <c r="N279" t="n">
        <v>0</v>
      </c>
      <c r="O279" t="n">
        <v>0</v>
      </c>
      <c r="P279" t="n">
        <v>0</v>
      </c>
      <c r="Q279" t="n">
        <v>0</v>
      </c>
      <c r="R279" s="2" t="inlineStr"/>
    </row>
    <row r="280" ht="15" customHeight="1">
      <c r="A280" t="inlineStr">
        <is>
          <t>A 55732-2023</t>
        </is>
      </c>
      <c r="B280" s="1" t="n">
        <v>45239</v>
      </c>
      <c r="C280" s="1" t="n">
        <v>46037</v>
      </c>
      <c r="D280" t="inlineStr">
        <is>
          <t>SÖDERMANLANDS LÄN</t>
        </is>
      </c>
      <c r="E280" t="inlineStr">
        <is>
          <t>KATRINEHOLM</t>
        </is>
      </c>
      <c r="G280" t="n">
        <v>0.9</v>
      </c>
      <c r="H280" t="n">
        <v>0</v>
      </c>
      <c r="I280" t="n">
        <v>0</v>
      </c>
      <c r="J280" t="n">
        <v>0</v>
      </c>
      <c r="K280" t="n">
        <v>0</v>
      </c>
      <c r="L280" t="n">
        <v>0</v>
      </c>
      <c r="M280" t="n">
        <v>0</v>
      </c>
      <c r="N280" t="n">
        <v>0</v>
      </c>
      <c r="O280" t="n">
        <v>0</v>
      </c>
      <c r="P280" t="n">
        <v>0</v>
      </c>
      <c r="Q280" t="n">
        <v>0</v>
      </c>
      <c r="R280" s="2" t="inlineStr"/>
    </row>
    <row r="281" ht="15" customHeight="1">
      <c r="A281" t="inlineStr">
        <is>
          <t>A 40159-2023</t>
        </is>
      </c>
      <c r="B281" s="1" t="n">
        <v>45169</v>
      </c>
      <c r="C281" s="1" t="n">
        <v>46037</v>
      </c>
      <c r="D281" t="inlineStr">
        <is>
          <t>SÖDERMANLANDS LÄN</t>
        </is>
      </c>
      <c r="E281" t="inlineStr">
        <is>
          <t>KATRINEHOLM</t>
        </is>
      </c>
      <c r="F281" t="inlineStr">
        <is>
          <t>Övriga Aktiebolag</t>
        </is>
      </c>
      <c r="G281" t="n">
        <v>1.1</v>
      </c>
      <c r="H281" t="n">
        <v>0</v>
      </c>
      <c r="I281" t="n">
        <v>0</v>
      </c>
      <c r="J281" t="n">
        <v>0</v>
      </c>
      <c r="K281" t="n">
        <v>0</v>
      </c>
      <c r="L281" t="n">
        <v>0</v>
      </c>
      <c r="M281" t="n">
        <v>0</v>
      </c>
      <c r="N281" t="n">
        <v>0</v>
      </c>
      <c r="O281" t="n">
        <v>0</v>
      </c>
      <c r="P281" t="n">
        <v>0</v>
      </c>
      <c r="Q281" t="n">
        <v>0</v>
      </c>
      <c r="R281" s="2" t="inlineStr"/>
    </row>
    <row r="282" ht="15" customHeight="1">
      <c r="A282" t="inlineStr">
        <is>
          <t>A 28675-2024</t>
        </is>
      </c>
      <c r="B282" s="1" t="n">
        <v>45478</v>
      </c>
      <c r="C282" s="1" t="n">
        <v>46037</v>
      </c>
      <c r="D282" t="inlineStr">
        <is>
          <t>SÖDERMANLANDS LÄN</t>
        </is>
      </c>
      <c r="E282" t="inlineStr">
        <is>
          <t>KATRINEHOLM</t>
        </is>
      </c>
      <c r="F282" t="inlineStr">
        <is>
          <t>Övriga Aktiebolag</t>
        </is>
      </c>
      <c r="G282" t="n">
        <v>3.5</v>
      </c>
      <c r="H282" t="n">
        <v>0</v>
      </c>
      <c r="I282" t="n">
        <v>0</v>
      </c>
      <c r="J282" t="n">
        <v>0</v>
      </c>
      <c r="K282" t="n">
        <v>0</v>
      </c>
      <c r="L282" t="n">
        <v>0</v>
      </c>
      <c r="M282" t="n">
        <v>0</v>
      </c>
      <c r="N282" t="n">
        <v>0</v>
      </c>
      <c r="O282" t="n">
        <v>0</v>
      </c>
      <c r="P282" t="n">
        <v>0</v>
      </c>
      <c r="Q282" t="n">
        <v>0</v>
      </c>
      <c r="R282" s="2" t="inlineStr"/>
    </row>
    <row r="283" ht="15" customHeight="1">
      <c r="A283" t="inlineStr">
        <is>
          <t>A 27875-2024</t>
        </is>
      </c>
      <c r="B283" s="1" t="n">
        <v>45475</v>
      </c>
      <c r="C283" s="1" t="n">
        <v>46037</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27376-2024</t>
        </is>
      </c>
      <c r="B284" s="1" t="n">
        <v>45473.88313657408</v>
      </c>
      <c r="C284" s="1" t="n">
        <v>46037</v>
      </c>
      <c r="D284" t="inlineStr">
        <is>
          <t>SÖDERMANLANDS LÄN</t>
        </is>
      </c>
      <c r="E284" t="inlineStr">
        <is>
          <t>KATRINEHOLM</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28995-2024</t>
        </is>
      </c>
      <c r="B285" s="1" t="n">
        <v>45481.49899305555</v>
      </c>
      <c r="C285" s="1" t="n">
        <v>46037</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44989-2022</t>
        </is>
      </c>
      <c r="B286" s="1" t="n">
        <v>44840</v>
      </c>
      <c r="C286" s="1" t="n">
        <v>46037</v>
      </c>
      <c r="D286" t="inlineStr">
        <is>
          <t>SÖDERMANLANDS LÄN</t>
        </is>
      </c>
      <c r="E286" t="inlineStr">
        <is>
          <t>KATRINEHOLM</t>
        </is>
      </c>
      <c r="G286" t="n">
        <v>6</v>
      </c>
      <c r="H286" t="n">
        <v>0</v>
      </c>
      <c r="I286" t="n">
        <v>0</v>
      </c>
      <c r="J286" t="n">
        <v>0</v>
      </c>
      <c r="K286" t="n">
        <v>0</v>
      </c>
      <c r="L286" t="n">
        <v>0</v>
      </c>
      <c r="M286" t="n">
        <v>0</v>
      </c>
      <c r="N286" t="n">
        <v>0</v>
      </c>
      <c r="O286" t="n">
        <v>0</v>
      </c>
      <c r="P286" t="n">
        <v>0</v>
      </c>
      <c r="Q286" t="n">
        <v>0</v>
      </c>
      <c r="R286" s="2" t="inlineStr"/>
    </row>
    <row r="287" ht="15" customHeight="1">
      <c r="A287" t="inlineStr">
        <is>
          <t>A 48259-2022</t>
        </is>
      </c>
      <c r="B287" s="1" t="n">
        <v>44858</v>
      </c>
      <c r="C287" s="1" t="n">
        <v>46037</v>
      </c>
      <c r="D287" t="inlineStr">
        <is>
          <t>SÖDERMANLANDS LÄN</t>
        </is>
      </c>
      <c r="E287" t="inlineStr">
        <is>
          <t>KATRINEHOLM</t>
        </is>
      </c>
      <c r="G287" t="n">
        <v>3.5</v>
      </c>
      <c r="H287" t="n">
        <v>0</v>
      </c>
      <c r="I287" t="n">
        <v>0</v>
      </c>
      <c r="J287" t="n">
        <v>0</v>
      </c>
      <c r="K287" t="n">
        <v>0</v>
      </c>
      <c r="L287" t="n">
        <v>0</v>
      </c>
      <c r="M287" t="n">
        <v>0</v>
      </c>
      <c r="N287" t="n">
        <v>0</v>
      </c>
      <c r="O287" t="n">
        <v>0</v>
      </c>
      <c r="P287" t="n">
        <v>0</v>
      </c>
      <c r="Q287" t="n">
        <v>0</v>
      </c>
      <c r="R287" s="2" t="inlineStr"/>
    </row>
    <row r="288" ht="15" customHeight="1">
      <c r="A288" t="inlineStr">
        <is>
          <t>A 28992-2024</t>
        </is>
      </c>
      <c r="B288" s="1" t="n">
        <v>45481.49289351852</v>
      </c>
      <c r="C288" s="1" t="n">
        <v>46037</v>
      </c>
      <c r="D288" t="inlineStr">
        <is>
          <t>SÖDERMANLANDS LÄN</t>
        </is>
      </c>
      <c r="E288" t="inlineStr">
        <is>
          <t>KATRINEHOLM</t>
        </is>
      </c>
      <c r="G288" t="n">
        <v>2.3</v>
      </c>
      <c r="H288" t="n">
        <v>0</v>
      </c>
      <c r="I288" t="n">
        <v>0</v>
      </c>
      <c r="J288" t="n">
        <v>0</v>
      </c>
      <c r="K288" t="n">
        <v>0</v>
      </c>
      <c r="L288" t="n">
        <v>0</v>
      </c>
      <c r="M288" t="n">
        <v>0</v>
      </c>
      <c r="N288" t="n">
        <v>0</v>
      </c>
      <c r="O288" t="n">
        <v>0</v>
      </c>
      <c r="P288" t="n">
        <v>0</v>
      </c>
      <c r="Q288" t="n">
        <v>0</v>
      </c>
      <c r="R288" s="2" t="inlineStr"/>
    </row>
    <row r="289" ht="15" customHeight="1">
      <c r="A289" t="inlineStr">
        <is>
          <t>A 7322-2023</t>
        </is>
      </c>
      <c r="B289" s="1" t="n">
        <v>44970</v>
      </c>
      <c r="C289" s="1" t="n">
        <v>46037</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2093-2025</t>
        </is>
      </c>
      <c r="B290" s="1" t="n">
        <v>45672</v>
      </c>
      <c r="C290" s="1" t="n">
        <v>46037</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27886-2024</t>
        </is>
      </c>
      <c r="B291" s="1" t="n">
        <v>45475</v>
      </c>
      <c r="C291" s="1" t="n">
        <v>46037</v>
      </c>
      <c r="D291" t="inlineStr">
        <is>
          <t>SÖDERMANLANDS LÄN</t>
        </is>
      </c>
      <c r="E291" t="inlineStr">
        <is>
          <t>KATRINEHOLM</t>
        </is>
      </c>
      <c r="G291" t="n">
        <v>10.3</v>
      </c>
      <c r="H291" t="n">
        <v>0</v>
      </c>
      <c r="I291" t="n">
        <v>0</v>
      </c>
      <c r="J291" t="n">
        <v>0</v>
      </c>
      <c r="K291" t="n">
        <v>0</v>
      </c>
      <c r="L291" t="n">
        <v>0</v>
      </c>
      <c r="M291" t="n">
        <v>0</v>
      </c>
      <c r="N291" t="n">
        <v>0</v>
      </c>
      <c r="O291" t="n">
        <v>0</v>
      </c>
      <c r="P291" t="n">
        <v>0</v>
      </c>
      <c r="Q291" t="n">
        <v>0</v>
      </c>
      <c r="R291" s="2" t="inlineStr"/>
    </row>
    <row r="292" ht="15" customHeight="1">
      <c r="A292" t="inlineStr">
        <is>
          <t>A 41074-2025</t>
        </is>
      </c>
      <c r="B292" s="1" t="n">
        <v>45898</v>
      </c>
      <c r="C292" s="1" t="n">
        <v>46037</v>
      </c>
      <c r="D292" t="inlineStr">
        <is>
          <t>SÖDERMANLANDS LÄN</t>
        </is>
      </c>
      <c r="E292" t="inlineStr">
        <is>
          <t>KATRINEHOLM</t>
        </is>
      </c>
      <c r="F292" t="inlineStr">
        <is>
          <t>Allmännings- och besparingsskogar</t>
        </is>
      </c>
      <c r="G292" t="n">
        <v>4.8</v>
      </c>
      <c r="H292" t="n">
        <v>0</v>
      </c>
      <c r="I292" t="n">
        <v>0</v>
      </c>
      <c r="J292" t="n">
        <v>0</v>
      </c>
      <c r="K292" t="n">
        <v>0</v>
      </c>
      <c r="L292" t="n">
        <v>0</v>
      </c>
      <c r="M292" t="n">
        <v>0</v>
      </c>
      <c r="N292" t="n">
        <v>0</v>
      </c>
      <c r="O292" t="n">
        <v>0</v>
      </c>
      <c r="P292" t="n">
        <v>0</v>
      </c>
      <c r="Q292" t="n">
        <v>0</v>
      </c>
      <c r="R292" s="2" t="inlineStr"/>
    </row>
    <row r="293" ht="15" customHeight="1">
      <c r="A293" t="inlineStr">
        <is>
          <t>A 25363-2023</t>
        </is>
      </c>
      <c r="B293" s="1" t="n">
        <v>45088.83840277778</v>
      </c>
      <c r="C293" s="1" t="n">
        <v>46037</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6722-2022</t>
        </is>
      </c>
      <c r="B294" s="1" t="n">
        <v>44602</v>
      </c>
      <c r="C294" s="1" t="n">
        <v>46037</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41498-2025</t>
        </is>
      </c>
      <c r="B295" s="1" t="n">
        <v>45901.49755787037</v>
      </c>
      <c r="C295" s="1" t="n">
        <v>46037</v>
      </c>
      <c r="D295" t="inlineStr">
        <is>
          <t>SÖDERMANLANDS LÄN</t>
        </is>
      </c>
      <c r="E295" t="inlineStr">
        <is>
          <t>KATRINEHOLM</t>
        </is>
      </c>
      <c r="G295" t="n">
        <v>1.6</v>
      </c>
      <c r="H295" t="n">
        <v>0</v>
      </c>
      <c r="I295" t="n">
        <v>0</v>
      </c>
      <c r="J295" t="n">
        <v>0</v>
      </c>
      <c r="K295" t="n">
        <v>0</v>
      </c>
      <c r="L295" t="n">
        <v>0</v>
      </c>
      <c r="M295" t="n">
        <v>0</v>
      </c>
      <c r="N295" t="n">
        <v>0</v>
      </c>
      <c r="O295" t="n">
        <v>0</v>
      </c>
      <c r="P295" t="n">
        <v>0</v>
      </c>
      <c r="Q295" t="n">
        <v>0</v>
      </c>
      <c r="R295" s="2" t="inlineStr"/>
    </row>
    <row r="296" ht="15" customHeight="1">
      <c r="A296" t="inlineStr">
        <is>
          <t>A 6763-2022</t>
        </is>
      </c>
      <c r="B296" s="1" t="n">
        <v>44602</v>
      </c>
      <c r="C296" s="1" t="n">
        <v>46037</v>
      </c>
      <c r="D296" t="inlineStr">
        <is>
          <t>SÖDERMANLANDS LÄN</t>
        </is>
      </c>
      <c r="E296" t="inlineStr">
        <is>
          <t>KATRINEHOLM</t>
        </is>
      </c>
      <c r="G296" t="n">
        <v>6.7</v>
      </c>
      <c r="H296" t="n">
        <v>0</v>
      </c>
      <c r="I296" t="n">
        <v>0</v>
      </c>
      <c r="J296" t="n">
        <v>0</v>
      </c>
      <c r="K296" t="n">
        <v>0</v>
      </c>
      <c r="L296" t="n">
        <v>0</v>
      </c>
      <c r="M296" t="n">
        <v>0</v>
      </c>
      <c r="N296" t="n">
        <v>0</v>
      </c>
      <c r="O296" t="n">
        <v>0</v>
      </c>
      <c r="P296" t="n">
        <v>0</v>
      </c>
      <c r="Q296" t="n">
        <v>0</v>
      </c>
      <c r="R296" s="2" t="inlineStr"/>
    </row>
    <row r="297" ht="15" customHeight="1">
      <c r="A297" t="inlineStr">
        <is>
          <t>A 49341-2024</t>
        </is>
      </c>
      <c r="B297" s="1" t="n">
        <v>45595</v>
      </c>
      <c r="C297" s="1" t="n">
        <v>46037</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5790-2022</t>
        </is>
      </c>
      <c r="B298" s="1" t="n">
        <v>44596.55368055555</v>
      </c>
      <c r="C298" s="1" t="n">
        <v>46037</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14313-2024</t>
        </is>
      </c>
      <c r="B299" s="1" t="n">
        <v>45393</v>
      </c>
      <c r="C299" s="1" t="n">
        <v>46037</v>
      </c>
      <c r="D299" t="inlineStr">
        <is>
          <t>SÖDERMANLANDS LÄN</t>
        </is>
      </c>
      <c r="E299" t="inlineStr">
        <is>
          <t>KATRINEHOLM</t>
        </is>
      </c>
      <c r="G299" t="n">
        <v>3.1</v>
      </c>
      <c r="H299" t="n">
        <v>0</v>
      </c>
      <c r="I299" t="n">
        <v>0</v>
      </c>
      <c r="J299" t="n">
        <v>0</v>
      </c>
      <c r="K299" t="n">
        <v>0</v>
      </c>
      <c r="L299" t="n">
        <v>0</v>
      </c>
      <c r="M299" t="n">
        <v>0</v>
      </c>
      <c r="N299" t="n">
        <v>0</v>
      </c>
      <c r="O299" t="n">
        <v>0</v>
      </c>
      <c r="P299" t="n">
        <v>0</v>
      </c>
      <c r="Q299" t="n">
        <v>0</v>
      </c>
      <c r="R299" s="2" t="inlineStr"/>
    </row>
    <row r="300" ht="15" customHeight="1">
      <c r="A300" t="inlineStr">
        <is>
          <t>A 41633-2025</t>
        </is>
      </c>
      <c r="B300" s="1" t="n">
        <v>45901</v>
      </c>
      <c r="C300" s="1" t="n">
        <v>46037</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41632-2025</t>
        </is>
      </c>
      <c r="B301" s="1" t="n">
        <v>45901</v>
      </c>
      <c r="C301" s="1" t="n">
        <v>46037</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46037</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29397-2024</t>
        </is>
      </c>
      <c r="B303" s="1" t="n">
        <v>45483</v>
      </c>
      <c r="C303" s="1" t="n">
        <v>46037</v>
      </c>
      <c r="D303" t="inlineStr">
        <is>
          <t>SÖDERMANLANDS LÄN</t>
        </is>
      </c>
      <c r="E303" t="inlineStr">
        <is>
          <t>KATRINEHOLM</t>
        </is>
      </c>
      <c r="G303" t="n">
        <v>3.4</v>
      </c>
      <c r="H303" t="n">
        <v>0</v>
      </c>
      <c r="I303" t="n">
        <v>0</v>
      </c>
      <c r="J303" t="n">
        <v>0</v>
      </c>
      <c r="K303" t="n">
        <v>0</v>
      </c>
      <c r="L303" t="n">
        <v>0</v>
      </c>
      <c r="M303" t="n">
        <v>0</v>
      </c>
      <c r="N303" t="n">
        <v>0</v>
      </c>
      <c r="O303" t="n">
        <v>0</v>
      </c>
      <c r="P303" t="n">
        <v>0</v>
      </c>
      <c r="Q303" t="n">
        <v>0</v>
      </c>
      <c r="R303" s="2" t="inlineStr"/>
    </row>
    <row r="304" ht="15" customHeight="1">
      <c r="A304" t="inlineStr">
        <is>
          <t>A 41793-2025</t>
        </is>
      </c>
      <c r="B304" s="1" t="n">
        <v>45902</v>
      </c>
      <c r="C304" s="1" t="n">
        <v>46037</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27534-2025</t>
        </is>
      </c>
      <c r="B305" s="1" t="n">
        <v>45813</v>
      </c>
      <c r="C305" s="1" t="n">
        <v>46037</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27552-2025</t>
        </is>
      </c>
      <c r="B306" s="1" t="n">
        <v>45813</v>
      </c>
      <c r="C306" s="1" t="n">
        <v>46037</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27636-2025</t>
        </is>
      </c>
      <c r="B307" s="1" t="n">
        <v>45813.57603009259</v>
      </c>
      <c r="C307" s="1" t="n">
        <v>46037</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33278-2024</t>
        </is>
      </c>
      <c r="B308" s="1" t="n">
        <v>45518</v>
      </c>
      <c r="C308" s="1" t="n">
        <v>46037</v>
      </c>
      <c r="D308" t="inlineStr">
        <is>
          <t>SÖDERMANLANDS LÄN</t>
        </is>
      </c>
      <c r="E308" t="inlineStr">
        <is>
          <t>KATRINEHOLM</t>
        </is>
      </c>
      <c r="G308" t="n">
        <v>2.1</v>
      </c>
      <c r="H308" t="n">
        <v>0</v>
      </c>
      <c r="I308" t="n">
        <v>0</v>
      </c>
      <c r="J308" t="n">
        <v>0</v>
      </c>
      <c r="K308" t="n">
        <v>0</v>
      </c>
      <c r="L308" t="n">
        <v>0</v>
      </c>
      <c r="M308" t="n">
        <v>0</v>
      </c>
      <c r="N308" t="n">
        <v>0</v>
      </c>
      <c r="O308" t="n">
        <v>0</v>
      </c>
      <c r="P308" t="n">
        <v>0</v>
      </c>
      <c r="Q308" t="n">
        <v>0</v>
      </c>
      <c r="R308" s="2" t="inlineStr"/>
    </row>
    <row r="309" ht="15" customHeight="1">
      <c r="A309" t="inlineStr">
        <is>
          <t>A 24600-2025</t>
        </is>
      </c>
      <c r="B309" s="1" t="n">
        <v>45798.56348379629</v>
      </c>
      <c r="C309" s="1" t="n">
        <v>46037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9714-2024</t>
        </is>
      </c>
      <c r="B310" s="1" t="n">
        <v>45362</v>
      </c>
      <c r="C310" s="1" t="n">
        <v>46037</v>
      </c>
      <c r="D310" t="inlineStr">
        <is>
          <t>SÖDERMANLANDS LÄN</t>
        </is>
      </c>
      <c r="E310" t="inlineStr">
        <is>
          <t>KATRINEHOLM</t>
        </is>
      </c>
      <c r="G310" t="n">
        <v>4</v>
      </c>
      <c r="H310" t="n">
        <v>0</v>
      </c>
      <c r="I310" t="n">
        <v>0</v>
      </c>
      <c r="J310" t="n">
        <v>0</v>
      </c>
      <c r="K310" t="n">
        <v>0</v>
      </c>
      <c r="L310" t="n">
        <v>0</v>
      </c>
      <c r="M310" t="n">
        <v>0</v>
      </c>
      <c r="N310" t="n">
        <v>0</v>
      </c>
      <c r="O310" t="n">
        <v>0</v>
      </c>
      <c r="P310" t="n">
        <v>0</v>
      </c>
      <c r="Q310" t="n">
        <v>0</v>
      </c>
      <c r="R310" s="2" t="inlineStr"/>
    </row>
    <row r="311" ht="15" customHeight="1">
      <c r="A311" t="inlineStr">
        <is>
          <t>A 24619-2024</t>
        </is>
      </c>
      <c r="B311" s="1" t="n">
        <v>45460</v>
      </c>
      <c r="C311" s="1" t="n">
        <v>46037</v>
      </c>
      <c r="D311" t="inlineStr">
        <is>
          <t>SÖDERMANLANDS LÄN</t>
        </is>
      </c>
      <c r="E311" t="inlineStr">
        <is>
          <t>KATRINEHOLM</t>
        </is>
      </c>
      <c r="G311" t="n">
        <v>4.7</v>
      </c>
      <c r="H311" t="n">
        <v>0</v>
      </c>
      <c r="I311" t="n">
        <v>0</v>
      </c>
      <c r="J311" t="n">
        <v>0</v>
      </c>
      <c r="K311" t="n">
        <v>0</v>
      </c>
      <c r="L311" t="n">
        <v>0</v>
      </c>
      <c r="M311" t="n">
        <v>0</v>
      </c>
      <c r="N311" t="n">
        <v>0</v>
      </c>
      <c r="O311" t="n">
        <v>0</v>
      </c>
      <c r="P311" t="n">
        <v>0</v>
      </c>
      <c r="Q311" t="n">
        <v>0</v>
      </c>
      <c r="R311" s="2" t="inlineStr"/>
    </row>
    <row r="312" ht="15" customHeight="1">
      <c r="A312" t="inlineStr">
        <is>
          <t>A 9699-2024</t>
        </is>
      </c>
      <c r="B312" s="1" t="n">
        <v>45362</v>
      </c>
      <c r="C312" s="1" t="n">
        <v>46037</v>
      </c>
      <c r="D312" t="inlineStr">
        <is>
          <t>SÖDERMANLANDS LÄN</t>
        </is>
      </c>
      <c r="E312" t="inlineStr">
        <is>
          <t>KATRINEHOLM</t>
        </is>
      </c>
      <c r="G312" t="n">
        <v>7.7</v>
      </c>
      <c r="H312" t="n">
        <v>0</v>
      </c>
      <c r="I312" t="n">
        <v>0</v>
      </c>
      <c r="J312" t="n">
        <v>0</v>
      </c>
      <c r="K312" t="n">
        <v>0</v>
      </c>
      <c r="L312" t="n">
        <v>0</v>
      </c>
      <c r="M312" t="n">
        <v>0</v>
      </c>
      <c r="N312" t="n">
        <v>0</v>
      </c>
      <c r="O312" t="n">
        <v>0</v>
      </c>
      <c r="P312" t="n">
        <v>0</v>
      </c>
      <c r="Q312" t="n">
        <v>0</v>
      </c>
      <c r="R312" s="2" t="inlineStr"/>
    </row>
    <row r="313" ht="15" customHeight="1">
      <c r="A313" t="inlineStr">
        <is>
          <t>A 35608-2024</t>
        </is>
      </c>
      <c r="B313" s="1" t="n">
        <v>45531</v>
      </c>
      <c r="C313" s="1" t="n">
        <v>46037</v>
      </c>
      <c r="D313" t="inlineStr">
        <is>
          <t>SÖDERMANLANDS LÄN</t>
        </is>
      </c>
      <c r="E313" t="inlineStr">
        <is>
          <t>KATRINEHOLM</t>
        </is>
      </c>
      <c r="G313" t="n">
        <v>2</v>
      </c>
      <c r="H313" t="n">
        <v>0</v>
      </c>
      <c r="I313" t="n">
        <v>0</v>
      </c>
      <c r="J313" t="n">
        <v>0</v>
      </c>
      <c r="K313" t="n">
        <v>0</v>
      </c>
      <c r="L313" t="n">
        <v>0</v>
      </c>
      <c r="M313" t="n">
        <v>0</v>
      </c>
      <c r="N313" t="n">
        <v>0</v>
      </c>
      <c r="O313" t="n">
        <v>0</v>
      </c>
      <c r="P313" t="n">
        <v>0</v>
      </c>
      <c r="Q313" t="n">
        <v>0</v>
      </c>
      <c r="R313" s="2" t="inlineStr"/>
    </row>
    <row r="314" ht="15" customHeight="1">
      <c r="A314" t="inlineStr">
        <is>
          <t>A 59474-2021</t>
        </is>
      </c>
      <c r="B314" s="1" t="n">
        <v>44491</v>
      </c>
      <c r="C314" s="1" t="n">
        <v>46037</v>
      </c>
      <c r="D314" t="inlineStr">
        <is>
          <t>SÖDERMANLANDS LÄN</t>
        </is>
      </c>
      <c r="E314" t="inlineStr">
        <is>
          <t>KATRINEHOLM</t>
        </is>
      </c>
      <c r="G314" t="n">
        <v>2.7</v>
      </c>
      <c r="H314" t="n">
        <v>0</v>
      </c>
      <c r="I314" t="n">
        <v>0</v>
      </c>
      <c r="J314" t="n">
        <v>0</v>
      </c>
      <c r="K314" t="n">
        <v>0</v>
      </c>
      <c r="L314" t="n">
        <v>0</v>
      </c>
      <c r="M314" t="n">
        <v>0</v>
      </c>
      <c r="N314" t="n">
        <v>0</v>
      </c>
      <c r="O314" t="n">
        <v>0</v>
      </c>
      <c r="P314" t="n">
        <v>0</v>
      </c>
      <c r="Q314" t="n">
        <v>0</v>
      </c>
      <c r="R314" s="2" t="inlineStr"/>
    </row>
    <row r="315" ht="15" customHeight="1">
      <c r="A315" t="inlineStr">
        <is>
          <t>A 42686-2025</t>
        </is>
      </c>
      <c r="B315" s="1" t="n">
        <v>45908.35550925926</v>
      </c>
      <c r="C315" s="1" t="n">
        <v>46037</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14239-2024</t>
        </is>
      </c>
      <c r="B316" s="1" t="n">
        <v>45393</v>
      </c>
      <c r="C316" s="1" t="n">
        <v>46037</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14248-2024</t>
        </is>
      </c>
      <c r="B317" s="1" t="n">
        <v>45393</v>
      </c>
      <c r="C317" s="1" t="n">
        <v>46037</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42799-2025</t>
        </is>
      </c>
      <c r="B318" s="1" t="n">
        <v>45907</v>
      </c>
      <c r="C318" s="1" t="n">
        <v>46037</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11635-2023</t>
        </is>
      </c>
      <c r="B319" s="1" t="n">
        <v>44994</v>
      </c>
      <c r="C319" s="1" t="n">
        <v>46037</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12633-2022</t>
        </is>
      </c>
      <c r="B320" s="1" t="n">
        <v>44638</v>
      </c>
      <c r="C320" s="1" t="n">
        <v>46037</v>
      </c>
      <c r="D320" t="inlineStr">
        <is>
          <t>SÖDERMANLANDS LÄN</t>
        </is>
      </c>
      <c r="E320" t="inlineStr">
        <is>
          <t>KATRINEHOLM</t>
        </is>
      </c>
      <c r="G320" t="n">
        <v>6.4</v>
      </c>
      <c r="H320" t="n">
        <v>0</v>
      </c>
      <c r="I320" t="n">
        <v>0</v>
      </c>
      <c r="J320" t="n">
        <v>0</v>
      </c>
      <c r="K320" t="n">
        <v>0</v>
      </c>
      <c r="L320" t="n">
        <v>0</v>
      </c>
      <c r="M320" t="n">
        <v>0</v>
      </c>
      <c r="N320" t="n">
        <v>0</v>
      </c>
      <c r="O320" t="n">
        <v>0</v>
      </c>
      <c r="P320" t="n">
        <v>0</v>
      </c>
      <c r="Q320" t="n">
        <v>0</v>
      </c>
      <c r="R320" s="2" t="inlineStr"/>
    </row>
    <row r="321" ht="15" customHeight="1">
      <c r="A321" t="inlineStr">
        <is>
          <t>A 10932-2023</t>
        </is>
      </c>
      <c r="B321" s="1" t="n">
        <v>44985</v>
      </c>
      <c r="C321" s="1" t="n">
        <v>46037</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42474-2025</t>
        </is>
      </c>
      <c r="B322" s="1" t="n">
        <v>45905.46659722222</v>
      </c>
      <c r="C322" s="1" t="n">
        <v>46037</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6087-2022</t>
        </is>
      </c>
      <c r="B323" s="1" t="n">
        <v>44599.61034722222</v>
      </c>
      <c r="C323" s="1" t="n">
        <v>46037</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8957-2024</t>
        </is>
      </c>
      <c r="B324" s="1" t="n">
        <v>45357.45089120371</v>
      </c>
      <c r="C324" s="1" t="n">
        <v>46037</v>
      </c>
      <c r="D324" t="inlineStr">
        <is>
          <t>SÖDERMANLANDS LÄN</t>
        </is>
      </c>
      <c r="E324" t="inlineStr">
        <is>
          <t>KATRINEHOLM</t>
        </is>
      </c>
      <c r="G324" t="n">
        <v>3.6</v>
      </c>
      <c r="H324" t="n">
        <v>0</v>
      </c>
      <c r="I324" t="n">
        <v>0</v>
      </c>
      <c r="J324" t="n">
        <v>0</v>
      </c>
      <c r="K324" t="n">
        <v>0</v>
      </c>
      <c r="L324" t="n">
        <v>0</v>
      </c>
      <c r="M324" t="n">
        <v>0</v>
      </c>
      <c r="N324" t="n">
        <v>0</v>
      </c>
      <c r="O324" t="n">
        <v>0</v>
      </c>
      <c r="P324" t="n">
        <v>0</v>
      </c>
      <c r="Q324" t="n">
        <v>0</v>
      </c>
      <c r="R324" s="2" t="inlineStr"/>
    </row>
    <row r="325" ht="15" customHeight="1">
      <c r="A325" t="inlineStr">
        <is>
          <t>A 29189-2025</t>
        </is>
      </c>
      <c r="B325" s="1" t="n">
        <v>45822</v>
      </c>
      <c r="C325" s="1" t="n">
        <v>46037</v>
      </c>
      <c r="D325" t="inlineStr">
        <is>
          <t>SÖDERMANLANDS LÄN</t>
        </is>
      </c>
      <c r="E325" t="inlineStr">
        <is>
          <t>KATRINEHOLM</t>
        </is>
      </c>
      <c r="G325" t="n">
        <v>3.5</v>
      </c>
      <c r="H325" t="n">
        <v>0</v>
      </c>
      <c r="I325" t="n">
        <v>0</v>
      </c>
      <c r="J325" t="n">
        <v>0</v>
      </c>
      <c r="K325" t="n">
        <v>0</v>
      </c>
      <c r="L325" t="n">
        <v>0</v>
      </c>
      <c r="M325" t="n">
        <v>0</v>
      </c>
      <c r="N325" t="n">
        <v>0</v>
      </c>
      <c r="O325" t="n">
        <v>0</v>
      </c>
      <c r="P325" t="n">
        <v>0</v>
      </c>
      <c r="Q325" t="n">
        <v>0</v>
      </c>
      <c r="R325" s="2" t="inlineStr"/>
    </row>
    <row r="326" ht="15" customHeight="1">
      <c r="A326" t="inlineStr">
        <is>
          <t>A 42896-2024</t>
        </is>
      </c>
      <c r="B326" s="1" t="n">
        <v>45566.82973379629</v>
      </c>
      <c r="C326" s="1" t="n">
        <v>46037</v>
      </c>
      <c r="D326" t="inlineStr">
        <is>
          <t>SÖDERMANLANDS LÄN</t>
        </is>
      </c>
      <c r="E326" t="inlineStr">
        <is>
          <t>KATRINEHOLM</t>
        </is>
      </c>
      <c r="G326" t="n">
        <v>4.3</v>
      </c>
      <c r="H326" t="n">
        <v>0</v>
      </c>
      <c r="I326" t="n">
        <v>0</v>
      </c>
      <c r="J326" t="n">
        <v>0</v>
      </c>
      <c r="K326" t="n">
        <v>0</v>
      </c>
      <c r="L326" t="n">
        <v>0</v>
      </c>
      <c r="M326" t="n">
        <v>0</v>
      </c>
      <c r="N326" t="n">
        <v>0</v>
      </c>
      <c r="O326" t="n">
        <v>0</v>
      </c>
      <c r="P326" t="n">
        <v>0</v>
      </c>
      <c r="Q326" t="n">
        <v>0</v>
      </c>
      <c r="R326" s="2" t="inlineStr"/>
    </row>
    <row r="327" ht="15" customHeight="1">
      <c r="A327" t="inlineStr">
        <is>
          <t>A 7747-2024</t>
        </is>
      </c>
      <c r="B327" s="1" t="n">
        <v>45348</v>
      </c>
      <c r="C327" s="1" t="n">
        <v>46037</v>
      </c>
      <c r="D327" t="inlineStr">
        <is>
          <t>SÖDERMANLANDS LÄN</t>
        </is>
      </c>
      <c r="E327" t="inlineStr">
        <is>
          <t>KATRINEHOLM</t>
        </is>
      </c>
      <c r="G327" t="n">
        <v>1.1</v>
      </c>
      <c r="H327" t="n">
        <v>0</v>
      </c>
      <c r="I327" t="n">
        <v>0</v>
      </c>
      <c r="J327" t="n">
        <v>0</v>
      </c>
      <c r="K327" t="n">
        <v>0</v>
      </c>
      <c r="L327" t="n">
        <v>0</v>
      </c>
      <c r="M327" t="n">
        <v>0</v>
      </c>
      <c r="N327" t="n">
        <v>0</v>
      </c>
      <c r="O327" t="n">
        <v>0</v>
      </c>
      <c r="P327" t="n">
        <v>0</v>
      </c>
      <c r="Q327" t="n">
        <v>0</v>
      </c>
      <c r="R327" s="2" t="inlineStr"/>
    </row>
    <row r="328" ht="15" customHeight="1">
      <c r="A328" t="inlineStr">
        <is>
          <t>A 7753-2024</t>
        </is>
      </c>
      <c r="B328" s="1" t="n">
        <v>45348</v>
      </c>
      <c r="C328" s="1" t="n">
        <v>46037</v>
      </c>
      <c r="D328" t="inlineStr">
        <is>
          <t>SÖDERMANLANDS LÄN</t>
        </is>
      </c>
      <c r="E328" t="inlineStr">
        <is>
          <t>KATRINEHOLM</t>
        </is>
      </c>
      <c r="G328" t="n">
        <v>13.4</v>
      </c>
      <c r="H328" t="n">
        <v>0</v>
      </c>
      <c r="I328" t="n">
        <v>0</v>
      </c>
      <c r="J328" t="n">
        <v>0</v>
      </c>
      <c r="K328" t="n">
        <v>0</v>
      </c>
      <c r="L328" t="n">
        <v>0</v>
      </c>
      <c r="M328" t="n">
        <v>0</v>
      </c>
      <c r="N328" t="n">
        <v>0</v>
      </c>
      <c r="O328" t="n">
        <v>0</v>
      </c>
      <c r="P328" t="n">
        <v>0</v>
      </c>
      <c r="Q328" t="n">
        <v>0</v>
      </c>
      <c r="R328" s="2" t="inlineStr"/>
    </row>
    <row r="329" ht="15" customHeight="1">
      <c r="A329" t="inlineStr">
        <is>
          <t>A 5935-2023</t>
        </is>
      </c>
      <c r="B329" s="1" t="n">
        <v>44963</v>
      </c>
      <c r="C329" s="1" t="n">
        <v>46037</v>
      </c>
      <c r="D329" t="inlineStr">
        <is>
          <t>SÖDERMANLANDS LÄN</t>
        </is>
      </c>
      <c r="E329" t="inlineStr">
        <is>
          <t>KATRINEHOLM</t>
        </is>
      </c>
      <c r="G329" t="n">
        <v>1.5</v>
      </c>
      <c r="H329" t="n">
        <v>0</v>
      </c>
      <c r="I329" t="n">
        <v>0</v>
      </c>
      <c r="J329" t="n">
        <v>0</v>
      </c>
      <c r="K329" t="n">
        <v>0</v>
      </c>
      <c r="L329" t="n">
        <v>0</v>
      </c>
      <c r="M329" t="n">
        <v>0</v>
      </c>
      <c r="N329" t="n">
        <v>0</v>
      </c>
      <c r="O329" t="n">
        <v>0</v>
      </c>
      <c r="P329" t="n">
        <v>0</v>
      </c>
      <c r="Q329" t="n">
        <v>0</v>
      </c>
      <c r="R329" s="2" t="inlineStr"/>
    </row>
    <row r="330" ht="15" customHeight="1">
      <c r="A330" t="inlineStr">
        <is>
          <t>A 30050-2025</t>
        </is>
      </c>
      <c r="B330" s="1" t="n">
        <v>45826.59151620371</v>
      </c>
      <c r="C330" s="1" t="n">
        <v>46037</v>
      </c>
      <c r="D330" t="inlineStr">
        <is>
          <t>SÖDERMANLANDS LÄN</t>
        </is>
      </c>
      <c r="E330" t="inlineStr">
        <is>
          <t>KATRINEHOLM</t>
        </is>
      </c>
      <c r="G330" t="n">
        <v>7.9</v>
      </c>
      <c r="H330" t="n">
        <v>0</v>
      </c>
      <c r="I330" t="n">
        <v>0</v>
      </c>
      <c r="J330" t="n">
        <v>0</v>
      </c>
      <c r="K330" t="n">
        <v>0</v>
      </c>
      <c r="L330" t="n">
        <v>0</v>
      </c>
      <c r="M330" t="n">
        <v>0</v>
      </c>
      <c r="N330" t="n">
        <v>0</v>
      </c>
      <c r="O330" t="n">
        <v>0</v>
      </c>
      <c r="P330" t="n">
        <v>0</v>
      </c>
      <c r="Q330" t="n">
        <v>0</v>
      </c>
      <c r="R330" s="2" t="inlineStr"/>
    </row>
    <row r="331" ht="15" customHeight="1">
      <c r="A331" t="inlineStr">
        <is>
          <t>A 10732-2022</t>
        </is>
      </c>
      <c r="B331" s="1" t="n">
        <v>44627.34033564815</v>
      </c>
      <c r="C331" s="1" t="n">
        <v>46037</v>
      </c>
      <c r="D331" t="inlineStr">
        <is>
          <t>SÖDERMANLANDS LÄN</t>
        </is>
      </c>
      <c r="E331" t="inlineStr">
        <is>
          <t>KATRINEHOLM</t>
        </is>
      </c>
      <c r="G331" t="n">
        <v>2.4</v>
      </c>
      <c r="H331" t="n">
        <v>0</v>
      </c>
      <c r="I331" t="n">
        <v>0</v>
      </c>
      <c r="J331" t="n">
        <v>0</v>
      </c>
      <c r="K331" t="n">
        <v>0</v>
      </c>
      <c r="L331" t="n">
        <v>0</v>
      </c>
      <c r="M331" t="n">
        <v>0</v>
      </c>
      <c r="N331" t="n">
        <v>0</v>
      </c>
      <c r="O331" t="n">
        <v>0</v>
      </c>
      <c r="P331" t="n">
        <v>0</v>
      </c>
      <c r="Q331" t="n">
        <v>0</v>
      </c>
      <c r="R331" s="2" t="inlineStr"/>
    </row>
    <row r="332" ht="15" customHeight="1">
      <c r="A332" t="inlineStr">
        <is>
          <t>A 30070-2025</t>
        </is>
      </c>
      <c r="B332" s="1" t="n">
        <v>45826.63324074074</v>
      </c>
      <c r="C332" s="1" t="n">
        <v>46037</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44071-2025</t>
        </is>
      </c>
      <c r="B333" s="1" t="n">
        <v>45915</v>
      </c>
      <c r="C333" s="1" t="n">
        <v>46037</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3939-2022</t>
        </is>
      </c>
      <c r="B334" s="1" t="n">
        <v>44587</v>
      </c>
      <c r="C334" s="1" t="n">
        <v>46037</v>
      </c>
      <c r="D334" t="inlineStr">
        <is>
          <t>SÖDERMANLANDS LÄN</t>
        </is>
      </c>
      <c r="E334" t="inlineStr">
        <is>
          <t>KATRINEHOLM</t>
        </is>
      </c>
      <c r="G334" t="n">
        <v>0.8</v>
      </c>
      <c r="H334" t="n">
        <v>0</v>
      </c>
      <c r="I334" t="n">
        <v>0</v>
      </c>
      <c r="J334" t="n">
        <v>0</v>
      </c>
      <c r="K334" t="n">
        <v>0</v>
      </c>
      <c r="L334" t="n">
        <v>0</v>
      </c>
      <c r="M334" t="n">
        <v>0</v>
      </c>
      <c r="N334" t="n">
        <v>0</v>
      </c>
      <c r="O334" t="n">
        <v>0</v>
      </c>
      <c r="P334" t="n">
        <v>0</v>
      </c>
      <c r="Q334" t="n">
        <v>0</v>
      </c>
      <c r="R334" s="2" t="inlineStr"/>
    </row>
    <row r="335" ht="15" customHeight="1">
      <c r="A335" t="inlineStr">
        <is>
          <t>A 56074-2022</t>
        </is>
      </c>
      <c r="B335" s="1" t="n">
        <v>44889</v>
      </c>
      <c r="C335" s="1" t="n">
        <v>46037</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c r="T335">
        <f>HYPERLINK("https://klasma.github.io/Logging_0483/kartor/A 56074-2022 karta.png", "A 56074-2022")</f>
        <v/>
      </c>
      <c r="V335">
        <f>HYPERLINK("https://klasma.github.io/Logging_0483/klagomål/A 56074-2022 FSC-klagomål.docx", "A 56074-2022")</f>
        <v/>
      </c>
      <c r="W335">
        <f>HYPERLINK("https://klasma.github.io/Logging_0483/klagomålsmail/A 56074-2022 FSC-klagomål mail.docx", "A 56074-2022")</f>
        <v/>
      </c>
      <c r="X335">
        <f>HYPERLINK("https://klasma.github.io/Logging_0483/tillsyn/A 56074-2022 tillsynsbegäran.docx", "A 56074-2022")</f>
        <v/>
      </c>
      <c r="Y335">
        <f>HYPERLINK("https://klasma.github.io/Logging_0483/tillsynsmail/A 56074-2022 tillsynsbegäran mail.docx", "A 56074-2022")</f>
        <v/>
      </c>
    </row>
    <row r="336" ht="15" customHeight="1">
      <c r="A336" t="inlineStr">
        <is>
          <t>A 30287-2025</t>
        </is>
      </c>
      <c r="B336" s="1" t="n">
        <v>45827</v>
      </c>
      <c r="C336" s="1" t="n">
        <v>46037</v>
      </c>
      <c r="D336" t="inlineStr">
        <is>
          <t>SÖDERMANLANDS LÄN</t>
        </is>
      </c>
      <c r="E336" t="inlineStr">
        <is>
          <t>KATRINEHOLM</t>
        </is>
      </c>
      <c r="G336" t="n">
        <v>10.2</v>
      </c>
      <c r="H336" t="n">
        <v>0</v>
      </c>
      <c r="I336" t="n">
        <v>0</v>
      </c>
      <c r="J336" t="n">
        <v>0</v>
      </c>
      <c r="K336" t="n">
        <v>0</v>
      </c>
      <c r="L336" t="n">
        <v>0</v>
      </c>
      <c r="M336" t="n">
        <v>0</v>
      </c>
      <c r="N336" t="n">
        <v>0</v>
      </c>
      <c r="O336" t="n">
        <v>0</v>
      </c>
      <c r="P336" t="n">
        <v>0</v>
      </c>
      <c r="Q336" t="n">
        <v>0</v>
      </c>
      <c r="R336" s="2" t="inlineStr"/>
    </row>
    <row r="337" ht="15" customHeight="1">
      <c r="A337" t="inlineStr">
        <is>
          <t>A 30350-2025</t>
        </is>
      </c>
      <c r="B337" s="1" t="n">
        <v>45827.53319444445</v>
      </c>
      <c r="C337" s="1" t="n">
        <v>46037</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43975-2025</t>
        </is>
      </c>
      <c r="B338" s="1" t="n">
        <v>45915.41148148148</v>
      </c>
      <c r="C338" s="1" t="n">
        <v>46037</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30352-2025</t>
        </is>
      </c>
      <c r="B339" s="1" t="n">
        <v>45827</v>
      </c>
      <c r="C339" s="1" t="n">
        <v>46037</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30386-2025</t>
        </is>
      </c>
      <c r="B340" s="1" t="n">
        <v>45827</v>
      </c>
      <c r="C340" s="1" t="n">
        <v>46037</v>
      </c>
      <c r="D340" t="inlineStr">
        <is>
          <t>SÖDERMANLANDS LÄN</t>
        </is>
      </c>
      <c r="E340" t="inlineStr">
        <is>
          <t>KATRINEHOLM</t>
        </is>
      </c>
      <c r="G340" t="n">
        <v>5.6</v>
      </c>
      <c r="H340" t="n">
        <v>0</v>
      </c>
      <c r="I340" t="n">
        <v>0</v>
      </c>
      <c r="J340" t="n">
        <v>0</v>
      </c>
      <c r="K340" t="n">
        <v>0</v>
      </c>
      <c r="L340" t="n">
        <v>0</v>
      </c>
      <c r="M340" t="n">
        <v>0</v>
      </c>
      <c r="N340" t="n">
        <v>0</v>
      </c>
      <c r="O340" t="n">
        <v>0</v>
      </c>
      <c r="P340" t="n">
        <v>0</v>
      </c>
      <c r="Q340" t="n">
        <v>0</v>
      </c>
      <c r="R340" s="2" t="inlineStr"/>
    </row>
    <row r="341" ht="15" customHeight="1">
      <c r="A341" t="inlineStr">
        <is>
          <t>A 30402-2025</t>
        </is>
      </c>
      <c r="B341" s="1" t="n">
        <v>45827</v>
      </c>
      <c r="C341" s="1" t="n">
        <v>46037</v>
      </c>
      <c r="D341" t="inlineStr">
        <is>
          <t>SÖDERMANLANDS LÄN</t>
        </is>
      </c>
      <c r="E341" t="inlineStr">
        <is>
          <t>KATRINEHOLM</t>
        </is>
      </c>
      <c r="G341" t="n">
        <v>7.1</v>
      </c>
      <c r="H341" t="n">
        <v>0</v>
      </c>
      <c r="I341" t="n">
        <v>0</v>
      </c>
      <c r="J341" t="n">
        <v>0</v>
      </c>
      <c r="K341" t="n">
        <v>0</v>
      </c>
      <c r="L341" t="n">
        <v>0</v>
      </c>
      <c r="M341" t="n">
        <v>0</v>
      </c>
      <c r="N341" t="n">
        <v>0</v>
      </c>
      <c r="O341" t="n">
        <v>0</v>
      </c>
      <c r="P341" t="n">
        <v>0</v>
      </c>
      <c r="Q341" t="n">
        <v>0</v>
      </c>
      <c r="R341" s="2" t="inlineStr"/>
    </row>
    <row r="342" ht="15" customHeight="1">
      <c r="A342" t="inlineStr">
        <is>
          <t>A 61915-2021</t>
        </is>
      </c>
      <c r="B342" s="1" t="n">
        <v>44502.36780092592</v>
      </c>
      <c r="C342" s="1" t="n">
        <v>46037</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31376-2025</t>
        </is>
      </c>
      <c r="B343" s="1" t="n">
        <v>45833</v>
      </c>
      <c r="C343" s="1" t="n">
        <v>46037</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4656-2023</t>
        </is>
      </c>
      <c r="B344" s="1" t="n">
        <v>44957</v>
      </c>
      <c r="C344" s="1" t="n">
        <v>46037</v>
      </c>
      <c r="D344" t="inlineStr">
        <is>
          <t>SÖDERMANLANDS LÄN</t>
        </is>
      </c>
      <c r="E344" t="inlineStr">
        <is>
          <t>KATRINEHOLM</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59093-2024</t>
        </is>
      </c>
      <c r="B345" s="1" t="n">
        <v>45636</v>
      </c>
      <c r="C345" s="1" t="n">
        <v>46037</v>
      </c>
      <c r="D345" t="inlineStr">
        <is>
          <t>SÖDERMANLANDS LÄN</t>
        </is>
      </c>
      <c r="E345" t="inlineStr">
        <is>
          <t>KATRINEHOLM</t>
        </is>
      </c>
      <c r="G345" t="n">
        <v>2.8</v>
      </c>
      <c r="H345" t="n">
        <v>0</v>
      </c>
      <c r="I345" t="n">
        <v>0</v>
      </c>
      <c r="J345" t="n">
        <v>0</v>
      </c>
      <c r="K345" t="n">
        <v>0</v>
      </c>
      <c r="L345" t="n">
        <v>0</v>
      </c>
      <c r="M345" t="n">
        <v>0</v>
      </c>
      <c r="N345" t="n">
        <v>0</v>
      </c>
      <c r="O345" t="n">
        <v>0</v>
      </c>
      <c r="P345" t="n">
        <v>0</v>
      </c>
      <c r="Q345" t="n">
        <v>0</v>
      </c>
      <c r="R345" s="2" t="inlineStr"/>
    </row>
    <row r="346" ht="15" customHeight="1">
      <c r="A346" t="inlineStr">
        <is>
          <t>A 31392-2025</t>
        </is>
      </c>
      <c r="B346" s="1" t="n">
        <v>45833</v>
      </c>
      <c r="C346" s="1" t="n">
        <v>46037</v>
      </c>
      <c r="D346" t="inlineStr">
        <is>
          <t>SÖDERMANLANDS LÄN</t>
        </is>
      </c>
      <c r="E346" t="inlineStr">
        <is>
          <t>KATRINEHOLM</t>
        </is>
      </c>
      <c r="G346" t="n">
        <v>5</v>
      </c>
      <c r="H346" t="n">
        <v>0</v>
      </c>
      <c r="I346" t="n">
        <v>0</v>
      </c>
      <c r="J346" t="n">
        <v>0</v>
      </c>
      <c r="K346" t="n">
        <v>0</v>
      </c>
      <c r="L346" t="n">
        <v>0</v>
      </c>
      <c r="M346" t="n">
        <v>0</v>
      </c>
      <c r="N346" t="n">
        <v>0</v>
      </c>
      <c r="O346" t="n">
        <v>0</v>
      </c>
      <c r="P346" t="n">
        <v>0</v>
      </c>
      <c r="Q346" t="n">
        <v>0</v>
      </c>
      <c r="R346" s="2" t="inlineStr"/>
    </row>
    <row r="347" ht="15" customHeight="1">
      <c r="A347" t="inlineStr">
        <is>
          <t>A 31386-2025</t>
        </is>
      </c>
      <c r="B347" s="1" t="n">
        <v>45833.45259259259</v>
      </c>
      <c r="C347" s="1" t="n">
        <v>46037</v>
      </c>
      <c r="D347" t="inlineStr">
        <is>
          <t>SÖDERMANLANDS LÄN</t>
        </is>
      </c>
      <c r="E347" t="inlineStr">
        <is>
          <t>KATRINEHOLM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38872-2024</t>
        </is>
      </c>
      <c r="B348" s="1" t="n">
        <v>45547</v>
      </c>
      <c r="C348" s="1" t="n">
        <v>46037</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46288-2025</t>
        </is>
      </c>
      <c r="B349" s="1" t="n">
        <v>45925.38545138889</v>
      </c>
      <c r="C349" s="1" t="n">
        <v>46037</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54873-2025</t>
        </is>
      </c>
      <c r="B350" s="1" t="n">
        <v>45967.30731481482</v>
      </c>
      <c r="C350" s="1" t="n">
        <v>46037</v>
      </c>
      <c r="D350" t="inlineStr">
        <is>
          <t>SÖDERMANLANDS LÄN</t>
        </is>
      </c>
      <c r="E350" t="inlineStr">
        <is>
          <t>KATRINEHOLM</t>
        </is>
      </c>
      <c r="G350" t="n">
        <v>2.7</v>
      </c>
      <c r="H350" t="n">
        <v>0</v>
      </c>
      <c r="I350" t="n">
        <v>0</v>
      </c>
      <c r="J350" t="n">
        <v>0</v>
      </c>
      <c r="K350" t="n">
        <v>0</v>
      </c>
      <c r="L350" t="n">
        <v>0</v>
      </c>
      <c r="M350" t="n">
        <v>0</v>
      </c>
      <c r="N350" t="n">
        <v>0</v>
      </c>
      <c r="O350" t="n">
        <v>0</v>
      </c>
      <c r="P350" t="n">
        <v>0</v>
      </c>
      <c r="Q350" t="n">
        <v>0</v>
      </c>
      <c r="R350" s="2" t="inlineStr"/>
    </row>
    <row r="351" ht="15" customHeight="1">
      <c r="A351" t="inlineStr">
        <is>
          <t>A 9932-2023</t>
        </is>
      </c>
      <c r="B351" s="1" t="n">
        <v>44985.46709490741</v>
      </c>
      <c r="C351" s="1" t="n">
        <v>46037</v>
      </c>
      <c r="D351" t="inlineStr">
        <is>
          <t>SÖDERMANLANDS LÄN</t>
        </is>
      </c>
      <c r="E351" t="inlineStr">
        <is>
          <t>KATRINEHOLM</t>
        </is>
      </c>
      <c r="G351" t="n">
        <v>0.3</v>
      </c>
      <c r="H351" t="n">
        <v>0</v>
      </c>
      <c r="I351" t="n">
        <v>0</v>
      </c>
      <c r="J351" t="n">
        <v>0</v>
      </c>
      <c r="K351" t="n">
        <v>0</v>
      </c>
      <c r="L351" t="n">
        <v>0</v>
      </c>
      <c r="M351" t="n">
        <v>0</v>
      </c>
      <c r="N351" t="n">
        <v>0</v>
      </c>
      <c r="O351" t="n">
        <v>0</v>
      </c>
      <c r="P351" t="n">
        <v>0</v>
      </c>
      <c r="Q351" t="n">
        <v>0</v>
      </c>
      <c r="R351" s="2" t="inlineStr"/>
    </row>
    <row r="352" ht="15" customHeight="1">
      <c r="A352" t="inlineStr">
        <is>
          <t>A 31990-2025</t>
        </is>
      </c>
      <c r="B352" s="1" t="n">
        <v>45835.36697916667</v>
      </c>
      <c r="C352" s="1" t="n">
        <v>46037</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46524-2025</t>
        </is>
      </c>
      <c r="B353" s="1" t="n">
        <v>45926</v>
      </c>
      <c r="C353" s="1" t="n">
        <v>46037</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9192-2023</t>
        </is>
      </c>
      <c r="B354" s="1" t="n">
        <v>44980</v>
      </c>
      <c r="C354" s="1" t="n">
        <v>46037</v>
      </c>
      <c r="D354" t="inlineStr">
        <is>
          <t>SÖDERMANLANDS LÄN</t>
        </is>
      </c>
      <c r="E354" t="inlineStr">
        <is>
          <t>KATRINEHOLM</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15399-2022</t>
        </is>
      </c>
      <c r="B355" s="1" t="n">
        <v>44659</v>
      </c>
      <c r="C355" s="1" t="n">
        <v>46037</v>
      </c>
      <c r="D355" t="inlineStr">
        <is>
          <t>SÖDERMANLANDS LÄN</t>
        </is>
      </c>
      <c r="E355" t="inlineStr">
        <is>
          <t>KATRINEHOLM</t>
        </is>
      </c>
      <c r="G355" t="n">
        <v>5.6</v>
      </c>
      <c r="H355" t="n">
        <v>0</v>
      </c>
      <c r="I355" t="n">
        <v>0</v>
      </c>
      <c r="J355" t="n">
        <v>0</v>
      </c>
      <c r="K355" t="n">
        <v>0</v>
      </c>
      <c r="L355" t="n">
        <v>0</v>
      </c>
      <c r="M355" t="n">
        <v>0</v>
      </c>
      <c r="N355" t="n">
        <v>0</v>
      </c>
      <c r="O355" t="n">
        <v>0</v>
      </c>
      <c r="P355" t="n">
        <v>0</v>
      </c>
      <c r="Q355" t="n">
        <v>0</v>
      </c>
      <c r="R355" s="2" t="inlineStr"/>
    </row>
    <row r="356" ht="15" customHeight="1">
      <c r="A356" t="inlineStr">
        <is>
          <t>A 11872-2023</t>
        </is>
      </c>
      <c r="B356" s="1" t="n">
        <v>44995</v>
      </c>
      <c r="C356" s="1" t="n">
        <v>46037</v>
      </c>
      <c r="D356" t="inlineStr">
        <is>
          <t>SÖDERMANLANDS LÄN</t>
        </is>
      </c>
      <c r="E356" t="inlineStr">
        <is>
          <t>KATRINEHOLM</t>
        </is>
      </c>
      <c r="F356" t="inlineStr">
        <is>
          <t>Kommuner</t>
        </is>
      </c>
      <c r="G356" t="n">
        <v>0.9</v>
      </c>
      <c r="H356" t="n">
        <v>0</v>
      </c>
      <c r="I356" t="n">
        <v>0</v>
      </c>
      <c r="J356" t="n">
        <v>0</v>
      </c>
      <c r="K356" t="n">
        <v>0</v>
      </c>
      <c r="L356" t="n">
        <v>0</v>
      </c>
      <c r="M356" t="n">
        <v>0</v>
      </c>
      <c r="N356" t="n">
        <v>0</v>
      </c>
      <c r="O356" t="n">
        <v>0</v>
      </c>
      <c r="P356" t="n">
        <v>0</v>
      </c>
      <c r="Q356" t="n">
        <v>0</v>
      </c>
      <c r="R356" s="2" t="inlineStr"/>
    </row>
    <row r="357" ht="15" customHeight="1">
      <c r="A357" t="inlineStr">
        <is>
          <t>A 49092-2024</t>
        </is>
      </c>
      <c r="B357" s="1" t="n">
        <v>45594.63619212963</v>
      </c>
      <c r="C357" s="1" t="n">
        <v>46037</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49095-2024</t>
        </is>
      </c>
      <c r="B358" s="1" t="n">
        <v>45594.63828703704</v>
      </c>
      <c r="C358" s="1" t="n">
        <v>46037</v>
      </c>
      <c r="D358" t="inlineStr">
        <is>
          <t>SÖDERMANLANDS LÄN</t>
        </is>
      </c>
      <c r="E358" t="inlineStr">
        <is>
          <t>KATRINEHOLM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46037</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36-2023</t>
        </is>
      </c>
      <c r="B360" s="1" t="n">
        <v>44928.36578703704</v>
      </c>
      <c r="C360" s="1" t="n">
        <v>46037</v>
      </c>
      <c r="D360" t="inlineStr">
        <is>
          <t>SÖDERMANLANDS LÄN</t>
        </is>
      </c>
      <c r="E360" t="inlineStr">
        <is>
          <t>KATRINEHOLM</t>
        </is>
      </c>
      <c r="G360" t="n">
        <v>3.7</v>
      </c>
      <c r="H360" t="n">
        <v>0</v>
      </c>
      <c r="I360" t="n">
        <v>0</v>
      </c>
      <c r="J360" t="n">
        <v>0</v>
      </c>
      <c r="K360" t="n">
        <v>0</v>
      </c>
      <c r="L360" t="n">
        <v>0</v>
      </c>
      <c r="M360" t="n">
        <v>0</v>
      </c>
      <c r="N360" t="n">
        <v>0</v>
      </c>
      <c r="O360" t="n">
        <v>0</v>
      </c>
      <c r="P360" t="n">
        <v>0</v>
      </c>
      <c r="Q360" t="n">
        <v>0</v>
      </c>
      <c r="R360" s="2" t="inlineStr"/>
    </row>
    <row r="361" ht="15" customHeight="1">
      <c r="A361" t="inlineStr">
        <is>
          <t>A 33090-2025</t>
        </is>
      </c>
      <c r="B361" s="1" t="n">
        <v>45840.46840277778</v>
      </c>
      <c r="C361" s="1" t="n">
        <v>46037</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33084-2025</t>
        </is>
      </c>
      <c r="B362" s="1" t="n">
        <v>45840.46559027778</v>
      </c>
      <c r="C362" s="1" t="n">
        <v>46037</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10341-2022</t>
        </is>
      </c>
      <c r="B363" s="1" t="n">
        <v>44623</v>
      </c>
      <c r="C363" s="1" t="n">
        <v>46037</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33577-2025</t>
        </is>
      </c>
      <c r="B364" s="1" t="n">
        <v>45841.59056712963</v>
      </c>
      <c r="C364" s="1" t="n">
        <v>46037</v>
      </c>
      <c r="D364" t="inlineStr">
        <is>
          <t>SÖDERMANLANDS LÄN</t>
        </is>
      </c>
      <c r="E364" t="inlineStr">
        <is>
          <t>KATRINEHOLM</t>
        </is>
      </c>
      <c r="F364" t="inlineStr">
        <is>
          <t>Holmen skog AB</t>
        </is>
      </c>
      <c r="G364" t="n">
        <v>0.3</v>
      </c>
      <c r="H364" t="n">
        <v>0</v>
      </c>
      <c r="I364" t="n">
        <v>0</v>
      </c>
      <c r="J364" t="n">
        <v>0</v>
      </c>
      <c r="K364" t="n">
        <v>0</v>
      </c>
      <c r="L364" t="n">
        <v>0</v>
      </c>
      <c r="M364" t="n">
        <v>0</v>
      </c>
      <c r="N364" t="n">
        <v>0</v>
      </c>
      <c r="O364" t="n">
        <v>0</v>
      </c>
      <c r="P364" t="n">
        <v>0</v>
      </c>
      <c r="Q364" t="n">
        <v>0</v>
      </c>
      <c r="R364" s="2" t="inlineStr"/>
    </row>
    <row r="365" ht="15" customHeight="1">
      <c r="A365" t="inlineStr">
        <is>
          <t>A 12835-2024</t>
        </is>
      </c>
      <c r="B365" s="1" t="n">
        <v>45384</v>
      </c>
      <c r="C365" s="1" t="n">
        <v>46037</v>
      </c>
      <c r="D365" t="inlineStr">
        <is>
          <t>SÖDERMANLANDS LÄN</t>
        </is>
      </c>
      <c r="E365" t="inlineStr">
        <is>
          <t>KATRINEHOLM</t>
        </is>
      </c>
      <c r="F365" t="inlineStr">
        <is>
          <t>Allmännings- och besparingsskogar</t>
        </is>
      </c>
      <c r="G365" t="n">
        <v>0.5</v>
      </c>
      <c r="H365" t="n">
        <v>0</v>
      </c>
      <c r="I365" t="n">
        <v>0</v>
      </c>
      <c r="J365" t="n">
        <v>0</v>
      </c>
      <c r="K365" t="n">
        <v>0</v>
      </c>
      <c r="L365" t="n">
        <v>0</v>
      </c>
      <c r="M365" t="n">
        <v>0</v>
      </c>
      <c r="N365" t="n">
        <v>0</v>
      </c>
      <c r="O365" t="n">
        <v>0</v>
      </c>
      <c r="P365" t="n">
        <v>0</v>
      </c>
      <c r="Q365" t="n">
        <v>0</v>
      </c>
      <c r="R365" s="2" t="inlineStr"/>
    </row>
    <row r="366" ht="15" customHeight="1">
      <c r="A366" t="inlineStr">
        <is>
          <t>A 25716-2022</t>
        </is>
      </c>
      <c r="B366" s="1" t="n">
        <v>44733.39600694444</v>
      </c>
      <c r="C366" s="1" t="n">
        <v>46037</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33812-2025</t>
        </is>
      </c>
      <c r="B367" s="1" t="n">
        <v>45842</v>
      </c>
      <c r="C367" s="1" t="n">
        <v>46037</v>
      </c>
      <c r="D367" t="inlineStr">
        <is>
          <t>SÖDERMANLANDS LÄN</t>
        </is>
      </c>
      <c r="E367" t="inlineStr">
        <is>
          <t>KATRINEHOLM</t>
        </is>
      </c>
      <c r="G367" t="n">
        <v>1.5</v>
      </c>
      <c r="H367" t="n">
        <v>0</v>
      </c>
      <c r="I367" t="n">
        <v>0</v>
      </c>
      <c r="J367" t="n">
        <v>0</v>
      </c>
      <c r="K367" t="n">
        <v>0</v>
      </c>
      <c r="L367" t="n">
        <v>0</v>
      </c>
      <c r="M367" t="n">
        <v>0</v>
      </c>
      <c r="N367" t="n">
        <v>0</v>
      </c>
      <c r="O367" t="n">
        <v>0</v>
      </c>
      <c r="P367" t="n">
        <v>0</v>
      </c>
      <c r="Q367" t="n">
        <v>0</v>
      </c>
      <c r="R367" s="2" t="inlineStr"/>
    </row>
    <row r="368" ht="15" customHeight="1">
      <c r="A368" t="inlineStr">
        <is>
          <t>A 33815-2025</t>
        </is>
      </c>
      <c r="B368" s="1" t="n">
        <v>45842</v>
      </c>
      <c r="C368" s="1" t="n">
        <v>46037</v>
      </c>
      <c r="D368" t="inlineStr">
        <is>
          <t>SÖDERMANLANDS LÄN</t>
        </is>
      </c>
      <c r="E368" t="inlineStr">
        <is>
          <t>KATRINEHOLM</t>
        </is>
      </c>
      <c r="G368" t="n">
        <v>3.4</v>
      </c>
      <c r="H368" t="n">
        <v>0</v>
      </c>
      <c r="I368" t="n">
        <v>0</v>
      </c>
      <c r="J368" t="n">
        <v>0</v>
      </c>
      <c r="K368" t="n">
        <v>0</v>
      </c>
      <c r="L368" t="n">
        <v>0</v>
      </c>
      <c r="M368" t="n">
        <v>0</v>
      </c>
      <c r="N368" t="n">
        <v>0</v>
      </c>
      <c r="O368" t="n">
        <v>0</v>
      </c>
      <c r="P368" t="n">
        <v>0</v>
      </c>
      <c r="Q368" t="n">
        <v>0</v>
      </c>
      <c r="R368" s="2" t="inlineStr"/>
    </row>
    <row r="369" ht="15" customHeight="1">
      <c r="A369" t="inlineStr">
        <is>
          <t>A 6807-2023</t>
        </is>
      </c>
      <c r="B369" s="1" t="n">
        <v>44964</v>
      </c>
      <c r="C369" s="1" t="n">
        <v>46037</v>
      </c>
      <c r="D369" t="inlineStr">
        <is>
          <t>SÖDERMANLANDS LÄN</t>
        </is>
      </c>
      <c r="E369" t="inlineStr">
        <is>
          <t>KATRINEHOLM</t>
        </is>
      </c>
      <c r="G369" t="n">
        <v>1.2</v>
      </c>
      <c r="H369" t="n">
        <v>0</v>
      </c>
      <c r="I369" t="n">
        <v>0</v>
      </c>
      <c r="J369" t="n">
        <v>0</v>
      </c>
      <c r="K369" t="n">
        <v>0</v>
      </c>
      <c r="L369" t="n">
        <v>0</v>
      </c>
      <c r="M369" t="n">
        <v>0</v>
      </c>
      <c r="N369" t="n">
        <v>0</v>
      </c>
      <c r="O369" t="n">
        <v>0</v>
      </c>
      <c r="P369" t="n">
        <v>0</v>
      </c>
      <c r="Q369" t="n">
        <v>0</v>
      </c>
      <c r="R369" s="2" t="inlineStr"/>
    </row>
    <row r="370" ht="15" customHeight="1">
      <c r="A370" t="inlineStr">
        <is>
          <t>A 9668-2023</t>
        </is>
      </c>
      <c r="B370" s="1" t="n">
        <v>44984.41238425926</v>
      </c>
      <c r="C370" s="1" t="n">
        <v>46037</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9044-2022</t>
        </is>
      </c>
      <c r="B371" s="1" t="n">
        <v>44602</v>
      </c>
      <c r="C371" s="1" t="n">
        <v>46037</v>
      </c>
      <c r="D371" t="inlineStr">
        <is>
          <t>SÖDERMANLANDS LÄN</t>
        </is>
      </c>
      <c r="E371" t="inlineStr">
        <is>
          <t>KATRINEHOLM</t>
        </is>
      </c>
      <c r="G371" t="n">
        <v>5.8</v>
      </c>
      <c r="H371" t="n">
        <v>0</v>
      </c>
      <c r="I371" t="n">
        <v>0</v>
      </c>
      <c r="J371" t="n">
        <v>0</v>
      </c>
      <c r="K371" t="n">
        <v>0</v>
      </c>
      <c r="L371" t="n">
        <v>0</v>
      </c>
      <c r="M371" t="n">
        <v>0</v>
      </c>
      <c r="N371" t="n">
        <v>0</v>
      </c>
      <c r="O371" t="n">
        <v>0</v>
      </c>
      <c r="P371" t="n">
        <v>0</v>
      </c>
      <c r="Q371" t="n">
        <v>0</v>
      </c>
      <c r="R371" s="2" t="inlineStr"/>
    </row>
    <row r="372" ht="15" customHeight="1">
      <c r="A372" t="inlineStr">
        <is>
          <t>A 6762-2025</t>
        </is>
      </c>
      <c r="B372" s="1" t="n">
        <v>45700</v>
      </c>
      <c r="C372" s="1" t="n">
        <v>46037</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20213-2025</t>
        </is>
      </c>
      <c r="B373" s="1" t="n">
        <v>45772.63453703704</v>
      </c>
      <c r="C373" s="1" t="n">
        <v>46037</v>
      </c>
      <c r="D373" t="inlineStr">
        <is>
          <t>SÖDERMANLANDS LÄN</t>
        </is>
      </c>
      <c r="E373" t="inlineStr">
        <is>
          <t>KATRINEHOLM</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48091-2024</t>
        </is>
      </c>
      <c r="B374" s="1" t="n">
        <v>45590</v>
      </c>
      <c r="C374" s="1" t="n">
        <v>46037</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24097-2022</t>
        </is>
      </c>
      <c r="B375" s="1" t="n">
        <v>44725.39371527778</v>
      </c>
      <c r="C375" s="1" t="n">
        <v>46037</v>
      </c>
      <c r="D375" t="inlineStr">
        <is>
          <t>SÖDERMANLANDS LÄN</t>
        </is>
      </c>
      <c r="E375" t="inlineStr">
        <is>
          <t>KATRINEHOLM</t>
        </is>
      </c>
      <c r="G375" t="n">
        <v>6.5</v>
      </c>
      <c r="H375" t="n">
        <v>0</v>
      </c>
      <c r="I375" t="n">
        <v>0</v>
      </c>
      <c r="J375" t="n">
        <v>0</v>
      </c>
      <c r="K375" t="n">
        <v>0</v>
      </c>
      <c r="L375" t="n">
        <v>0</v>
      </c>
      <c r="M375" t="n">
        <v>0</v>
      </c>
      <c r="N375" t="n">
        <v>0</v>
      </c>
      <c r="O375" t="n">
        <v>0</v>
      </c>
      <c r="P375" t="n">
        <v>0</v>
      </c>
      <c r="Q375" t="n">
        <v>0</v>
      </c>
      <c r="R375" s="2" t="inlineStr"/>
    </row>
    <row r="376" ht="15" customHeight="1">
      <c r="A376" t="inlineStr">
        <is>
          <t>A 46670-2021</t>
        </is>
      </c>
      <c r="B376" s="1" t="n">
        <v>44445</v>
      </c>
      <c r="C376" s="1" t="n">
        <v>46037</v>
      </c>
      <c r="D376" t="inlineStr">
        <is>
          <t>SÖDERMANLANDS LÄN</t>
        </is>
      </c>
      <c r="E376" t="inlineStr">
        <is>
          <t>KATRINEHOLM</t>
        </is>
      </c>
      <c r="G376" t="n">
        <v>4.4</v>
      </c>
      <c r="H376" t="n">
        <v>0</v>
      </c>
      <c r="I376" t="n">
        <v>0</v>
      </c>
      <c r="J376" t="n">
        <v>0</v>
      </c>
      <c r="K376" t="n">
        <v>0</v>
      </c>
      <c r="L376" t="n">
        <v>0</v>
      </c>
      <c r="M376" t="n">
        <v>0</v>
      </c>
      <c r="N376" t="n">
        <v>0</v>
      </c>
      <c r="O376" t="n">
        <v>0</v>
      </c>
      <c r="P376" t="n">
        <v>0</v>
      </c>
      <c r="Q376" t="n">
        <v>0</v>
      </c>
      <c r="R376" s="2" t="inlineStr"/>
    </row>
    <row r="377" ht="15" customHeight="1">
      <c r="A377" t="inlineStr">
        <is>
          <t>A 62954-2023</t>
        </is>
      </c>
      <c r="B377" s="1" t="n">
        <v>45272.55362268518</v>
      </c>
      <c r="C377" s="1" t="n">
        <v>46037</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35156-2025</t>
        </is>
      </c>
      <c r="B378" s="1" t="n">
        <v>45852</v>
      </c>
      <c r="C378" s="1" t="n">
        <v>46037</v>
      </c>
      <c r="D378" t="inlineStr">
        <is>
          <t>SÖDERMANLANDS LÄN</t>
        </is>
      </c>
      <c r="E378" t="inlineStr">
        <is>
          <t>KATRINEHOLM</t>
        </is>
      </c>
      <c r="G378" t="n">
        <v>5.7</v>
      </c>
      <c r="H378" t="n">
        <v>0</v>
      </c>
      <c r="I378" t="n">
        <v>0</v>
      </c>
      <c r="J378" t="n">
        <v>0</v>
      </c>
      <c r="K378" t="n">
        <v>0</v>
      </c>
      <c r="L378" t="n">
        <v>0</v>
      </c>
      <c r="M378" t="n">
        <v>0</v>
      </c>
      <c r="N378" t="n">
        <v>0</v>
      </c>
      <c r="O378" t="n">
        <v>0</v>
      </c>
      <c r="P378" t="n">
        <v>0</v>
      </c>
      <c r="Q378" t="n">
        <v>0</v>
      </c>
      <c r="R378" s="2" t="inlineStr"/>
    </row>
    <row r="379" ht="15" customHeight="1">
      <c r="A379" t="inlineStr">
        <is>
          <t>A 35152-2025</t>
        </is>
      </c>
      <c r="B379" s="1" t="n">
        <v>45852</v>
      </c>
      <c r="C379" s="1" t="n">
        <v>46037</v>
      </c>
      <c r="D379" t="inlineStr">
        <is>
          <t>SÖDERMANLANDS LÄN</t>
        </is>
      </c>
      <c r="E379" t="inlineStr">
        <is>
          <t>KATRINEHOLM</t>
        </is>
      </c>
      <c r="G379" t="n">
        <v>4.6</v>
      </c>
      <c r="H379" t="n">
        <v>0</v>
      </c>
      <c r="I379" t="n">
        <v>0</v>
      </c>
      <c r="J379" t="n">
        <v>0</v>
      </c>
      <c r="K379" t="n">
        <v>0</v>
      </c>
      <c r="L379" t="n">
        <v>0</v>
      </c>
      <c r="M379" t="n">
        <v>0</v>
      </c>
      <c r="N379" t="n">
        <v>0</v>
      </c>
      <c r="O379" t="n">
        <v>0</v>
      </c>
      <c r="P379" t="n">
        <v>0</v>
      </c>
      <c r="Q379" t="n">
        <v>0</v>
      </c>
      <c r="R379" s="2" t="inlineStr"/>
    </row>
    <row r="380" ht="15" customHeight="1">
      <c r="A380" t="inlineStr">
        <is>
          <t>A 35165-2025</t>
        </is>
      </c>
      <c r="B380" s="1" t="n">
        <v>45852.72320601852</v>
      </c>
      <c r="C380" s="1" t="n">
        <v>46037</v>
      </c>
      <c r="D380" t="inlineStr">
        <is>
          <t>SÖDERMANLANDS LÄN</t>
        </is>
      </c>
      <c r="E380" t="inlineStr">
        <is>
          <t>KATRINEHOLM</t>
        </is>
      </c>
      <c r="F380" t="inlineStr">
        <is>
          <t>Övriga Aktiebolag</t>
        </is>
      </c>
      <c r="G380" t="n">
        <v>20.7</v>
      </c>
      <c r="H380" t="n">
        <v>0</v>
      </c>
      <c r="I380" t="n">
        <v>0</v>
      </c>
      <c r="J380" t="n">
        <v>0</v>
      </c>
      <c r="K380" t="n">
        <v>0</v>
      </c>
      <c r="L380" t="n">
        <v>0</v>
      </c>
      <c r="M380" t="n">
        <v>0</v>
      </c>
      <c r="N380" t="n">
        <v>0</v>
      </c>
      <c r="O380" t="n">
        <v>0</v>
      </c>
      <c r="P380" t="n">
        <v>0</v>
      </c>
      <c r="Q380" t="n">
        <v>0</v>
      </c>
      <c r="R380" s="2" t="inlineStr"/>
    </row>
    <row r="381" ht="15" customHeight="1">
      <c r="A381" t="inlineStr">
        <is>
          <t>A 58651-2023</t>
        </is>
      </c>
      <c r="B381" s="1" t="n">
        <v>45247</v>
      </c>
      <c r="C381" s="1" t="n">
        <v>46037</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12238-2021</t>
        </is>
      </c>
      <c r="B382" s="1" t="n">
        <v>44266</v>
      </c>
      <c r="C382" s="1" t="n">
        <v>46037</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35149-2025</t>
        </is>
      </c>
      <c r="B383" s="1" t="n">
        <v>45852</v>
      </c>
      <c r="C383" s="1" t="n">
        <v>46037</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35161-2025</t>
        </is>
      </c>
      <c r="B384" s="1" t="n">
        <v>45852.70716435185</v>
      </c>
      <c r="C384" s="1" t="n">
        <v>46037</v>
      </c>
      <c r="D384" t="inlineStr">
        <is>
          <t>SÖDERMANLANDS LÄN</t>
        </is>
      </c>
      <c r="E384" t="inlineStr">
        <is>
          <t>KATRINEHOLM</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35084-2025</t>
        </is>
      </c>
      <c r="B385" s="1" t="n">
        <v>45852</v>
      </c>
      <c r="C385" s="1" t="n">
        <v>46037</v>
      </c>
      <c r="D385" t="inlineStr">
        <is>
          <t>SÖDERMANLANDS LÄN</t>
        </is>
      </c>
      <c r="E385" t="inlineStr">
        <is>
          <t>KATRINEHOLM</t>
        </is>
      </c>
      <c r="G385" t="n">
        <v>3.2</v>
      </c>
      <c r="H385" t="n">
        <v>0</v>
      </c>
      <c r="I385" t="n">
        <v>0</v>
      </c>
      <c r="J385" t="n">
        <v>0</v>
      </c>
      <c r="K385" t="n">
        <v>0</v>
      </c>
      <c r="L385" t="n">
        <v>0</v>
      </c>
      <c r="M385" t="n">
        <v>0</v>
      </c>
      <c r="N385" t="n">
        <v>0</v>
      </c>
      <c r="O385" t="n">
        <v>0</v>
      </c>
      <c r="P385" t="n">
        <v>0</v>
      </c>
      <c r="Q385" t="n">
        <v>0</v>
      </c>
      <c r="R385" s="2" t="inlineStr"/>
    </row>
    <row r="386" ht="15" customHeight="1">
      <c r="A386" t="inlineStr">
        <is>
          <t>A 35145-2025</t>
        </is>
      </c>
      <c r="B386" s="1" t="n">
        <v>45852</v>
      </c>
      <c r="C386" s="1" t="n">
        <v>46037</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34439-2025</t>
        </is>
      </c>
      <c r="B387" s="1" t="n">
        <v>45845</v>
      </c>
      <c r="C387" s="1" t="n">
        <v>46037</v>
      </c>
      <c r="D387" t="inlineStr">
        <is>
          <t>SÖDERMANLANDS LÄN</t>
        </is>
      </c>
      <c r="E387" t="inlineStr">
        <is>
          <t>KATRINEHOLM</t>
        </is>
      </c>
      <c r="G387" t="n">
        <v>1.4</v>
      </c>
      <c r="H387" t="n">
        <v>0</v>
      </c>
      <c r="I387" t="n">
        <v>0</v>
      </c>
      <c r="J387" t="n">
        <v>0</v>
      </c>
      <c r="K387" t="n">
        <v>0</v>
      </c>
      <c r="L387" t="n">
        <v>0</v>
      </c>
      <c r="M387" t="n">
        <v>0</v>
      </c>
      <c r="N387" t="n">
        <v>0</v>
      </c>
      <c r="O387" t="n">
        <v>0</v>
      </c>
      <c r="P387" t="n">
        <v>0</v>
      </c>
      <c r="Q387" t="n">
        <v>0</v>
      </c>
      <c r="R387" s="2" t="inlineStr"/>
    </row>
    <row r="388" ht="15" customHeight="1">
      <c r="A388" t="inlineStr">
        <is>
          <t>A 35157-2025</t>
        </is>
      </c>
      <c r="B388" s="1" t="n">
        <v>45852</v>
      </c>
      <c r="C388" s="1" t="n">
        <v>46037</v>
      </c>
      <c r="D388" t="inlineStr">
        <is>
          <t>SÖDERMANLANDS LÄN</t>
        </is>
      </c>
      <c r="E388" t="inlineStr">
        <is>
          <t>KATRINEHOLM</t>
        </is>
      </c>
      <c r="G388" t="n">
        <v>3.7</v>
      </c>
      <c r="H388" t="n">
        <v>0</v>
      </c>
      <c r="I388" t="n">
        <v>0</v>
      </c>
      <c r="J388" t="n">
        <v>0</v>
      </c>
      <c r="K388" t="n">
        <v>0</v>
      </c>
      <c r="L388" t="n">
        <v>0</v>
      </c>
      <c r="M388" t="n">
        <v>0</v>
      </c>
      <c r="N388" t="n">
        <v>0</v>
      </c>
      <c r="O388" t="n">
        <v>0</v>
      </c>
      <c r="P388" t="n">
        <v>0</v>
      </c>
      <c r="Q388" t="n">
        <v>0</v>
      </c>
      <c r="R388" s="2" t="inlineStr"/>
    </row>
    <row r="389" ht="15" customHeight="1">
      <c r="A389" t="inlineStr">
        <is>
          <t>A 35158-2025</t>
        </is>
      </c>
      <c r="B389" s="1" t="n">
        <v>45852</v>
      </c>
      <c r="C389" s="1" t="n">
        <v>46037</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6446-2022</t>
        </is>
      </c>
      <c r="B390" s="1" t="n">
        <v>44600</v>
      </c>
      <c r="C390" s="1" t="n">
        <v>46037</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49743-2025</t>
        </is>
      </c>
      <c r="B391" s="1" t="n">
        <v>45940</v>
      </c>
      <c r="C391" s="1" t="n">
        <v>46037</v>
      </c>
      <c r="D391" t="inlineStr">
        <is>
          <t>SÖDERMANLANDS LÄN</t>
        </is>
      </c>
      <c r="E391" t="inlineStr">
        <is>
          <t>KATRINEHOLM</t>
        </is>
      </c>
      <c r="G391" t="n">
        <v>1.1</v>
      </c>
      <c r="H391" t="n">
        <v>0</v>
      </c>
      <c r="I391" t="n">
        <v>0</v>
      </c>
      <c r="J391" t="n">
        <v>0</v>
      </c>
      <c r="K391" t="n">
        <v>0</v>
      </c>
      <c r="L391" t="n">
        <v>0</v>
      </c>
      <c r="M391" t="n">
        <v>0</v>
      </c>
      <c r="N391" t="n">
        <v>0</v>
      </c>
      <c r="O391" t="n">
        <v>0</v>
      </c>
      <c r="P391" t="n">
        <v>0</v>
      </c>
      <c r="Q391" t="n">
        <v>0</v>
      </c>
      <c r="R391" s="2" t="inlineStr"/>
    </row>
    <row r="392" ht="15" customHeight="1">
      <c r="A392" t="inlineStr">
        <is>
          <t>A 34176-2025</t>
        </is>
      </c>
      <c r="B392" s="1" t="n">
        <v>45845</v>
      </c>
      <c r="C392" s="1" t="n">
        <v>46037</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51923-2023</t>
        </is>
      </c>
      <c r="B393" s="1" t="n">
        <v>45223</v>
      </c>
      <c r="C393" s="1" t="n">
        <v>46037</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44024-2021</t>
        </is>
      </c>
      <c r="B394" s="1" t="n">
        <v>44434</v>
      </c>
      <c r="C394" s="1" t="n">
        <v>46037</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18386-2025</t>
        </is>
      </c>
      <c r="B395" s="1" t="n">
        <v>45762</v>
      </c>
      <c r="C395" s="1" t="n">
        <v>46037</v>
      </c>
      <c r="D395" t="inlineStr">
        <is>
          <t>SÖDERMANLANDS LÄN</t>
        </is>
      </c>
      <c r="E395" t="inlineStr">
        <is>
          <t>KATRINEHOLM</t>
        </is>
      </c>
      <c r="G395" t="n">
        <v>0.5</v>
      </c>
      <c r="H395" t="n">
        <v>0</v>
      </c>
      <c r="I395" t="n">
        <v>0</v>
      </c>
      <c r="J395" t="n">
        <v>0</v>
      </c>
      <c r="K395" t="n">
        <v>0</v>
      </c>
      <c r="L395" t="n">
        <v>0</v>
      </c>
      <c r="M395" t="n">
        <v>0</v>
      </c>
      <c r="N395" t="n">
        <v>0</v>
      </c>
      <c r="O395" t="n">
        <v>0</v>
      </c>
      <c r="P395" t="n">
        <v>0</v>
      </c>
      <c r="Q395" t="n">
        <v>0</v>
      </c>
      <c r="R395" s="2" t="inlineStr"/>
    </row>
    <row r="396" ht="15" customHeight="1">
      <c r="A396" t="inlineStr">
        <is>
          <t>A 3125-2024</t>
        </is>
      </c>
      <c r="B396" s="1" t="n">
        <v>45316</v>
      </c>
      <c r="C396" s="1" t="n">
        <v>46037</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35183-2022</t>
        </is>
      </c>
      <c r="B397" s="1" t="n">
        <v>44797</v>
      </c>
      <c r="C397" s="1" t="n">
        <v>46037</v>
      </c>
      <c r="D397" t="inlineStr">
        <is>
          <t>SÖDERMANLANDS LÄN</t>
        </is>
      </c>
      <c r="E397" t="inlineStr">
        <is>
          <t>KATRINEHOLM</t>
        </is>
      </c>
      <c r="G397" t="n">
        <v>4.6</v>
      </c>
      <c r="H397" t="n">
        <v>0</v>
      </c>
      <c r="I397" t="n">
        <v>0</v>
      </c>
      <c r="J397" t="n">
        <v>0</v>
      </c>
      <c r="K397" t="n">
        <v>0</v>
      </c>
      <c r="L397" t="n">
        <v>0</v>
      </c>
      <c r="M397" t="n">
        <v>0</v>
      </c>
      <c r="N397" t="n">
        <v>0</v>
      </c>
      <c r="O397" t="n">
        <v>0</v>
      </c>
      <c r="P397" t="n">
        <v>0</v>
      </c>
      <c r="Q397" t="n">
        <v>0</v>
      </c>
      <c r="R397" s="2" t="inlineStr"/>
    </row>
    <row r="398" ht="15" customHeight="1">
      <c r="A398" t="inlineStr">
        <is>
          <t>A 50934-2025</t>
        </is>
      </c>
      <c r="B398" s="1" t="n">
        <v>45946.69195601852</v>
      </c>
      <c r="C398" s="1" t="n">
        <v>46037</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42519-2024</t>
        </is>
      </c>
      <c r="B399" s="1" t="n">
        <v>45565</v>
      </c>
      <c r="C399" s="1" t="n">
        <v>46037</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20826-2022</t>
        </is>
      </c>
      <c r="B400" s="1" t="n">
        <v>44701.44754629629</v>
      </c>
      <c r="C400" s="1" t="n">
        <v>46037</v>
      </c>
      <c r="D400" t="inlineStr">
        <is>
          <t>SÖDERMANLANDS LÄN</t>
        </is>
      </c>
      <c r="E400" t="inlineStr">
        <is>
          <t>KATRINEHOLM</t>
        </is>
      </c>
      <c r="G400" t="n">
        <v>6.8</v>
      </c>
      <c r="H400" t="n">
        <v>0</v>
      </c>
      <c r="I400" t="n">
        <v>0</v>
      </c>
      <c r="J400" t="n">
        <v>0</v>
      </c>
      <c r="K400" t="n">
        <v>0</v>
      </c>
      <c r="L400" t="n">
        <v>0</v>
      </c>
      <c r="M400" t="n">
        <v>0</v>
      </c>
      <c r="N400" t="n">
        <v>0</v>
      </c>
      <c r="O400" t="n">
        <v>0</v>
      </c>
      <c r="P400" t="n">
        <v>0</v>
      </c>
      <c r="Q400" t="n">
        <v>0</v>
      </c>
      <c r="R400" s="2" t="inlineStr"/>
    </row>
    <row r="401" ht="15" customHeight="1">
      <c r="A401" t="inlineStr">
        <is>
          <t>A 20846-2022</t>
        </is>
      </c>
      <c r="B401" s="1" t="n">
        <v>44701.4744212963</v>
      </c>
      <c r="C401" s="1" t="n">
        <v>46037</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49078-2024</t>
        </is>
      </c>
      <c r="B402" s="1" t="n">
        <v>45594.62556712963</v>
      </c>
      <c r="C402" s="1" t="n">
        <v>46037</v>
      </c>
      <c r="D402" t="inlineStr">
        <is>
          <t>SÖDERMANLANDS LÄN</t>
        </is>
      </c>
      <c r="E402" t="inlineStr">
        <is>
          <t>KATRINEHOLM</t>
        </is>
      </c>
      <c r="F402" t="inlineStr">
        <is>
          <t>Övriga Aktiebolag</t>
        </is>
      </c>
      <c r="G402" t="n">
        <v>0.4</v>
      </c>
      <c r="H402" t="n">
        <v>0</v>
      </c>
      <c r="I402" t="n">
        <v>0</v>
      </c>
      <c r="J402" t="n">
        <v>0</v>
      </c>
      <c r="K402" t="n">
        <v>0</v>
      </c>
      <c r="L402" t="n">
        <v>0</v>
      </c>
      <c r="M402" t="n">
        <v>0</v>
      </c>
      <c r="N402" t="n">
        <v>0</v>
      </c>
      <c r="O402" t="n">
        <v>0</v>
      </c>
      <c r="P402" t="n">
        <v>0</v>
      </c>
      <c r="Q402" t="n">
        <v>0</v>
      </c>
      <c r="R402" s="2" t="inlineStr"/>
    </row>
    <row r="403" ht="15" customHeight="1">
      <c r="A403" t="inlineStr">
        <is>
          <t>A 51440-2024</t>
        </is>
      </c>
      <c r="B403" s="1" t="n">
        <v>45604</v>
      </c>
      <c r="C403" s="1" t="n">
        <v>46037</v>
      </c>
      <c r="D403" t="inlineStr">
        <is>
          <t>SÖDERMANLANDS LÄN</t>
        </is>
      </c>
      <c r="E403" t="inlineStr">
        <is>
          <t>KATRINEHOLM</t>
        </is>
      </c>
      <c r="G403" t="n">
        <v>4.7</v>
      </c>
      <c r="H403" t="n">
        <v>0</v>
      </c>
      <c r="I403" t="n">
        <v>0</v>
      </c>
      <c r="J403" t="n">
        <v>0</v>
      </c>
      <c r="K403" t="n">
        <v>0</v>
      </c>
      <c r="L403" t="n">
        <v>0</v>
      </c>
      <c r="M403" t="n">
        <v>0</v>
      </c>
      <c r="N403" t="n">
        <v>0</v>
      </c>
      <c r="O403" t="n">
        <v>0</v>
      </c>
      <c r="P403" t="n">
        <v>0</v>
      </c>
      <c r="Q403" t="n">
        <v>0</v>
      </c>
      <c r="R403" s="2" t="inlineStr"/>
    </row>
    <row r="404" ht="15" customHeight="1">
      <c r="A404" t="inlineStr">
        <is>
          <t>A 36590-2025</t>
        </is>
      </c>
      <c r="B404" s="1" t="n">
        <v>45870</v>
      </c>
      <c r="C404" s="1" t="n">
        <v>46037</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51367-2025</t>
        </is>
      </c>
      <c r="B405" s="1" t="n">
        <v>45950.44700231482</v>
      </c>
      <c r="C405" s="1" t="n">
        <v>46037</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47879-2023</t>
        </is>
      </c>
      <c r="B406" s="1" t="n">
        <v>45204</v>
      </c>
      <c r="C406" s="1" t="n">
        <v>46037</v>
      </c>
      <c r="D406" t="inlineStr">
        <is>
          <t>SÖDERMANLANDS LÄN</t>
        </is>
      </c>
      <c r="E406" t="inlineStr">
        <is>
          <t>KATRINEHOLM</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26684-2025</t>
        </is>
      </c>
      <c r="B407" s="1" t="n">
        <v>45810</v>
      </c>
      <c r="C407" s="1" t="n">
        <v>46037</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12975-2022</t>
        </is>
      </c>
      <c r="B408" s="1" t="n">
        <v>44643</v>
      </c>
      <c r="C408" s="1" t="n">
        <v>46037</v>
      </c>
      <c r="D408" t="inlineStr">
        <is>
          <t>SÖDERMANLANDS LÄN</t>
        </is>
      </c>
      <c r="E408" t="inlineStr">
        <is>
          <t>KATRINEHOLM</t>
        </is>
      </c>
      <c r="G408" t="n">
        <v>2.4</v>
      </c>
      <c r="H408" t="n">
        <v>0</v>
      </c>
      <c r="I408" t="n">
        <v>0</v>
      </c>
      <c r="J408" t="n">
        <v>0</v>
      </c>
      <c r="K408" t="n">
        <v>0</v>
      </c>
      <c r="L408" t="n">
        <v>0</v>
      </c>
      <c r="M408" t="n">
        <v>0</v>
      </c>
      <c r="N408" t="n">
        <v>0</v>
      </c>
      <c r="O408" t="n">
        <v>0</v>
      </c>
      <c r="P408" t="n">
        <v>0</v>
      </c>
      <c r="Q408" t="n">
        <v>0</v>
      </c>
      <c r="R408" s="2" t="inlineStr"/>
    </row>
    <row r="409" ht="15" customHeight="1">
      <c r="A409" t="inlineStr">
        <is>
          <t>A 51260-2021</t>
        </is>
      </c>
      <c r="B409" s="1" t="n">
        <v>44461</v>
      </c>
      <c r="C409" s="1" t="n">
        <v>46037</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53843-2023</t>
        </is>
      </c>
      <c r="B410" s="1" t="n">
        <v>45230</v>
      </c>
      <c r="C410" s="1" t="n">
        <v>46037</v>
      </c>
      <c r="D410" t="inlineStr">
        <is>
          <t>SÖDERMANLANDS LÄN</t>
        </is>
      </c>
      <c r="E410" t="inlineStr">
        <is>
          <t>KATRINEHOLM</t>
        </is>
      </c>
      <c r="G410" t="n">
        <v>14.2</v>
      </c>
      <c r="H410" t="n">
        <v>0</v>
      </c>
      <c r="I410" t="n">
        <v>0</v>
      </c>
      <c r="J410" t="n">
        <v>0</v>
      </c>
      <c r="K410" t="n">
        <v>0</v>
      </c>
      <c r="L410" t="n">
        <v>0</v>
      </c>
      <c r="M410" t="n">
        <v>0</v>
      </c>
      <c r="N410" t="n">
        <v>0</v>
      </c>
      <c r="O410" t="n">
        <v>0</v>
      </c>
      <c r="P410" t="n">
        <v>0</v>
      </c>
      <c r="Q410" t="n">
        <v>0</v>
      </c>
      <c r="R410" s="2" t="inlineStr"/>
    </row>
    <row r="411" ht="15" customHeight="1">
      <c r="A411" t="inlineStr">
        <is>
          <t>A 48763-2024</t>
        </is>
      </c>
      <c r="B411" s="1" t="n">
        <v>45593.60288194445</v>
      </c>
      <c r="C411" s="1" t="n">
        <v>46037</v>
      </c>
      <c r="D411" t="inlineStr">
        <is>
          <t>SÖDERMANLANDS LÄN</t>
        </is>
      </c>
      <c r="E411" t="inlineStr">
        <is>
          <t>KATRINEHOLM</t>
        </is>
      </c>
      <c r="G411" t="n">
        <v>1.3</v>
      </c>
      <c r="H411" t="n">
        <v>0</v>
      </c>
      <c r="I411" t="n">
        <v>0</v>
      </c>
      <c r="J411" t="n">
        <v>0</v>
      </c>
      <c r="K411" t="n">
        <v>0</v>
      </c>
      <c r="L411" t="n">
        <v>0</v>
      </c>
      <c r="M411" t="n">
        <v>0</v>
      </c>
      <c r="N411" t="n">
        <v>0</v>
      </c>
      <c r="O411" t="n">
        <v>0</v>
      </c>
      <c r="P411" t="n">
        <v>0</v>
      </c>
      <c r="Q411" t="n">
        <v>0</v>
      </c>
      <c r="R411" s="2" t="inlineStr"/>
    </row>
    <row r="412" ht="15" customHeight="1">
      <c r="A412" t="inlineStr">
        <is>
          <t>A 12227-2025</t>
        </is>
      </c>
      <c r="B412" s="1" t="n">
        <v>45729.56836805555</v>
      </c>
      <c r="C412" s="1" t="n">
        <v>46037</v>
      </c>
      <c r="D412" t="inlineStr">
        <is>
          <t>SÖDERMANLANDS LÄN</t>
        </is>
      </c>
      <c r="E412" t="inlineStr">
        <is>
          <t>KATRINEHOLM</t>
        </is>
      </c>
      <c r="G412" t="n">
        <v>7</v>
      </c>
      <c r="H412" t="n">
        <v>0</v>
      </c>
      <c r="I412" t="n">
        <v>0</v>
      </c>
      <c r="J412" t="n">
        <v>0</v>
      </c>
      <c r="K412" t="n">
        <v>0</v>
      </c>
      <c r="L412" t="n">
        <v>0</v>
      </c>
      <c r="M412" t="n">
        <v>0</v>
      </c>
      <c r="N412" t="n">
        <v>0</v>
      </c>
      <c r="O412" t="n">
        <v>0</v>
      </c>
      <c r="P412" t="n">
        <v>0</v>
      </c>
      <c r="Q412" t="n">
        <v>0</v>
      </c>
      <c r="R412" s="2" t="inlineStr"/>
    </row>
    <row r="413" ht="15" customHeight="1">
      <c r="A413" t="inlineStr">
        <is>
          <t>A 14478-2023</t>
        </is>
      </c>
      <c r="B413" s="1" t="n">
        <v>45012.66421296296</v>
      </c>
      <c r="C413" s="1" t="n">
        <v>46037</v>
      </c>
      <c r="D413" t="inlineStr">
        <is>
          <t>SÖDERMANLANDS LÄN</t>
        </is>
      </c>
      <c r="E413" t="inlineStr">
        <is>
          <t>KATRINEHOLM</t>
        </is>
      </c>
      <c r="G413" t="n">
        <v>3.9</v>
      </c>
      <c r="H413" t="n">
        <v>0</v>
      </c>
      <c r="I413" t="n">
        <v>0</v>
      </c>
      <c r="J413" t="n">
        <v>0</v>
      </c>
      <c r="K413" t="n">
        <v>0</v>
      </c>
      <c r="L413" t="n">
        <v>0</v>
      </c>
      <c r="M413" t="n">
        <v>0</v>
      </c>
      <c r="N413" t="n">
        <v>0</v>
      </c>
      <c r="O413" t="n">
        <v>0</v>
      </c>
      <c r="P413" t="n">
        <v>0</v>
      </c>
      <c r="Q413" t="n">
        <v>0</v>
      </c>
      <c r="R413" s="2" t="inlineStr"/>
    </row>
    <row r="414" ht="15" customHeight="1">
      <c r="A414" t="inlineStr">
        <is>
          <t>A 20921-2023</t>
        </is>
      </c>
      <c r="B414" s="1" t="n">
        <v>45061</v>
      </c>
      <c r="C414" s="1" t="n">
        <v>46037</v>
      </c>
      <c r="D414" t="inlineStr">
        <is>
          <t>SÖDERMANLANDS LÄN</t>
        </is>
      </c>
      <c r="E414" t="inlineStr">
        <is>
          <t>KATRINEHOLM</t>
        </is>
      </c>
      <c r="G414" t="n">
        <v>8.9</v>
      </c>
      <c r="H414" t="n">
        <v>0</v>
      </c>
      <c r="I414" t="n">
        <v>0</v>
      </c>
      <c r="J414" t="n">
        <v>0</v>
      </c>
      <c r="K414" t="n">
        <v>0</v>
      </c>
      <c r="L414" t="n">
        <v>0</v>
      </c>
      <c r="M414" t="n">
        <v>0</v>
      </c>
      <c r="N414" t="n">
        <v>0</v>
      </c>
      <c r="O414" t="n">
        <v>0</v>
      </c>
      <c r="P414" t="n">
        <v>0</v>
      </c>
      <c r="Q414" t="n">
        <v>0</v>
      </c>
      <c r="R414" s="2" t="inlineStr"/>
    </row>
    <row r="415" ht="15" customHeight="1">
      <c r="A415" t="inlineStr">
        <is>
          <t>A 12930-2023</t>
        </is>
      </c>
      <c r="B415" s="1" t="n">
        <v>45001</v>
      </c>
      <c r="C415" s="1" t="n">
        <v>46037</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12938-2023</t>
        </is>
      </c>
      <c r="B416" s="1" t="n">
        <v>45001</v>
      </c>
      <c r="C416" s="1" t="n">
        <v>46037</v>
      </c>
      <c r="D416" t="inlineStr">
        <is>
          <t>SÖDERMANLANDS LÄN</t>
        </is>
      </c>
      <c r="E416" t="inlineStr">
        <is>
          <t>KATRINEHOLM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12559-2023</t>
        </is>
      </c>
      <c r="B417" s="1" t="n">
        <v>45000.36373842593</v>
      </c>
      <c r="C417" s="1" t="n">
        <v>46037</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7704-2023</t>
        </is>
      </c>
      <c r="B418" s="1" t="n">
        <v>44968</v>
      </c>
      <c r="C418" s="1" t="n">
        <v>46037</v>
      </c>
      <c r="D418" t="inlineStr">
        <is>
          <t>SÖDERMANLANDS LÄN</t>
        </is>
      </c>
      <c r="E418" t="inlineStr">
        <is>
          <t>KATRINEHOLM</t>
        </is>
      </c>
      <c r="G418" t="n">
        <v>7.3</v>
      </c>
      <c r="H418" t="n">
        <v>0</v>
      </c>
      <c r="I418" t="n">
        <v>0</v>
      </c>
      <c r="J418" t="n">
        <v>0</v>
      </c>
      <c r="K418" t="n">
        <v>0</v>
      </c>
      <c r="L418" t="n">
        <v>0</v>
      </c>
      <c r="M418" t="n">
        <v>0</v>
      </c>
      <c r="N418" t="n">
        <v>0</v>
      </c>
      <c r="O418" t="n">
        <v>0</v>
      </c>
      <c r="P418" t="n">
        <v>0</v>
      </c>
      <c r="Q418" t="n">
        <v>0</v>
      </c>
      <c r="R418" s="2" t="inlineStr"/>
    </row>
    <row r="419" ht="15" customHeight="1">
      <c r="A419" t="inlineStr">
        <is>
          <t>A 49122-2024</t>
        </is>
      </c>
      <c r="B419" s="1" t="n">
        <v>45594</v>
      </c>
      <c r="C419" s="1" t="n">
        <v>46037</v>
      </c>
      <c r="D419" t="inlineStr">
        <is>
          <t>SÖDERMANLANDS LÄN</t>
        </is>
      </c>
      <c r="E419" t="inlineStr">
        <is>
          <t>KATRINEHOLM</t>
        </is>
      </c>
      <c r="G419" t="n">
        <v>19.4</v>
      </c>
      <c r="H419" t="n">
        <v>0</v>
      </c>
      <c r="I419" t="n">
        <v>0</v>
      </c>
      <c r="J419" t="n">
        <v>0</v>
      </c>
      <c r="K419" t="n">
        <v>0</v>
      </c>
      <c r="L419" t="n">
        <v>0</v>
      </c>
      <c r="M419" t="n">
        <v>0</v>
      </c>
      <c r="N419" t="n">
        <v>0</v>
      </c>
      <c r="O419" t="n">
        <v>0</v>
      </c>
      <c r="P419" t="n">
        <v>0</v>
      </c>
      <c r="Q419" t="n">
        <v>0</v>
      </c>
      <c r="R419" s="2" t="inlineStr"/>
    </row>
    <row r="420" ht="15" customHeight="1">
      <c r="A420" t="inlineStr">
        <is>
          <t>A 12937-2023</t>
        </is>
      </c>
      <c r="B420" s="1" t="n">
        <v>45001</v>
      </c>
      <c r="C420" s="1" t="n">
        <v>46037</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11127-2023</t>
        </is>
      </c>
      <c r="B421" s="1" t="n">
        <v>44987</v>
      </c>
      <c r="C421" s="1" t="n">
        <v>46037</v>
      </c>
      <c r="D421" t="inlineStr">
        <is>
          <t>SÖDERMANLANDS LÄN</t>
        </is>
      </c>
      <c r="E421" t="inlineStr">
        <is>
          <t>KATRINEHOLM</t>
        </is>
      </c>
      <c r="G421" t="n">
        <v>4.3</v>
      </c>
      <c r="H421" t="n">
        <v>0</v>
      </c>
      <c r="I421" t="n">
        <v>0</v>
      </c>
      <c r="J421" t="n">
        <v>0</v>
      </c>
      <c r="K421" t="n">
        <v>0</v>
      </c>
      <c r="L421" t="n">
        <v>0</v>
      </c>
      <c r="M421" t="n">
        <v>0</v>
      </c>
      <c r="N421" t="n">
        <v>0</v>
      </c>
      <c r="O421" t="n">
        <v>0</v>
      </c>
      <c r="P421" t="n">
        <v>0</v>
      </c>
      <c r="Q421" t="n">
        <v>0</v>
      </c>
      <c r="R421" s="2" t="inlineStr"/>
    </row>
    <row r="422" ht="15" customHeight="1">
      <c r="A422" t="inlineStr">
        <is>
          <t>A 51780-2025</t>
        </is>
      </c>
      <c r="B422" s="1" t="n">
        <v>45951.65725694445</v>
      </c>
      <c r="C422" s="1" t="n">
        <v>46037</v>
      </c>
      <c r="D422" t="inlineStr">
        <is>
          <t>SÖDERMANLANDS LÄN</t>
        </is>
      </c>
      <c r="E422" t="inlineStr">
        <is>
          <t>KATRINEHOLM</t>
        </is>
      </c>
      <c r="F422" t="inlineStr">
        <is>
          <t>Allmännings- och besparingsskogar</t>
        </is>
      </c>
      <c r="G422" t="n">
        <v>1.3</v>
      </c>
      <c r="H422" t="n">
        <v>0</v>
      </c>
      <c r="I422" t="n">
        <v>0</v>
      </c>
      <c r="J422" t="n">
        <v>0</v>
      </c>
      <c r="K422" t="n">
        <v>0</v>
      </c>
      <c r="L422" t="n">
        <v>0</v>
      </c>
      <c r="M422" t="n">
        <v>0</v>
      </c>
      <c r="N422" t="n">
        <v>0</v>
      </c>
      <c r="O422" t="n">
        <v>0</v>
      </c>
      <c r="P422" t="n">
        <v>0</v>
      </c>
      <c r="Q422" t="n">
        <v>0</v>
      </c>
      <c r="R422" s="2" t="inlineStr"/>
    </row>
    <row r="423" ht="15" customHeight="1">
      <c r="A423" t="inlineStr">
        <is>
          <t>A 27345-2023</t>
        </is>
      </c>
      <c r="B423" s="1" t="n">
        <v>45096</v>
      </c>
      <c r="C423" s="1" t="n">
        <v>46037</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51774-2025</t>
        </is>
      </c>
      <c r="B424" s="1" t="n">
        <v>45951.65359953704</v>
      </c>
      <c r="C424" s="1" t="n">
        <v>46037</v>
      </c>
      <c r="D424" t="inlineStr">
        <is>
          <t>SÖDERMANLANDS LÄN</t>
        </is>
      </c>
      <c r="E424" t="inlineStr">
        <is>
          <t>KATRINEHOLM</t>
        </is>
      </c>
      <c r="F424" t="inlineStr">
        <is>
          <t>Allmännings- och besparingsskogar</t>
        </is>
      </c>
      <c r="G424" t="n">
        <v>3.7</v>
      </c>
      <c r="H424" t="n">
        <v>0</v>
      </c>
      <c r="I424" t="n">
        <v>0</v>
      </c>
      <c r="J424" t="n">
        <v>0</v>
      </c>
      <c r="K424" t="n">
        <v>0</v>
      </c>
      <c r="L424" t="n">
        <v>0</v>
      </c>
      <c r="M424" t="n">
        <v>0</v>
      </c>
      <c r="N424" t="n">
        <v>0</v>
      </c>
      <c r="O424" t="n">
        <v>0</v>
      </c>
      <c r="P424" t="n">
        <v>0</v>
      </c>
      <c r="Q424" t="n">
        <v>0</v>
      </c>
      <c r="R424" s="2" t="inlineStr"/>
    </row>
    <row r="425" ht="15" customHeight="1">
      <c r="A425" t="inlineStr">
        <is>
          <t>A 51783-2025</t>
        </is>
      </c>
      <c r="B425" s="1" t="n">
        <v>45951.67546296296</v>
      </c>
      <c r="C425" s="1" t="n">
        <v>46037</v>
      </c>
      <c r="D425" t="inlineStr">
        <is>
          <t>SÖDERMANLANDS LÄN</t>
        </is>
      </c>
      <c r="E425" t="inlineStr">
        <is>
          <t>KATRINEHOLM</t>
        </is>
      </c>
      <c r="F425" t="inlineStr">
        <is>
          <t>Allmännings- och besparingsskogar</t>
        </is>
      </c>
      <c r="G425" t="n">
        <v>5.8</v>
      </c>
      <c r="H425" t="n">
        <v>0</v>
      </c>
      <c r="I425" t="n">
        <v>0</v>
      </c>
      <c r="J425" t="n">
        <v>0</v>
      </c>
      <c r="K425" t="n">
        <v>0</v>
      </c>
      <c r="L425" t="n">
        <v>0</v>
      </c>
      <c r="M425" t="n">
        <v>0</v>
      </c>
      <c r="N425" t="n">
        <v>0</v>
      </c>
      <c r="O425" t="n">
        <v>0</v>
      </c>
      <c r="P425" t="n">
        <v>0</v>
      </c>
      <c r="Q425" t="n">
        <v>0</v>
      </c>
      <c r="R425" s="2" t="inlineStr"/>
    </row>
    <row r="426" ht="15" customHeight="1">
      <c r="A426" t="inlineStr">
        <is>
          <t>A 50021-2023</t>
        </is>
      </c>
      <c r="B426" s="1" t="n">
        <v>45215</v>
      </c>
      <c r="C426" s="1" t="n">
        <v>46037</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1151-2025</t>
        </is>
      </c>
      <c r="B427" s="1" t="n">
        <v>45666</v>
      </c>
      <c r="C427" s="1" t="n">
        <v>46037</v>
      </c>
      <c r="D427" t="inlineStr">
        <is>
          <t>SÖDERMANLANDS LÄN</t>
        </is>
      </c>
      <c r="E427" t="inlineStr">
        <is>
          <t>KATRINEHOLM</t>
        </is>
      </c>
      <c r="G427" t="n">
        <v>1.9</v>
      </c>
      <c r="H427" t="n">
        <v>0</v>
      </c>
      <c r="I427" t="n">
        <v>0</v>
      </c>
      <c r="J427" t="n">
        <v>0</v>
      </c>
      <c r="K427" t="n">
        <v>0</v>
      </c>
      <c r="L427" t="n">
        <v>0</v>
      </c>
      <c r="M427" t="n">
        <v>0</v>
      </c>
      <c r="N427" t="n">
        <v>0</v>
      </c>
      <c r="O427" t="n">
        <v>0</v>
      </c>
      <c r="P427" t="n">
        <v>0</v>
      </c>
      <c r="Q427" t="n">
        <v>0</v>
      </c>
      <c r="R427" s="2" t="inlineStr"/>
    </row>
    <row r="428" ht="15" customHeight="1">
      <c r="A428" t="inlineStr">
        <is>
          <t>A 37043-2025</t>
        </is>
      </c>
      <c r="B428" s="1" t="n">
        <v>45875.3396412037</v>
      </c>
      <c r="C428" s="1" t="n">
        <v>46037</v>
      </c>
      <c r="D428" t="inlineStr">
        <is>
          <t>SÖDERMANLANDS LÄN</t>
        </is>
      </c>
      <c r="E428" t="inlineStr">
        <is>
          <t>KATRINEHOLM</t>
        </is>
      </c>
      <c r="G428" t="n">
        <v>2.2</v>
      </c>
      <c r="H428" t="n">
        <v>0</v>
      </c>
      <c r="I428" t="n">
        <v>0</v>
      </c>
      <c r="J428" t="n">
        <v>0</v>
      </c>
      <c r="K428" t="n">
        <v>0</v>
      </c>
      <c r="L428" t="n">
        <v>0</v>
      </c>
      <c r="M428" t="n">
        <v>0</v>
      </c>
      <c r="N428" t="n">
        <v>0</v>
      </c>
      <c r="O428" t="n">
        <v>0</v>
      </c>
      <c r="P428" t="n">
        <v>0</v>
      </c>
      <c r="Q428" t="n">
        <v>0</v>
      </c>
      <c r="R428" s="2" t="inlineStr"/>
    </row>
    <row r="429" ht="15" customHeight="1">
      <c r="A429" t="inlineStr">
        <is>
          <t>A 6808-2023</t>
        </is>
      </c>
      <c r="B429" s="1" t="n">
        <v>44964</v>
      </c>
      <c r="C429" s="1" t="n">
        <v>46037</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61394-2024</t>
        </is>
      </c>
      <c r="B430" s="1" t="n">
        <v>45646.42061342593</v>
      </c>
      <c r="C430" s="1" t="n">
        <v>46037</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52242-2025</t>
        </is>
      </c>
      <c r="B431" s="1" t="n">
        <v>45953.46886574074</v>
      </c>
      <c r="C431" s="1" t="n">
        <v>46037</v>
      </c>
      <c r="D431" t="inlineStr">
        <is>
          <t>SÖDERMANLANDS LÄN</t>
        </is>
      </c>
      <c r="E431" t="inlineStr">
        <is>
          <t>KATRINEHOLM</t>
        </is>
      </c>
      <c r="G431" t="n">
        <v>5.3</v>
      </c>
      <c r="H431" t="n">
        <v>0</v>
      </c>
      <c r="I431" t="n">
        <v>0</v>
      </c>
      <c r="J431" t="n">
        <v>0</v>
      </c>
      <c r="K431" t="n">
        <v>0</v>
      </c>
      <c r="L431" t="n">
        <v>0</v>
      </c>
      <c r="M431" t="n">
        <v>0</v>
      </c>
      <c r="N431" t="n">
        <v>0</v>
      </c>
      <c r="O431" t="n">
        <v>0</v>
      </c>
      <c r="P431" t="n">
        <v>0</v>
      </c>
      <c r="Q431" t="n">
        <v>0</v>
      </c>
      <c r="R431" s="2" t="inlineStr"/>
    </row>
    <row r="432" ht="15" customHeight="1">
      <c r="A432" t="inlineStr">
        <is>
          <t>A 60678-2025</t>
        </is>
      </c>
      <c r="B432" s="1" t="n">
        <v>45996.56251157408</v>
      </c>
      <c r="C432" s="1" t="n">
        <v>46037</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52239-2025</t>
        </is>
      </c>
      <c r="B433" s="1" t="n">
        <v>45953.46193287037</v>
      </c>
      <c r="C433" s="1" t="n">
        <v>46037</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52244-2025</t>
        </is>
      </c>
      <c r="B434" s="1" t="n">
        <v>45953</v>
      </c>
      <c r="C434" s="1" t="n">
        <v>46037</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11543-2025</t>
        </is>
      </c>
      <c r="B435" s="1" t="n">
        <v>45727.34248842593</v>
      </c>
      <c r="C435" s="1" t="n">
        <v>46037</v>
      </c>
      <c r="D435" t="inlineStr">
        <is>
          <t>SÖDERMANLANDS LÄN</t>
        </is>
      </c>
      <c r="E435" t="inlineStr">
        <is>
          <t>KATRINEHOLM</t>
        </is>
      </c>
      <c r="G435" t="n">
        <v>3.6</v>
      </c>
      <c r="H435" t="n">
        <v>0</v>
      </c>
      <c r="I435" t="n">
        <v>0</v>
      </c>
      <c r="J435" t="n">
        <v>0</v>
      </c>
      <c r="K435" t="n">
        <v>0</v>
      </c>
      <c r="L435" t="n">
        <v>0</v>
      </c>
      <c r="M435" t="n">
        <v>0</v>
      </c>
      <c r="N435" t="n">
        <v>0</v>
      </c>
      <c r="O435" t="n">
        <v>0</v>
      </c>
      <c r="P435" t="n">
        <v>0</v>
      </c>
      <c r="Q435" t="n">
        <v>0</v>
      </c>
      <c r="R435" s="2" t="inlineStr"/>
    </row>
    <row r="436" ht="15" customHeight="1">
      <c r="A436" t="inlineStr">
        <is>
          <t>A 37827-2025</t>
        </is>
      </c>
      <c r="B436" s="1" t="n">
        <v>45881.40907407407</v>
      </c>
      <c r="C436" s="1" t="n">
        <v>46037</v>
      </c>
      <c r="D436" t="inlineStr">
        <is>
          <t>SÖDERMANLANDS LÄN</t>
        </is>
      </c>
      <c r="E436" t="inlineStr">
        <is>
          <t>KATRINEHOLM</t>
        </is>
      </c>
      <c r="F436" t="inlineStr">
        <is>
          <t>Övriga Aktiebolag</t>
        </is>
      </c>
      <c r="G436" t="n">
        <v>2</v>
      </c>
      <c r="H436" t="n">
        <v>0</v>
      </c>
      <c r="I436" t="n">
        <v>0</v>
      </c>
      <c r="J436" t="n">
        <v>0</v>
      </c>
      <c r="K436" t="n">
        <v>0</v>
      </c>
      <c r="L436" t="n">
        <v>0</v>
      </c>
      <c r="M436" t="n">
        <v>0</v>
      </c>
      <c r="N436" t="n">
        <v>0</v>
      </c>
      <c r="O436" t="n">
        <v>0</v>
      </c>
      <c r="P436" t="n">
        <v>0</v>
      </c>
      <c r="Q436" t="n">
        <v>0</v>
      </c>
      <c r="R436" s="2" t="inlineStr"/>
    </row>
    <row r="437" ht="15" customHeight="1">
      <c r="A437" t="inlineStr">
        <is>
          <t>A 61121-2025</t>
        </is>
      </c>
      <c r="B437" s="1" t="n">
        <v>46000.46746527778</v>
      </c>
      <c r="C437" s="1" t="n">
        <v>46037</v>
      </c>
      <c r="D437" t="inlineStr">
        <is>
          <t>SÖDERMANLANDS LÄN</t>
        </is>
      </c>
      <c r="E437" t="inlineStr">
        <is>
          <t>KATRINEHOLM</t>
        </is>
      </c>
      <c r="G437" t="n">
        <v>0.2</v>
      </c>
      <c r="H437" t="n">
        <v>0</v>
      </c>
      <c r="I437" t="n">
        <v>0</v>
      </c>
      <c r="J437" t="n">
        <v>0</v>
      </c>
      <c r="K437" t="n">
        <v>0</v>
      </c>
      <c r="L437" t="n">
        <v>0</v>
      </c>
      <c r="M437" t="n">
        <v>0</v>
      </c>
      <c r="N437" t="n">
        <v>0</v>
      </c>
      <c r="O437" t="n">
        <v>0</v>
      </c>
      <c r="P437" t="n">
        <v>0</v>
      </c>
      <c r="Q437" t="n">
        <v>0</v>
      </c>
      <c r="R437" s="2" t="inlineStr"/>
    </row>
    <row r="438" ht="15" customHeight="1">
      <c r="A438" t="inlineStr">
        <is>
          <t>A 18339-2023</t>
        </is>
      </c>
      <c r="B438" s="1" t="n">
        <v>45041</v>
      </c>
      <c r="C438" s="1" t="n">
        <v>46037</v>
      </c>
      <c r="D438" t="inlineStr">
        <is>
          <t>SÖDERMANLANDS LÄN</t>
        </is>
      </c>
      <c r="E438" t="inlineStr">
        <is>
          <t>KATRINEHOLM</t>
        </is>
      </c>
      <c r="G438" t="n">
        <v>1.7</v>
      </c>
      <c r="H438" t="n">
        <v>0</v>
      </c>
      <c r="I438" t="n">
        <v>0</v>
      </c>
      <c r="J438" t="n">
        <v>0</v>
      </c>
      <c r="K438" t="n">
        <v>0</v>
      </c>
      <c r="L438" t="n">
        <v>0</v>
      </c>
      <c r="M438" t="n">
        <v>0</v>
      </c>
      <c r="N438" t="n">
        <v>0</v>
      </c>
      <c r="O438" t="n">
        <v>0</v>
      </c>
      <c r="P438" t="n">
        <v>0</v>
      </c>
      <c r="Q438" t="n">
        <v>0</v>
      </c>
      <c r="R438" s="2" t="inlineStr"/>
    </row>
    <row r="439" ht="15" customHeight="1">
      <c r="A439" t="inlineStr">
        <is>
          <t>A 58522-2024</t>
        </is>
      </c>
      <c r="B439" s="1" t="n">
        <v>45635.43770833333</v>
      </c>
      <c r="C439" s="1" t="n">
        <v>46037</v>
      </c>
      <c r="D439" t="inlineStr">
        <is>
          <t>SÖDERMANLANDS LÄN</t>
        </is>
      </c>
      <c r="E439" t="inlineStr">
        <is>
          <t>KATRINEHOLM</t>
        </is>
      </c>
      <c r="G439" t="n">
        <v>2</v>
      </c>
      <c r="H439" t="n">
        <v>0</v>
      </c>
      <c r="I439" t="n">
        <v>0</v>
      </c>
      <c r="J439" t="n">
        <v>0</v>
      </c>
      <c r="K439" t="n">
        <v>0</v>
      </c>
      <c r="L439" t="n">
        <v>0</v>
      </c>
      <c r="M439" t="n">
        <v>0</v>
      </c>
      <c r="N439" t="n">
        <v>0</v>
      </c>
      <c r="O439" t="n">
        <v>0</v>
      </c>
      <c r="P439" t="n">
        <v>0</v>
      </c>
      <c r="Q439" t="n">
        <v>0</v>
      </c>
      <c r="R439" s="2" t="inlineStr"/>
    </row>
    <row r="440" ht="15" customHeight="1">
      <c r="A440" t="inlineStr">
        <is>
          <t>A 61066-2025</t>
        </is>
      </c>
      <c r="B440" s="1" t="n">
        <v>46000.37695601852</v>
      </c>
      <c r="C440" s="1" t="n">
        <v>46037</v>
      </c>
      <c r="D440" t="inlineStr">
        <is>
          <t>SÖDERMANLANDS LÄN</t>
        </is>
      </c>
      <c r="E440" t="inlineStr">
        <is>
          <t>KATRINEHOLM</t>
        </is>
      </c>
      <c r="F440" t="inlineStr">
        <is>
          <t>Kyrkan</t>
        </is>
      </c>
      <c r="G440" t="n">
        <v>5</v>
      </c>
      <c r="H440" t="n">
        <v>0</v>
      </c>
      <c r="I440" t="n">
        <v>0</v>
      </c>
      <c r="J440" t="n">
        <v>0</v>
      </c>
      <c r="K440" t="n">
        <v>0</v>
      </c>
      <c r="L440" t="n">
        <v>0</v>
      </c>
      <c r="M440" t="n">
        <v>0</v>
      </c>
      <c r="N440" t="n">
        <v>0</v>
      </c>
      <c r="O440" t="n">
        <v>0</v>
      </c>
      <c r="P440" t="n">
        <v>0</v>
      </c>
      <c r="Q440" t="n">
        <v>0</v>
      </c>
      <c r="R440" s="2" t="inlineStr"/>
    </row>
    <row r="441" ht="15" customHeight="1">
      <c r="A441" t="inlineStr">
        <is>
          <t>A 47889-2023</t>
        </is>
      </c>
      <c r="B441" s="1" t="n">
        <v>45204</v>
      </c>
      <c r="C441" s="1" t="n">
        <v>46037</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34732-2022</t>
        </is>
      </c>
      <c r="B442" s="1" t="n">
        <v>44795</v>
      </c>
      <c r="C442" s="1" t="n">
        <v>46037</v>
      </c>
      <c r="D442" t="inlineStr">
        <is>
          <t>SÖDERMANLANDS LÄN</t>
        </is>
      </c>
      <c r="E442" t="inlineStr">
        <is>
          <t>KATRINEHOLM</t>
        </is>
      </c>
      <c r="G442" t="n">
        <v>3</v>
      </c>
      <c r="H442" t="n">
        <v>0</v>
      </c>
      <c r="I442" t="n">
        <v>0</v>
      </c>
      <c r="J442" t="n">
        <v>0</v>
      </c>
      <c r="K442" t="n">
        <v>0</v>
      </c>
      <c r="L442" t="n">
        <v>0</v>
      </c>
      <c r="M442" t="n">
        <v>0</v>
      </c>
      <c r="N442" t="n">
        <v>0</v>
      </c>
      <c r="O442" t="n">
        <v>0</v>
      </c>
      <c r="P442" t="n">
        <v>0</v>
      </c>
      <c r="Q442" t="n">
        <v>0</v>
      </c>
      <c r="R442" s="2" t="inlineStr"/>
    </row>
    <row r="443" ht="15" customHeight="1">
      <c r="A443" t="inlineStr">
        <is>
          <t>A 52744-2025</t>
        </is>
      </c>
      <c r="B443" s="1" t="n">
        <v>45957.38387731482</v>
      </c>
      <c r="C443" s="1" t="n">
        <v>46037</v>
      </c>
      <c r="D443" t="inlineStr">
        <is>
          <t>SÖDERMANLANDS LÄN</t>
        </is>
      </c>
      <c r="E443" t="inlineStr">
        <is>
          <t>KATRINEHOLM</t>
        </is>
      </c>
      <c r="G443" t="n">
        <v>4</v>
      </c>
      <c r="H443" t="n">
        <v>0</v>
      </c>
      <c r="I443" t="n">
        <v>0</v>
      </c>
      <c r="J443" t="n">
        <v>0</v>
      </c>
      <c r="K443" t="n">
        <v>0</v>
      </c>
      <c r="L443" t="n">
        <v>0</v>
      </c>
      <c r="M443" t="n">
        <v>0</v>
      </c>
      <c r="N443" t="n">
        <v>0</v>
      </c>
      <c r="O443" t="n">
        <v>0</v>
      </c>
      <c r="P443" t="n">
        <v>0</v>
      </c>
      <c r="Q443" t="n">
        <v>0</v>
      </c>
      <c r="R443" s="2" t="inlineStr"/>
    </row>
    <row r="444" ht="15" customHeight="1">
      <c r="A444" t="inlineStr">
        <is>
          <t>A 32166-2022</t>
        </is>
      </c>
      <c r="B444" s="1" t="n">
        <v>44781</v>
      </c>
      <c r="C444" s="1" t="n">
        <v>46037</v>
      </c>
      <c r="D444" t="inlineStr">
        <is>
          <t>SÖDERMANLANDS LÄN</t>
        </is>
      </c>
      <c r="E444" t="inlineStr">
        <is>
          <t>KATRINEHOLM</t>
        </is>
      </c>
      <c r="F444" t="inlineStr">
        <is>
          <t>Kommuner</t>
        </is>
      </c>
      <c r="G444" t="n">
        <v>0.5</v>
      </c>
      <c r="H444" t="n">
        <v>0</v>
      </c>
      <c r="I444" t="n">
        <v>0</v>
      </c>
      <c r="J444" t="n">
        <v>0</v>
      </c>
      <c r="K444" t="n">
        <v>0</v>
      </c>
      <c r="L444" t="n">
        <v>0</v>
      </c>
      <c r="M444" t="n">
        <v>0</v>
      </c>
      <c r="N444" t="n">
        <v>0</v>
      </c>
      <c r="O444" t="n">
        <v>0</v>
      </c>
      <c r="P444" t="n">
        <v>0</v>
      </c>
      <c r="Q444" t="n">
        <v>0</v>
      </c>
      <c r="R444" s="2" t="inlineStr"/>
    </row>
    <row r="445" ht="15" customHeight="1">
      <c r="A445" t="inlineStr">
        <is>
          <t>A 32169-2022</t>
        </is>
      </c>
      <c r="B445" s="1" t="n">
        <v>44781</v>
      </c>
      <c r="C445" s="1" t="n">
        <v>46037</v>
      </c>
      <c r="D445" t="inlineStr">
        <is>
          <t>SÖDERMANLANDS LÄN</t>
        </is>
      </c>
      <c r="E445" t="inlineStr">
        <is>
          <t>KATRINEHOLM</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35864-2023</t>
        </is>
      </c>
      <c r="B446" s="1" t="n">
        <v>45147</v>
      </c>
      <c r="C446" s="1" t="n">
        <v>46037</v>
      </c>
      <c r="D446" t="inlineStr">
        <is>
          <t>SÖDERMANLANDS LÄN</t>
        </is>
      </c>
      <c r="E446" t="inlineStr">
        <is>
          <t>KATRINEHOLM</t>
        </is>
      </c>
      <c r="F446" t="inlineStr">
        <is>
          <t>Övriga Aktiebolag</t>
        </is>
      </c>
      <c r="G446" t="n">
        <v>4.7</v>
      </c>
      <c r="H446" t="n">
        <v>0</v>
      </c>
      <c r="I446" t="n">
        <v>0</v>
      </c>
      <c r="J446" t="n">
        <v>0</v>
      </c>
      <c r="K446" t="n">
        <v>0</v>
      </c>
      <c r="L446" t="n">
        <v>0</v>
      </c>
      <c r="M446" t="n">
        <v>0</v>
      </c>
      <c r="N446" t="n">
        <v>0</v>
      </c>
      <c r="O446" t="n">
        <v>0</v>
      </c>
      <c r="P446" t="n">
        <v>0</v>
      </c>
      <c r="Q446" t="n">
        <v>0</v>
      </c>
      <c r="R446" s="2" t="inlineStr"/>
    </row>
    <row r="447" ht="15" customHeight="1">
      <c r="A447" t="inlineStr">
        <is>
          <t>A 44637-2023</t>
        </is>
      </c>
      <c r="B447" s="1" t="n">
        <v>45189</v>
      </c>
      <c r="C447" s="1" t="n">
        <v>46037</v>
      </c>
      <c r="D447" t="inlineStr">
        <is>
          <t>SÖDERMANLANDS LÄN</t>
        </is>
      </c>
      <c r="E447" t="inlineStr">
        <is>
          <t>KATRINEHOLM</t>
        </is>
      </c>
      <c r="G447" t="n">
        <v>5.1</v>
      </c>
      <c r="H447" t="n">
        <v>0</v>
      </c>
      <c r="I447" t="n">
        <v>0</v>
      </c>
      <c r="J447" t="n">
        <v>0</v>
      </c>
      <c r="K447" t="n">
        <v>0</v>
      </c>
      <c r="L447" t="n">
        <v>0</v>
      </c>
      <c r="M447" t="n">
        <v>0</v>
      </c>
      <c r="N447" t="n">
        <v>0</v>
      </c>
      <c r="O447" t="n">
        <v>0</v>
      </c>
      <c r="P447" t="n">
        <v>0</v>
      </c>
      <c r="Q447" t="n">
        <v>0</v>
      </c>
      <c r="R447" s="2" t="inlineStr"/>
    </row>
    <row r="448" ht="15" customHeight="1">
      <c r="A448" t="inlineStr">
        <is>
          <t>A 61721-2025</t>
        </is>
      </c>
      <c r="B448" s="1" t="n">
        <v>46002.57778935185</v>
      </c>
      <c r="C448" s="1" t="n">
        <v>46037</v>
      </c>
      <c r="D448" t="inlineStr">
        <is>
          <t>SÖDERMANLANDS LÄN</t>
        </is>
      </c>
      <c r="E448" t="inlineStr">
        <is>
          <t>KATRINEHOLM</t>
        </is>
      </c>
      <c r="G448" t="n">
        <v>4.5</v>
      </c>
      <c r="H448" t="n">
        <v>0</v>
      </c>
      <c r="I448" t="n">
        <v>0</v>
      </c>
      <c r="J448" t="n">
        <v>0</v>
      </c>
      <c r="K448" t="n">
        <v>0</v>
      </c>
      <c r="L448" t="n">
        <v>0</v>
      </c>
      <c r="M448" t="n">
        <v>0</v>
      </c>
      <c r="N448" t="n">
        <v>0</v>
      </c>
      <c r="O448" t="n">
        <v>0</v>
      </c>
      <c r="P448" t="n">
        <v>0</v>
      </c>
      <c r="Q448" t="n">
        <v>0</v>
      </c>
      <c r="R448" s="2" t="inlineStr"/>
    </row>
    <row r="449" ht="15" customHeight="1">
      <c r="A449" t="inlineStr">
        <is>
          <t>A 53338-2025</t>
        </is>
      </c>
      <c r="B449" s="1" t="n">
        <v>45959.40447916667</v>
      </c>
      <c r="C449" s="1" t="n">
        <v>46037</v>
      </c>
      <c r="D449" t="inlineStr">
        <is>
          <t>SÖDERMANLANDS LÄN</t>
        </is>
      </c>
      <c r="E449" t="inlineStr">
        <is>
          <t>KATRINEHOLM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33469-2025</t>
        </is>
      </c>
      <c r="B450" s="1" t="n">
        <v>45841.48686342593</v>
      </c>
      <c r="C450" s="1" t="n">
        <v>46037</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33129-2025</t>
        </is>
      </c>
      <c r="B451" s="1" t="n">
        <v>45840.50141203704</v>
      </c>
      <c r="C451" s="1" t="n">
        <v>46037</v>
      </c>
      <c r="D451" t="inlineStr">
        <is>
          <t>SÖDERMANLANDS LÄN</t>
        </is>
      </c>
      <c r="E451" t="inlineStr">
        <is>
          <t>KATRINEHOLM</t>
        </is>
      </c>
      <c r="G451" t="n">
        <v>2.6</v>
      </c>
      <c r="H451" t="n">
        <v>0</v>
      </c>
      <c r="I451" t="n">
        <v>0</v>
      </c>
      <c r="J451" t="n">
        <v>0</v>
      </c>
      <c r="K451" t="n">
        <v>0</v>
      </c>
      <c r="L451" t="n">
        <v>0</v>
      </c>
      <c r="M451" t="n">
        <v>0</v>
      </c>
      <c r="N451" t="n">
        <v>0</v>
      </c>
      <c r="O451" t="n">
        <v>0</v>
      </c>
      <c r="P451" t="n">
        <v>0</v>
      </c>
      <c r="Q451" t="n">
        <v>0</v>
      </c>
      <c r="R451" s="2" t="inlineStr"/>
    </row>
    <row r="452" ht="15" customHeight="1">
      <c r="A452" t="inlineStr">
        <is>
          <t>A 39055-2022</t>
        </is>
      </c>
      <c r="B452" s="1" t="n">
        <v>44817</v>
      </c>
      <c r="C452" s="1" t="n">
        <v>46037</v>
      </c>
      <c r="D452" t="inlineStr">
        <is>
          <t>SÖDERMANLANDS LÄN</t>
        </is>
      </c>
      <c r="E452" t="inlineStr">
        <is>
          <t>KATRINEHOLM</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46257-2021</t>
        </is>
      </c>
      <c r="B453" s="1" t="n">
        <v>44442</v>
      </c>
      <c r="C453" s="1" t="n">
        <v>46037</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52769-2023</t>
        </is>
      </c>
      <c r="B454" s="1" t="n">
        <v>45226</v>
      </c>
      <c r="C454" s="1" t="n">
        <v>46037</v>
      </c>
      <c r="D454" t="inlineStr">
        <is>
          <t>SÖDERMANLANDS LÄN</t>
        </is>
      </c>
      <c r="E454" t="inlineStr">
        <is>
          <t>KATRINEHOLM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41548-2025</t>
        </is>
      </c>
      <c r="B455" s="1" t="n">
        <v>45901</v>
      </c>
      <c r="C455" s="1" t="n">
        <v>46037</v>
      </c>
      <c r="D455" t="inlineStr">
        <is>
          <t>SÖDERMANLANDS LÄN</t>
        </is>
      </c>
      <c r="E455" t="inlineStr">
        <is>
          <t>KATRINEHOLM</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33096-2025</t>
        </is>
      </c>
      <c r="B456" s="1" t="n">
        <v>45840.47563657408</v>
      </c>
      <c r="C456" s="1" t="n">
        <v>46037</v>
      </c>
      <c r="D456" t="inlineStr">
        <is>
          <t>SÖDERMANLANDS LÄN</t>
        </is>
      </c>
      <c r="E456" t="inlineStr">
        <is>
          <t>KATRINEHOLM</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4758-2025</t>
        </is>
      </c>
      <c r="B457" s="1" t="n">
        <v>45688</v>
      </c>
      <c r="C457" s="1" t="n">
        <v>46037</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27852-2023</t>
        </is>
      </c>
      <c r="B458" s="1" t="n">
        <v>45098</v>
      </c>
      <c r="C458" s="1" t="n">
        <v>46037</v>
      </c>
      <c r="D458" t="inlineStr">
        <is>
          <t>SÖDERMANLANDS LÄN</t>
        </is>
      </c>
      <c r="E458" t="inlineStr">
        <is>
          <t>KATRINEHOLM</t>
        </is>
      </c>
      <c r="G458" t="n">
        <v>7.4</v>
      </c>
      <c r="H458" t="n">
        <v>0</v>
      </c>
      <c r="I458" t="n">
        <v>0</v>
      </c>
      <c r="J458" t="n">
        <v>0</v>
      </c>
      <c r="K458" t="n">
        <v>0</v>
      </c>
      <c r="L458" t="n">
        <v>0</v>
      </c>
      <c r="M458" t="n">
        <v>0</v>
      </c>
      <c r="N458" t="n">
        <v>0</v>
      </c>
      <c r="O458" t="n">
        <v>0</v>
      </c>
      <c r="P458" t="n">
        <v>0</v>
      </c>
      <c r="Q458" t="n">
        <v>0</v>
      </c>
      <c r="R458" s="2" t="inlineStr"/>
    </row>
    <row r="459" ht="15" customHeight="1">
      <c r="A459" t="inlineStr">
        <is>
          <t>A 33077-2025</t>
        </is>
      </c>
      <c r="B459" s="1" t="n">
        <v>45840.45864583334</v>
      </c>
      <c r="C459" s="1" t="n">
        <v>46037</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28304-2024</t>
        </is>
      </c>
      <c r="B460" s="1" t="n">
        <v>45477</v>
      </c>
      <c r="C460" s="1" t="n">
        <v>46037</v>
      </c>
      <c r="D460" t="inlineStr">
        <is>
          <t>SÖDERMANLANDS LÄN</t>
        </is>
      </c>
      <c r="E460" t="inlineStr">
        <is>
          <t>KATRINEHOLM</t>
        </is>
      </c>
      <c r="G460" t="n">
        <v>3.8</v>
      </c>
      <c r="H460" t="n">
        <v>0</v>
      </c>
      <c r="I460" t="n">
        <v>0</v>
      </c>
      <c r="J460" t="n">
        <v>0</v>
      </c>
      <c r="K460" t="n">
        <v>0</v>
      </c>
      <c r="L460" t="n">
        <v>0</v>
      </c>
      <c r="M460" t="n">
        <v>0</v>
      </c>
      <c r="N460" t="n">
        <v>0</v>
      </c>
      <c r="O460" t="n">
        <v>0</v>
      </c>
      <c r="P460" t="n">
        <v>0</v>
      </c>
      <c r="Q460" t="n">
        <v>0</v>
      </c>
      <c r="R460" s="2" t="inlineStr"/>
    </row>
    <row r="461" ht="15" customHeight="1">
      <c r="A461" t="inlineStr">
        <is>
          <t>A 61911-2021</t>
        </is>
      </c>
      <c r="B461" s="1" t="n">
        <v>44502.35746527778</v>
      </c>
      <c r="C461" s="1" t="n">
        <v>46037</v>
      </c>
      <c r="D461" t="inlineStr">
        <is>
          <t>SÖDERMANLANDS LÄN</t>
        </is>
      </c>
      <c r="E461" t="inlineStr">
        <is>
          <t>KATRINEHOLM</t>
        </is>
      </c>
      <c r="G461" t="n">
        <v>3.8</v>
      </c>
      <c r="H461" t="n">
        <v>0</v>
      </c>
      <c r="I461" t="n">
        <v>0</v>
      </c>
      <c r="J461" t="n">
        <v>0</v>
      </c>
      <c r="K461" t="n">
        <v>0</v>
      </c>
      <c r="L461" t="n">
        <v>0</v>
      </c>
      <c r="M461" t="n">
        <v>0</v>
      </c>
      <c r="N461" t="n">
        <v>0</v>
      </c>
      <c r="O461" t="n">
        <v>0</v>
      </c>
      <c r="P461" t="n">
        <v>0</v>
      </c>
      <c r="Q461" t="n">
        <v>0</v>
      </c>
      <c r="R461" s="2" t="inlineStr"/>
    </row>
    <row r="462" ht="15" customHeight="1">
      <c r="A462" t="inlineStr">
        <is>
          <t>A 33101-2025</t>
        </is>
      </c>
      <c r="B462" s="1" t="n">
        <v>45840.47953703703</v>
      </c>
      <c r="C462" s="1" t="n">
        <v>46037</v>
      </c>
      <c r="D462" t="inlineStr">
        <is>
          <t>SÖDERMANLANDS LÄN</t>
        </is>
      </c>
      <c r="E462" t="inlineStr">
        <is>
          <t>KATRINEHOLM</t>
        </is>
      </c>
      <c r="G462" t="n">
        <v>4.4</v>
      </c>
      <c r="H462" t="n">
        <v>0</v>
      </c>
      <c r="I462" t="n">
        <v>0</v>
      </c>
      <c r="J462" t="n">
        <v>0</v>
      </c>
      <c r="K462" t="n">
        <v>0</v>
      </c>
      <c r="L462" t="n">
        <v>0</v>
      </c>
      <c r="M462" t="n">
        <v>0</v>
      </c>
      <c r="N462" t="n">
        <v>0</v>
      </c>
      <c r="O462" t="n">
        <v>0</v>
      </c>
      <c r="P462" t="n">
        <v>0</v>
      </c>
      <c r="Q462" t="n">
        <v>0</v>
      </c>
      <c r="R462" s="2" t="inlineStr"/>
    </row>
    <row r="463" ht="15" customHeight="1">
      <c r="A463" t="inlineStr">
        <is>
          <t>A 54359-2025</t>
        </is>
      </c>
      <c r="B463" s="1" t="n">
        <v>45964</v>
      </c>
      <c r="C463" s="1" t="n">
        <v>46037</v>
      </c>
      <c r="D463" t="inlineStr">
        <is>
          <t>SÖDERMANLANDS LÄN</t>
        </is>
      </c>
      <c r="E463" t="inlineStr">
        <is>
          <t>KATRINEHOLM</t>
        </is>
      </c>
      <c r="G463" t="n">
        <v>2.5</v>
      </c>
      <c r="H463" t="n">
        <v>0</v>
      </c>
      <c r="I463" t="n">
        <v>0</v>
      </c>
      <c r="J463" t="n">
        <v>0</v>
      </c>
      <c r="K463" t="n">
        <v>0</v>
      </c>
      <c r="L463" t="n">
        <v>0</v>
      </c>
      <c r="M463" t="n">
        <v>0</v>
      </c>
      <c r="N463" t="n">
        <v>0</v>
      </c>
      <c r="O463" t="n">
        <v>0</v>
      </c>
      <c r="P463" t="n">
        <v>0</v>
      </c>
      <c r="Q463" t="n">
        <v>0</v>
      </c>
      <c r="R463" s="2" t="inlineStr"/>
    </row>
    <row r="464" ht="15" customHeight="1">
      <c r="A464" t="inlineStr">
        <is>
          <t>A 54395-2025</t>
        </is>
      </c>
      <c r="B464" s="1" t="n">
        <v>45964</v>
      </c>
      <c r="C464" s="1" t="n">
        <v>46037</v>
      </c>
      <c r="D464" t="inlineStr">
        <is>
          <t>SÖDERMANLANDS LÄN</t>
        </is>
      </c>
      <c r="E464" t="inlineStr">
        <is>
          <t>KATRINEHOLM</t>
        </is>
      </c>
      <c r="G464" t="n">
        <v>0.7</v>
      </c>
      <c r="H464" t="n">
        <v>0</v>
      </c>
      <c r="I464" t="n">
        <v>0</v>
      </c>
      <c r="J464" t="n">
        <v>0</v>
      </c>
      <c r="K464" t="n">
        <v>0</v>
      </c>
      <c r="L464" t="n">
        <v>0</v>
      </c>
      <c r="M464" t="n">
        <v>0</v>
      </c>
      <c r="N464" t="n">
        <v>0</v>
      </c>
      <c r="O464" t="n">
        <v>0</v>
      </c>
      <c r="P464" t="n">
        <v>0</v>
      </c>
      <c r="Q464" t="n">
        <v>0</v>
      </c>
      <c r="R464" s="2" t="inlineStr"/>
    </row>
    <row r="465" ht="15" customHeight="1">
      <c r="A465" t="inlineStr">
        <is>
          <t>A 42945-2023</t>
        </is>
      </c>
      <c r="B465" s="1" t="n">
        <v>45182.5793287037</v>
      </c>
      <c r="C465" s="1" t="n">
        <v>46037</v>
      </c>
      <c r="D465" t="inlineStr">
        <is>
          <t>SÖDERMANLANDS LÄN</t>
        </is>
      </c>
      <c r="E465" t="inlineStr">
        <is>
          <t>KATRINEHOLM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42962-2023</t>
        </is>
      </c>
      <c r="B466" s="1" t="n">
        <v>45182</v>
      </c>
      <c r="C466" s="1" t="n">
        <v>46037</v>
      </c>
      <c r="D466" t="inlineStr">
        <is>
          <t>SÖDERMANLANDS LÄN</t>
        </is>
      </c>
      <c r="E466" t="inlineStr">
        <is>
          <t>KATRINEHOLM</t>
        </is>
      </c>
      <c r="F466" t="inlineStr">
        <is>
          <t>Övriga Aktiebolag</t>
        </is>
      </c>
      <c r="G466" t="n">
        <v>10.6</v>
      </c>
      <c r="H466" t="n">
        <v>0</v>
      </c>
      <c r="I466" t="n">
        <v>0</v>
      </c>
      <c r="J466" t="n">
        <v>0</v>
      </c>
      <c r="K466" t="n">
        <v>0</v>
      </c>
      <c r="L466" t="n">
        <v>0</v>
      </c>
      <c r="M466" t="n">
        <v>0</v>
      </c>
      <c r="N466" t="n">
        <v>0</v>
      </c>
      <c r="O466" t="n">
        <v>0</v>
      </c>
      <c r="P466" t="n">
        <v>0</v>
      </c>
      <c r="Q466" t="n">
        <v>0</v>
      </c>
      <c r="R466" s="2" t="inlineStr"/>
    </row>
    <row r="467" ht="15" customHeight="1">
      <c r="A467" t="inlineStr">
        <is>
          <t>A 44915-2022</t>
        </is>
      </c>
      <c r="B467" s="1" t="n">
        <v>44840</v>
      </c>
      <c r="C467" s="1" t="n">
        <v>46037</v>
      </c>
      <c r="D467" t="inlineStr">
        <is>
          <t>SÖDERMANLANDS LÄN</t>
        </is>
      </c>
      <c r="E467" t="inlineStr">
        <is>
          <t>KATRINEHOLM</t>
        </is>
      </c>
      <c r="G467" t="n">
        <v>6.3</v>
      </c>
      <c r="H467" t="n">
        <v>0</v>
      </c>
      <c r="I467" t="n">
        <v>0</v>
      </c>
      <c r="J467" t="n">
        <v>0</v>
      </c>
      <c r="K467" t="n">
        <v>0</v>
      </c>
      <c r="L467" t="n">
        <v>0</v>
      </c>
      <c r="M467" t="n">
        <v>0</v>
      </c>
      <c r="N467" t="n">
        <v>0</v>
      </c>
      <c r="O467" t="n">
        <v>0</v>
      </c>
      <c r="P467" t="n">
        <v>0</v>
      </c>
      <c r="Q467" t="n">
        <v>0</v>
      </c>
      <c r="R467" s="2" t="inlineStr"/>
    </row>
    <row r="468" ht="15" customHeight="1">
      <c r="A468" t="inlineStr">
        <is>
          <t>A 5953-2021</t>
        </is>
      </c>
      <c r="B468" s="1" t="n">
        <v>44231</v>
      </c>
      <c r="C468" s="1" t="n">
        <v>46037</v>
      </c>
      <c r="D468" t="inlineStr">
        <is>
          <t>SÖDERMANLANDS LÄN</t>
        </is>
      </c>
      <c r="E468" t="inlineStr">
        <is>
          <t>KATRINEHOLM</t>
        </is>
      </c>
      <c r="G468" t="n">
        <v>3.1</v>
      </c>
      <c r="H468" t="n">
        <v>0</v>
      </c>
      <c r="I468" t="n">
        <v>0</v>
      </c>
      <c r="J468" t="n">
        <v>0</v>
      </c>
      <c r="K468" t="n">
        <v>0</v>
      </c>
      <c r="L468" t="n">
        <v>0</v>
      </c>
      <c r="M468" t="n">
        <v>0</v>
      </c>
      <c r="N468" t="n">
        <v>0</v>
      </c>
      <c r="O468" t="n">
        <v>0</v>
      </c>
      <c r="P468" t="n">
        <v>0</v>
      </c>
      <c r="Q468" t="n">
        <v>0</v>
      </c>
      <c r="R468" s="2" t="inlineStr"/>
    </row>
    <row r="469" ht="15" customHeight="1">
      <c r="A469" t="inlineStr">
        <is>
          <t>A 48097-2023</t>
        </is>
      </c>
      <c r="B469" s="1" t="n">
        <v>45205.31987268518</v>
      </c>
      <c r="C469" s="1" t="n">
        <v>46037</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45793-2022</t>
        </is>
      </c>
      <c r="B470" s="1" t="n">
        <v>44844</v>
      </c>
      <c r="C470" s="1" t="n">
        <v>46037</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40393-2022</t>
        </is>
      </c>
      <c r="B471" s="1" t="n">
        <v>44823</v>
      </c>
      <c r="C471" s="1" t="n">
        <v>46037</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48685-2022</t>
        </is>
      </c>
      <c r="B472" s="1" t="n">
        <v>44859</v>
      </c>
      <c r="C472" s="1" t="n">
        <v>46037</v>
      </c>
      <c r="D472" t="inlineStr">
        <is>
          <t>SÖDERMANLANDS LÄN</t>
        </is>
      </c>
      <c r="E472" t="inlineStr">
        <is>
          <t>KATRINEHOLM</t>
        </is>
      </c>
      <c r="G472" t="n">
        <v>0.5</v>
      </c>
      <c r="H472" t="n">
        <v>0</v>
      </c>
      <c r="I472" t="n">
        <v>0</v>
      </c>
      <c r="J472" t="n">
        <v>0</v>
      </c>
      <c r="K472" t="n">
        <v>0</v>
      </c>
      <c r="L472" t="n">
        <v>0</v>
      </c>
      <c r="M472" t="n">
        <v>0</v>
      </c>
      <c r="N472" t="n">
        <v>0</v>
      </c>
      <c r="O472" t="n">
        <v>0</v>
      </c>
      <c r="P472" t="n">
        <v>0</v>
      </c>
      <c r="Q472" t="n">
        <v>0</v>
      </c>
      <c r="R472" s="2" t="inlineStr"/>
    </row>
    <row r="473" ht="15" customHeight="1">
      <c r="A473" t="inlineStr">
        <is>
          <t>A 36133-2021</t>
        </is>
      </c>
      <c r="B473" s="1" t="n">
        <v>44386</v>
      </c>
      <c r="C473" s="1" t="n">
        <v>46037</v>
      </c>
      <c r="D473" t="inlineStr">
        <is>
          <t>SÖDERMANLANDS LÄN</t>
        </is>
      </c>
      <c r="E473" t="inlineStr">
        <is>
          <t>KATRINEHOLM</t>
        </is>
      </c>
      <c r="F473" t="inlineStr">
        <is>
          <t>Övriga Aktiebolag</t>
        </is>
      </c>
      <c r="G473" t="n">
        <v>8.9</v>
      </c>
      <c r="H473" t="n">
        <v>0</v>
      </c>
      <c r="I473" t="n">
        <v>0</v>
      </c>
      <c r="J473" t="n">
        <v>0</v>
      </c>
      <c r="K473" t="n">
        <v>0</v>
      </c>
      <c r="L473" t="n">
        <v>0</v>
      </c>
      <c r="M473" t="n">
        <v>0</v>
      </c>
      <c r="N473" t="n">
        <v>0</v>
      </c>
      <c r="O473" t="n">
        <v>0</v>
      </c>
      <c r="P473" t="n">
        <v>0</v>
      </c>
      <c r="Q473" t="n">
        <v>0</v>
      </c>
      <c r="R473" s="2" t="inlineStr"/>
    </row>
    <row r="474" ht="15" customHeight="1">
      <c r="A474" t="inlineStr">
        <is>
          <t>A 49700-2022</t>
        </is>
      </c>
      <c r="B474" s="1" t="n">
        <v>44862</v>
      </c>
      <c r="C474" s="1" t="n">
        <v>46037</v>
      </c>
      <c r="D474" t="inlineStr">
        <is>
          <t>SÖDERMANLANDS LÄN</t>
        </is>
      </c>
      <c r="E474" t="inlineStr">
        <is>
          <t>KATRINEHOLM</t>
        </is>
      </c>
      <c r="G474" t="n">
        <v>19.5</v>
      </c>
      <c r="H474" t="n">
        <v>0</v>
      </c>
      <c r="I474" t="n">
        <v>0</v>
      </c>
      <c r="J474" t="n">
        <v>0</v>
      </c>
      <c r="K474" t="n">
        <v>0</v>
      </c>
      <c r="L474" t="n">
        <v>0</v>
      </c>
      <c r="M474" t="n">
        <v>0</v>
      </c>
      <c r="N474" t="n">
        <v>0</v>
      </c>
      <c r="O474" t="n">
        <v>0</v>
      </c>
      <c r="P474" t="n">
        <v>0</v>
      </c>
      <c r="Q474" t="n">
        <v>0</v>
      </c>
      <c r="R474" s="2" t="inlineStr"/>
    </row>
    <row r="475" ht="15" customHeight="1">
      <c r="A475" t="inlineStr">
        <is>
          <t>A 55029-2025</t>
        </is>
      </c>
      <c r="B475" s="1" t="n">
        <v>45967.63784722222</v>
      </c>
      <c r="C475" s="1" t="n">
        <v>46037</v>
      </c>
      <c r="D475" t="inlineStr">
        <is>
          <t>SÖDERMANLANDS LÄN</t>
        </is>
      </c>
      <c r="E475" t="inlineStr">
        <is>
          <t>KATRINEHOLM</t>
        </is>
      </c>
      <c r="G475" t="n">
        <v>10.1</v>
      </c>
      <c r="H475" t="n">
        <v>0</v>
      </c>
      <c r="I475" t="n">
        <v>0</v>
      </c>
      <c r="J475" t="n">
        <v>0</v>
      </c>
      <c r="K475" t="n">
        <v>0</v>
      </c>
      <c r="L475" t="n">
        <v>0</v>
      </c>
      <c r="M475" t="n">
        <v>0</v>
      </c>
      <c r="N475" t="n">
        <v>0</v>
      </c>
      <c r="O475" t="n">
        <v>0</v>
      </c>
      <c r="P475" t="n">
        <v>0</v>
      </c>
      <c r="Q475" t="n">
        <v>0</v>
      </c>
      <c r="R475" s="2" t="inlineStr"/>
    </row>
    <row r="476" ht="15" customHeight="1">
      <c r="A476" t="inlineStr">
        <is>
          <t>A 54999-2025</t>
        </is>
      </c>
      <c r="B476" s="1" t="n">
        <v>45967.59880787037</v>
      </c>
      <c r="C476" s="1" t="n">
        <v>46037</v>
      </c>
      <c r="D476" t="inlineStr">
        <is>
          <t>SÖDERMANLANDS LÄN</t>
        </is>
      </c>
      <c r="E476" t="inlineStr">
        <is>
          <t>KATRINEHOLM</t>
        </is>
      </c>
      <c r="G476" t="n">
        <v>8.5</v>
      </c>
      <c r="H476" t="n">
        <v>0</v>
      </c>
      <c r="I476" t="n">
        <v>0</v>
      </c>
      <c r="J476" t="n">
        <v>0</v>
      </c>
      <c r="K476" t="n">
        <v>0</v>
      </c>
      <c r="L476" t="n">
        <v>0</v>
      </c>
      <c r="M476" t="n">
        <v>0</v>
      </c>
      <c r="N476" t="n">
        <v>0</v>
      </c>
      <c r="O476" t="n">
        <v>0</v>
      </c>
      <c r="P476" t="n">
        <v>0</v>
      </c>
      <c r="Q476" t="n">
        <v>0</v>
      </c>
      <c r="R476" s="2" t="inlineStr"/>
    </row>
    <row r="477" ht="15" customHeight="1">
      <c r="A477" t="inlineStr">
        <is>
          <t>A 30276-2023</t>
        </is>
      </c>
      <c r="B477" s="1" t="n">
        <v>45110</v>
      </c>
      <c r="C477" s="1" t="n">
        <v>46037</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57265-2022</t>
        </is>
      </c>
      <c r="B478" s="1" t="n">
        <v>44895</v>
      </c>
      <c r="C478" s="1" t="n">
        <v>46037</v>
      </c>
      <c r="D478" t="inlineStr">
        <is>
          <t>SÖDERMANLANDS LÄN</t>
        </is>
      </c>
      <c r="E478" t="inlineStr">
        <is>
          <t>KATRINEHOLM</t>
        </is>
      </c>
      <c r="G478" t="n">
        <v>2</v>
      </c>
      <c r="H478" t="n">
        <v>0</v>
      </c>
      <c r="I478" t="n">
        <v>0</v>
      </c>
      <c r="J478" t="n">
        <v>0</v>
      </c>
      <c r="K478" t="n">
        <v>0</v>
      </c>
      <c r="L478" t="n">
        <v>0</v>
      </c>
      <c r="M478" t="n">
        <v>0</v>
      </c>
      <c r="N478" t="n">
        <v>0</v>
      </c>
      <c r="O478" t="n">
        <v>0</v>
      </c>
      <c r="P478" t="n">
        <v>0</v>
      </c>
      <c r="Q478" t="n">
        <v>0</v>
      </c>
      <c r="R478" s="2" t="inlineStr"/>
    </row>
    <row r="479" ht="15" customHeight="1">
      <c r="A479" t="inlineStr">
        <is>
          <t>A 50316-2023</t>
        </is>
      </c>
      <c r="B479" s="1" t="n">
        <v>45209</v>
      </c>
      <c r="C479" s="1" t="n">
        <v>46037</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52857-2021</t>
        </is>
      </c>
      <c r="B480" s="1" t="n">
        <v>44466</v>
      </c>
      <c r="C480" s="1" t="n">
        <v>46037</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60160-2022</t>
        </is>
      </c>
      <c r="B481" s="1" t="n">
        <v>44909</v>
      </c>
      <c r="C481" s="1" t="n">
        <v>46037</v>
      </c>
      <c r="D481" t="inlineStr">
        <is>
          <t>SÖDERMANLANDS LÄN</t>
        </is>
      </c>
      <c r="E481" t="inlineStr">
        <is>
          <t>KATRINEHOLM</t>
        </is>
      </c>
      <c r="F481" t="inlineStr">
        <is>
          <t>Allmännings- och besparingsskogar</t>
        </is>
      </c>
      <c r="G481" t="n">
        <v>2</v>
      </c>
      <c r="H481" t="n">
        <v>0</v>
      </c>
      <c r="I481" t="n">
        <v>0</v>
      </c>
      <c r="J481" t="n">
        <v>0</v>
      </c>
      <c r="K481" t="n">
        <v>0</v>
      </c>
      <c r="L481" t="n">
        <v>0</v>
      </c>
      <c r="M481" t="n">
        <v>0</v>
      </c>
      <c r="N481" t="n">
        <v>0</v>
      </c>
      <c r="O481" t="n">
        <v>0</v>
      </c>
      <c r="P481" t="n">
        <v>0</v>
      </c>
      <c r="Q481" t="n">
        <v>0</v>
      </c>
      <c r="R481" s="2" t="inlineStr"/>
    </row>
    <row r="482" ht="15" customHeight="1">
      <c r="A482" t="inlineStr">
        <is>
          <t>A 19442-2023</t>
        </is>
      </c>
      <c r="B482" s="1" t="n">
        <v>45050</v>
      </c>
      <c r="C482" s="1" t="n">
        <v>46037</v>
      </c>
      <c r="D482" t="inlineStr">
        <is>
          <t>SÖDERMANLANDS LÄN</t>
        </is>
      </c>
      <c r="E482" t="inlineStr">
        <is>
          <t>KATRINEHOLM</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50840-2022</t>
        </is>
      </c>
      <c r="B483" s="1" t="n">
        <v>44862</v>
      </c>
      <c r="C483" s="1" t="n">
        <v>46037</v>
      </c>
      <c r="D483" t="inlineStr">
        <is>
          <t>SÖDERMANLANDS LÄN</t>
        </is>
      </c>
      <c r="E483" t="inlineStr">
        <is>
          <t>KATRINEHOLM</t>
        </is>
      </c>
      <c r="G483" t="n">
        <v>4.2</v>
      </c>
      <c r="H483" t="n">
        <v>0</v>
      </c>
      <c r="I483" t="n">
        <v>0</v>
      </c>
      <c r="J483" t="n">
        <v>0</v>
      </c>
      <c r="K483" t="n">
        <v>0</v>
      </c>
      <c r="L483" t="n">
        <v>0</v>
      </c>
      <c r="M483" t="n">
        <v>0</v>
      </c>
      <c r="N483" t="n">
        <v>0</v>
      </c>
      <c r="O483" t="n">
        <v>0</v>
      </c>
      <c r="P483" t="n">
        <v>0</v>
      </c>
      <c r="Q483" t="n">
        <v>0</v>
      </c>
      <c r="R483" s="2" t="inlineStr"/>
    </row>
    <row r="484" ht="15" customHeight="1">
      <c r="A484" t="inlineStr">
        <is>
          <t>A 55829-2025</t>
        </is>
      </c>
      <c r="B484" s="1" t="n">
        <v>45972.79274305556</v>
      </c>
      <c r="C484" s="1" t="n">
        <v>46037</v>
      </c>
      <c r="D484" t="inlineStr">
        <is>
          <t>SÖDERMANLANDS LÄN</t>
        </is>
      </c>
      <c r="E484" t="inlineStr">
        <is>
          <t>KATRINEHOLM</t>
        </is>
      </c>
      <c r="G484" t="n">
        <v>3.2</v>
      </c>
      <c r="H484" t="n">
        <v>0</v>
      </c>
      <c r="I484" t="n">
        <v>0</v>
      </c>
      <c r="J484" t="n">
        <v>0</v>
      </c>
      <c r="K484" t="n">
        <v>0</v>
      </c>
      <c r="L484" t="n">
        <v>0</v>
      </c>
      <c r="M484" t="n">
        <v>0</v>
      </c>
      <c r="N484" t="n">
        <v>0</v>
      </c>
      <c r="O484" t="n">
        <v>0</v>
      </c>
      <c r="P484" t="n">
        <v>0</v>
      </c>
      <c r="Q484" t="n">
        <v>0</v>
      </c>
      <c r="R484" s="2" t="inlineStr"/>
    </row>
    <row r="485" ht="15" customHeight="1">
      <c r="A485" t="inlineStr">
        <is>
          <t>A 55832-2025</t>
        </is>
      </c>
      <c r="B485" s="1" t="n">
        <v>45972.81768518518</v>
      </c>
      <c r="C485" s="1" t="n">
        <v>46037</v>
      </c>
      <c r="D485" t="inlineStr">
        <is>
          <t>SÖDERMANLANDS LÄN</t>
        </is>
      </c>
      <c r="E485" t="inlineStr">
        <is>
          <t>KATRINEHOLM</t>
        </is>
      </c>
      <c r="G485" t="n">
        <v>2</v>
      </c>
      <c r="H485" t="n">
        <v>0</v>
      </c>
      <c r="I485" t="n">
        <v>0</v>
      </c>
      <c r="J485" t="n">
        <v>0</v>
      </c>
      <c r="K485" t="n">
        <v>0</v>
      </c>
      <c r="L485" t="n">
        <v>0</v>
      </c>
      <c r="M485" t="n">
        <v>0</v>
      </c>
      <c r="N485" t="n">
        <v>0</v>
      </c>
      <c r="O485" t="n">
        <v>0</v>
      </c>
      <c r="P485" t="n">
        <v>0</v>
      </c>
      <c r="Q485" t="n">
        <v>0</v>
      </c>
      <c r="R485" s="2" t="inlineStr"/>
    </row>
    <row r="486" ht="15" customHeight="1">
      <c r="A486" t="inlineStr">
        <is>
          <t>A 3060-2022</t>
        </is>
      </c>
      <c r="B486" s="1" t="n">
        <v>44582.40109953703</v>
      </c>
      <c r="C486" s="1" t="n">
        <v>46037</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55831-2025</t>
        </is>
      </c>
      <c r="B487" s="1" t="n">
        <v>45972.81034722222</v>
      </c>
      <c r="C487" s="1" t="n">
        <v>46037</v>
      </c>
      <c r="D487" t="inlineStr">
        <is>
          <t>SÖDERMANLANDS LÄN</t>
        </is>
      </c>
      <c r="E487" t="inlineStr">
        <is>
          <t>KATRINEHOLM</t>
        </is>
      </c>
      <c r="G487" t="n">
        <v>6.2</v>
      </c>
      <c r="H487" t="n">
        <v>0</v>
      </c>
      <c r="I487" t="n">
        <v>0</v>
      </c>
      <c r="J487" t="n">
        <v>0</v>
      </c>
      <c r="K487" t="n">
        <v>0</v>
      </c>
      <c r="L487" t="n">
        <v>0</v>
      </c>
      <c r="M487" t="n">
        <v>0</v>
      </c>
      <c r="N487" t="n">
        <v>0</v>
      </c>
      <c r="O487" t="n">
        <v>0</v>
      </c>
      <c r="P487" t="n">
        <v>0</v>
      </c>
      <c r="Q487" t="n">
        <v>0</v>
      </c>
      <c r="R487" s="2" t="inlineStr"/>
    </row>
    <row r="488" ht="15" customHeight="1">
      <c r="A488" t="inlineStr">
        <is>
          <t>A 56330-2025</t>
        </is>
      </c>
      <c r="B488" s="1" t="n">
        <v>45974.64094907408</v>
      </c>
      <c r="C488" s="1" t="n">
        <v>46037</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6611-2023</t>
        </is>
      </c>
      <c r="B489" s="1" t="n">
        <v>44963</v>
      </c>
      <c r="C489" s="1" t="n">
        <v>46037</v>
      </c>
      <c r="D489" t="inlineStr">
        <is>
          <t>SÖDERMANLANDS LÄN</t>
        </is>
      </c>
      <c r="E489" t="inlineStr">
        <is>
          <t>KATRINEHOLM</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50804-2023</t>
        </is>
      </c>
      <c r="B490" s="1" t="n">
        <v>45211</v>
      </c>
      <c r="C490" s="1" t="n">
        <v>46037</v>
      </c>
      <c r="D490" t="inlineStr">
        <is>
          <t>SÖDERMANLANDS LÄN</t>
        </is>
      </c>
      <c r="E490" t="inlineStr">
        <is>
          <t>KATRINEHOLM</t>
        </is>
      </c>
      <c r="G490" t="n">
        <v>4</v>
      </c>
      <c r="H490" t="n">
        <v>0</v>
      </c>
      <c r="I490" t="n">
        <v>0</v>
      </c>
      <c r="J490" t="n">
        <v>0</v>
      </c>
      <c r="K490" t="n">
        <v>0</v>
      </c>
      <c r="L490" t="n">
        <v>0</v>
      </c>
      <c r="M490" t="n">
        <v>0</v>
      </c>
      <c r="N490" t="n">
        <v>0</v>
      </c>
      <c r="O490" t="n">
        <v>0</v>
      </c>
      <c r="P490" t="n">
        <v>0</v>
      </c>
      <c r="Q490" t="n">
        <v>0</v>
      </c>
      <c r="R490" s="2" t="inlineStr"/>
    </row>
    <row r="491" ht="15" customHeight="1">
      <c r="A491" t="inlineStr">
        <is>
          <t>A 20533-2023</t>
        </is>
      </c>
      <c r="B491" s="1" t="n">
        <v>45057</v>
      </c>
      <c r="C491" s="1" t="n">
        <v>46037</v>
      </c>
      <c r="D491" t="inlineStr">
        <is>
          <t>SÖDERMANLANDS LÄN</t>
        </is>
      </c>
      <c r="E491" t="inlineStr">
        <is>
          <t>KATRINEHOLM</t>
        </is>
      </c>
      <c r="G491" t="n">
        <v>1.2</v>
      </c>
      <c r="H491" t="n">
        <v>0</v>
      </c>
      <c r="I491" t="n">
        <v>0</v>
      </c>
      <c r="J491" t="n">
        <v>0</v>
      </c>
      <c r="K491" t="n">
        <v>0</v>
      </c>
      <c r="L491" t="n">
        <v>0</v>
      </c>
      <c r="M491" t="n">
        <v>0</v>
      </c>
      <c r="N491" t="n">
        <v>0</v>
      </c>
      <c r="O491" t="n">
        <v>0</v>
      </c>
      <c r="P491" t="n">
        <v>0</v>
      </c>
      <c r="Q491" t="n">
        <v>0</v>
      </c>
      <c r="R491" s="2" t="inlineStr"/>
      <c r="T491">
        <f>HYPERLINK("https://klasma.github.io/Logging_0483/kartor/A 20533-2023 karta.png", "A 20533-2023")</f>
        <v/>
      </c>
      <c r="V491">
        <f>HYPERLINK("https://klasma.github.io/Logging_0483/klagomål/A 20533-2023 FSC-klagomål.docx", "A 20533-2023")</f>
        <v/>
      </c>
      <c r="W491">
        <f>HYPERLINK("https://klasma.github.io/Logging_0483/klagomålsmail/A 20533-2023 FSC-klagomål mail.docx", "A 20533-2023")</f>
        <v/>
      </c>
      <c r="X491">
        <f>HYPERLINK("https://klasma.github.io/Logging_0483/tillsyn/A 20533-2023 tillsynsbegäran.docx", "A 20533-2023")</f>
        <v/>
      </c>
      <c r="Y491">
        <f>HYPERLINK("https://klasma.github.io/Logging_0483/tillsynsmail/A 20533-2023 tillsynsbegäran mail.docx", "A 20533-2023")</f>
        <v/>
      </c>
      <c r="Z491">
        <f>HYPERLINK("https://klasma.github.io/Logging_0483/fåglar/A 20533-2023 prioriterade fågelarter.docx", "A 20533-2023")</f>
        <v/>
      </c>
    </row>
    <row r="492" ht="15" customHeight="1">
      <c r="A492" t="inlineStr">
        <is>
          <t>A 56597-2025</t>
        </is>
      </c>
      <c r="B492" s="1" t="n">
        <v>45975.57271990741</v>
      </c>
      <c r="C492" s="1" t="n">
        <v>46037</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43499-2021</t>
        </is>
      </c>
      <c r="B493" s="1" t="n">
        <v>44433</v>
      </c>
      <c r="C493" s="1" t="n">
        <v>46037</v>
      </c>
      <c r="D493" t="inlineStr">
        <is>
          <t>SÖDERMANLANDS LÄN</t>
        </is>
      </c>
      <c r="E493" t="inlineStr">
        <is>
          <t>KATRINEHOLM</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53996-2023</t>
        </is>
      </c>
      <c r="B494" s="1" t="n">
        <v>45231</v>
      </c>
      <c r="C494" s="1" t="n">
        <v>46037</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33790-2024</t>
        </is>
      </c>
      <c r="B495" s="1" t="n">
        <v>45520.59179398148</v>
      </c>
      <c r="C495" s="1" t="n">
        <v>46037</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63947-2025</t>
        </is>
      </c>
      <c r="B496" s="1" t="n">
        <v>46010</v>
      </c>
      <c r="C496" s="1" t="n">
        <v>46037</v>
      </c>
      <c r="D496" t="inlineStr">
        <is>
          <t>SÖDERMANLANDS LÄN</t>
        </is>
      </c>
      <c r="E496" t="inlineStr">
        <is>
          <t>KATRINEHOLM</t>
        </is>
      </c>
      <c r="F496" t="inlineStr">
        <is>
          <t>Allmännings- och besparingsskogar</t>
        </is>
      </c>
      <c r="G496" t="n">
        <v>4.8</v>
      </c>
      <c r="H496" t="n">
        <v>0</v>
      </c>
      <c r="I496" t="n">
        <v>0</v>
      </c>
      <c r="J496" t="n">
        <v>0</v>
      </c>
      <c r="K496" t="n">
        <v>0</v>
      </c>
      <c r="L496" t="n">
        <v>0</v>
      </c>
      <c r="M496" t="n">
        <v>0</v>
      </c>
      <c r="N496" t="n">
        <v>0</v>
      </c>
      <c r="O496" t="n">
        <v>0</v>
      </c>
      <c r="P496" t="n">
        <v>0</v>
      </c>
      <c r="Q496" t="n">
        <v>0</v>
      </c>
      <c r="R496" s="2" t="inlineStr"/>
    </row>
    <row r="497" ht="15" customHeight="1">
      <c r="A497" t="inlineStr">
        <is>
          <t>A 63949-2025</t>
        </is>
      </c>
      <c r="B497" s="1" t="n">
        <v>46010</v>
      </c>
      <c r="C497" s="1" t="n">
        <v>46037</v>
      </c>
      <c r="D497" t="inlineStr">
        <is>
          <t>SÖDERMANLANDS LÄN</t>
        </is>
      </c>
      <c r="E497" t="inlineStr">
        <is>
          <t>KATRINEHOLM</t>
        </is>
      </c>
      <c r="F497" t="inlineStr">
        <is>
          <t>Allmännings- och besparingsskogar</t>
        </is>
      </c>
      <c r="G497" t="n">
        <v>5.1</v>
      </c>
      <c r="H497" t="n">
        <v>0</v>
      </c>
      <c r="I497" t="n">
        <v>0</v>
      </c>
      <c r="J497" t="n">
        <v>0</v>
      </c>
      <c r="K497" t="n">
        <v>0</v>
      </c>
      <c r="L497" t="n">
        <v>0</v>
      </c>
      <c r="M497" t="n">
        <v>0</v>
      </c>
      <c r="N497" t="n">
        <v>0</v>
      </c>
      <c r="O497" t="n">
        <v>0</v>
      </c>
      <c r="P497" t="n">
        <v>0</v>
      </c>
      <c r="Q497" t="n">
        <v>0</v>
      </c>
      <c r="R497" s="2" t="inlineStr"/>
    </row>
    <row r="498" ht="15" customHeight="1">
      <c r="A498" t="inlineStr">
        <is>
          <t>A 63948-2025</t>
        </is>
      </c>
      <c r="B498" s="1" t="n">
        <v>46010</v>
      </c>
      <c r="C498" s="1" t="n">
        <v>46037</v>
      </c>
      <c r="D498" t="inlineStr">
        <is>
          <t>SÖDERMANLANDS LÄN</t>
        </is>
      </c>
      <c r="E498" t="inlineStr">
        <is>
          <t>KATRINEHOLM</t>
        </is>
      </c>
      <c r="F498" t="inlineStr">
        <is>
          <t>Allmännings- och besparingsskogar</t>
        </is>
      </c>
      <c r="G498" t="n">
        <v>4.9</v>
      </c>
      <c r="H498" t="n">
        <v>0</v>
      </c>
      <c r="I498" t="n">
        <v>0</v>
      </c>
      <c r="J498" t="n">
        <v>0</v>
      </c>
      <c r="K498" t="n">
        <v>0</v>
      </c>
      <c r="L498" t="n">
        <v>0</v>
      </c>
      <c r="M498" t="n">
        <v>0</v>
      </c>
      <c r="N498" t="n">
        <v>0</v>
      </c>
      <c r="O498" t="n">
        <v>0</v>
      </c>
      <c r="P498" t="n">
        <v>0</v>
      </c>
      <c r="Q498" t="n">
        <v>0</v>
      </c>
      <c r="R498" s="2" t="inlineStr"/>
    </row>
    <row r="499" ht="15" customHeight="1">
      <c r="A499" t="inlineStr">
        <is>
          <t>A 47456-2022</t>
        </is>
      </c>
      <c r="B499" s="1" t="n">
        <v>44852</v>
      </c>
      <c r="C499" s="1" t="n">
        <v>46037</v>
      </c>
      <c r="D499" t="inlineStr">
        <is>
          <t>SÖDERMANLANDS LÄN</t>
        </is>
      </c>
      <c r="E499" t="inlineStr">
        <is>
          <t>KATRINEHOLM</t>
        </is>
      </c>
      <c r="G499" t="n">
        <v>3.7</v>
      </c>
      <c r="H499" t="n">
        <v>0</v>
      </c>
      <c r="I499" t="n">
        <v>0</v>
      </c>
      <c r="J499" t="n">
        <v>0</v>
      </c>
      <c r="K499" t="n">
        <v>0</v>
      </c>
      <c r="L499" t="n">
        <v>0</v>
      </c>
      <c r="M499" t="n">
        <v>0</v>
      </c>
      <c r="N499" t="n">
        <v>0</v>
      </c>
      <c r="O499" t="n">
        <v>0</v>
      </c>
      <c r="P499" t="n">
        <v>0</v>
      </c>
      <c r="Q499" t="n">
        <v>0</v>
      </c>
      <c r="R499" s="2" t="inlineStr"/>
    </row>
    <row r="500" ht="15" customHeight="1">
      <c r="A500" t="inlineStr">
        <is>
          <t>A 63945-2025</t>
        </is>
      </c>
      <c r="B500" s="1" t="n">
        <v>46010</v>
      </c>
      <c r="C500" s="1" t="n">
        <v>46037</v>
      </c>
      <c r="D500" t="inlineStr">
        <is>
          <t>SÖDERMANLANDS LÄN</t>
        </is>
      </c>
      <c r="E500" t="inlineStr">
        <is>
          <t>KATRINEHOLM</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23347-2023</t>
        </is>
      </c>
      <c r="B501" s="1" t="n">
        <v>45076</v>
      </c>
      <c r="C501" s="1" t="n">
        <v>46037</v>
      </c>
      <c r="D501" t="inlineStr">
        <is>
          <t>SÖDERMANLANDS LÄN</t>
        </is>
      </c>
      <c r="E501" t="inlineStr">
        <is>
          <t>KATRINEHOLM</t>
        </is>
      </c>
      <c r="G501" t="n">
        <v>4.3</v>
      </c>
      <c r="H501" t="n">
        <v>0</v>
      </c>
      <c r="I501" t="n">
        <v>0</v>
      </c>
      <c r="J501" t="n">
        <v>0</v>
      </c>
      <c r="K501" t="n">
        <v>0</v>
      </c>
      <c r="L501" t="n">
        <v>0</v>
      </c>
      <c r="M501" t="n">
        <v>0</v>
      </c>
      <c r="N501" t="n">
        <v>0</v>
      </c>
      <c r="O501" t="n">
        <v>0</v>
      </c>
      <c r="P501" t="n">
        <v>0</v>
      </c>
      <c r="Q501" t="n">
        <v>0</v>
      </c>
      <c r="R501" s="2" t="inlineStr"/>
    </row>
    <row r="502" ht="15" customHeight="1">
      <c r="A502" t="inlineStr">
        <is>
          <t>A 74354-2021</t>
        </is>
      </c>
      <c r="B502" s="1" t="n">
        <v>44559.57041666667</v>
      </c>
      <c r="C502" s="1" t="n">
        <v>46037</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52348-2021</t>
        </is>
      </c>
      <c r="B503" s="1" t="n">
        <v>44464.49756944444</v>
      </c>
      <c r="C503" s="1" t="n">
        <v>46037</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57323-2025</t>
        </is>
      </c>
      <c r="B504" s="1" t="n">
        <v>45980.32501157407</v>
      </c>
      <c r="C504" s="1" t="n">
        <v>46037</v>
      </c>
      <c r="D504" t="inlineStr">
        <is>
          <t>SÖDERMANLANDS LÄN</t>
        </is>
      </c>
      <c r="E504" t="inlineStr">
        <is>
          <t>KATRINEHOLM</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56628-2021</t>
        </is>
      </c>
      <c r="B505" s="1" t="n">
        <v>44480</v>
      </c>
      <c r="C505" s="1" t="n">
        <v>46037</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45438-2021</t>
        </is>
      </c>
      <c r="B506" s="1" t="n">
        <v>44440</v>
      </c>
      <c r="C506" s="1" t="n">
        <v>46037</v>
      </c>
      <c r="D506" t="inlineStr">
        <is>
          <t>SÖDERMANLANDS LÄN</t>
        </is>
      </c>
      <c r="E506" t="inlineStr">
        <is>
          <t>KATRINEHOLM</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50061-2022</t>
        </is>
      </c>
      <c r="B507" s="1" t="n">
        <v>44865</v>
      </c>
      <c r="C507" s="1" t="n">
        <v>46037</v>
      </c>
      <c r="D507" t="inlineStr">
        <is>
          <t>SÖDERMANLANDS LÄN</t>
        </is>
      </c>
      <c r="E507" t="inlineStr">
        <is>
          <t>KATRINEHOLM</t>
        </is>
      </c>
      <c r="G507" t="n">
        <v>4.9</v>
      </c>
      <c r="H507" t="n">
        <v>0</v>
      </c>
      <c r="I507" t="n">
        <v>0</v>
      </c>
      <c r="J507" t="n">
        <v>0</v>
      </c>
      <c r="K507" t="n">
        <v>0</v>
      </c>
      <c r="L507" t="n">
        <v>0</v>
      </c>
      <c r="M507" t="n">
        <v>0</v>
      </c>
      <c r="N507" t="n">
        <v>0</v>
      </c>
      <c r="O507" t="n">
        <v>0</v>
      </c>
      <c r="P507" t="n">
        <v>0</v>
      </c>
      <c r="Q507" t="n">
        <v>0</v>
      </c>
      <c r="R507" s="2" t="inlineStr"/>
    </row>
    <row r="508" ht="15" customHeight="1">
      <c r="A508" t="inlineStr">
        <is>
          <t>A 10446-2024</t>
        </is>
      </c>
      <c r="B508" s="1" t="n">
        <v>45366</v>
      </c>
      <c r="C508" s="1" t="n">
        <v>46037</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57975-2025</t>
        </is>
      </c>
      <c r="B509" s="1" t="n">
        <v>45981</v>
      </c>
      <c r="C509" s="1" t="n">
        <v>46037</v>
      </c>
      <c r="D509" t="inlineStr">
        <is>
          <t>SÖDERMANLANDS LÄN</t>
        </is>
      </c>
      <c r="E509" t="inlineStr">
        <is>
          <t>KATRINEHOLM</t>
        </is>
      </c>
      <c r="G509" t="n">
        <v>3.1</v>
      </c>
      <c r="H509" t="n">
        <v>0</v>
      </c>
      <c r="I509" t="n">
        <v>0</v>
      </c>
      <c r="J509" t="n">
        <v>0</v>
      </c>
      <c r="K509" t="n">
        <v>0</v>
      </c>
      <c r="L509" t="n">
        <v>0</v>
      </c>
      <c r="M509" t="n">
        <v>0</v>
      </c>
      <c r="N509" t="n">
        <v>0</v>
      </c>
      <c r="O509" t="n">
        <v>0</v>
      </c>
      <c r="P509" t="n">
        <v>0</v>
      </c>
      <c r="Q509" t="n">
        <v>0</v>
      </c>
      <c r="R509" s="2" t="inlineStr"/>
    </row>
    <row r="510" ht="15" customHeight="1">
      <c r="A510" t="inlineStr">
        <is>
          <t>A 53860-2021</t>
        </is>
      </c>
      <c r="B510" s="1" t="n">
        <v>44467</v>
      </c>
      <c r="C510" s="1" t="n">
        <v>46037</v>
      </c>
      <c r="D510" t="inlineStr">
        <is>
          <t>SÖDERMANLANDS LÄN</t>
        </is>
      </c>
      <c r="E510" t="inlineStr">
        <is>
          <t>KATRINEHOLM</t>
        </is>
      </c>
      <c r="G510" t="n">
        <v>1.3</v>
      </c>
      <c r="H510" t="n">
        <v>0</v>
      </c>
      <c r="I510" t="n">
        <v>0</v>
      </c>
      <c r="J510" t="n">
        <v>0</v>
      </c>
      <c r="K510" t="n">
        <v>0</v>
      </c>
      <c r="L510" t="n">
        <v>0</v>
      </c>
      <c r="M510" t="n">
        <v>0</v>
      </c>
      <c r="N510" t="n">
        <v>0</v>
      </c>
      <c r="O510" t="n">
        <v>0</v>
      </c>
      <c r="P510" t="n">
        <v>0</v>
      </c>
      <c r="Q510" t="n">
        <v>0</v>
      </c>
      <c r="R510" s="2" t="inlineStr"/>
    </row>
    <row r="511" ht="15" customHeight="1">
      <c r="A511" t="inlineStr">
        <is>
          <t>A 23842-2023</t>
        </is>
      </c>
      <c r="B511" s="1" t="n">
        <v>45075</v>
      </c>
      <c r="C511" s="1" t="n">
        <v>46037</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34263-2023</t>
        </is>
      </c>
      <c r="B512" s="1" t="n">
        <v>45138.60248842592</v>
      </c>
      <c r="C512" s="1" t="n">
        <v>46037</v>
      </c>
      <c r="D512" t="inlineStr">
        <is>
          <t>SÖDERMANLANDS LÄN</t>
        </is>
      </c>
      <c r="E512" t="inlineStr">
        <is>
          <t>KATRINEHOLM</t>
        </is>
      </c>
      <c r="G512" t="n">
        <v>0.7</v>
      </c>
      <c r="H512" t="n">
        <v>0</v>
      </c>
      <c r="I512" t="n">
        <v>0</v>
      </c>
      <c r="J512" t="n">
        <v>0</v>
      </c>
      <c r="K512" t="n">
        <v>0</v>
      </c>
      <c r="L512" t="n">
        <v>0</v>
      </c>
      <c r="M512" t="n">
        <v>0</v>
      </c>
      <c r="N512" t="n">
        <v>0</v>
      </c>
      <c r="O512" t="n">
        <v>0</v>
      </c>
      <c r="P512" t="n">
        <v>0</v>
      </c>
      <c r="Q512" t="n">
        <v>0</v>
      </c>
      <c r="R512" s="2" t="inlineStr"/>
    </row>
    <row r="513" ht="15" customHeight="1">
      <c r="A513" t="inlineStr">
        <is>
          <t>A 46899-2022</t>
        </is>
      </c>
      <c r="B513" s="1" t="n">
        <v>44848</v>
      </c>
      <c r="C513" s="1" t="n">
        <v>46037</v>
      </c>
      <c r="D513" t="inlineStr">
        <is>
          <t>SÖDERMANLANDS LÄN</t>
        </is>
      </c>
      <c r="E513" t="inlineStr">
        <is>
          <t>KATRINEHOLM</t>
        </is>
      </c>
      <c r="G513" t="n">
        <v>2</v>
      </c>
      <c r="H513" t="n">
        <v>0</v>
      </c>
      <c r="I513" t="n">
        <v>0</v>
      </c>
      <c r="J513" t="n">
        <v>0</v>
      </c>
      <c r="K513" t="n">
        <v>0</v>
      </c>
      <c r="L513" t="n">
        <v>0</v>
      </c>
      <c r="M513" t="n">
        <v>0</v>
      </c>
      <c r="N513" t="n">
        <v>0</v>
      </c>
      <c r="O513" t="n">
        <v>0</v>
      </c>
      <c r="P513" t="n">
        <v>0</v>
      </c>
      <c r="Q513" t="n">
        <v>0</v>
      </c>
      <c r="R513" s="2" t="inlineStr"/>
    </row>
    <row r="514" ht="15" customHeight="1">
      <c r="A514" t="inlineStr">
        <is>
          <t>A 55296-2022</t>
        </is>
      </c>
      <c r="B514" s="1" t="n">
        <v>44887</v>
      </c>
      <c r="C514" s="1" t="n">
        <v>46037</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57524-2021</t>
        </is>
      </c>
      <c r="B515" s="1" t="n">
        <v>44483</v>
      </c>
      <c r="C515" s="1" t="n">
        <v>46037</v>
      </c>
      <c r="D515" t="inlineStr">
        <is>
          <t>SÖDERMANLANDS LÄN</t>
        </is>
      </c>
      <c r="E515" t="inlineStr">
        <is>
          <t>KATRINEHOLM</t>
        </is>
      </c>
      <c r="G515" t="n">
        <v>0.4</v>
      </c>
      <c r="H515" t="n">
        <v>0</v>
      </c>
      <c r="I515" t="n">
        <v>0</v>
      </c>
      <c r="J515" t="n">
        <v>0</v>
      </c>
      <c r="K515" t="n">
        <v>0</v>
      </c>
      <c r="L515" t="n">
        <v>0</v>
      </c>
      <c r="M515" t="n">
        <v>0</v>
      </c>
      <c r="N515" t="n">
        <v>0</v>
      </c>
      <c r="O515" t="n">
        <v>0</v>
      </c>
      <c r="P515" t="n">
        <v>0</v>
      </c>
      <c r="Q515" t="n">
        <v>0</v>
      </c>
      <c r="R515" s="2" t="inlineStr"/>
    </row>
    <row r="516" ht="15" customHeight="1">
      <c r="A516" t="inlineStr">
        <is>
          <t>A 1106-2026</t>
        </is>
      </c>
      <c r="B516" s="1" t="n">
        <v>46030.67123842592</v>
      </c>
      <c r="C516" s="1" t="n">
        <v>46037</v>
      </c>
      <c r="D516" t="inlineStr">
        <is>
          <t>SÖDERMANLANDS LÄN</t>
        </is>
      </c>
      <c r="E516" t="inlineStr">
        <is>
          <t>KATRINEHOLM</t>
        </is>
      </c>
      <c r="G516" t="n">
        <v>1.5</v>
      </c>
      <c r="H516" t="n">
        <v>0</v>
      </c>
      <c r="I516" t="n">
        <v>0</v>
      </c>
      <c r="J516" t="n">
        <v>0</v>
      </c>
      <c r="K516" t="n">
        <v>0</v>
      </c>
      <c r="L516" t="n">
        <v>0</v>
      </c>
      <c r="M516" t="n">
        <v>0</v>
      </c>
      <c r="N516" t="n">
        <v>0</v>
      </c>
      <c r="O516" t="n">
        <v>0</v>
      </c>
      <c r="P516" t="n">
        <v>0</v>
      </c>
      <c r="Q516" t="n">
        <v>0</v>
      </c>
      <c r="R516" s="2" t="inlineStr"/>
    </row>
    <row r="517" ht="15" customHeight="1">
      <c r="A517" t="inlineStr">
        <is>
          <t>A 1114-2026</t>
        </is>
      </c>
      <c r="B517" s="1" t="n">
        <v>46030.684375</v>
      </c>
      <c r="C517" s="1" t="n">
        <v>46037</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931-2023</t>
        </is>
      </c>
      <c r="B518" s="1" t="n">
        <v>44932.74261574074</v>
      </c>
      <c r="C518" s="1" t="n">
        <v>46037</v>
      </c>
      <c r="D518" t="inlineStr">
        <is>
          <t>SÖDERMANLANDS LÄN</t>
        </is>
      </c>
      <c r="E518" t="inlineStr">
        <is>
          <t>KATRINEHOLM</t>
        </is>
      </c>
      <c r="G518" t="n">
        <v>4</v>
      </c>
      <c r="H518" t="n">
        <v>0</v>
      </c>
      <c r="I518" t="n">
        <v>0</v>
      </c>
      <c r="J518" t="n">
        <v>0</v>
      </c>
      <c r="K518" t="n">
        <v>0</v>
      </c>
      <c r="L518" t="n">
        <v>0</v>
      </c>
      <c r="M518" t="n">
        <v>0</v>
      </c>
      <c r="N518" t="n">
        <v>0</v>
      </c>
      <c r="O518" t="n">
        <v>0</v>
      </c>
      <c r="P518" t="n">
        <v>0</v>
      </c>
      <c r="Q518" t="n">
        <v>0</v>
      </c>
      <c r="R518" s="2" t="inlineStr"/>
    </row>
    <row r="519" ht="15" customHeight="1">
      <c r="A519" t="inlineStr">
        <is>
          <t>A 55171-2023</t>
        </is>
      </c>
      <c r="B519" s="1" t="n">
        <v>45231</v>
      </c>
      <c r="C519" s="1" t="n">
        <v>46037</v>
      </c>
      <c r="D519" t="inlineStr">
        <is>
          <t>SÖDERMANLANDS LÄN</t>
        </is>
      </c>
      <c r="E519" t="inlineStr">
        <is>
          <t>KATRINEHOLM</t>
        </is>
      </c>
      <c r="G519" t="n">
        <v>4.2</v>
      </c>
      <c r="H519" t="n">
        <v>0</v>
      </c>
      <c r="I519" t="n">
        <v>0</v>
      </c>
      <c r="J519" t="n">
        <v>0</v>
      </c>
      <c r="K519" t="n">
        <v>0</v>
      </c>
      <c r="L519" t="n">
        <v>0</v>
      </c>
      <c r="M519" t="n">
        <v>0</v>
      </c>
      <c r="N519" t="n">
        <v>0</v>
      </c>
      <c r="O519" t="n">
        <v>0</v>
      </c>
      <c r="P519" t="n">
        <v>0</v>
      </c>
      <c r="Q519" t="n">
        <v>0</v>
      </c>
      <c r="R519" s="2" t="inlineStr"/>
    </row>
    <row r="520" ht="15" customHeight="1">
      <c r="A520" t="inlineStr">
        <is>
          <t>A 53393-2023</t>
        </is>
      </c>
      <c r="B520" s="1" t="n">
        <v>45229</v>
      </c>
      <c r="C520" s="1" t="n">
        <v>46037</v>
      </c>
      <c r="D520" t="inlineStr">
        <is>
          <t>SÖDERMANLANDS LÄN</t>
        </is>
      </c>
      <c r="E520" t="inlineStr">
        <is>
          <t>KATRINEHOLM</t>
        </is>
      </c>
      <c r="F520" t="inlineStr">
        <is>
          <t>Kyrkan</t>
        </is>
      </c>
      <c r="G520" t="n">
        <v>5.6</v>
      </c>
      <c r="H520" t="n">
        <v>0</v>
      </c>
      <c r="I520" t="n">
        <v>0</v>
      </c>
      <c r="J520" t="n">
        <v>0</v>
      </c>
      <c r="K520" t="n">
        <v>0</v>
      </c>
      <c r="L520" t="n">
        <v>0</v>
      </c>
      <c r="M520" t="n">
        <v>0</v>
      </c>
      <c r="N520" t="n">
        <v>0</v>
      </c>
      <c r="O520" t="n">
        <v>0</v>
      </c>
      <c r="P520" t="n">
        <v>0</v>
      </c>
      <c r="Q520" t="n">
        <v>0</v>
      </c>
      <c r="R520" s="2" t="inlineStr"/>
    </row>
    <row r="521" ht="15" customHeight="1">
      <c r="A521" t="inlineStr">
        <is>
          <t>A 1098-2026</t>
        </is>
      </c>
      <c r="B521" s="1" t="n">
        <v>46030.66519675926</v>
      </c>
      <c r="C521" s="1" t="n">
        <v>46037</v>
      </c>
      <c r="D521" t="inlineStr">
        <is>
          <t>SÖDERMANLANDS LÄN</t>
        </is>
      </c>
      <c r="E521" t="inlineStr">
        <is>
          <t>KATRINEHOLM</t>
        </is>
      </c>
      <c r="G521" t="n">
        <v>3.4</v>
      </c>
      <c r="H521" t="n">
        <v>0</v>
      </c>
      <c r="I521" t="n">
        <v>0</v>
      </c>
      <c r="J521" t="n">
        <v>0</v>
      </c>
      <c r="K521" t="n">
        <v>0</v>
      </c>
      <c r="L521" t="n">
        <v>0</v>
      </c>
      <c r="M521" t="n">
        <v>0</v>
      </c>
      <c r="N521" t="n">
        <v>0</v>
      </c>
      <c r="O521" t="n">
        <v>0</v>
      </c>
      <c r="P521" t="n">
        <v>0</v>
      </c>
      <c r="Q521" t="n">
        <v>0</v>
      </c>
      <c r="R521" s="2" t="inlineStr"/>
    </row>
    <row r="522" ht="15" customHeight="1">
      <c r="A522" t="inlineStr">
        <is>
          <t>A 1112-2026</t>
        </is>
      </c>
      <c r="B522" s="1" t="n">
        <v>46030.68107638889</v>
      </c>
      <c r="C522" s="1" t="n">
        <v>46037</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23031-2024</t>
        </is>
      </c>
      <c r="B523" s="1" t="n">
        <v>45450.38120370371</v>
      </c>
      <c r="C523" s="1" t="n">
        <v>46037</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1260-2026</t>
        </is>
      </c>
      <c r="B524" s="1" t="n">
        <v>46031.45652777778</v>
      </c>
      <c r="C524" s="1" t="n">
        <v>46037</v>
      </c>
      <c r="D524" t="inlineStr">
        <is>
          <t>SÖDERMANLANDS LÄN</t>
        </is>
      </c>
      <c r="E524" t="inlineStr">
        <is>
          <t>KATRINEHOLM</t>
        </is>
      </c>
      <c r="G524" t="n">
        <v>9.1</v>
      </c>
      <c r="H524" t="n">
        <v>0</v>
      </c>
      <c r="I524" t="n">
        <v>0</v>
      </c>
      <c r="J524" t="n">
        <v>0</v>
      </c>
      <c r="K524" t="n">
        <v>0</v>
      </c>
      <c r="L524" t="n">
        <v>0</v>
      </c>
      <c r="M524" t="n">
        <v>0</v>
      </c>
      <c r="N524" t="n">
        <v>0</v>
      </c>
      <c r="O524" t="n">
        <v>0</v>
      </c>
      <c r="P524" t="n">
        <v>0</v>
      </c>
      <c r="Q524" t="n">
        <v>0</v>
      </c>
      <c r="R524" s="2" t="inlineStr"/>
    </row>
    <row r="525" ht="15" customHeight="1">
      <c r="A525" t="inlineStr">
        <is>
          <t>A 22506-2023</t>
        </is>
      </c>
      <c r="B525" s="1" t="n">
        <v>45071.37393518518</v>
      </c>
      <c r="C525" s="1" t="n">
        <v>46037</v>
      </c>
      <c r="D525" t="inlineStr">
        <is>
          <t>SÖDERMANLANDS LÄN</t>
        </is>
      </c>
      <c r="E525" t="inlineStr">
        <is>
          <t>KATRINEHOLM</t>
        </is>
      </c>
      <c r="F525" t="inlineStr">
        <is>
          <t>Kyrkan</t>
        </is>
      </c>
      <c r="G525" t="n">
        <v>5.9</v>
      </c>
      <c r="H525" t="n">
        <v>0</v>
      </c>
      <c r="I525" t="n">
        <v>0</v>
      </c>
      <c r="J525" t="n">
        <v>0</v>
      </c>
      <c r="K525" t="n">
        <v>0</v>
      </c>
      <c r="L525" t="n">
        <v>0</v>
      </c>
      <c r="M525" t="n">
        <v>0</v>
      </c>
      <c r="N525" t="n">
        <v>0</v>
      </c>
      <c r="O525" t="n">
        <v>0</v>
      </c>
      <c r="P525" t="n">
        <v>0</v>
      </c>
      <c r="Q525" t="n">
        <v>0</v>
      </c>
      <c r="R525" s="2" t="inlineStr"/>
    </row>
    <row r="526" ht="15" customHeight="1">
      <c r="A526" t="inlineStr">
        <is>
          <t>A 12888-2025</t>
        </is>
      </c>
      <c r="B526" s="1" t="n">
        <v>45733</v>
      </c>
      <c r="C526" s="1" t="n">
        <v>46037</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22345-2023</t>
        </is>
      </c>
      <c r="B527" s="1" t="n">
        <v>45070</v>
      </c>
      <c r="C527" s="1" t="n">
        <v>46037</v>
      </c>
      <c r="D527" t="inlineStr">
        <is>
          <t>SÖDERMANLANDS LÄN</t>
        </is>
      </c>
      <c r="E527" t="inlineStr">
        <is>
          <t>KATRINEHOLM</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48877-2022</t>
        </is>
      </c>
      <c r="B528" s="1" t="n">
        <v>44859</v>
      </c>
      <c r="C528" s="1" t="n">
        <v>46037</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19868-2022</t>
        </is>
      </c>
      <c r="B529" s="1" t="n">
        <v>44696</v>
      </c>
      <c r="C529" s="1" t="n">
        <v>46037</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63188-2021</t>
        </is>
      </c>
      <c r="B530" s="1" t="n">
        <v>44507.56865740741</v>
      </c>
      <c r="C530" s="1" t="n">
        <v>46037</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29843-2023</t>
        </is>
      </c>
      <c r="B531" s="1" t="n">
        <v>45107</v>
      </c>
      <c r="C531" s="1" t="n">
        <v>46037</v>
      </c>
      <c r="D531" t="inlineStr">
        <is>
          <t>SÖDERMANLANDS LÄN</t>
        </is>
      </c>
      <c r="E531" t="inlineStr">
        <is>
          <t>KATRINEHOLM</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1668-2026</t>
        </is>
      </c>
      <c r="B532" s="1" t="n">
        <v>46034.55986111111</v>
      </c>
      <c r="C532" s="1" t="n">
        <v>46037</v>
      </c>
      <c r="D532" t="inlineStr">
        <is>
          <t>SÖDERMANLANDS LÄN</t>
        </is>
      </c>
      <c r="E532" t="inlineStr">
        <is>
          <t>KATRINEHOLM</t>
        </is>
      </c>
      <c r="G532" t="n">
        <v>4.1</v>
      </c>
      <c r="H532" t="n">
        <v>0</v>
      </c>
      <c r="I532" t="n">
        <v>0</v>
      </c>
      <c r="J532" t="n">
        <v>0</v>
      </c>
      <c r="K532" t="n">
        <v>0</v>
      </c>
      <c r="L532" t="n">
        <v>0</v>
      </c>
      <c r="M532" t="n">
        <v>0</v>
      </c>
      <c r="N532" t="n">
        <v>0</v>
      </c>
      <c r="O532" t="n">
        <v>0</v>
      </c>
      <c r="P532" t="n">
        <v>0</v>
      </c>
      <c r="Q532" t="n">
        <v>0</v>
      </c>
      <c r="R532" s="2" t="inlineStr"/>
    </row>
    <row r="533" ht="15" customHeight="1">
      <c r="A533" t="inlineStr">
        <is>
          <t>A 5834-2025</t>
        </is>
      </c>
      <c r="B533" s="1" t="n">
        <v>45694</v>
      </c>
      <c r="C533" s="1" t="n">
        <v>46037</v>
      </c>
      <c r="D533" t="inlineStr">
        <is>
          <t>SÖDERMANLANDS LÄN</t>
        </is>
      </c>
      <c r="E533" t="inlineStr">
        <is>
          <t>KATRINEHOLM</t>
        </is>
      </c>
      <c r="G533" t="n">
        <v>3.3</v>
      </c>
      <c r="H533" t="n">
        <v>0</v>
      </c>
      <c r="I533" t="n">
        <v>0</v>
      </c>
      <c r="J533" t="n">
        <v>0</v>
      </c>
      <c r="K533" t="n">
        <v>0</v>
      </c>
      <c r="L533" t="n">
        <v>0</v>
      </c>
      <c r="M533" t="n">
        <v>0</v>
      </c>
      <c r="N533" t="n">
        <v>0</v>
      </c>
      <c r="O533" t="n">
        <v>0</v>
      </c>
      <c r="P533" t="n">
        <v>0</v>
      </c>
      <c r="Q533" t="n">
        <v>0</v>
      </c>
      <c r="R533" s="2" t="inlineStr"/>
    </row>
    <row r="534" ht="15" customHeight="1">
      <c r="A534" t="inlineStr">
        <is>
          <t>A 34981-2023</t>
        </is>
      </c>
      <c r="B534" s="1" t="n">
        <v>45142</v>
      </c>
      <c r="C534" s="1" t="n">
        <v>46037</v>
      </c>
      <c r="D534" t="inlineStr">
        <is>
          <t>SÖDERMANLANDS LÄN</t>
        </is>
      </c>
      <c r="E534" t="inlineStr">
        <is>
          <t>KATRINEHOLM</t>
        </is>
      </c>
      <c r="G534" t="n">
        <v>10</v>
      </c>
      <c r="H534" t="n">
        <v>0</v>
      </c>
      <c r="I534" t="n">
        <v>0</v>
      </c>
      <c r="J534" t="n">
        <v>0</v>
      </c>
      <c r="K534" t="n">
        <v>0</v>
      </c>
      <c r="L534" t="n">
        <v>0</v>
      </c>
      <c r="M534" t="n">
        <v>0</v>
      </c>
      <c r="N534" t="n">
        <v>0</v>
      </c>
      <c r="O534" t="n">
        <v>0</v>
      </c>
      <c r="P534" t="n">
        <v>0</v>
      </c>
      <c r="Q534" t="n">
        <v>0</v>
      </c>
      <c r="R534" s="2" t="inlineStr"/>
    </row>
    <row r="535" ht="15" customHeight="1">
      <c r="A535" t="inlineStr">
        <is>
          <t>A 73412-2021</t>
        </is>
      </c>
      <c r="B535" s="1" t="n">
        <v>44551</v>
      </c>
      <c r="C535" s="1" t="n">
        <v>46037</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53750-2022</t>
        </is>
      </c>
      <c r="B536" s="1" t="n">
        <v>44875</v>
      </c>
      <c r="C536" s="1" t="n">
        <v>46037</v>
      </c>
      <c r="D536" t="inlineStr">
        <is>
          <t>SÖDERMANLANDS LÄN</t>
        </is>
      </c>
      <c r="E536" t="inlineStr">
        <is>
          <t>KATRINEHOLM</t>
        </is>
      </c>
      <c r="F536" t="inlineStr">
        <is>
          <t>Övriga Aktiebolag</t>
        </is>
      </c>
      <c r="G536" t="n">
        <v>12.6</v>
      </c>
      <c r="H536" t="n">
        <v>0</v>
      </c>
      <c r="I536" t="n">
        <v>0</v>
      </c>
      <c r="J536" t="n">
        <v>0</v>
      </c>
      <c r="K536" t="n">
        <v>0</v>
      </c>
      <c r="L536" t="n">
        <v>0</v>
      </c>
      <c r="M536" t="n">
        <v>0</v>
      </c>
      <c r="N536" t="n">
        <v>0</v>
      </c>
      <c r="O536" t="n">
        <v>0</v>
      </c>
      <c r="P536" t="n">
        <v>0</v>
      </c>
      <c r="Q536" t="n">
        <v>0</v>
      </c>
      <c r="R536" s="2" t="inlineStr"/>
    </row>
    <row r="537" ht="15" customHeight="1">
      <c r="A537" t="inlineStr">
        <is>
          <t>A 14245-2024</t>
        </is>
      </c>
      <c r="B537" s="1" t="n">
        <v>45393</v>
      </c>
      <c r="C537" s="1" t="n">
        <v>46037</v>
      </c>
      <c r="D537" t="inlineStr">
        <is>
          <t>SÖDERMANLANDS LÄN</t>
        </is>
      </c>
      <c r="E537" t="inlineStr">
        <is>
          <t>KATRINEHOLM</t>
        </is>
      </c>
      <c r="F537" t="inlineStr">
        <is>
          <t>Sveaskog</t>
        </is>
      </c>
      <c r="G537" t="n">
        <v>0.5</v>
      </c>
      <c r="H537" t="n">
        <v>0</v>
      </c>
      <c r="I537" t="n">
        <v>0</v>
      </c>
      <c r="J537" t="n">
        <v>0</v>
      </c>
      <c r="K537" t="n">
        <v>0</v>
      </c>
      <c r="L537" t="n">
        <v>0</v>
      </c>
      <c r="M537" t="n">
        <v>0</v>
      </c>
      <c r="N537" t="n">
        <v>0</v>
      </c>
      <c r="O537" t="n">
        <v>0</v>
      </c>
      <c r="P537" t="n">
        <v>0</v>
      </c>
      <c r="Q537" t="n">
        <v>0</v>
      </c>
      <c r="R537" s="2" t="inlineStr"/>
    </row>
    <row r="538" ht="15" customHeight="1">
      <c r="A538" t="inlineStr">
        <is>
          <t>A 11104-2023</t>
        </is>
      </c>
      <c r="B538" s="1" t="n">
        <v>44992</v>
      </c>
      <c r="C538" s="1" t="n">
        <v>46037</v>
      </c>
      <c r="D538" t="inlineStr">
        <is>
          <t>SÖDERMANLANDS LÄN</t>
        </is>
      </c>
      <c r="E538" t="inlineStr">
        <is>
          <t>KATRINEHOLM</t>
        </is>
      </c>
      <c r="F538" t="inlineStr">
        <is>
          <t>Allmännings- och besparingsskogar</t>
        </is>
      </c>
      <c r="G538" t="n">
        <v>7.8</v>
      </c>
      <c r="H538" t="n">
        <v>0</v>
      </c>
      <c r="I538" t="n">
        <v>0</v>
      </c>
      <c r="J538" t="n">
        <v>0</v>
      </c>
      <c r="K538" t="n">
        <v>0</v>
      </c>
      <c r="L538" t="n">
        <v>0</v>
      </c>
      <c r="M538" t="n">
        <v>0</v>
      </c>
      <c r="N538" t="n">
        <v>0</v>
      </c>
      <c r="O538" t="n">
        <v>0</v>
      </c>
      <c r="P538" t="n">
        <v>0</v>
      </c>
      <c r="Q538" t="n">
        <v>0</v>
      </c>
      <c r="R538" s="2" t="inlineStr"/>
    </row>
    <row r="539" ht="15" customHeight="1">
      <c r="A539" t="inlineStr">
        <is>
          <t>A 4387-2024</t>
        </is>
      </c>
      <c r="B539" s="1" t="n">
        <v>45327.35068287037</v>
      </c>
      <c r="C539" s="1" t="n">
        <v>46037</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63895-2025</t>
        </is>
      </c>
      <c r="B540" s="1" t="n">
        <v>46020</v>
      </c>
      <c r="C540" s="1" t="n">
        <v>46037</v>
      </c>
      <c r="D540" t="inlineStr">
        <is>
          <t>SÖDERMANLANDS LÄN</t>
        </is>
      </c>
      <c r="E540" t="inlineStr">
        <is>
          <t>KATRINEHOLM</t>
        </is>
      </c>
      <c r="G540" t="n">
        <v>1.5</v>
      </c>
      <c r="H540" t="n">
        <v>0</v>
      </c>
      <c r="I540" t="n">
        <v>0</v>
      </c>
      <c r="J540" t="n">
        <v>0</v>
      </c>
      <c r="K540" t="n">
        <v>0</v>
      </c>
      <c r="L540" t="n">
        <v>0</v>
      </c>
      <c r="M540" t="n">
        <v>0</v>
      </c>
      <c r="N540" t="n">
        <v>0</v>
      </c>
      <c r="O540" t="n">
        <v>0</v>
      </c>
      <c r="P540" t="n">
        <v>0</v>
      </c>
      <c r="Q540" t="n">
        <v>0</v>
      </c>
      <c r="R540" s="2" t="inlineStr"/>
    </row>
    <row r="541" ht="15" customHeight="1">
      <c r="A541" t="inlineStr">
        <is>
          <t>A 4872-2024</t>
        </is>
      </c>
      <c r="B541" s="1" t="n">
        <v>45329</v>
      </c>
      <c r="C541" s="1" t="n">
        <v>46037</v>
      </c>
      <c r="D541" t="inlineStr">
        <is>
          <t>SÖDERMANLANDS LÄN</t>
        </is>
      </c>
      <c r="E541" t="inlineStr">
        <is>
          <t>KATRINEHOLM</t>
        </is>
      </c>
      <c r="G541" t="n">
        <v>0.5</v>
      </c>
      <c r="H541" t="n">
        <v>0</v>
      </c>
      <c r="I541" t="n">
        <v>0</v>
      </c>
      <c r="J541" t="n">
        <v>0</v>
      </c>
      <c r="K541" t="n">
        <v>0</v>
      </c>
      <c r="L541" t="n">
        <v>0</v>
      </c>
      <c r="M541" t="n">
        <v>0</v>
      </c>
      <c r="N541" t="n">
        <v>0</v>
      </c>
      <c r="O541" t="n">
        <v>0</v>
      </c>
      <c r="P541" t="n">
        <v>0</v>
      </c>
      <c r="Q541" t="n">
        <v>0</v>
      </c>
      <c r="R541" s="2" t="inlineStr"/>
    </row>
    <row r="542" ht="15" customHeight="1">
      <c r="A542" t="inlineStr">
        <is>
          <t>A 29702-2021</t>
        </is>
      </c>
      <c r="B542" s="1" t="n">
        <v>44362</v>
      </c>
      <c r="C542" s="1" t="n">
        <v>46037</v>
      </c>
      <c r="D542" t="inlineStr">
        <is>
          <t>SÖDERMANLANDS LÄN</t>
        </is>
      </c>
      <c r="E542" t="inlineStr">
        <is>
          <t>KATRINEHOLM</t>
        </is>
      </c>
      <c r="F542" t="inlineStr">
        <is>
          <t>Holmen skog AB</t>
        </is>
      </c>
      <c r="G542" t="n">
        <v>0.3</v>
      </c>
      <c r="H542" t="n">
        <v>0</v>
      </c>
      <c r="I542" t="n">
        <v>0</v>
      </c>
      <c r="J542" t="n">
        <v>0</v>
      </c>
      <c r="K542" t="n">
        <v>0</v>
      </c>
      <c r="L542" t="n">
        <v>0</v>
      </c>
      <c r="M542" t="n">
        <v>0</v>
      </c>
      <c r="N542" t="n">
        <v>0</v>
      </c>
      <c r="O542" t="n">
        <v>0</v>
      </c>
      <c r="P542" t="n">
        <v>0</v>
      </c>
      <c r="Q542" t="n">
        <v>0</v>
      </c>
      <c r="R542" s="2" t="inlineStr"/>
    </row>
    <row r="543" ht="15" customHeight="1">
      <c r="A543" t="inlineStr">
        <is>
          <t>A 3986-2024</t>
        </is>
      </c>
      <c r="B543" s="1" t="n">
        <v>45322</v>
      </c>
      <c r="C543" s="1" t="n">
        <v>46037</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10996-2022</t>
        </is>
      </c>
      <c r="B544" s="1" t="n">
        <v>44628</v>
      </c>
      <c r="C544" s="1" t="n">
        <v>46037</v>
      </c>
      <c r="D544" t="inlineStr">
        <is>
          <t>SÖDERMANLANDS LÄN</t>
        </is>
      </c>
      <c r="E544" t="inlineStr">
        <is>
          <t>KATRINEHOLM</t>
        </is>
      </c>
      <c r="G544" t="n">
        <v>0.3</v>
      </c>
      <c r="H544" t="n">
        <v>0</v>
      </c>
      <c r="I544" t="n">
        <v>0</v>
      </c>
      <c r="J544" t="n">
        <v>0</v>
      </c>
      <c r="K544" t="n">
        <v>0</v>
      </c>
      <c r="L544" t="n">
        <v>0</v>
      </c>
      <c r="M544" t="n">
        <v>0</v>
      </c>
      <c r="N544" t="n">
        <v>0</v>
      </c>
      <c r="O544" t="n">
        <v>0</v>
      </c>
      <c r="P544" t="n">
        <v>0</v>
      </c>
      <c r="Q544" t="n">
        <v>0</v>
      </c>
      <c r="R544" s="2" t="inlineStr"/>
    </row>
    <row r="545" ht="15" customHeight="1">
      <c r="A545" t="inlineStr">
        <is>
          <t>A 42451-2023</t>
        </is>
      </c>
      <c r="B545" s="1" t="n">
        <v>45180</v>
      </c>
      <c r="C545" s="1" t="n">
        <v>46037</v>
      </c>
      <c r="D545" t="inlineStr">
        <is>
          <t>SÖDERMANLANDS LÄN</t>
        </is>
      </c>
      <c r="E545" t="inlineStr">
        <is>
          <t>KATRINEHOLM</t>
        </is>
      </c>
      <c r="G545" t="n">
        <v>3.8</v>
      </c>
      <c r="H545" t="n">
        <v>0</v>
      </c>
      <c r="I545" t="n">
        <v>0</v>
      </c>
      <c r="J545" t="n">
        <v>0</v>
      </c>
      <c r="K545" t="n">
        <v>0</v>
      </c>
      <c r="L545" t="n">
        <v>0</v>
      </c>
      <c r="M545" t="n">
        <v>0</v>
      </c>
      <c r="N545" t="n">
        <v>0</v>
      </c>
      <c r="O545" t="n">
        <v>0</v>
      </c>
      <c r="P545" t="n">
        <v>0</v>
      </c>
      <c r="Q545" t="n">
        <v>0</v>
      </c>
      <c r="R545" s="2" t="inlineStr"/>
    </row>
    <row r="546" ht="15" customHeight="1">
      <c r="A546" t="inlineStr">
        <is>
          <t>A 59967-2025</t>
        </is>
      </c>
      <c r="B546" s="1" t="n">
        <v>45993.48525462963</v>
      </c>
      <c r="C546" s="1" t="n">
        <v>46037</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13113-2023</t>
        </is>
      </c>
      <c r="B547" s="1" t="n">
        <v>45002</v>
      </c>
      <c r="C547" s="1" t="n">
        <v>46037</v>
      </c>
      <c r="D547" t="inlineStr">
        <is>
          <t>SÖDERMANLANDS LÄN</t>
        </is>
      </c>
      <c r="E547" t="inlineStr">
        <is>
          <t>KATRINEHOLM</t>
        </is>
      </c>
      <c r="F547" t="inlineStr">
        <is>
          <t>Allmännings- och besparingsskogar</t>
        </is>
      </c>
      <c r="G547" t="n">
        <v>3.6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46037</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27646-2023</t>
        </is>
      </c>
      <c r="B549" s="1" t="n">
        <v>45097</v>
      </c>
      <c r="C549" s="1" t="n">
        <v>46037</v>
      </c>
      <c r="D549" t="inlineStr">
        <is>
          <t>SÖDERMANLANDS LÄN</t>
        </is>
      </c>
      <c r="E549" t="inlineStr">
        <is>
          <t>KATRINEHOLM</t>
        </is>
      </c>
      <c r="G549" t="n">
        <v>2.4</v>
      </c>
      <c r="H549" t="n">
        <v>0</v>
      </c>
      <c r="I549" t="n">
        <v>0</v>
      </c>
      <c r="J549" t="n">
        <v>0</v>
      </c>
      <c r="K549" t="n">
        <v>0</v>
      </c>
      <c r="L549" t="n">
        <v>0</v>
      </c>
      <c r="M549" t="n">
        <v>0</v>
      </c>
      <c r="N549" t="n">
        <v>0</v>
      </c>
      <c r="O549" t="n">
        <v>0</v>
      </c>
      <c r="P549" t="n">
        <v>0</v>
      </c>
      <c r="Q549" t="n">
        <v>0</v>
      </c>
      <c r="R549" s="2" t="inlineStr"/>
    </row>
    <row r="550" ht="15" customHeight="1">
      <c r="A550" t="inlineStr">
        <is>
          <t>A 15235-2023</t>
        </is>
      </c>
      <c r="B550" s="1" t="n">
        <v>45019</v>
      </c>
      <c r="C550" s="1" t="n">
        <v>46037</v>
      </c>
      <c r="D550" t="inlineStr">
        <is>
          <t>SÖDERMANLANDS LÄN</t>
        </is>
      </c>
      <c r="E550" t="inlineStr">
        <is>
          <t>KATRINEHOLM</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25433-2024</t>
        </is>
      </c>
      <c r="B551" s="1" t="n">
        <v>45463</v>
      </c>
      <c r="C551" s="1" t="n">
        <v>46037</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22304-2024</t>
        </is>
      </c>
      <c r="B552" s="1" t="n">
        <v>45446.56626157407</v>
      </c>
      <c r="C552" s="1" t="n">
        <v>46037</v>
      </c>
      <c r="D552" t="inlineStr">
        <is>
          <t>SÖDERMANLANDS LÄN</t>
        </is>
      </c>
      <c r="E552" t="inlineStr">
        <is>
          <t>KATRINEHOLM</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14224-2024</t>
        </is>
      </c>
      <c r="B553" s="1" t="n">
        <v>45393</v>
      </c>
      <c r="C553" s="1" t="n">
        <v>46037</v>
      </c>
      <c r="D553" t="inlineStr">
        <is>
          <t>SÖDERMANLANDS LÄN</t>
        </is>
      </c>
      <c r="E553" t="inlineStr">
        <is>
          <t>KATRINEHOLM</t>
        </is>
      </c>
      <c r="F553" t="inlineStr">
        <is>
          <t>Sveaskog</t>
        </is>
      </c>
      <c r="G553" t="n">
        <v>7.6</v>
      </c>
      <c r="H553" t="n">
        <v>0</v>
      </c>
      <c r="I553" t="n">
        <v>0</v>
      </c>
      <c r="J553" t="n">
        <v>0</v>
      </c>
      <c r="K553" t="n">
        <v>0</v>
      </c>
      <c r="L553" t="n">
        <v>0</v>
      </c>
      <c r="M553" t="n">
        <v>0</v>
      </c>
      <c r="N553" t="n">
        <v>0</v>
      </c>
      <c r="O553" t="n">
        <v>0</v>
      </c>
      <c r="P553" t="n">
        <v>0</v>
      </c>
      <c r="Q553" t="n">
        <v>0</v>
      </c>
      <c r="R553" s="2" t="inlineStr"/>
    </row>
    <row r="554" ht="15" customHeight="1">
      <c r="A554" t="inlineStr">
        <is>
          <t>A 23341-2023</t>
        </is>
      </c>
      <c r="B554" s="1" t="n">
        <v>45076</v>
      </c>
      <c r="C554" s="1" t="n">
        <v>46037</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36366-2023</t>
        </is>
      </c>
      <c r="B555" s="1" t="n">
        <v>45152</v>
      </c>
      <c r="C555" s="1" t="n">
        <v>46037</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36021-2023</t>
        </is>
      </c>
      <c r="B556" s="1" t="n">
        <v>45148</v>
      </c>
      <c r="C556" s="1" t="n">
        <v>46037</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28597-2024</t>
        </is>
      </c>
      <c r="B557" s="1" t="n">
        <v>45478</v>
      </c>
      <c r="C557" s="1" t="n">
        <v>46037</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29198-2023</t>
        </is>
      </c>
      <c r="B558" s="1" t="n">
        <v>45105</v>
      </c>
      <c r="C558" s="1" t="n">
        <v>46037</v>
      </c>
      <c r="D558" t="inlineStr">
        <is>
          <t>SÖDERMANLANDS LÄN</t>
        </is>
      </c>
      <c r="E558" t="inlineStr">
        <is>
          <t>KATRINEHOLM</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9992-2022</t>
        </is>
      </c>
      <c r="B559" s="1" t="n">
        <v>44621</v>
      </c>
      <c r="C559" s="1" t="n">
        <v>46037</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41267-2023</t>
        </is>
      </c>
      <c r="B560" s="1" t="n">
        <v>45174</v>
      </c>
      <c r="C560" s="1" t="n">
        <v>46037</v>
      </c>
      <c r="D560" t="inlineStr">
        <is>
          <t>SÖDERMANLANDS LÄN</t>
        </is>
      </c>
      <c r="E560" t="inlineStr">
        <is>
          <t>KATRINEHOLM</t>
        </is>
      </c>
      <c r="F560" t="inlineStr">
        <is>
          <t>Holmen skog AB</t>
        </is>
      </c>
      <c r="G560" t="n">
        <v>4.5</v>
      </c>
      <c r="H560" t="n">
        <v>0</v>
      </c>
      <c r="I560" t="n">
        <v>0</v>
      </c>
      <c r="J560" t="n">
        <v>0</v>
      </c>
      <c r="K560" t="n">
        <v>0</v>
      </c>
      <c r="L560" t="n">
        <v>0</v>
      </c>
      <c r="M560" t="n">
        <v>0</v>
      </c>
      <c r="N560" t="n">
        <v>0</v>
      </c>
      <c r="O560" t="n">
        <v>0</v>
      </c>
      <c r="P560" t="n">
        <v>0</v>
      </c>
      <c r="Q560" t="n">
        <v>0</v>
      </c>
      <c r="R560" s="2" t="inlineStr"/>
    </row>
    <row r="561" ht="15" customHeight="1">
      <c r="A561" t="inlineStr">
        <is>
          <t>A 4650-2024</t>
        </is>
      </c>
      <c r="B561" s="1" t="n">
        <v>45328</v>
      </c>
      <c r="C561" s="1" t="n">
        <v>46037</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4652-2024</t>
        </is>
      </c>
      <c r="B562" s="1" t="n">
        <v>45328</v>
      </c>
      <c r="C562" s="1" t="n">
        <v>46037</v>
      </c>
      <c r="D562" t="inlineStr">
        <is>
          <t>SÖDERMANLANDS LÄN</t>
        </is>
      </c>
      <c r="E562" t="inlineStr">
        <is>
          <t>KATRINEHOLM</t>
        </is>
      </c>
      <c r="F562" t="inlineStr">
        <is>
          <t>Övriga Aktiebolag</t>
        </is>
      </c>
      <c r="G562" t="n">
        <v>6.1</v>
      </c>
      <c r="H562" t="n">
        <v>0</v>
      </c>
      <c r="I562" t="n">
        <v>0</v>
      </c>
      <c r="J562" t="n">
        <v>0</v>
      </c>
      <c r="K562" t="n">
        <v>0</v>
      </c>
      <c r="L562" t="n">
        <v>0</v>
      </c>
      <c r="M562" t="n">
        <v>0</v>
      </c>
      <c r="N562" t="n">
        <v>0</v>
      </c>
      <c r="O562" t="n">
        <v>0</v>
      </c>
      <c r="P562" t="n">
        <v>0</v>
      </c>
      <c r="Q562" t="n">
        <v>0</v>
      </c>
      <c r="R562" s="2" t="inlineStr"/>
    </row>
    <row r="563" ht="15" customHeight="1">
      <c r="A563" t="inlineStr">
        <is>
          <t>A 29008-2024</t>
        </is>
      </c>
      <c r="B563" s="1" t="n">
        <v>45481</v>
      </c>
      <c r="C563" s="1" t="n">
        <v>46037</v>
      </c>
      <c r="D563" t="inlineStr">
        <is>
          <t>SÖDERMANLANDS LÄN</t>
        </is>
      </c>
      <c r="E563" t="inlineStr">
        <is>
          <t>KATRINEHOLM</t>
        </is>
      </c>
      <c r="G563" t="n">
        <v>1.7</v>
      </c>
      <c r="H563" t="n">
        <v>0</v>
      </c>
      <c r="I563" t="n">
        <v>0</v>
      </c>
      <c r="J563" t="n">
        <v>0</v>
      </c>
      <c r="K563" t="n">
        <v>0</v>
      </c>
      <c r="L563" t="n">
        <v>0</v>
      </c>
      <c r="M563" t="n">
        <v>0</v>
      </c>
      <c r="N563" t="n">
        <v>0</v>
      </c>
      <c r="O563" t="n">
        <v>0</v>
      </c>
      <c r="P563" t="n">
        <v>0</v>
      </c>
      <c r="Q563" t="n">
        <v>0</v>
      </c>
      <c r="R563" s="2" t="inlineStr"/>
    </row>
    <row r="564" ht="15" customHeight="1">
      <c r="A564" t="inlineStr">
        <is>
          <t>A 9936-2023</t>
        </is>
      </c>
      <c r="B564" s="1" t="n">
        <v>44985.47086805556</v>
      </c>
      <c r="C564" s="1" t="n">
        <v>46037</v>
      </c>
      <c r="D564" t="inlineStr">
        <is>
          <t>SÖDERMANLANDS LÄN</t>
        </is>
      </c>
      <c r="E564" t="inlineStr">
        <is>
          <t>KATRINEHOLM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4645-2024</t>
        </is>
      </c>
      <c r="B565" s="1" t="n">
        <v>45328</v>
      </c>
      <c r="C565" s="1" t="n">
        <v>46037</v>
      </c>
      <c r="D565" t="inlineStr">
        <is>
          <t>SÖDERMANLANDS LÄN</t>
        </is>
      </c>
      <c r="E565" t="inlineStr">
        <is>
          <t>KATRINEHOLM</t>
        </is>
      </c>
      <c r="G565" t="n">
        <v>2.3</v>
      </c>
      <c r="H565" t="n">
        <v>0</v>
      </c>
      <c r="I565" t="n">
        <v>0</v>
      </c>
      <c r="J565" t="n">
        <v>0</v>
      </c>
      <c r="K565" t="n">
        <v>0</v>
      </c>
      <c r="L565" t="n">
        <v>0</v>
      </c>
      <c r="M565" t="n">
        <v>0</v>
      </c>
      <c r="N565" t="n">
        <v>0</v>
      </c>
      <c r="O565" t="n">
        <v>0</v>
      </c>
      <c r="P565" t="n">
        <v>0</v>
      </c>
      <c r="Q565" t="n">
        <v>0</v>
      </c>
      <c r="R565" s="2" t="inlineStr"/>
    </row>
    <row r="566" ht="15" customHeight="1">
      <c r="A566" t="inlineStr">
        <is>
          <t>A 36001-2024</t>
        </is>
      </c>
      <c r="B566" s="1" t="n">
        <v>45533.54609953704</v>
      </c>
      <c r="C566" s="1" t="n">
        <v>46037</v>
      </c>
      <c r="D566" t="inlineStr">
        <is>
          <t>SÖDERMANLANDS LÄN</t>
        </is>
      </c>
      <c r="E566" t="inlineStr">
        <is>
          <t>KATRINEHOLM</t>
        </is>
      </c>
      <c r="G566" t="n">
        <v>1</v>
      </c>
      <c r="H566" t="n">
        <v>0</v>
      </c>
      <c r="I566" t="n">
        <v>0</v>
      </c>
      <c r="J566" t="n">
        <v>0</v>
      </c>
      <c r="K566" t="n">
        <v>0</v>
      </c>
      <c r="L566" t="n">
        <v>0</v>
      </c>
      <c r="M566" t="n">
        <v>0</v>
      </c>
      <c r="N566" t="n">
        <v>0</v>
      </c>
      <c r="O566" t="n">
        <v>0</v>
      </c>
      <c r="P566" t="n">
        <v>0</v>
      </c>
      <c r="Q566" t="n">
        <v>0</v>
      </c>
      <c r="R566" s="2" t="inlineStr"/>
    </row>
    <row r="567" ht="15" customHeight="1">
      <c r="A567" t="inlineStr">
        <is>
          <t>A 36832-2023</t>
        </is>
      </c>
      <c r="B567" s="1" t="n">
        <v>45153</v>
      </c>
      <c r="C567" s="1" t="n">
        <v>46037</v>
      </c>
      <c r="D567" t="inlineStr">
        <is>
          <t>SÖDERMANLANDS LÄN</t>
        </is>
      </c>
      <c r="E567" t="inlineStr">
        <is>
          <t>KATRINEHOLM</t>
        </is>
      </c>
      <c r="F567" t="inlineStr">
        <is>
          <t>Övriga Aktiebolag</t>
        </is>
      </c>
      <c r="G567" t="n">
        <v>9</v>
      </c>
      <c r="H567" t="n">
        <v>0</v>
      </c>
      <c r="I567" t="n">
        <v>0</v>
      </c>
      <c r="J567" t="n">
        <v>0</v>
      </c>
      <c r="K567" t="n">
        <v>0</v>
      </c>
      <c r="L567" t="n">
        <v>0</v>
      </c>
      <c r="M567" t="n">
        <v>0</v>
      </c>
      <c r="N567" t="n">
        <v>0</v>
      </c>
      <c r="O567" t="n">
        <v>0</v>
      </c>
      <c r="P567" t="n">
        <v>0</v>
      </c>
      <c r="Q567" t="n">
        <v>0</v>
      </c>
      <c r="R567" s="2" t="inlineStr"/>
    </row>
    <row r="568" ht="15" customHeight="1">
      <c r="A568" t="inlineStr">
        <is>
          <t>A 28931-2024</t>
        </is>
      </c>
      <c r="B568" s="1" t="n">
        <v>45479</v>
      </c>
      <c r="C568" s="1" t="n">
        <v>46037</v>
      </c>
      <c r="D568" t="inlineStr">
        <is>
          <t>SÖDERMANLANDS LÄN</t>
        </is>
      </c>
      <c r="E568" t="inlineStr">
        <is>
          <t>KATRINEHOLM</t>
        </is>
      </c>
      <c r="G568" t="n">
        <v>7.4</v>
      </c>
      <c r="H568" t="n">
        <v>0</v>
      </c>
      <c r="I568" t="n">
        <v>0</v>
      </c>
      <c r="J568" t="n">
        <v>0</v>
      </c>
      <c r="K568" t="n">
        <v>0</v>
      </c>
      <c r="L568" t="n">
        <v>0</v>
      </c>
      <c r="M568" t="n">
        <v>0</v>
      </c>
      <c r="N568" t="n">
        <v>0</v>
      </c>
      <c r="O568" t="n">
        <v>0</v>
      </c>
      <c r="P568" t="n">
        <v>0</v>
      </c>
      <c r="Q568" t="n">
        <v>0</v>
      </c>
      <c r="R568" s="2" t="inlineStr"/>
    </row>
    <row r="569" ht="15" customHeight="1">
      <c r="A569" t="inlineStr">
        <is>
          <t>A 6810-2023</t>
        </is>
      </c>
      <c r="B569" s="1" t="n">
        <v>44964</v>
      </c>
      <c r="C569" s="1" t="n">
        <v>46037</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32944-2023</t>
        </is>
      </c>
      <c r="B570" s="1" t="n">
        <v>45125</v>
      </c>
      <c r="C570" s="1" t="n">
        <v>46037</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29977-2023</t>
        </is>
      </c>
      <c r="B571" s="1" t="n">
        <v>45108</v>
      </c>
      <c r="C571" s="1" t="n">
        <v>46037</v>
      </c>
      <c r="D571" t="inlineStr">
        <is>
          <t>SÖDERMANLANDS LÄN</t>
        </is>
      </c>
      <c r="E571" t="inlineStr">
        <is>
          <t>KATRINEHOLM</t>
        </is>
      </c>
      <c r="G571" t="n">
        <v>2.4</v>
      </c>
      <c r="H571" t="n">
        <v>0</v>
      </c>
      <c r="I571" t="n">
        <v>0</v>
      </c>
      <c r="J571" t="n">
        <v>0</v>
      </c>
      <c r="K571" t="n">
        <v>0</v>
      </c>
      <c r="L571" t="n">
        <v>0</v>
      </c>
      <c r="M571" t="n">
        <v>0</v>
      </c>
      <c r="N571" t="n">
        <v>0</v>
      </c>
      <c r="O571" t="n">
        <v>0</v>
      </c>
      <c r="P571" t="n">
        <v>0</v>
      </c>
      <c r="Q571" t="n">
        <v>0</v>
      </c>
      <c r="R571" s="2" t="inlineStr"/>
    </row>
    <row r="572" ht="15" customHeight="1">
      <c r="A572" t="inlineStr">
        <is>
          <t>A 5788-2022</t>
        </is>
      </c>
      <c r="B572" s="1" t="n">
        <v>44596.54990740741</v>
      </c>
      <c r="C572" s="1" t="n">
        <v>46037</v>
      </c>
      <c r="D572" t="inlineStr">
        <is>
          <t>SÖDERMANLANDS LÄN</t>
        </is>
      </c>
      <c r="E572" t="inlineStr">
        <is>
          <t>KATRINEHOLM</t>
        </is>
      </c>
      <c r="G572" t="n">
        <v>4.1</v>
      </c>
      <c r="H572" t="n">
        <v>0</v>
      </c>
      <c r="I572" t="n">
        <v>0</v>
      </c>
      <c r="J572" t="n">
        <v>0</v>
      </c>
      <c r="K572" t="n">
        <v>0</v>
      </c>
      <c r="L572" t="n">
        <v>0</v>
      </c>
      <c r="M572" t="n">
        <v>0</v>
      </c>
      <c r="N572" t="n">
        <v>0</v>
      </c>
      <c r="O572" t="n">
        <v>0</v>
      </c>
      <c r="P572" t="n">
        <v>0</v>
      </c>
      <c r="Q572" t="n">
        <v>0</v>
      </c>
      <c r="R572" s="2" t="inlineStr"/>
    </row>
    <row r="573" ht="15" customHeight="1">
      <c r="A573" t="inlineStr">
        <is>
          <t>A 20803-2024</t>
        </is>
      </c>
      <c r="B573" s="1" t="n">
        <v>45438</v>
      </c>
      <c r="C573" s="1" t="n">
        <v>46037</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5795-2022</t>
        </is>
      </c>
      <c r="B574" s="1" t="n">
        <v>44596</v>
      </c>
      <c r="C574" s="1" t="n">
        <v>46037</v>
      </c>
      <c r="D574" t="inlineStr">
        <is>
          <t>SÖDERMANLANDS LÄN</t>
        </is>
      </c>
      <c r="E574" t="inlineStr">
        <is>
          <t>KATRINEHOLM</t>
        </is>
      </c>
      <c r="G574" t="n">
        <v>8.1</v>
      </c>
      <c r="H574" t="n">
        <v>0</v>
      </c>
      <c r="I574" t="n">
        <v>0</v>
      </c>
      <c r="J574" t="n">
        <v>0</v>
      </c>
      <c r="K574" t="n">
        <v>0</v>
      </c>
      <c r="L574" t="n">
        <v>0</v>
      </c>
      <c r="M574" t="n">
        <v>0</v>
      </c>
      <c r="N574" t="n">
        <v>0</v>
      </c>
      <c r="O574" t="n">
        <v>0</v>
      </c>
      <c r="P574" t="n">
        <v>0</v>
      </c>
      <c r="Q574" t="n">
        <v>0</v>
      </c>
      <c r="R574" s="2" t="inlineStr"/>
    </row>
    <row r="575" ht="15" customHeight="1">
      <c r="A575" t="inlineStr">
        <is>
          <t>A 3075-2022</t>
        </is>
      </c>
      <c r="B575" s="1" t="n">
        <v>44582</v>
      </c>
      <c r="C575" s="1" t="n">
        <v>46037</v>
      </c>
      <c r="D575" t="inlineStr">
        <is>
          <t>SÖDERMANLANDS LÄN</t>
        </is>
      </c>
      <c r="E575" t="inlineStr">
        <is>
          <t>KATRINEHOLM</t>
        </is>
      </c>
      <c r="G575" t="n">
        <v>3.5</v>
      </c>
      <c r="H575" t="n">
        <v>0</v>
      </c>
      <c r="I575" t="n">
        <v>0</v>
      </c>
      <c r="J575" t="n">
        <v>0</v>
      </c>
      <c r="K575" t="n">
        <v>0</v>
      </c>
      <c r="L575" t="n">
        <v>0</v>
      </c>
      <c r="M575" t="n">
        <v>0</v>
      </c>
      <c r="N575" t="n">
        <v>0</v>
      </c>
      <c r="O575" t="n">
        <v>0</v>
      </c>
      <c r="P575" t="n">
        <v>0</v>
      </c>
      <c r="Q575" t="n">
        <v>0</v>
      </c>
      <c r="R575" s="2" t="inlineStr"/>
    </row>
    <row r="576" ht="15" customHeight="1">
      <c r="A576" t="inlineStr">
        <is>
          <t>A 73409-2021</t>
        </is>
      </c>
      <c r="B576" s="1" t="n">
        <v>44551</v>
      </c>
      <c r="C576" s="1" t="n">
        <v>46037</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73415-2021</t>
        </is>
      </c>
      <c r="B577" s="1" t="n">
        <v>44551</v>
      </c>
      <c r="C577" s="1" t="n">
        <v>46037</v>
      </c>
      <c r="D577" t="inlineStr">
        <is>
          <t>SÖDERMANLANDS LÄN</t>
        </is>
      </c>
      <c r="E577" t="inlineStr">
        <is>
          <t>KATRINEHOLM</t>
        </is>
      </c>
      <c r="G577" t="n">
        <v>3.2</v>
      </c>
      <c r="H577" t="n">
        <v>0</v>
      </c>
      <c r="I577" t="n">
        <v>0</v>
      </c>
      <c r="J577" t="n">
        <v>0</v>
      </c>
      <c r="K577" t="n">
        <v>0</v>
      </c>
      <c r="L577" t="n">
        <v>0</v>
      </c>
      <c r="M577" t="n">
        <v>0</v>
      </c>
      <c r="N577" t="n">
        <v>0</v>
      </c>
      <c r="O577" t="n">
        <v>0</v>
      </c>
      <c r="P577" t="n">
        <v>0</v>
      </c>
      <c r="Q577" t="n">
        <v>0</v>
      </c>
      <c r="R577" s="2" t="inlineStr"/>
    </row>
    <row r="578" ht="15" customHeight="1">
      <c r="A578" t="inlineStr">
        <is>
          <t>A 8087-2022</t>
        </is>
      </c>
      <c r="B578" s="1" t="n">
        <v>44609.53502314815</v>
      </c>
      <c r="C578" s="1" t="n">
        <v>46037</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50935-2023</t>
        </is>
      </c>
      <c r="B579" s="1" t="n">
        <v>45211</v>
      </c>
      <c r="C579" s="1" t="n">
        <v>46037</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6298-2024</t>
        </is>
      </c>
      <c r="B580" s="1" t="n">
        <v>45338.34245370371</v>
      </c>
      <c r="C580" s="1" t="n">
        <v>46037</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33001-2024</t>
        </is>
      </c>
      <c r="B581" s="1" t="n">
        <v>45517</v>
      </c>
      <c r="C581" s="1" t="n">
        <v>46037</v>
      </c>
      <c r="D581" t="inlineStr">
        <is>
          <t>SÖDERMANLANDS LÄN</t>
        </is>
      </c>
      <c r="E581" t="inlineStr">
        <is>
          <t>KATRINEHOLM</t>
        </is>
      </c>
      <c r="G581" t="n">
        <v>1.5</v>
      </c>
      <c r="H581" t="n">
        <v>0</v>
      </c>
      <c r="I581" t="n">
        <v>0</v>
      </c>
      <c r="J581" t="n">
        <v>0</v>
      </c>
      <c r="K581" t="n">
        <v>0</v>
      </c>
      <c r="L581" t="n">
        <v>0</v>
      </c>
      <c r="M581" t="n">
        <v>0</v>
      </c>
      <c r="N581" t="n">
        <v>0</v>
      </c>
      <c r="O581" t="n">
        <v>0</v>
      </c>
      <c r="P581" t="n">
        <v>0</v>
      </c>
      <c r="Q581" t="n">
        <v>0</v>
      </c>
      <c r="R581" s="2" t="inlineStr"/>
    </row>
    <row r="582" ht="15" customHeight="1">
      <c r="A582" t="inlineStr">
        <is>
          <t>A 58175-2024</t>
        </is>
      </c>
      <c r="B582" s="1" t="n">
        <v>45632.46648148148</v>
      </c>
      <c r="C582" s="1" t="n">
        <v>46037</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53715-2023</t>
        </is>
      </c>
      <c r="B583" s="1" t="n">
        <v>45230</v>
      </c>
      <c r="C583" s="1" t="n">
        <v>46037</v>
      </c>
      <c r="D583" t="inlineStr">
        <is>
          <t>SÖDERMANLANDS LÄN</t>
        </is>
      </c>
      <c r="E583" t="inlineStr">
        <is>
          <t>KATRINEHOLM</t>
        </is>
      </c>
      <c r="F583" t="inlineStr">
        <is>
          <t>Allmännings- och besparingsskogar</t>
        </is>
      </c>
      <c r="G583" t="n">
        <v>5.6</v>
      </c>
      <c r="H583" t="n">
        <v>0</v>
      </c>
      <c r="I583" t="n">
        <v>0</v>
      </c>
      <c r="J583" t="n">
        <v>0</v>
      </c>
      <c r="K583" t="n">
        <v>0</v>
      </c>
      <c r="L583" t="n">
        <v>0</v>
      </c>
      <c r="M583" t="n">
        <v>0</v>
      </c>
      <c r="N583" t="n">
        <v>0</v>
      </c>
      <c r="O583" t="n">
        <v>0</v>
      </c>
      <c r="P583" t="n">
        <v>0</v>
      </c>
      <c r="Q583" t="n">
        <v>0</v>
      </c>
      <c r="R583" s="2" t="inlineStr"/>
    </row>
    <row r="584" ht="15" customHeight="1">
      <c r="A584" t="inlineStr">
        <is>
          <t>A 23705-2023</t>
        </is>
      </c>
      <c r="B584" s="1" t="n">
        <v>45077</v>
      </c>
      <c r="C584" s="1" t="n">
        <v>46037</v>
      </c>
      <c r="D584" t="inlineStr">
        <is>
          <t>SÖDERMANLANDS LÄN</t>
        </is>
      </c>
      <c r="E584" t="inlineStr">
        <is>
          <t>KATRINEHOLM</t>
        </is>
      </c>
      <c r="F584" t="inlineStr">
        <is>
          <t>Kyrkan</t>
        </is>
      </c>
      <c r="G584" t="n">
        <v>11.9</v>
      </c>
      <c r="H584" t="n">
        <v>0</v>
      </c>
      <c r="I584" t="n">
        <v>0</v>
      </c>
      <c r="J584" t="n">
        <v>0</v>
      </c>
      <c r="K584" t="n">
        <v>0</v>
      </c>
      <c r="L584" t="n">
        <v>0</v>
      </c>
      <c r="M584" t="n">
        <v>0</v>
      </c>
      <c r="N584" t="n">
        <v>0</v>
      </c>
      <c r="O584" t="n">
        <v>0</v>
      </c>
      <c r="P584" t="n">
        <v>0</v>
      </c>
      <c r="Q584" t="n">
        <v>0</v>
      </c>
      <c r="R584" s="2" t="inlineStr"/>
    </row>
    <row r="585" ht="15" customHeight="1">
      <c r="A585" t="inlineStr">
        <is>
          <t>A 39120-2023</t>
        </is>
      </c>
      <c r="B585" s="1" t="n">
        <v>45165</v>
      </c>
      <c r="C585" s="1" t="n">
        <v>46037</v>
      </c>
      <c r="D585" t="inlineStr">
        <is>
          <t>SÖDERMANLANDS LÄN</t>
        </is>
      </c>
      <c r="E585" t="inlineStr">
        <is>
          <t>KATRINEHOLM</t>
        </is>
      </c>
      <c r="G585" t="n">
        <v>4.4</v>
      </c>
      <c r="H585" t="n">
        <v>0</v>
      </c>
      <c r="I585" t="n">
        <v>0</v>
      </c>
      <c r="J585" t="n">
        <v>0</v>
      </c>
      <c r="K585" t="n">
        <v>0</v>
      </c>
      <c r="L585" t="n">
        <v>0</v>
      </c>
      <c r="M585" t="n">
        <v>0</v>
      </c>
      <c r="N585" t="n">
        <v>0</v>
      </c>
      <c r="O585" t="n">
        <v>0</v>
      </c>
      <c r="P585" t="n">
        <v>0</v>
      </c>
      <c r="Q585" t="n">
        <v>0</v>
      </c>
      <c r="R585" s="2" t="inlineStr"/>
    </row>
    <row r="586" ht="15" customHeight="1">
      <c r="A586" t="inlineStr">
        <is>
          <t>A 51397-2023</t>
        </is>
      </c>
      <c r="B586" s="1" t="n">
        <v>45214</v>
      </c>
      <c r="C586" s="1" t="n">
        <v>46037</v>
      </c>
      <c r="D586" t="inlineStr">
        <is>
          <t>SÖDERMANLANDS LÄN</t>
        </is>
      </c>
      <c r="E586" t="inlineStr">
        <is>
          <t>KATRINEHOLM</t>
        </is>
      </c>
      <c r="G586" t="n">
        <v>4.9</v>
      </c>
      <c r="H586" t="n">
        <v>0</v>
      </c>
      <c r="I586" t="n">
        <v>0</v>
      </c>
      <c r="J586" t="n">
        <v>0</v>
      </c>
      <c r="K586" t="n">
        <v>0</v>
      </c>
      <c r="L586" t="n">
        <v>0</v>
      </c>
      <c r="M586" t="n">
        <v>0</v>
      </c>
      <c r="N586" t="n">
        <v>0</v>
      </c>
      <c r="O586" t="n">
        <v>0</v>
      </c>
      <c r="P586" t="n">
        <v>0</v>
      </c>
      <c r="Q586" t="n">
        <v>0</v>
      </c>
      <c r="R586" s="2" t="inlineStr"/>
    </row>
    <row r="587" ht="15" customHeight="1">
      <c r="A587" t="inlineStr">
        <is>
          <t>A 19452-2023</t>
        </is>
      </c>
      <c r="B587" s="1" t="n">
        <v>45050</v>
      </c>
      <c r="C587" s="1" t="n">
        <v>46037</v>
      </c>
      <c r="D587" t="inlineStr">
        <is>
          <t>SÖDERMANLANDS LÄN</t>
        </is>
      </c>
      <c r="E587" t="inlineStr">
        <is>
          <t>KATRINEHOLM</t>
        </is>
      </c>
      <c r="F587" t="inlineStr">
        <is>
          <t>Holmen skog AB</t>
        </is>
      </c>
      <c r="G587" t="n">
        <v>4.7</v>
      </c>
      <c r="H587" t="n">
        <v>0</v>
      </c>
      <c r="I587" t="n">
        <v>0</v>
      </c>
      <c r="J587" t="n">
        <v>0</v>
      </c>
      <c r="K587" t="n">
        <v>0</v>
      </c>
      <c r="L587" t="n">
        <v>0</v>
      </c>
      <c r="M587" t="n">
        <v>0</v>
      </c>
      <c r="N587" t="n">
        <v>0</v>
      </c>
      <c r="O587" t="n">
        <v>0</v>
      </c>
      <c r="P587" t="n">
        <v>0</v>
      </c>
      <c r="Q587" t="n">
        <v>0</v>
      </c>
      <c r="R587" s="2" t="inlineStr"/>
    </row>
    <row r="588" ht="15" customHeight="1">
      <c r="A588" t="inlineStr">
        <is>
          <t>A 52658-2023</t>
        </is>
      </c>
      <c r="B588" s="1" t="n">
        <v>45225</v>
      </c>
      <c r="C588" s="1" t="n">
        <v>46037</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5320-2025</t>
        </is>
      </c>
      <c r="B589" s="1" t="n">
        <v>45692</v>
      </c>
      <c r="C589" s="1" t="n">
        <v>46037</v>
      </c>
      <c r="D589" t="inlineStr">
        <is>
          <t>SÖDERMANLANDS LÄN</t>
        </is>
      </c>
      <c r="E589" t="inlineStr">
        <is>
          <t>KATRINEHOLM</t>
        </is>
      </c>
      <c r="F589" t="inlineStr">
        <is>
          <t>Kommuner</t>
        </is>
      </c>
      <c r="G589" t="n">
        <v>0.9</v>
      </c>
      <c r="H589" t="n">
        <v>0</v>
      </c>
      <c r="I589" t="n">
        <v>0</v>
      </c>
      <c r="J589" t="n">
        <v>0</v>
      </c>
      <c r="K589" t="n">
        <v>0</v>
      </c>
      <c r="L589" t="n">
        <v>0</v>
      </c>
      <c r="M589" t="n">
        <v>0</v>
      </c>
      <c r="N589" t="n">
        <v>0</v>
      </c>
      <c r="O589" t="n">
        <v>0</v>
      </c>
      <c r="P589" t="n">
        <v>0</v>
      </c>
      <c r="Q589" t="n">
        <v>0</v>
      </c>
      <c r="R589" s="2" t="inlineStr"/>
    </row>
    <row r="590" ht="15" customHeight="1">
      <c r="A590" t="inlineStr">
        <is>
          <t>A 2606-2025</t>
        </is>
      </c>
      <c r="B590" s="1" t="n">
        <v>45674</v>
      </c>
      <c r="C590" s="1" t="n">
        <v>46037</v>
      </c>
      <c r="D590" t="inlineStr">
        <is>
          <t>SÖDERMANLANDS LÄN</t>
        </is>
      </c>
      <c r="E590" t="inlineStr">
        <is>
          <t>KATRINEHOLM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39748-2022</t>
        </is>
      </c>
      <c r="B591" s="1" t="n">
        <v>44817</v>
      </c>
      <c r="C591" s="1" t="n">
        <v>46037</v>
      </c>
      <c r="D591" t="inlineStr">
        <is>
          <t>SÖDERMANLANDS LÄN</t>
        </is>
      </c>
      <c r="E591" t="inlineStr">
        <is>
          <t>KATRINEHOLM</t>
        </is>
      </c>
      <c r="G591" t="n">
        <v>10.2</v>
      </c>
      <c r="H591" t="n">
        <v>0</v>
      </c>
      <c r="I591" t="n">
        <v>0</v>
      </c>
      <c r="J591" t="n">
        <v>0</v>
      </c>
      <c r="K591" t="n">
        <v>0</v>
      </c>
      <c r="L591" t="n">
        <v>0</v>
      </c>
      <c r="M591" t="n">
        <v>0</v>
      </c>
      <c r="N591" t="n">
        <v>0</v>
      </c>
      <c r="O591" t="n">
        <v>0</v>
      </c>
      <c r="P591" t="n">
        <v>0</v>
      </c>
      <c r="Q591" t="n">
        <v>0</v>
      </c>
      <c r="R591" s="2" t="inlineStr"/>
    </row>
    <row r="592" ht="15" customHeight="1">
      <c r="A592" t="inlineStr">
        <is>
          <t>A 34731-2023</t>
        </is>
      </c>
      <c r="B592" s="1" t="n">
        <v>45141</v>
      </c>
      <c r="C592" s="1" t="n">
        <v>46037</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34739-2023</t>
        </is>
      </c>
      <c r="B593" s="1" t="n">
        <v>45141</v>
      </c>
      <c r="C593" s="1" t="n">
        <v>46037</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46037</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50017-2023</t>
        </is>
      </c>
      <c r="B595" s="1" t="n">
        <v>45215</v>
      </c>
      <c r="C595" s="1" t="n">
        <v>46037</v>
      </c>
      <c r="D595" t="inlineStr">
        <is>
          <t>SÖDERMANLANDS LÄN</t>
        </is>
      </c>
      <c r="E595" t="inlineStr">
        <is>
          <t>KATRINEHOLM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50018-2023</t>
        </is>
      </c>
      <c r="B596" s="1" t="n">
        <v>45215</v>
      </c>
      <c r="C596" s="1" t="n">
        <v>46037</v>
      </c>
      <c r="D596" t="inlineStr">
        <is>
          <t>SÖDERMANLANDS LÄN</t>
        </is>
      </c>
      <c r="E596" t="inlineStr">
        <is>
          <t>KATRINEHOLM</t>
        </is>
      </c>
      <c r="G596" t="n">
        <v>2.4</v>
      </c>
      <c r="H596" t="n">
        <v>0</v>
      </c>
      <c r="I596" t="n">
        <v>0</v>
      </c>
      <c r="J596" t="n">
        <v>0</v>
      </c>
      <c r="K596" t="n">
        <v>0</v>
      </c>
      <c r="L596" t="n">
        <v>0</v>
      </c>
      <c r="M596" t="n">
        <v>0</v>
      </c>
      <c r="N596" t="n">
        <v>0</v>
      </c>
      <c r="O596" t="n">
        <v>0</v>
      </c>
      <c r="P596" t="n">
        <v>0</v>
      </c>
      <c r="Q596" t="n">
        <v>0</v>
      </c>
      <c r="R596" s="2" t="inlineStr"/>
    </row>
    <row r="597" ht="15" customHeight="1">
      <c r="A597" t="inlineStr">
        <is>
          <t>A 28508-2023</t>
        </is>
      </c>
      <c r="B597" s="1" t="n">
        <v>45103.46788194445</v>
      </c>
      <c r="C597" s="1" t="n">
        <v>46037</v>
      </c>
      <c r="D597" t="inlineStr">
        <is>
          <t>SÖDERMANLANDS LÄN</t>
        </is>
      </c>
      <c r="E597" t="inlineStr">
        <is>
          <t>KATRINEHOLM</t>
        </is>
      </c>
      <c r="F597" t="inlineStr">
        <is>
          <t>Kyrkan</t>
        </is>
      </c>
      <c r="G597" t="n">
        <v>20.5</v>
      </c>
      <c r="H597" t="n">
        <v>0</v>
      </c>
      <c r="I597" t="n">
        <v>0</v>
      </c>
      <c r="J597" t="n">
        <v>0</v>
      </c>
      <c r="K597" t="n">
        <v>0</v>
      </c>
      <c r="L597" t="n">
        <v>0</v>
      </c>
      <c r="M597" t="n">
        <v>0</v>
      </c>
      <c r="N597" t="n">
        <v>0</v>
      </c>
      <c r="O597" t="n">
        <v>0</v>
      </c>
      <c r="P597" t="n">
        <v>0</v>
      </c>
      <c r="Q597" t="n">
        <v>0</v>
      </c>
      <c r="R597" s="2" t="inlineStr"/>
    </row>
    <row r="598" ht="15" customHeight="1">
      <c r="A598" t="inlineStr">
        <is>
          <t>A 46075-2023</t>
        </is>
      </c>
      <c r="B598" s="1" t="n">
        <v>45196</v>
      </c>
      <c r="C598" s="1" t="n">
        <v>46037</v>
      </c>
      <c r="D598" t="inlineStr">
        <is>
          <t>SÖDERMANLANDS LÄN</t>
        </is>
      </c>
      <c r="E598" t="inlineStr">
        <is>
          <t>KATRINEHOLM</t>
        </is>
      </c>
      <c r="F598" t="inlineStr">
        <is>
          <t>Övriga Aktiebolag</t>
        </is>
      </c>
      <c r="G598" t="n">
        <v>9.5</v>
      </c>
      <c r="H598" t="n">
        <v>0</v>
      </c>
      <c r="I598" t="n">
        <v>0</v>
      </c>
      <c r="J598" t="n">
        <v>0</v>
      </c>
      <c r="K598" t="n">
        <v>0</v>
      </c>
      <c r="L598" t="n">
        <v>0</v>
      </c>
      <c r="M598" t="n">
        <v>0</v>
      </c>
      <c r="N598" t="n">
        <v>0</v>
      </c>
      <c r="O598" t="n">
        <v>0</v>
      </c>
      <c r="P598" t="n">
        <v>0</v>
      </c>
      <c r="Q598" t="n">
        <v>0</v>
      </c>
      <c r="R598" s="2" t="inlineStr"/>
    </row>
    <row r="599" ht="15" customHeight="1">
      <c r="A599" t="inlineStr">
        <is>
          <t>A 25823-2023</t>
        </is>
      </c>
      <c r="B599" s="1" t="n">
        <v>45090.55078703703</v>
      </c>
      <c r="C599" s="1" t="n">
        <v>46037</v>
      </c>
      <c r="D599" t="inlineStr">
        <is>
          <t>SÖDERMANLANDS LÄN</t>
        </is>
      </c>
      <c r="E599" t="inlineStr">
        <is>
          <t>KATRINEHOLM</t>
        </is>
      </c>
      <c r="F599" t="inlineStr">
        <is>
          <t>Kyrkan</t>
        </is>
      </c>
      <c r="G599" t="n">
        <v>10.2</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46037</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22295-2024</t>
        </is>
      </c>
      <c r="B601" s="1" t="n">
        <v>45446.56141203704</v>
      </c>
      <c r="C601" s="1" t="n">
        <v>46037</v>
      </c>
      <c r="D601" t="inlineStr">
        <is>
          <t>SÖDERMANLANDS LÄN</t>
        </is>
      </c>
      <c r="E601" t="inlineStr">
        <is>
          <t>KATRINEHOLM</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46700-2023</t>
        </is>
      </c>
      <c r="B602" s="1" t="n">
        <v>45194</v>
      </c>
      <c r="C602" s="1" t="n">
        <v>46037</v>
      </c>
      <c r="D602" t="inlineStr">
        <is>
          <t>SÖDERMANLANDS LÄN</t>
        </is>
      </c>
      <c r="E602" t="inlineStr">
        <is>
          <t>KATRINEHOLM</t>
        </is>
      </c>
      <c r="G602" t="n">
        <v>3</v>
      </c>
      <c r="H602" t="n">
        <v>0</v>
      </c>
      <c r="I602" t="n">
        <v>0</v>
      </c>
      <c r="J602" t="n">
        <v>0</v>
      </c>
      <c r="K602" t="n">
        <v>0</v>
      </c>
      <c r="L602" t="n">
        <v>0</v>
      </c>
      <c r="M602" t="n">
        <v>0</v>
      </c>
      <c r="N602" t="n">
        <v>0</v>
      </c>
      <c r="O602" t="n">
        <v>0</v>
      </c>
      <c r="P602" t="n">
        <v>0</v>
      </c>
      <c r="Q602" t="n">
        <v>0</v>
      </c>
      <c r="R602" s="2" t="inlineStr"/>
    </row>
    <row r="603" ht="15" customHeight="1">
      <c r="A603" t="inlineStr">
        <is>
          <t>A 55590-2023</t>
        </is>
      </c>
      <c r="B603" s="1" t="n">
        <v>45238</v>
      </c>
      <c r="C603" s="1" t="n">
        <v>46037</v>
      </c>
      <c r="D603" t="inlineStr">
        <is>
          <t>SÖDERMANLANDS LÄN</t>
        </is>
      </c>
      <c r="E603" t="inlineStr">
        <is>
          <t>KATRINEHOLM</t>
        </is>
      </c>
      <c r="G603" t="n">
        <v>4.5</v>
      </c>
      <c r="H603" t="n">
        <v>0</v>
      </c>
      <c r="I603" t="n">
        <v>0</v>
      </c>
      <c r="J603" t="n">
        <v>0</v>
      </c>
      <c r="K603" t="n">
        <v>0</v>
      </c>
      <c r="L603" t="n">
        <v>0</v>
      </c>
      <c r="M603" t="n">
        <v>0</v>
      </c>
      <c r="N603" t="n">
        <v>0</v>
      </c>
      <c r="O603" t="n">
        <v>0</v>
      </c>
      <c r="P603" t="n">
        <v>0</v>
      </c>
      <c r="Q603" t="n">
        <v>0</v>
      </c>
      <c r="R603" s="2" t="inlineStr"/>
    </row>
    <row r="604" ht="15" customHeight="1">
      <c r="A604" t="inlineStr">
        <is>
          <t>A 15898-2022</t>
        </is>
      </c>
      <c r="B604" s="1" t="n">
        <v>44664.55688657407</v>
      </c>
      <c r="C604" s="1" t="n">
        <v>46037</v>
      </c>
      <c r="D604" t="inlineStr">
        <is>
          <t>SÖDERMANLANDS LÄN</t>
        </is>
      </c>
      <c r="E604" t="inlineStr">
        <is>
          <t>KATRINEHOLM</t>
        </is>
      </c>
      <c r="G604" t="n">
        <v>6.5</v>
      </c>
      <c r="H604" t="n">
        <v>0</v>
      </c>
      <c r="I604" t="n">
        <v>0</v>
      </c>
      <c r="J604" t="n">
        <v>0</v>
      </c>
      <c r="K604" t="n">
        <v>0</v>
      </c>
      <c r="L604" t="n">
        <v>0</v>
      </c>
      <c r="M604" t="n">
        <v>0</v>
      </c>
      <c r="N604" t="n">
        <v>0</v>
      </c>
      <c r="O604" t="n">
        <v>0</v>
      </c>
      <c r="P604" t="n">
        <v>0</v>
      </c>
      <c r="Q604" t="n">
        <v>0</v>
      </c>
      <c r="R604" s="2" t="inlineStr"/>
    </row>
    <row r="605" ht="15" customHeight="1">
      <c r="A605" t="inlineStr">
        <is>
          <t>A 15910-2022</t>
        </is>
      </c>
      <c r="B605" s="1" t="n">
        <v>44664</v>
      </c>
      <c r="C605" s="1" t="n">
        <v>46037</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32818-2023</t>
        </is>
      </c>
      <c r="B606" s="1" t="n">
        <v>45124.55633101852</v>
      </c>
      <c r="C606" s="1" t="n">
        <v>46037</v>
      </c>
      <c r="D606" t="inlineStr">
        <is>
          <t>SÖDERMANLANDS LÄN</t>
        </is>
      </c>
      <c r="E606" t="inlineStr">
        <is>
          <t>KATRINEHOLM</t>
        </is>
      </c>
      <c r="G606" t="n">
        <v>3.4</v>
      </c>
      <c r="H606" t="n">
        <v>0</v>
      </c>
      <c r="I606" t="n">
        <v>0</v>
      </c>
      <c r="J606" t="n">
        <v>0</v>
      </c>
      <c r="K606" t="n">
        <v>0</v>
      </c>
      <c r="L606" t="n">
        <v>0</v>
      </c>
      <c r="M606" t="n">
        <v>0</v>
      </c>
      <c r="N606" t="n">
        <v>0</v>
      </c>
      <c r="O606" t="n">
        <v>0</v>
      </c>
      <c r="P606" t="n">
        <v>0</v>
      </c>
      <c r="Q606" t="n">
        <v>0</v>
      </c>
      <c r="R606" s="2" t="inlineStr"/>
    </row>
    <row r="607" ht="15" customHeight="1">
      <c r="A607" t="inlineStr">
        <is>
          <t>A 20214-2025</t>
        </is>
      </c>
      <c r="B607" s="1" t="n">
        <v>45772.63540509259</v>
      </c>
      <c r="C607" s="1" t="n">
        <v>46037</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22272-2022</t>
        </is>
      </c>
      <c r="B608" s="1" t="n">
        <v>44712</v>
      </c>
      <c r="C608" s="1" t="n">
        <v>46037</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27334-2023</t>
        </is>
      </c>
      <c r="B609" s="1" t="n">
        <v>45096</v>
      </c>
      <c r="C609" s="1" t="n">
        <v>46037</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40186-2023</t>
        </is>
      </c>
      <c r="B610" s="1" t="n">
        <v>45169</v>
      </c>
      <c r="C610" s="1" t="n">
        <v>46037</v>
      </c>
      <c r="D610" t="inlineStr">
        <is>
          <t>SÖDERMANLANDS LÄN</t>
        </is>
      </c>
      <c r="E610" t="inlineStr">
        <is>
          <t>KATRINEHOLM</t>
        </is>
      </c>
      <c r="G610" t="n">
        <v>2.1</v>
      </c>
      <c r="H610" t="n">
        <v>0</v>
      </c>
      <c r="I610" t="n">
        <v>0</v>
      </c>
      <c r="J610" t="n">
        <v>0</v>
      </c>
      <c r="K610" t="n">
        <v>0</v>
      </c>
      <c r="L610" t="n">
        <v>0</v>
      </c>
      <c r="M610" t="n">
        <v>0</v>
      </c>
      <c r="N610" t="n">
        <v>0</v>
      </c>
      <c r="O610" t="n">
        <v>0</v>
      </c>
      <c r="P610" t="n">
        <v>0</v>
      </c>
      <c r="Q610" t="n">
        <v>0</v>
      </c>
      <c r="R610" s="2" t="inlineStr"/>
    </row>
    <row r="611" ht="15" customHeight="1">
      <c r="A611" t="inlineStr">
        <is>
          <t>A 47886-2023</t>
        </is>
      </c>
      <c r="B611" s="1" t="n">
        <v>45204</v>
      </c>
      <c r="C611" s="1" t="n">
        <v>46037</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36562-2023</t>
        </is>
      </c>
      <c r="B612" s="1" t="n">
        <v>45153</v>
      </c>
      <c r="C612" s="1" t="n">
        <v>46037</v>
      </c>
      <c r="D612" t="inlineStr">
        <is>
          <t>SÖDERMANLANDS LÄN</t>
        </is>
      </c>
      <c r="E612" t="inlineStr">
        <is>
          <t>KATRINEHOLM</t>
        </is>
      </c>
      <c r="G612" t="n">
        <v>5.8</v>
      </c>
      <c r="H612" t="n">
        <v>0</v>
      </c>
      <c r="I612" t="n">
        <v>0</v>
      </c>
      <c r="J612" t="n">
        <v>0</v>
      </c>
      <c r="K612" t="n">
        <v>0</v>
      </c>
      <c r="L612" t="n">
        <v>0</v>
      </c>
      <c r="M612" t="n">
        <v>0</v>
      </c>
      <c r="N612" t="n">
        <v>0</v>
      </c>
      <c r="O612" t="n">
        <v>0</v>
      </c>
      <c r="P612" t="n">
        <v>0</v>
      </c>
      <c r="Q612" t="n">
        <v>0</v>
      </c>
      <c r="R612" s="2" t="inlineStr"/>
    </row>
    <row r="613" ht="15" customHeight="1">
      <c r="A613" t="inlineStr">
        <is>
          <t>A 34539-2022</t>
        </is>
      </c>
      <c r="B613" s="1" t="n">
        <v>44793.50563657407</v>
      </c>
      <c r="C613" s="1" t="n">
        <v>46037</v>
      </c>
      <c r="D613" t="inlineStr">
        <is>
          <t>SÖDERMANLANDS LÄN</t>
        </is>
      </c>
      <c r="E613" t="inlineStr">
        <is>
          <t>KATRINEHOLM</t>
        </is>
      </c>
      <c r="G613" t="n">
        <v>1</v>
      </c>
      <c r="H613" t="n">
        <v>0</v>
      </c>
      <c r="I613" t="n">
        <v>0</v>
      </c>
      <c r="J613" t="n">
        <v>0</v>
      </c>
      <c r="K613" t="n">
        <v>0</v>
      </c>
      <c r="L613" t="n">
        <v>0</v>
      </c>
      <c r="M613" t="n">
        <v>0</v>
      </c>
      <c r="N613" t="n">
        <v>0</v>
      </c>
      <c r="O613" t="n">
        <v>0</v>
      </c>
      <c r="P613" t="n">
        <v>0</v>
      </c>
      <c r="Q613" t="n">
        <v>0</v>
      </c>
      <c r="R613" s="2" t="inlineStr"/>
    </row>
    <row r="614" ht="15" customHeight="1">
      <c r="A614" t="inlineStr">
        <is>
          <t>A 41205-2021</t>
        </is>
      </c>
      <c r="B614" s="1" t="n">
        <v>44424.38577546296</v>
      </c>
      <c r="C614" s="1" t="n">
        <v>46037</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24748-2024</t>
        </is>
      </c>
      <c r="B615" s="1" t="n">
        <v>45460.66567129629</v>
      </c>
      <c r="C615" s="1" t="n">
        <v>46037</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2298-2021</t>
        </is>
      </c>
      <c r="B616" s="1" t="n">
        <v>44212</v>
      </c>
      <c r="C616" s="1" t="n">
        <v>46037</v>
      </c>
      <c r="D616" t="inlineStr">
        <is>
          <t>SÖDERMANLANDS LÄN</t>
        </is>
      </c>
      <c r="E616" t="inlineStr">
        <is>
          <t>KATRINEHOLM</t>
        </is>
      </c>
      <c r="G616" t="n">
        <v>3.4</v>
      </c>
      <c r="H616" t="n">
        <v>0</v>
      </c>
      <c r="I616" t="n">
        <v>0</v>
      </c>
      <c r="J616" t="n">
        <v>0</v>
      </c>
      <c r="K616" t="n">
        <v>0</v>
      </c>
      <c r="L616" t="n">
        <v>0</v>
      </c>
      <c r="M616" t="n">
        <v>0</v>
      </c>
      <c r="N616" t="n">
        <v>0</v>
      </c>
      <c r="O616" t="n">
        <v>0</v>
      </c>
      <c r="P616" t="n">
        <v>0</v>
      </c>
      <c r="Q616" t="n">
        <v>0</v>
      </c>
      <c r="R616" s="2" t="inlineStr"/>
    </row>
    <row r="617" ht="15" customHeight="1">
      <c r="A617" t="inlineStr">
        <is>
          <t>A 40402-2022</t>
        </is>
      </c>
      <c r="B617" s="1" t="n">
        <v>44823.44353009259</v>
      </c>
      <c r="C617" s="1" t="n">
        <v>46037</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17792-2025</t>
        </is>
      </c>
      <c r="B618" s="1" t="n">
        <v>45758</v>
      </c>
      <c r="C618" s="1" t="n">
        <v>46037</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17820-2025</t>
        </is>
      </c>
      <c r="B619" s="1" t="n">
        <v>45758</v>
      </c>
      <c r="C619" s="1" t="n">
        <v>46037</v>
      </c>
      <c r="D619" t="inlineStr">
        <is>
          <t>SÖDERMANLANDS LÄN</t>
        </is>
      </c>
      <c r="E619" t="inlineStr">
        <is>
          <t>KATRINEHOLM</t>
        </is>
      </c>
      <c r="G619" t="n">
        <v>5.9</v>
      </c>
      <c r="H619" t="n">
        <v>0</v>
      </c>
      <c r="I619" t="n">
        <v>0</v>
      </c>
      <c r="J619" t="n">
        <v>0</v>
      </c>
      <c r="K619" t="n">
        <v>0</v>
      </c>
      <c r="L619" t="n">
        <v>0</v>
      </c>
      <c r="M619" t="n">
        <v>0</v>
      </c>
      <c r="N619" t="n">
        <v>0</v>
      </c>
      <c r="O619" t="n">
        <v>0</v>
      </c>
      <c r="P619" t="n">
        <v>0</v>
      </c>
      <c r="Q619" t="n">
        <v>0</v>
      </c>
      <c r="R619" s="2" t="inlineStr"/>
    </row>
    <row r="620" ht="15" customHeight="1">
      <c r="A620" t="inlineStr">
        <is>
          <t>A 30387-2022</t>
        </is>
      </c>
      <c r="B620" s="1" t="n">
        <v>44760</v>
      </c>
      <c r="C620" s="1" t="n">
        <v>46037</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39052-2023</t>
        </is>
      </c>
      <c r="B621" s="1" t="n">
        <v>45163</v>
      </c>
      <c r="C621" s="1" t="n">
        <v>46037</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8922-2024</t>
        </is>
      </c>
      <c r="B622" s="1" t="n">
        <v>45357.38601851852</v>
      </c>
      <c r="C622" s="1" t="n">
        <v>46037</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48160-2022</t>
        </is>
      </c>
      <c r="B623" s="1" t="n">
        <v>44853</v>
      </c>
      <c r="C623" s="1" t="n">
        <v>46037</v>
      </c>
      <c r="D623" t="inlineStr">
        <is>
          <t>SÖDERMANLANDS LÄN</t>
        </is>
      </c>
      <c r="E623" t="inlineStr">
        <is>
          <t>KATRINEHOLM</t>
        </is>
      </c>
      <c r="F623" t="inlineStr">
        <is>
          <t>Övriga statliga verk och myndigheter</t>
        </is>
      </c>
      <c r="G623" t="n">
        <v>2.2</v>
      </c>
      <c r="H623" t="n">
        <v>0</v>
      </c>
      <c r="I623" t="n">
        <v>0</v>
      </c>
      <c r="J623" t="n">
        <v>0</v>
      </c>
      <c r="K623" t="n">
        <v>0</v>
      </c>
      <c r="L623" t="n">
        <v>0</v>
      </c>
      <c r="M623" t="n">
        <v>0</v>
      </c>
      <c r="N623" t="n">
        <v>0</v>
      </c>
      <c r="O623" t="n">
        <v>0</v>
      </c>
      <c r="P623" t="n">
        <v>0</v>
      </c>
      <c r="Q623" t="n">
        <v>0</v>
      </c>
      <c r="R623" s="2" t="inlineStr"/>
    </row>
    <row r="624" ht="15" customHeight="1">
      <c r="A624" t="inlineStr">
        <is>
          <t>A 28317-2024</t>
        </is>
      </c>
      <c r="B624" s="1" t="n">
        <v>45477</v>
      </c>
      <c r="C624" s="1" t="n">
        <v>46037</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66393-2021</t>
        </is>
      </c>
      <c r="B625" s="1" t="n">
        <v>44518</v>
      </c>
      <c r="C625" s="1" t="n">
        <v>46037</v>
      </c>
      <c r="D625" t="inlineStr">
        <is>
          <t>SÖDERMANLANDS LÄN</t>
        </is>
      </c>
      <c r="E625" t="inlineStr">
        <is>
          <t>KATRINEHOLM</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47134-2022</t>
        </is>
      </c>
      <c r="B626" s="1" t="n">
        <v>44851</v>
      </c>
      <c r="C626" s="1" t="n">
        <v>46037</v>
      </c>
      <c r="D626" t="inlineStr">
        <is>
          <t>SÖDERMANLANDS LÄN</t>
        </is>
      </c>
      <c r="E626" t="inlineStr">
        <is>
          <t>KATRINEHOLM</t>
        </is>
      </c>
      <c r="F626" t="inlineStr">
        <is>
          <t>Övriga statliga verk och myndigheter</t>
        </is>
      </c>
      <c r="G626" t="n">
        <v>1.5</v>
      </c>
      <c r="H626" t="n">
        <v>0</v>
      </c>
      <c r="I626" t="n">
        <v>0</v>
      </c>
      <c r="J626" t="n">
        <v>0</v>
      </c>
      <c r="K626" t="n">
        <v>0</v>
      </c>
      <c r="L626" t="n">
        <v>0</v>
      </c>
      <c r="M626" t="n">
        <v>0</v>
      </c>
      <c r="N626" t="n">
        <v>0</v>
      </c>
      <c r="O626" t="n">
        <v>0</v>
      </c>
      <c r="P626" t="n">
        <v>0</v>
      </c>
      <c r="Q626" t="n">
        <v>0</v>
      </c>
      <c r="R626" s="2" t="inlineStr"/>
    </row>
    <row r="627" ht="15" customHeight="1">
      <c r="A627" t="inlineStr">
        <is>
          <t>A 1143-2024</t>
        </is>
      </c>
      <c r="B627" s="1" t="n">
        <v>45302</v>
      </c>
      <c r="C627" s="1" t="n">
        <v>46037</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3982-2024</t>
        </is>
      </c>
      <c r="B628" s="1" t="n">
        <v>45322</v>
      </c>
      <c r="C628" s="1" t="n">
        <v>46037</v>
      </c>
      <c r="D628" t="inlineStr">
        <is>
          <t>SÖDERMANLANDS LÄN</t>
        </is>
      </c>
      <c r="E628" t="inlineStr">
        <is>
          <t>KATRINEHOLM</t>
        </is>
      </c>
      <c r="G628" t="n">
        <v>3.7</v>
      </c>
      <c r="H628" t="n">
        <v>0</v>
      </c>
      <c r="I628" t="n">
        <v>0</v>
      </c>
      <c r="J628" t="n">
        <v>0</v>
      </c>
      <c r="K628" t="n">
        <v>0</v>
      </c>
      <c r="L628" t="n">
        <v>0</v>
      </c>
      <c r="M628" t="n">
        <v>0</v>
      </c>
      <c r="N628" t="n">
        <v>0</v>
      </c>
      <c r="O628" t="n">
        <v>0</v>
      </c>
      <c r="P628" t="n">
        <v>0</v>
      </c>
      <c r="Q628" t="n">
        <v>0</v>
      </c>
      <c r="R628" s="2" t="inlineStr"/>
    </row>
    <row r="629" ht="15" customHeight="1">
      <c r="A629" t="inlineStr">
        <is>
          <t>A 57263-2022</t>
        </is>
      </c>
      <c r="B629" s="1" t="n">
        <v>44895</v>
      </c>
      <c r="C629" s="1" t="n">
        <v>46037</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28431-2024</t>
        </is>
      </c>
      <c r="B630" s="1" t="n">
        <v>45477.65216435185</v>
      </c>
      <c r="C630" s="1" t="n">
        <v>46037</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62418-2023</t>
        </is>
      </c>
      <c r="B631" s="1" t="n">
        <v>45268</v>
      </c>
      <c r="C631" s="1" t="n">
        <v>46037</v>
      </c>
      <c r="D631" t="inlineStr">
        <is>
          <t>SÖDERMANLANDS LÄN</t>
        </is>
      </c>
      <c r="E631" t="inlineStr">
        <is>
          <t>KATRINEHOLM</t>
        </is>
      </c>
      <c r="G631" t="n">
        <v>3</v>
      </c>
      <c r="H631" t="n">
        <v>0</v>
      </c>
      <c r="I631" t="n">
        <v>0</v>
      </c>
      <c r="J631" t="n">
        <v>0</v>
      </c>
      <c r="K631" t="n">
        <v>0</v>
      </c>
      <c r="L631" t="n">
        <v>0</v>
      </c>
      <c r="M631" t="n">
        <v>0</v>
      </c>
      <c r="N631" t="n">
        <v>0</v>
      </c>
      <c r="O631" t="n">
        <v>0</v>
      </c>
      <c r="P631" t="n">
        <v>0</v>
      </c>
      <c r="Q631" t="n">
        <v>0</v>
      </c>
      <c r="R631" s="2" t="inlineStr"/>
    </row>
    <row r="632" ht="15" customHeight="1">
      <c r="A632" t="inlineStr">
        <is>
          <t>A 45142-2021</t>
        </is>
      </c>
      <c r="B632" s="1" t="n">
        <v>44439</v>
      </c>
      <c r="C632" s="1" t="n">
        <v>46037</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7191-2023</t>
        </is>
      </c>
      <c r="B633" s="1" t="n">
        <v>44965</v>
      </c>
      <c r="C633" s="1" t="n">
        <v>46037</v>
      </c>
      <c r="D633" t="inlineStr">
        <is>
          <t>SÖDERMANLANDS LÄN</t>
        </is>
      </c>
      <c r="E633" t="inlineStr">
        <is>
          <t>KATRINEHOLM</t>
        </is>
      </c>
      <c r="G633" t="n">
        <v>14.1</v>
      </c>
      <c r="H633" t="n">
        <v>0</v>
      </c>
      <c r="I633" t="n">
        <v>0</v>
      </c>
      <c r="J633" t="n">
        <v>0</v>
      </c>
      <c r="K633" t="n">
        <v>0</v>
      </c>
      <c r="L633" t="n">
        <v>0</v>
      </c>
      <c r="M633" t="n">
        <v>0</v>
      </c>
      <c r="N633" t="n">
        <v>0</v>
      </c>
      <c r="O633" t="n">
        <v>0</v>
      </c>
      <c r="P633" t="n">
        <v>0</v>
      </c>
      <c r="Q633" t="n">
        <v>0</v>
      </c>
      <c r="R633" s="2" t="inlineStr"/>
    </row>
    <row r="634" ht="15" customHeight="1">
      <c r="A634" t="inlineStr">
        <is>
          <t>A 66540-2021</t>
        </is>
      </c>
      <c r="B634" s="1" t="n">
        <v>44519</v>
      </c>
      <c r="C634" s="1" t="n">
        <v>46037</v>
      </c>
      <c r="D634" t="inlineStr">
        <is>
          <t>SÖDERMANLANDS LÄN</t>
        </is>
      </c>
      <c r="E634" t="inlineStr">
        <is>
          <t>KATRINEHOLM</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8394-2024</t>
        </is>
      </c>
      <c r="B635" s="1" t="n">
        <v>45352</v>
      </c>
      <c r="C635" s="1" t="n">
        <v>46037</v>
      </c>
      <c r="D635" t="inlineStr">
        <is>
          <t>SÖDERMANLANDS LÄN</t>
        </is>
      </c>
      <c r="E635" t="inlineStr">
        <is>
          <t>KATRINEHOLM</t>
        </is>
      </c>
      <c r="G635" t="n">
        <v>4</v>
      </c>
      <c r="H635" t="n">
        <v>0</v>
      </c>
      <c r="I635" t="n">
        <v>0</v>
      </c>
      <c r="J635" t="n">
        <v>0</v>
      </c>
      <c r="K635" t="n">
        <v>0</v>
      </c>
      <c r="L635" t="n">
        <v>0</v>
      </c>
      <c r="M635" t="n">
        <v>0</v>
      </c>
      <c r="N635" t="n">
        <v>0</v>
      </c>
      <c r="O635" t="n">
        <v>0</v>
      </c>
      <c r="P635" t="n">
        <v>0</v>
      </c>
      <c r="Q635" t="n">
        <v>0</v>
      </c>
      <c r="R635" s="2" t="inlineStr"/>
    </row>
    <row r="636" ht="15" customHeight="1">
      <c r="A636" t="inlineStr">
        <is>
          <t>A 13658-2023</t>
        </is>
      </c>
      <c r="B636" s="1" t="n">
        <v>45006</v>
      </c>
      <c r="C636" s="1" t="n">
        <v>46037</v>
      </c>
      <c r="D636" t="inlineStr">
        <is>
          <t>SÖDERMANLANDS LÄN</t>
        </is>
      </c>
      <c r="E636" t="inlineStr">
        <is>
          <t>KATRINEHOLM</t>
        </is>
      </c>
      <c r="F636" t="inlineStr">
        <is>
          <t>Kyrkan</t>
        </is>
      </c>
      <c r="G636" t="n">
        <v>24.3</v>
      </c>
      <c r="H636" t="n">
        <v>0</v>
      </c>
      <c r="I636" t="n">
        <v>0</v>
      </c>
      <c r="J636" t="n">
        <v>0</v>
      </c>
      <c r="K636" t="n">
        <v>0</v>
      </c>
      <c r="L636" t="n">
        <v>0</v>
      </c>
      <c r="M636" t="n">
        <v>0</v>
      </c>
      <c r="N636" t="n">
        <v>0</v>
      </c>
      <c r="O636" t="n">
        <v>0</v>
      </c>
      <c r="P636" t="n">
        <v>0</v>
      </c>
      <c r="Q636" t="n">
        <v>0</v>
      </c>
      <c r="R636" s="2" t="inlineStr"/>
    </row>
    <row r="637" ht="15" customHeight="1">
      <c r="A637" t="inlineStr">
        <is>
          <t>A 61385-2023</t>
        </is>
      </c>
      <c r="B637" s="1" t="n">
        <v>45264.64241898148</v>
      </c>
      <c r="C637" s="1" t="n">
        <v>46037</v>
      </c>
      <c r="D637" t="inlineStr">
        <is>
          <t>SÖDERMANLANDS LÄN</t>
        </is>
      </c>
      <c r="E637" t="inlineStr">
        <is>
          <t>KATRINEHOLM</t>
        </is>
      </c>
      <c r="G637" t="n">
        <v>0.4</v>
      </c>
      <c r="H637" t="n">
        <v>0</v>
      </c>
      <c r="I637" t="n">
        <v>0</v>
      </c>
      <c r="J637" t="n">
        <v>0</v>
      </c>
      <c r="K637" t="n">
        <v>0</v>
      </c>
      <c r="L637" t="n">
        <v>0</v>
      </c>
      <c r="M637" t="n">
        <v>0</v>
      </c>
      <c r="N637" t="n">
        <v>0</v>
      </c>
      <c r="O637" t="n">
        <v>0</v>
      </c>
      <c r="P637" t="n">
        <v>0</v>
      </c>
      <c r="Q637" t="n">
        <v>0</v>
      </c>
      <c r="R637" s="2" t="inlineStr"/>
    </row>
    <row r="638" ht="15" customHeight="1">
      <c r="A638" t="inlineStr">
        <is>
          <t>A 55825-2022</t>
        </is>
      </c>
      <c r="B638" s="1" t="n">
        <v>44886</v>
      </c>
      <c r="C638" s="1" t="n">
        <v>46037</v>
      </c>
      <c r="D638" t="inlineStr">
        <is>
          <t>SÖDERMANLANDS LÄN</t>
        </is>
      </c>
      <c r="E638" t="inlineStr">
        <is>
          <t>KATRINEHOLM</t>
        </is>
      </c>
      <c r="G638" t="n">
        <v>1.3</v>
      </c>
      <c r="H638" t="n">
        <v>0</v>
      </c>
      <c r="I638" t="n">
        <v>0</v>
      </c>
      <c r="J638" t="n">
        <v>0</v>
      </c>
      <c r="K638" t="n">
        <v>0</v>
      </c>
      <c r="L638" t="n">
        <v>0</v>
      </c>
      <c r="M638" t="n">
        <v>0</v>
      </c>
      <c r="N638" t="n">
        <v>0</v>
      </c>
      <c r="O638" t="n">
        <v>0</v>
      </c>
      <c r="P638" t="n">
        <v>0</v>
      </c>
      <c r="Q638" t="n">
        <v>0</v>
      </c>
      <c r="R638" s="2" t="inlineStr"/>
    </row>
    <row r="639" ht="15" customHeight="1">
      <c r="A639" t="inlineStr">
        <is>
          <t>A 55856-2022</t>
        </is>
      </c>
      <c r="B639" s="1" t="n">
        <v>44888</v>
      </c>
      <c r="C639" s="1" t="n">
        <v>46037</v>
      </c>
      <c r="D639" t="inlineStr">
        <is>
          <t>SÖDERMANLANDS LÄN</t>
        </is>
      </c>
      <c r="E639" t="inlineStr">
        <is>
          <t>KATRINEHOLM</t>
        </is>
      </c>
      <c r="G639" t="n">
        <v>5.6</v>
      </c>
      <c r="H639" t="n">
        <v>0</v>
      </c>
      <c r="I639" t="n">
        <v>0</v>
      </c>
      <c r="J639" t="n">
        <v>0</v>
      </c>
      <c r="K639" t="n">
        <v>0</v>
      </c>
      <c r="L639" t="n">
        <v>0</v>
      </c>
      <c r="M639" t="n">
        <v>0</v>
      </c>
      <c r="N639" t="n">
        <v>0</v>
      </c>
      <c r="O639" t="n">
        <v>0</v>
      </c>
      <c r="P639" t="n">
        <v>0</v>
      </c>
      <c r="Q639" t="n">
        <v>0</v>
      </c>
      <c r="R639" s="2" t="inlineStr"/>
    </row>
    <row r="640" ht="15" customHeight="1">
      <c r="A640" t="inlineStr">
        <is>
          <t>A 43513-2023</t>
        </is>
      </c>
      <c r="B640" s="1" t="n">
        <v>45184</v>
      </c>
      <c r="C640" s="1" t="n">
        <v>46037</v>
      </c>
      <c r="D640" t="inlineStr">
        <is>
          <t>SÖDERMANLANDS LÄN</t>
        </is>
      </c>
      <c r="E640" t="inlineStr">
        <is>
          <t>KATRINEHOLM</t>
        </is>
      </c>
      <c r="G640" t="n">
        <v>3.8</v>
      </c>
      <c r="H640" t="n">
        <v>0</v>
      </c>
      <c r="I640" t="n">
        <v>0</v>
      </c>
      <c r="J640" t="n">
        <v>0</v>
      </c>
      <c r="K640" t="n">
        <v>0</v>
      </c>
      <c r="L640" t="n">
        <v>0</v>
      </c>
      <c r="M640" t="n">
        <v>0</v>
      </c>
      <c r="N640" t="n">
        <v>0</v>
      </c>
      <c r="O640" t="n">
        <v>0</v>
      </c>
      <c r="P640" t="n">
        <v>0</v>
      </c>
      <c r="Q640" t="n">
        <v>0</v>
      </c>
      <c r="R640" s="2" t="inlineStr"/>
    </row>
    <row r="641" ht="15" customHeight="1">
      <c r="A641" t="inlineStr">
        <is>
          <t>A 8951-2024</t>
        </is>
      </c>
      <c r="B641" s="1" t="n">
        <v>45357.44695601852</v>
      </c>
      <c r="C641" s="1" t="n">
        <v>46037</v>
      </c>
      <c r="D641" t="inlineStr">
        <is>
          <t>SÖDERMANLANDS LÄN</t>
        </is>
      </c>
      <c r="E641" t="inlineStr">
        <is>
          <t>KATRINEHOLM</t>
        </is>
      </c>
      <c r="G641" t="n">
        <v>3.3</v>
      </c>
      <c r="H641" t="n">
        <v>0</v>
      </c>
      <c r="I641" t="n">
        <v>0</v>
      </c>
      <c r="J641" t="n">
        <v>0</v>
      </c>
      <c r="K641" t="n">
        <v>0</v>
      </c>
      <c r="L641" t="n">
        <v>0</v>
      </c>
      <c r="M641" t="n">
        <v>0</v>
      </c>
      <c r="N641" t="n">
        <v>0</v>
      </c>
      <c r="O641" t="n">
        <v>0</v>
      </c>
      <c r="P641" t="n">
        <v>0</v>
      </c>
      <c r="Q641" t="n">
        <v>0</v>
      </c>
      <c r="R641" s="2" t="inlineStr"/>
    </row>
    <row r="642" ht="15" customHeight="1">
      <c r="A642" t="inlineStr">
        <is>
          <t>A 8955-2024</t>
        </is>
      </c>
      <c r="B642" s="1" t="n">
        <v>45357.44873842593</v>
      </c>
      <c r="C642" s="1" t="n">
        <v>46037</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15945-2024</t>
        </is>
      </c>
      <c r="B643" s="1" t="n">
        <v>45405.48912037037</v>
      </c>
      <c r="C643" s="1" t="n">
        <v>46037</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4655-2024</t>
        </is>
      </c>
      <c r="B644" s="1" t="n">
        <v>45328</v>
      </c>
      <c r="C644" s="1" t="n">
        <v>46037</v>
      </c>
      <c r="D644" t="inlineStr">
        <is>
          <t>SÖDERMANLANDS LÄN</t>
        </is>
      </c>
      <c r="E644" t="inlineStr">
        <is>
          <t>KATRINEHOLM</t>
        </is>
      </c>
      <c r="G644" t="n">
        <v>17.7</v>
      </c>
      <c r="H644" t="n">
        <v>0</v>
      </c>
      <c r="I644" t="n">
        <v>0</v>
      </c>
      <c r="J644" t="n">
        <v>0</v>
      </c>
      <c r="K644" t="n">
        <v>0</v>
      </c>
      <c r="L644" t="n">
        <v>0</v>
      </c>
      <c r="M644" t="n">
        <v>0</v>
      </c>
      <c r="N644" t="n">
        <v>0</v>
      </c>
      <c r="O644" t="n">
        <v>0</v>
      </c>
      <c r="P644" t="n">
        <v>0</v>
      </c>
      <c r="Q644" t="n">
        <v>0</v>
      </c>
      <c r="R644" s="2" t="inlineStr"/>
    </row>
    <row r="645" ht="15" customHeight="1">
      <c r="A645" t="inlineStr">
        <is>
          <t>A 53387-2023</t>
        </is>
      </c>
      <c r="B645" s="1" t="n">
        <v>45229</v>
      </c>
      <c r="C645" s="1" t="n">
        <v>46037</v>
      </c>
      <c r="D645" t="inlineStr">
        <is>
          <t>SÖDERMANLANDS LÄN</t>
        </is>
      </c>
      <c r="E645" t="inlineStr">
        <is>
          <t>KATRINEHOLM</t>
        </is>
      </c>
      <c r="F645" t="inlineStr">
        <is>
          <t>Kyrkan</t>
        </is>
      </c>
      <c r="G645" t="n">
        <v>7.4</v>
      </c>
      <c r="H645" t="n">
        <v>0</v>
      </c>
      <c r="I645" t="n">
        <v>0</v>
      </c>
      <c r="J645" t="n">
        <v>0</v>
      </c>
      <c r="K645" t="n">
        <v>0</v>
      </c>
      <c r="L645" t="n">
        <v>0</v>
      </c>
      <c r="M645" t="n">
        <v>0</v>
      </c>
      <c r="N645" t="n">
        <v>0</v>
      </c>
      <c r="O645" t="n">
        <v>0</v>
      </c>
      <c r="P645" t="n">
        <v>0</v>
      </c>
      <c r="Q645" t="n">
        <v>0</v>
      </c>
      <c r="R645" s="2" t="inlineStr"/>
    </row>
    <row r="646" ht="15" customHeight="1">
      <c r="A646" t="inlineStr">
        <is>
          <t>A 42590-2022</t>
        </is>
      </c>
      <c r="B646" s="1" t="n">
        <v>44831</v>
      </c>
      <c r="C646" s="1" t="n">
        <v>46037</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38883-2024</t>
        </is>
      </c>
      <c r="B647" s="1" t="n">
        <v>45547</v>
      </c>
      <c r="C647" s="1" t="n">
        <v>46037</v>
      </c>
      <c r="D647" t="inlineStr">
        <is>
          <t>SÖDERMANLANDS LÄN</t>
        </is>
      </c>
      <c r="E647" t="inlineStr">
        <is>
          <t>KATRINEHOLM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4667-2024</t>
        </is>
      </c>
      <c r="B648" s="1" t="n">
        <v>45328.47</v>
      </c>
      <c r="C648" s="1" t="n">
        <v>46037</v>
      </c>
      <c r="D648" t="inlineStr">
        <is>
          <t>SÖDERMANLANDS LÄN</t>
        </is>
      </c>
      <c r="E648" t="inlineStr">
        <is>
          <t>KATRINEHOLM</t>
        </is>
      </c>
      <c r="F648" t="inlineStr">
        <is>
          <t>Övriga Aktiebolag</t>
        </is>
      </c>
      <c r="G648" t="n">
        <v>10.2</v>
      </c>
      <c r="H648" t="n">
        <v>0</v>
      </c>
      <c r="I648" t="n">
        <v>0</v>
      </c>
      <c r="J648" t="n">
        <v>0</v>
      </c>
      <c r="K648" t="n">
        <v>0</v>
      </c>
      <c r="L648" t="n">
        <v>0</v>
      </c>
      <c r="M648" t="n">
        <v>0</v>
      </c>
      <c r="N648" t="n">
        <v>0</v>
      </c>
      <c r="O648" t="n">
        <v>0</v>
      </c>
      <c r="P648" t="n">
        <v>0</v>
      </c>
      <c r="Q648" t="n">
        <v>0</v>
      </c>
      <c r="R648" s="2" t="inlineStr"/>
    </row>
    <row r="649" ht="15" customHeight="1">
      <c r="A649" t="inlineStr">
        <is>
          <t>A 39704-2023</t>
        </is>
      </c>
      <c r="B649" s="1" t="n">
        <v>45167</v>
      </c>
      <c r="C649" s="1" t="n">
        <v>46037</v>
      </c>
      <c r="D649" t="inlineStr">
        <is>
          <t>SÖDERMANLANDS LÄN</t>
        </is>
      </c>
      <c r="E649" t="inlineStr">
        <is>
          <t>KATRINEHOLM</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16087-2023</t>
        </is>
      </c>
      <c r="B650" s="1" t="n">
        <v>45026</v>
      </c>
      <c r="C650" s="1" t="n">
        <v>46037</v>
      </c>
      <c r="D650" t="inlineStr">
        <is>
          <t>SÖDERMANLANDS LÄN</t>
        </is>
      </c>
      <c r="E650" t="inlineStr">
        <is>
          <t>KATRINEHOLM</t>
        </is>
      </c>
      <c r="G650" t="n">
        <v>2</v>
      </c>
      <c r="H650" t="n">
        <v>0</v>
      </c>
      <c r="I650" t="n">
        <v>0</v>
      </c>
      <c r="J650" t="n">
        <v>0</v>
      </c>
      <c r="K650" t="n">
        <v>0</v>
      </c>
      <c r="L650" t="n">
        <v>0</v>
      </c>
      <c r="M650" t="n">
        <v>0</v>
      </c>
      <c r="N650" t="n">
        <v>0</v>
      </c>
      <c r="O650" t="n">
        <v>0</v>
      </c>
      <c r="P650" t="n">
        <v>0</v>
      </c>
      <c r="Q650" t="n">
        <v>0</v>
      </c>
      <c r="R650" s="2" t="inlineStr"/>
    </row>
    <row r="651" ht="15" customHeight="1">
      <c r="A651" t="inlineStr">
        <is>
          <t>A 28652-2024</t>
        </is>
      </c>
      <c r="B651" s="1" t="n">
        <v>45478</v>
      </c>
      <c r="C651" s="1" t="n">
        <v>46037</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42791-2023</t>
        </is>
      </c>
      <c r="B652" s="1" t="n">
        <v>45181.92876157408</v>
      </c>
      <c r="C652" s="1" t="n">
        <v>46037</v>
      </c>
      <c r="D652" t="inlineStr">
        <is>
          <t>SÖDERMANLANDS LÄN</t>
        </is>
      </c>
      <c r="E652" t="inlineStr">
        <is>
          <t>KATRINEHOLM</t>
        </is>
      </c>
      <c r="G652" t="n">
        <v>4.1</v>
      </c>
      <c r="H652" t="n">
        <v>0</v>
      </c>
      <c r="I652" t="n">
        <v>0</v>
      </c>
      <c r="J652" t="n">
        <v>0</v>
      </c>
      <c r="K652" t="n">
        <v>0</v>
      </c>
      <c r="L652" t="n">
        <v>0</v>
      </c>
      <c r="M652" t="n">
        <v>0</v>
      </c>
      <c r="N652" t="n">
        <v>0</v>
      </c>
      <c r="O652" t="n">
        <v>0</v>
      </c>
      <c r="P652" t="n">
        <v>0</v>
      </c>
      <c r="Q652" t="n">
        <v>0</v>
      </c>
      <c r="R652" s="2" t="inlineStr"/>
    </row>
    <row r="653" ht="15" customHeight="1">
      <c r="A653" t="inlineStr">
        <is>
          <t>A 42792-2023</t>
        </is>
      </c>
      <c r="B653" s="1" t="n">
        <v>45181.95491898148</v>
      </c>
      <c r="C653" s="1" t="n">
        <v>46037</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31740-2022</t>
        </is>
      </c>
      <c r="B654" s="1" t="n">
        <v>44776</v>
      </c>
      <c r="C654" s="1" t="n">
        <v>46037</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4679-2023</t>
        </is>
      </c>
      <c r="B655" s="1" t="n">
        <v>44957.44885416667</v>
      </c>
      <c r="C655" s="1" t="n">
        <v>46037</v>
      </c>
      <c r="D655" t="inlineStr">
        <is>
          <t>SÖDERMANLANDS LÄN</t>
        </is>
      </c>
      <c r="E655" t="inlineStr">
        <is>
          <t>KATRINEHOLM</t>
        </is>
      </c>
      <c r="G655" t="n">
        <v>5.3</v>
      </c>
      <c r="H655" t="n">
        <v>0</v>
      </c>
      <c r="I655" t="n">
        <v>0</v>
      </c>
      <c r="J655" t="n">
        <v>0</v>
      </c>
      <c r="K655" t="n">
        <v>0</v>
      </c>
      <c r="L655" t="n">
        <v>0</v>
      </c>
      <c r="M655" t="n">
        <v>0</v>
      </c>
      <c r="N655" t="n">
        <v>0</v>
      </c>
      <c r="O655" t="n">
        <v>0</v>
      </c>
      <c r="P655" t="n">
        <v>0</v>
      </c>
      <c r="Q655" t="n">
        <v>0</v>
      </c>
      <c r="R655" s="2" t="inlineStr"/>
    </row>
    <row r="656" ht="15" customHeight="1">
      <c r="A656" t="inlineStr">
        <is>
          <t>A 6087-2021</t>
        </is>
      </c>
      <c r="B656" s="1" t="n">
        <v>44232</v>
      </c>
      <c r="C656" s="1" t="n">
        <v>46037</v>
      </c>
      <c r="D656" t="inlineStr">
        <is>
          <t>SÖDERMANLANDS LÄN</t>
        </is>
      </c>
      <c r="E656" t="inlineStr">
        <is>
          <t>KATRINEHOLM</t>
        </is>
      </c>
      <c r="G656" t="n">
        <v>2.6</v>
      </c>
      <c r="H656" t="n">
        <v>0</v>
      </c>
      <c r="I656" t="n">
        <v>0</v>
      </c>
      <c r="J656" t="n">
        <v>0</v>
      </c>
      <c r="K656" t="n">
        <v>0</v>
      </c>
      <c r="L656" t="n">
        <v>0</v>
      </c>
      <c r="M656" t="n">
        <v>0</v>
      </c>
      <c r="N656" t="n">
        <v>0</v>
      </c>
      <c r="O656" t="n">
        <v>0</v>
      </c>
      <c r="P656" t="n">
        <v>0</v>
      </c>
      <c r="Q656" t="n">
        <v>0</v>
      </c>
      <c r="R656" s="2" t="inlineStr"/>
    </row>
    <row r="657" ht="15" customHeight="1">
      <c r="A657" t="inlineStr">
        <is>
          <t>A 48528-2021</t>
        </is>
      </c>
      <c r="B657" s="1" t="n">
        <v>44449</v>
      </c>
      <c r="C657" s="1" t="n">
        <v>46037</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48398-2022</t>
        </is>
      </c>
      <c r="B658" s="1" t="n">
        <v>44858.60809027778</v>
      </c>
      <c r="C658" s="1" t="n">
        <v>46037</v>
      </c>
      <c r="D658" t="inlineStr">
        <is>
          <t>SÖDERMANLANDS LÄN</t>
        </is>
      </c>
      <c r="E658" t="inlineStr">
        <is>
          <t>KATRINEHOLM</t>
        </is>
      </c>
      <c r="G658" t="n">
        <v>1.9</v>
      </c>
      <c r="H658" t="n">
        <v>0</v>
      </c>
      <c r="I658" t="n">
        <v>0</v>
      </c>
      <c r="J658" t="n">
        <v>0</v>
      </c>
      <c r="K658" t="n">
        <v>0</v>
      </c>
      <c r="L658" t="n">
        <v>0</v>
      </c>
      <c r="M658" t="n">
        <v>0</v>
      </c>
      <c r="N658" t="n">
        <v>0</v>
      </c>
      <c r="O658" t="n">
        <v>0</v>
      </c>
      <c r="P658" t="n">
        <v>0</v>
      </c>
      <c r="Q658" t="n">
        <v>0</v>
      </c>
      <c r="R658" s="2" t="inlineStr"/>
    </row>
    <row r="659" ht="15" customHeight="1">
      <c r="A659" t="inlineStr">
        <is>
          <t>A 6753-2022</t>
        </is>
      </c>
      <c r="B659" s="1" t="n">
        <v>44602</v>
      </c>
      <c r="C659" s="1" t="n">
        <v>46037</v>
      </c>
      <c r="D659" t="inlineStr">
        <is>
          <t>SÖDERMANLANDS LÄN</t>
        </is>
      </c>
      <c r="E659" t="inlineStr">
        <is>
          <t>KATRINEHOLM</t>
        </is>
      </c>
      <c r="G659" t="n">
        <v>4.3</v>
      </c>
      <c r="H659" t="n">
        <v>0</v>
      </c>
      <c r="I659" t="n">
        <v>0</v>
      </c>
      <c r="J659" t="n">
        <v>0</v>
      </c>
      <c r="K659" t="n">
        <v>0</v>
      </c>
      <c r="L659" t="n">
        <v>0</v>
      </c>
      <c r="M659" t="n">
        <v>0</v>
      </c>
      <c r="N659" t="n">
        <v>0</v>
      </c>
      <c r="O659" t="n">
        <v>0</v>
      </c>
      <c r="P659" t="n">
        <v>0</v>
      </c>
      <c r="Q659" t="n">
        <v>0</v>
      </c>
      <c r="R659" s="2" t="inlineStr"/>
    </row>
    <row r="660" ht="15" customHeight="1">
      <c r="A660" t="inlineStr">
        <is>
          <t>A 15184-2023</t>
        </is>
      </c>
      <c r="B660" s="1" t="n">
        <v>45016</v>
      </c>
      <c r="C660" s="1" t="n">
        <v>46037</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38826-2021</t>
        </is>
      </c>
      <c r="B661" s="1" t="n">
        <v>44411</v>
      </c>
      <c r="C661" s="1" t="n">
        <v>46037</v>
      </c>
      <c r="D661" t="inlineStr">
        <is>
          <t>SÖDERMANLANDS LÄN</t>
        </is>
      </c>
      <c r="E661" t="inlineStr">
        <is>
          <t>KATRINEHOLM</t>
        </is>
      </c>
      <c r="G661" t="n">
        <v>3.1</v>
      </c>
      <c r="H661" t="n">
        <v>0</v>
      </c>
      <c r="I661" t="n">
        <v>0</v>
      </c>
      <c r="J661" t="n">
        <v>0</v>
      </c>
      <c r="K661" t="n">
        <v>0</v>
      </c>
      <c r="L661" t="n">
        <v>0</v>
      </c>
      <c r="M661" t="n">
        <v>0</v>
      </c>
      <c r="N661" t="n">
        <v>0</v>
      </c>
      <c r="O661" t="n">
        <v>0</v>
      </c>
      <c r="P661" t="n">
        <v>0</v>
      </c>
      <c r="Q661" t="n">
        <v>0</v>
      </c>
      <c r="R661" s="2" t="inlineStr"/>
    </row>
    <row r="662" ht="15" customHeight="1">
      <c r="A662" t="inlineStr">
        <is>
          <t>A 2297-2021</t>
        </is>
      </c>
      <c r="B662" s="1" t="n">
        <v>44212</v>
      </c>
      <c r="C662" s="1" t="n">
        <v>46037</v>
      </c>
      <c r="D662" t="inlineStr">
        <is>
          <t>SÖDERMANLANDS LÄN</t>
        </is>
      </c>
      <c r="E662" t="inlineStr">
        <is>
          <t>KATRINEHOLM</t>
        </is>
      </c>
      <c r="G662" t="n">
        <v>14.4</v>
      </c>
      <c r="H662" t="n">
        <v>0</v>
      </c>
      <c r="I662" t="n">
        <v>0</v>
      </c>
      <c r="J662" t="n">
        <v>0</v>
      </c>
      <c r="K662" t="n">
        <v>0</v>
      </c>
      <c r="L662" t="n">
        <v>0</v>
      </c>
      <c r="M662" t="n">
        <v>0</v>
      </c>
      <c r="N662" t="n">
        <v>0</v>
      </c>
      <c r="O662" t="n">
        <v>0</v>
      </c>
      <c r="P662" t="n">
        <v>0</v>
      </c>
      <c r="Q662" t="n">
        <v>0</v>
      </c>
      <c r="R662" s="2" t="inlineStr"/>
    </row>
    <row r="663" ht="15" customHeight="1">
      <c r="A663" t="inlineStr">
        <is>
          <t>A 9388-2021</t>
        </is>
      </c>
      <c r="B663" s="1" t="n">
        <v>44250</v>
      </c>
      <c r="C663" s="1" t="n">
        <v>46037</v>
      </c>
      <c r="D663" t="inlineStr">
        <is>
          <t>SÖDERMANLANDS LÄN</t>
        </is>
      </c>
      <c r="E663" t="inlineStr">
        <is>
          <t>KATRINEHOLM</t>
        </is>
      </c>
      <c r="G663" t="n">
        <v>5.4</v>
      </c>
      <c r="H663" t="n">
        <v>0</v>
      </c>
      <c r="I663" t="n">
        <v>0</v>
      </c>
      <c r="J663" t="n">
        <v>0</v>
      </c>
      <c r="K663" t="n">
        <v>0</v>
      </c>
      <c r="L663" t="n">
        <v>0</v>
      </c>
      <c r="M663" t="n">
        <v>0</v>
      </c>
      <c r="N663" t="n">
        <v>0</v>
      </c>
      <c r="O663" t="n">
        <v>0</v>
      </c>
      <c r="P663" t="n">
        <v>0</v>
      </c>
      <c r="Q663" t="n">
        <v>0</v>
      </c>
      <c r="R663" s="2" t="inlineStr"/>
    </row>
    <row r="664" ht="15" customHeight="1">
      <c r="A664" t="inlineStr">
        <is>
          <t>A 29830-2023</t>
        </is>
      </c>
      <c r="B664" s="1" t="n">
        <v>45107</v>
      </c>
      <c r="C664" s="1" t="n">
        <v>46037</v>
      </c>
      <c r="D664" t="inlineStr">
        <is>
          <t>SÖDERMANLANDS LÄN</t>
        </is>
      </c>
      <c r="E664" t="inlineStr">
        <is>
          <t>KATRINEHOLM</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19098-2022</t>
        </is>
      </c>
      <c r="B665" s="1" t="n">
        <v>44691.52616898148</v>
      </c>
      <c r="C665" s="1" t="n">
        <v>46037</v>
      </c>
      <c r="D665" t="inlineStr">
        <is>
          <t>SÖDERMANLANDS LÄN</t>
        </is>
      </c>
      <c r="E665" t="inlineStr">
        <is>
          <t>KATRINEHOLM</t>
        </is>
      </c>
      <c r="G665" t="n">
        <v>5.5</v>
      </c>
      <c r="H665" t="n">
        <v>0</v>
      </c>
      <c r="I665" t="n">
        <v>0</v>
      </c>
      <c r="J665" t="n">
        <v>0</v>
      </c>
      <c r="K665" t="n">
        <v>0</v>
      </c>
      <c r="L665" t="n">
        <v>0</v>
      </c>
      <c r="M665" t="n">
        <v>0</v>
      </c>
      <c r="N665" t="n">
        <v>0</v>
      </c>
      <c r="O665" t="n">
        <v>0</v>
      </c>
      <c r="P665" t="n">
        <v>0</v>
      </c>
      <c r="Q665" t="n">
        <v>0</v>
      </c>
      <c r="R665" s="2" t="inlineStr"/>
    </row>
    <row r="666" ht="15" customHeight="1">
      <c r="A666" t="inlineStr">
        <is>
          <t>A 6628-2022</t>
        </is>
      </c>
      <c r="B666" s="1" t="n">
        <v>44601.78850694445</v>
      </c>
      <c r="C666" s="1" t="n">
        <v>46037</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72984-2021</t>
        </is>
      </c>
      <c r="B667" s="1" t="n">
        <v>44549.74741898148</v>
      </c>
      <c r="C667" s="1" t="n">
        <v>46037</v>
      </c>
      <c r="D667" t="inlineStr">
        <is>
          <t>SÖDERMANLANDS LÄN</t>
        </is>
      </c>
      <c r="E667" t="inlineStr">
        <is>
          <t>KATRINEHOLM</t>
        </is>
      </c>
      <c r="G667" t="n">
        <v>4.9</v>
      </c>
      <c r="H667" t="n">
        <v>0</v>
      </c>
      <c r="I667" t="n">
        <v>0</v>
      </c>
      <c r="J667" t="n">
        <v>0</v>
      </c>
      <c r="K667" t="n">
        <v>0</v>
      </c>
      <c r="L667" t="n">
        <v>0</v>
      </c>
      <c r="M667" t="n">
        <v>0</v>
      </c>
      <c r="N667" t="n">
        <v>0</v>
      </c>
      <c r="O667" t="n">
        <v>0</v>
      </c>
      <c r="P667" t="n">
        <v>0</v>
      </c>
      <c r="Q667" t="n">
        <v>0</v>
      </c>
      <c r="R667" s="2" t="inlineStr"/>
    </row>
    <row r="668" ht="15" customHeight="1">
      <c r="A668" t="inlineStr">
        <is>
          <t>A 2325-2023</t>
        </is>
      </c>
      <c r="B668" s="1" t="n">
        <v>44942</v>
      </c>
      <c r="C668" s="1" t="n">
        <v>46037</v>
      </c>
      <c r="D668" t="inlineStr">
        <is>
          <t>SÖDERMANLANDS LÄN</t>
        </is>
      </c>
      <c r="E668" t="inlineStr">
        <is>
          <t>KATRINEHOLM</t>
        </is>
      </c>
      <c r="G668" t="n">
        <v>5.6</v>
      </c>
      <c r="H668" t="n">
        <v>0</v>
      </c>
      <c r="I668" t="n">
        <v>0</v>
      </c>
      <c r="J668" t="n">
        <v>0</v>
      </c>
      <c r="K668" t="n">
        <v>0</v>
      </c>
      <c r="L668" t="n">
        <v>0</v>
      </c>
      <c r="M668" t="n">
        <v>0</v>
      </c>
      <c r="N668" t="n">
        <v>0</v>
      </c>
      <c r="O668" t="n">
        <v>0</v>
      </c>
      <c r="P668" t="n">
        <v>0</v>
      </c>
      <c r="Q668" t="n">
        <v>0</v>
      </c>
      <c r="R668" s="2" t="inlineStr"/>
    </row>
    <row r="669" ht="15" customHeight="1">
      <c r="A669" t="inlineStr">
        <is>
          <t>A 46011-2021</t>
        </is>
      </c>
      <c r="B669" s="1" t="n">
        <v>44441.88092592593</v>
      </c>
      <c r="C669" s="1" t="n">
        <v>46037</v>
      </c>
      <c r="D669" t="inlineStr">
        <is>
          <t>SÖDERMANLANDS LÄN</t>
        </is>
      </c>
      <c r="E669" t="inlineStr">
        <is>
          <t>KATRINEHOLM</t>
        </is>
      </c>
      <c r="G669" t="n">
        <v>4.7</v>
      </c>
      <c r="H669" t="n">
        <v>0</v>
      </c>
      <c r="I669" t="n">
        <v>0</v>
      </c>
      <c r="J669" t="n">
        <v>0</v>
      </c>
      <c r="K669" t="n">
        <v>0</v>
      </c>
      <c r="L669" t="n">
        <v>0</v>
      </c>
      <c r="M669" t="n">
        <v>0</v>
      </c>
      <c r="N669" t="n">
        <v>0</v>
      </c>
      <c r="O669" t="n">
        <v>0</v>
      </c>
      <c r="P669" t="n">
        <v>0</v>
      </c>
      <c r="Q669" t="n">
        <v>0</v>
      </c>
      <c r="R669" s="2" t="inlineStr"/>
    </row>
    <row r="670" ht="15" customHeight="1">
      <c r="A670" t="inlineStr">
        <is>
          <t>A 62140-2022</t>
        </is>
      </c>
      <c r="B670" s="1" t="n">
        <v>44922</v>
      </c>
      <c r="C670" s="1" t="n">
        <v>46037</v>
      </c>
      <c r="D670" t="inlineStr">
        <is>
          <t>SÖDERMANLANDS LÄN</t>
        </is>
      </c>
      <c r="E670" t="inlineStr">
        <is>
          <t>KATRINEHOLM</t>
        </is>
      </c>
      <c r="F670" t="inlineStr">
        <is>
          <t>Övriga Aktiebolag</t>
        </is>
      </c>
      <c r="G670" t="n">
        <v>2.4</v>
      </c>
      <c r="H670" t="n">
        <v>0</v>
      </c>
      <c r="I670" t="n">
        <v>0</v>
      </c>
      <c r="J670" t="n">
        <v>0</v>
      </c>
      <c r="K670" t="n">
        <v>0</v>
      </c>
      <c r="L670" t="n">
        <v>0</v>
      </c>
      <c r="M670" t="n">
        <v>0</v>
      </c>
      <c r="N670" t="n">
        <v>0</v>
      </c>
      <c r="O670" t="n">
        <v>0</v>
      </c>
      <c r="P670" t="n">
        <v>0</v>
      </c>
      <c r="Q670" t="n">
        <v>0</v>
      </c>
      <c r="R670" s="2" t="inlineStr"/>
    </row>
    <row r="671" ht="15" customHeight="1">
      <c r="A671" t="inlineStr">
        <is>
          <t>A 33934-2022</t>
        </is>
      </c>
      <c r="B671" s="1" t="n">
        <v>44790</v>
      </c>
      <c r="C671" s="1" t="n">
        <v>46037</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13171-2024</t>
        </is>
      </c>
      <c r="B672" s="1" t="n">
        <v>45386</v>
      </c>
      <c r="C672" s="1" t="n">
        <v>46037</v>
      </c>
      <c r="D672" t="inlineStr">
        <is>
          <t>SÖDERMANLANDS LÄN</t>
        </is>
      </c>
      <c r="E672" t="inlineStr">
        <is>
          <t>KATRINEHOLM</t>
        </is>
      </c>
      <c r="G672" t="n">
        <v>1</v>
      </c>
      <c r="H672" t="n">
        <v>0</v>
      </c>
      <c r="I672" t="n">
        <v>0</v>
      </c>
      <c r="J672" t="n">
        <v>0</v>
      </c>
      <c r="K672" t="n">
        <v>0</v>
      </c>
      <c r="L672" t="n">
        <v>0</v>
      </c>
      <c r="M672" t="n">
        <v>0</v>
      </c>
      <c r="N672" t="n">
        <v>0</v>
      </c>
      <c r="O672" t="n">
        <v>0</v>
      </c>
      <c r="P672" t="n">
        <v>0</v>
      </c>
      <c r="Q672" t="n">
        <v>0</v>
      </c>
      <c r="R672" s="2" t="inlineStr"/>
    </row>
    <row r="673" ht="15" customHeight="1">
      <c r="A673" t="inlineStr">
        <is>
          <t>A 59384-2022</t>
        </is>
      </c>
      <c r="B673" s="1" t="n">
        <v>44905</v>
      </c>
      <c r="C673" s="1" t="n">
        <v>46037</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13086-2023</t>
        </is>
      </c>
      <c r="B674" s="1" t="n">
        <v>45002.42188657408</v>
      </c>
      <c r="C674" s="1" t="n">
        <v>46037</v>
      </c>
      <c r="D674" t="inlineStr">
        <is>
          <t>SÖDERMANLANDS LÄN</t>
        </is>
      </c>
      <c r="E674" t="inlineStr">
        <is>
          <t>KATRINEHOLM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19670-2022</t>
        </is>
      </c>
      <c r="B675" s="1" t="n">
        <v>44694</v>
      </c>
      <c r="C675" s="1" t="n">
        <v>46037</v>
      </c>
      <c r="D675" t="inlineStr">
        <is>
          <t>SÖDERMANLANDS LÄN</t>
        </is>
      </c>
      <c r="E675" t="inlineStr">
        <is>
          <t>KATRINEHOLM</t>
        </is>
      </c>
      <c r="G675" t="n">
        <v>13.6</v>
      </c>
      <c r="H675" t="n">
        <v>0</v>
      </c>
      <c r="I675" t="n">
        <v>0</v>
      </c>
      <c r="J675" t="n">
        <v>0</v>
      </c>
      <c r="K675" t="n">
        <v>0</v>
      </c>
      <c r="L675" t="n">
        <v>0</v>
      </c>
      <c r="M675" t="n">
        <v>0</v>
      </c>
      <c r="N675" t="n">
        <v>0</v>
      </c>
      <c r="O675" t="n">
        <v>0</v>
      </c>
      <c r="P675" t="n">
        <v>0</v>
      </c>
      <c r="Q675" t="n">
        <v>0</v>
      </c>
      <c r="R675" s="2" t="inlineStr"/>
    </row>
    <row r="676" ht="15" customHeight="1">
      <c r="A676" t="inlineStr">
        <is>
          <t>A 19107-2022</t>
        </is>
      </c>
      <c r="B676" s="1" t="n">
        <v>44691.54077546296</v>
      </c>
      <c r="C676" s="1" t="n">
        <v>46037</v>
      </c>
      <c r="D676" t="inlineStr">
        <is>
          <t>SÖDERMANLANDS LÄN</t>
        </is>
      </c>
      <c r="E676" t="inlineStr">
        <is>
          <t>KATRINEHOLM</t>
        </is>
      </c>
      <c r="G676" t="n">
        <v>1</v>
      </c>
      <c r="H676" t="n">
        <v>0</v>
      </c>
      <c r="I676" t="n">
        <v>0</v>
      </c>
      <c r="J676" t="n">
        <v>0</v>
      </c>
      <c r="K676" t="n">
        <v>0</v>
      </c>
      <c r="L676" t="n">
        <v>0</v>
      </c>
      <c r="M676" t="n">
        <v>0</v>
      </c>
      <c r="N676" t="n">
        <v>0</v>
      </c>
      <c r="O676" t="n">
        <v>0</v>
      </c>
      <c r="P676" t="n">
        <v>0</v>
      </c>
      <c r="Q676" t="n">
        <v>0</v>
      </c>
      <c r="R676" s="2" t="inlineStr"/>
    </row>
    <row r="677" ht="15" customHeight="1">
      <c r="A677" t="inlineStr">
        <is>
          <t>A 30333-2023</t>
        </is>
      </c>
      <c r="B677" s="1" t="n">
        <v>45111</v>
      </c>
      <c r="C677" s="1" t="n">
        <v>46037</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6175-2023</t>
        </is>
      </c>
      <c r="B678" s="1" t="n">
        <v>44964</v>
      </c>
      <c r="C678" s="1" t="n">
        <v>46037</v>
      </c>
      <c r="D678" t="inlineStr">
        <is>
          <t>SÖDERMANLANDS LÄN</t>
        </is>
      </c>
      <c r="E678" t="inlineStr">
        <is>
          <t>KATRINEHOLM</t>
        </is>
      </c>
      <c r="G678" t="n">
        <v>11.2</v>
      </c>
      <c r="H678" t="n">
        <v>0</v>
      </c>
      <c r="I678" t="n">
        <v>0</v>
      </c>
      <c r="J678" t="n">
        <v>0</v>
      </c>
      <c r="K678" t="n">
        <v>0</v>
      </c>
      <c r="L678" t="n">
        <v>0</v>
      </c>
      <c r="M678" t="n">
        <v>0</v>
      </c>
      <c r="N678" t="n">
        <v>0</v>
      </c>
      <c r="O678" t="n">
        <v>0</v>
      </c>
      <c r="P678" t="n">
        <v>0</v>
      </c>
      <c r="Q678" t="n">
        <v>0</v>
      </c>
      <c r="R678" s="2" t="inlineStr"/>
    </row>
    <row r="679" ht="15" customHeight="1">
      <c r="A679" t="inlineStr">
        <is>
          <t>A 11875-2023</t>
        </is>
      </c>
      <c r="B679" s="1" t="n">
        <v>44995</v>
      </c>
      <c r="C679" s="1" t="n">
        <v>46037</v>
      </c>
      <c r="D679" t="inlineStr">
        <is>
          <t>SÖDERMANLANDS LÄN</t>
        </is>
      </c>
      <c r="E679" t="inlineStr">
        <is>
          <t>KATRINEHOLM</t>
        </is>
      </c>
      <c r="F679" t="inlineStr">
        <is>
          <t>Kommuner</t>
        </is>
      </c>
      <c r="G679" t="n">
        <v>1.1</v>
      </c>
      <c r="H679" t="n">
        <v>0</v>
      </c>
      <c r="I679" t="n">
        <v>0</v>
      </c>
      <c r="J679" t="n">
        <v>0</v>
      </c>
      <c r="K679" t="n">
        <v>0</v>
      </c>
      <c r="L679" t="n">
        <v>0</v>
      </c>
      <c r="M679" t="n">
        <v>0</v>
      </c>
      <c r="N679" t="n">
        <v>0</v>
      </c>
      <c r="O679" t="n">
        <v>0</v>
      </c>
      <c r="P679" t="n">
        <v>0</v>
      </c>
      <c r="Q679" t="n">
        <v>0</v>
      </c>
      <c r="R679" s="2" t="inlineStr"/>
    </row>
    <row r="680" ht="15" customHeight="1">
      <c r="A680" t="inlineStr">
        <is>
          <t>A 6796-2022</t>
        </is>
      </c>
      <c r="B680" s="1" t="n">
        <v>44602</v>
      </c>
      <c r="C680" s="1" t="n">
        <v>46037</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13612-2023</t>
        </is>
      </c>
      <c r="B681" s="1" t="n">
        <v>45006</v>
      </c>
      <c r="C681" s="1" t="n">
        <v>46037</v>
      </c>
      <c r="D681" t="inlineStr">
        <is>
          <t>SÖDERMANLANDS LÄN</t>
        </is>
      </c>
      <c r="E681" t="inlineStr">
        <is>
          <t>KATRINEHOLM</t>
        </is>
      </c>
      <c r="G681" t="n">
        <v>2.3</v>
      </c>
      <c r="H681" t="n">
        <v>0</v>
      </c>
      <c r="I681" t="n">
        <v>0</v>
      </c>
      <c r="J681" t="n">
        <v>0</v>
      </c>
      <c r="K681" t="n">
        <v>0</v>
      </c>
      <c r="L681" t="n">
        <v>0</v>
      </c>
      <c r="M681" t="n">
        <v>0</v>
      </c>
      <c r="N681" t="n">
        <v>0</v>
      </c>
      <c r="O681" t="n">
        <v>0</v>
      </c>
      <c r="P681" t="n">
        <v>0</v>
      </c>
      <c r="Q681" t="n">
        <v>0</v>
      </c>
      <c r="R681" s="2" t="inlineStr"/>
    </row>
    <row r="682" ht="15" customHeight="1">
      <c r="A682" t="inlineStr">
        <is>
          <t>A 39068-2022</t>
        </is>
      </c>
      <c r="B682" s="1" t="n">
        <v>44816</v>
      </c>
      <c r="C682" s="1" t="n">
        <v>46037</v>
      </c>
      <c r="D682" t="inlineStr">
        <is>
          <t>SÖDERMANLANDS LÄN</t>
        </is>
      </c>
      <c r="E682" t="inlineStr">
        <is>
          <t>KATRINEHOLM</t>
        </is>
      </c>
      <c r="G682" t="n">
        <v>3.6</v>
      </c>
      <c r="H682" t="n">
        <v>0</v>
      </c>
      <c r="I682" t="n">
        <v>0</v>
      </c>
      <c r="J682" t="n">
        <v>0</v>
      </c>
      <c r="K682" t="n">
        <v>0</v>
      </c>
      <c r="L682" t="n">
        <v>0</v>
      </c>
      <c r="M682" t="n">
        <v>0</v>
      </c>
      <c r="N682" t="n">
        <v>0</v>
      </c>
      <c r="O682" t="n">
        <v>0</v>
      </c>
      <c r="P682" t="n">
        <v>0</v>
      </c>
      <c r="Q682" t="n">
        <v>0</v>
      </c>
      <c r="R682" s="2" t="inlineStr"/>
    </row>
    <row r="683" ht="15" customHeight="1">
      <c r="A683" t="inlineStr">
        <is>
          <t>A 8765-2023</t>
        </is>
      </c>
      <c r="B683" s="1" t="n">
        <v>44978.52131944444</v>
      </c>
      <c r="C683" s="1" t="n">
        <v>46037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57154-2023</t>
        </is>
      </c>
      <c r="B684" s="1" t="n">
        <v>45245</v>
      </c>
      <c r="C684" s="1" t="n">
        <v>46037</v>
      </c>
      <c r="D684" t="inlineStr">
        <is>
          <t>SÖDERMANLANDS LÄN</t>
        </is>
      </c>
      <c r="E684" t="inlineStr">
        <is>
          <t>KATRINEHOLM</t>
        </is>
      </c>
      <c r="F684" t="inlineStr">
        <is>
          <t>Allmännings- och besparingsskogar</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21959-2022</t>
        </is>
      </c>
      <c r="B685" s="1" t="n">
        <v>44708</v>
      </c>
      <c r="C685" s="1" t="n">
        <v>46037</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51530-2023</t>
        </is>
      </c>
      <c r="B686" s="1" t="n">
        <v>45222</v>
      </c>
      <c r="C686" s="1" t="n">
        <v>46037</v>
      </c>
      <c r="D686" t="inlineStr">
        <is>
          <t>SÖDERMANLANDS LÄN</t>
        </is>
      </c>
      <c r="E686" t="inlineStr">
        <is>
          <t>KATRINEHOLM</t>
        </is>
      </c>
      <c r="G686" t="n">
        <v>0.9</v>
      </c>
      <c r="H686" t="n">
        <v>0</v>
      </c>
      <c r="I686" t="n">
        <v>0</v>
      </c>
      <c r="J686" t="n">
        <v>0</v>
      </c>
      <c r="K686" t="n">
        <v>0</v>
      </c>
      <c r="L686" t="n">
        <v>0</v>
      </c>
      <c r="M686" t="n">
        <v>0</v>
      </c>
      <c r="N686" t="n">
        <v>0</v>
      </c>
      <c r="O686" t="n">
        <v>0</v>
      </c>
      <c r="P686" t="n">
        <v>0</v>
      </c>
      <c r="Q686" t="n">
        <v>0</v>
      </c>
      <c r="R686" s="2" t="inlineStr"/>
    </row>
    <row r="687" ht="15" customHeight="1">
      <c r="A687" t="inlineStr">
        <is>
          <t>A 23916-2023</t>
        </is>
      </c>
      <c r="B687" s="1" t="n">
        <v>45075</v>
      </c>
      <c r="C687" s="1" t="n">
        <v>46037</v>
      </c>
      <c r="D687" t="inlineStr">
        <is>
          <t>SÖDERMANLANDS LÄN</t>
        </is>
      </c>
      <c r="E687" t="inlineStr">
        <is>
          <t>KATRINEHOLM</t>
        </is>
      </c>
      <c r="G687" t="n">
        <v>8</v>
      </c>
      <c r="H687" t="n">
        <v>0</v>
      </c>
      <c r="I687" t="n">
        <v>0</v>
      </c>
      <c r="J687" t="n">
        <v>0</v>
      </c>
      <c r="K687" t="n">
        <v>0</v>
      </c>
      <c r="L687" t="n">
        <v>0</v>
      </c>
      <c r="M687" t="n">
        <v>0</v>
      </c>
      <c r="N687" t="n">
        <v>0</v>
      </c>
      <c r="O687" t="n">
        <v>0</v>
      </c>
      <c r="P687" t="n">
        <v>0</v>
      </c>
      <c r="Q687" t="n">
        <v>0</v>
      </c>
      <c r="R687" s="2" t="inlineStr"/>
    </row>
    <row r="688" ht="15" customHeight="1">
      <c r="A688" t="inlineStr">
        <is>
          <t>A 38879-2024</t>
        </is>
      </c>
      <c r="B688" s="1" t="n">
        <v>45547</v>
      </c>
      <c r="C688" s="1" t="n">
        <v>46037</v>
      </c>
      <c r="D688" t="inlineStr">
        <is>
          <t>SÖDERMANLANDS LÄN</t>
        </is>
      </c>
      <c r="E688" t="inlineStr">
        <is>
          <t>KATRINEHOLM</t>
        </is>
      </c>
      <c r="G688" t="n">
        <v>2.6</v>
      </c>
      <c r="H688" t="n">
        <v>0</v>
      </c>
      <c r="I688" t="n">
        <v>0</v>
      </c>
      <c r="J688" t="n">
        <v>0</v>
      </c>
      <c r="K688" t="n">
        <v>0</v>
      </c>
      <c r="L688" t="n">
        <v>0</v>
      </c>
      <c r="M688" t="n">
        <v>0</v>
      </c>
      <c r="N688" t="n">
        <v>0</v>
      </c>
      <c r="O688" t="n">
        <v>0</v>
      </c>
      <c r="P688" t="n">
        <v>0</v>
      </c>
      <c r="Q688" t="n">
        <v>0</v>
      </c>
      <c r="R688" s="2" t="inlineStr"/>
    </row>
    <row r="689" ht="15" customHeight="1">
      <c r="A689" t="inlineStr">
        <is>
          <t>A 9437-2022</t>
        </is>
      </c>
      <c r="B689" s="1" t="n">
        <v>44616.69246527777</v>
      </c>
      <c r="C689" s="1" t="n">
        <v>46037</v>
      </c>
      <c r="D689" t="inlineStr">
        <is>
          <t>SÖDERMANLANDS LÄN</t>
        </is>
      </c>
      <c r="E689" t="inlineStr">
        <is>
          <t>KATRINEHOLM</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25362-2023</t>
        </is>
      </c>
      <c r="B690" s="1" t="n">
        <v>45088.83430555555</v>
      </c>
      <c r="C690" s="1" t="n">
        <v>46037</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4662-2023</t>
        </is>
      </c>
      <c r="B691" s="1" t="n">
        <v>44957</v>
      </c>
      <c r="C691" s="1" t="n">
        <v>46037</v>
      </c>
      <c r="D691" t="inlineStr">
        <is>
          <t>SÖDERMANLANDS LÄN</t>
        </is>
      </c>
      <c r="E691" t="inlineStr">
        <is>
          <t>KATRINEHOLM</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19685-2022</t>
        </is>
      </c>
      <c r="B692" s="1" t="n">
        <v>44694</v>
      </c>
      <c r="C692" s="1" t="n">
        <v>46037</v>
      </c>
      <c r="D692" t="inlineStr">
        <is>
          <t>SÖDERMANLANDS LÄN</t>
        </is>
      </c>
      <c r="E692" t="inlineStr">
        <is>
          <t>KATRINEHOLM</t>
        </is>
      </c>
      <c r="G692" t="n">
        <v>1.7</v>
      </c>
      <c r="H692" t="n">
        <v>0</v>
      </c>
      <c r="I692" t="n">
        <v>0</v>
      </c>
      <c r="J692" t="n">
        <v>0</v>
      </c>
      <c r="K692" t="n">
        <v>0</v>
      </c>
      <c r="L692" t="n">
        <v>0</v>
      </c>
      <c r="M692" t="n">
        <v>0</v>
      </c>
      <c r="N692" t="n">
        <v>0</v>
      </c>
      <c r="O692" t="n">
        <v>0</v>
      </c>
      <c r="P692" t="n">
        <v>0</v>
      </c>
      <c r="Q692" t="n">
        <v>0</v>
      </c>
      <c r="R692" s="2" t="inlineStr"/>
    </row>
    <row r="693" ht="15" customHeight="1">
      <c r="A693" t="inlineStr">
        <is>
          <t>A 62419-2023</t>
        </is>
      </c>
      <c r="B693" s="1" t="n">
        <v>45268</v>
      </c>
      <c r="C693" s="1" t="n">
        <v>46037</v>
      </c>
      <c r="D693" t="inlineStr">
        <is>
          <t>SÖDERMANLANDS LÄN</t>
        </is>
      </c>
      <c r="E693" t="inlineStr">
        <is>
          <t>KATRINEHOLM</t>
        </is>
      </c>
      <c r="G693" t="n">
        <v>9</v>
      </c>
      <c r="H693" t="n">
        <v>0</v>
      </c>
      <c r="I693" t="n">
        <v>0</v>
      </c>
      <c r="J693" t="n">
        <v>0</v>
      </c>
      <c r="K693" t="n">
        <v>0</v>
      </c>
      <c r="L693" t="n">
        <v>0</v>
      </c>
      <c r="M693" t="n">
        <v>0</v>
      </c>
      <c r="N693" t="n">
        <v>0</v>
      </c>
      <c r="O693" t="n">
        <v>0</v>
      </c>
      <c r="P693" t="n">
        <v>0</v>
      </c>
      <c r="Q693" t="n">
        <v>0</v>
      </c>
      <c r="R693" s="2" t="inlineStr"/>
    </row>
    <row r="694" ht="15" customHeight="1">
      <c r="A694" t="inlineStr">
        <is>
          <t>A 39897-2023</t>
        </is>
      </c>
      <c r="B694" s="1" t="n">
        <v>45168</v>
      </c>
      <c r="C694" s="1" t="n">
        <v>46037</v>
      </c>
      <c r="D694" t="inlineStr">
        <is>
          <t>SÖDERMANLANDS LÄN</t>
        </is>
      </c>
      <c r="E694" t="inlineStr">
        <is>
          <t>KATRINEHOLM</t>
        </is>
      </c>
      <c r="G694" t="n">
        <v>15.6</v>
      </c>
      <c r="H694" t="n">
        <v>0</v>
      </c>
      <c r="I694" t="n">
        <v>0</v>
      </c>
      <c r="J694" t="n">
        <v>0</v>
      </c>
      <c r="K694" t="n">
        <v>0</v>
      </c>
      <c r="L694" t="n">
        <v>0</v>
      </c>
      <c r="M694" t="n">
        <v>0</v>
      </c>
      <c r="N694" t="n">
        <v>0</v>
      </c>
      <c r="O694" t="n">
        <v>0</v>
      </c>
      <c r="P694" t="n">
        <v>0</v>
      </c>
      <c r="Q694" t="n">
        <v>0</v>
      </c>
      <c r="R694" s="2" t="inlineStr"/>
    </row>
    <row r="695" ht="15" customHeight="1">
      <c r="A695" t="inlineStr">
        <is>
          <t>A 23207-2023</t>
        </is>
      </c>
      <c r="B695" s="1" t="n">
        <v>45071</v>
      </c>
      <c r="C695" s="1" t="n">
        <v>46037</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44830.47399305556</v>
      </c>
      <c r="C696" s="1" t="n">
        <v>46037</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8791-2023</t>
        </is>
      </c>
      <c r="B697" s="1" t="n">
        <v>44978</v>
      </c>
      <c r="C697" s="1" t="n">
        <v>46037</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48253-2022</t>
        </is>
      </c>
      <c r="B698" s="1" t="n">
        <v>44858</v>
      </c>
      <c r="C698" s="1" t="n">
        <v>46037</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53809-2021</t>
        </is>
      </c>
      <c r="B699" s="1" t="n">
        <v>44467</v>
      </c>
      <c r="C699" s="1" t="n">
        <v>46037</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31719-2024</t>
        </is>
      </c>
      <c r="B700" s="1" t="n">
        <v>45509</v>
      </c>
      <c r="C700" s="1" t="n">
        <v>46037</v>
      </c>
      <c r="D700" t="inlineStr">
        <is>
          <t>SÖDERMANLANDS LÄN</t>
        </is>
      </c>
      <c r="E700" t="inlineStr">
        <is>
          <t>KATRINEHOLM</t>
        </is>
      </c>
      <c r="F700" t="inlineStr">
        <is>
          <t>Kyrkan</t>
        </is>
      </c>
      <c r="G700" t="n">
        <v>11.9</v>
      </c>
      <c r="H700" t="n">
        <v>0</v>
      </c>
      <c r="I700" t="n">
        <v>0</v>
      </c>
      <c r="J700" t="n">
        <v>0</v>
      </c>
      <c r="K700" t="n">
        <v>0</v>
      </c>
      <c r="L700" t="n">
        <v>0</v>
      </c>
      <c r="M700" t="n">
        <v>0</v>
      </c>
      <c r="N700" t="n">
        <v>0</v>
      </c>
      <c r="O700" t="n">
        <v>0</v>
      </c>
      <c r="P700" t="n">
        <v>0</v>
      </c>
      <c r="Q700" t="n">
        <v>0</v>
      </c>
      <c r="R700" s="2" t="inlineStr"/>
    </row>
    <row r="701" ht="15" customHeight="1">
      <c r="A701" t="inlineStr">
        <is>
          <t>A 13175-2024</t>
        </is>
      </c>
      <c r="B701" s="1" t="n">
        <v>45386</v>
      </c>
      <c r="C701" s="1" t="n">
        <v>46037</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40744-2022</t>
        </is>
      </c>
      <c r="B702" s="1" t="n">
        <v>44824.55655092592</v>
      </c>
      <c r="C702" s="1" t="n">
        <v>46037</v>
      </c>
      <c r="D702" t="inlineStr">
        <is>
          <t>SÖDERMANLANDS LÄN</t>
        </is>
      </c>
      <c r="E702" t="inlineStr">
        <is>
          <t>KATRINEHOLM</t>
        </is>
      </c>
      <c r="G702" t="n">
        <v>3.7</v>
      </c>
      <c r="H702" t="n">
        <v>0</v>
      </c>
      <c r="I702" t="n">
        <v>0</v>
      </c>
      <c r="J702" t="n">
        <v>0</v>
      </c>
      <c r="K702" t="n">
        <v>0</v>
      </c>
      <c r="L702" t="n">
        <v>0</v>
      </c>
      <c r="M702" t="n">
        <v>0</v>
      </c>
      <c r="N702" t="n">
        <v>0</v>
      </c>
      <c r="O702" t="n">
        <v>0</v>
      </c>
      <c r="P702" t="n">
        <v>0</v>
      </c>
      <c r="Q702" t="n">
        <v>0</v>
      </c>
      <c r="R702" s="2" t="inlineStr"/>
    </row>
    <row r="703" ht="15" customHeight="1">
      <c r="A703" t="inlineStr">
        <is>
          <t>A 8761-2023</t>
        </is>
      </c>
      <c r="B703" s="1" t="n">
        <v>44978.49685185185</v>
      </c>
      <c r="C703" s="1" t="n">
        <v>46037</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8778-2023</t>
        </is>
      </c>
      <c r="B704" s="1" t="n">
        <v>44978.5737037037</v>
      </c>
      <c r="C704" s="1" t="n">
        <v>46037</v>
      </c>
      <c r="D704" t="inlineStr">
        <is>
          <t>SÖDERMANLANDS LÄN</t>
        </is>
      </c>
      <c r="E704" t="inlineStr">
        <is>
          <t>KATRINEHOLM</t>
        </is>
      </c>
      <c r="G704" t="n">
        <v>4.5</v>
      </c>
      <c r="H704" t="n">
        <v>0</v>
      </c>
      <c r="I704" t="n">
        <v>0</v>
      </c>
      <c r="J704" t="n">
        <v>0</v>
      </c>
      <c r="K704" t="n">
        <v>0</v>
      </c>
      <c r="L704" t="n">
        <v>0</v>
      </c>
      <c r="M704" t="n">
        <v>0</v>
      </c>
      <c r="N704" t="n">
        <v>0</v>
      </c>
      <c r="O704" t="n">
        <v>0</v>
      </c>
      <c r="P704" t="n">
        <v>0</v>
      </c>
      <c r="Q704" t="n">
        <v>0</v>
      </c>
      <c r="R704" s="2" t="inlineStr"/>
    </row>
    <row r="705" ht="15" customHeight="1">
      <c r="A705" t="inlineStr">
        <is>
          <t>A 8457-2023</t>
        </is>
      </c>
      <c r="B705" s="1" t="n">
        <v>44977</v>
      </c>
      <c r="C705" s="1" t="n">
        <v>46037</v>
      </c>
      <c r="D705" t="inlineStr">
        <is>
          <t>SÖDERMANLANDS LÄN</t>
        </is>
      </c>
      <c r="E705" t="inlineStr">
        <is>
          <t>KATRINEHOLM</t>
        </is>
      </c>
      <c r="F705" t="inlineStr">
        <is>
          <t>Allmännings- och besparingsskogar</t>
        </is>
      </c>
      <c r="G705" t="n">
        <v>16.1</v>
      </c>
      <c r="H705" t="n">
        <v>0</v>
      </c>
      <c r="I705" t="n">
        <v>0</v>
      </c>
      <c r="J705" t="n">
        <v>0</v>
      </c>
      <c r="K705" t="n">
        <v>0</v>
      </c>
      <c r="L705" t="n">
        <v>0</v>
      </c>
      <c r="M705" t="n">
        <v>0</v>
      </c>
      <c r="N705" t="n">
        <v>0</v>
      </c>
      <c r="O705" t="n">
        <v>0</v>
      </c>
      <c r="P705" t="n">
        <v>0</v>
      </c>
      <c r="Q705" t="n">
        <v>0</v>
      </c>
      <c r="R705" s="2" t="inlineStr"/>
    </row>
    <row r="706" ht="15" customHeight="1">
      <c r="A706" t="inlineStr">
        <is>
          <t>A 7056-2022</t>
        </is>
      </c>
      <c r="B706" s="1" t="n">
        <v>44603</v>
      </c>
      <c r="C706" s="1" t="n">
        <v>46037</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32786-2022</t>
        </is>
      </c>
      <c r="B707" s="1" t="n">
        <v>44784</v>
      </c>
      <c r="C707" s="1" t="n">
        <v>46037</v>
      </c>
      <c r="D707" t="inlineStr">
        <is>
          <t>SÖDERMANLANDS LÄN</t>
        </is>
      </c>
      <c r="E707" t="inlineStr">
        <is>
          <t>KATRINEHOLM</t>
        </is>
      </c>
      <c r="G707" t="n">
        <v>7</v>
      </c>
      <c r="H707" t="n">
        <v>0</v>
      </c>
      <c r="I707" t="n">
        <v>0</v>
      </c>
      <c r="J707" t="n">
        <v>0</v>
      </c>
      <c r="K707" t="n">
        <v>0</v>
      </c>
      <c r="L707" t="n">
        <v>0</v>
      </c>
      <c r="M707" t="n">
        <v>0</v>
      </c>
      <c r="N707" t="n">
        <v>0</v>
      </c>
      <c r="O707" t="n">
        <v>0</v>
      </c>
      <c r="P707" t="n">
        <v>0</v>
      </c>
      <c r="Q707" t="n">
        <v>0</v>
      </c>
      <c r="R707" s="2" t="inlineStr"/>
    </row>
    <row r="708" ht="15" customHeight="1">
      <c r="A708" t="inlineStr">
        <is>
          <t>A 7223-2022</t>
        </is>
      </c>
      <c r="B708" s="1" t="n">
        <v>44603</v>
      </c>
      <c r="C708" s="1" t="n">
        <v>46037</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7459-2022</t>
        </is>
      </c>
      <c r="B709" s="1" t="n">
        <v>44607.35009259259</v>
      </c>
      <c r="C709" s="1" t="n">
        <v>46037</v>
      </c>
      <c r="D709" t="inlineStr">
        <is>
          <t>SÖDERMANLANDS LÄN</t>
        </is>
      </c>
      <c r="E709" t="inlineStr">
        <is>
          <t>KATRINEHOLM</t>
        </is>
      </c>
      <c r="G709" t="n">
        <v>2</v>
      </c>
      <c r="H709" t="n">
        <v>0</v>
      </c>
      <c r="I709" t="n">
        <v>0</v>
      </c>
      <c r="J709" t="n">
        <v>0</v>
      </c>
      <c r="K709" t="n">
        <v>0</v>
      </c>
      <c r="L709" t="n">
        <v>0</v>
      </c>
      <c r="M709" t="n">
        <v>0</v>
      </c>
      <c r="N709" t="n">
        <v>0</v>
      </c>
      <c r="O709" t="n">
        <v>0</v>
      </c>
      <c r="P709" t="n">
        <v>0</v>
      </c>
      <c r="Q709" t="n">
        <v>0</v>
      </c>
      <c r="R709" s="2" t="inlineStr"/>
    </row>
    <row r="710" ht="15" customHeight="1">
      <c r="A710" t="inlineStr">
        <is>
          <t>A 27375-2024</t>
        </is>
      </c>
      <c r="B710" s="1" t="n">
        <v>45473.87645833333</v>
      </c>
      <c r="C710" s="1" t="n">
        <v>46037</v>
      </c>
      <c r="D710" t="inlineStr">
        <is>
          <t>SÖDERMANLANDS LÄN</t>
        </is>
      </c>
      <c r="E710" t="inlineStr">
        <is>
          <t>KATRINEHOLM</t>
        </is>
      </c>
      <c r="F710" t="inlineStr">
        <is>
          <t>Kommuner</t>
        </is>
      </c>
      <c r="G710" t="n">
        <v>1.9</v>
      </c>
      <c r="H710" t="n">
        <v>0</v>
      </c>
      <c r="I710" t="n">
        <v>0</v>
      </c>
      <c r="J710" t="n">
        <v>0</v>
      </c>
      <c r="K710" t="n">
        <v>0</v>
      </c>
      <c r="L710" t="n">
        <v>0</v>
      </c>
      <c r="M710" t="n">
        <v>0</v>
      </c>
      <c r="N710" t="n">
        <v>0</v>
      </c>
      <c r="O710" t="n">
        <v>0</v>
      </c>
      <c r="P710" t="n">
        <v>0</v>
      </c>
      <c r="Q710" t="n">
        <v>0</v>
      </c>
      <c r="R710" s="2" t="inlineStr"/>
    </row>
    <row r="711" ht="15" customHeight="1">
      <c r="A711" t="inlineStr">
        <is>
          <t>A 20768-2022</t>
        </is>
      </c>
      <c r="B711" s="1" t="n">
        <v>44701.36431712963</v>
      </c>
      <c r="C711" s="1" t="n">
        <v>46037</v>
      </c>
      <c r="D711" t="inlineStr">
        <is>
          <t>SÖDERMANLANDS LÄN</t>
        </is>
      </c>
      <c r="E711" t="inlineStr">
        <is>
          <t>KATRINEHOLM</t>
        </is>
      </c>
      <c r="G711" t="n">
        <v>3.5</v>
      </c>
      <c r="H711" t="n">
        <v>0</v>
      </c>
      <c r="I711" t="n">
        <v>0</v>
      </c>
      <c r="J711" t="n">
        <v>0</v>
      </c>
      <c r="K711" t="n">
        <v>0</v>
      </c>
      <c r="L711" t="n">
        <v>0</v>
      </c>
      <c r="M711" t="n">
        <v>0</v>
      </c>
      <c r="N711" t="n">
        <v>0</v>
      </c>
      <c r="O711" t="n">
        <v>0</v>
      </c>
      <c r="P711" t="n">
        <v>0</v>
      </c>
      <c r="Q711" t="n">
        <v>0</v>
      </c>
      <c r="R711" s="2" t="inlineStr"/>
    </row>
    <row r="712" ht="15" customHeight="1">
      <c r="A712" t="inlineStr">
        <is>
          <t>A 15284-2023</t>
        </is>
      </c>
      <c r="B712" s="1" t="n">
        <v>45019</v>
      </c>
      <c r="C712" s="1" t="n">
        <v>46037</v>
      </c>
      <c r="D712" t="inlineStr">
        <is>
          <t>SÖDERMANLANDS LÄN</t>
        </is>
      </c>
      <c r="E712" t="inlineStr">
        <is>
          <t>KATRINEHOLM</t>
        </is>
      </c>
      <c r="F712" t="inlineStr">
        <is>
          <t>Allmännings- och besparingsskogar</t>
        </is>
      </c>
      <c r="G712" t="n">
        <v>17.4</v>
      </c>
      <c r="H712" t="n">
        <v>0</v>
      </c>
      <c r="I712" t="n">
        <v>0</v>
      </c>
      <c r="J712" t="n">
        <v>0</v>
      </c>
      <c r="K712" t="n">
        <v>0</v>
      </c>
      <c r="L712" t="n">
        <v>0</v>
      </c>
      <c r="M712" t="n">
        <v>0</v>
      </c>
      <c r="N712" t="n">
        <v>0</v>
      </c>
      <c r="O712" t="n">
        <v>0</v>
      </c>
      <c r="P712" t="n">
        <v>0</v>
      </c>
      <c r="Q712" t="n">
        <v>0</v>
      </c>
      <c r="R712" s="2" t="inlineStr"/>
    </row>
    <row r="713" ht="15" customHeight="1">
      <c r="A713" t="inlineStr">
        <is>
          <t>A 51613-2022</t>
        </is>
      </c>
      <c r="B713" s="1" t="n">
        <v>44871</v>
      </c>
      <c r="C713" s="1" t="n">
        <v>46037</v>
      </c>
      <c r="D713" t="inlineStr">
        <is>
          <t>SÖDERMANLANDS LÄN</t>
        </is>
      </c>
      <c r="E713" t="inlineStr">
        <is>
          <t>KATRINEHOLM</t>
        </is>
      </c>
      <c r="G713" t="n">
        <v>3</v>
      </c>
      <c r="H713" t="n">
        <v>0</v>
      </c>
      <c r="I713" t="n">
        <v>0</v>
      </c>
      <c r="J713" t="n">
        <v>0</v>
      </c>
      <c r="K713" t="n">
        <v>0</v>
      </c>
      <c r="L713" t="n">
        <v>0</v>
      </c>
      <c r="M713" t="n">
        <v>0</v>
      </c>
      <c r="N713" t="n">
        <v>0</v>
      </c>
      <c r="O713" t="n">
        <v>0</v>
      </c>
      <c r="P713" t="n">
        <v>0</v>
      </c>
      <c r="Q713" t="n">
        <v>0</v>
      </c>
      <c r="R713" s="2" t="inlineStr"/>
    </row>
    <row r="714" ht="15" customHeight="1">
      <c r="A714" t="inlineStr">
        <is>
          <t>A 37834-2023</t>
        </is>
      </c>
      <c r="B714" s="1" t="n">
        <v>45160</v>
      </c>
      <c r="C714" s="1" t="n">
        <v>46037</v>
      </c>
      <c r="D714" t="inlineStr">
        <is>
          <t>SÖDERMANLANDS LÄN</t>
        </is>
      </c>
      <c r="E714" t="inlineStr">
        <is>
          <t>KATRINEHOLM</t>
        </is>
      </c>
      <c r="F714" t="inlineStr">
        <is>
          <t>Kyrkan</t>
        </is>
      </c>
      <c r="G714" t="n">
        <v>2.8</v>
      </c>
      <c r="H714" t="n">
        <v>0</v>
      </c>
      <c r="I714" t="n">
        <v>0</v>
      </c>
      <c r="J714" t="n">
        <v>0</v>
      </c>
      <c r="K714" t="n">
        <v>0</v>
      </c>
      <c r="L714" t="n">
        <v>0</v>
      </c>
      <c r="M714" t="n">
        <v>0</v>
      </c>
      <c r="N714" t="n">
        <v>0</v>
      </c>
      <c r="O714" t="n">
        <v>0</v>
      </c>
      <c r="P714" t="n">
        <v>0</v>
      </c>
      <c r="Q714" t="n">
        <v>0</v>
      </c>
      <c r="R714" s="2" t="inlineStr"/>
    </row>
    <row r="715" ht="15" customHeight="1">
      <c r="A715" t="inlineStr">
        <is>
          <t>A 8475-2023</t>
        </is>
      </c>
      <c r="B715" s="1" t="n">
        <v>44977</v>
      </c>
      <c r="C715" s="1" t="n">
        <v>46037</v>
      </c>
      <c r="D715" t="inlineStr">
        <is>
          <t>SÖDERMANLANDS LÄN</t>
        </is>
      </c>
      <c r="E715" t="inlineStr">
        <is>
          <t>KATRINEHOLM</t>
        </is>
      </c>
      <c r="F715" t="inlineStr">
        <is>
          <t>Allmännings- och besparingsskogar</t>
        </is>
      </c>
      <c r="G715" t="n">
        <v>8.1</v>
      </c>
      <c r="H715" t="n">
        <v>0</v>
      </c>
      <c r="I715" t="n">
        <v>0</v>
      </c>
      <c r="J715" t="n">
        <v>0</v>
      </c>
      <c r="K715" t="n">
        <v>0</v>
      </c>
      <c r="L715" t="n">
        <v>0</v>
      </c>
      <c r="M715" t="n">
        <v>0</v>
      </c>
      <c r="N715" t="n">
        <v>0</v>
      </c>
      <c r="O715" t="n">
        <v>0</v>
      </c>
      <c r="P715" t="n">
        <v>0</v>
      </c>
      <c r="Q715" t="n">
        <v>0</v>
      </c>
      <c r="R715" s="2" t="inlineStr"/>
    </row>
    <row r="716" ht="15" customHeight="1">
      <c r="A716" t="inlineStr">
        <is>
          <t>A 32890-2024</t>
        </is>
      </c>
      <c r="B716" s="1" t="n">
        <v>45516</v>
      </c>
      <c r="C716" s="1" t="n">
        <v>46037</v>
      </c>
      <c r="D716" t="inlineStr">
        <is>
          <t>SÖDERMANLANDS LÄN</t>
        </is>
      </c>
      <c r="E716" t="inlineStr">
        <is>
          <t>KATRINEHOLM</t>
        </is>
      </c>
      <c r="G716" t="n">
        <v>2.6</v>
      </c>
      <c r="H716" t="n">
        <v>0</v>
      </c>
      <c r="I716" t="n">
        <v>0</v>
      </c>
      <c r="J716" t="n">
        <v>0</v>
      </c>
      <c r="K716" t="n">
        <v>0</v>
      </c>
      <c r="L716" t="n">
        <v>0</v>
      </c>
      <c r="M716" t="n">
        <v>0</v>
      </c>
      <c r="N716" t="n">
        <v>0</v>
      </c>
      <c r="O716" t="n">
        <v>0</v>
      </c>
      <c r="P716" t="n">
        <v>0</v>
      </c>
      <c r="Q716" t="n">
        <v>0</v>
      </c>
      <c r="R716" s="2" t="inlineStr"/>
    </row>
    <row r="717" ht="15" customHeight="1">
      <c r="A717" t="inlineStr">
        <is>
          <t>A 2320-2023</t>
        </is>
      </c>
      <c r="B717" s="1" t="n">
        <v>44942.58850694444</v>
      </c>
      <c r="C717" s="1" t="n">
        <v>46037</v>
      </c>
      <c r="D717" t="inlineStr">
        <is>
          <t>SÖDERMANLANDS LÄN</t>
        </is>
      </c>
      <c r="E717" t="inlineStr">
        <is>
          <t>KATRINEHOLM</t>
        </is>
      </c>
      <c r="G717" t="n">
        <v>1.9</v>
      </c>
      <c r="H717" t="n">
        <v>0</v>
      </c>
      <c r="I717" t="n">
        <v>0</v>
      </c>
      <c r="J717" t="n">
        <v>0</v>
      </c>
      <c r="K717" t="n">
        <v>0</v>
      </c>
      <c r="L717" t="n">
        <v>0</v>
      </c>
      <c r="M717" t="n">
        <v>0</v>
      </c>
      <c r="N717" t="n">
        <v>0</v>
      </c>
      <c r="O717" t="n">
        <v>0</v>
      </c>
      <c r="P717" t="n">
        <v>0</v>
      </c>
      <c r="Q717" t="n">
        <v>0</v>
      </c>
      <c r="R717" s="2" t="inlineStr"/>
    </row>
    <row r="718" ht="15" customHeight="1">
      <c r="A718" t="inlineStr">
        <is>
          <t>A 59898-2022</t>
        </is>
      </c>
      <c r="B718" s="1" t="n">
        <v>44908</v>
      </c>
      <c r="C718" s="1" t="n">
        <v>46037</v>
      </c>
      <c r="D718" t="inlineStr">
        <is>
          <t>SÖDERMANLANDS LÄN</t>
        </is>
      </c>
      <c r="E718" t="inlineStr">
        <is>
          <t>KATRINEHOLM</t>
        </is>
      </c>
      <c r="G718" t="n">
        <v>4.8</v>
      </c>
      <c r="H718" t="n">
        <v>0</v>
      </c>
      <c r="I718" t="n">
        <v>0</v>
      </c>
      <c r="J718" t="n">
        <v>0</v>
      </c>
      <c r="K718" t="n">
        <v>0</v>
      </c>
      <c r="L718" t="n">
        <v>0</v>
      </c>
      <c r="M718" t="n">
        <v>0</v>
      </c>
      <c r="N718" t="n">
        <v>0</v>
      </c>
      <c r="O718" t="n">
        <v>0</v>
      </c>
      <c r="P718" t="n">
        <v>0</v>
      </c>
      <c r="Q718" t="n">
        <v>0</v>
      </c>
      <c r="R718" s="2" t="inlineStr"/>
    </row>
    <row r="719" ht="15" customHeight="1">
      <c r="A719" t="inlineStr">
        <is>
          <t>A 20326-2023</t>
        </is>
      </c>
      <c r="B719" s="1" t="n">
        <v>45056.46821759259</v>
      </c>
      <c r="C719" s="1" t="n">
        <v>46037</v>
      </c>
      <c r="D719" t="inlineStr">
        <is>
          <t>SÖDERMANLANDS LÄN</t>
        </is>
      </c>
      <c r="E719" t="inlineStr">
        <is>
          <t>KATRINEHOLM</t>
        </is>
      </c>
      <c r="G719" t="n">
        <v>0.9</v>
      </c>
      <c r="H719" t="n">
        <v>0</v>
      </c>
      <c r="I719" t="n">
        <v>0</v>
      </c>
      <c r="J719" t="n">
        <v>0</v>
      </c>
      <c r="K719" t="n">
        <v>0</v>
      </c>
      <c r="L719" t="n">
        <v>0</v>
      </c>
      <c r="M719" t="n">
        <v>0</v>
      </c>
      <c r="N719" t="n">
        <v>0</v>
      </c>
      <c r="O719" t="n">
        <v>0</v>
      </c>
      <c r="P719" t="n">
        <v>0</v>
      </c>
      <c r="Q719" t="n">
        <v>0</v>
      </c>
      <c r="R719" s="2" t="inlineStr"/>
    </row>
    <row r="720" ht="15" customHeight="1">
      <c r="A720" t="inlineStr">
        <is>
          <t>A 15392-2023</t>
        </is>
      </c>
      <c r="B720" s="1" t="n">
        <v>45016</v>
      </c>
      <c r="C720" s="1" t="n">
        <v>46037</v>
      </c>
      <c r="D720" t="inlineStr">
        <is>
          <t>SÖDERMANLANDS LÄN</t>
        </is>
      </c>
      <c r="E720" t="inlineStr">
        <is>
          <t>KATRINEHOLM</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45246-2023</t>
        </is>
      </c>
      <c r="B721" s="1" t="n">
        <v>45191</v>
      </c>
      <c r="C721" s="1" t="n">
        <v>46037</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2735-2025</t>
        </is>
      </c>
      <c r="B722" s="1" t="n">
        <v>45677</v>
      </c>
      <c r="C722" s="1" t="n">
        <v>46037</v>
      </c>
      <c r="D722" t="inlineStr">
        <is>
          <t>SÖDERMANLANDS LÄN</t>
        </is>
      </c>
      <c r="E722" t="inlineStr">
        <is>
          <t>KATRINEHOLM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49914-2023</t>
        </is>
      </c>
      <c r="B723" s="1" t="n">
        <v>45214</v>
      </c>
      <c r="C723" s="1" t="n">
        <v>46037</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17335-2023</t>
        </is>
      </c>
      <c r="B724" s="1" t="n">
        <v>45033</v>
      </c>
      <c r="C724" s="1" t="n">
        <v>46037</v>
      </c>
      <c r="D724" t="inlineStr">
        <is>
          <t>SÖDERMANLANDS LÄN</t>
        </is>
      </c>
      <c r="E724" t="inlineStr">
        <is>
          <t>KATRINEHOLM</t>
        </is>
      </c>
      <c r="G724" t="n">
        <v>3.3</v>
      </c>
      <c r="H724" t="n">
        <v>0</v>
      </c>
      <c r="I724" t="n">
        <v>0</v>
      </c>
      <c r="J724" t="n">
        <v>0</v>
      </c>
      <c r="K724" t="n">
        <v>0</v>
      </c>
      <c r="L724" t="n">
        <v>0</v>
      </c>
      <c r="M724" t="n">
        <v>0</v>
      </c>
      <c r="N724" t="n">
        <v>0</v>
      </c>
      <c r="O724" t="n">
        <v>0</v>
      </c>
      <c r="P724" t="n">
        <v>0</v>
      </c>
      <c r="Q724" t="n">
        <v>0</v>
      </c>
      <c r="R724" s="2" t="inlineStr"/>
    </row>
    <row r="725" ht="15" customHeight="1">
      <c r="A725" t="inlineStr">
        <is>
          <t>A 16605-2025</t>
        </is>
      </c>
      <c r="B725" s="1" t="n">
        <v>45753.61614583333</v>
      </c>
      <c r="C725" s="1" t="n">
        <v>46037</v>
      </c>
      <c r="D725" t="inlineStr">
        <is>
          <t>SÖDERMANLANDS LÄN</t>
        </is>
      </c>
      <c r="E725" t="inlineStr">
        <is>
          <t>KATRINEHOLM</t>
        </is>
      </c>
      <c r="G725" t="n">
        <v>5.2</v>
      </c>
      <c r="H725" t="n">
        <v>0</v>
      </c>
      <c r="I725" t="n">
        <v>0</v>
      </c>
      <c r="J725" t="n">
        <v>0</v>
      </c>
      <c r="K725" t="n">
        <v>0</v>
      </c>
      <c r="L725" t="n">
        <v>0</v>
      </c>
      <c r="M725" t="n">
        <v>0</v>
      </c>
      <c r="N725" t="n">
        <v>0</v>
      </c>
      <c r="O725" t="n">
        <v>0</v>
      </c>
      <c r="P725" t="n">
        <v>0</v>
      </c>
      <c r="Q725" t="n">
        <v>0</v>
      </c>
      <c r="R725" s="2" t="inlineStr"/>
    </row>
    <row r="726" ht="15" customHeight="1">
      <c r="A726" t="inlineStr">
        <is>
          <t>A 33141-2023</t>
        </is>
      </c>
      <c r="B726" s="1" t="n">
        <v>45126.65491898148</v>
      </c>
      <c r="C726" s="1" t="n">
        <v>46037</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58528-2024</t>
        </is>
      </c>
      <c r="B727" s="1" t="n">
        <v>45635.44527777778</v>
      </c>
      <c r="C727" s="1" t="n">
        <v>46037</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9899-2023</t>
        </is>
      </c>
      <c r="B728" s="1" t="n">
        <v>44985</v>
      </c>
      <c r="C728" s="1" t="n">
        <v>46037</v>
      </c>
      <c r="D728" t="inlineStr">
        <is>
          <t>SÖDERMANLANDS LÄN</t>
        </is>
      </c>
      <c r="E728" t="inlineStr">
        <is>
          <t>KATRINEHOLM</t>
        </is>
      </c>
      <c r="F728" t="inlineStr">
        <is>
          <t>Allmännings- och besparingsskogar</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8288-2023</t>
        </is>
      </c>
      <c r="B729" s="1" t="n">
        <v>44974</v>
      </c>
      <c r="C729" s="1" t="n">
        <v>46037</v>
      </c>
      <c r="D729" t="inlineStr">
        <is>
          <t>SÖDERMANLANDS LÄN</t>
        </is>
      </c>
      <c r="E729" t="inlineStr">
        <is>
          <t>KATRINEHOLM</t>
        </is>
      </c>
      <c r="F729" t="inlineStr">
        <is>
          <t>Allmännings- och besparingsskogar</t>
        </is>
      </c>
      <c r="G729" t="n">
        <v>5.6</v>
      </c>
      <c r="H729" t="n">
        <v>0</v>
      </c>
      <c r="I729" t="n">
        <v>0</v>
      </c>
      <c r="J729" t="n">
        <v>0</v>
      </c>
      <c r="K729" t="n">
        <v>0</v>
      </c>
      <c r="L729" t="n">
        <v>0</v>
      </c>
      <c r="M729" t="n">
        <v>0</v>
      </c>
      <c r="N729" t="n">
        <v>0</v>
      </c>
      <c r="O729" t="n">
        <v>0</v>
      </c>
      <c r="P729" t="n">
        <v>0</v>
      </c>
      <c r="Q729" t="n">
        <v>0</v>
      </c>
      <c r="R729" s="2" t="inlineStr"/>
    </row>
    <row r="730" ht="15" customHeight="1">
      <c r="A730" t="inlineStr">
        <is>
          <t>A 3317-2023</t>
        </is>
      </c>
      <c r="B730" s="1" t="n">
        <v>44945</v>
      </c>
      <c r="C730" s="1" t="n">
        <v>46037</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37185-2023</t>
        </is>
      </c>
      <c r="B731" s="1" t="n">
        <v>45154</v>
      </c>
      <c r="C731" s="1" t="n">
        <v>46037</v>
      </c>
      <c r="D731" t="inlineStr">
        <is>
          <t>SÖDERMANLANDS LÄN</t>
        </is>
      </c>
      <c r="E731" t="inlineStr">
        <is>
          <t>KATRINEHOLM</t>
        </is>
      </c>
      <c r="G731" t="n">
        <v>3</v>
      </c>
      <c r="H731" t="n">
        <v>0</v>
      </c>
      <c r="I731" t="n">
        <v>0</v>
      </c>
      <c r="J731" t="n">
        <v>0</v>
      </c>
      <c r="K731" t="n">
        <v>0</v>
      </c>
      <c r="L731" t="n">
        <v>0</v>
      </c>
      <c r="M731" t="n">
        <v>0</v>
      </c>
      <c r="N731" t="n">
        <v>0</v>
      </c>
      <c r="O731" t="n">
        <v>0</v>
      </c>
      <c r="P731" t="n">
        <v>0</v>
      </c>
      <c r="Q731" t="n">
        <v>0</v>
      </c>
      <c r="R731" s="2" t="inlineStr"/>
    </row>
    <row r="732" ht="15" customHeight="1">
      <c r="A732" t="inlineStr">
        <is>
          <t>A 51848-2022</t>
        </is>
      </c>
      <c r="B732" s="1" t="n">
        <v>44872.57752314815</v>
      </c>
      <c r="C732" s="1" t="n">
        <v>46037</v>
      </c>
      <c r="D732" t="inlineStr">
        <is>
          <t>SÖDERMANLANDS LÄN</t>
        </is>
      </c>
      <c r="E732" t="inlineStr">
        <is>
          <t>KATRINEHOLM</t>
        </is>
      </c>
      <c r="G732" t="n">
        <v>1.8</v>
      </c>
      <c r="H732" t="n">
        <v>0</v>
      </c>
      <c r="I732" t="n">
        <v>0</v>
      </c>
      <c r="J732" t="n">
        <v>0</v>
      </c>
      <c r="K732" t="n">
        <v>0</v>
      </c>
      <c r="L732" t="n">
        <v>0</v>
      </c>
      <c r="M732" t="n">
        <v>0</v>
      </c>
      <c r="N732" t="n">
        <v>0</v>
      </c>
      <c r="O732" t="n">
        <v>0</v>
      </c>
      <c r="P732" t="n">
        <v>0</v>
      </c>
      <c r="Q732" t="n">
        <v>0</v>
      </c>
      <c r="R732" s="2" t="inlineStr"/>
    </row>
    <row r="733" ht="15" customHeight="1">
      <c r="A733" t="inlineStr">
        <is>
          <t>A 49218-2023</t>
        </is>
      </c>
      <c r="B733" s="1" t="n">
        <v>45205</v>
      </c>
      <c r="C733" s="1" t="n">
        <v>46037</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55169-2022</t>
        </is>
      </c>
      <c r="B734" s="1" t="n">
        <v>44886</v>
      </c>
      <c r="C734" s="1" t="n">
        <v>46037</v>
      </c>
      <c r="D734" t="inlineStr">
        <is>
          <t>SÖDERMANLANDS LÄN</t>
        </is>
      </c>
      <c r="E734" t="inlineStr">
        <is>
          <t>KATRINEHOLM</t>
        </is>
      </c>
      <c r="G734" t="n">
        <v>1.3</v>
      </c>
      <c r="H734" t="n">
        <v>0</v>
      </c>
      <c r="I734" t="n">
        <v>0</v>
      </c>
      <c r="J734" t="n">
        <v>0</v>
      </c>
      <c r="K734" t="n">
        <v>0</v>
      </c>
      <c r="L734" t="n">
        <v>0</v>
      </c>
      <c r="M734" t="n">
        <v>0</v>
      </c>
      <c r="N734" t="n">
        <v>0</v>
      </c>
      <c r="O734" t="n">
        <v>0</v>
      </c>
      <c r="P734" t="n">
        <v>0</v>
      </c>
      <c r="Q734" t="n">
        <v>0</v>
      </c>
      <c r="R734" s="2" t="inlineStr"/>
    </row>
    <row r="735" ht="15" customHeight="1">
      <c r="A735" t="inlineStr">
        <is>
          <t>A 1329-2025</t>
        </is>
      </c>
      <c r="B735" s="1" t="n">
        <v>45667</v>
      </c>
      <c r="C735" s="1" t="n">
        <v>46037</v>
      </c>
      <c r="D735" t="inlineStr">
        <is>
          <t>SÖDERMANLANDS LÄN</t>
        </is>
      </c>
      <c r="E735" t="inlineStr">
        <is>
          <t>KATRINEHOLM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61398-2024</t>
        </is>
      </c>
      <c r="B736" s="1" t="n">
        <v>45646.42608796297</v>
      </c>
      <c r="C736" s="1" t="n">
        <v>46037</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24287-2024</t>
        </is>
      </c>
      <c r="B737" s="1" t="n">
        <v>45457</v>
      </c>
      <c r="C737" s="1" t="n">
        <v>46037</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8518-2023</t>
        </is>
      </c>
      <c r="B738" s="1" t="n">
        <v>44977</v>
      </c>
      <c r="C738" s="1" t="n">
        <v>46037</v>
      </c>
      <c r="D738" t="inlineStr">
        <is>
          <t>SÖDERMANLANDS LÄN</t>
        </is>
      </c>
      <c r="E738" t="inlineStr">
        <is>
          <t>KATRINEHOLM</t>
        </is>
      </c>
      <c r="F738" t="inlineStr">
        <is>
          <t>Allmännings- och besparingsskogar</t>
        </is>
      </c>
      <c r="G738" t="n">
        <v>35.3</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46037</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948-2023</t>
        </is>
      </c>
      <c r="B740" s="1" t="n">
        <v>44934</v>
      </c>
      <c r="C740" s="1" t="n">
        <v>46037</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37542-2022</t>
        </is>
      </c>
      <c r="B741" s="1" t="n">
        <v>44809</v>
      </c>
      <c r="C741" s="1" t="n">
        <v>46037</v>
      </c>
      <c r="D741" t="inlineStr">
        <is>
          <t>SÖDERMANLANDS LÄN</t>
        </is>
      </c>
      <c r="E741" t="inlineStr">
        <is>
          <t>KATRINEHOLM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41229-2022</t>
        </is>
      </c>
      <c r="B742" s="1" t="n">
        <v>44825</v>
      </c>
      <c r="C742" s="1" t="n">
        <v>46037</v>
      </c>
      <c r="D742" t="inlineStr">
        <is>
          <t>SÖDERMANLANDS LÄN</t>
        </is>
      </c>
      <c r="E742" t="inlineStr">
        <is>
          <t>KATRINEHOLM</t>
        </is>
      </c>
      <c r="G742" t="n">
        <v>3.8</v>
      </c>
      <c r="H742" t="n">
        <v>0</v>
      </c>
      <c r="I742" t="n">
        <v>0</v>
      </c>
      <c r="J742" t="n">
        <v>0</v>
      </c>
      <c r="K742" t="n">
        <v>0</v>
      </c>
      <c r="L742" t="n">
        <v>0</v>
      </c>
      <c r="M742" t="n">
        <v>0</v>
      </c>
      <c r="N742" t="n">
        <v>0</v>
      </c>
      <c r="O742" t="n">
        <v>0</v>
      </c>
      <c r="P742" t="n">
        <v>0</v>
      </c>
      <c r="Q742" t="n">
        <v>0</v>
      </c>
      <c r="R742" s="2" t="inlineStr"/>
    </row>
    <row r="743" ht="15" customHeight="1">
      <c r="A743" t="inlineStr">
        <is>
          <t>A 64652-2023</t>
        </is>
      </c>
      <c r="B743" s="1" t="n">
        <v>45281</v>
      </c>
      <c r="C743" s="1" t="n">
        <v>46037</v>
      </c>
      <c r="D743" t="inlineStr">
        <is>
          <t>SÖDERMANLANDS LÄN</t>
        </is>
      </c>
      <c r="E743" t="inlineStr">
        <is>
          <t>KATRINEHOLM</t>
        </is>
      </c>
      <c r="F743" t="inlineStr">
        <is>
          <t>Övriga Aktiebolag</t>
        </is>
      </c>
      <c r="G743" t="n">
        <v>2.2</v>
      </c>
      <c r="H743" t="n">
        <v>0</v>
      </c>
      <c r="I743" t="n">
        <v>0</v>
      </c>
      <c r="J743" t="n">
        <v>0</v>
      </c>
      <c r="K743" t="n">
        <v>0</v>
      </c>
      <c r="L743" t="n">
        <v>0</v>
      </c>
      <c r="M743" t="n">
        <v>0</v>
      </c>
      <c r="N743" t="n">
        <v>0</v>
      </c>
      <c r="O743" t="n">
        <v>0</v>
      </c>
      <c r="P743" t="n">
        <v>0</v>
      </c>
      <c r="Q743" t="n">
        <v>0</v>
      </c>
      <c r="R743" s="2" t="inlineStr"/>
    </row>
    <row r="744" ht="15" customHeight="1">
      <c r="A744" t="inlineStr">
        <is>
          <t>A 51404-2023</t>
        </is>
      </c>
      <c r="B744" s="1" t="n">
        <v>45214</v>
      </c>
      <c r="C744" s="1" t="n">
        <v>46037</v>
      </c>
      <c r="D744" t="inlineStr">
        <is>
          <t>SÖDERMANLANDS LÄN</t>
        </is>
      </c>
      <c r="E744" t="inlineStr">
        <is>
          <t>KATRINEHOLM</t>
        </is>
      </c>
      <c r="G744" t="n">
        <v>9</v>
      </c>
      <c r="H744" t="n">
        <v>0</v>
      </c>
      <c r="I744" t="n">
        <v>0</v>
      </c>
      <c r="J744" t="n">
        <v>0</v>
      </c>
      <c r="K744" t="n">
        <v>0</v>
      </c>
      <c r="L744" t="n">
        <v>0</v>
      </c>
      <c r="M744" t="n">
        <v>0</v>
      </c>
      <c r="N744" t="n">
        <v>0</v>
      </c>
      <c r="O744" t="n">
        <v>0</v>
      </c>
      <c r="P744" t="n">
        <v>0</v>
      </c>
      <c r="Q744" t="n">
        <v>0</v>
      </c>
      <c r="R744" s="2" t="inlineStr"/>
    </row>
    <row r="745" ht="15" customHeight="1">
      <c r="A745" t="inlineStr">
        <is>
          <t>A 41946-2022</t>
        </is>
      </c>
      <c r="B745" s="1" t="n">
        <v>44830.38502314815</v>
      </c>
      <c r="C745" s="1" t="n">
        <v>46037</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3115-2024</t>
        </is>
      </c>
      <c r="B746" s="1" t="n">
        <v>45316.49630787037</v>
      </c>
      <c r="C746" s="1" t="n">
        <v>46037</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61431-2024</t>
        </is>
      </c>
      <c r="B747" s="1" t="n">
        <v>45646.45950231481</v>
      </c>
      <c r="C747" s="1" t="n">
        <v>46037</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44659-2023</t>
        </is>
      </c>
      <c r="B748" s="1" t="n">
        <v>45189</v>
      </c>
      <c r="C748" s="1" t="n">
        <v>46037</v>
      </c>
      <c r="D748" t="inlineStr">
        <is>
          <t>SÖDERMANLANDS LÄN</t>
        </is>
      </c>
      <c r="E748" t="inlineStr">
        <is>
          <t>KATRINEHOLM</t>
        </is>
      </c>
      <c r="G748" t="n">
        <v>3.5</v>
      </c>
      <c r="H748" t="n">
        <v>0</v>
      </c>
      <c r="I748" t="n">
        <v>0</v>
      </c>
      <c r="J748" t="n">
        <v>0</v>
      </c>
      <c r="K748" t="n">
        <v>0</v>
      </c>
      <c r="L748" t="n">
        <v>0</v>
      </c>
      <c r="M748" t="n">
        <v>0</v>
      </c>
      <c r="N748" t="n">
        <v>0</v>
      </c>
      <c r="O748" t="n">
        <v>0</v>
      </c>
      <c r="P748" t="n">
        <v>0</v>
      </c>
      <c r="Q748" t="n">
        <v>0</v>
      </c>
      <c r="R748" s="2" t="inlineStr"/>
    </row>
    <row r="749" ht="15" customHeight="1">
      <c r="A749" t="inlineStr">
        <is>
          <t>A 51446-2023</t>
        </is>
      </c>
      <c r="B749" s="1" t="n">
        <v>45220.48068287037</v>
      </c>
      <c r="C749" s="1" t="n">
        <v>46037</v>
      </c>
      <c r="D749" t="inlineStr">
        <is>
          <t>SÖDERMANLANDS LÄN</t>
        </is>
      </c>
      <c r="E749" t="inlineStr">
        <is>
          <t>KATRINEHOLM</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27955-2023</t>
        </is>
      </c>
      <c r="B750" s="1" t="n">
        <v>45098</v>
      </c>
      <c r="C750" s="1" t="n">
        <v>46037</v>
      </c>
      <c r="D750" t="inlineStr">
        <is>
          <t>SÖDERMANLANDS LÄN</t>
        </is>
      </c>
      <c r="E750" t="inlineStr">
        <is>
          <t>KATRINEHOLM</t>
        </is>
      </c>
      <c r="G750" t="n">
        <v>5.9</v>
      </c>
      <c r="H750" t="n">
        <v>0</v>
      </c>
      <c r="I750" t="n">
        <v>0</v>
      </c>
      <c r="J750" t="n">
        <v>0</v>
      </c>
      <c r="K750" t="n">
        <v>0</v>
      </c>
      <c r="L750" t="n">
        <v>0</v>
      </c>
      <c r="M750" t="n">
        <v>0</v>
      </c>
      <c r="N750" t="n">
        <v>0</v>
      </c>
      <c r="O750" t="n">
        <v>0</v>
      </c>
      <c r="P750" t="n">
        <v>0</v>
      </c>
      <c r="Q750" t="n">
        <v>0</v>
      </c>
      <c r="R750" s="2" t="inlineStr"/>
    </row>
    <row r="751" ht="15" customHeight="1">
      <c r="A751" t="inlineStr">
        <is>
          <t>A 4669-2023</t>
        </is>
      </c>
      <c r="B751" s="1" t="n">
        <v>44957</v>
      </c>
      <c r="C751" s="1" t="n">
        <v>46037</v>
      </c>
      <c r="D751" t="inlineStr">
        <is>
          <t>SÖDERMANLANDS LÄN</t>
        </is>
      </c>
      <c r="E751" t="inlineStr">
        <is>
          <t>KATRINEHOLM</t>
        </is>
      </c>
      <c r="F751" t="inlineStr">
        <is>
          <t>Holmen skog AB</t>
        </is>
      </c>
      <c r="G751" t="n">
        <v>2.2</v>
      </c>
      <c r="H751" t="n">
        <v>0</v>
      </c>
      <c r="I751" t="n">
        <v>0</v>
      </c>
      <c r="J751" t="n">
        <v>0</v>
      </c>
      <c r="K751" t="n">
        <v>0</v>
      </c>
      <c r="L751" t="n">
        <v>0</v>
      </c>
      <c r="M751" t="n">
        <v>0</v>
      </c>
      <c r="N751" t="n">
        <v>0</v>
      </c>
      <c r="O751" t="n">
        <v>0</v>
      </c>
      <c r="P751" t="n">
        <v>0</v>
      </c>
      <c r="Q751" t="n">
        <v>0</v>
      </c>
      <c r="R751" s="2" t="inlineStr"/>
    </row>
    <row r="752" ht="15" customHeight="1">
      <c r="A752" t="inlineStr">
        <is>
          <t>A 4724-2023</t>
        </is>
      </c>
      <c r="B752" s="1" t="n">
        <v>44957</v>
      </c>
      <c r="C752" s="1" t="n">
        <v>46037</v>
      </c>
      <c r="D752" t="inlineStr">
        <is>
          <t>SÖDERMANLANDS LÄN</t>
        </is>
      </c>
      <c r="E752" t="inlineStr">
        <is>
          <t>KATRINEHOLM</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7197-2023</t>
        </is>
      </c>
      <c r="B753" s="1" t="n">
        <v>44965</v>
      </c>
      <c r="C753" s="1" t="n">
        <v>46037</v>
      </c>
      <c r="D753" t="inlineStr">
        <is>
          <t>SÖDERMANLANDS LÄN</t>
        </is>
      </c>
      <c r="E753" t="inlineStr">
        <is>
          <t>KATRINEHOLM</t>
        </is>
      </c>
      <c r="G753" t="n">
        <v>5.3</v>
      </c>
      <c r="H753" t="n">
        <v>0</v>
      </c>
      <c r="I753" t="n">
        <v>0</v>
      </c>
      <c r="J753" t="n">
        <v>0</v>
      </c>
      <c r="K753" t="n">
        <v>0</v>
      </c>
      <c r="L753" t="n">
        <v>0</v>
      </c>
      <c r="M753" t="n">
        <v>0</v>
      </c>
      <c r="N753" t="n">
        <v>0</v>
      </c>
      <c r="O753" t="n">
        <v>0</v>
      </c>
      <c r="P753" t="n">
        <v>0</v>
      </c>
      <c r="Q753" t="n">
        <v>0</v>
      </c>
      <c r="R753" s="2" t="inlineStr"/>
    </row>
    <row r="754" ht="15" customHeight="1">
      <c r="A754" t="inlineStr">
        <is>
          <t>A 6092-2025</t>
        </is>
      </c>
      <c r="B754" s="1" t="n">
        <v>45697</v>
      </c>
      <c r="C754" s="1" t="n">
        <v>46037</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5327-2025</t>
        </is>
      </c>
      <c r="B755" s="1" t="n">
        <v>45692</v>
      </c>
      <c r="C755" s="1" t="n">
        <v>46037</v>
      </c>
      <c r="D755" t="inlineStr">
        <is>
          <t>SÖDERMANLANDS LÄN</t>
        </is>
      </c>
      <c r="E755" t="inlineStr">
        <is>
          <t>KATRINEHOLM</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12929-2023</t>
        </is>
      </c>
      <c r="B756" s="1" t="n">
        <v>45001</v>
      </c>
      <c r="C756" s="1" t="n">
        <v>46037</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12932-2023</t>
        </is>
      </c>
      <c r="B757" s="1" t="n">
        <v>45001</v>
      </c>
      <c r="C757" s="1" t="n">
        <v>46037</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50626-2024</t>
        </is>
      </c>
      <c r="B758" s="1" t="n">
        <v>45601</v>
      </c>
      <c r="C758" s="1" t="n">
        <v>46037</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7398-2024</t>
        </is>
      </c>
      <c r="B759" s="1" t="n">
        <v>45345</v>
      </c>
      <c r="C759" s="1" t="n">
        <v>46037</v>
      </c>
      <c r="D759" t="inlineStr">
        <is>
          <t>SÖDERMANLANDS LÄN</t>
        </is>
      </c>
      <c r="E759" t="inlineStr">
        <is>
          <t>KATRINEHOLM</t>
        </is>
      </c>
      <c r="G759" t="n">
        <v>4.4</v>
      </c>
      <c r="H759" t="n">
        <v>0</v>
      </c>
      <c r="I759" t="n">
        <v>0</v>
      </c>
      <c r="J759" t="n">
        <v>0</v>
      </c>
      <c r="K759" t="n">
        <v>0</v>
      </c>
      <c r="L759" t="n">
        <v>0</v>
      </c>
      <c r="M759" t="n">
        <v>0</v>
      </c>
      <c r="N759" t="n">
        <v>0</v>
      </c>
      <c r="O759" t="n">
        <v>0</v>
      </c>
      <c r="P759" t="n">
        <v>0</v>
      </c>
      <c r="Q759" t="n">
        <v>0</v>
      </c>
      <c r="R759" s="2" t="inlineStr"/>
    </row>
    <row r="760" ht="15" customHeight="1">
      <c r="A760" t="inlineStr">
        <is>
          <t>A 14629-2023</t>
        </is>
      </c>
      <c r="B760" s="1" t="n">
        <v>45013</v>
      </c>
      <c r="C760" s="1" t="n">
        <v>46037</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49116-2024</t>
        </is>
      </c>
      <c r="B761" s="1" t="n">
        <v>45594.6605787037</v>
      </c>
      <c r="C761" s="1" t="n">
        <v>46037</v>
      </c>
      <c r="D761" t="inlineStr">
        <is>
          <t>SÖDERMANLANDS LÄN</t>
        </is>
      </c>
      <c r="E761" t="inlineStr">
        <is>
          <t>KATRINEHOLM</t>
        </is>
      </c>
      <c r="G761" t="n">
        <v>0.9</v>
      </c>
      <c r="H761" t="n">
        <v>0</v>
      </c>
      <c r="I761" t="n">
        <v>0</v>
      </c>
      <c r="J761" t="n">
        <v>0</v>
      </c>
      <c r="K761" t="n">
        <v>0</v>
      </c>
      <c r="L761" t="n">
        <v>0</v>
      </c>
      <c r="M761" t="n">
        <v>0</v>
      </c>
      <c r="N761" t="n">
        <v>0</v>
      </c>
      <c r="O761" t="n">
        <v>0</v>
      </c>
      <c r="P761" t="n">
        <v>0</v>
      </c>
      <c r="Q761" t="n">
        <v>0</v>
      </c>
      <c r="R761" s="2" t="inlineStr"/>
    </row>
    <row r="762" ht="15" customHeight="1">
      <c r="A762" t="inlineStr">
        <is>
          <t>A 2683-2025</t>
        </is>
      </c>
      <c r="B762" s="1" t="n">
        <v>45677</v>
      </c>
      <c r="C762" s="1" t="n">
        <v>46037</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61410-2024</t>
        </is>
      </c>
      <c r="B763" s="1" t="n">
        <v>45646.43950231482</v>
      </c>
      <c r="C763" s="1" t="n">
        <v>46037</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3315-2023</t>
        </is>
      </c>
      <c r="B764" s="1" t="n">
        <v>44945</v>
      </c>
      <c r="C764" s="1" t="n">
        <v>46037</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7867-2024</t>
        </is>
      </c>
      <c r="B765" s="1" t="n">
        <v>45350.32991898148</v>
      </c>
      <c r="C765" s="1" t="n">
        <v>46037</v>
      </c>
      <c r="D765" t="inlineStr">
        <is>
          <t>SÖDERMANLANDS LÄN</t>
        </is>
      </c>
      <c r="E765" t="inlineStr">
        <is>
          <t>KATRINEHOLM</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38869-2024</t>
        </is>
      </c>
      <c r="B766" s="1" t="n">
        <v>45547</v>
      </c>
      <c r="C766" s="1" t="n">
        <v>46037</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39010-2021</t>
        </is>
      </c>
      <c r="B767" s="1" t="n">
        <v>44412</v>
      </c>
      <c r="C767" s="1" t="n">
        <v>46037</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1091-2025</t>
        </is>
      </c>
      <c r="B768" s="1" t="n">
        <v>45666</v>
      </c>
      <c r="C768" s="1" t="n">
        <v>46037</v>
      </c>
      <c r="D768" t="inlineStr">
        <is>
          <t>SÖDERMANLANDS LÄN</t>
        </is>
      </c>
      <c r="E768" t="inlineStr">
        <is>
          <t>KATRINEHOLM</t>
        </is>
      </c>
      <c r="F768" t="inlineStr">
        <is>
          <t>Övriga Aktiebolag</t>
        </is>
      </c>
      <c r="G768" t="n">
        <v>0.8</v>
      </c>
      <c r="H768" t="n">
        <v>0</v>
      </c>
      <c r="I768" t="n">
        <v>0</v>
      </c>
      <c r="J768" t="n">
        <v>0</v>
      </c>
      <c r="K768" t="n">
        <v>0</v>
      </c>
      <c r="L768" t="n">
        <v>0</v>
      </c>
      <c r="M768" t="n">
        <v>0</v>
      </c>
      <c r="N768" t="n">
        <v>0</v>
      </c>
      <c r="O768" t="n">
        <v>0</v>
      </c>
      <c r="P768" t="n">
        <v>0</v>
      </c>
      <c r="Q768" t="n">
        <v>0</v>
      </c>
      <c r="R768" s="2" t="inlineStr"/>
    </row>
    <row r="769" ht="15" customHeight="1">
      <c r="A769" t="inlineStr">
        <is>
          <t>A 6311-2025</t>
        </is>
      </c>
      <c r="B769" s="1" t="n">
        <v>45698</v>
      </c>
      <c r="C769" s="1" t="n">
        <v>46037</v>
      </c>
      <c r="D769" t="inlineStr">
        <is>
          <t>SÖDERMANLANDS LÄN</t>
        </is>
      </c>
      <c r="E769" t="inlineStr">
        <is>
          <t>KATRINEHOLM</t>
        </is>
      </c>
      <c r="G769" t="n">
        <v>0.3</v>
      </c>
      <c r="H769" t="n">
        <v>0</v>
      </c>
      <c r="I769" t="n">
        <v>0</v>
      </c>
      <c r="J769" t="n">
        <v>0</v>
      </c>
      <c r="K769" t="n">
        <v>0</v>
      </c>
      <c r="L769" t="n">
        <v>0</v>
      </c>
      <c r="M769" t="n">
        <v>0</v>
      </c>
      <c r="N769" t="n">
        <v>0</v>
      </c>
      <c r="O769" t="n">
        <v>0</v>
      </c>
      <c r="P769" t="n">
        <v>0</v>
      </c>
      <c r="Q769" t="n">
        <v>0</v>
      </c>
      <c r="R769" s="2" t="inlineStr"/>
    </row>
    <row r="770" ht="15" customHeight="1">
      <c r="A770" t="inlineStr">
        <is>
          <t>A 23838-2021</t>
        </is>
      </c>
      <c r="B770" s="1" t="n">
        <v>44335</v>
      </c>
      <c r="C770" s="1" t="n">
        <v>46037</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32943-2024</t>
        </is>
      </c>
      <c r="B771" s="1" t="n">
        <v>45517</v>
      </c>
      <c r="C771" s="1" t="n">
        <v>46037</v>
      </c>
      <c r="D771" t="inlineStr">
        <is>
          <t>SÖDERMANLANDS LÄN</t>
        </is>
      </c>
      <c r="E771" t="inlineStr">
        <is>
          <t>KATRINEHOLM</t>
        </is>
      </c>
      <c r="G771" t="n">
        <v>1.8</v>
      </c>
      <c r="H771" t="n">
        <v>0</v>
      </c>
      <c r="I771" t="n">
        <v>0</v>
      </c>
      <c r="J771" t="n">
        <v>0</v>
      </c>
      <c r="K771" t="n">
        <v>0</v>
      </c>
      <c r="L771" t="n">
        <v>0</v>
      </c>
      <c r="M771" t="n">
        <v>0</v>
      </c>
      <c r="N771" t="n">
        <v>0</v>
      </c>
      <c r="O771" t="n">
        <v>0</v>
      </c>
      <c r="P771" t="n">
        <v>0</v>
      </c>
      <c r="Q771" t="n">
        <v>0</v>
      </c>
      <c r="R771" s="2" t="inlineStr"/>
    </row>
    <row r="772" ht="15" customHeight="1">
      <c r="A772" t="inlineStr">
        <is>
          <t>A 22119-2025</t>
        </is>
      </c>
      <c r="B772" s="1" t="n">
        <v>45785</v>
      </c>
      <c r="C772" s="1" t="n">
        <v>46037</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22113-2025</t>
        </is>
      </c>
      <c r="B773" s="1" t="n">
        <v>45785</v>
      </c>
      <c r="C773" s="1" t="n">
        <v>46037</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24983-2024</t>
        </is>
      </c>
      <c r="B774" s="1" t="n">
        <v>45461</v>
      </c>
      <c r="C774" s="1" t="n">
        <v>46037</v>
      </c>
      <c r="D774" t="inlineStr">
        <is>
          <t>SÖDERMANLANDS LÄN</t>
        </is>
      </c>
      <c r="E774" t="inlineStr">
        <is>
          <t>KATRINEHOLM</t>
        </is>
      </c>
      <c r="G774" t="n">
        <v>2.6</v>
      </c>
      <c r="H774" t="n">
        <v>0</v>
      </c>
      <c r="I774" t="n">
        <v>0</v>
      </c>
      <c r="J774" t="n">
        <v>0</v>
      </c>
      <c r="K774" t="n">
        <v>0</v>
      </c>
      <c r="L774" t="n">
        <v>0</v>
      </c>
      <c r="M774" t="n">
        <v>0</v>
      </c>
      <c r="N774" t="n">
        <v>0</v>
      </c>
      <c r="O774" t="n">
        <v>0</v>
      </c>
      <c r="P774" t="n">
        <v>0</v>
      </c>
      <c r="Q774" t="n">
        <v>0</v>
      </c>
      <c r="R774" s="2" t="inlineStr"/>
    </row>
    <row r="775" ht="15" customHeight="1">
      <c r="A775" t="inlineStr">
        <is>
          <t>A 22476-2025</t>
        </is>
      </c>
      <c r="B775" s="1" t="n">
        <v>45786</v>
      </c>
      <c r="C775" s="1" t="n">
        <v>46037</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c r="A776" t="inlineStr">
        <is>
          <t>A 22336-2025</t>
        </is>
      </c>
      <c r="B776" s="1" t="n">
        <v>45786.44217592593</v>
      </c>
      <c r="C776" s="1" t="n">
        <v>46037</v>
      </c>
      <c r="D776" t="inlineStr">
        <is>
          <t>SÖDERMANLANDS LÄN</t>
        </is>
      </c>
      <c r="E776" t="inlineStr">
        <is>
          <t>KATRINEHOLM</t>
        </is>
      </c>
      <c r="G776" t="n">
        <v>1.4</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2026-01-15T11:00:32Z</dcterms:created>
  <dcterms:modified xmlns:dcterms="http://purl.org/dc/terms/" xmlns:xsi="http://www.w3.org/2001/XMLSchema-instance" xsi:type="dcterms:W3CDTF">2026-01-15T11:00:33Z</dcterms:modified>
</cp:coreProperties>
</file>