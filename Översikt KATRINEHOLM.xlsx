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46103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46103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46103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46103</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46103</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46103</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46103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46103</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46103</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46103</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46103</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46103</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46103</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46103</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46103</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46103</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46103</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46103</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46103</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46103</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22474-2025</t>
        </is>
      </c>
      <c r="B35" s="1" t="n">
        <v>45786.62152777778</v>
      </c>
      <c r="C35" s="1" t="n">
        <v>46103</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55700-2025</t>
        </is>
      </c>
      <c r="B36" s="1" t="n">
        <v>45972.45605324074</v>
      </c>
      <c r="C36" s="1" t="n">
        <v>46103</v>
      </c>
      <c r="D36" t="inlineStr">
        <is>
          <t>SÖDERMANLANDS LÄN</t>
        </is>
      </c>
      <c r="E36" t="inlineStr">
        <is>
          <t>KATRINEHOLM</t>
        </is>
      </c>
      <c r="F36" t="inlineStr">
        <is>
          <t>Kyrkan</t>
        </is>
      </c>
      <c r="G36" t="n">
        <v>6</v>
      </c>
      <c r="H36" t="n">
        <v>0</v>
      </c>
      <c r="I36" t="n">
        <v>0</v>
      </c>
      <c r="J36" t="n">
        <v>0</v>
      </c>
      <c r="K36" t="n">
        <v>1</v>
      </c>
      <c r="L36" t="n">
        <v>0</v>
      </c>
      <c r="M36" t="n">
        <v>0</v>
      </c>
      <c r="N36" t="n">
        <v>0</v>
      </c>
      <c r="O36" t="n">
        <v>1</v>
      </c>
      <c r="P36" t="n">
        <v>1</v>
      </c>
      <c r="Q36" t="n">
        <v>1</v>
      </c>
      <c r="R36" s="2" t="inlineStr">
        <is>
          <t>Ljungsnärja</t>
        </is>
      </c>
      <c r="S36">
        <f>HYPERLINK("https://klasma.github.io/Logging_0483/artfynd/A 55700-2025 artfynd.xlsx", "A 55700-2025")</f>
        <v/>
      </c>
      <c r="T36">
        <f>HYPERLINK("https://klasma.github.io/Logging_0483/kartor/A 55700-2025 karta.png", "A 55700-2025")</f>
        <v/>
      </c>
      <c r="V36">
        <f>HYPERLINK("https://klasma.github.io/Logging_0483/klagomål/A 55700-2025 FSC-klagomål.docx", "A 55700-2025")</f>
        <v/>
      </c>
      <c r="W36">
        <f>HYPERLINK("https://klasma.github.io/Logging_0483/klagomålsmail/A 55700-2025 FSC-klagomål mail.docx", "A 55700-2025")</f>
        <v/>
      </c>
      <c r="X36">
        <f>HYPERLINK("https://klasma.github.io/Logging_0483/tillsyn/A 55700-2025 tillsynsbegäran.docx", "A 55700-2025")</f>
        <v/>
      </c>
      <c r="Y36">
        <f>HYPERLINK("https://klasma.github.io/Logging_0483/tillsynsmail/A 55700-2025 tillsynsbegäran mail.docx", "A 55700-2025")</f>
        <v/>
      </c>
    </row>
    <row r="37" ht="15" customHeight="1">
      <c r="A37" t="inlineStr">
        <is>
          <t>A 28985-2022</t>
        </is>
      </c>
      <c r="B37" s="1" t="n">
        <v>44749</v>
      </c>
      <c r="C37" s="1" t="n">
        <v>46103</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46103</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42055-2025</t>
        </is>
      </c>
      <c r="B39" s="1" t="n">
        <v>45903</v>
      </c>
      <c r="C39" s="1" t="n">
        <v>46103</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63946-2025</t>
        </is>
      </c>
      <c r="B40" s="1" t="n">
        <v>46010</v>
      </c>
      <c r="C40" s="1" t="n">
        <v>46103</v>
      </c>
      <c r="D40" t="inlineStr">
        <is>
          <t>SÖDERMANLANDS LÄN</t>
        </is>
      </c>
      <c r="E40" t="inlineStr">
        <is>
          <t>KATRINEHOLM</t>
        </is>
      </c>
      <c r="F40" t="inlineStr">
        <is>
          <t>Allmännings- och besparingsskogar</t>
        </is>
      </c>
      <c r="G40" t="n">
        <v>2.4</v>
      </c>
      <c r="H40" t="n">
        <v>0</v>
      </c>
      <c r="I40" t="n">
        <v>0</v>
      </c>
      <c r="J40" t="n">
        <v>1</v>
      </c>
      <c r="K40" t="n">
        <v>0</v>
      </c>
      <c r="L40" t="n">
        <v>0</v>
      </c>
      <c r="M40" t="n">
        <v>0</v>
      </c>
      <c r="N40" t="n">
        <v>0</v>
      </c>
      <c r="O40" t="n">
        <v>1</v>
      </c>
      <c r="P40" t="n">
        <v>0</v>
      </c>
      <c r="Q40" t="n">
        <v>1</v>
      </c>
      <c r="R40" s="2" t="inlineStr">
        <is>
          <t>Tallticka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41980-2025</t>
        </is>
      </c>
      <c r="B41" s="1" t="n">
        <v>45903</v>
      </c>
      <c r="C41" s="1" t="n">
        <v>46103</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46103</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7305-2024</t>
        </is>
      </c>
      <c r="B43" s="1" t="n">
        <v>45344</v>
      </c>
      <c r="C43" s="1" t="n">
        <v>46103</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46103</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48199-2025</t>
        </is>
      </c>
      <c r="B45" s="1" t="n">
        <v>45933.47856481482</v>
      </c>
      <c r="C45" s="1" t="n">
        <v>46103</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1260-2026</t>
        </is>
      </c>
      <c r="B46" s="1" t="n">
        <v>46031.45652777778</v>
      </c>
      <c r="C46" s="1" t="n">
        <v>46103</v>
      </c>
      <c r="D46" t="inlineStr">
        <is>
          <t>SÖDERMANLANDS LÄN</t>
        </is>
      </c>
      <c r="E46" t="inlineStr">
        <is>
          <t>KATRINEHOLM</t>
        </is>
      </c>
      <c r="G46" t="n">
        <v>9.1</v>
      </c>
      <c r="H46" t="n">
        <v>1</v>
      </c>
      <c r="I46" t="n">
        <v>0</v>
      </c>
      <c r="J46" t="n">
        <v>1</v>
      </c>
      <c r="K46" t="n">
        <v>0</v>
      </c>
      <c r="L46" t="n">
        <v>0</v>
      </c>
      <c r="M46" t="n">
        <v>0</v>
      </c>
      <c r="N46" t="n">
        <v>0</v>
      </c>
      <c r="O46" t="n">
        <v>1</v>
      </c>
      <c r="P46" t="n">
        <v>0</v>
      </c>
      <c r="Q46" t="n">
        <v>1</v>
      </c>
      <c r="R46" s="2" t="inlineStr">
        <is>
          <t>Spillkråka</t>
        </is>
      </c>
      <c r="S46">
        <f>HYPERLINK("https://klasma.github.io/Logging_0483/artfynd/A 1260-2026 artfynd.xlsx", "A 1260-2026")</f>
        <v/>
      </c>
      <c r="T46">
        <f>HYPERLINK("https://klasma.github.io/Logging_0483/kartor/A 1260-2026 karta.png", "A 1260-2026")</f>
        <v/>
      </c>
      <c r="V46">
        <f>HYPERLINK("https://klasma.github.io/Logging_0483/klagomål/A 1260-2026 FSC-klagomål.docx", "A 1260-2026")</f>
        <v/>
      </c>
      <c r="W46">
        <f>HYPERLINK("https://klasma.github.io/Logging_0483/klagomålsmail/A 1260-2026 FSC-klagomål mail.docx", "A 1260-2026")</f>
        <v/>
      </c>
      <c r="X46">
        <f>HYPERLINK("https://klasma.github.io/Logging_0483/tillsyn/A 1260-2026 tillsynsbegäran.docx", "A 1260-2026")</f>
        <v/>
      </c>
      <c r="Y46">
        <f>HYPERLINK("https://klasma.github.io/Logging_0483/tillsynsmail/A 1260-2026 tillsynsbegäran mail.docx", "A 1260-2026")</f>
        <v/>
      </c>
      <c r="Z46">
        <f>HYPERLINK("https://klasma.github.io/Logging_0483/fåglar/A 1260-2026 prioriterade fågelarter.docx", "A 1260-2026")</f>
        <v/>
      </c>
    </row>
    <row r="47" ht="15" customHeight="1">
      <c r="A47" t="inlineStr">
        <is>
          <t>A 12238-2023</t>
        </is>
      </c>
      <c r="B47" s="1" t="n">
        <v>44995</v>
      </c>
      <c r="C47" s="1" t="n">
        <v>46103</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46103</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33801-2023</t>
        </is>
      </c>
      <c r="B49" s="1" t="n">
        <v>45133</v>
      </c>
      <c r="C49" s="1" t="n">
        <v>46103</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27926-2025</t>
        </is>
      </c>
      <c r="B50" s="1" t="n">
        <v>45814</v>
      </c>
      <c r="C50" s="1" t="n">
        <v>46103</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44413-2024</t>
        </is>
      </c>
      <c r="B51" s="1" t="n">
        <v>45573.77701388889</v>
      </c>
      <c r="C51" s="1" t="n">
        <v>46103</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46103</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35163-2025</t>
        </is>
      </c>
      <c r="B53" s="1" t="n">
        <v>45852.71136574074</v>
      </c>
      <c r="C53" s="1" t="n">
        <v>46103</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44486-2023</t>
        </is>
      </c>
      <c r="B54" s="1" t="n">
        <v>45183</v>
      </c>
      <c r="C54" s="1" t="n">
        <v>46103</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46103</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11890-2023</t>
        </is>
      </c>
      <c r="B56" s="1" t="n">
        <v>44995</v>
      </c>
      <c r="C56" s="1" t="n">
        <v>46103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46103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46103</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46103</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46103</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46103</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46103</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46103</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46103</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46103</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46103</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46103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46103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46103</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46103</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46103</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46103</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46103</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46103</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46103</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46103</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46103</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46103</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46103</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46103</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46103</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46103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46103</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46103</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46103</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46103</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46103</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46103</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46103</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46103</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46103</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46103</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46103</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46103</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46103</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46103</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46103</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46103</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46103</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46103</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46103</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46103</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46103</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46103</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46103</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46103</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46103</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46103</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46103</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46103</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46103</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46103</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46103</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46103</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46103</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46103</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46103</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46103</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46103</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46103</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46103</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46103</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46103</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46103</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46103</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46103</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46103</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46103</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46103</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46103</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46103</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46103</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46103</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46103</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46103</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46103</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46103</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46103</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46103</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46103</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46103</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46103</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46103</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46103</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46103</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46103</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46103</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46103</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46103</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46103</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46103</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46103</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46103</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46103</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46103</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46103</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46103</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46103</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46103</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46103</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46103</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39120-2023</t>
        </is>
      </c>
      <c r="B185" s="1" t="n">
        <v>45165</v>
      </c>
      <c r="C185" s="1" t="n">
        <v>46103</v>
      </c>
      <c r="D185" t="inlineStr">
        <is>
          <t>SÖDERMANLANDS LÄN</t>
        </is>
      </c>
      <c r="E185" t="inlineStr">
        <is>
          <t>KATRINEHOLM</t>
        </is>
      </c>
      <c r="G185" t="n">
        <v>4.4</v>
      </c>
      <c r="H185" t="n">
        <v>0</v>
      </c>
      <c r="I185" t="n">
        <v>0</v>
      </c>
      <c r="J185" t="n">
        <v>0</v>
      </c>
      <c r="K185" t="n">
        <v>0</v>
      </c>
      <c r="L185" t="n">
        <v>0</v>
      </c>
      <c r="M185" t="n">
        <v>0</v>
      </c>
      <c r="N185" t="n">
        <v>0</v>
      </c>
      <c r="O185" t="n">
        <v>0</v>
      </c>
      <c r="P185" t="n">
        <v>0</v>
      </c>
      <c r="Q185" t="n">
        <v>0</v>
      </c>
      <c r="R185" s="2" t="inlineStr"/>
    </row>
    <row r="186" ht="15" customHeight="1">
      <c r="A186" t="inlineStr">
        <is>
          <t>A 50061-2022</t>
        </is>
      </c>
      <c r="B186" s="1" t="n">
        <v>44865</v>
      </c>
      <c r="C186" s="1" t="n">
        <v>46103</v>
      </c>
      <c r="D186" t="inlineStr">
        <is>
          <t>SÖDERMANLANDS LÄN</t>
        </is>
      </c>
      <c r="E186" t="inlineStr">
        <is>
          <t>KATRINEHOLM</t>
        </is>
      </c>
      <c r="G186" t="n">
        <v>4.9</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46103</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6628-2022</t>
        </is>
      </c>
      <c r="B188" s="1" t="n">
        <v>44601.78850694445</v>
      </c>
      <c r="C188" s="1" t="n">
        <v>46103</v>
      </c>
      <c r="D188" t="inlineStr">
        <is>
          <t>SÖDERMANLANDS LÄN</t>
        </is>
      </c>
      <c r="E188" t="inlineStr">
        <is>
          <t>KATRINEHOLM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10732-2022</t>
        </is>
      </c>
      <c r="B189" s="1" t="n">
        <v>44627.34033564815</v>
      </c>
      <c r="C189" s="1" t="n">
        <v>46103</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24287-2024</t>
        </is>
      </c>
      <c r="B190" s="1" t="n">
        <v>45457</v>
      </c>
      <c r="C190" s="1" t="n">
        <v>46103</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9699-2024</t>
        </is>
      </c>
      <c r="B191" s="1" t="n">
        <v>45362</v>
      </c>
      <c r="C191" s="1" t="n">
        <v>46103</v>
      </c>
      <c r="D191" t="inlineStr">
        <is>
          <t>SÖDERMANLANDS LÄN</t>
        </is>
      </c>
      <c r="E191" t="inlineStr">
        <is>
          <t>KATRINEHOLM</t>
        </is>
      </c>
      <c r="G191" t="n">
        <v>7.7</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46103</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46103</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46103</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29397-2024</t>
        </is>
      </c>
      <c r="B195" s="1" t="n">
        <v>45483</v>
      </c>
      <c r="C195" s="1" t="n">
        <v>46103</v>
      </c>
      <c r="D195" t="inlineStr">
        <is>
          <t>SÖDERMANLANDS LÄN</t>
        </is>
      </c>
      <c r="E195" t="inlineStr">
        <is>
          <t>KATRINEHOLM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6807-2023</t>
        </is>
      </c>
      <c r="B196" s="1" t="n">
        <v>44964</v>
      </c>
      <c r="C196" s="1" t="n">
        <v>46103</v>
      </c>
      <c r="D196" t="inlineStr">
        <is>
          <t>SÖDERMANLANDS LÄN</t>
        </is>
      </c>
      <c r="E196" t="inlineStr">
        <is>
          <t>KATRINEHOLM</t>
        </is>
      </c>
      <c r="G196" t="n">
        <v>1.2</v>
      </c>
      <c r="H196" t="n">
        <v>0</v>
      </c>
      <c r="I196" t="n">
        <v>0</v>
      </c>
      <c r="J196" t="n">
        <v>0</v>
      </c>
      <c r="K196" t="n">
        <v>0</v>
      </c>
      <c r="L196" t="n">
        <v>0</v>
      </c>
      <c r="M196" t="n">
        <v>0</v>
      </c>
      <c r="N196" t="n">
        <v>0</v>
      </c>
      <c r="O196" t="n">
        <v>0</v>
      </c>
      <c r="P196" t="n">
        <v>0</v>
      </c>
      <c r="Q196" t="n">
        <v>0</v>
      </c>
      <c r="R196" s="2" t="inlineStr"/>
    </row>
    <row r="197" ht="15" customHeight="1">
      <c r="A197" t="inlineStr">
        <is>
          <t>A 40393-2022</t>
        </is>
      </c>
      <c r="B197" s="1" t="n">
        <v>44823</v>
      </c>
      <c r="C197" s="1" t="n">
        <v>46103</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46103</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46103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24179-2024</t>
        </is>
      </c>
      <c r="B200" s="1" t="n">
        <v>45456.83059027778</v>
      </c>
      <c r="C200" s="1" t="n">
        <v>46103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30276-2023</t>
        </is>
      </c>
      <c r="B201" s="1" t="n">
        <v>45110</v>
      </c>
      <c r="C201" s="1" t="n">
        <v>46103</v>
      </c>
      <c r="D201" t="inlineStr">
        <is>
          <t>SÖDERMANLANDS LÄN</t>
        </is>
      </c>
      <c r="E201" t="inlineStr">
        <is>
          <t>KATRINEHOLM</t>
        </is>
      </c>
      <c r="G201" t="n">
        <v>2.3</v>
      </c>
      <c r="H201" t="n">
        <v>0</v>
      </c>
      <c r="I201" t="n">
        <v>0</v>
      </c>
      <c r="J201" t="n">
        <v>0</v>
      </c>
      <c r="K201" t="n">
        <v>0</v>
      </c>
      <c r="L201" t="n">
        <v>0</v>
      </c>
      <c r="M201" t="n">
        <v>0</v>
      </c>
      <c r="N201" t="n">
        <v>0</v>
      </c>
      <c r="O201" t="n">
        <v>0</v>
      </c>
      <c r="P201" t="n">
        <v>0</v>
      </c>
      <c r="Q201" t="n">
        <v>0</v>
      </c>
      <c r="R201" s="2" t="inlineStr"/>
    </row>
    <row r="202" ht="15" customHeight="1">
      <c r="A202" t="inlineStr">
        <is>
          <t>A 7459-2022</t>
        </is>
      </c>
      <c r="B202" s="1" t="n">
        <v>44607.35009259259</v>
      </c>
      <c r="C202" s="1" t="n">
        <v>46103</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46103</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46103</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46103</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13658-2023</t>
        </is>
      </c>
      <c r="B206" s="1" t="n">
        <v>45006</v>
      </c>
      <c r="C206" s="1" t="n">
        <v>46103</v>
      </c>
      <c r="D206" t="inlineStr">
        <is>
          <t>SÖDERMANLANDS LÄN</t>
        </is>
      </c>
      <c r="E206" t="inlineStr">
        <is>
          <t>KATRINEHOLM</t>
        </is>
      </c>
      <c r="F206" t="inlineStr">
        <is>
          <t>Kyrkan</t>
        </is>
      </c>
      <c r="G206" t="n">
        <v>24.3</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46103</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32890-2024</t>
        </is>
      </c>
      <c r="B208" s="1" t="n">
        <v>45516</v>
      </c>
      <c r="C208" s="1" t="n">
        <v>46103</v>
      </c>
      <c r="D208" t="inlineStr">
        <is>
          <t>SÖDERMANLANDS LÄN</t>
        </is>
      </c>
      <c r="E208" t="inlineStr">
        <is>
          <t>KATRINEHOLM</t>
        </is>
      </c>
      <c r="G208" t="n">
        <v>2.6</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46103</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39704-2023</t>
        </is>
      </c>
      <c r="B210" s="1" t="n">
        <v>45167</v>
      </c>
      <c r="C210" s="1" t="n">
        <v>46103</v>
      </c>
      <c r="D210" t="inlineStr">
        <is>
          <t>SÖDERMANLANDS LÄN</t>
        </is>
      </c>
      <c r="E210" t="inlineStr">
        <is>
          <t>KATRINEHOLM</t>
        </is>
      </c>
      <c r="F210" t="inlineStr">
        <is>
          <t>Övriga Aktiebolag</t>
        </is>
      </c>
      <c r="G210" t="n">
        <v>3.4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46103</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24748-2024</t>
        </is>
      </c>
      <c r="B212" s="1" t="n">
        <v>45460.66567129629</v>
      </c>
      <c r="C212" s="1" t="n">
        <v>46103</v>
      </c>
      <c r="D212" t="inlineStr">
        <is>
          <t>SÖDERMANLANDS LÄN</t>
        </is>
      </c>
      <c r="E212" t="inlineStr">
        <is>
          <t>KATRINEHOLM</t>
        </is>
      </c>
      <c r="G212" t="n">
        <v>3.3</v>
      </c>
      <c r="H212" t="n">
        <v>0</v>
      </c>
      <c r="I212" t="n">
        <v>0</v>
      </c>
      <c r="J212" t="n">
        <v>0</v>
      </c>
      <c r="K212" t="n">
        <v>0</v>
      </c>
      <c r="L212" t="n">
        <v>0</v>
      </c>
      <c r="M212" t="n">
        <v>0</v>
      </c>
      <c r="N212" t="n">
        <v>0</v>
      </c>
      <c r="O212" t="n">
        <v>0</v>
      </c>
      <c r="P212" t="n">
        <v>0</v>
      </c>
      <c r="Q212" t="n">
        <v>0</v>
      </c>
      <c r="R212" s="2" t="inlineStr"/>
    </row>
    <row r="213" ht="15" customHeight="1">
      <c r="A213" t="inlineStr">
        <is>
          <t>A 15235-2023</t>
        </is>
      </c>
      <c r="B213" s="1" t="n">
        <v>45019</v>
      </c>
      <c r="C213" s="1" t="n">
        <v>46103</v>
      </c>
      <c r="D213" t="inlineStr">
        <is>
          <t>SÖDERMANLANDS LÄN</t>
        </is>
      </c>
      <c r="E213" t="inlineStr">
        <is>
          <t>KATRINEHOLM</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28427-2024</t>
        </is>
      </c>
      <c r="B214" s="1" t="n">
        <v>45477.64910879629</v>
      </c>
      <c r="C214" s="1" t="n">
        <v>46103</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24983-2024</t>
        </is>
      </c>
      <c r="B215" s="1" t="n">
        <v>45461</v>
      </c>
      <c r="C215" s="1" t="n">
        <v>46103</v>
      </c>
      <c r="D215" t="inlineStr">
        <is>
          <t>SÖDERMANLANDS LÄN</t>
        </is>
      </c>
      <c r="E215" t="inlineStr">
        <is>
          <t>KATRINEHOLM</t>
        </is>
      </c>
      <c r="G215" t="n">
        <v>2.6</v>
      </c>
      <c r="H215" t="n">
        <v>0</v>
      </c>
      <c r="I215" t="n">
        <v>0</v>
      </c>
      <c r="J215" t="n">
        <v>0</v>
      </c>
      <c r="K215" t="n">
        <v>0</v>
      </c>
      <c r="L215" t="n">
        <v>0</v>
      </c>
      <c r="M215" t="n">
        <v>0</v>
      </c>
      <c r="N215" t="n">
        <v>0</v>
      </c>
      <c r="O215" t="n">
        <v>0</v>
      </c>
      <c r="P215" t="n">
        <v>0</v>
      </c>
      <c r="Q215" t="n">
        <v>0</v>
      </c>
      <c r="R215" s="2" t="inlineStr"/>
    </row>
    <row r="216" ht="15" customHeight="1">
      <c r="A216" t="inlineStr">
        <is>
          <t>A 22336-2025</t>
        </is>
      </c>
      <c r="B216" s="1" t="n">
        <v>45786.44217592593</v>
      </c>
      <c r="C216" s="1" t="n">
        <v>46103</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32943-2024</t>
        </is>
      </c>
      <c r="B217" s="1" t="n">
        <v>45517</v>
      </c>
      <c r="C217" s="1" t="n">
        <v>46103</v>
      </c>
      <c r="D217" t="inlineStr">
        <is>
          <t>SÖDERMANLANDS LÄN</t>
        </is>
      </c>
      <c r="E217" t="inlineStr">
        <is>
          <t>KATRINEHOLM</t>
        </is>
      </c>
      <c r="G217" t="n">
        <v>1.8</v>
      </c>
      <c r="H217" t="n">
        <v>0</v>
      </c>
      <c r="I217" t="n">
        <v>0</v>
      </c>
      <c r="J217" t="n">
        <v>0</v>
      </c>
      <c r="K217" t="n">
        <v>0</v>
      </c>
      <c r="L217" t="n">
        <v>0</v>
      </c>
      <c r="M217" t="n">
        <v>0</v>
      </c>
      <c r="N217" t="n">
        <v>0</v>
      </c>
      <c r="O217" t="n">
        <v>0</v>
      </c>
      <c r="P217" t="n">
        <v>0</v>
      </c>
      <c r="Q217" t="n">
        <v>0</v>
      </c>
      <c r="R217" s="2" t="inlineStr"/>
    </row>
    <row r="218" ht="15" customHeight="1">
      <c r="A218" t="inlineStr">
        <is>
          <t>A 44915-2022</t>
        </is>
      </c>
      <c r="B218" s="1" t="n">
        <v>44840</v>
      </c>
      <c r="C218" s="1" t="n">
        <v>46103</v>
      </c>
      <c r="D218" t="inlineStr">
        <is>
          <t>SÖDERMANLANDS LÄN</t>
        </is>
      </c>
      <c r="E218" t="inlineStr">
        <is>
          <t>KATRINEHOLM</t>
        </is>
      </c>
      <c r="G218" t="n">
        <v>6.3</v>
      </c>
      <c r="H218" t="n">
        <v>0</v>
      </c>
      <c r="I218" t="n">
        <v>0</v>
      </c>
      <c r="J218" t="n">
        <v>0</v>
      </c>
      <c r="K218" t="n">
        <v>0</v>
      </c>
      <c r="L218" t="n">
        <v>0</v>
      </c>
      <c r="M218" t="n">
        <v>0</v>
      </c>
      <c r="N218" t="n">
        <v>0</v>
      </c>
      <c r="O218" t="n">
        <v>0</v>
      </c>
      <c r="P218" t="n">
        <v>0</v>
      </c>
      <c r="Q218" t="n">
        <v>0</v>
      </c>
      <c r="R218" s="2" t="inlineStr"/>
    </row>
    <row r="219" ht="15" customHeight="1">
      <c r="A219" t="inlineStr">
        <is>
          <t>A 45793-2022</t>
        </is>
      </c>
      <c r="B219" s="1" t="n">
        <v>44844</v>
      </c>
      <c r="C219" s="1" t="n">
        <v>46103</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55829-2025</t>
        </is>
      </c>
      <c r="B220" s="1" t="n">
        <v>45972.79274305556</v>
      </c>
      <c r="C220" s="1" t="n">
        <v>46103</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55832-2025</t>
        </is>
      </c>
      <c r="B221" s="1" t="n">
        <v>45972.81768518518</v>
      </c>
      <c r="C221" s="1" t="n">
        <v>46103</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55831-2025</t>
        </is>
      </c>
      <c r="B222" s="1" t="n">
        <v>45972.81034722222</v>
      </c>
      <c r="C222" s="1" t="n">
        <v>46103</v>
      </c>
      <c r="D222" t="inlineStr">
        <is>
          <t>SÖDERMANLANDS LÄN</t>
        </is>
      </c>
      <c r="E222" t="inlineStr">
        <is>
          <t>KATRINEHOLM</t>
        </is>
      </c>
      <c r="G222" t="n">
        <v>6.2</v>
      </c>
      <c r="H222" t="n">
        <v>0</v>
      </c>
      <c r="I222" t="n">
        <v>0</v>
      </c>
      <c r="J222" t="n">
        <v>0</v>
      </c>
      <c r="K222" t="n">
        <v>0</v>
      </c>
      <c r="L222" t="n">
        <v>0</v>
      </c>
      <c r="M222" t="n">
        <v>0</v>
      </c>
      <c r="N222" t="n">
        <v>0</v>
      </c>
      <c r="O222" t="n">
        <v>0</v>
      </c>
      <c r="P222" t="n">
        <v>0</v>
      </c>
      <c r="Q222" t="n">
        <v>0</v>
      </c>
      <c r="R222" s="2" t="inlineStr"/>
    </row>
    <row r="223" ht="15" customHeight="1">
      <c r="A223" t="inlineStr">
        <is>
          <t>A 56330-2025</t>
        </is>
      </c>
      <c r="B223" s="1" t="n">
        <v>45974.64094907408</v>
      </c>
      <c r="C223" s="1" t="n">
        <v>46103</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56597-2025</t>
        </is>
      </c>
      <c r="B224" s="1" t="n">
        <v>45975.57271990741</v>
      </c>
      <c r="C224" s="1" t="n">
        <v>46103</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45438-2021</t>
        </is>
      </c>
      <c r="B225" s="1" t="n">
        <v>44440</v>
      </c>
      <c r="C225" s="1" t="n">
        <v>46103</v>
      </c>
      <c r="D225" t="inlineStr">
        <is>
          <t>SÖDERMANLANDS LÄN</t>
        </is>
      </c>
      <c r="E225" t="inlineStr">
        <is>
          <t>KATRINEHOLM</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46103</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22476-2025</t>
        </is>
      </c>
      <c r="B227" s="1" t="n">
        <v>45786</v>
      </c>
      <c r="C227" s="1" t="n">
        <v>46103</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23838-2021</t>
        </is>
      </c>
      <c r="B228" s="1" t="n">
        <v>44335</v>
      </c>
      <c r="C228" s="1" t="n">
        <v>46103</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4387-2024</t>
        </is>
      </c>
      <c r="B229" s="1" t="n">
        <v>45327.35068287037</v>
      </c>
      <c r="C229" s="1" t="n">
        <v>46103</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38708-2025</t>
        </is>
      </c>
      <c r="B230" s="1" t="n">
        <v>45885</v>
      </c>
      <c r="C230" s="1" t="n">
        <v>46103</v>
      </c>
      <c r="D230" t="inlineStr">
        <is>
          <t>SÖDERMANLANDS LÄN</t>
        </is>
      </c>
      <c r="E230" t="inlineStr">
        <is>
          <t>KATRINEHOLM</t>
        </is>
      </c>
      <c r="G230" t="n">
        <v>1.9</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46103</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57323-2025</t>
        </is>
      </c>
      <c r="B232" s="1" t="n">
        <v>45980.32501157407</v>
      </c>
      <c r="C232" s="1" t="n">
        <v>46103</v>
      </c>
      <c r="D232" t="inlineStr">
        <is>
          <t>SÖDERMANLANDS LÄN</t>
        </is>
      </c>
      <c r="E232" t="inlineStr">
        <is>
          <t>KATRINEHOLM</t>
        </is>
      </c>
      <c r="F232" t="inlineStr">
        <is>
          <t>Övriga Aktiebolag</t>
        </is>
      </c>
      <c r="G232" t="n">
        <v>1.1</v>
      </c>
      <c r="H232" t="n">
        <v>0</v>
      </c>
      <c r="I232" t="n">
        <v>0</v>
      </c>
      <c r="J232" t="n">
        <v>0</v>
      </c>
      <c r="K232" t="n">
        <v>0</v>
      </c>
      <c r="L232" t="n">
        <v>0</v>
      </c>
      <c r="M232" t="n">
        <v>0</v>
      </c>
      <c r="N232" t="n">
        <v>0</v>
      </c>
      <c r="O232" t="n">
        <v>0</v>
      </c>
      <c r="P232" t="n">
        <v>0</v>
      </c>
      <c r="Q232" t="n">
        <v>0</v>
      </c>
      <c r="R232" s="2" t="inlineStr"/>
    </row>
    <row r="233" ht="15" customHeight="1">
      <c r="A233" t="inlineStr">
        <is>
          <t>A 57975-2025</t>
        </is>
      </c>
      <c r="B233" s="1" t="n">
        <v>45981</v>
      </c>
      <c r="C233" s="1" t="n">
        <v>46103</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46103</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46103</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46103</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8955-2024</t>
        </is>
      </c>
      <c r="B237" s="1" t="n">
        <v>45357.44873842593</v>
      </c>
      <c r="C237" s="1" t="n">
        <v>46103</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36001-2024</t>
        </is>
      </c>
      <c r="B238" s="1" t="n">
        <v>45533.54609953704</v>
      </c>
      <c r="C238" s="1" t="n">
        <v>46103</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36-2023</t>
        </is>
      </c>
      <c r="B239" s="1" t="n">
        <v>44928.36578703704</v>
      </c>
      <c r="C239" s="1" t="n">
        <v>46103</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39668-2025</t>
        </is>
      </c>
      <c r="B240" s="1" t="n">
        <v>45890</v>
      </c>
      <c r="C240" s="1" t="n">
        <v>46103</v>
      </c>
      <c r="D240" t="inlineStr">
        <is>
          <t>SÖDERMANLANDS LÄN</t>
        </is>
      </c>
      <c r="E240" t="inlineStr">
        <is>
          <t>KATRINEHOLM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46103</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46103</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46103</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46103</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46103</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46569-2022</t>
        </is>
      </c>
      <c r="B246" s="1" t="n">
        <v>44847</v>
      </c>
      <c r="C246" s="1" t="n">
        <v>46103</v>
      </c>
      <c r="D246" t="inlineStr">
        <is>
          <t>SÖDERMANLANDS LÄN</t>
        </is>
      </c>
      <c r="E246" t="inlineStr">
        <is>
          <t>KATRINEHOLM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19098-2022</t>
        </is>
      </c>
      <c r="B247" s="1" t="n">
        <v>44691.52616898148</v>
      </c>
      <c r="C247" s="1" t="n">
        <v>46103</v>
      </c>
      <c r="D247" t="inlineStr">
        <is>
          <t>SÖDERMANLANDS LÄN</t>
        </is>
      </c>
      <c r="E247" t="inlineStr">
        <is>
          <t>KATRINEHOLM</t>
        </is>
      </c>
      <c r="G247" t="n">
        <v>5.5</v>
      </c>
      <c r="H247" t="n">
        <v>0</v>
      </c>
      <c r="I247" t="n">
        <v>0</v>
      </c>
      <c r="J247" t="n">
        <v>0</v>
      </c>
      <c r="K247" t="n">
        <v>0</v>
      </c>
      <c r="L247" t="n">
        <v>0</v>
      </c>
      <c r="M247" t="n">
        <v>0</v>
      </c>
      <c r="N247" t="n">
        <v>0</v>
      </c>
      <c r="O247" t="n">
        <v>0</v>
      </c>
      <c r="P247" t="n">
        <v>0</v>
      </c>
      <c r="Q247" t="n">
        <v>0</v>
      </c>
      <c r="R247" s="2" t="inlineStr"/>
    </row>
    <row r="248" ht="15" customHeight="1">
      <c r="A248" t="inlineStr">
        <is>
          <t>A 51530-2023</t>
        </is>
      </c>
      <c r="B248" s="1" t="n">
        <v>45222</v>
      </c>
      <c r="C248" s="1" t="n">
        <v>46103</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3315-2023</t>
        </is>
      </c>
      <c r="B249" s="1" t="n">
        <v>44945</v>
      </c>
      <c r="C249" s="1" t="n">
        <v>46103</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46103</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46103</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46103</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59967-2025</t>
        </is>
      </c>
      <c r="B253" s="1" t="n">
        <v>45993.48525462963</v>
      </c>
      <c r="C253" s="1" t="n">
        <v>46103</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46103</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41074-2025</t>
        </is>
      </c>
      <c r="B255" s="1" t="n">
        <v>45898</v>
      </c>
      <c r="C255" s="1" t="n">
        <v>46103</v>
      </c>
      <c r="D255" t="inlineStr">
        <is>
          <t>SÖDERMANLANDS LÄN</t>
        </is>
      </c>
      <c r="E255" t="inlineStr">
        <is>
          <t>KATRINEHOLM</t>
        </is>
      </c>
      <c r="F255" t="inlineStr">
        <is>
          <t>Allmännings- och besparingsskogar</t>
        </is>
      </c>
      <c r="G255" t="n">
        <v>4.8</v>
      </c>
      <c r="H255" t="n">
        <v>0</v>
      </c>
      <c r="I255" t="n">
        <v>0</v>
      </c>
      <c r="J255" t="n">
        <v>0</v>
      </c>
      <c r="K255" t="n">
        <v>0</v>
      </c>
      <c r="L255" t="n">
        <v>0</v>
      </c>
      <c r="M255" t="n">
        <v>0</v>
      </c>
      <c r="N255" t="n">
        <v>0</v>
      </c>
      <c r="O255" t="n">
        <v>0</v>
      </c>
      <c r="P255" t="n">
        <v>0</v>
      </c>
      <c r="Q255" t="n">
        <v>0</v>
      </c>
      <c r="R255" s="2" t="inlineStr"/>
    </row>
    <row r="256" ht="15" customHeight="1">
      <c r="A256" t="inlineStr">
        <is>
          <t>A 41633-2025</t>
        </is>
      </c>
      <c r="B256" s="1" t="n">
        <v>45901</v>
      </c>
      <c r="C256" s="1" t="n">
        <v>46103</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41632-2025</t>
        </is>
      </c>
      <c r="B257" s="1" t="n">
        <v>45901</v>
      </c>
      <c r="C257" s="1" t="n">
        <v>46103</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12930-2023</t>
        </is>
      </c>
      <c r="B258" s="1" t="n">
        <v>45001</v>
      </c>
      <c r="C258" s="1" t="n">
        <v>46103</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38308-2021</t>
        </is>
      </c>
      <c r="B259" s="1" t="n">
        <v>44406</v>
      </c>
      <c r="C259" s="1" t="n">
        <v>46103</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41498-2025</t>
        </is>
      </c>
      <c r="B260" s="1" t="n">
        <v>45901.49755787037</v>
      </c>
      <c r="C260" s="1" t="n">
        <v>46103</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46103</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46103</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41648-2025</t>
        </is>
      </c>
      <c r="B263" s="1" t="n">
        <v>45902.32601851852</v>
      </c>
      <c r="C263" s="1" t="n">
        <v>46103</v>
      </c>
      <c r="D263" t="inlineStr">
        <is>
          <t>SÖDERMANLANDS LÄN</t>
        </is>
      </c>
      <c r="E263" t="inlineStr">
        <is>
          <t>KATRINEHOLM</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60678-2025</t>
        </is>
      </c>
      <c r="B264" s="1" t="n">
        <v>45996.56251157408</v>
      </c>
      <c r="C264" s="1" t="n">
        <v>46103</v>
      </c>
      <c r="D264" t="inlineStr">
        <is>
          <t>SÖDERMANLANDS LÄN</t>
        </is>
      </c>
      <c r="E264" t="inlineStr">
        <is>
          <t>KATRINEHOLM</t>
        </is>
      </c>
      <c r="G264" t="n">
        <v>2</v>
      </c>
      <c r="H264" t="n">
        <v>0</v>
      </c>
      <c r="I264" t="n">
        <v>0</v>
      </c>
      <c r="J264" t="n">
        <v>0</v>
      </c>
      <c r="K264" t="n">
        <v>0</v>
      </c>
      <c r="L264" t="n">
        <v>0</v>
      </c>
      <c r="M264" t="n">
        <v>0</v>
      </c>
      <c r="N264" t="n">
        <v>0</v>
      </c>
      <c r="O264" t="n">
        <v>0</v>
      </c>
      <c r="P264" t="n">
        <v>0</v>
      </c>
      <c r="Q264" t="n">
        <v>0</v>
      </c>
      <c r="R264" s="2" t="inlineStr"/>
    </row>
    <row r="265" ht="15" customHeight="1">
      <c r="A265" t="inlineStr">
        <is>
          <t>A 55856-2022</t>
        </is>
      </c>
      <c r="B265" s="1" t="n">
        <v>44888</v>
      </c>
      <c r="C265" s="1" t="n">
        <v>46103</v>
      </c>
      <c r="D265" t="inlineStr">
        <is>
          <t>SÖDERMANLANDS LÄN</t>
        </is>
      </c>
      <c r="E265" t="inlineStr">
        <is>
          <t>KATRINEHOLM</t>
        </is>
      </c>
      <c r="G265" t="n">
        <v>5.6</v>
      </c>
      <c r="H265" t="n">
        <v>0</v>
      </c>
      <c r="I265" t="n">
        <v>0</v>
      </c>
      <c r="J265" t="n">
        <v>0</v>
      </c>
      <c r="K265" t="n">
        <v>0</v>
      </c>
      <c r="L265" t="n">
        <v>0</v>
      </c>
      <c r="M265" t="n">
        <v>0</v>
      </c>
      <c r="N265" t="n">
        <v>0</v>
      </c>
      <c r="O265" t="n">
        <v>0</v>
      </c>
      <c r="P265" t="n">
        <v>0</v>
      </c>
      <c r="Q265" t="n">
        <v>0</v>
      </c>
      <c r="R265" s="2" t="inlineStr"/>
    </row>
    <row r="266" ht="15" customHeight="1">
      <c r="A266" t="inlineStr">
        <is>
          <t>A 49341-2024</t>
        </is>
      </c>
      <c r="B266" s="1" t="n">
        <v>45595</v>
      </c>
      <c r="C266" s="1" t="n">
        <v>46103</v>
      </c>
      <c r="D266" t="inlineStr">
        <is>
          <t>SÖDERMANLANDS LÄN</t>
        </is>
      </c>
      <c r="E266" t="inlineStr">
        <is>
          <t>KATRINEHOLM</t>
        </is>
      </c>
      <c r="G266" t="n">
        <v>10</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46103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41793-2025</t>
        </is>
      </c>
      <c r="B268" s="1" t="n">
        <v>45902</v>
      </c>
      <c r="C268" s="1" t="n">
        <v>46103</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61066-2025</t>
        </is>
      </c>
      <c r="B269" s="1" t="n">
        <v>46000.37695601852</v>
      </c>
      <c r="C269" s="1" t="n">
        <v>46103</v>
      </c>
      <c r="D269" t="inlineStr">
        <is>
          <t>SÖDERMANLANDS LÄN</t>
        </is>
      </c>
      <c r="E269" t="inlineStr">
        <is>
          <t>KATRINEHOLM</t>
        </is>
      </c>
      <c r="F269" t="inlineStr">
        <is>
          <t>Kyrkan</t>
        </is>
      </c>
      <c r="G269" t="n">
        <v>5</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46103</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46103</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42474-2025</t>
        </is>
      </c>
      <c r="B272" s="1" t="n">
        <v>45905.46659722222</v>
      </c>
      <c r="C272" s="1" t="n">
        <v>46103</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42799-2025</t>
        </is>
      </c>
      <c r="B273" s="1" t="n">
        <v>45907</v>
      </c>
      <c r="C273" s="1" t="n">
        <v>46103</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24902-2024</t>
        </is>
      </c>
      <c r="B274" s="1" t="n">
        <v>45461</v>
      </c>
      <c r="C274" s="1" t="n">
        <v>46103</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61121-2025</t>
        </is>
      </c>
      <c r="B275" s="1" t="n">
        <v>46000.46746527778</v>
      </c>
      <c r="C275" s="1" t="n">
        <v>46103</v>
      </c>
      <c r="D275" t="inlineStr">
        <is>
          <t>SÖDERMANLANDS LÄN</t>
        </is>
      </c>
      <c r="E275" t="inlineStr">
        <is>
          <t>KATRINEHOLM</t>
        </is>
      </c>
      <c r="G275" t="n">
        <v>0.2</v>
      </c>
      <c r="H275" t="n">
        <v>0</v>
      </c>
      <c r="I275" t="n">
        <v>0</v>
      </c>
      <c r="J275" t="n">
        <v>0</v>
      </c>
      <c r="K275" t="n">
        <v>0</v>
      </c>
      <c r="L275" t="n">
        <v>0</v>
      </c>
      <c r="M275" t="n">
        <v>0</v>
      </c>
      <c r="N275" t="n">
        <v>0</v>
      </c>
      <c r="O275" t="n">
        <v>0</v>
      </c>
      <c r="P275" t="n">
        <v>0</v>
      </c>
      <c r="Q275" t="n">
        <v>0</v>
      </c>
      <c r="R275" s="2" t="inlineStr"/>
    </row>
    <row r="276" ht="15" customHeight="1">
      <c r="A276" t="inlineStr">
        <is>
          <t>A 42686-2025</t>
        </is>
      </c>
      <c r="B276" s="1" t="n">
        <v>45908.35550925926</v>
      </c>
      <c r="C276" s="1" t="n">
        <v>46103</v>
      </c>
      <c r="D276" t="inlineStr">
        <is>
          <t>SÖDERMANLANDS LÄN</t>
        </is>
      </c>
      <c r="E276" t="inlineStr">
        <is>
          <t>KATRINEHOLM</t>
        </is>
      </c>
      <c r="G276" t="n">
        <v>0.9</v>
      </c>
      <c r="H276" t="n">
        <v>0</v>
      </c>
      <c r="I276" t="n">
        <v>0</v>
      </c>
      <c r="J276" t="n">
        <v>0</v>
      </c>
      <c r="K276" t="n">
        <v>0</v>
      </c>
      <c r="L276" t="n">
        <v>0</v>
      </c>
      <c r="M276" t="n">
        <v>0</v>
      </c>
      <c r="N276" t="n">
        <v>0</v>
      </c>
      <c r="O276" t="n">
        <v>0</v>
      </c>
      <c r="P276" t="n">
        <v>0</v>
      </c>
      <c r="Q276" t="n">
        <v>0</v>
      </c>
      <c r="R276" s="2" t="inlineStr"/>
    </row>
    <row r="277" ht="15" customHeight="1">
      <c r="A277" t="inlineStr">
        <is>
          <t>A 61721-2025</t>
        </is>
      </c>
      <c r="B277" s="1" t="n">
        <v>46002.57778935185</v>
      </c>
      <c r="C277" s="1" t="n">
        <v>46103</v>
      </c>
      <c r="D277" t="inlineStr">
        <is>
          <t>SÖDERMANLANDS LÄN</t>
        </is>
      </c>
      <c r="E277" t="inlineStr">
        <is>
          <t>KATRINEHOLM</t>
        </is>
      </c>
      <c r="G277" t="n">
        <v>4.5</v>
      </c>
      <c r="H277" t="n">
        <v>0</v>
      </c>
      <c r="I277" t="n">
        <v>0</v>
      </c>
      <c r="J277" t="n">
        <v>0</v>
      </c>
      <c r="K277" t="n">
        <v>0</v>
      </c>
      <c r="L277" t="n">
        <v>0</v>
      </c>
      <c r="M277" t="n">
        <v>0</v>
      </c>
      <c r="N277" t="n">
        <v>0</v>
      </c>
      <c r="O277" t="n">
        <v>0</v>
      </c>
      <c r="P277" t="n">
        <v>0</v>
      </c>
      <c r="Q277" t="n">
        <v>0</v>
      </c>
      <c r="R277" s="2" t="inlineStr"/>
    </row>
    <row r="278" ht="15" customHeight="1">
      <c r="A278" t="inlineStr">
        <is>
          <t>A 41205-2021</t>
        </is>
      </c>
      <c r="B278" s="1" t="n">
        <v>44424.38577546296</v>
      </c>
      <c r="C278" s="1" t="n">
        <v>46103</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55296-2022</t>
        </is>
      </c>
      <c r="B279" s="1" t="n">
        <v>44887</v>
      </c>
      <c r="C279" s="1" t="n">
        <v>46103</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9932-2023</t>
        </is>
      </c>
      <c r="B280" s="1" t="n">
        <v>44985.46709490741</v>
      </c>
      <c r="C280" s="1" t="n">
        <v>46103</v>
      </c>
      <c r="D280" t="inlineStr">
        <is>
          <t>SÖDERMANLANDS LÄN</t>
        </is>
      </c>
      <c r="E280" t="inlineStr">
        <is>
          <t>KATRINEHOLM</t>
        </is>
      </c>
      <c r="G280" t="n">
        <v>0.3</v>
      </c>
      <c r="H280" t="n">
        <v>0</v>
      </c>
      <c r="I280" t="n">
        <v>0</v>
      </c>
      <c r="J280" t="n">
        <v>0</v>
      </c>
      <c r="K280" t="n">
        <v>0</v>
      </c>
      <c r="L280" t="n">
        <v>0</v>
      </c>
      <c r="M280" t="n">
        <v>0</v>
      </c>
      <c r="N280" t="n">
        <v>0</v>
      </c>
      <c r="O280" t="n">
        <v>0</v>
      </c>
      <c r="P280" t="n">
        <v>0</v>
      </c>
      <c r="Q280" t="n">
        <v>0</v>
      </c>
      <c r="R280" s="2" t="inlineStr"/>
    </row>
    <row r="281" ht="15" customHeight="1">
      <c r="A281" t="inlineStr">
        <is>
          <t>A 42590-2022</t>
        </is>
      </c>
      <c r="B281" s="1" t="n">
        <v>44831</v>
      </c>
      <c r="C281" s="1" t="n">
        <v>46103</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17360-2022</t>
        </is>
      </c>
      <c r="B282" s="1" t="n">
        <v>44678</v>
      </c>
      <c r="C282" s="1" t="n">
        <v>46103</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48520-2023</t>
        </is>
      </c>
      <c r="B283" s="1" t="n">
        <v>45208</v>
      </c>
      <c r="C283" s="1" t="n">
        <v>46103</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9693-2024</t>
        </is>
      </c>
      <c r="B284" s="1" t="n">
        <v>45362</v>
      </c>
      <c r="C284" s="1" t="n">
        <v>46103</v>
      </c>
      <c r="D284" t="inlineStr">
        <is>
          <t>SÖDERMANLANDS LÄN</t>
        </is>
      </c>
      <c r="E284" t="inlineStr">
        <is>
          <t>KATRINEHOLM</t>
        </is>
      </c>
      <c r="G284" t="n">
        <v>5.9</v>
      </c>
      <c r="H284" t="n">
        <v>0</v>
      </c>
      <c r="I284" t="n">
        <v>0</v>
      </c>
      <c r="J284" t="n">
        <v>0</v>
      </c>
      <c r="K284" t="n">
        <v>0</v>
      </c>
      <c r="L284" t="n">
        <v>0</v>
      </c>
      <c r="M284" t="n">
        <v>0</v>
      </c>
      <c r="N284" t="n">
        <v>0</v>
      </c>
      <c r="O284" t="n">
        <v>0</v>
      </c>
      <c r="P284" t="n">
        <v>0</v>
      </c>
      <c r="Q284" t="n">
        <v>0</v>
      </c>
      <c r="R284" s="2" t="inlineStr"/>
    </row>
    <row r="285" ht="15" customHeight="1">
      <c r="A285" t="inlineStr">
        <is>
          <t>A 32818-2023</t>
        </is>
      </c>
      <c r="B285" s="1" t="n">
        <v>45124.55633101852</v>
      </c>
      <c r="C285" s="1" t="n">
        <v>46103</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43975-2025</t>
        </is>
      </c>
      <c r="B286" s="1" t="n">
        <v>45915.41148148148</v>
      </c>
      <c r="C286" s="1" t="n">
        <v>46103</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35864-2023</t>
        </is>
      </c>
      <c r="B287" s="1" t="n">
        <v>45147</v>
      </c>
      <c r="C287" s="1" t="n">
        <v>46103</v>
      </c>
      <c r="D287" t="inlineStr">
        <is>
          <t>SÖDERMANLANDS LÄN</t>
        </is>
      </c>
      <c r="E287" t="inlineStr">
        <is>
          <t>KATRINEHOLM</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2603-2025</t>
        </is>
      </c>
      <c r="B288" s="1" t="n">
        <v>45674</v>
      </c>
      <c r="C288" s="1" t="n">
        <v>46103</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44071-2025</t>
        </is>
      </c>
      <c r="B289" s="1" t="n">
        <v>45915</v>
      </c>
      <c r="C289" s="1" t="n">
        <v>46103</v>
      </c>
      <c r="D289" t="inlineStr">
        <is>
          <t>SÖDERMANLANDS LÄN</t>
        </is>
      </c>
      <c r="E289" t="inlineStr">
        <is>
          <t>KATRINEHOLM</t>
        </is>
      </c>
      <c r="G289" t="n">
        <v>3.1</v>
      </c>
      <c r="H289" t="n">
        <v>0</v>
      </c>
      <c r="I289" t="n">
        <v>0</v>
      </c>
      <c r="J289" t="n">
        <v>0</v>
      </c>
      <c r="K289" t="n">
        <v>0</v>
      </c>
      <c r="L289" t="n">
        <v>0</v>
      </c>
      <c r="M289" t="n">
        <v>0</v>
      </c>
      <c r="N289" t="n">
        <v>0</v>
      </c>
      <c r="O289" t="n">
        <v>0</v>
      </c>
      <c r="P289" t="n">
        <v>0</v>
      </c>
      <c r="Q289" t="n">
        <v>0</v>
      </c>
      <c r="R289" s="2" t="inlineStr"/>
    </row>
    <row r="290" ht="15" customHeight="1">
      <c r="A290" t="inlineStr">
        <is>
          <t>A 6810-2023</t>
        </is>
      </c>
      <c r="B290" s="1" t="n">
        <v>44964</v>
      </c>
      <c r="C290" s="1" t="n">
        <v>46103</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11635-2023</t>
        </is>
      </c>
      <c r="B291" s="1" t="n">
        <v>44994</v>
      </c>
      <c r="C291" s="1" t="n">
        <v>46103</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34732-2022</t>
        </is>
      </c>
      <c r="B292" s="1" t="n">
        <v>44795</v>
      </c>
      <c r="C292" s="1" t="n">
        <v>46103</v>
      </c>
      <c r="D292" t="inlineStr">
        <is>
          <t>SÖDERMANLANDS LÄN</t>
        </is>
      </c>
      <c r="E292" t="inlineStr">
        <is>
          <t>KATRINEHOLM</t>
        </is>
      </c>
      <c r="G292" t="n">
        <v>3</v>
      </c>
      <c r="H292" t="n">
        <v>0</v>
      </c>
      <c r="I292" t="n">
        <v>0</v>
      </c>
      <c r="J292" t="n">
        <v>0</v>
      </c>
      <c r="K292" t="n">
        <v>0</v>
      </c>
      <c r="L292" t="n">
        <v>0</v>
      </c>
      <c r="M292" t="n">
        <v>0</v>
      </c>
      <c r="N292" t="n">
        <v>0</v>
      </c>
      <c r="O292" t="n">
        <v>0</v>
      </c>
      <c r="P292" t="n">
        <v>0</v>
      </c>
      <c r="Q292" t="n">
        <v>0</v>
      </c>
      <c r="R292" s="2" t="inlineStr"/>
    </row>
    <row r="293" ht="15" customHeight="1">
      <c r="A293" t="inlineStr">
        <is>
          <t>A 61423-2024</t>
        </is>
      </c>
      <c r="B293" s="1" t="n">
        <v>45646.45209490741</v>
      </c>
      <c r="C293" s="1" t="n">
        <v>46103</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3982-2024</t>
        </is>
      </c>
      <c r="B294" s="1" t="n">
        <v>45322</v>
      </c>
      <c r="C294" s="1" t="n">
        <v>46103</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13086-2023</t>
        </is>
      </c>
      <c r="B295" s="1" t="n">
        <v>45002.42188657408</v>
      </c>
      <c r="C295" s="1" t="n">
        <v>46103</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63945-2025</t>
        </is>
      </c>
      <c r="B296" s="1" t="n">
        <v>46010</v>
      </c>
      <c r="C296" s="1" t="n">
        <v>46103</v>
      </c>
      <c r="D296" t="inlineStr">
        <is>
          <t>SÖDERMANLANDS LÄN</t>
        </is>
      </c>
      <c r="E296" t="inlineStr">
        <is>
          <t>KATRINEHOLM</t>
        </is>
      </c>
      <c r="F296" t="inlineStr">
        <is>
          <t>Allmännings- och besparingsskogar</t>
        </is>
      </c>
      <c r="G296" t="n">
        <v>1.2</v>
      </c>
      <c r="H296" t="n">
        <v>0</v>
      </c>
      <c r="I296" t="n">
        <v>0</v>
      </c>
      <c r="J296" t="n">
        <v>0</v>
      </c>
      <c r="K296" t="n">
        <v>0</v>
      </c>
      <c r="L296" t="n">
        <v>0</v>
      </c>
      <c r="M296" t="n">
        <v>0</v>
      </c>
      <c r="N296" t="n">
        <v>0</v>
      </c>
      <c r="O296" t="n">
        <v>0</v>
      </c>
      <c r="P296" t="n">
        <v>0</v>
      </c>
      <c r="Q296" t="n">
        <v>0</v>
      </c>
      <c r="R296" s="2" t="inlineStr"/>
    </row>
    <row r="297" ht="15" customHeight="1">
      <c r="A297" t="inlineStr">
        <is>
          <t>A 63947-2025</t>
        </is>
      </c>
      <c r="B297" s="1" t="n">
        <v>46010</v>
      </c>
      <c r="C297" s="1" t="n">
        <v>46103</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63949-2025</t>
        </is>
      </c>
      <c r="B298" s="1" t="n">
        <v>46010</v>
      </c>
      <c r="C298" s="1" t="n">
        <v>46103</v>
      </c>
      <c r="D298" t="inlineStr">
        <is>
          <t>SÖDERMANLANDS LÄN</t>
        </is>
      </c>
      <c r="E298" t="inlineStr">
        <is>
          <t>KATRINEHOLM</t>
        </is>
      </c>
      <c r="F298" t="inlineStr">
        <is>
          <t>Allmännings- och besparingsskogar</t>
        </is>
      </c>
      <c r="G298" t="n">
        <v>5.1</v>
      </c>
      <c r="H298" t="n">
        <v>0</v>
      </c>
      <c r="I298" t="n">
        <v>0</v>
      </c>
      <c r="J298" t="n">
        <v>0</v>
      </c>
      <c r="K298" t="n">
        <v>0</v>
      </c>
      <c r="L298" t="n">
        <v>0</v>
      </c>
      <c r="M298" t="n">
        <v>0</v>
      </c>
      <c r="N298" t="n">
        <v>0</v>
      </c>
      <c r="O298" t="n">
        <v>0</v>
      </c>
      <c r="P298" t="n">
        <v>0</v>
      </c>
      <c r="Q298" t="n">
        <v>0</v>
      </c>
      <c r="R298" s="2" t="inlineStr"/>
    </row>
    <row r="299" ht="15" customHeight="1">
      <c r="A299" t="inlineStr">
        <is>
          <t>A 63948-2025</t>
        </is>
      </c>
      <c r="B299" s="1" t="n">
        <v>46010</v>
      </c>
      <c r="C299" s="1" t="n">
        <v>46103</v>
      </c>
      <c r="D299" t="inlineStr">
        <is>
          <t>SÖDERMANLANDS LÄN</t>
        </is>
      </c>
      <c r="E299" t="inlineStr">
        <is>
          <t>KATRINEHOLM</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17820-2025</t>
        </is>
      </c>
      <c r="B300" s="1" t="n">
        <v>45758</v>
      </c>
      <c r="C300" s="1" t="n">
        <v>46103</v>
      </c>
      <c r="D300" t="inlineStr">
        <is>
          <t>SÖDERMANLANDS LÄN</t>
        </is>
      </c>
      <c r="E300" t="inlineStr">
        <is>
          <t>KATRINEHOLM</t>
        </is>
      </c>
      <c r="G300" t="n">
        <v>5.9</v>
      </c>
      <c r="H300" t="n">
        <v>0</v>
      </c>
      <c r="I300" t="n">
        <v>0</v>
      </c>
      <c r="J300" t="n">
        <v>0</v>
      </c>
      <c r="K300" t="n">
        <v>0</v>
      </c>
      <c r="L300" t="n">
        <v>0</v>
      </c>
      <c r="M300" t="n">
        <v>0</v>
      </c>
      <c r="N300" t="n">
        <v>0</v>
      </c>
      <c r="O300" t="n">
        <v>0</v>
      </c>
      <c r="P300" t="n">
        <v>0</v>
      </c>
      <c r="Q300" t="n">
        <v>0</v>
      </c>
      <c r="R300" s="2" t="inlineStr"/>
    </row>
    <row r="301" ht="15" customHeight="1">
      <c r="A301" t="inlineStr">
        <is>
          <t>A 57154-2023</t>
        </is>
      </c>
      <c r="B301" s="1" t="n">
        <v>45245</v>
      </c>
      <c r="C301" s="1" t="n">
        <v>46103</v>
      </c>
      <c r="D301" t="inlineStr">
        <is>
          <t>SÖDERMANLANDS LÄN</t>
        </is>
      </c>
      <c r="E301" t="inlineStr">
        <is>
          <t>KATRINEHOLM</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24605-2025</t>
        </is>
      </c>
      <c r="B302" s="1" t="n">
        <v>45798.57403935185</v>
      </c>
      <c r="C302" s="1" t="n">
        <v>46103</v>
      </c>
      <c r="D302" t="inlineStr">
        <is>
          <t>SÖDERMANLANDS LÄN</t>
        </is>
      </c>
      <c r="E302" t="inlineStr">
        <is>
          <t>KATRINEHOLM</t>
        </is>
      </c>
      <c r="G302" t="n">
        <v>7</v>
      </c>
      <c r="H302" t="n">
        <v>0</v>
      </c>
      <c r="I302" t="n">
        <v>0</v>
      </c>
      <c r="J302" t="n">
        <v>0</v>
      </c>
      <c r="K302" t="n">
        <v>0</v>
      </c>
      <c r="L302" t="n">
        <v>0</v>
      </c>
      <c r="M302" t="n">
        <v>0</v>
      </c>
      <c r="N302" t="n">
        <v>0</v>
      </c>
      <c r="O302" t="n">
        <v>0</v>
      </c>
      <c r="P302" t="n">
        <v>0</v>
      </c>
      <c r="Q302" t="n">
        <v>0</v>
      </c>
      <c r="R302" s="2" t="inlineStr"/>
    </row>
    <row r="303" ht="15" customHeight="1">
      <c r="A303" t="inlineStr">
        <is>
          <t>A 53999-2023</t>
        </is>
      </c>
      <c r="B303" s="1" t="n">
        <v>45231</v>
      </c>
      <c r="C303" s="1" t="n">
        <v>46103</v>
      </c>
      <c r="D303" t="inlineStr">
        <is>
          <t>SÖDERMANLANDS LÄN</t>
        </is>
      </c>
      <c r="E303" t="inlineStr">
        <is>
          <t>KATRINEHOLM</t>
        </is>
      </c>
      <c r="G303" t="n">
        <v>5.4</v>
      </c>
      <c r="H303" t="n">
        <v>0</v>
      </c>
      <c r="I303" t="n">
        <v>0</v>
      </c>
      <c r="J303" t="n">
        <v>0</v>
      </c>
      <c r="K303" t="n">
        <v>0</v>
      </c>
      <c r="L303" t="n">
        <v>0</v>
      </c>
      <c r="M303" t="n">
        <v>0</v>
      </c>
      <c r="N303" t="n">
        <v>0</v>
      </c>
      <c r="O303" t="n">
        <v>0</v>
      </c>
      <c r="P303" t="n">
        <v>0</v>
      </c>
      <c r="Q303" t="n">
        <v>0</v>
      </c>
      <c r="R303" s="2" t="inlineStr"/>
    </row>
    <row r="304" ht="15" customHeight="1">
      <c r="A304" t="inlineStr">
        <is>
          <t>A 30242-2023</t>
        </is>
      </c>
      <c r="B304" s="1" t="n">
        <v>45099</v>
      </c>
      <c r="C304" s="1" t="n">
        <v>46103</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57265-2022</t>
        </is>
      </c>
      <c r="B305" s="1" t="n">
        <v>44895</v>
      </c>
      <c r="C305" s="1" t="n">
        <v>46103</v>
      </c>
      <c r="D305" t="inlineStr">
        <is>
          <t>SÖDERMANLANDS LÄN</t>
        </is>
      </c>
      <c r="E305" t="inlineStr">
        <is>
          <t>KATRINEHOLM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46288-2025</t>
        </is>
      </c>
      <c r="B306" s="1" t="n">
        <v>45925.38545138889</v>
      </c>
      <c r="C306" s="1" t="n">
        <v>46103</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41727-2024</t>
        </is>
      </c>
      <c r="B307" s="1" t="n">
        <v>45560</v>
      </c>
      <c r="C307" s="1" t="n">
        <v>46103</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46103</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24566-2025</t>
        </is>
      </c>
      <c r="B309" s="1" t="n">
        <v>45798.46452546296</v>
      </c>
      <c r="C309" s="1" t="n">
        <v>46103</v>
      </c>
      <c r="D309" t="inlineStr">
        <is>
          <t>SÖDERMANLANDS LÄN</t>
        </is>
      </c>
      <c r="E309" t="inlineStr">
        <is>
          <t>KATRINEHOLM</t>
        </is>
      </c>
      <c r="G309" t="n">
        <v>6.3</v>
      </c>
      <c r="H309" t="n">
        <v>0</v>
      </c>
      <c r="I309" t="n">
        <v>0</v>
      </c>
      <c r="J309" t="n">
        <v>0</v>
      </c>
      <c r="K309" t="n">
        <v>0</v>
      </c>
      <c r="L309" t="n">
        <v>0</v>
      </c>
      <c r="M309" t="n">
        <v>0</v>
      </c>
      <c r="N309" t="n">
        <v>0</v>
      </c>
      <c r="O309" t="n">
        <v>0</v>
      </c>
      <c r="P309" t="n">
        <v>0</v>
      </c>
      <c r="Q309" t="n">
        <v>0</v>
      </c>
      <c r="R309" s="2" t="inlineStr"/>
    </row>
    <row r="310" ht="15" customHeight="1">
      <c r="A310" t="inlineStr">
        <is>
          <t>A 63895-2025</t>
        </is>
      </c>
      <c r="B310" s="1" t="n">
        <v>46020</v>
      </c>
      <c r="C310" s="1" t="n">
        <v>46103</v>
      </c>
      <c r="D310" t="inlineStr">
        <is>
          <t>SÖDERMANLANDS LÄN</t>
        </is>
      </c>
      <c r="E310" t="inlineStr">
        <is>
          <t>KATRINEHOLM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48877-2022</t>
        </is>
      </c>
      <c r="B311" s="1" t="n">
        <v>44859</v>
      </c>
      <c r="C311" s="1" t="n">
        <v>46103</v>
      </c>
      <c r="D311" t="inlineStr">
        <is>
          <t>SÖDERMANLANDS LÄN</t>
        </is>
      </c>
      <c r="E311" t="inlineStr">
        <is>
          <t>KATRINEHOLM</t>
        </is>
      </c>
      <c r="G311" t="n">
        <v>1</v>
      </c>
      <c r="H311" t="n">
        <v>0</v>
      </c>
      <c r="I311" t="n">
        <v>0</v>
      </c>
      <c r="J311" t="n">
        <v>0</v>
      </c>
      <c r="K311" t="n">
        <v>0</v>
      </c>
      <c r="L311" t="n">
        <v>0</v>
      </c>
      <c r="M311" t="n">
        <v>0</v>
      </c>
      <c r="N311" t="n">
        <v>0</v>
      </c>
      <c r="O311" t="n">
        <v>0</v>
      </c>
      <c r="P311" t="n">
        <v>0</v>
      </c>
      <c r="Q311" t="n">
        <v>0</v>
      </c>
      <c r="R311" s="2" t="inlineStr"/>
    </row>
    <row r="312" ht="15" customHeight="1">
      <c r="A312" t="inlineStr">
        <is>
          <t>A 46524-2025</t>
        </is>
      </c>
      <c r="B312" s="1" t="n">
        <v>45926</v>
      </c>
      <c r="C312" s="1" t="n">
        <v>46103</v>
      </c>
      <c r="D312" t="inlineStr">
        <is>
          <t>SÖDERMANLANDS LÄN</t>
        </is>
      </c>
      <c r="E312" t="inlineStr">
        <is>
          <t>KATRINEHOLM</t>
        </is>
      </c>
      <c r="G312" t="n">
        <v>5.7</v>
      </c>
      <c r="H312" t="n">
        <v>0</v>
      </c>
      <c r="I312" t="n">
        <v>0</v>
      </c>
      <c r="J312" t="n">
        <v>0</v>
      </c>
      <c r="K312" t="n">
        <v>0</v>
      </c>
      <c r="L312" t="n">
        <v>0</v>
      </c>
      <c r="M312" t="n">
        <v>0</v>
      </c>
      <c r="N312" t="n">
        <v>0</v>
      </c>
      <c r="O312" t="n">
        <v>0</v>
      </c>
      <c r="P312" t="n">
        <v>0</v>
      </c>
      <c r="Q312" t="n">
        <v>0</v>
      </c>
      <c r="R312" s="2" t="inlineStr"/>
    </row>
    <row r="313" ht="15" customHeight="1">
      <c r="A313" t="inlineStr">
        <is>
          <t>A 34539-2022</t>
        </is>
      </c>
      <c r="B313" s="1" t="n">
        <v>44793.50563657407</v>
      </c>
      <c r="C313" s="1" t="n">
        <v>46103</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3115-2024</t>
        </is>
      </c>
      <c r="B314" s="1" t="n">
        <v>45316.49630787037</v>
      </c>
      <c r="C314" s="1" t="n">
        <v>46103</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56086-2023</t>
        </is>
      </c>
      <c r="B315" s="1" t="n">
        <v>45240</v>
      </c>
      <c r="C315" s="1" t="n">
        <v>46103</v>
      </c>
      <c r="D315" t="inlineStr">
        <is>
          <t>SÖDERMANLANDS LÄN</t>
        </is>
      </c>
      <c r="E315" t="inlineStr">
        <is>
          <t>KATRINEHOLM</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23705-2023</t>
        </is>
      </c>
      <c r="B316" s="1" t="n">
        <v>45077</v>
      </c>
      <c r="C316" s="1" t="n">
        <v>46103</v>
      </c>
      <c r="D316" t="inlineStr">
        <is>
          <t>SÖDERMANLANDS LÄN</t>
        </is>
      </c>
      <c r="E316" t="inlineStr">
        <is>
          <t>KATRINEHOLM</t>
        </is>
      </c>
      <c r="F316" t="inlineStr">
        <is>
          <t>Kyrkan</t>
        </is>
      </c>
      <c r="G316" t="n">
        <v>11.9</v>
      </c>
      <c r="H316" t="n">
        <v>0</v>
      </c>
      <c r="I316" t="n">
        <v>0</v>
      </c>
      <c r="J316" t="n">
        <v>0</v>
      </c>
      <c r="K316" t="n">
        <v>0</v>
      </c>
      <c r="L316" t="n">
        <v>0</v>
      </c>
      <c r="M316" t="n">
        <v>0</v>
      </c>
      <c r="N316" t="n">
        <v>0</v>
      </c>
      <c r="O316" t="n">
        <v>0</v>
      </c>
      <c r="P316" t="n">
        <v>0</v>
      </c>
      <c r="Q316" t="n">
        <v>0</v>
      </c>
      <c r="R316" s="2" t="inlineStr"/>
    </row>
    <row r="317" ht="15" customHeight="1">
      <c r="A317" t="inlineStr">
        <is>
          <t>A 54873-2025</t>
        </is>
      </c>
      <c r="B317" s="1" t="n">
        <v>45967</v>
      </c>
      <c r="C317" s="1" t="n">
        <v>46103</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24719-2025</t>
        </is>
      </c>
      <c r="B318" s="1" t="n">
        <v>45799</v>
      </c>
      <c r="C318" s="1" t="n">
        <v>46103</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24717-2025</t>
        </is>
      </c>
      <c r="B319" s="1" t="n">
        <v>45799.27168981481</v>
      </c>
      <c r="C319" s="1" t="n">
        <v>46103</v>
      </c>
      <c r="D319" t="inlineStr">
        <is>
          <t>SÖDERMANLANDS LÄN</t>
        </is>
      </c>
      <c r="E319" t="inlineStr">
        <is>
          <t>KATRINEHOLM</t>
        </is>
      </c>
      <c r="G319" t="n">
        <v>24.5</v>
      </c>
      <c r="H319" t="n">
        <v>0</v>
      </c>
      <c r="I319" t="n">
        <v>0</v>
      </c>
      <c r="J319" t="n">
        <v>0</v>
      </c>
      <c r="K319" t="n">
        <v>0</v>
      </c>
      <c r="L319" t="n">
        <v>0</v>
      </c>
      <c r="M319" t="n">
        <v>0</v>
      </c>
      <c r="N319" t="n">
        <v>0</v>
      </c>
      <c r="O319" t="n">
        <v>0</v>
      </c>
      <c r="P319" t="n">
        <v>0</v>
      </c>
      <c r="Q319" t="n">
        <v>0</v>
      </c>
      <c r="R319" s="2" t="inlineStr"/>
    </row>
    <row r="320" ht="15" customHeight="1">
      <c r="A320" t="inlineStr">
        <is>
          <t>A 52769-2023</t>
        </is>
      </c>
      <c r="B320" s="1" t="n">
        <v>45226</v>
      </c>
      <c r="C320" s="1" t="n">
        <v>46103</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7223-2022</t>
        </is>
      </c>
      <c r="B321" s="1" t="n">
        <v>44603</v>
      </c>
      <c r="C321" s="1" t="n">
        <v>46103</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51446-2023</t>
        </is>
      </c>
      <c r="B322" s="1" t="n">
        <v>45220.48068287037</v>
      </c>
      <c r="C322" s="1" t="n">
        <v>46103</v>
      </c>
      <c r="D322" t="inlineStr">
        <is>
          <t>SÖDERMANLANDS LÄN</t>
        </is>
      </c>
      <c r="E322" t="inlineStr">
        <is>
          <t>KATRINEHOLM</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28931-2024</t>
        </is>
      </c>
      <c r="B323" s="1" t="n">
        <v>45479</v>
      </c>
      <c r="C323" s="1" t="n">
        <v>46103</v>
      </c>
      <c r="D323" t="inlineStr">
        <is>
          <t>SÖDERMANLANDS LÄN</t>
        </is>
      </c>
      <c r="E323" t="inlineStr">
        <is>
          <t>KATRINEHOLM</t>
        </is>
      </c>
      <c r="G323" t="n">
        <v>7.4</v>
      </c>
      <c r="H323" t="n">
        <v>0</v>
      </c>
      <c r="I323" t="n">
        <v>0</v>
      </c>
      <c r="J323" t="n">
        <v>0</v>
      </c>
      <c r="K323" t="n">
        <v>0</v>
      </c>
      <c r="L323" t="n">
        <v>0</v>
      </c>
      <c r="M323" t="n">
        <v>0</v>
      </c>
      <c r="N323" t="n">
        <v>0</v>
      </c>
      <c r="O323" t="n">
        <v>0</v>
      </c>
      <c r="P323" t="n">
        <v>0</v>
      </c>
      <c r="Q323" t="n">
        <v>0</v>
      </c>
      <c r="R323" s="2" t="inlineStr"/>
    </row>
    <row r="324" ht="15" customHeight="1">
      <c r="A324" t="inlineStr">
        <is>
          <t>A 27646-2023</t>
        </is>
      </c>
      <c r="B324" s="1" t="n">
        <v>45097</v>
      </c>
      <c r="C324" s="1" t="n">
        <v>46103</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50626-2024</t>
        </is>
      </c>
      <c r="B325" s="1" t="n">
        <v>45601</v>
      </c>
      <c r="C325" s="1" t="n">
        <v>46103</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46103</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12888-2025</t>
        </is>
      </c>
      <c r="B327" s="1" t="n">
        <v>45733</v>
      </c>
      <c r="C327" s="1" t="n">
        <v>46103</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10086-2026</t>
        </is>
      </c>
      <c r="B328" s="1" t="n">
        <v>46073.68959490741</v>
      </c>
      <c r="C328" s="1" t="n">
        <v>46103</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7197-2023</t>
        </is>
      </c>
      <c r="B329" s="1" t="n">
        <v>44965</v>
      </c>
      <c r="C329" s="1" t="n">
        <v>46103</v>
      </c>
      <c r="D329" t="inlineStr">
        <is>
          <t>SÖDERMANLANDS LÄN</t>
        </is>
      </c>
      <c r="E329" t="inlineStr">
        <is>
          <t>KATRINEHOLM</t>
        </is>
      </c>
      <c r="G329" t="n">
        <v>5.3</v>
      </c>
      <c r="H329" t="n">
        <v>0</v>
      </c>
      <c r="I329" t="n">
        <v>0</v>
      </c>
      <c r="J329" t="n">
        <v>0</v>
      </c>
      <c r="K329" t="n">
        <v>0</v>
      </c>
      <c r="L329" t="n">
        <v>0</v>
      </c>
      <c r="M329" t="n">
        <v>0</v>
      </c>
      <c r="N329" t="n">
        <v>0</v>
      </c>
      <c r="O329" t="n">
        <v>0</v>
      </c>
      <c r="P329" t="n">
        <v>0</v>
      </c>
      <c r="Q329" t="n">
        <v>0</v>
      </c>
      <c r="R329" s="2" t="inlineStr"/>
    </row>
    <row r="330" ht="15" customHeight="1">
      <c r="A330" t="inlineStr">
        <is>
          <t>A 28394-2023</t>
        </is>
      </c>
      <c r="B330" s="1" t="n">
        <v>45100</v>
      </c>
      <c r="C330" s="1" t="n">
        <v>46103</v>
      </c>
      <c r="D330" t="inlineStr">
        <is>
          <t>SÖDERMANLANDS LÄN</t>
        </is>
      </c>
      <c r="E330" t="inlineStr">
        <is>
          <t>KATRINEHOLM</t>
        </is>
      </c>
      <c r="G330" t="n">
        <v>4.2</v>
      </c>
      <c r="H330" t="n">
        <v>0</v>
      </c>
      <c r="I330" t="n">
        <v>0</v>
      </c>
      <c r="J330" t="n">
        <v>0</v>
      </c>
      <c r="K330" t="n">
        <v>0</v>
      </c>
      <c r="L330" t="n">
        <v>0</v>
      </c>
      <c r="M330" t="n">
        <v>0</v>
      </c>
      <c r="N330" t="n">
        <v>0</v>
      </c>
      <c r="O330" t="n">
        <v>0</v>
      </c>
      <c r="P330" t="n">
        <v>0</v>
      </c>
      <c r="Q330" t="n">
        <v>0</v>
      </c>
      <c r="R330" s="2" t="inlineStr"/>
    </row>
    <row r="331" ht="15" customHeight="1">
      <c r="A331" t="inlineStr">
        <is>
          <t>A 1114-2026</t>
        </is>
      </c>
      <c r="B331" s="1" t="n">
        <v>46030.684375</v>
      </c>
      <c r="C331" s="1" t="n">
        <v>46103</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10091-2026</t>
        </is>
      </c>
      <c r="B332" s="1" t="n">
        <v>46073.70451388889</v>
      </c>
      <c r="C332" s="1" t="n">
        <v>46103</v>
      </c>
      <c r="D332" t="inlineStr">
        <is>
          <t>SÖDERMANLANDS LÄN</t>
        </is>
      </c>
      <c r="E332" t="inlineStr">
        <is>
          <t>KATRINEHOLM</t>
        </is>
      </c>
      <c r="G332" t="n">
        <v>2.2</v>
      </c>
      <c r="H332" t="n">
        <v>0</v>
      </c>
      <c r="I332" t="n">
        <v>0</v>
      </c>
      <c r="J332" t="n">
        <v>0</v>
      </c>
      <c r="K332" t="n">
        <v>0</v>
      </c>
      <c r="L332" t="n">
        <v>0</v>
      </c>
      <c r="M332" t="n">
        <v>0</v>
      </c>
      <c r="N332" t="n">
        <v>0</v>
      </c>
      <c r="O332" t="n">
        <v>0</v>
      </c>
      <c r="P332" t="n">
        <v>0</v>
      </c>
      <c r="Q332" t="n">
        <v>0</v>
      </c>
      <c r="R332" s="2" t="inlineStr"/>
    </row>
    <row r="333" ht="15" customHeight="1">
      <c r="A333" t="inlineStr">
        <is>
          <t>A 1112-2026</t>
        </is>
      </c>
      <c r="B333" s="1" t="n">
        <v>46030.68107638889</v>
      </c>
      <c r="C333" s="1" t="n">
        <v>46103</v>
      </c>
      <c r="D333" t="inlineStr">
        <is>
          <t>SÖDERMANLANDS LÄN</t>
        </is>
      </c>
      <c r="E333" t="inlineStr">
        <is>
          <t>KATRINEHOLM</t>
        </is>
      </c>
      <c r="G333" t="n">
        <v>3.2</v>
      </c>
      <c r="H333" t="n">
        <v>0</v>
      </c>
      <c r="I333" t="n">
        <v>0</v>
      </c>
      <c r="J333" t="n">
        <v>0</v>
      </c>
      <c r="K333" t="n">
        <v>0</v>
      </c>
      <c r="L333" t="n">
        <v>0</v>
      </c>
      <c r="M333" t="n">
        <v>0</v>
      </c>
      <c r="N333" t="n">
        <v>0</v>
      </c>
      <c r="O333" t="n">
        <v>0</v>
      </c>
      <c r="P333" t="n">
        <v>0</v>
      </c>
      <c r="Q333" t="n">
        <v>0</v>
      </c>
      <c r="R333" s="2" t="inlineStr"/>
    </row>
    <row r="334" ht="15" customHeight="1">
      <c r="A334" t="inlineStr">
        <is>
          <t>A 25362-2023</t>
        </is>
      </c>
      <c r="B334" s="1" t="n">
        <v>45088.83430555555</v>
      </c>
      <c r="C334" s="1" t="n">
        <v>46103</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47456-2022</t>
        </is>
      </c>
      <c r="B335" s="1" t="n">
        <v>44852</v>
      </c>
      <c r="C335" s="1" t="n">
        <v>46103</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1098-2026</t>
        </is>
      </c>
      <c r="B336" s="1" t="n">
        <v>46030.66519675926</v>
      </c>
      <c r="C336" s="1" t="n">
        <v>46103</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4656-2023</t>
        </is>
      </c>
      <c r="B337" s="1" t="n">
        <v>44957</v>
      </c>
      <c r="C337" s="1" t="n">
        <v>46103</v>
      </c>
      <c r="D337" t="inlineStr">
        <is>
          <t>SÖDERMANLANDS LÄN</t>
        </is>
      </c>
      <c r="E337" t="inlineStr">
        <is>
          <t>KATRINEHOLM</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49078-2024</t>
        </is>
      </c>
      <c r="B338" s="1" t="n">
        <v>45594.62556712963</v>
      </c>
      <c r="C338" s="1" t="n">
        <v>46103</v>
      </c>
      <c r="D338" t="inlineStr">
        <is>
          <t>SÖDERMANLANDS LÄN</t>
        </is>
      </c>
      <c r="E338" t="inlineStr">
        <is>
          <t>KATRINEHOLM</t>
        </is>
      </c>
      <c r="F338" t="inlineStr">
        <is>
          <t>Övriga Aktiebolag</t>
        </is>
      </c>
      <c r="G338" t="n">
        <v>0.4</v>
      </c>
      <c r="H338" t="n">
        <v>0</v>
      </c>
      <c r="I338" t="n">
        <v>0</v>
      </c>
      <c r="J338" t="n">
        <v>0</v>
      </c>
      <c r="K338" t="n">
        <v>0</v>
      </c>
      <c r="L338" t="n">
        <v>0</v>
      </c>
      <c r="M338" t="n">
        <v>0</v>
      </c>
      <c r="N338" t="n">
        <v>0</v>
      </c>
      <c r="O338" t="n">
        <v>0</v>
      </c>
      <c r="P338" t="n">
        <v>0</v>
      </c>
      <c r="Q338" t="n">
        <v>0</v>
      </c>
      <c r="R338" s="2" t="inlineStr"/>
    </row>
    <row r="339" ht="15" customHeight="1">
      <c r="A339" t="inlineStr">
        <is>
          <t>A 1106-2026</t>
        </is>
      </c>
      <c r="B339" s="1" t="n">
        <v>46030.67123842592</v>
      </c>
      <c r="C339" s="1" t="n">
        <v>46103</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35188-2022</t>
        </is>
      </c>
      <c r="B340" s="1" t="n">
        <v>44797</v>
      </c>
      <c r="C340" s="1" t="n">
        <v>46103</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5327-2025</t>
        </is>
      </c>
      <c r="B341" s="1" t="n">
        <v>45692</v>
      </c>
      <c r="C341" s="1" t="n">
        <v>46103</v>
      </c>
      <c r="D341" t="inlineStr">
        <is>
          <t>SÖDERMANLANDS LÄN</t>
        </is>
      </c>
      <c r="E341" t="inlineStr">
        <is>
          <t>KATRINEHOLM</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49743-2025</t>
        </is>
      </c>
      <c r="B342" s="1" t="n">
        <v>45940</v>
      </c>
      <c r="C342" s="1" t="n">
        <v>46103</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6175-2023</t>
        </is>
      </c>
      <c r="B343" s="1" t="n">
        <v>44964</v>
      </c>
      <c r="C343" s="1" t="n">
        <v>46103</v>
      </c>
      <c r="D343" t="inlineStr">
        <is>
          <t>SÖDERMANLANDS LÄN</t>
        </is>
      </c>
      <c r="E343" t="inlineStr">
        <is>
          <t>KATRINEHOLM</t>
        </is>
      </c>
      <c r="G343" t="n">
        <v>11.2</v>
      </c>
      <c r="H343" t="n">
        <v>0</v>
      </c>
      <c r="I343" t="n">
        <v>0</v>
      </c>
      <c r="J343" t="n">
        <v>0</v>
      </c>
      <c r="K343" t="n">
        <v>0</v>
      </c>
      <c r="L343" t="n">
        <v>0</v>
      </c>
      <c r="M343" t="n">
        <v>0</v>
      </c>
      <c r="N343" t="n">
        <v>0</v>
      </c>
      <c r="O343" t="n">
        <v>0</v>
      </c>
      <c r="P343" t="n">
        <v>0</v>
      </c>
      <c r="Q343" t="n">
        <v>0</v>
      </c>
      <c r="R343" s="2" t="inlineStr"/>
    </row>
    <row r="344" ht="15" customHeight="1">
      <c r="A344" t="inlineStr">
        <is>
          <t>A 4655-2024</t>
        </is>
      </c>
      <c r="B344" s="1" t="n">
        <v>45328</v>
      </c>
      <c r="C344" s="1" t="n">
        <v>46103</v>
      </c>
      <c r="D344" t="inlineStr">
        <is>
          <t>SÖDERMANLANDS LÄN</t>
        </is>
      </c>
      <c r="E344" t="inlineStr">
        <is>
          <t>KATRINEHOLM</t>
        </is>
      </c>
      <c r="G344" t="n">
        <v>17.7</v>
      </c>
      <c r="H344" t="n">
        <v>0</v>
      </c>
      <c r="I344" t="n">
        <v>0</v>
      </c>
      <c r="J344" t="n">
        <v>0</v>
      </c>
      <c r="K344" t="n">
        <v>0</v>
      </c>
      <c r="L344" t="n">
        <v>0</v>
      </c>
      <c r="M344" t="n">
        <v>0</v>
      </c>
      <c r="N344" t="n">
        <v>0</v>
      </c>
      <c r="O344" t="n">
        <v>0</v>
      </c>
      <c r="P344" t="n">
        <v>0</v>
      </c>
      <c r="Q344" t="n">
        <v>0</v>
      </c>
      <c r="R344" s="2" t="inlineStr"/>
    </row>
    <row r="345" ht="15" customHeight="1">
      <c r="A345" t="inlineStr">
        <is>
          <t>A 50316-2023</t>
        </is>
      </c>
      <c r="B345" s="1" t="n">
        <v>45209</v>
      </c>
      <c r="C345" s="1" t="n">
        <v>46103</v>
      </c>
      <c r="D345" t="inlineStr">
        <is>
          <t>SÖDERMANLANDS LÄN</t>
        </is>
      </c>
      <c r="E345" t="inlineStr">
        <is>
          <t>KATRINEHOLM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1668-2026</t>
        </is>
      </c>
      <c r="B346" s="1" t="n">
        <v>46034.55986111111</v>
      </c>
      <c r="C346" s="1" t="n">
        <v>46103</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46103</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11130-2026</t>
        </is>
      </c>
      <c r="B348" s="1" t="n">
        <v>46079.70384259259</v>
      </c>
      <c r="C348" s="1" t="n">
        <v>46103</v>
      </c>
      <c r="D348" t="inlineStr">
        <is>
          <t>SÖDERMANLANDS LÄN</t>
        </is>
      </c>
      <c r="E348" t="inlineStr">
        <is>
          <t>KATRINEHOLM</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10891-2026</t>
        </is>
      </c>
      <c r="B349" s="1" t="n">
        <v>46078.78545138889</v>
      </c>
      <c r="C349" s="1" t="n">
        <v>46103</v>
      </c>
      <c r="D349" t="inlineStr">
        <is>
          <t>SÖDERMANLANDS LÄN</t>
        </is>
      </c>
      <c r="E349" t="inlineStr">
        <is>
          <t>KATRINEHOLM</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10892-2026</t>
        </is>
      </c>
      <c r="B350" s="1" t="n">
        <v>46078.8040625</v>
      </c>
      <c r="C350" s="1" t="n">
        <v>46103</v>
      </c>
      <c r="D350" t="inlineStr">
        <is>
          <t>SÖDERMANLANDS LÄN</t>
        </is>
      </c>
      <c r="E350" t="inlineStr">
        <is>
          <t>KATRINEHOLM</t>
        </is>
      </c>
      <c r="F350" t="inlineStr">
        <is>
          <t>Allmännings- och besparingsskogar</t>
        </is>
      </c>
      <c r="G350" t="n">
        <v>3</v>
      </c>
      <c r="H350" t="n">
        <v>0</v>
      </c>
      <c r="I350" t="n">
        <v>0</v>
      </c>
      <c r="J350" t="n">
        <v>0</v>
      </c>
      <c r="K350" t="n">
        <v>0</v>
      </c>
      <c r="L350" t="n">
        <v>0</v>
      </c>
      <c r="M350" t="n">
        <v>0</v>
      </c>
      <c r="N350" t="n">
        <v>0</v>
      </c>
      <c r="O350" t="n">
        <v>0</v>
      </c>
      <c r="P350" t="n">
        <v>0</v>
      </c>
      <c r="Q350" t="n">
        <v>0</v>
      </c>
      <c r="R350" s="2" t="inlineStr"/>
    </row>
    <row r="351" ht="15" customHeight="1">
      <c r="A351" t="inlineStr">
        <is>
          <t>A 15898-2022</t>
        </is>
      </c>
      <c r="B351" s="1" t="n">
        <v>44664.55688657407</v>
      </c>
      <c r="C351" s="1" t="n">
        <v>46103</v>
      </c>
      <c r="D351" t="inlineStr">
        <is>
          <t>SÖDERMANLANDS LÄN</t>
        </is>
      </c>
      <c r="E351" t="inlineStr">
        <is>
          <t>KATRINEHOLM</t>
        </is>
      </c>
      <c r="G351" t="n">
        <v>6.5</v>
      </c>
      <c r="H351" t="n">
        <v>0</v>
      </c>
      <c r="I351" t="n">
        <v>0</v>
      </c>
      <c r="J351" t="n">
        <v>0</v>
      </c>
      <c r="K351" t="n">
        <v>0</v>
      </c>
      <c r="L351" t="n">
        <v>0</v>
      </c>
      <c r="M351" t="n">
        <v>0</v>
      </c>
      <c r="N351" t="n">
        <v>0</v>
      </c>
      <c r="O351" t="n">
        <v>0</v>
      </c>
      <c r="P351" t="n">
        <v>0</v>
      </c>
      <c r="Q351" t="n">
        <v>0</v>
      </c>
      <c r="R351" s="2" t="inlineStr"/>
    </row>
    <row r="352" ht="15" customHeight="1">
      <c r="A352" t="inlineStr">
        <is>
          <t>A 15910-2022</t>
        </is>
      </c>
      <c r="B352" s="1" t="n">
        <v>44664</v>
      </c>
      <c r="C352" s="1" t="n">
        <v>46103</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64605-2023</t>
        </is>
      </c>
      <c r="B353" s="1" t="n">
        <v>45281</v>
      </c>
      <c r="C353" s="1" t="n">
        <v>46103</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64652-2023</t>
        </is>
      </c>
      <c r="B354" s="1" t="n">
        <v>45281</v>
      </c>
      <c r="C354" s="1" t="n">
        <v>46103</v>
      </c>
      <c r="D354" t="inlineStr">
        <is>
          <t>SÖDERMANLANDS LÄN</t>
        </is>
      </c>
      <c r="E354" t="inlineStr">
        <is>
          <t>KATRINEHOLM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10721-2026</t>
        </is>
      </c>
      <c r="B355" s="1" t="n">
        <v>46078.46894675926</v>
      </c>
      <c r="C355" s="1" t="n">
        <v>46103</v>
      </c>
      <c r="D355" t="inlineStr">
        <is>
          <t>SÖDERMANLANDS LÄN</t>
        </is>
      </c>
      <c r="E355" t="inlineStr">
        <is>
          <t>KATRINEHOLM</t>
        </is>
      </c>
      <c r="F355" t="inlineStr">
        <is>
          <t>Allmännings- och besparingsskogar</t>
        </is>
      </c>
      <c r="G355" t="n">
        <v>1.8</v>
      </c>
      <c r="H355" t="n">
        <v>0</v>
      </c>
      <c r="I355" t="n">
        <v>0</v>
      </c>
      <c r="J355" t="n">
        <v>0</v>
      </c>
      <c r="K355" t="n">
        <v>0</v>
      </c>
      <c r="L355" t="n">
        <v>0</v>
      </c>
      <c r="M355" t="n">
        <v>0</v>
      </c>
      <c r="N355" t="n">
        <v>0</v>
      </c>
      <c r="O355" t="n">
        <v>0</v>
      </c>
      <c r="P355" t="n">
        <v>0</v>
      </c>
      <c r="Q355" t="n">
        <v>0</v>
      </c>
      <c r="R355" s="2" t="inlineStr"/>
    </row>
    <row r="356" ht="15" customHeight="1">
      <c r="A356" t="inlineStr">
        <is>
          <t>A 25786-2025</t>
        </is>
      </c>
      <c r="B356" s="1" t="n">
        <v>45804.37456018518</v>
      </c>
      <c r="C356" s="1" t="n">
        <v>46103</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50934-2025</t>
        </is>
      </c>
      <c r="B357" s="1" t="n">
        <v>45946.69195601852</v>
      </c>
      <c r="C357" s="1" t="n">
        <v>46103</v>
      </c>
      <c r="D357" t="inlineStr">
        <is>
          <t>SÖDERMANLANDS LÄN</t>
        </is>
      </c>
      <c r="E357" t="inlineStr">
        <is>
          <t>KATRINEHOLM</t>
        </is>
      </c>
      <c r="G357" t="n">
        <v>2</v>
      </c>
      <c r="H357" t="n">
        <v>0</v>
      </c>
      <c r="I357" t="n">
        <v>0</v>
      </c>
      <c r="J357" t="n">
        <v>0</v>
      </c>
      <c r="K357" t="n">
        <v>0</v>
      </c>
      <c r="L357" t="n">
        <v>0</v>
      </c>
      <c r="M357" t="n">
        <v>0</v>
      </c>
      <c r="N357" t="n">
        <v>0</v>
      </c>
      <c r="O357" t="n">
        <v>0</v>
      </c>
      <c r="P357" t="n">
        <v>0</v>
      </c>
      <c r="Q357" t="n">
        <v>0</v>
      </c>
      <c r="R357" s="2" t="inlineStr"/>
    </row>
    <row r="358" ht="15" customHeight="1">
      <c r="A358" t="inlineStr">
        <is>
          <t>A 29830-2023</t>
        </is>
      </c>
      <c r="B358" s="1" t="n">
        <v>45107</v>
      </c>
      <c r="C358" s="1" t="n">
        <v>46103</v>
      </c>
      <c r="D358" t="inlineStr">
        <is>
          <t>SÖDERMANLANDS LÄN</t>
        </is>
      </c>
      <c r="E358" t="inlineStr">
        <is>
          <t>KATRINEHOLM</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2473-2026</t>
        </is>
      </c>
      <c r="B359" s="1" t="n">
        <v>46037.37704861111</v>
      </c>
      <c r="C359" s="1" t="n">
        <v>46103</v>
      </c>
      <c r="D359" t="inlineStr">
        <is>
          <t>SÖDERMANLANDS LÄN</t>
        </is>
      </c>
      <c r="E359" t="inlineStr">
        <is>
          <t>KATRINEHOLM</t>
        </is>
      </c>
      <c r="F359" t="inlineStr">
        <is>
          <t>Övriga Aktiebolag</t>
        </is>
      </c>
      <c r="G359" t="n">
        <v>3.6</v>
      </c>
      <c r="H359" t="n">
        <v>0</v>
      </c>
      <c r="I359" t="n">
        <v>0</v>
      </c>
      <c r="J359" t="n">
        <v>0</v>
      </c>
      <c r="K359" t="n">
        <v>0</v>
      </c>
      <c r="L359" t="n">
        <v>0</v>
      </c>
      <c r="M359" t="n">
        <v>0</v>
      </c>
      <c r="N359" t="n">
        <v>0</v>
      </c>
      <c r="O359" t="n">
        <v>0</v>
      </c>
      <c r="P359" t="n">
        <v>0</v>
      </c>
      <c r="Q359" t="n">
        <v>0</v>
      </c>
      <c r="R359" s="2" t="inlineStr"/>
    </row>
    <row r="360" ht="15" customHeight="1">
      <c r="A360" t="inlineStr">
        <is>
          <t>A 28582-2024</t>
        </is>
      </c>
      <c r="B360" s="1" t="n">
        <v>45478.40751157407</v>
      </c>
      <c r="C360" s="1" t="n">
        <v>46103</v>
      </c>
      <c r="D360" t="inlineStr">
        <is>
          <t>SÖDERMANLANDS LÄN</t>
        </is>
      </c>
      <c r="E360" t="inlineStr">
        <is>
          <t>KATRINEHOLM</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10893-2026</t>
        </is>
      </c>
      <c r="B361" s="1" t="n">
        <v>46078.81072916667</v>
      </c>
      <c r="C361" s="1" t="n">
        <v>46103</v>
      </c>
      <c r="D361" t="inlineStr">
        <is>
          <t>SÖDERMANLANDS LÄN</t>
        </is>
      </c>
      <c r="E361" t="inlineStr">
        <is>
          <t>KATRINEHOLM</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46103</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51774-2025</t>
        </is>
      </c>
      <c r="B363" s="1" t="n">
        <v>45951.65359953704</v>
      </c>
      <c r="C363" s="1" t="n">
        <v>46103</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51783-2025</t>
        </is>
      </c>
      <c r="B364" s="1" t="n">
        <v>45951.67546296296</v>
      </c>
      <c r="C364" s="1" t="n">
        <v>46103</v>
      </c>
      <c r="D364" t="inlineStr">
        <is>
          <t>SÖDERMANLANDS LÄN</t>
        </is>
      </c>
      <c r="E364" t="inlineStr">
        <is>
          <t>KATRINEHOLM</t>
        </is>
      </c>
      <c r="F364" t="inlineStr">
        <is>
          <t>Allmännings- och besparingsskogar</t>
        </is>
      </c>
      <c r="G364" t="n">
        <v>5.8</v>
      </c>
      <c r="H364" t="n">
        <v>0</v>
      </c>
      <c r="I364" t="n">
        <v>0</v>
      </c>
      <c r="J364" t="n">
        <v>0</v>
      </c>
      <c r="K364" t="n">
        <v>0</v>
      </c>
      <c r="L364" t="n">
        <v>0</v>
      </c>
      <c r="M364" t="n">
        <v>0</v>
      </c>
      <c r="N364" t="n">
        <v>0</v>
      </c>
      <c r="O364" t="n">
        <v>0</v>
      </c>
      <c r="P364" t="n">
        <v>0</v>
      </c>
      <c r="Q364" t="n">
        <v>0</v>
      </c>
      <c r="R364" s="2" t="inlineStr"/>
    </row>
    <row r="365" ht="15" customHeight="1">
      <c r="A365" t="inlineStr">
        <is>
          <t>A 46011-2021</t>
        </is>
      </c>
      <c r="B365" s="1" t="n">
        <v>44441.88092592593</v>
      </c>
      <c r="C365" s="1" t="n">
        <v>46103</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51367-2025</t>
        </is>
      </c>
      <c r="B366" s="1" t="n">
        <v>45950.44700231482</v>
      </c>
      <c r="C366" s="1" t="n">
        <v>46103</v>
      </c>
      <c r="D366" t="inlineStr">
        <is>
          <t>SÖDERMANLANDS LÄN</t>
        </is>
      </c>
      <c r="E366" t="inlineStr">
        <is>
          <t>KATRINEHOLM</t>
        </is>
      </c>
      <c r="G366" t="n">
        <v>2.7</v>
      </c>
      <c r="H366" t="n">
        <v>0</v>
      </c>
      <c r="I366" t="n">
        <v>0</v>
      </c>
      <c r="J366" t="n">
        <v>0</v>
      </c>
      <c r="K366" t="n">
        <v>0</v>
      </c>
      <c r="L366" t="n">
        <v>0</v>
      </c>
      <c r="M366" t="n">
        <v>0</v>
      </c>
      <c r="N366" t="n">
        <v>0</v>
      </c>
      <c r="O366" t="n">
        <v>0</v>
      </c>
      <c r="P366" t="n">
        <v>0</v>
      </c>
      <c r="Q366" t="n">
        <v>0</v>
      </c>
      <c r="R366" s="2" t="inlineStr"/>
    </row>
    <row r="367" ht="15" customHeight="1">
      <c r="A367" t="inlineStr">
        <is>
          <t>A 2645-2026</t>
        </is>
      </c>
      <c r="B367" s="1" t="n">
        <v>46037.62321759259</v>
      </c>
      <c r="C367" s="1" t="n">
        <v>46103</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2672-2026</t>
        </is>
      </c>
      <c r="B368" s="1" t="n">
        <v>46037</v>
      </c>
      <c r="C368" s="1" t="n">
        <v>46103</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51780-2025</t>
        </is>
      </c>
      <c r="B369" s="1" t="n">
        <v>45951.65725694445</v>
      </c>
      <c r="C369" s="1" t="n">
        <v>46103</v>
      </c>
      <c r="D369" t="inlineStr">
        <is>
          <t>SÖDERMANLANDS LÄN</t>
        </is>
      </c>
      <c r="E369" t="inlineStr">
        <is>
          <t>KATRINEHOLM</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30387-2022</t>
        </is>
      </c>
      <c r="B370" s="1" t="n">
        <v>44760</v>
      </c>
      <c r="C370" s="1" t="n">
        <v>46103</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52239-2025</t>
        </is>
      </c>
      <c r="B371" s="1" t="n">
        <v>45953.46193287037</v>
      </c>
      <c r="C371" s="1" t="n">
        <v>46103</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52242-2025</t>
        </is>
      </c>
      <c r="B372" s="1" t="n">
        <v>45953.46886574074</v>
      </c>
      <c r="C372" s="1" t="n">
        <v>46103</v>
      </c>
      <c r="D372" t="inlineStr">
        <is>
          <t>SÖDERMANLANDS LÄN</t>
        </is>
      </c>
      <c r="E372" t="inlineStr">
        <is>
          <t>KATRINEHOLM</t>
        </is>
      </c>
      <c r="G372" t="n">
        <v>5.3</v>
      </c>
      <c r="H372" t="n">
        <v>0</v>
      </c>
      <c r="I372" t="n">
        <v>0</v>
      </c>
      <c r="J372" t="n">
        <v>0</v>
      </c>
      <c r="K372" t="n">
        <v>0</v>
      </c>
      <c r="L372" t="n">
        <v>0</v>
      </c>
      <c r="M372" t="n">
        <v>0</v>
      </c>
      <c r="N372" t="n">
        <v>0</v>
      </c>
      <c r="O372" t="n">
        <v>0</v>
      </c>
      <c r="P372" t="n">
        <v>0</v>
      </c>
      <c r="Q372" t="n">
        <v>0</v>
      </c>
      <c r="R372" s="2" t="inlineStr"/>
    </row>
    <row r="373" ht="15" customHeight="1">
      <c r="A373" t="inlineStr">
        <is>
          <t>A 52244-2025</t>
        </is>
      </c>
      <c r="B373" s="1" t="n">
        <v>45953</v>
      </c>
      <c r="C373" s="1" t="n">
        <v>46103</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61394-2024</t>
        </is>
      </c>
      <c r="B374" s="1" t="n">
        <v>45646.42061342593</v>
      </c>
      <c r="C374" s="1" t="n">
        <v>46103</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2913-2026</t>
        </is>
      </c>
      <c r="B375" s="1" t="n">
        <v>46038.56913194444</v>
      </c>
      <c r="C375" s="1" t="n">
        <v>46103</v>
      </c>
      <c r="D375" t="inlineStr">
        <is>
          <t>SÖDERMANLANDS LÄN</t>
        </is>
      </c>
      <c r="E375" t="inlineStr">
        <is>
          <t>KATRINEHOLM</t>
        </is>
      </c>
      <c r="F375" t="inlineStr">
        <is>
          <t>Övriga Aktiebolag</t>
        </is>
      </c>
      <c r="G375" t="n">
        <v>6.2</v>
      </c>
      <c r="H375" t="n">
        <v>0</v>
      </c>
      <c r="I375" t="n">
        <v>0</v>
      </c>
      <c r="J375" t="n">
        <v>0</v>
      </c>
      <c r="K375" t="n">
        <v>0</v>
      </c>
      <c r="L375" t="n">
        <v>0</v>
      </c>
      <c r="M375" t="n">
        <v>0</v>
      </c>
      <c r="N375" t="n">
        <v>0</v>
      </c>
      <c r="O375" t="n">
        <v>0</v>
      </c>
      <c r="P375" t="n">
        <v>0</v>
      </c>
      <c r="Q375" t="n">
        <v>0</v>
      </c>
      <c r="R375" s="2" t="inlineStr"/>
    </row>
    <row r="376" ht="15" customHeight="1">
      <c r="A376" t="inlineStr">
        <is>
          <t>A 931-2023</t>
        </is>
      </c>
      <c r="B376" s="1" t="n">
        <v>44932.74261574074</v>
      </c>
      <c r="C376" s="1" t="n">
        <v>46103</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38883-2024</t>
        </is>
      </c>
      <c r="B377" s="1" t="n">
        <v>45547</v>
      </c>
      <c r="C377" s="1" t="n">
        <v>46103</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6796-2022</t>
        </is>
      </c>
      <c r="B378" s="1" t="n">
        <v>44602</v>
      </c>
      <c r="C378" s="1" t="n">
        <v>46103</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52857-2021</t>
        </is>
      </c>
      <c r="B379" s="1" t="n">
        <v>44466</v>
      </c>
      <c r="C379" s="1" t="n">
        <v>46103</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42015-2022</t>
        </is>
      </c>
      <c r="B380" s="1" t="n">
        <v>44830.4649074074</v>
      </c>
      <c r="C380" s="1" t="n">
        <v>46103</v>
      </c>
      <c r="D380" t="inlineStr">
        <is>
          <t>SÖDERMANLANDS LÄN</t>
        </is>
      </c>
      <c r="E380" t="inlineStr">
        <is>
          <t>KATRINEHOLM</t>
        </is>
      </c>
      <c r="G380" t="n">
        <v>3.8</v>
      </c>
      <c r="H380" t="n">
        <v>0</v>
      </c>
      <c r="I380" t="n">
        <v>0</v>
      </c>
      <c r="J380" t="n">
        <v>0</v>
      </c>
      <c r="K380" t="n">
        <v>0</v>
      </c>
      <c r="L380" t="n">
        <v>0</v>
      </c>
      <c r="M380" t="n">
        <v>0</v>
      </c>
      <c r="N380" t="n">
        <v>0</v>
      </c>
      <c r="O380" t="n">
        <v>0</v>
      </c>
      <c r="P380" t="n">
        <v>0</v>
      </c>
      <c r="Q380" t="n">
        <v>0</v>
      </c>
      <c r="R380" s="2" t="inlineStr"/>
    </row>
    <row r="381" ht="15" customHeight="1">
      <c r="A381" t="inlineStr">
        <is>
          <t>A 42020-2022</t>
        </is>
      </c>
      <c r="B381" s="1" t="n">
        <v>44830.46849537037</v>
      </c>
      <c r="C381" s="1" t="n">
        <v>46103</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8394-2024</t>
        </is>
      </c>
      <c r="B382" s="1" t="n">
        <v>45352</v>
      </c>
      <c r="C382" s="1" t="n">
        <v>46103</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14239-2024</t>
        </is>
      </c>
      <c r="B383" s="1" t="n">
        <v>45393</v>
      </c>
      <c r="C383" s="1" t="n">
        <v>46103</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14248-2024</t>
        </is>
      </c>
      <c r="B384" s="1" t="n">
        <v>45393</v>
      </c>
      <c r="C384" s="1" t="n">
        <v>46103</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25716-2022</t>
        </is>
      </c>
      <c r="B385" s="1" t="n">
        <v>44733.39600694444</v>
      </c>
      <c r="C385" s="1" t="n">
        <v>46103</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23842-2023</t>
        </is>
      </c>
      <c r="B386" s="1" t="n">
        <v>45075</v>
      </c>
      <c r="C386" s="1" t="n">
        <v>46103</v>
      </c>
      <c r="D386" t="inlineStr">
        <is>
          <t>SÖDERMANLANDS LÄN</t>
        </is>
      </c>
      <c r="E386" t="inlineStr">
        <is>
          <t>KATRINEHOLM</t>
        </is>
      </c>
      <c r="G386" t="n">
        <v>1.8</v>
      </c>
      <c r="H386" t="n">
        <v>0</v>
      </c>
      <c r="I386" t="n">
        <v>0</v>
      </c>
      <c r="J386" t="n">
        <v>0</v>
      </c>
      <c r="K386" t="n">
        <v>0</v>
      </c>
      <c r="L386" t="n">
        <v>0</v>
      </c>
      <c r="M386" t="n">
        <v>0</v>
      </c>
      <c r="N386" t="n">
        <v>0</v>
      </c>
      <c r="O386" t="n">
        <v>0</v>
      </c>
      <c r="P386" t="n">
        <v>0</v>
      </c>
      <c r="Q386" t="n">
        <v>0</v>
      </c>
      <c r="R386" s="2" t="inlineStr"/>
    </row>
    <row r="387" ht="15" customHeight="1">
      <c r="A387" t="inlineStr">
        <is>
          <t>A 52744-2025</t>
        </is>
      </c>
      <c r="B387" s="1" t="n">
        <v>45957.38387731482</v>
      </c>
      <c r="C387" s="1" t="n">
        <v>46103</v>
      </c>
      <c r="D387" t="inlineStr">
        <is>
          <t>SÖDERMANLANDS LÄN</t>
        </is>
      </c>
      <c r="E387" t="inlineStr">
        <is>
          <t>KATRINEHOLM</t>
        </is>
      </c>
      <c r="G387" t="n">
        <v>4</v>
      </c>
      <c r="H387" t="n">
        <v>0</v>
      </c>
      <c r="I387" t="n">
        <v>0</v>
      </c>
      <c r="J387" t="n">
        <v>0</v>
      </c>
      <c r="K387" t="n">
        <v>0</v>
      </c>
      <c r="L387" t="n">
        <v>0</v>
      </c>
      <c r="M387" t="n">
        <v>0</v>
      </c>
      <c r="N387" t="n">
        <v>0</v>
      </c>
      <c r="O387" t="n">
        <v>0</v>
      </c>
      <c r="P387" t="n">
        <v>0</v>
      </c>
      <c r="Q387" t="n">
        <v>0</v>
      </c>
      <c r="R387" s="2" t="inlineStr"/>
    </row>
    <row r="388" ht="15" customHeight="1">
      <c r="A388" t="inlineStr">
        <is>
          <t>A 46700-2023</t>
        </is>
      </c>
      <c r="B388" s="1" t="n">
        <v>45194</v>
      </c>
      <c r="C388" s="1" t="n">
        <v>46103</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11621-2026</t>
        </is>
      </c>
      <c r="B389" s="1" t="n">
        <v>46084.46734953704</v>
      </c>
      <c r="C389" s="1" t="n">
        <v>46103</v>
      </c>
      <c r="D389" t="inlineStr">
        <is>
          <t>SÖDERMANLANDS LÄN</t>
        </is>
      </c>
      <c r="E389" t="inlineStr">
        <is>
          <t>KATRINEHOLM</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11666-2026</t>
        </is>
      </c>
      <c r="B390" s="1" t="n">
        <v>46084.55381944445</v>
      </c>
      <c r="C390" s="1" t="n">
        <v>46103</v>
      </c>
      <c r="D390" t="inlineStr">
        <is>
          <t>SÖDERMANLANDS LÄN</t>
        </is>
      </c>
      <c r="E390" t="inlineStr">
        <is>
          <t>KATRINEHOLM</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11677-2026</t>
        </is>
      </c>
      <c r="B391" s="1" t="n">
        <v>46084.56711805556</v>
      </c>
      <c r="C391" s="1" t="n">
        <v>46103</v>
      </c>
      <c r="D391" t="inlineStr">
        <is>
          <t>SÖDERMANLANDS LÄN</t>
        </is>
      </c>
      <c r="E391" t="inlineStr">
        <is>
          <t>KATRINEHOLM</t>
        </is>
      </c>
      <c r="F391" t="inlineStr">
        <is>
          <t>Holmen skog AB</t>
        </is>
      </c>
      <c r="G391" t="n">
        <v>0.7</v>
      </c>
      <c r="H391" t="n">
        <v>0</v>
      </c>
      <c r="I391" t="n">
        <v>0</v>
      </c>
      <c r="J391" t="n">
        <v>0</v>
      </c>
      <c r="K391" t="n">
        <v>0</v>
      </c>
      <c r="L391" t="n">
        <v>0</v>
      </c>
      <c r="M391" t="n">
        <v>0</v>
      </c>
      <c r="N391" t="n">
        <v>0</v>
      </c>
      <c r="O391" t="n">
        <v>0</v>
      </c>
      <c r="P391" t="n">
        <v>0</v>
      </c>
      <c r="Q391" t="n">
        <v>0</v>
      </c>
      <c r="R391" s="2" t="inlineStr"/>
    </row>
    <row r="392" ht="15" customHeight="1">
      <c r="A392" t="inlineStr">
        <is>
          <t>A 53338-2025</t>
        </is>
      </c>
      <c r="B392" s="1" t="n">
        <v>45959.40447916667</v>
      </c>
      <c r="C392" s="1" t="n">
        <v>46103</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50032-2022</t>
        </is>
      </c>
      <c r="B393" s="1" t="n">
        <v>44860</v>
      </c>
      <c r="C393" s="1" t="n">
        <v>46103</v>
      </c>
      <c r="D393" t="inlineStr">
        <is>
          <t>SÖDERMANLANDS LÄN</t>
        </is>
      </c>
      <c r="E393" t="inlineStr">
        <is>
          <t>KATRINEHOLM</t>
        </is>
      </c>
      <c r="G393" t="n">
        <v>7.5</v>
      </c>
      <c r="H393" t="n">
        <v>0</v>
      </c>
      <c r="I393" t="n">
        <v>0</v>
      </c>
      <c r="J393" t="n">
        <v>0</v>
      </c>
      <c r="K393" t="n">
        <v>0</v>
      </c>
      <c r="L393" t="n">
        <v>0</v>
      </c>
      <c r="M393" t="n">
        <v>0</v>
      </c>
      <c r="N393" t="n">
        <v>0</v>
      </c>
      <c r="O393" t="n">
        <v>0</v>
      </c>
      <c r="P393" t="n">
        <v>0</v>
      </c>
      <c r="Q393" t="n">
        <v>0</v>
      </c>
      <c r="R393" s="2" t="inlineStr"/>
    </row>
    <row r="394" ht="15" customHeight="1">
      <c r="A394" t="inlineStr">
        <is>
          <t>A 50804-2023</t>
        </is>
      </c>
      <c r="B394" s="1" t="n">
        <v>45211</v>
      </c>
      <c r="C394" s="1" t="n">
        <v>46103</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29502-2023</t>
        </is>
      </c>
      <c r="B395" s="1" t="n">
        <v>45106</v>
      </c>
      <c r="C395" s="1" t="n">
        <v>46103</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56074-2022</t>
        </is>
      </c>
      <c r="B396" s="1" t="n">
        <v>44889</v>
      </c>
      <c r="C396" s="1" t="n">
        <v>46103</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33469-2025</t>
        </is>
      </c>
      <c r="B397" s="1" t="n">
        <v>45841.48686342593</v>
      </c>
      <c r="C397" s="1" t="n">
        <v>46103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54395-2025</t>
        </is>
      </c>
      <c r="B398" s="1" t="n">
        <v>45964</v>
      </c>
      <c r="C398" s="1" t="n">
        <v>46103</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8922-2024</t>
        </is>
      </c>
      <c r="B399" s="1" t="n">
        <v>45357.38601851852</v>
      </c>
      <c r="C399" s="1" t="n">
        <v>46103</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41548-2025</t>
        </is>
      </c>
      <c r="B400" s="1" t="n">
        <v>45901</v>
      </c>
      <c r="C400" s="1" t="n">
        <v>46103</v>
      </c>
      <c r="D400" t="inlineStr">
        <is>
          <t>SÖDERMANLANDS LÄN</t>
        </is>
      </c>
      <c r="E400" t="inlineStr">
        <is>
          <t>KATRINEHOLM</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33101-2025</t>
        </is>
      </c>
      <c r="B401" s="1" t="n">
        <v>45840.47953703703</v>
      </c>
      <c r="C401" s="1" t="n">
        <v>46103</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54359-2025</t>
        </is>
      </c>
      <c r="B402" s="1" t="n">
        <v>45964</v>
      </c>
      <c r="C402" s="1" t="n">
        <v>46103</v>
      </c>
      <c r="D402" t="inlineStr">
        <is>
          <t>SÖDERMANLANDS LÄN</t>
        </is>
      </c>
      <c r="E402" t="inlineStr">
        <is>
          <t>KATRINEHOLM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33096-2025</t>
        </is>
      </c>
      <c r="B403" s="1" t="n">
        <v>45840.47563657408</v>
      </c>
      <c r="C403" s="1" t="n">
        <v>46103</v>
      </c>
      <c r="D403" t="inlineStr">
        <is>
          <t>SÖDERMANLANDS LÄN</t>
        </is>
      </c>
      <c r="E403" t="inlineStr">
        <is>
          <t>KATRINEHOLM</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45376-2022</t>
        </is>
      </c>
      <c r="B404" s="1" t="n">
        <v>44844</v>
      </c>
      <c r="C404" s="1" t="n">
        <v>46103</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33077-2025</t>
        </is>
      </c>
      <c r="B405" s="1" t="n">
        <v>45840.45864583334</v>
      </c>
      <c r="C405" s="1" t="n">
        <v>46103</v>
      </c>
      <c r="D405" t="inlineStr">
        <is>
          <t>SÖDERMANLANDS LÄN</t>
        </is>
      </c>
      <c r="E405" t="inlineStr">
        <is>
          <t>KATRINEHOLM</t>
        </is>
      </c>
      <c r="G405" t="n">
        <v>7</v>
      </c>
      <c r="H405" t="n">
        <v>0</v>
      </c>
      <c r="I405" t="n">
        <v>0</v>
      </c>
      <c r="J405" t="n">
        <v>0</v>
      </c>
      <c r="K405" t="n">
        <v>0</v>
      </c>
      <c r="L405" t="n">
        <v>0</v>
      </c>
      <c r="M405" t="n">
        <v>0</v>
      </c>
      <c r="N405" t="n">
        <v>0</v>
      </c>
      <c r="O405" t="n">
        <v>0</v>
      </c>
      <c r="P405" t="n">
        <v>0</v>
      </c>
      <c r="Q405" t="n">
        <v>0</v>
      </c>
      <c r="R405" s="2" t="inlineStr"/>
    </row>
    <row r="406" ht="15" customHeight="1">
      <c r="A406" t="inlineStr">
        <is>
          <t>A 33129-2025</t>
        </is>
      </c>
      <c r="B406" s="1" t="n">
        <v>45840.50141203704</v>
      </c>
      <c r="C406" s="1" t="n">
        <v>46103</v>
      </c>
      <c r="D406" t="inlineStr">
        <is>
          <t>SÖDERMANLANDS LÄN</t>
        </is>
      </c>
      <c r="E406" t="inlineStr">
        <is>
          <t>KATRINEHOLM</t>
        </is>
      </c>
      <c r="G406" t="n">
        <v>2.6</v>
      </c>
      <c r="H406" t="n">
        <v>0</v>
      </c>
      <c r="I406" t="n">
        <v>0</v>
      </c>
      <c r="J406" t="n">
        <v>0</v>
      </c>
      <c r="K406" t="n">
        <v>0</v>
      </c>
      <c r="L406" t="n">
        <v>0</v>
      </c>
      <c r="M406" t="n">
        <v>0</v>
      </c>
      <c r="N406" t="n">
        <v>0</v>
      </c>
      <c r="O406" t="n">
        <v>0</v>
      </c>
      <c r="P406" t="n">
        <v>0</v>
      </c>
      <c r="Q406" t="n">
        <v>0</v>
      </c>
      <c r="R406" s="2" t="inlineStr"/>
    </row>
    <row r="407" ht="15" customHeight="1">
      <c r="A407" t="inlineStr">
        <is>
          <t>A 39748-2022</t>
        </is>
      </c>
      <c r="B407" s="1" t="n">
        <v>44817</v>
      </c>
      <c r="C407" s="1" t="n">
        <v>46103</v>
      </c>
      <c r="D407" t="inlineStr">
        <is>
          <t>SÖDERMANLANDS LÄN</t>
        </is>
      </c>
      <c r="E407" t="inlineStr">
        <is>
          <t>KATRINEHOLM</t>
        </is>
      </c>
      <c r="G407" t="n">
        <v>10.2</v>
      </c>
      <c r="H407" t="n">
        <v>0</v>
      </c>
      <c r="I407" t="n">
        <v>0</v>
      </c>
      <c r="J407" t="n">
        <v>0</v>
      </c>
      <c r="K407" t="n">
        <v>0</v>
      </c>
      <c r="L407" t="n">
        <v>0</v>
      </c>
      <c r="M407" t="n">
        <v>0</v>
      </c>
      <c r="N407" t="n">
        <v>0</v>
      </c>
      <c r="O407" t="n">
        <v>0</v>
      </c>
      <c r="P407" t="n">
        <v>0</v>
      </c>
      <c r="Q407" t="n">
        <v>0</v>
      </c>
      <c r="R407" s="2" t="inlineStr"/>
    </row>
    <row r="408" ht="15" customHeight="1">
      <c r="A408" t="inlineStr">
        <is>
          <t>A 54999-2025</t>
        </is>
      </c>
      <c r="B408" s="1" t="n">
        <v>45967.59880787037</v>
      </c>
      <c r="C408" s="1" t="n">
        <v>46103</v>
      </c>
      <c r="D408" t="inlineStr">
        <is>
          <t>SÖDERMANLANDS LÄN</t>
        </is>
      </c>
      <c r="E408" t="inlineStr">
        <is>
          <t>KATRINEHOLM</t>
        </is>
      </c>
      <c r="G408" t="n">
        <v>8.5</v>
      </c>
      <c r="H408" t="n">
        <v>0</v>
      </c>
      <c r="I408" t="n">
        <v>0</v>
      </c>
      <c r="J408" t="n">
        <v>0</v>
      </c>
      <c r="K408" t="n">
        <v>0</v>
      </c>
      <c r="L408" t="n">
        <v>0</v>
      </c>
      <c r="M408" t="n">
        <v>0</v>
      </c>
      <c r="N408" t="n">
        <v>0</v>
      </c>
      <c r="O408" t="n">
        <v>0</v>
      </c>
      <c r="P408" t="n">
        <v>0</v>
      </c>
      <c r="Q408" t="n">
        <v>0</v>
      </c>
      <c r="R408" s="2" t="inlineStr"/>
    </row>
    <row r="409" ht="15" customHeight="1">
      <c r="A409" t="inlineStr">
        <is>
          <t>A 3090-2025</t>
        </is>
      </c>
      <c r="B409" s="1" t="n">
        <v>45678</v>
      </c>
      <c r="C409" s="1" t="n">
        <v>46103</v>
      </c>
      <c r="D409" t="inlineStr">
        <is>
          <t>SÖDERMANLANDS LÄN</t>
        </is>
      </c>
      <c r="E409" t="inlineStr">
        <is>
          <t>KATRINEHOLM</t>
        </is>
      </c>
      <c r="F409" t="inlineStr">
        <is>
          <t>Kyrkan</t>
        </is>
      </c>
      <c r="G409" t="n">
        <v>6.9</v>
      </c>
      <c r="H409" t="n">
        <v>0</v>
      </c>
      <c r="I409" t="n">
        <v>0</v>
      </c>
      <c r="J409" t="n">
        <v>0</v>
      </c>
      <c r="K409" t="n">
        <v>0</v>
      </c>
      <c r="L409" t="n">
        <v>0</v>
      </c>
      <c r="M409" t="n">
        <v>0</v>
      </c>
      <c r="N409" t="n">
        <v>0</v>
      </c>
      <c r="O409" t="n">
        <v>0</v>
      </c>
      <c r="P409" t="n">
        <v>0</v>
      </c>
      <c r="Q409" t="n">
        <v>0</v>
      </c>
      <c r="R409" s="2" t="inlineStr"/>
    </row>
    <row r="410" ht="15" customHeight="1">
      <c r="A410" t="inlineStr">
        <is>
          <t>A 28431-2024</t>
        </is>
      </c>
      <c r="B410" s="1" t="n">
        <v>45477.65216435185</v>
      </c>
      <c r="C410" s="1" t="n">
        <v>46103</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55029-2025</t>
        </is>
      </c>
      <c r="B411" s="1" t="n">
        <v>45967.63784722222</v>
      </c>
      <c r="C411" s="1" t="n">
        <v>46103</v>
      </c>
      <c r="D411" t="inlineStr">
        <is>
          <t>SÖDERMANLANDS LÄN</t>
        </is>
      </c>
      <c r="E411" t="inlineStr">
        <is>
          <t>KATRINEHOLM</t>
        </is>
      </c>
      <c r="G411" t="n">
        <v>10.1</v>
      </c>
      <c r="H411" t="n">
        <v>0</v>
      </c>
      <c r="I411" t="n">
        <v>0</v>
      </c>
      <c r="J411" t="n">
        <v>0</v>
      </c>
      <c r="K411" t="n">
        <v>0</v>
      </c>
      <c r="L411" t="n">
        <v>0</v>
      </c>
      <c r="M411" t="n">
        <v>0</v>
      </c>
      <c r="N411" t="n">
        <v>0</v>
      </c>
      <c r="O411" t="n">
        <v>0</v>
      </c>
      <c r="P411" t="n">
        <v>0</v>
      </c>
      <c r="Q411" t="n">
        <v>0</v>
      </c>
      <c r="R411" s="2" t="inlineStr"/>
    </row>
    <row r="412" ht="15" customHeight="1">
      <c r="A412" t="inlineStr">
        <is>
          <t>A 34981-2023</t>
        </is>
      </c>
      <c r="B412" s="1" t="n">
        <v>45142</v>
      </c>
      <c r="C412" s="1" t="n">
        <v>46103</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31740-2022</t>
        </is>
      </c>
      <c r="B413" s="1" t="n">
        <v>44776</v>
      </c>
      <c r="C413" s="1" t="n">
        <v>46103</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53750-2022</t>
        </is>
      </c>
      <c r="B414" s="1" t="n">
        <v>44875</v>
      </c>
      <c r="C414" s="1" t="n">
        <v>46103</v>
      </c>
      <c r="D414" t="inlineStr">
        <is>
          <t>SÖDERMANLANDS LÄN</t>
        </is>
      </c>
      <c r="E414" t="inlineStr">
        <is>
          <t>KATRINEHOLM</t>
        </is>
      </c>
      <c r="F414" t="inlineStr">
        <is>
          <t>Övriga Aktiebolag</t>
        </is>
      </c>
      <c r="G414" t="n">
        <v>12.6</v>
      </c>
      <c r="H414" t="n">
        <v>0</v>
      </c>
      <c r="I414" t="n">
        <v>0</v>
      </c>
      <c r="J414" t="n">
        <v>0</v>
      </c>
      <c r="K414" t="n">
        <v>0</v>
      </c>
      <c r="L414" t="n">
        <v>0</v>
      </c>
      <c r="M414" t="n">
        <v>0</v>
      </c>
      <c r="N414" t="n">
        <v>0</v>
      </c>
      <c r="O414" t="n">
        <v>0</v>
      </c>
      <c r="P414" t="n">
        <v>0</v>
      </c>
      <c r="Q414" t="n">
        <v>0</v>
      </c>
      <c r="R414" s="2" t="inlineStr"/>
    </row>
    <row r="415" ht="15" customHeight="1">
      <c r="A415" t="inlineStr">
        <is>
          <t>A 47886-2023</t>
        </is>
      </c>
      <c r="B415" s="1" t="n">
        <v>45204</v>
      </c>
      <c r="C415" s="1" t="n">
        <v>46103</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46103</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8087-2022</t>
        </is>
      </c>
      <c r="B417" s="1" t="n">
        <v>44609.53502314815</v>
      </c>
      <c r="C417" s="1" t="n">
        <v>46103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4889-2026</t>
        </is>
      </c>
      <c r="B418" s="1" t="n">
        <v>46048.66766203703</v>
      </c>
      <c r="C418" s="1" t="n">
        <v>46103</v>
      </c>
      <c r="D418" t="inlineStr">
        <is>
          <t>SÖDERMANLANDS LÄN</t>
        </is>
      </c>
      <c r="E418" t="inlineStr">
        <is>
          <t>KATRINEHOLM</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27852-2023</t>
        </is>
      </c>
      <c r="B419" s="1" t="n">
        <v>45098</v>
      </c>
      <c r="C419" s="1" t="n">
        <v>46103</v>
      </c>
      <c r="D419" t="inlineStr">
        <is>
          <t>SÖDERMANLANDS LÄN</t>
        </is>
      </c>
      <c r="E419" t="inlineStr">
        <is>
          <t>KATRINEHOLM</t>
        </is>
      </c>
      <c r="G419" t="n">
        <v>7.4</v>
      </c>
      <c r="H419" t="n">
        <v>0</v>
      </c>
      <c r="I419" t="n">
        <v>0</v>
      </c>
      <c r="J419" t="n">
        <v>0</v>
      </c>
      <c r="K419" t="n">
        <v>0</v>
      </c>
      <c r="L419" t="n">
        <v>0</v>
      </c>
      <c r="M419" t="n">
        <v>0</v>
      </c>
      <c r="N419" t="n">
        <v>0</v>
      </c>
      <c r="O419" t="n">
        <v>0</v>
      </c>
      <c r="P419" t="n">
        <v>0</v>
      </c>
      <c r="Q419" t="n">
        <v>0</v>
      </c>
      <c r="R419" s="2" t="inlineStr"/>
    </row>
    <row r="420" ht="15" customHeight="1">
      <c r="A420" t="inlineStr">
        <is>
          <t>A 1143-2024</t>
        </is>
      </c>
      <c r="B420" s="1" t="n">
        <v>45302</v>
      </c>
      <c r="C420" s="1" t="n">
        <v>46103</v>
      </c>
      <c r="D420" t="inlineStr">
        <is>
          <t>SÖDERMANLANDS LÄN</t>
        </is>
      </c>
      <c r="E420" t="inlineStr">
        <is>
          <t>KATRINEHOLM</t>
        </is>
      </c>
      <c r="G420" t="n">
        <v>1.7</v>
      </c>
      <c r="H420" t="n">
        <v>0</v>
      </c>
      <c r="I420" t="n">
        <v>0</v>
      </c>
      <c r="J420" t="n">
        <v>0</v>
      </c>
      <c r="K420" t="n">
        <v>0</v>
      </c>
      <c r="L420" t="n">
        <v>0</v>
      </c>
      <c r="M420" t="n">
        <v>0</v>
      </c>
      <c r="N420" t="n">
        <v>0</v>
      </c>
      <c r="O420" t="n">
        <v>0</v>
      </c>
      <c r="P420" t="n">
        <v>0</v>
      </c>
      <c r="Q420" t="n">
        <v>0</v>
      </c>
      <c r="R420" s="2" t="inlineStr"/>
    </row>
    <row r="421" ht="15" customHeight="1">
      <c r="A421" t="inlineStr">
        <is>
          <t>A 26154-2025</t>
        </is>
      </c>
      <c r="B421" s="1" t="n">
        <v>45805.43341435185</v>
      </c>
      <c r="C421" s="1" t="n">
        <v>46103</v>
      </c>
      <c r="D421" t="inlineStr">
        <is>
          <t>SÖDERMANLANDS LÄN</t>
        </is>
      </c>
      <c r="E421" t="inlineStr">
        <is>
          <t>KATRINEHOLM</t>
        </is>
      </c>
      <c r="G421" t="n">
        <v>4.5</v>
      </c>
      <c r="H421" t="n">
        <v>0</v>
      </c>
      <c r="I421" t="n">
        <v>0</v>
      </c>
      <c r="J421" t="n">
        <v>0</v>
      </c>
      <c r="K421" t="n">
        <v>0</v>
      </c>
      <c r="L421" t="n">
        <v>0</v>
      </c>
      <c r="M421" t="n">
        <v>0</v>
      </c>
      <c r="N421" t="n">
        <v>0</v>
      </c>
      <c r="O421" t="n">
        <v>0</v>
      </c>
      <c r="P421" t="n">
        <v>0</v>
      </c>
      <c r="Q421" t="n">
        <v>0</v>
      </c>
      <c r="R421" s="2" t="inlineStr"/>
    </row>
    <row r="422" ht="15" customHeight="1">
      <c r="A422" t="inlineStr">
        <is>
          <t>A 5703-2026</t>
        </is>
      </c>
      <c r="B422" s="1" t="n">
        <v>46051.50774305555</v>
      </c>
      <c r="C422" s="1" t="n">
        <v>46103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26156-2025</t>
        </is>
      </c>
      <c r="B423" s="1" t="n">
        <v>45805.43864583333</v>
      </c>
      <c r="C423" s="1" t="n">
        <v>46103</v>
      </c>
      <c r="D423" t="inlineStr">
        <is>
          <t>SÖDERMANLANDS LÄN</t>
        </is>
      </c>
      <c r="E423" t="inlineStr">
        <is>
          <t>KATRINEHOLM</t>
        </is>
      </c>
      <c r="G423" t="n">
        <v>4.1</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46103</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12831-2026</t>
        </is>
      </c>
      <c r="B425" s="1" t="n">
        <v>46092.42416666666</v>
      </c>
      <c r="C425" s="1" t="n">
        <v>46103</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17335-2023</t>
        </is>
      </c>
      <c r="B426" s="1" t="n">
        <v>45033</v>
      </c>
      <c r="C426" s="1" t="n">
        <v>46103</v>
      </c>
      <c r="D426" t="inlineStr">
        <is>
          <t>SÖDERMANLANDS LÄN</t>
        </is>
      </c>
      <c r="E426" t="inlineStr">
        <is>
          <t>KATRINEHOLM</t>
        </is>
      </c>
      <c r="G426" t="n">
        <v>3.3</v>
      </c>
      <c r="H426" t="n">
        <v>0</v>
      </c>
      <c r="I426" t="n">
        <v>0</v>
      </c>
      <c r="J426" t="n">
        <v>0</v>
      </c>
      <c r="K426" t="n">
        <v>0</v>
      </c>
      <c r="L426" t="n">
        <v>0</v>
      </c>
      <c r="M426" t="n">
        <v>0</v>
      </c>
      <c r="N426" t="n">
        <v>0</v>
      </c>
      <c r="O426" t="n">
        <v>0</v>
      </c>
      <c r="P426" t="n">
        <v>0</v>
      </c>
      <c r="Q426" t="n">
        <v>0</v>
      </c>
      <c r="R426" s="2" t="inlineStr"/>
    </row>
    <row r="427" ht="15" customHeight="1">
      <c r="A427" t="inlineStr">
        <is>
          <t>A 59898-2022</t>
        </is>
      </c>
      <c r="B427" s="1" t="n">
        <v>44908</v>
      </c>
      <c r="C427" s="1" t="n">
        <v>46103</v>
      </c>
      <c r="D427" t="inlineStr">
        <is>
          <t>SÖDERMANLANDS LÄN</t>
        </is>
      </c>
      <c r="E427" t="inlineStr">
        <is>
          <t>KATRINEHOLM</t>
        </is>
      </c>
      <c r="G427" t="n">
        <v>4.8</v>
      </c>
      <c r="H427" t="n">
        <v>0</v>
      </c>
      <c r="I427" t="n">
        <v>0</v>
      </c>
      <c r="J427" t="n">
        <v>0</v>
      </c>
      <c r="K427" t="n">
        <v>0</v>
      </c>
      <c r="L427" t="n">
        <v>0</v>
      </c>
      <c r="M427" t="n">
        <v>0</v>
      </c>
      <c r="N427" t="n">
        <v>0</v>
      </c>
      <c r="O427" t="n">
        <v>0</v>
      </c>
      <c r="P427" t="n">
        <v>0</v>
      </c>
      <c r="Q427" t="n">
        <v>0</v>
      </c>
      <c r="R427" s="2" t="inlineStr"/>
    </row>
    <row r="428" ht="15" customHeight="1">
      <c r="A428" t="inlineStr">
        <is>
          <t>A 73412-2021</t>
        </is>
      </c>
      <c r="B428" s="1" t="n">
        <v>44551</v>
      </c>
      <c r="C428" s="1" t="n">
        <v>46103</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28995-2024</t>
        </is>
      </c>
      <c r="B429" s="1" t="n">
        <v>45481.49899305555</v>
      </c>
      <c r="C429" s="1" t="n">
        <v>46103</v>
      </c>
      <c r="D429" t="inlineStr">
        <is>
          <t>SÖDERMANLANDS LÄN</t>
        </is>
      </c>
      <c r="E429" t="inlineStr">
        <is>
          <t>KATRINEHOLM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28597-2024</t>
        </is>
      </c>
      <c r="B430" s="1" t="n">
        <v>45478</v>
      </c>
      <c r="C430" s="1" t="n">
        <v>46103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13655-2026</t>
        </is>
      </c>
      <c r="B431" s="1" t="n">
        <v>46097.45415509259</v>
      </c>
      <c r="C431" s="1" t="n">
        <v>46103</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41966-2023</t>
        </is>
      </c>
      <c r="B432" s="1" t="n">
        <v>45177</v>
      </c>
      <c r="C432" s="1" t="n">
        <v>46103</v>
      </c>
      <c r="D432" t="inlineStr">
        <is>
          <t>SÖDERMANLANDS LÄN</t>
        </is>
      </c>
      <c r="E432" t="inlineStr">
        <is>
          <t>KATRINEHOLM</t>
        </is>
      </c>
      <c r="G432" t="n">
        <v>36.9</v>
      </c>
      <c r="H432" t="n">
        <v>0</v>
      </c>
      <c r="I432" t="n">
        <v>0</v>
      </c>
      <c r="J432" t="n">
        <v>0</v>
      </c>
      <c r="K432" t="n">
        <v>0</v>
      </c>
      <c r="L432" t="n">
        <v>0</v>
      </c>
      <c r="M432" t="n">
        <v>0</v>
      </c>
      <c r="N432" t="n">
        <v>0</v>
      </c>
      <c r="O432" t="n">
        <v>0</v>
      </c>
      <c r="P432" t="n">
        <v>0</v>
      </c>
      <c r="Q432" t="n">
        <v>0</v>
      </c>
      <c r="R432" s="2" t="inlineStr"/>
    </row>
    <row r="433" ht="15" customHeight="1">
      <c r="A433" t="inlineStr">
        <is>
          <t>A 10446-2024</t>
        </is>
      </c>
      <c r="B433" s="1" t="n">
        <v>45366</v>
      </c>
      <c r="C433" s="1" t="n">
        <v>46103</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8761-2023</t>
        </is>
      </c>
      <c r="B434" s="1" t="n">
        <v>44978.49685185185</v>
      </c>
      <c r="C434" s="1" t="n">
        <v>46103</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8778-2023</t>
        </is>
      </c>
      <c r="B435" s="1" t="n">
        <v>44978.5737037037</v>
      </c>
      <c r="C435" s="1" t="n">
        <v>46103</v>
      </c>
      <c r="D435" t="inlineStr">
        <is>
          <t>SÖDERMANLANDS LÄN</t>
        </is>
      </c>
      <c r="E435" t="inlineStr">
        <is>
          <t>KATRINEHOLM</t>
        </is>
      </c>
      <c r="G435" t="n">
        <v>4.5</v>
      </c>
      <c r="H435" t="n">
        <v>0</v>
      </c>
      <c r="I435" t="n">
        <v>0</v>
      </c>
      <c r="J435" t="n">
        <v>0</v>
      </c>
      <c r="K435" t="n">
        <v>0</v>
      </c>
      <c r="L435" t="n">
        <v>0</v>
      </c>
      <c r="M435" t="n">
        <v>0</v>
      </c>
      <c r="N435" t="n">
        <v>0</v>
      </c>
      <c r="O435" t="n">
        <v>0</v>
      </c>
      <c r="P435" t="n">
        <v>0</v>
      </c>
      <c r="Q435" t="n">
        <v>0</v>
      </c>
      <c r="R435" s="2" t="inlineStr"/>
    </row>
    <row r="436" ht="15" customHeight="1">
      <c r="A436" t="inlineStr">
        <is>
          <t>A 15399-2022</t>
        </is>
      </c>
      <c r="B436" s="1" t="n">
        <v>44659</v>
      </c>
      <c r="C436" s="1" t="n">
        <v>46103</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13630-2026</t>
        </is>
      </c>
      <c r="B437" s="1" t="n">
        <v>46097.37490740741</v>
      </c>
      <c r="C437" s="1" t="n">
        <v>46103</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13631-2026</t>
        </is>
      </c>
      <c r="B438" s="1" t="n">
        <v>46095</v>
      </c>
      <c r="C438" s="1" t="n">
        <v>46103</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13632-2026</t>
        </is>
      </c>
      <c r="B439" s="1" t="n">
        <v>46097.37996527777</v>
      </c>
      <c r="C439" s="1" t="n">
        <v>46103</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49116-2024</t>
        </is>
      </c>
      <c r="B440" s="1" t="n">
        <v>45594.6605787037</v>
      </c>
      <c r="C440" s="1" t="n">
        <v>46103</v>
      </c>
      <c r="D440" t="inlineStr">
        <is>
          <t>SÖDERMANLANDS LÄN</t>
        </is>
      </c>
      <c r="E440" t="inlineStr">
        <is>
          <t>KATRINEHOLM</t>
        </is>
      </c>
      <c r="G440" t="n">
        <v>0.9</v>
      </c>
      <c r="H440" t="n">
        <v>0</v>
      </c>
      <c r="I440" t="n">
        <v>0</v>
      </c>
      <c r="J440" t="n">
        <v>0</v>
      </c>
      <c r="K440" t="n">
        <v>0</v>
      </c>
      <c r="L440" t="n">
        <v>0</v>
      </c>
      <c r="M440" t="n">
        <v>0</v>
      </c>
      <c r="N440" t="n">
        <v>0</v>
      </c>
      <c r="O440" t="n">
        <v>0</v>
      </c>
      <c r="P440" t="n">
        <v>0</v>
      </c>
      <c r="Q440" t="n">
        <v>0</v>
      </c>
      <c r="R440" s="2" t="inlineStr"/>
    </row>
    <row r="441" ht="15" customHeight="1">
      <c r="A441" t="inlineStr">
        <is>
          <t>A 6753-2022</t>
        </is>
      </c>
      <c r="B441" s="1" t="n">
        <v>44602</v>
      </c>
      <c r="C441" s="1" t="n">
        <v>46103</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6763-2022</t>
        </is>
      </c>
      <c r="B442" s="1" t="n">
        <v>44602</v>
      </c>
      <c r="C442" s="1" t="n">
        <v>46103</v>
      </c>
      <c r="D442" t="inlineStr">
        <is>
          <t>SÖDERMANLANDS LÄN</t>
        </is>
      </c>
      <c r="E442" t="inlineStr">
        <is>
          <t>KATRINEHOLM</t>
        </is>
      </c>
      <c r="G442" t="n">
        <v>6.7</v>
      </c>
      <c r="H442" t="n">
        <v>0</v>
      </c>
      <c r="I442" t="n">
        <v>0</v>
      </c>
      <c r="J442" t="n">
        <v>0</v>
      </c>
      <c r="K442" t="n">
        <v>0</v>
      </c>
      <c r="L442" t="n">
        <v>0</v>
      </c>
      <c r="M442" t="n">
        <v>0</v>
      </c>
      <c r="N442" t="n">
        <v>0</v>
      </c>
      <c r="O442" t="n">
        <v>0</v>
      </c>
      <c r="P442" t="n">
        <v>0</v>
      </c>
      <c r="Q442" t="n">
        <v>0</v>
      </c>
      <c r="R442" s="2" t="inlineStr"/>
    </row>
    <row r="443" ht="15" customHeight="1">
      <c r="A443" t="inlineStr">
        <is>
          <t>A 39068-2022</t>
        </is>
      </c>
      <c r="B443" s="1" t="n">
        <v>44816</v>
      </c>
      <c r="C443" s="1" t="n">
        <v>46103</v>
      </c>
      <c r="D443" t="inlineStr">
        <is>
          <t>SÖDERMANLANDS LÄN</t>
        </is>
      </c>
      <c r="E443" t="inlineStr">
        <is>
          <t>KATRINEHOLM</t>
        </is>
      </c>
      <c r="G443" t="n">
        <v>3.6</v>
      </c>
      <c r="H443" t="n">
        <v>0</v>
      </c>
      <c r="I443" t="n">
        <v>0</v>
      </c>
      <c r="J443" t="n">
        <v>0</v>
      </c>
      <c r="K443" t="n">
        <v>0</v>
      </c>
      <c r="L443" t="n">
        <v>0</v>
      </c>
      <c r="M443" t="n">
        <v>0</v>
      </c>
      <c r="N443" t="n">
        <v>0</v>
      </c>
      <c r="O443" t="n">
        <v>0</v>
      </c>
      <c r="P443" t="n">
        <v>0</v>
      </c>
      <c r="Q443" t="n">
        <v>0</v>
      </c>
      <c r="R443" s="2" t="inlineStr"/>
    </row>
    <row r="444" ht="15" customHeight="1">
      <c r="A444" t="inlineStr">
        <is>
          <t>A 13633-2026</t>
        </is>
      </c>
      <c r="B444" s="1" t="n">
        <v>46097.38148148148</v>
      </c>
      <c r="C444" s="1" t="n">
        <v>46103</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66540-2021</t>
        </is>
      </c>
      <c r="B445" s="1" t="n">
        <v>44519</v>
      </c>
      <c r="C445" s="1" t="n">
        <v>46103</v>
      </c>
      <c r="D445" t="inlineStr">
        <is>
          <t>SÖDERMANLANDS LÄN</t>
        </is>
      </c>
      <c r="E445" t="inlineStr">
        <is>
          <t>KATRINEHOLM</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27552-2025</t>
        </is>
      </c>
      <c r="B446" s="1" t="n">
        <v>45813</v>
      </c>
      <c r="C446" s="1" t="n">
        <v>46103</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27534-2025</t>
        </is>
      </c>
      <c r="B447" s="1" t="n">
        <v>45813</v>
      </c>
      <c r="C447" s="1" t="n">
        <v>46103</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13841-2026</t>
        </is>
      </c>
      <c r="B448" s="1" t="n">
        <v>46098.37181712963</v>
      </c>
      <c r="C448" s="1" t="n">
        <v>46103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27636-2025</t>
        </is>
      </c>
      <c r="B449" s="1" t="n">
        <v>45813.57603009259</v>
      </c>
      <c r="C449" s="1" t="n">
        <v>46103</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8288-2023</t>
        </is>
      </c>
      <c r="B450" s="1" t="n">
        <v>44974</v>
      </c>
      <c r="C450" s="1" t="n">
        <v>46103</v>
      </c>
      <c r="D450" t="inlineStr">
        <is>
          <t>SÖDERMANLANDS LÄN</t>
        </is>
      </c>
      <c r="E450" t="inlineStr">
        <is>
          <t>KATRINEHOLM</t>
        </is>
      </c>
      <c r="F450" t="inlineStr">
        <is>
          <t>Allmännings- och besparingsskogar</t>
        </is>
      </c>
      <c r="G450" t="n">
        <v>5.6</v>
      </c>
      <c r="H450" t="n">
        <v>0</v>
      </c>
      <c r="I450" t="n">
        <v>0</v>
      </c>
      <c r="J450" t="n">
        <v>0</v>
      </c>
      <c r="K450" t="n">
        <v>0</v>
      </c>
      <c r="L450" t="n">
        <v>0</v>
      </c>
      <c r="M450" t="n">
        <v>0</v>
      </c>
      <c r="N450" t="n">
        <v>0</v>
      </c>
      <c r="O450" t="n">
        <v>0</v>
      </c>
      <c r="P450" t="n">
        <v>0</v>
      </c>
      <c r="Q450" t="n">
        <v>0</v>
      </c>
      <c r="R450" s="2" t="inlineStr"/>
    </row>
    <row r="451" ht="15" customHeight="1">
      <c r="A451" t="inlineStr">
        <is>
          <t>A 13848-2026</t>
        </is>
      </c>
      <c r="B451" s="1" t="n">
        <v>46098.38704861111</v>
      </c>
      <c r="C451" s="1" t="n">
        <v>46103</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45142-2021</t>
        </is>
      </c>
      <c r="B452" s="1" t="n">
        <v>44439</v>
      </c>
      <c r="C452" s="1" t="n">
        <v>46103</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5788-2022</t>
        </is>
      </c>
      <c r="B453" s="1" t="n">
        <v>44596.54990740741</v>
      </c>
      <c r="C453" s="1" t="n">
        <v>46103</v>
      </c>
      <c r="D453" t="inlineStr">
        <is>
          <t>SÖDERMANLANDS LÄN</t>
        </is>
      </c>
      <c r="E453" t="inlineStr">
        <is>
          <t>KATRINEHOLM</t>
        </is>
      </c>
      <c r="G453" t="n">
        <v>4.1</v>
      </c>
      <c r="H453" t="n">
        <v>0</v>
      </c>
      <c r="I453" t="n">
        <v>0</v>
      </c>
      <c r="J453" t="n">
        <v>0</v>
      </c>
      <c r="K453" t="n">
        <v>0</v>
      </c>
      <c r="L453" t="n">
        <v>0</v>
      </c>
      <c r="M453" t="n">
        <v>0</v>
      </c>
      <c r="N453" t="n">
        <v>0</v>
      </c>
      <c r="O453" t="n">
        <v>0</v>
      </c>
      <c r="P453" t="n">
        <v>0</v>
      </c>
      <c r="Q453" t="n">
        <v>0</v>
      </c>
      <c r="R453" s="2" t="inlineStr"/>
    </row>
    <row r="454" ht="15" customHeight="1">
      <c r="A454" t="inlineStr">
        <is>
          <t>A 5790-2022</t>
        </is>
      </c>
      <c r="B454" s="1" t="n">
        <v>44596.55368055555</v>
      </c>
      <c r="C454" s="1" t="n">
        <v>46103</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53387-2023</t>
        </is>
      </c>
      <c r="B455" s="1" t="n">
        <v>45229</v>
      </c>
      <c r="C455" s="1" t="n">
        <v>46103</v>
      </c>
      <c r="D455" t="inlineStr">
        <is>
          <t>SÖDERMANLANDS LÄN</t>
        </is>
      </c>
      <c r="E455" t="inlineStr">
        <is>
          <t>KATRINEHOLM</t>
        </is>
      </c>
      <c r="F455" t="inlineStr">
        <is>
          <t>Kyrkan</t>
        </is>
      </c>
      <c r="G455" t="n">
        <v>7.4</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46103</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13612-2023</t>
        </is>
      </c>
      <c r="B457" s="1" t="n">
        <v>45006</v>
      </c>
      <c r="C457" s="1" t="n">
        <v>46103</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24600-2025</t>
        </is>
      </c>
      <c r="B458" s="1" t="n">
        <v>45798.56348379629</v>
      </c>
      <c r="C458" s="1" t="n">
        <v>46103</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14754-2026</t>
        </is>
      </c>
      <c r="B459" s="1" t="n">
        <v>46101.62297453704</v>
      </c>
      <c r="C459" s="1" t="n">
        <v>46103</v>
      </c>
      <c r="D459" t="inlineStr">
        <is>
          <t>SÖDERMANLANDS LÄN</t>
        </is>
      </c>
      <c r="E459" t="inlineStr">
        <is>
          <t>KATRINEHOLM</t>
        </is>
      </c>
      <c r="G459" t="n">
        <v>4.5</v>
      </c>
      <c r="H459" t="n">
        <v>0</v>
      </c>
      <c r="I459" t="n">
        <v>0</v>
      </c>
      <c r="J459" t="n">
        <v>0</v>
      </c>
      <c r="K459" t="n">
        <v>0</v>
      </c>
      <c r="L459" t="n">
        <v>0</v>
      </c>
      <c r="M459" t="n">
        <v>0</v>
      </c>
      <c r="N459" t="n">
        <v>0</v>
      </c>
      <c r="O459" t="n">
        <v>0</v>
      </c>
      <c r="P459" t="n">
        <v>0</v>
      </c>
      <c r="Q459" t="n">
        <v>0</v>
      </c>
      <c r="R459" s="2" t="inlineStr"/>
    </row>
    <row r="460" ht="15" customHeight="1">
      <c r="A460" t="inlineStr">
        <is>
          <t>A 20949-2021</t>
        </is>
      </c>
      <c r="B460" s="1" t="n">
        <v>44319</v>
      </c>
      <c r="C460" s="1" t="n">
        <v>46103</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7513-2026</t>
        </is>
      </c>
      <c r="B461" s="1" t="n">
        <v>46059.59083333334</v>
      </c>
      <c r="C461" s="1" t="n">
        <v>46103</v>
      </c>
      <c r="D461" t="inlineStr">
        <is>
          <t>SÖDERMANLANDS LÄN</t>
        </is>
      </c>
      <c r="E461" t="inlineStr">
        <is>
          <t>KATRINEHOLM</t>
        </is>
      </c>
      <c r="F461" t="inlineStr">
        <is>
          <t>Övriga Aktiebolag</t>
        </is>
      </c>
      <c r="G461" t="n">
        <v>5</v>
      </c>
      <c r="H461" t="n">
        <v>0</v>
      </c>
      <c r="I461" t="n">
        <v>0</v>
      </c>
      <c r="J461" t="n">
        <v>0</v>
      </c>
      <c r="K461" t="n">
        <v>0</v>
      </c>
      <c r="L461" t="n">
        <v>0</v>
      </c>
      <c r="M461" t="n">
        <v>0</v>
      </c>
      <c r="N461" t="n">
        <v>0</v>
      </c>
      <c r="O461" t="n">
        <v>0</v>
      </c>
      <c r="P461" t="n">
        <v>0</v>
      </c>
      <c r="Q461" t="n">
        <v>0</v>
      </c>
      <c r="R461" s="2" t="inlineStr"/>
    </row>
    <row r="462" ht="15" customHeight="1">
      <c r="A462" t="inlineStr">
        <is>
          <t>A 7747-2024</t>
        </is>
      </c>
      <c r="B462" s="1" t="n">
        <v>45348</v>
      </c>
      <c r="C462" s="1" t="n">
        <v>46103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14750-2026</t>
        </is>
      </c>
      <c r="B463" s="1" t="n">
        <v>46101.6208912037</v>
      </c>
      <c r="C463" s="1" t="n">
        <v>46103</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4650-2024</t>
        </is>
      </c>
      <c r="B464" s="1" t="n">
        <v>45328</v>
      </c>
      <c r="C464" s="1" t="n">
        <v>46103</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4652-2024</t>
        </is>
      </c>
      <c r="B465" s="1" t="n">
        <v>45328</v>
      </c>
      <c r="C465" s="1" t="n">
        <v>46103</v>
      </c>
      <c r="D465" t="inlineStr">
        <is>
          <t>SÖDERMANLANDS LÄN</t>
        </is>
      </c>
      <c r="E465" t="inlineStr">
        <is>
          <t>KATRINEHOLM</t>
        </is>
      </c>
      <c r="F465" t="inlineStr">
        <is>
          <t>Övriga Aktiebolag</t>
        </is>
      </c>
      <c r="G465" t="n">
        <v>6.1</v>
      </c>
      <c r="H465" t="n">
        <v>0</v>
      </c>
      <c r="I465" t="n">
        <v>0</v>
      </c>
      <c r="J465" t="n">
        <v>0</v>
      </c>
      <c r="K465" t="n">
        <v>0</v>
      </c>
      <c r="L465" t="n">
        <v>0</v>
      </c>
      <c r="M465" t="n">
        <v>0</v>
      </c>
      <c r="N465" t="n">
        <v>0</v>
      </c>
      <c r="O465" t="n">
        <v>0</v>
      </c>
      <c r="P465" t="n">
        <v>0</v>
      </c>
      <c r="Q465" t="n">
        <v>0</v>
      </c>
      <c r="R465" s="2" t="inlineStr"/>
    </row>
    <row r="466" ht="15" customHeight="1">
      <c r="A466" t="inlineStr">
        <is>
          <t>A 35608-2024</t>
        </is>
      </c>
      <c r="B466" s="1" t="n">
        <v>45531</v>
      </c>
      <c r="C466" s="1" t="n">
        <v>46103</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48253-2022</t>
        </is>
      </c>
      <c r="B467" s="1" t="n">
        <v>44858</v>
      </c>
      <c r="C467" s="1" t="n">
        <v>46103</v>
      </c>
      <c r="D467" t="inlineStr">
        <is>
          <t>SÖDERMANLANDS LÄN</t>
        </is>
      </c>
      <c r="E467" t="inlineStr">
        <is>
          <t>KATRINEHOLM</t>
        </is>
      </c>
      <c r="G467" t="n">
        <v>4.7</v>
      </c>
      <c r="H467" t="n">
        <v>0</v>
      </c>
      <c r="I467" t="n">
        <v>0</v>
      </c>
      <c r="J467" t="n">
        <v>0</v>
      </c>
      <c r="K467" t="n">
        <v>0</v>
      </c>
      <c r="L467" t="n">
        <v>0</v>
      </c>
      <c r="M467" t="n">
        <v>0</v>
      </c>
      <c r="N467" t="n">
        <v>0</v>
      </c>
      <c r="O467" t="n">
        <v>0</v>
      </c>
      <c r="P467" t="n">
        <v>0</v>
      </c>
      <c r="Q467" t="n">
        <v>0</v>
      </c>
      <c r="R467" s="2" t="inlineStr"/>
    </row>
    <row r="468" ht="15" customHeight="1">
      <c r="A468" t="inlineStr">
        <is>
          <t>A 14622-2026</t>
        </is>
      </c>
      <c r="B468" s="1" t="n">
        <v>46101.38826388889</v>
      </c>
      <c r="C468" s="1" t="n">
        <v>46103</v>
      </c>
      <c r="D468" t="inlineStr">
        <is>
          <t>SÖDERMANLANDS LÄN</t>
        </is>
      </c>
      <c r="E468" t="inlineStr">
        <is>
          <t>KATRINEHOLM</t>
        </is>
      </c>
      <c r="G468" t="n">
        <v>2.5</v>
      </c>
      <c r="H468" t="n">
        <v>0</v>
      </c>
      <c r="I468" t="n">
        <v>0</v>
      </c>
      <c r="J468" t="n">
        <v>0</v>
      </c>
      <c r="K468" t="n">
        <v>0</v>
      </c>
      <c r="L468" t="n">
        <v>0</v>
      </c>
      <c r="M468" t="n">
        <v>0</v>
      </c>
      <c r="N468" t="n">
        <v>0</v>
      </c>
      <c r="O468" t="n">
        <v>0</v>
      </c>
      <c r="P468" t="n">
        <v>0</v>
      </c>
      <c r="Q468" t="n">
        <v>0</v>
      </c>
      <c r="R468" s="2" t="inlineStr"/>
    </row>
    <row r="469" ht="15" customHeight="1">
      <c r="A469" t="inlineStr">
        <is>
          <t>A 12633-2022</t>
        </is>
      </c>
      <c r="B469" s="1" t="n">
        <v>44638</v>
      </c>
      <c r="C469" s="1" t="n">
        <v>46103</v>
      </c>
      <c r="D469" t="inlineStr">
        <is>
          <t>SÖDERMANLANDS LÄN</t>
        </is>
      </c>
      <c r="E469" t="inlineStr">
        <is>
          <t>KATRINEHOLM</t>
        </is>
      </c>
      <c r="G469" t="n">
        <v>6.4</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46103</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59384-2022</t>
        </is>
      </c>
      <c r="B471" s="1" t="n">
        <v>44905</v>
      </c>
      <c r="C471" s="1" t="n">
        <v>46103</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10996-2022</t>
        </is>
      </c>
      <c r="B472" s="1" t="n">
        <v>44628</v>
      </c>
      <c r="C472" s="1" t="n">
        <v>46103</v>
      </c>
      <c r="D472" t="inlineStr">
        <is>
          <t>SÖDERMANLANDS LÄN</t>
        </is>
      </c>
      <c r="E472" t="inlineStr">
        <is>
          <t>KATRINEHOLM</t>
        </is>
      </c>
      <c r="G472" t="n">
        <v>0.3</v>
      </c>
      <c r="H472" t="n">
        <v>0</v>
      </c>
      <c r="I472" t="n">
        <v>0</v>
      </c>
      <c r="J472" t="n">
        <v>0</v>
      </c>
      <c r="K472" t="n">
        <v>0</v>
      </c>
      <c r="L472" t="n">
        <v>0</v>
      </c>
      <c r="M472" t="n">
        <v>0</v>
      </c>
      <c r="N472" t="n">
        <v>0</v>
      </c>
      <c r="O472" t="n">
        <v>0</v>
      </c>
      <c r="P472" t="n">
        <v>0</v>
      </c>
      <c r="Q472" t="n">
        <v>0</v>
      </c>
      <c r="R472" s="2" t="inlineStr"/>
    </row>
    <row r="473" ht="15" customHeight="1">
      <c r="A473" t="inlineStr">
        <is>
          <t>A 14751-2026</t>
        </is>
      </c>
      <c r="B473" s="1" t="n">
        <v>46101.6220949074</v>
      </c>
      <c r="C473" s="1" t="n">
        <v>46103</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25363-2023</t>
        </is>
      </c>
      <c r="B474" s="1" t="n">
        <v>45088.83840277778</v>
      </c>
      <c r="C474" s="1" t="n">
        <v>46103</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14770-2026</t>
        </is>
      </c>
      <c r="B475" s="1" t="n">
        <v>46101.63951388889</v>
      </c>
      <c r="C475" s="1" t="n">
        <v>46103</v>
      </c>
      <c r="D475" t="inlineStr">
        <is>
          <t>SÖDERMANLANDS LÄN</t>
        </is>
      </c>
      <c r="E475" t="inlineStr">
        <is>
          <t>KATRINEHOLM</t>
        </is>
      </c>
      <c r="G475" t="n">
        <v>7.5</v>
      </c>
      <c r="H475" t="n">
        <v>0</v>
      </c>
      <c r="I475" t="n">
        <v>0</v>
      </c>
      <c r="J475" t="n">
        <v>0</v>
      </c>
      <c r="K475" t="n">
        <v>0</v>
      </c>
      <c r="L475" t="n">
        <v>0</v>
      </c>
      <c r="M475" t="n">
        <v>0</v>
      </c>
      <c r="N475" t="n">
        <v>0</v>
      </c>
      <c r="O475" t="n">
        <v>0</v>
      </c>
      <c r="P475" t="n">
        <v>0</v>
      </c>
      <c r="Q475" t="n">
        <v>0</v>
      </c>
      <c r="R475" s="2" t="inlineStr"/>
    </row>
    <row r="476" ht="15" customHeight="1">
      <c r="A476" t="inlineStr">
        <is>
          <t>A 48398-2022</t>
        </is>
      </c>
      <c r="B476" s="1" t="n">
        <v>44858.60809027778</v>
      </c>
      <c r="C476" s="1" t="n">
        <v>46103</v>
      </c>
      <c r="D476" t="inlineStr">
        <is>
          <t>SÖDERMANLANDS LÄN</t>
        </is>
      </c>
      <c r="E476" t="inlineStr">
        <is>
          <t>KATRINEHOLM</t>
        </is>
      </c>
      <c r="G476" t="n">
        <v>1.9</v>
      </c>
      <c r="H476" t="n">
        <v>0</v>
      </c>
      <c r="I476" t="n">
        <v>0</v>
      </c>
      <c r="J476" t="n">
        <v>0</v>
      </c>
      <c r="K476" t="n">
        <v>0</v>
      </c>
      <c r="L476" t="n">
        <v>0</v>
      </c>
      <c r="M476" t="n">
        <v>0</v>
      </c>
      <c r="N476" t="n">
        <v>0</v>
      </c>
      <c r="O476" t="n">
        <v>0</v>
      </c>
      <c r="P476" t="n">
        <v>0</v>
      </c>
      <c r="Q476" t="n">
        <v>0</v>
      </c>
      <c r="R476" s="2" t="inlineStr"/>
    </row>
    <row r="477" ht="15" customHeight="1">
      <c r="A477" t="inlineStr">
        <is>
          <t>A 15945-2024</t>
        </is>
      </c>
      <c r="B477" s="1" t="n">
        <v>45405.48912037037</v>
      </c>
      <c r="C477" s="1" t="n">
        <v>46103</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1329-2025</t>
        </is>
      </c>
      <c r="B478" s="1" t="n">
        <v>45667</v>
      </c>
      <c r="C478" s="1" t="n">
        <v>46103</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29189-2025</t>
        </is>
      </c>
      <c r="B479" s="1" t="n">
        <v>45822</v>
      </c>
      <c r="C479" s="1" t="n">
        <v>46103</v>
      </c>
      <c r="D479" t="inlineStr">
        <is>
          <t>SÖDERMANLANDS LÄN</t>
        </is>
      </c>
      <c r="E479" t="inlineStr">
        <is>
          <t>KATRINEHOLM</t>
        </is>
      </c>
      <c r="G479" t="n">
        <v>3.5</v>
      </c>
      <c r="H479" t="n">
        <v>0</v>
      </c>
      <c r="I479" t="n">
        <v>0</v>
      </c>
      <c r="J479" t="n">
        <v>0</v>
      </c>
      <c r="K479" t="n">
        <v>0</v>
      </c>
      <c r="L479" t="n">
        <v>0</v>
      </c>
      <c r="M479" t="n">
        <v>0</v>
      </c>
      <c r="N479" t="n">
        <v>0</v>
      </c>
      <c r="O479" t="n">
        <v>0</v>
      </c>
      <c r="P479" t="n">
        <v>0</v>
      </c>
      <c r="Q479" t="n">
        <v>0</v>
      </c>
      <c r="R479" s="2" t="inlineStr"/>
    </row>
    <row r="480" ht="15" customHeight="1">
      <c r="A480" t="inlineStr">
        <is>
          <t>A 8475-2023</t>
        </is>
      </c>
      <c r="B480" s="1" t="n">
        <v>44977</v>
      </c>
      <c r="C480" s="1" t="n">
        <v>46103</v>
      </c>
      <c r="D480" t="inlineStr">
        <is>
          <t>SÖDERMANLANDS LÄN</t>
        </is>
      </c>
      <c r="E480" t="inlineStr">
        <is>
          <t>KATRINEHOLM</t>
        </is>
      </c>
      <c r="F480" t="inlineStr">
        <is>
          <t>Allmännings- och besparingsskogar</t>
        </is>
      </c>
      <c r="G480" t="n">
        <v>8.1</v>
      </c>
      <c r="H480" t="n">
        <v>0</v>
      </c>
      <c r="I480" t="n">
        <v>0</v>
      </c>
      <c r="J480" t="n">
        <v>0</v>
      </c>
      <c r="K480" t="n">
        <v>0</v>
      </c>
      <c r="L480" t="n">
        <v>0</v>
      </c>
      <c r="M480" t="n">
        <v>0</v>
      </c>
      <c r="N480" t="n">
        <v>0</v>
      </c>
      <c r="O480" t="n">
        <v>0</v>
      </c>
      <c r="P480" t="n">
        <v>0</v>
      </c>
      <c r="Q480" t="n">
        <v>0</v>
      </c>
      <c r="R480" s="2" t="inlineStr"/>
    </row>
    <row r="481" ht="15" customHeight="1">
      <c r="A481" t="inlineStr">
        <is>
          <t>A 8518-2023</t>
        </is>
      </c>
      <c r="B481" s="1" t="n">
        <v>44977</v>
      </c>
      <c r="C481" s="1" t="n">
        <v>46103</v>
      </c>
      <c r="D481" t="inlineStr">
        <is>
          <t>SÖDERMANLANDS LÄN</t>
        </is>
      </c>
      <c r="E481" t="inlineStr">
        <is>
          <t>KATRINEHOLM</t>
        </is>
      </c>
      <c r="F481" t="inlineStr">
        <is>
          <t>Allmännings- och besparingsskogar</t>
        </is>
      </c>
      <c r="G481" t="n">
        <v>35.3</v>
      </c>
      <c r="H481" t="n">
        <v>0</v>
      </c>
      <c r="I481" t="n">
        <v>0</v>
      </c>
      <c r="J481" t="n">
        <v>0</v>
      </c>
      <c r="K481" t="n">
        <v>0</v>
      </c>
      <c r="L481" t="n">
        <v>0</v>
      </c>
      <c r="M481" t="n">
        <v>0</v>
      </c>
      <c r="N481" t="n">
        <v>0</v>
      </c>
      <c r="O481" t="n">
        <v>0</v>
      </c>
      <c r="P481" t="n">
        <v>0</v>
      </c>
      <c r="Q481" t="n">
        <v>0</v>
      </c>
      <c r="R481" s="2" t="inlineStr"/>
    </row>
    <row r="482" ht="15" customHeight="1">
      <c r="A482" t="inlineStr">
        <is>
          <t>A 46670-2021</t>
        </is>
      </c>
      <c r="B482" s="1" t="n">
        <v>44445</v>
      </c>
      <c r="C482" s="1" t="n">
        <v>46103</v>
      </c>
      <c r="D482" t="inlineStr">
        <is>
          <t>SÖDERMANLANDS LÄN</t>
        </is>
      </c>
      <c r="E482" t="inlineStr">
        <is>
          <t>KATRINEHOLM</t>
        </is>
      </c>
      <c r="G482" t="n">
        <v>4.4</v>
      </c>
      <c r="H482" t="n">
        <v>0</v>
      </c>
      <c r="I482" t="n">
        <v>0</v>
      </c>
      <c r="J482" t="n">
        <v>0</v>
      </c>
      <c r="K482" t="n">
        <v>0</v>
      </c>
      <c r="L482" t="n">
        <v>0</v>
      </c>
      <c r="M482" t="n">
        <v>0</v>
      </c>
      <c r="N482" t="n">
        <v>0</v>
      </c>
      <c r="O482" t="n">
        <v>0</v>
      </c>
      <c r="P482" t="n">
        <v>0</v>
      </c>
      <c r="Q482" t="n">
        <v>0</v>
      </c>
      <c r="R482" s="2" t="inlineStr"/>
    </row>
    <row r="483" ht="15" customHeight="1">
      <c r="A483" t="inlineStr">
        <is>
          <t>A 30287-2025</t>
        </is>
      </c>
      <c r="B483" s="1" t="n">
        <v>45827</v>
      </c>
      <c r="C483" s="1" t="n">
        <v>46103</v>
      </c>
      <c r="D483" t="inlineStr">
        <is>
          <t>SÖDERMANLANDS LÄN</t>
        </is>
      </c>
      <c r="E483" t="inlineStr">
        <is>
          <t>KATRINEHOLM</t>
        </is>
      </c>
      <c r="G483" t="n">
        <v>10.2</v>
      </c>
      <c r="H483" t="n">
        <v>0</v>
      </c>
      <c r="I483" t="n">
        <v>0</v>
      </c>
      <c r="J483" t="n">
        <v>0</v>
      </c>
      <c r="K483" t="n">
        <v>0</v>
      </c>
      <c r="L483" t="n">
        <v>0</v>
      </c>
      <c r="M483" t="n">
        <v>0</v>
      </c>
      <c r="N483" t="n">
        <v>0</v>
      </c>
      <c r="O483" t="n">
        <v>0</v>
      </c>
      <c r="P483" t="n">
        <v>0</v>
      </c>
      <c r="Q483" t="n">
        <v>0</v>
      </c>
      <c r="R483" s="2" t="inlineStr"/>
    </row>
    <row r="484" ht="15" customHeight="1">
      <c r="A484" t="inlineStr">
        <is>
          <t>A 30352-2025</t>
        </is>
      </c>
      <c r="B484" s="1" t="n">
        <v>45827</v>
      </c>
      <c r="C484" s="1" t="n">
        <v>46103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30050-2025</t>
        </is>
      </c>
      <c r="B485" s="1" t="n">
        <v>45826.59151620371</v>
      </c>
      <c r="C485" s="1" t="n">
        <v>46103</v>
      </c>
      <c r="D485" t="inlineStr">
        <is>
          <t>SÖDERMANLANDS LÄN</t>
        </is>
      </c>
      <c r="E485" t="inlineStr">
        <is>
          <t>KATRINEHOLM</t>
        </is>
      </c>
      <c r="G485" t="n">
        <v>7.9</v>
      </c>
      <c r="H485" t="n">
        <v>0</v>
      </c>
      <c r="I485" t="n">
        <v>0</v>
      </c>
      <c r="J485" t="n">
        <v>0</v>
      </c>
      <c r="K485" t="n">
        <v>0</v>
      </c>
      <c r="L485" t="n">
        <v>0</v>
      </c>
      <c r="M485" t="n">
        <v>0</v>
      </c>
      <c r="N485" t="n">
        <v>0</v>
      </c>
      <c r="O485" t="n">
        <v>0</v>
      </c>
      <c r="P485" t="n">
        <v>0</v>
      </c>
      <c r="Q485" t="n">
        <v>0</v>
      </c>
      <c r="R485" s="2" t="inlineStr"/>
    </row>
    <row r="486" ht="15" customHeight="1">
      <c r="A486" t="inlineStr">
        <is>
          <t>A 30350-2025</t>
        </is>
      </c>
      <c r="B486" s="1" t="n">
        <v>45827.53319444445</v>
      </c>
      <c r="C486" s="1" t="n">
        <v>46103</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30386-2025</t>
        </is>
      </c>
      <c r="B487" s="1" t="n">
        <v>45827</v>
      </c>
      <c r="C487" s="1" t="n">
        <v>46103</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30070-2025</t>
        </is>
      </c>
      <c r="B488" s="1" t="n">
        <v>45826.63324074074</v>
      </c>
      <c r="C488" s="1" t="n">
        <v>46103</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46103</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61911-2021</t>
        </is>
      </c>
      <c r="B490" s="1" t="n">
        <v>44502.35746527778</v>
      </c>
      <c r="C490" s="1" t="n">
        <v>46103</v>
      </c>
      <c r="D490" t="inlineStr">
        <is>
          <t>SÖDERMANLANDS LÄN</t>
        </is>
      </c>
      <c r="E490" t="inlineStr">
        <is>
          <t>KATRINEHOLM</t>
        </is>
      </c>
      <c r="G490" t="n">
        <v>3.8</v>
      </c>
      <c r="H490" t="n">
        <v>0</v>
      </c>
      <c r="I490" t="n">
        <v>0</v>
      </c>
      <c r="J490" t="n">
        <v>0</v>
      </c>
      <c r="K490" t="n">
        <v>0</v>
      </c>
      <c r="L490" t="n">
        <v>0</v>
      </c>
      <c r="M490" t="n">
        <v>0</v>
      </c>
      <c r="N490" t="n">
        <v>0</v>
      </c>
      <c r="O490" t="n">
        <v>0</v>
      </c>
      <c r="P490" t="n">
        <v>0</v>
      </c>
      <c r="Q490" t="n">
        <v>0</v>
      </c>
      <c r="R490" s="2" t="inlineStr"/>
    </row>
    <row r="491" ht="15" customHeight="1">
      <c r="A491" t="inlineStr">
        <is>
          <t>A 43513-2023</t>
        </is>
      </c>
      <c r="B491" s="1" t="n">
        <v>45184</v>
      </c>
      <c r="C491" s="1" t="n">
        <v>46103</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49122-2024</t>
        </is>
      </c>
      <c r="B492" s="1" t="n">
        <v>45594</v>
      </c>
      <c r="C492" s="1" t="n">
        <v>46103</v>
      </c>
      <c r="D492" t="inlineStr">
        <is>
          <t>SÖDERMANLANDS LÄN</t>
        </is>
      </c>
      <c r="E492" t="inlineStr">
        <is>
          <t>KATRINEHOLM</t>
        </is>
      </c>
      <c r="G492" t="n">
        <v>19.4</v>
      </c>
      <c r="H492" t="n">
        <v>0</v>
      </c>
      <c r="I492" t="n">
        <v>0</v>
      </c>
      <c r="J492" t="n">
        <v>0</v>
      </c>
      <c r="K492" t="n">
        <v>0</v>
      </c>
      <c r="L492" t="n">
        <v>0</v>
      </c>
      <c r="M492" t="n">
        <v>0</v>
      </c>
      <c r="N492" t="n">
        <v>0</v>
      </c>
      <c r="O492" t="n">
        <v>0</v>
      </c>
      <c r="P492" t="n">
        <v>0</v>
      </c>
      <c r="Q492" t="n">
        <v>0</v>
      </c>
      <c r="R492" s="2" t="inlineStr"/>
    </row>
    <row r="493" ht="15" customHeight="1">
      <c r="A493" t="inlineStr">
        <is>
          <t>A 8791-2023</t>
        </is>
      </c>
      <c r="B493" s="1" t="n">
        <v>44978</v>
      </c>
      <c r="C493" s="1" t="n">
        <v>46103</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55825-2022</t>
        </is>
      </c>
      <c r="B494" s="1" t="n">
        <v>44886</v>
      </c>
      <c r="C494" s="1" t="n">
        <v>46103</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62954-2023</t>
        </is>
      </c>
      <c r="B495" s="1" t="n">
        <v>45272.55362268518</v>
      </c>
      <c r="C495" s="1" t="n">
        <v>46103</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7191-2023</t>
        </is>
      </c>
      <c r="B496" s="1" t="n">
        <v>44965</v>
      </c>
      <c r="C496" s="1" t="n">
        <v>46103</v>
      </c>
      <c r="D496" t="inlineStr">
        <is>
          <t>SÖDERMANLANDS LÄN</t>
        </is>
      </c>
      <c r="E496" t="inlineStr">
        <is>
          <t>KATRINEHOLM</t>
        </is>
      </c>
      <c r="G496" t="n">
        <v>14.1</v>
      </c>
      <c r="H496" t="n">
        <v>0</v>
      </c>
      <c r="I496" t="n">
        <v>0</v>
      </c>
      <c r="J496" t="n">
        <v>0</v>
      </c>
      <c r="K496" t="n">
        <v>0</v>
      </c>
      <c r="L496" t="n">
        <v>0</v>
      </c>
      <c r="M496" t="n">
        <v>0</v>
      </c>
      <c r="N496" t="n">
        <v>0</v>
      </c>
      <c r="O496" t="n">
        <v>0</v>
      </c>
      <c r="P496" t="n">
        <v>0</v>
      </c>
      <c r="Q496" t="n">
        <v>0</v>
      </c>
      <c r="R496" s="2" t="inlineStr"/>
    </row>
    <row r="497" ht="15" customHeight="1">
      <c r="A497" t="inlineStr">
        <is>
          <t>A 31392-2025</t>
        </is>
      </c>
      <c r="B497" s="1" t="n">
        <v>45833</v>
      </c>
      <c r="C497" s="1" t="n">
        <v>46103</v>
      </c>
      <c r="D497" t="inlineStr">
        <is>
          <t>SÖDERMANLANDS LÄN</t>
        </is>
      </c>
      <c r="E497" t="inlineStr">
        <is>
          <t>KATRINEHOLM</t>
        </is>
      </c>
      <c r="G497" t="n">
        <v>5</v>
      </c>
      <c r="H497" t="n">
        <v>0</v>
      </c>
      <c r="I497" t="n">
        <v>0</v>
      </c>
      <c r="J497" t="n">
        <v>0</v>
      </c>
      <c r="K497" t="n">
        <v>0</v>
      </c>
      <c r="L497" t="n">
        <v>0</v>
      </c>
      <c r="M497" t="n">
        <v>0</v>
      </c>
      <c r="N497" t="n">
        <v>0</v>
      </c>
      <c r="O497" t="n">
        <v>0</v>
      </c>
      <c r="P497" t="n">
        <v>0</v>
      </c>
      <c r="Q497" t="n">
        <v>0</v>
      </c>
      <c r="R497" s="2" t="inlineStr"/>
    </row>
    <row r="498" ht="15" customHeight="1">
      <c r="A498" t="inlineStr">
        <is>
          <t>A 31376-2025</t>
        </is>
      </c>
      <c r="B498" s="1" t="n">
        <v>45833</v>
      </c>
      <c r="C498" s="1" t="n">
        <v>46103</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31386-2025</t>
        </is>
      </c>
      <c r="B499" s="1" t="n">
        <v>45833.45259259259</v>
      </c>
      <c r="C499" s="1" t="n">
        <v>46103</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37834-2023</t>
        </is>
      </c>
      <c r="B500" s="1" t="n">
        <v>45160</v>
      </c>
      <c r="C500" s="1" t="n">
        <v>46103</v>
      </c>
      <c r="D500" t="inlineStr">
        <is>
          <t>SÖDERMANLANDS LÄN</t>
        </is>
      </c>
      <c r="E500" t="inlineStr">
        <is>
          <t>KATRINEHOLM</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36210-2022</t>
        </is>
      </c>
      <c r="B501" s="1" t="n">
        <v>44803.47950231482</v>
      </c>
      <c r="C501" s="1" t="n">
        <v>46103</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19685-2022</t>
        </is>
      </c>
      <c r="B502" s="1" t="n">
        <v>44694</v>
      </c>
      <c r="C502" s="1" t="n">
        <v>46103</v>
      </c>
      <c r="D502" t="inlineStr">
        <is>
          <t>SÖDERMANLANDS LÄN</t>
        </is>
      </c>
      <c r="E502" t="inlineStr">
        <is>
          <t>KATRINEHOLM</t>
        </is>
      </c>
      <c r="G502" t="n">
        <v>1.7</v>
      </c>
      <c r="H502" t="n">
        <v>0</v>
      </c>
      <c r="I502" t="n">
        <v>0</v>
      </c>
      <c r="J502" t="n">
        <v>0</v>
      </c>
      <c r="K502" t="n">
        <v>0</v>
      </c>
      <c r="L502" t="n">
        <v>0</v>
      </c>
      <c r="M502" t="n">
        <v>0</v>
      </c>
      <c r="N502" t="n">
        <v>0</v>
      </c>
      <c r="O502" t="n">
        <v>0</v>
      </c>
      <c r="P502" t="n">
        <v>0</v>
      </c>
      <c r="Q502" t="n">
        <v>0</v>
      </c>
      <c r="R502" s="2" t="inlineStr"/>
    </row>
    <row r="503" ht="15" customHeight="1">
      <c r="A503" t="inlineStr">
        <is>
          <t>A 8951-2024</t>
        </is>
      </c>
      <c r="B503" s="1" t="n">
        <v>45357.44695601852</v>
      </c>
      <c r="C503" s="1" t="n">
        <v>46103</v>
      </c>
      <c r="D503" t="inlineStr">
        <is>
          <t>SÖDERMANLANDS LÄN</t>
        </is>
      </c>
      <c r="E503" t="inlineStr">
        <is>
          <t>KATRINEHOLM</t>
        </is>
      </c>
      <c r="G503" t="n">
        <v>3.3</v>
      </c>
      <c r="H503" t="n">
        <v>0</v>
      </c>
      <c r="I503" t="n">
        <v>0</v>
      </c>
      <c r="J503" t="n">
        <v>0</v>
      </c>
      <c r="K503" t="n">
        <v>0</v>
      </c>
      <c r="L503" t="n">
        <v>0</v>
      </c>
      <c r="M503" t="n">
        <v>0</v>
      </c>
      <c r="N503" t="n">
        <v>0</v>
      </c>
      <c r="O503" t="n">
        <v>0</v>
      </c>
      <c r="P503" t="n">
        <v>0</v>
      </c>
      <c r="Q503" t="n">
        <v>0</v>
      </c>
      <c r="R503" s="2" t="inlineStr"/>
    </row>
    <row r="504" ht="15" customHeight="1">
      <c r="A504" t="inlineStr">
        <is>
          <t>A 14224-2024</t>
        </is>
      </c>
      <c r="B504" s="1" t="n">
        <v>45393</v>
      </c>
      <c r="C504" s="1" t="n">
        <v>46103</v>
      </c>
      <c r="D504" t="inlineStr">
        <is>
          <t>SÖDERMANLANDS LÄN</t>
        </is>
      </c>
      <c r="E504" t="inlineStr">
        <is>
          <t>KATRINEHOLM</t>
        </is>
      </c>
      <c r="F504" t="inlineStr">
        <is>
          <t>Sveaskog</t>
        </is>
      </c>
      <c r="G504" t="n">
        <v>7.6</v>
      </c>
      <c r="H504" t="n">
        <v>0</v>
      </c>
      <c r="I504" t="n">
        <v>0</v>
      </c>
      <c r="J504" t="n">
        <v>0</v>
      </c>
      <c r="K504" t="n">
        <v>0</v>
      </c>
      <c r="L504" t="n">
        <v>0</v>
      </c>
      <c r="M504" t="n">
        <v>0</v>
      </c>
      <c r="N504" t="n">
        <v>0</v>
      </c>
      <c r="O504" t="n">
        <v>0</v>
      </c>
      <c r="P504" t="n">
        <v>0</v>
      </c>
      <c r="Q504" t="n">
        <v>0</v>
      </c>
      <c r="R504" s="2" t="inlineStr"/>
    </row>
    <row r="505" ht="15" customHeight="1">
      <c r="A505" t="inlineStr">
        <is>
          <t>A 44989-2022</t>
        </is>
      </c>
      <c r="B505" s="1" t="n">
        <v>44840</v>
      </c>
      <c r="C505" s="1" t="n">
        <v>46103</v>
      </c>
      <c r="D505" t="inlineStr">
        <is>
          <t>SÖDERMANLANDS LÄN</t>
        </is>
      </c>
      <c r="E505" t="inlineStr">
        <is>
          <t>KATRINEHOLM</t>
        </is>
      </c>
      <c r="G505" t="n">
        <v>6</v>
      </c>
      <c r="H505" t="n">
        <v>0</v>
      </c>
      <c r="I505" t="n">
        <v>0</v>
      </c>
      <c r="J505" t="n">
        <v>0</v>
      </c>
      <c r="K505" t="n">
        <v>0</v>
      </c>
      <c r="L505" t="n">
        <v>0</v>
      </c>
      <c r="M505" t="n">
        <v>0</v>
      </c>
      <c r="N505" t="n">
        <v>0</v>
      </c>
      <c r="O505" t="n">
        <v>0</v>
      </c>
      <c r="P505" t="n">
        <v>0</v>
      </c>
      <c r="Q505" t="n">
        <v>0</v>
      </c>
      <c r="R505" s="2" t="inlineStr"/>
    </row>
    <row r="506" ht="15" customHeight="1">
      <c r="A506" t="inlineStr">
        <is>
          <t>A 57263-2022</t>
        </is>
      </c>
      <c r="B506" s="1" t="n">
        <v>44895</v>
      </c>
      <c r="C506" s="1" t="n">
        <v>46103</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49218-2023</t>
        </is>
      </c>
      <c r="B507" s="1" t="n">
        <v>45205</v>
      </c>
      <c r="C507" s="1" t="n">
        <v>46103</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4679-2023</t>
        </is>
      </c>
      <c r="B508" s="1" t="n">
        <v>44957.44885416667</v>
      </c>
      <c r="C508" s="1" t="n">
        <v>46103</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46103</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2320-2023</t>
        </is>
      </c>
      <c r="B510" s="1" t="n">
        <v>44942.58850694444</v>
      </c>
      <c r="C510" s="1" t="n">
        <v>46103</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2325-2023</t>
        </is>
      </c>
      <c r="B511" s="1" t="n">
        <v>44942</v>
      </c>
      <c r="C511" s="1" t="n">
        <v>46103</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33084-2025</t>
        </is>
      </c>
      <c r="B512" s="1" t="n">
        <v>45840.46559027778</v>
      </c>
      <c r="C512" s="1" t="n">
        <v>46103</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55732-2023</t>
        </is>
      </c>
      <c r="B513" s="1" t="n">
        <v>45239</v>
      </c>
      <c r="C513" s="1" t="n">
        <v>46103</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33577-2025</t>
        </is>
      </c>
      <c r="B514" s="1" t="n">
        <v>45841.59056712963</v>
      </c>
      <c r="C514" s="1" t="n">
        <v>46103</v>
      </c>
      <c r="D514" t="inlineStr">
        <is>
          <t>SÖDERMANLANDS LÄN</t>
        </is>
      </c>
      <c r="E514" t="inlineStr">
        <is>
          <t>KATRINEHOLM</t>
        </is>
      </c>
      <c r="F514" t="inlineStr">
        <is>
          <t>Holmen skog AB</t>
        </is>
      </c>
      <c r="G514" t="n">
        <v>0.3</v>
      </c>
      <c r="H514" t="n">
        <v>0</v>
      </c>
      <c r="I514" t="n">
        <v>0</v>
      </c>
      <c r="J514" t="n">
        <v>0</v>
      </c>
      <c r="K514" t="n">
        <v>0</v>
      </c>
      <c r="L514" t="n">
        <v>0</v>
      </c>
      <c r="M514" t="n">
        <v>0</v>
      </c>
      <c r="N514" t="n">
        <v>0</v>
      </c>
      <c r="O514" t="n">
        <v>0</v>
      </c>
      <c r="P514" t="n">
        <v>0</v>
      </c>
      <c r="Q514" t="n">
        <v>0</v>
      </c>
      <c r="R514" s="2" t="inlineStr"/>
    </row>
    <row r="515" ht="15" customHeight="1">
      <c r="A515" t="inlineStr">
        <is>
          <t>A 33090-2025</t>
        </is>
      </c>
      <c r="B515" s="1" t="n">
        <v>45840.46840277778</v>
      </c>
      <c r="C515" s="1" t="n">
        <v>46103</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17792-2025</t>
        </is>
      </c>
      <c r="B516" s="1" t="n">
        <v>45758</v>
      </c>
      <c r="C516" s="1" t="n">
        <v>46103</v>
      </c>
      <c r="D516" t="inlineStr">
        <is>
          <t>SÖDERMANLANDS LÄN</t>
        </is>
      </c>
      <c r="E516" t="inlineStr">
        <is>
          <t>KATRINEHOLM</t>
        </is>
      </c>
      <c r="G516" t="n">
        <v>4.2</v>
      </c>
      <c r="H516" t="n">
        <v>0</v>
      </c>
      <c r="I516" t="n">
        <v>0</v>
      </c>
      <c r="J516" t="n">
        <v>0</v>
      </c>
      <c r="K516" t="n">
        <v>0</v>
      </c>
      <c r="L516" t="n">
        <v>0</v>
      </c>
      <c r="M516" t="n">
        <v>0</v>
      </c>
      <c r="N516" t="n">
        <v>0</v>
      </c>
      <c r="O516" t="n">
        <v>0</v>
      </c>
      <c r="P516" t="n">
        <v>0</v>
      </c>
      <c r="Q516" t="n">
        <v>0</v>
      </c>
      <c r="R516" s="2" t="inlineStr"/>
    </row>
    <row r="517" ht="15" customHeight="1">
      <c r="A517" t="inlineStr">
        <is>
          <t>A 33812-2025</t>
        </is>
      </c>
      <c r="B517" s="1" t="n">
        <v>45842</v>
      </c>
      <c r="C517" s="1" t="n">
        <v>46103</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58473-2021</t>
        </is>
      </c>
      <c r="B518" s="1" t="n">
        <v>44488</v>
      </c>
      <c r="C518" s="1" t="n">
        <v>46103</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53860-2021</t>
        </is>
      </c>
      <c r="B519" s="1" t="n">
        <v>44467</v>
      </c>
      <c r="C519" s="1" t="n">
        <v>46103</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6762-2025</t>
        </is>
      </c>
      <c r="B520" s="1" t="n">
        <v>45700</v>
      </c>
      <c r="C520" s="1" t="n">
        <v>46103</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33815-2025</t>
        </is>
      </c>
      <c r="B521" s="1" t="n">
        <v>45842</v>
      </c>
      <c r="C521" s="1" t="n">
        <v>46103</v>
      </c>
      <c r="D521" t="inlineStr">
        <is>
          <t>SÖDERMANLANDS LÄN</t>
        </is>
      </c>
      <c r="E521" t="inlineStr">
        <is>
          <t>KATRINEHOLM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46103</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20213-2025</t>
        </is>
      </c>
      <c r="B523" s="1" t="n">
        <v>45772.63453703704</v>
      </c>
      <c r="C523" s="1" t="n">
        <v>46103</v>
      </c>
      <c r="D523" t="inlineStr">
        <is>
          <t>SÖDERMANLANDS LÄN</t>
        </is>
      </c>
      <c r="E523" t="inlineStr">
        <is>
          <t>KATRINEHOLM</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29702-2021</t>
        </is>
      </c>
      <c r="B524" s="1" t="n">
        <v>44362</v>
      </c>
      <c r="C524" s="1" t="n">
        <v>46103</v>
      </c>
      <c r="D524" t="inlineStr">
        <is>
          <t>SÖDERMANLANDS LÄN</t>
        </is>
      </c>
      <c r="E524" t="inlineStr">
        <is>
          <t>KATRINEHOLM</t>
        </is>
      </c>
      <c r="F524" t="inlineStr">
        <is>
          <t>Holmen skog AB</t>
        </is>
      </c>
      <c r="G524" t="n">
        <v>0.3</v>
      </c>
      <c r="H524" t="n">
        <v>0</v>
      </c>
      <c r="I524" t="n">
        <v>0</v>
      </c>
      <c r="J524" t="n">
        <v>0</v>
      </c>
      <c r="K524" t="n">
        <v>0</v>
      </c>
      <c r="L524" t="n">
        <v>0</v>
      </c>
      <c r="M524" t="n">
        <v>0</v>
      </c>
      <c r="N524" t="n">
        <v>0</v>
      </c>
      <c r="O524" t="n">
        <v>0</v>
      </c>
      <c r="P524" t="n">
        <v>0</v>
      </c>
      <c r="Q524" t="n">
        <v>0</v>
      </c>
      <c r="R524" s="2" t="inlineStr"/>
    </row>
    <row r="525" ht="15" customHeight="1">
      <c r="A525" t="inlineStr">
        <is>
          <t>A 4662-2023</t>
        </is>
      </c>
      <c r="B525" s="1" t="n">
        <v>44957</v>
      </c>
      <c r="C525" s="1" t="n">
        <v>46103</v>
      </c>
      <c r="D525" t="inlineStr">
        <is>
          <t>SÖDERMANLANDS LÄN</t>
        </is>
      </c>
      <c r="E525" t="inlineStr">
        <is>
          <t>KATRINEHOLM</t>
        </is>
      </c>
      <c r="F525" t="inlineStr">
        <is>
          <t>Holmen skog AB</t>
        </is>
      </c>
      <c r="G525" t="n">
        <v>0.4</v>
      </c>
      <c r="H525" t="n">
        <v>0</v>
      </c>
      <c r="I525" t="n">
        <v>0</v>
      </c>
      <c r="J525" t="n">
        <v>0</v>
      </c>
      <c r="K525" t="n">
        <v>0</v>
      </c>
      <c r="L525" t="n">
        <v>0</v>
      </c>
      <c r="M525" t="n">
        <v>0</v>
      </c>
      <c r="N525" t="n">
        <v>0</v>
      </c>
      <c r="O525" t="n">
        <v>0</v>
      </c>
      <c r="P525" t="n">
        <v>0</v>
      </c>
      <c r="Q525" t="n">
        <v>0</v>
      </c>
      <c r="R525" s="2" t="inlineStr"/>
    </row>
    <row r="526" ht="15" customHeight="1">
      <c r="A526" t="inlineStr">
        <is>
          <t>A 22304-2024</t>
        </is>
      </c>
      <c r="B526" s="1" t="n">
        <v>45446.56626157407</v>
      </c>
      <c r="C526" s="1" t="n">
        <v>46103</v>
      </c>
      <c r="D526" t="inlineStr">
        <is>
          <t>SÖDERMANLANDS LÄN</t>
        </is>
      </c>
      <c r="E526" t="inlineStr">
        <is>
          <t>KATRINEHOLM</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13171-2024</t>
        </is>
      </c>
      <c r="B527" s="1" t="n">
        <v>45386</v>
      </c>
      <c r="C527" s="1" t="n">
        <v>46103</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33752-2023</t>
        </is>
      </c>
      <c r="B528" s="1" t="n">
        <v>45120</v>
      </c>
      <c r="C528" s="1" t="n">
        <v>46103</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28652-2024</t>
        </is>
      </c>
      <c r="B529" s="1" t="n">
        <v>45478</v>
      </c>
      <c r="C529" s="1" t="n">
        <v>46103</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9936-2023</t>
        </is>
      </c>
      <c r="B530" s="1" t="n">
        <v>44985.47086805556</v>
      </c>
      <c r="C530" s="1" t="n">
        <v>46103</v>
      </c>
      <c r="D530" t="inlineStr">
        <is>
          <t>SÖDERMANLANDS LÄN</t>
        </is>
      </c>
      <c r="E530" t="inlineStr">
        <is>
          <t>KATRINEHOLM</t>
        </is>
      </c>
      <c r="G530" t="n">
        <v>0.4</v>
      </c>
      <c r="H530" t="n">
        <v>0</v>
      </c>
      <c r="I530" t="n">
        <v>0</v>
      </c>
      <c r="J530" t="n">
        <v>0</v>
      </c>
      <c r="K530" t="n">
        <v>0</v>
      </c>
      <c r="L530" t="n">
        <v>0</v>
      </c>
      <c r="M530" t="n">
        <v>0</v>
      </c>
      <c r="N530" t="n">
        <v>0</v>
      </c>
      <c r="O530" t="n">
        <v>0</v>
      </c>
      <c r="P530" t="n">
        <v>0</v>
      </c>
      <c r="Q530" t="n">
        <v>0</v>
      </c>
      <c r="R530" s="2" t="inlineStr"/>
    </row>
    <row r="531" ht="15" customHeight="1">
      <c r="A531" t="inlineStr">
        <is>
          <t>A 35156-2025</t>
        </is>
      </c>
      <c r="B531" s="1" t="n">
        <v>45852</v>
      </c>
      <c r="C531" s="1" t="n">
        <v>46103</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35145-2025</t>
        </is>
      </c>
      <c r="B532" s="1" t="n">
        <v>45852</v>
      </c>
      <c r="C532" s="1" t="n">
        <v>46103</v>
      </c>
      <c r="D532" t="inlineStr">
        <is>
          <t>SÖDERMANLANDS LÄN</t>
        </is>
      </c>
      <c r="E532" t="inlineStr">
        <is>
          <t>KATRINEHOLM</t>
        </is>
      </c>
      <c r="G532" t="n">
        <v>3.1</v>
      </c>
      <c r="H532" t="n">
        <v>0</v>
      </c>
      <c r="I532" t="n">
        <v>0</v>
      </c>
      <c r="J532" t="n">
        <v>0</v>
      </c>
      <c r="K532" t="n">
        <v>0</v>
      </c>
      <c r="L532" t="n">
        <v>0</v>
      </c>
      <c r="M532" t="n">
        <v>0</v>
      </c>
      <c r="N532" t="n">
        <v>0</v>
      </c>
      <c r="O532" t="n">
        <v>0</v>
      </c>
      <c r="P532" t="n">
        <v>0</v>
      </c>
      <c r="Q532" t="n">
        <v>0</v>
      </c>
      <c r="R532" s="2" t="inlineStr"/>
    </row>
    <row r="533" ht="15" customHeight="1">
      <c r="A533" t="inlineStr">
        <is>
          <t>A 35157-2025</t>
        </is>
      </c>
      <c r="B533" s="1" t="n">
        <v>45852</v>
      </c>
      <c r="C533" s="1" t="n">
        <v>46103</v>
      </c>
      <c r="D533" t="inlineStr">
        <is>
          <t>SÖDERMANLANDS LÄN</t>
        </is>
      </c>
      <c r="E533" t="inlineStr">
        <is>
          <t>KATRINEHOLM</t>
        </is>
      </c>
      <c r="G533" t="n">
        <v>3.7</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46103</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46103</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46103</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46103</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46103</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46103</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35158-2025</t>
        </is>
      </c>
      <c r="B540" s="1" t="n">
        <v>45852</v>
      </c>
      <c r="C540" s="1" t="n">
        <v>46103</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72984-2021</t>
        </is>
      </c>
      <c r="B541" s="1" t="n">
        <v>44549.74741898148</v>
      </c>
      <c r="C541" s="1" t="n">
        <v>46103</v>
      </c>
      <c r="D541" t="inlineStr">
        <is>
          <t>SÖDERMANLANDS LÄN</t>
        </is>
      </c>
      <c r="E541" t="inlineStr">
        <is>
          <t>KATRINEHOLM</t>
        </is>
      </c>
      <c r="G541" t="n">
        <v>4.9</v>
      </c>
      <c r="H541" t="n">
        <v>0</v>
      </c>
      <c r="I541" t="n">
        <v>0</v>
      </c>
      <c r="J541" t="n">
        <v>0</v>
      </c>
      <c r="K541" t="n">
        <v>0</v>
      </c>
      <c r="L541" t="n">
        <v>0</v>
      </c>
      <c r="M541" t="n">
        <v>0</v>
      </c>
      <c r="N541" t="n">
        <v>0</v>
      </c>
      <c r="O541" t="n">
        <v>0</v>
      </c>
      <c r="P541" t="n">
        <v>0</v>
      </c>
      <c r="Q541" t="n">
        <v>0</v>
      </c>
      <c r="R541" s="2" t="inlineStr"/>
    </row>
    <row r="542" ht="15" customHeight="1">
      <c r="A542" t="inlineStr">
        <is>
          <t>A 34439-2025</t>
        </is>
      </c>
      <c r="B542" s="1" t="n">
        <v>45845</v>
      </c>
      <c r="C542" s="1" t="n">
        <v>46103</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33712-2022</t>
        </is>
      </c>
      <c r="B543" s="1" t="n">
        <v>44789</v>
      </c>
      <c r="C543" s="1" t="n">
        <v>46103</v>
      </c>
      <c r="D543" t="inlineStr">
        <is>
          <t>SÖDERMANLANDS LÄN</t>
        </is>
      </c>
      <c r="E543" t="inlineStr">
        <is>
          <t>KATRINEHOLM</t>
        </is>
      </c>
      <c r="G543" t="n">
        <v>4.3</v>
      </c>
      <c r="H543" t="n">
        <v>0</v>
      </c>
      <c r="I543" t="n">
        <v>0</v>
      </c>
      <c r="J543" t="n">
        <v>0</v>
      </c>
      <c r="K543" t="n">
        <v>0</v>
      </c>
      <c r="L543" t="n">
        <v>0</v>
      </c>
      <c r="M543" t="n">
        <v>0</v>
      </c>
      <c r="N543" t="n">
        <v>0</v>
      </c>
      <c r="O543" t="n">
        <v>0</v>
      </c>
      <c r="P543" t="n">
        <v>0</v>
      </c>
      <c r="Q543" t="n">
        <v>0</v>
      </c>
      <c r="R543" s="2" t="inlineStr"/>
    </row>
    <row r="544" ht="15" customHeight="1">
      <c r="A544" t="inlineStr">
        <is>
          <t>A 33717-2022</t>
        </is>
      </c>
      <c r="B544" s="1" t="n">
        <v>44789</v>
      </c>
      <c r="C544" s="1" t="n">
        <v>46103</v>
      </c>
      <c r="D544" t="inlineStr">
        <is>
          <t>SÖDERMANLANDS LÄN</t>
        </is>
      </c>
      <c r="E544" t="inlineStr">
        <is>
          <t>KATRINEHOLM</t>
        </is>
      </c>
      <c r="G544" t="n">
        <v>4.4</v>
      </c>
      <c r="H544" t="n">
        <v>0</v>
      </c>
      <c r="I544" t="n">
        <v>0</v>
      </c>
      <c r="J544" t="n">
        <v>0</v>
      </c>
      <c r="K544" t="n">
        <v>0</v>
      </c>
      <c r="L544" t="n">
        <v>0</v>
      </c>
      <c r="M544" t="n">
        <v>0</v>
      </c>
      <c r="N544" t="n">
        <v>0</v>
      </c>
      <c r="O544" t="n">
        <v>0</v>
      </c>
      <c r="P544" t="n">
        <v>0</v>
      </c>
      <c r="Q544" t="n">
        <v>0</v>
      </c>
      <c r="R544" s="2" t="inlineStr"/>
    </row>
    <row r="545" ht="15" customHeight="1">
      <c r="A545" t="inlineStr">
        <is>
          <t>A 51440-2024</t>
        </is>
      </c>
      <c r="B545" s="1" t="n">
        <v>45604</v>
      </c>
      <c r="C545" s="1" t="n">
        <v>46103</v>
      </c>
      <c r="D545" t="inlineStr">
        <is>
          <t>SÖDERMANLANDS LÄN</t>
        </is>
      </c>
      <c r="E545" t="inlineStr">
        <is>
          <t>KATRINEHOLM</t>
        </is>
      </c>
      <c r="G545" t="n">
        <v>4.7</v>
      </c>
      <c r="H545" t="n">
        <v>0</v>
      </c>
      <c r="I545" t="n">
        <v>0</v>
      </c>
      <c r="J545" t="n">
        <v>0</v>
      </c>
      <c r="K545" t="n">
        <v>0</v>
      </c>
      <c r="L545" t="n">
        <v>0</v>
      </c>
      <c r="M545" t="n">
        <v>0</v>
      </c>
      <c r="N545" t="n">
        <v>0</v>
      </c>
      <c r="O545" t="n">
        <v>0</v>
      </c>
      <c r="P545" t="n">
        <v>0</v>
      </c>
      <c r="Q545" t="n">
        <v>0</v>
      </c>
      <c r="R545" s="2" t="inlineStr"/>
    </row>
    <row r="546" ht="15" customHeight="1">
      <c r="A546" t="inlineStr">
        <is>
          <t>A 51260-2021</t>
        </is>
      </c>
      <c r="B546" s="1" t="n">
        <v>44461</v>
      </c>
      <c r="C546" s="1" t="n">
        <v>46103</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38879-2024</t>
        </is>
      </c>
      <c r="B547" s="1" t="n">
        <v>45547</v>
      </c>
      <c r="C547" s="1" t="n">
        <v>46103</v>
      </c>
      <c r="D547" t="inlineStr">
        <is>
          <t>SÖDERMANLANDS LÄN</t>
        </is>
      </c>
      <c r="E547" t="inlineStr">
        <is>
          <t>KATRINEHOLM</t>
        </is>
      </c>
      <c r="G547" t="n">
        <v>2.6</v>
      </c>
      <c r="H547" t="n">
        <v>0</v>
      </c>
      <c r="I547" t="n">
        <v>0</v>
      </c>
      <c r="J547" t="n">
        <v>0</v>
      </c>
      <c r="K547" t="n">
        <v>0</v>
      </c>
      <c r="L547" t="n">
        <v>0</v>
      </c>
      <c r="M547" t="n">
        <v>0</v>
      </c>
      <c r="N547" t="n">
        <v>0</v>
      </c>
      <c r="O547" t="n">
        <v>0</v>
      </c>
      <c r="P547" t="n">
        <v>0</v>
      </c>
      <c r="Q547" t="n">
        <v>0</v>
      </c>
      <c r="R547" s="2" t="inlineStr"/>
    </row>
    <row r="548" ht="15" customHeight="1">
      <c r="A548" t="inlineStr">
        <is>
          <t>A 42945-2023</t>
        </is>
      </c>
      <c r="B548" s="1" t="n">
        <v>45182.5793287037</v>
      </c>
      <c r="C548" s="1" t="n">
        <v>46103</v>
      </c>
      <c r="D548" t="inlineStr">
        <is>
          <t>SÖDERMANLANDS LÄN</t>
        </is>
      </c>
      <c r="E548" t="inlineStr">
        <is>
          <t>KATRINEHOLM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42962-2023</t>
        </is>
      </c>
      <c r="B549" s="1" t="n">
        <v>45182</v>
      </c>
      <c r="C549" s="1" t="n">
        <v>46103</v>
      </c>
      <c r="D549" t="inlineStr">
        <is>
          <t>SÖDERMANLANDS LÄN</t>
        </is>
      </c>
      <c r="E549" t="inlineStr">
        <is>
          <t>KATRINEHOLM</t>
        </is>
      </c>
      <c r="F549" t="inlineStr">
        <is>
          <t>Övriga Aktiebolag</t>
        </is>
      </c>
      <c r="G549" t="n">
        <v>10.6</v>
      </c>
      <c r="H549" t="n">
        <v>0</v>
      </c>
      <c r="I549" t="n">
        <v>0</v>
      </c>
      <c r="J549" t="n">
        <v>0</v>
      </c>
      <c r="K549" t="n">
        <v>0</v>
      </c>
      <c r="L549" t="n">
        <v>0</v>
      </c>
      <c r="M549" t="n">
        <v>0</v>
      </c>
      <c r="N549" t="n">
        <v>0</v>
      </c>
      <c r="O549" t="n">
        <v>0</v>
      </c>
      <c r="P549" t="n">
        <v>0</v>
      </c>
      <c r="Q549" t="n">
        <v>0</v>
      </c>
      <c r="R549" s="2" t="inlineStr"/>
    </row>
    <row r="550" ht="15" customHeight="1">
      <c r="A550" t="inlineStr">
        <is>
          <t>A 33538-2022</t>
        </is>
      </c>
      <c r="B550" s="1" t="n">
        <v>44789</v>
      </c>
      <c r="C550" s="1" t="n">
        <v>46103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34176-2025</t>
        </is>
      </c>
      <c r="B551" s="1" t="n">
        <v>45845</v>
      </c>
      <c r="C551" s="1" t="n">
        <v>46103</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16605-2025</t>
        </is>
      </c>
      <c r="B552" s="1" t="n">
        <v>45753.61614583333</v>
      </c>
      <c r="C552" s="1" t="n">
        <v>46103</v>
      </c>
      <c r="D552" t="inlineStr">
        <is>
          <t>SÖDERMANLANDS LÄN</t>
        </is>
      </c>
      <c r="E552" t="inlineStr">
        <is>
          <t>KATRINEHOLM</t>
        </is>
      </c>
      <c r="G552" t="n">
        <v>5.2</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46103</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46103</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63188-2021</t>
        </is>
      </c>
      <c r="B555" s="1" t="n">
        <v>44507.56865740741</v>
      </c>
      <c r="C555" s="1" t="n">
        <v>46103</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44024-2021</t>
        </is>
      </c>
      <c r="B556" s="1" t="n">
        <v>44434</v>
      </c>
      <c r="C556" s="1" t="n">
        <v>46103</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64713-2023</t>
        </is>
      </c>
      <c r="B557" s="1" t="n">
        <v>45281</v>
      </c>
      <c r="C557" s="1" t="n">
        <v>46103</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28304-2024</t>
        </is>
      </c>
      <c r="B558" s="1" t="n">
        <v>45477</v>
      </c>
      <c r="C558" s="1" t="n">
        <v>46103</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46103</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7322-2023</t>
        </is>
      </c>
      <c r="B560" s="1" t="n">
        <v>44970</v>
      </c>
      <c r="C560" s="1" t="n">
        <v>46103</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60160-2022</t>
        </is>
      </c>
      <c r="B561" s="1" t="n">
        <v>44909</v>
      </c>
      <c r="C561" s="1" t="n">
        <v>46103</v>
      </c>
      <c r="D561" t="inlineStr">
        <is>
          <t>SÖDERMANLANDS LÄN</t>
        </is>
      </c>
      <c r="E561" t="inlineStr">
        <is>
          <t>KATRINEHOLM</t>
        </is>
      </c>
      <c r="F561" t="inlineStr">
        <is>
          <t>Allmännings- och besparingsskogar</t>
        </is>
      </c>
      <c r="G561" t="n">
        <v>2</v>
      </c>
      <c r="H561" t="n">
        <v>0</v>
      </c>
      <c r="I561" t="n">
        <v>0</v>
      </c>
      <c r="J561" t="n">
        <v>0</v>
      </c>
      <c r="K561" t="n">
        <v>0</v>
      </c>
      <c r="L561" t="n">
        <v>0</v>
      </c>
      <c r="M561" t="n">
        <v>0</v>
      </c>
      <c r="N561" t="n">
        <v>0</v>
      </c>
      <c r="O561" t="n">
        <v>0</v>
      </c>
      <c r="P561" t="n">
        <v>0</v>
      </c>
      <c r="Q561" t="n">
        <v>0</v>
      </c>
      <c r="R561" s="2" t="inlineStr"/>
    </row>
    <row r="562" ht="15" customHeight="1">
      <c r="A562" t="inlineStr">
        <is>
          <t>A 12227-2025</t>
        </is>
      </c>
      <c r="B562" s="1" t="n">
        <v>45729.56836805555</v>
      </c>
      <c r="C562" s="1" t="n">
        <v>46103</v>
      </c>
      <c r="D562" t="inlineStr">
        <is>
          <t>SÖDERMANLANDS LÄN</t>
        </is>
      </c>
      <c r="E562" t="inlineStr">
        <is>
          <t>KATRINEHOLM</t>
        </is>
      </c>
      <c r="G562" t="n">
        <v>7</v>
      </c>
      <c r="H562" t="n">
        <v>0</v>
      </c>
      <c r="I562" t="n">
        <v>0</v>
      </c>
      <c r="J562" t="n">
        <v>0</v>
      </c>
      <c r="K562" t="n">
        <v>0</v>
      </c>
      <c r="L562" t="n">
        <v>0</v>
      </c>
      <c r="M562" t="n">
        <v>0</v>
      </c>
      <c r="N562" t="n">
        <v>0</v>
      </c>
      <c r="O562" t="n">
        <v>0</v>
      </c>
      <c r="P562" t="n">
        <v>0</v>
      </c>
      <c r="Q562" t="n">
        <v>0</v>
      </c>
      <c r="R562" s="2" t="inlineStr"/>
    </row>
    <row r="563" ht="15" customHeight="1">
      <c r="A563" t="inlineStr">
        <is>
          <t>A 48685-2022</t>
        </is>
      </c>
      <c r="B563" s="1" t="n">
        <v>44859</v>
      </c>
      <c r="C563" s="1" t="n">
        <v>46103</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42519-2024</t>
        </is>
      </c>
      <c r="B564" s="1" t="n">
        <v>45565</v>
      </c>
      <c r="C564" s="1" t="n">
        <v>46103</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46103</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50021-2023</t>
        </is>
      </c>
      <c r="B566" s="1" t="n">
        <v>45215</v>
      </c>
      <c r="C566" s="1" t="n">
        <v>46103</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43499-2021</t>
        </is>
      </c>
      <c r="B567" s="1" t="n">
        <v>44433</v>
      </c>
      <c r="C567" s="1" t="n">
        <v>46103</v>
      </c>
      <c r="D567" t="inlineStr">
        <is>
          <t>SÖDERMANLANDS LÄN</t>
        </is>
      </c>
      <c r="E567" t="inlineStr">
        <is>
          <t>KATRINEHOLM</t>
        </is>
      </c>
      <c r="F567" t="inlineStr">
        <is>
          <t>Övriga Aktiebolag</t>
        </is>
      </c>
      <c r="G567" t="n">
        <v>1.4</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46103</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32169-2022</t>
        </is>
      </c>
      <c r="B569" s="1" t="n">
        <v>44781</v>
      </c>
      <c r="C569" s="1" t="n">
        <v>46103</v>
      </c>
      <c r="D569" t="inlineStr">
        <is>
          <t>SÖDERMANLANDS LÄN</t>
        </is>
      </c>
      <c r="E569" t="inlineStr">
        <is>
          <t>KATRINEHOLM</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55122-2022</t>
        </is>
      </c>
      <c r="B570" s="1" t="n">
        <v>44886.65092592593</v>
      </c>
      <c r="C570" s="1" t="n">
        <v>46103</v>
      </c>
      <c r="D570" t="inlineStr">
        <is>
          <t>SÖDERMANLANDS LÄN</t>
        </is>
      </c>
      <c r="E570" t="inlineStr">
        <is>
          <t>KATRINEHOLM</t>
        </is>
      </c>
      <c r="G570" t="n">
        <v>6.5</v>
      </c>
      <c r="H570" t="n">
        <v>0</v>
      </c>
      <c r="I570" t="n">
        <v>0</v>
      </c>
      <c r="J570" t="n">
        <v>0</v>
      </c>
      <c r="K570" t="n">
        <v>0</v>
      </c>
      <c r="L570" t="n">
        <v>0</v>
      </c>
      <c r="M570" t="n">
        <v>0</v>
      </c>
      <c r="N570" t="n">
        <v>0</v>
      </c>
      <c r="O570" t="n">
        <v>0</v>
      </c>
      <c r="P570" t="n">
        <v>0</v>
      </c>
      <c r="Q570" t="n">
        <v>0</v>
      </c>
      <c r="R570" s="2" t="inlineStr"/>
    </row>
    <row r="571" ht="15" customHeight="1">
      <c r="A571" t="inlineStr">
        <is>
          <t>A 37043-2025</t>
        </is>
      </c>
      <c r="B571" s="1" t="n">
        <v>45875.3396412037</v>
      </c>
      <c r="C571" s="1" t="n">
        <v>46103</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43964-2022</t>
        </is>
      </c>
      <c r="B572" s="1" t="n">
        <v>44837</v>
      </c>
      <c r="C572" s="1" t="n">
        <v>46103</v>
      </c>
      <c r="D572" t="inlineStr">
        <is>
          <t>SÖDERMANLANDS LÄN</t>
        </is>
      </c>
      <c r="E572" t="inlineStr">
        <is>
          <t>KATRINEHOLM</t>
        </is>
      </c>
      <c r="G572" t="n">
        <v>3.6</v>
      </c>
      <c r="H572" t="n">
        <v>0</v>
      </c>
      <c r="I572" t="n">
        <v>0</v>
      </c>
      <c r="J572" t="n">
        <v>0</v>
      </c>
      <c r="K572" t="n">
        <v>0</v>
      </c>
      <c r="L572" t="n">
        <v>0</v>
      </c>
      <c r="M572" t="n">
        <v>0</v>
      </c>
      <c r="N572" t="n">
        <v>0</v>
      </c>
      <c r="O572" t="n">
        <v>0</v>
      </c>
      <c r="P572" t="n">
        <v>0</v>
      </c>
      <c r="Q572" t="n">
        <v>0</v>
      </c>
      <c r="R572" s="2" t="inlineStr"/>
    </row>
    <row r="573" ht="15" customHeight="1">
      <c r="A573" t="inlineStr">
        <is>
          <t>A 46075-2023</t>
        </is>
      </c>
      <c r="B573" s="1" t="n">
        <v>45196</v>
      </c>
      <c r="C573" s="1" t="n">
        <v>46103</v>
      </c>
      <c r="D573" t="inlineStr">
        <is>
          <t>SÖDERMANLANDS LÄN</t>
        </is>
      </c>
      <c r="E573" t="inlineStr">
        <is>
          <t>KATRINEHOLM</t>
        </is>
      </c>
      <c r="F573" t="inlineStr">
        <is>
          <t>Övriga Aktiebolag</t>
        </is>
      </c>
      <c r="G573" t="n">
        <v>9.5</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46103</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44659-2023</t>
        </is>
      </c>
      <c r="B575" s="1" t="n">
        <v>45189</v>
      </c>
      <c r="C575" s="1" t="n">
        <v>46103</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48682-2022</t>
        </is>
      </c>
      <c r="B576" s="1" t="n">
        <v>44859</v>
      </c>
      <c r="C576" s="1" t="n">
        <v>46103</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37827-2025</t>
        </is>
      </c>
      <c r="B577" s="1" t="n">
        <v>45881.40907407407</v>
      </c>
      <c r="C577" s="1" t="n">
        <v>46103</v>
      </c>
      <c r="D577" t="inlineStr">
        <is>
          <t>SÖDERMANLANDS LÄN</t>
        </is>
      </c>
      <c r="E577" t="inlineStr">
        <is>
          <t>KATRINEHOLM</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14629-2023</t>
        </is>
      </c>
      <c r="B578" s="1" t="n">
        <v>45013</v>
      </c>
      <c r="C578" s="1" t="n">
        <v>46103</v>
      </c>
      <c r="D578" t="inlineStr">
        <is>
          <t>SÖDERMANLANDS LÄN</t>
        </is>
      </c>
      <c r="E578" t="inlineStr">
        <is>
          <t>KATRINEHOLM</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57524-2021</t>
        </is>
      </c>
      <c r="B579" s="1" t="n">
        <v>44483</v>
      </c>
      <c r="C579" s="1" t="n">
        <v>46103</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27345-2023</t>
        </is>
      </c>
      <c r="B580" s="1" t="n">
        <v>45096</v>
      </c>
      <c r="C580" s="1" t="n">
        <v>46103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53996-2023</t>
        </is>
      </c>
      <c r="B581" s="1" t="n">
        <v>45231</v>
      </c>
      <c r="C581" s="1" t="n">
        <v>46103</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11127-2023</t>
        </is>
      </c>
      <c r="B582" s="1" t="n">
        <v>44987</v>
      </c>
      <c r="C582" s="1" t="n">
        <v>46103</v>
      </c>
      <c r="D582" t="inlineStr">
        <is>
          <t>SÖDERMANLANDS LÄN</t>
        </is>
      </c>
      <c r="E582" t="inlineStr">
        <is>
          <t>KATRINEHOLM</t>
        </is>
      </c>
      <c r="G582" t="n">
        <v>4.3</v>
      </c>
      <c r="H582" t="n">
        <v>0</v>
      </c>
      <c r="I582" t="n">
        <v>0</v>
      </c>
      <c r="J582" t="n">
        <v>0</v>
      </c>
      <c r="K582" t="n">
        <v>0</v>
      </c>
      <c r="L582" t="n">
        <v>0</v>
      </c>
      <c r="M582" t="n">
        <v>0</v>
      </c>
      <c r="N582" t="n">
        <v>0</v>
      </c>
      <c r="O582" t="n">
        <v>0</v>
      </c>
      <c r="P582" t="n">
        <v>0</v>
      </c>
      <c r="Q582" t="n">
        <v>0</v>
      </c>
      <c r="R582" s="2" t="inlineStr"/>
    </row>
    <row r="583" ht="15" customHeight="1">
      <c r="A583" t="inlineStr">
        <is>
          <t>A 37185-2023</t>
        </is>
      </c>
      <c r="B583" s="1" t="n">
        <v>45154</v>
      </c>
      <c r="C583" s="1" t="n">
        <v>46103</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11543-2025</t>
        </is>
      </c>
      <c r="B584" s="1" t="n">
        <v>45727.34248842593</v>
      </c>
      <c r="C584" s="1" t="n">
        <v>46103</v>
      </c>
      <c r="D584" t="inlineStr">
        <is>
          <t>SÖDERMANLANDS LÄN</t>
        </is>
      </c>
      <c r="E584" t="inlineStr">
        <is>
          <t>KATRINEHOLM</t>
        </is>
      </c>
      <c r="G584" t="n">
        <v>3.6</v>
      </c>
      <c r="H584" t="n">
        <v>0</v>
      </c>
      <c r="I584" t="n">
        <v>0</v>
      </c>
      <c r="J584" t="n">
        <v>0</v>
      </c>
      <c r="K584" t="n">
        <v>0</v>
      </c>
      <c r="L584" t="n">
        <v>0</v>
      </c>
      <c r="M584" t="n">
        <v>0</v>
      </c>
      <c r="N584" t="n">
        <v>0</v>
      </c>
      <c r="O584" t="n">
        <v>0</v>
      </c>
      <c r="P584" t="n">
        <v>0</v>
      </c>
      <c r="Q584" t="n">
        <v>0</v>
      </c>
      <c r="R584" s="2" t="inlineStr"/>
    </row>
    <row r="585" ht="15" customHeight="1">
      <c r="A585" t="inlineStr">
        <is>
          <t>A 35228-2025</t>
        </is>
      </c>
      <c r="B585" s="1" t="n">
        <v>45853</v>
      </c>
      <c r="C585" s="1" t="n">
        <v>46103</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24284-2024</t>
        </is>
      </c>
      <c r="B586" s="1" t="n">
        <v>45457</v>
      </c>
      <c r="C586" s="1" t="n">
        <v>46103</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66393-2021</t>
        </is>
      </c>
      <c r="B587" s="1" t="n">
        <v>44518</v>
      </c>
      <c r="C587" s="1" t="n">
        <v>46103</v>
      </c>
      <c r="D587" t="inlineStr">
        <is>
          <t>SÖDERMANLANDS LÄN</t>
        </is>
      </c>
      <c r="E587" t="inlineStr">
        <is>
          <t>KATRINEHOLM</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46103</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13113-2023</t>
        </is>
      </c>
      <c r="B589" s="1" t="n">
        <v>45002</v>
      </c>
      <c r="C589" s="1" t="n">
        <v>46103</v>
      </c>
      <c r="D589" t="inlineStr">
        <is>
          <t>SÖDERMANLANDS LÄN</t>
        </is>
      </c>
      <c r="E589" t="inlineStr">
        <is>
          <t>KATRINEHOLM</t>
        </is>
      </c>
      <c r="F589" t="inlineStr">
        <is>
          <t>Allmännings- och besparingsskogar</t>
        </is>
      </c>
      <c r="G589" t="n">
        <v>3.6</v>
      </c>
      <c r="H589" t="n">
        <v>0</v>
      </c>
      <c r="I589" t="n">
        <v>0</v>
      </c>
      <c r="J589" t="n">
        <v>0</v>
      </c>
      <c r="K589" t="n">
        <v>0</v>
      </c>
      <c r="L589" t="n">
        <v>0</v>
      </c>
      <c r="M589" t="n">
        <v>0</v>
      </c>
      <c r="N589" t="n">
        <v>0</v>
      </c>
      <c r="O589" t="n">
        <v>0</v>
      </c>
      <c r="P589" t="n">
        <v>0</v>
      </c>
      <c r="Q589" t="n">
        <v>0</v>
      </c>
      <c r="R589" s="2" t="inlineStr"/>
    </row>
    <row r="590" ht="15" customHeight="1">
      <c r="A590" t="inlineStr">
        <is>
          <t>A 14245-2024</t>
        </is>
      </c>
      <c r="B590" s="1" t="n">
        <v>45393</v>
      </c>
      <c r="C590" s="1" t="n">
        <v>46103</v>
      </c>
      <c r="D590" t="inlineStr">
        <is>
          <t>SÖDERMANLANDS LÄN</t>
        </is>
      </c>
      <c r="E590" t="inlineStr">
        <is>
          <t>KATRINEHOLM</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36832-2023</t>
        </is>
      </c>
      <c r="B591" s="1" t="n">
        <v>45153</v>
      </c>
      <c r="C591" s="1" t="n">
        <v>46103</v>
      </c>
      <c r="D591" t="inlineStr">
        <is>
          <t>SÖDERMANLANDS LÄN</t>
        </is>
      </c>
      <c r="E591" t="inlineStr">
        <is>
          <t>KATRINEHOLM</t>
        </is>
      </c>
      <c r="F591" t="inlineStr">
        <is>
          <t>Övriga Aktiebolag</t>
        </is>
      </c>
      <c r="G591" t="n">
        <v>9</v>
      </c>
      <c r="H591" t="n">
        <v>0</v>
      </c>
      <c r="I591" t="n">
        <v>0</v>
      </c>
      <c r="J591" t="n">
        <v>0</v>
      </c>
      <c r="K591" t="n">
        <v>0</v>
      </c>
      <c r="L591" t="n">
        <v>0</v>
      </c>
      <c r="M591" t="n">
        <v>0</v>
      </c>
      <c r="N591" t="n">
        <v>0</v>
      </c>
      <c r="O591" t="n">
        <v>0</v>
      </c>
      <c r="P591" t="n">
        <v>0</v>
      </c>
      <c r="Q591" t="n">
        <v>0</v>
      </c>
      <c r="R591" s="2" t="inlineStr"/>
    </row>
    <row r="592" ht="15" customHeight="1">
      <c r="A592" t="inlineStr">
        <is>
          <t>A 39052-2023</t>
        </is>
      </c>
      <c r="B592" s="1" t="n">
        <v>45163</v>
      </c>
      <c r="C592" s="1" t="n">
        <v>46103</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41946-2022</t>
        </is>
      </c>
      <c r="B593" s="1" t="n">
        <v>44830.38502314815</v>
      </c>
      <c r="C593" s="1" t="n">
        <v>46103</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51613-2022</t>
        </is>
      </c>
      <c r="B594" s="1" t="n">
        <v>44871</v>
      </c>
      <c r="C594" s="1" t="n">
        <v>46103</v>
      </c>
      <c r="D594" t="inlineStr">
        <is>
          <t>SÖDERMANLANDS LÄN</t>
        </is>
      </c>
      <c r="E594" t="inlineStr">
        <is>
          <t>KATRINEHOLM</t>
        </is>
      </c>
      <c r="G594" t="n">
        <v>3</v>
      </c>
      <c r="H594" t="n">
        <v>0</v>
      </c>
      <c r="I594" t="n">
        <v>0</v>
      </c>
      <c r="J594" t="n">
        <v>0</v>
      </c>
      <c r="K594" t="n">
        <v>0</v>
      </c>
      <c r="L594" t="n">
        <v>0</v>
      </c>
      <c r="M594" t="n">
        <v>0</v>
      </c>
      <c r="N594" t="n">
        <v>0</v>
      </c>
      <c r="O594" t="n">
        <v>0</v>
      </c>
      <c r="P594" t="n">
        <v>0</v>
      </c>
      <c r="Q594" t="n">
        <v>0</v>
      </c>
      <c r="R594" s="2" t="inlineStr"/>
    </row>
    <row r="595" ht="15" customHeight="1">
      <c r="A595" t="inlineStr">
        <is>
          <t>A 27886-2024</t>
        </is>
      </c>
      <c r="B595" s="1" t="n">
        <v>45475</v>
      </c>
      <c r="C595" s="1" t="n">
        <v>46103</v>
      </c>
      <c r="D595" t="inlineStr">
        <is>
          <t>SÖDERMANLANDS LÄN</t>
        </is>
      </c>
      <c r="E595" t="inlineStr">
        <is>
          <t>KATRINEHOLM</t>
        </is>
      </c>
      <c r="G595" t="n">
        <v>10.3</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46103</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58651-2023</t>
        </is>
      </c>
      <c r="B597" s="1" t="n">
        <v>45247</v>
      </c>
      <c r="C597" s="1" t="n">
        <v>46103</v>
      </c>
      <c r="D597" t="inlineStr">
        <is>
          <t>SÖDERMANLANDS LÄN</t>
        </is>
      </c>
      <c r="E597" t="inlineStr">
        <is>
          <t>KATRINEHOLM</t>
        </is>
      </c>
      <c r="G597" t="n">
        <v>2.7</v>
      </c>
      <c r="H597" t="n">
        <v>0</v>
      </c>
      <c r="I597" t="n">
        <v>0</v>
      </c>
      <c r="J597" t="n">
        <v>0</v>
      </c>
      <c r="K597" t="n">
        <v>0</v>
      </c>
      <c r="L597" t="n">
        <v>0</v>
      </c>
      <c r="M597" t="n">
        <v>0</v>
      </c>
      <c r="N597" t="n">
        <v>0</v>
      </c>
      <c r="O597" t="n">
        <v>0</v>
      </c>
      <c r="P597" t="n">
        <v>0</v>
      </c>
      <c r="Q597" t="n">
        <v>0</v>
      </c>
      <c r="R597" s="2" t="inlineStr"/>
    </row>
    <row r="598" ht="15" customHeight="1">
      <c r="A598" t="inlineStr">
        <is>
          <t>A 8765-2023</t>
        </is>
      </c>
      <c r="B598" s="1" t="n">
        <v>44978.52131944444</v>
      </c>
      <c r="C598" s="1" t="n">
        <v>46103</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28992-2024</t>
        </is>
      </c>
      <c r="B599" s="1" t="n">
        <v>45481.49289351852</v>
      </c>
      <c r="C599" s="1" t="n">
        <v>46103</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25433-2024</t>
        </is>
      </c>
      <c r="B600" s="1" t="n">
        <v>45463</v>
      </c>
      <c r="C600" s="1" t="n">
        <v>46103</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42111-2022</t>
        </is>
      </c>
      <c r="B601" s="1" t="n">
        <v>44830</v>
      </c>
      <c r="C601" s="1" t="n">
        <v>46103</v>
      </c>
      <c r="D601" t="inlineStr">
        <is>
          <t>SÖDERMANLANDS LÄN</t>
        </is>
      </c>
      <c r="E601" t="inlineStr">
        <is>
          <t>KATRINEHOLM</t>
        </is>
      </c>
      <c r="G601" t="n">
        <v>2.5</v>
      </c>
      <c r="H601" t="n">
        <v>0</v>
      </c>
      <c r="I601" t="n">
        <v>0</v>
      </c>
      <c r="J601" t="n">
        <v>0</v>
      </c>
      <c r="K601" t="n">
        <v>0</v>
      </c>
      <c r="L601" t="n">
        <v>0</v>
      </c>
      <c r="M601" t="n">
        <v>0</v>
      </c>
      <c r="N601" t="n">
        <v>0</v>
      </c>
      <c r="O601" t="n">
        <v>0</v>
      </c>
      <c r="P601" t="n">
        <v>0</v>
      </c>
      <c r="Q601" t="n">
        <v>0</v>
      </c>
      <c r="R601" s="2" t="inlineStr"/>
    </row>
    <row r="602" ht="15" customHeight="1">
      <c r="A602" t="inlineStr">
        <is>
          <t>A 36021-2023</t>
        </is>
      </c>
      <c r="B602" s="1" t="n">
        <v>45148</v>
      </c>
      <c r="C602" s="1" t="n">
        <v>46103</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40402-2022</t>
        </is>
      </c>
      <c r="B603" s="1" t="n">
        <v>44823.44353009259</v>
      </c>
      <c r="C603" s="1" t="n">
        <v>46103</v>
      </c>
      <c r="D603" t="inlineStr">
        <is>
          <t>SÖDERMANLANDS LÄN</t>
        </is>
      </c>
      <c r="E603" t="inlineStr">
        <is>
          <t>KATRINEHOLM</t>
        </is>
      </c>
      <c r="G603" t="n">
        <v>1.6</v>
      </c>
      <c r="H603" t="n">
        <v>0</v>
      </c>
      <c r="I603" t="n">
        <v>0</v>
      </c>
      <c r="J603" t="n">
        <v>0</v>
      </c>
      <c r="K603" t="n">
        <v>0</v>
      </c>
      <c r="L603" t="n">
        <v>0</v>
      </c>
      <c r="M603" t="n">
        <v>0</v>
      </c>
      <c r="N603" t="n">
        <v>0</v>
      </c>
      <c r="O603" t="n">
        <v>0</v>
      </c>
      <c r="P603" t="n">
        <v>0</v>
      </c>
      <c r="Q603" t="n">
        <v>0</v>
      </c>
      <c r="R603" s="2" t="inlineStr"/>
    </row>
    <row r="604" ht="15" customHeight="1">
      <c r="A604" t="inlineStr">
        <is>
          <t>A 27334-2023</t>
        </is>
      </c>
      <c r="B604" s="1" t="n">
        <v>45096</v>
      </c>
      <c r="C604" s="1" t="n">
        <v>46103</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7704-2023</t>
        </is>
      </c>
      <c r="B605" s="1" t="n">
        <v>44968</v>
      </c>
      <c r="C605" s="1" t="n">
        <v>46103</v>
      </c>
      <c r="D605" t="inlineStr">
        <is>
          <t>SÖDERMANLANDS LÄN</t>
        </is>
      </c>
      <c r="E605" t="inlineStr">
        <is>
          <t>KATRINEHOLM</t>
        </is>
      </c>
      <c r="G605" t="n">
        <v>7.3</v>
      </c>
      <c r="H605" t="n">
        <v>0</v>
      </c>
      <c r="I605" t="n">
        <v>0</v>
      </c>
      <c r="J605" t="n">
        <v>0</v>
      </c>
      <c r="K605" t="n">
        <v>0</v>
      </c>
      <c r="L605" t="n">
        <v>0</v>
      </c>
      <c r="M605" t="n">
        <v>0</v>
      </c>
      <c r="N605" t="n">
        <v>0</v>
      </c>
      <c r="O605" t="n">
        <v>0</v>
      </c>
      <c r="P605" t="n">
        <v>0</v>
      </c>
      <c r="Q605" t="n">
        <v>0</v>
      </c>
      <c r="R605" s="2" t="inlineStr"/>
    </row>
    <row r="606" ht="15" customHeight="1">
      <c r="A606" t="inlineStr">
        <is>
          <t>A 58528-2024</t>
        </is>
      </c>
      <c r="B606" s="1" t="n">
        <v>45635.44527777778</v>
      </c>
      <c r="C606" s="1" t="n">
        <v>46103</v>
      </c>
      <c r="D606" t="inlineStr">
        <is>
          <t>SÖDERMANLANDS LÄN</t>
        </is>
      </c>
      <c r="E606" t="inlineStr">
        <is>
          <t>KATRINEHOLM</t>
        </is>
      </c>
      <c r="G606" t="n">
        <v>2.4</v>
      </c>
      <c r="H606" t="n">
        <v>0</v>
      </c>
      <c r="I606" t="n">
        <v>0</v>
      </c>
      <c r="J606" t="n">
        <v>0</v>
      </c>
      <c r="K606" t="n">
        <v>0</v>
      </c>
      <c r="L606" t="n">
        <v>0</v>
      </c>
      <c r="M606" t="n">
        <v>0</v>
      </c>
      <c r="N606" t="n">
        <v>0</v>
      </c>
      <c r="O606" t="n">
        <v>0</v>
      </c>
      <c r="P606" t="n">
        <v>0</v>
      </c>
      <c r="Q606" t="n">
        <v>0</v>
      </c>
      <c r="R606" s="2" t="inlineStr"/>
    </row>
    <row r="607" ht="15" customHeight="1">
      <c r="A607" t="inlineStr">
        <is>
          <t>A 14478-2023</t>
        </is>
      </c>
      <c r="B607" s="1" t="n">
        <v>45012.66421296296</v>
      </c>
      <c r="C607" s="1" t="n">
        <v>46103</v>
      </c>
      <c r="D607" t="inlineStr">
        <is>
          <t>SÖDERMANLANDS LÄN</t>
        </is>
      </c>
      <c r="E607" t="inlineStr">
        <is>
          <t>KATRINEHOLM</t>
        </is>
      </c>
      <c r="G607" t="n">
        <v>3.9</v>
      </c>
      <c r="H607" t="n">
        <v>0</v>
      </c>
      <c r="I607" t="n">
        <v>0</v>
      </c>
      <c r="J607" t="n">
        <v>0</v>
      </c>
      <c r="K607" t="n">
        <v>0</v>
      </c>
      <c r="L607" t="n">
        <v>0</v>
      </c>
      <c r="M607" t="n">
        <v>0</v>
      </c>
      <c r="N607" t="n">
        <v>0</v>
      </c>
      <c r="O607" t="n">
        <v>0</v>
      </c>
      <c r="P607" t="n">
        <v>0</v>
      </c>
      <c r="Q607" t="n">
        <v>0</v>
      </c>
      <c r="R607" s="2" t="inlineStr"/>
    </row>
    <row r="608" ht="15" customHeight="1">
      <c r="A608" t="inlineStr">
        <is>
          <t>A 39055-2022</t>
        </is>
      </c>
      <c r="B608" s="1" t="n">
        <v>44817</v>
      </c>
      <c r="C608" s="1" t="n">
        <v>46103</v>
      </c>
      <c r="D608" t="inlineStr">
        <is>
          <t>SÖDERMANLANDS LÄN</t>
        </is>
      </c>
      <c r="E608" t="inlineStr">
        <is>
          <t>KATRINEHOLM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7056-2022</t>
        </is>
      </c>
      <c r="B609" s="1" t="n">
        <v>44603</v>
      </c>
      <c r="C609" s="1" t="n">
        <v>46103</v>
      </c>
      <c r="D609" t="inlineStr">
        <is>
          <t>SÖDERMANLANDS LÄN</t>
        </is>
      </c>
      <c r="E609" t="inlineStr">
        <is>
          <t>KATRINEHOLM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12937-2023</t>
        </is>
      </c>
      <c r="B610" s="1" t="n">
        <v>45001</v>
      </c>
      <c r="C610" s="1" t="n">
        <v>46103</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42896-2024</t>
        </is>
      </c>
      <c r="B611" s="1" t="n">
        <v>45566.82973379629</v>
      </c>
      <c r="C611" s="1" t="n">
        <v>46103</v>
      </c>
      <c r="D611" t="inlineStr">
        <is>
          <t>SÖDERMANLANDS LÄN</t>
        </is>
      </c>
      <c r="E611" t="inlineStr">
        <is>
          <t>KATRINEHOLM</t>
        </is>
      </c>
      <c r="G611" t="n">
        <v>4.3</v>
      </c>
      <c r="H611" t="n">
        <v>0</v>
      </c>
      <c r="I611" t="n">
        <v>0</v>
      </c>
      <c r="J611" t="n">
        <v>0</v>
      </c>
      <c r="K611" t="n">
        <v>0</v>
      </c>
      <c r="L611" t="n">
        <v>0</v>
      </c>
      <c r="M611" t="n">
        <v>0</v>
      </c>
      <c r="N611" t="n">
        <v>0</v>
      </c>
      <c r="O611" t="n">
        <v>0</v>
      </c>
      <c r="P611" t="n">
        <v>0</v>
      </c>
      <c r="Q611" t="n">
        <v>0</v>
      </c>
      <c r="R611" s="2" t="inlineStr"/>
    </row>
    <row r="612" ht="15" customHeight="1">
      <c r="A612" t="inlineStr">
        <is>
          <t>A 29008-2024</t>
        </is>
      </c>
      <c r="B612" s="1" t="n">
        <v>45481</v>
      </c>
      <c r="C612" s="1" t="n">
        <v>46103</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62419-2023</t>
        </is>
      </c>
      <c r="B613" s="1" t="n">
        <v>45268</v>
      </c>
      <c r="C613" s="1" t="n">
        <v>46103</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53722-2023</t>
        </is>
      </c>
      <c r="B614" s="1" t="n">
        <v>45230</v>
      </c>
      <c r="C614" s="1" t="n">
        <v>46103</v>
      </c>
      <c r="D614" t="inlineStr">
        <is>
          <t>SÖDERMANLANDS LÄN</t>
        </is>
      </c>
      <c r="E614" t="inlineStr">
        <is>
          <t>KATRINEHOLM</t>
        </is>
      </c>
      <c r="F614" t="inlineStr">
        <is>
          <t>Allmännings- och besparingsskogar</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38869-2024</t>
        </is>
      </c>
      <c r="B615" s="1" t="n">
        <v>45547</v>
      </c>
      <c r="C615" s="1" t="n">
        <v>46103</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20214-2025</t>
        </is>
      </c>
      <c r="B616" s="1" t="n">
        <v>45772.63540509259</v>
      </c>
      <c r="C616" s="1" t="n">
        <v>46103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62140-2022</t>
        </is>
      </c>
      <c r="B617" s="1" t="n">
        <v>44922</v>
      </c>
      <c r="C617" s="1" t="n">
        <v>46103</v>
      </c>
      <c r="D617" t="inlineStr">
        <is>
          <t>SÖDERMANLANDS LÄN</t>
        </is>
      </c>
      <c r="E617" t="inlineStr">
        <is>
          <t>KATRINEHOLM</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27375-2024</t>
        </is>
      </c>
      <c r="B618" s="1" t="n">
        <v>45473.87645833333</v>
      </c>
      <c r="C618" s="1" t="n">
        <v>46103</v>
      </c>
      <c r="D618" t="inlineStr">
        <is>
          <t>SÖDERMANLANDS LÄN</t>
        </is>
      </c>
      <c r="E618" t="inlineStr">
        <is>
          <t>KATRINEHOLM</t>
        </is>
      </c>
      <c r="F618" t="inlineStr">
        <is>
          <t>Kommuner</t>
        </is>
      </c>
      <c r="G618" t="n">
        <v>1.9</v>
      </c>
      <c r="H618" t="n">
        <v>0</v>
      </c>
      <c r="I618" t="n">
        <v>0</v>
      </c>
      <c r="J618" t="n">
        <v>0</v>
      </c>
      <c r="K618" t="n">
        <v>0</v>
      </c>
      <c r="L618" t="n">
        <v>0</v>
      </c>
      <c r="M618" t="n">
        <v>0</v>
      </c>
      <c r="N618" t="n">
        <v>0</v>
      </c>
      <c r="O618" t="n">
        <v>0</v>
      </c>
      <c r="P618" t="n">
        <v>0</v>
      </c>
      <c r="Q618" t="n">
        <v>0</v>
      </c>
      <c r="R618" s="2" t="inlineStr"/>
    </row>
    <row r="619" ht="15" customHeight="1">
      <c r="A619" t="inlineStr">
        <is>
          <t>A 7867-2024</t>
        </is>
      </c>
      <c r="B619" s="1" t="n">
        <v>45350.32991898148</v>
      </c>
      <c r="C619" s="1" t="n">
        <v>46103</v>
      </c>
      <c r="D619" t="inlineStr">
        <is>
          <t>SÖDERMANLANDS LÄN</t>
        </is>
      </c>
      <c r="E619" t="inlineStr">
        <is>
          <t>KATRINEHOLM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8957-2024</t>
        </is>
      </c>
      <c r="B620" s="1" t="n">
        <v>45357.45089120371</v>
      </c>
      <c r="C620" s="1" t="n">
        <v>46103</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23341-2023</t>
        </is>
      </c>
      <c r="B621" s="1" t="n">
        <v>45076</v>
      </c>
      <c r="C621" s="1" t="n">
        <v>46103</v>
      </c>
      <c r="D621" t="inlineStr">
        <is>
          <t>SÖDERMANLANDS LÄN</t>
        </is>
      </c>
      <c r="E621" t="inlineStr">
        <is>
          <t>KATRINEHOLM</t>
        </is>
      </c>
      <c r="G621" t="n">
        <v>3.5</v>
      </c>
      <c r="H621" t="n">
        <v>0</v>
      </c>
      <c r="I621" t="n">
        <v>0</v>
      </c>
      <c r="J621" t="n">
        <v>0</v>
      </c>
      <c r="K621" t="n">
        <v>0</v>
      </c>
      <c r="L621" t="n">
        <v>0</v>
      </c>
      <c r="M621" t="n">
        <v>0</v>
      </c>
      <c r="N621" t="n">
        <v>0</v>
      </c>
      <c r="O621" t="n">
        <v>0</v>
      </c>
      <c r="P621" t="n">
        <v>0</v>
      </c>
      <c r="Q621" t="n">
        <v>0</v>
      </c>
      <c r="R621" s="2" t="inlineStr"/>
    </row>
    <row r="622" ht="15" customHeight="1">
      <c r="A622" t="inlineStr">
        <is>
          <t>A 60677-2021</t>
        </is>
      </c>
      <c r="B622" s="1" t="n">
        <v>44495</v>
      </c>
      <c r="C622" s="1" t="n">
        <v>46103</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3986-2024</t>
        </is>
      </c>
      <c r="B623" s="1" t="n">
        <v>45322</v>
      </c>
      <c r="C623" s="1" t="n">
        <v>46103</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3939-2022</t>
        </is>
      </c>
      <c r="B624" s="1" t="n">
        <v>44587</v>
      </c>
      <c r="C624" s="1" t="n">
        <v>46103</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2683-2025</t>
        </is>
      </c>
      <c r="B625" s="1" t="n">
        <v>45677</v>
      </c>
      <c r="C625" s="1" t="n">
        <v>46103</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3317-2023</t>
        </is>
      </c>
      <c r="B626" s="1" t="n">
        <v>44945</v>
      </c>
      <c r="C626" s="1" t="n">
        <v>46103</v>
      </c>
      <c r="D626" t="inlineStr">
        <is>
          <t>SÖDERMANLANDS LÄN</t>
        </is>
      </c>
      <c r="E626" t="inlineStr">
        <is>
          <t>KATRINEHOLM</t>
        </is>
      </c>
      <c r="G626" t="n">
        <v>3.2</v>
      </c>
      <c r="H626" t="n">
        <v>0</v>
      </c>
      <c r="I626" t="n">
        <v>0</v>
      </c>
      <c r="J626" t="n">
        <v>0</v>
      </c>
      <c r="K626" t="n">
        <v>0</v>
      </c>
      <c r="L626" t="n">
        <v>0</v>
      </c>
      <c r="M626" t="n">
        <v>0</v>
      </c>
      <c r="N626" t="n">
        <v>0</v>
      </c>
      <c r="O626" t="n">
        <v>0</v>
      </c>
      <c r="P626" t="n">
        <v>0</v>
      </c>
      <c r="Q626" t="n">
        <v>0</v>
      </c>
      <c r="R626" s="2" t="inlineStr"/>
    </row>
    <row r="627" ht="15" customHeight="1">
      <c r="A627" t="inlineStr">
        <is>
          <t>A 32944-2023</t>
        </is>
      </c>
      <c r="B627" s="1" t="n">
        <v>45125</v>
      </c>
      <c r="C627" s="1" t="n">
        <v>46103</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29198-2023</t>
        </is>
      </c>
      <c r="B628" s="1" t="n">
        <v>45105</v>
      </c>
      <c r="C628" s="1" t="n">
        <v>46103</v>
      </c>
      <c r="D628" t="inlineStr">
        <is>
          <t>SÖDERMANLANDS LÄN</t>
        </is>
      </c>
      <c r="E628" t="inlineStr">
        <is>
          <t>KATRINEHOLM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56661-2021</t>
        </is>
      </c>
      <c r="B629" s="1" t="n">
        <v>44481.24327546296</v>
      </c>
      <c r="C629" s="1" t="n">
        <v>46103</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45246-2023</t>
        </is>
      </c>
      <c r="B630" s="1" t="n">
        <v>45191</v>
      </c>
      <c r="C630" s="1" t="n">
        <v>46103</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55171-2023</t>
        </is>
      </c>
      <c r="B631" s="1" t="n">
        <v>45231</v>
      </c>
      <c r="C631" s="1" t="n">
        <v>46103</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27376-2024</t>
        </is>
      </c>
      <c r="B632" s="1" t="n">
        <v>45473.88313657408</v>
      </c>
      <c r="C632" s="1" t="n">
        <v>46103</v>
      </c>
      <c r="D632" t="inlineStr">
        <is>
          <t>SÖDERMANLANDS LÄN</t>
        </is>
      </c>
      <c r="E632" t="inlineStr">
        <is>
          <t>KATRINEHOLM</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48097-2023</t>
        </is>
      </c>
      <c r="B633" s="1" t="n">
        <v>45205.31987268518</v>
      </c>
      <c r="C633" s="1" t="n">
        <v>46103</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7753-2024</t>
        </is>
      </c>
      <c r="B634" s="1" t="n">
        <v>45348</v>
      </c>
      <c r="C634" s="1" t="n">
        <v>46103</v>
      </c>
      <c r="D634" t="inlineStr">
        <is>
          <t>SÖDERMANLANDS LÄN</t>
        </is>
      </c>
      <c r="E634" t="inlineStr">
        <is>
          <t>KATRINEHOLM</t>
        </is>
      </c>
      <c r="G634" t="n">
        <v>13.4</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46103</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46103</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46103</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46103</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19452-2023</t>
        </is>
      </c>
      <c r="B639" s="1" t="n">
        <v>45050</v>
      </c>
      <c r="C639" s="1" t="n">
        <v>46103</v>
      </c>
      <c r="D639" t="inlineStr">
        <is>
          <t>SÖDERMANLANDS LÄN</t>
        </is>
      </c>
      <c r="E639" t="inlineStr">
        <is>
          <t>KATRINEHOLM</t>
        </is>
      </c>
      <c r="F639" t="inlineStr">
        <is>
          <t>Holmen skog AB</t>
        </is>
      </c>
      <c r="G639" t="n">
        <v>4.7</v>
      </c>
      <c r="H639" t="n">
        <v>0</v>
      </c>
      <c r="I639" t="n">
        <v>0</v>
      </c>
      <c r="J639" t="n">
        <v>0</v>
      </c>
      <c r="K639" t="n">
        <v>0</v>
      </c>
      <c r="L639" t="n">
        <v>0</v>
      </c>
      <c r="M639" t="n">
        <v>0</v>
      </c>
      <c r="N639" t="n">
        <v>0</v>
      </c>
      <c r="O639" t="n">
        <v>0</v>
      </c>
      <c r="P639" t="n">
        <v>0</v>
      </c>
      <c r="Q639" t="n">
        <v>0</v>
      </c>
      <c r="R639" s="2" t="inlineStr"/>
    </row>
    <row r="640" ht="15" customHeight="1">
      <c r="A640" t="inlineStr">
        <is>
          <t>A 31719-2024</t>
        </is>
      </c>
      <c r="B640" s="1" t="n">
        <v>45509</v>
      </c>
      <c r="C640" s="1" t="n">
        <v>46103</v>
      </c>
      <c r="D640" t="inlineStr">
        <is>
          <t>SÖDERMANLANDS LÄN</t>
        </is>
      </c>
      <c r="E640" t="inlineStr">
        <is>
          <t>KATRINEHOLM</t>
        </is>
      </c>
      <c r="F640" t="inlineStr">
        <is>
          <t>Kyrkan</t>
        </is>
      </c>
      <c r="G640" t="n">
        <v>11.9</v>
      </c>
      <c r="H640" t="n">
        <v>0</v>
      </c>
      <c r="I640" t="n">
        <v>0</v>
      </c>
      <c r="J640" t="n">
        <v>0</v>
      </c>
      <c r="K640" t="n">
        <v>0</v>
      </c>
      <c r="L640" t="n">
        <v>0</v>
      </c>
      <c r="M640" t="n">
        <v>0</v>
      </c>
      <c r="N640" t="n">
        <v>0</v>
      </c>
      <c r="O640" t="n">
        <v>0</v>
      </c>
      <c r="P640" t="n">
        <v>0</v>
      </c>
      <c r="Q640" t="n">
        <v>0</v>
      </c>
      <c r="R640" s="2" t="inlineStr"/>
    </row>
    <row r="641" ht="15" customHeight="1">
      <c r="A641" t="inlineStr">
        <is>
          <t>A 43837-2022</t>
        </is>
      </c>
      <c r="B641" s="1" t="n">
        <v>44838</v>
      </c>
      <c r="C641" s="1" t="n">
        <v>46103</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51397-2023</t>
        </is>
      </c>
      <c r="B642" s="1" t="n">
        <v>45214</v>
      </c>
      <c r="C642" s="1" t="n">
        <v>46103</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19670-2022</t>
        </is>
      </c>
      <c r="B643" s="1" t="n">
        <v>44694</v>
      </c>
      <c r="C643" s="1" t="n">
        <v>46103</v>
      </c>
      <c r="D643" t="inlineStr">
        <is>
          <t>SÖDERMANLANDS LÄN</t>
        </is>
      </c>
      <c r="E643" t="inlineStr">
        <is>
          <t>KATRINEHOLM</t>
        </is>
      </c>
      <c r="G643" t="n">
        <v>13.6</v>
      </c>
      <c r="H643" t="n">
        <v>0</v>
      </c>
      <c r="I643" t="n">
        <v>0</v>
      </c>
      <c r="J643" t="n">
        <v>0</v>
      </c>
      <c r="K643" t="n">
        <v>0</v>
      </c>
      <c r="L643" t="n">
        <v>0</v>
      </c>
      <c r="M643" t="n">
        <v>0</v>
      </c>
      <c r="N643" t="n">
        <v>0</v>
      </c>
      <c r="O643" t="n">
        <v>0</v>
      </c>
      <c r="P643" t="n">
        <v>0</v>
      </c>
      <c r="Q643" t="n">
        <v>0</v>
      </c>
      <c r="R643" s="2" t="inlineStr"/>
    </row>
    <row r="644" ht="15" customHeight="1">
      <c r="A644" t="inlineStr">
        <is>
          <t>A 6606-2022</t>
        </is>
      </c>
      <c r="B644" s="1" t="n">
        <v>44601</v>
      </c>
      <c r="C644" s="1" t="n">
        <v>46103</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4122-2023</t>
        </is>
      </c>
      <c r="B645" s="1" t="n">
        <v>44952</v>
      </c>
      <c r="C645" s="1" t="n">
        <v>46103</v>
      </c>
      <c r="D645" t="inlineStr">
        <is>
          <t>SÖDERMANLANDS LÄN</t>
        </is>
      </c>
      <c r="E645" t="inlineStr">
        <is>
          <t>KATRINEHOLM</t>
        </is>
      </c>
      <c r="G645" t="n">
        <v>9</v>
      </c>
      <c r="H645" t="n">
        <v>0</v>
      </c>
      <c r="I645" t="n">
        <v>0</v>
      </c>
      <c r="J645" t="n">
        <v>0</v>
      </c>
      <c r="K645" t="n">
        <v>0</v>
      </c>
      <c r="L645" t="n">
        <v>0</v>
      </c>
      <c r="M645" t="n">
        <v>0</v>
      </c>
      <c r="N645" t="n">
        <v>0</v>
      </c>
      <c r="O645" t="n">
        <v>0</v>
      </c>
      <c r="P645" t="n">
        <v>0</v>
      </c>
      <c r="Q645" t="n">
        <v>0</v>
      </c>
      <c r="R645" s="2" t="inlineStr"/>
    </row>
    <row r="646" ht="15" customHeight="1">
      <c r="A646" t="inlineStr">
        <is>
          <t>A 23347-2023</t>
        </is>
      </c>
      <c r="B646" s="1" t="n">
        <v>45076</v>
      </c>
      <c r="C646" s="1" t="n">
        <v>46103</v>
      </c>
      <c r="D646" t="inlineStr">
        <is>
          <t>SÖDERMANLANDS LÄN</t>
        </is>
      </c>
      <c r="E646" t="inlineStr">
        <is>
          <t>KATRINEHOLM</t>
        </is>
      </c>
      <c r="G646" t="n">
        <v>4.3</v>
      </c>
      <c r="H646" t="n">
        <v>0</v>
      </c>
      <c r="I646" t="n">
        <v>0</v>
      </c>
      <c r="J646" t="n">
        <v>0</v>
      </c>
      <c r="K646" t="n">
        <v>0</v>
      </c>
      <c r="L646" t="n">
        <v>0</v>
      </c>
      <c r="M646" t="n">
        <v>0</v>
      </c>
      <c r="N646" t="n">
        <v>0</v>
      </c>
      <c r="O646" t="n">
        <v>0</v>
      </c>
      <c r="P646" t="n">
        <v>0</v>
      </c>
      <c r="Q646" t="n">
        <v>0</v>
      </c>
      <c r="R646" s="2" t="inlineStr"/>
    </row>
    <row r="647" ht="15" customHeight="1">
      <c r="A647" t="inlineStr">
        <is>
          <t>A 23916-2023</t>
        </is>
      </c>
      <c r="B647" s="1" t="n">
        <v>45075</v>
      </c>
      <c r="C647" s="1" t="n">
        <v>46103</v>
      </c>
      <c r="D647" t="inlineStr">
        <is>
          <t>SÖDERMANLANDS LÄN</t>
        </is>
      </c>
      <c r="E647" t="inlineStr">
        <is>
          <t>KATRINEHOLM</t>
        </is>
      </c>
      <c r="G647" t="n">
        <v>8</v>
      </c>
      <c r="H647" t="n">
        <v>0</v>
      </c>
      <c r="I647" t="n">
        <v>0</v>
      </c>
      <c r="J647" t="n">
        <v>0</v>
      </c>
      <c r="K647" t="n">
        <v>0</v>
      </c>
      <c r="L647" t="n">
        <v>0</v>
      </c>
      <c r="M647" t="n">
        <v>0</v>
      </c>
      <c r="N647" t="n">
        <v>0</v>
      </c>
      <c r="O647" t="n">
        <v>0</v>
      </c>
      <c r="P647" t="n">
        <v>0</v>
      </c>
      <c r="Q647" t="n">
        <v>0</v>
      </c>
      <c r="R647" s="2" t="inlineStr"/>
    </row>
    <row r="648" ht="15" customHeight="1">
      <c r="A648" t="inlineStr">
        <is>
          <t>A 33278-2024</t>
        </is>
      </c>
      <c r="B648" s="1" t="n">
        <v>45518</v>
      </c>
      <c r="C648" s="1" t="n">
        <v>46103</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40186-2023</t>
        </is>
      </c>
      <c r="B649" s="1" t="n">
        <v>45169</v>
      </c>
      <c r="C649" s="1" t="n">
        <v>46103</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49700-2022</t>
        </is>
      </c>
      <c r="B650" s="1" t="n">
        <v>44862</v>
      </c>
      <c r="C650" s="1" t="n">
        <v>46103</v>
      </c>
      <c r="D650" t="inlineStr">
        <is>
          <t>SÖDERMANLANDS LÄN</t>
        </is>
      </c>
      <c r="E650" t="inlineStr">
        <is>
          <t>KATRINEHOLM</t>
        </is>
      </c>
      <c r="G650" t="n">
        <v>19.5</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46103</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46103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46899-2022</t>
        </is>
      </c>
      <c r="B653" s="1" t="n">
        <v>44848</v>
      </c>
      <c r="C653" s="1" t="n">
        <v>46103</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9714-2024</t>
        </is>
      </c>
      <c r="B654" s="1" t="n">
        <v>45362</v>
      </c>
      <c r="C654" s="1" t="n">
        <v>46103</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39897-2023</t>
        </is>
      </c>
      <c r="B655" s="1" t="n">
        <v>45168</v>
      </c>
      <c r="C655" s="1" t="n">
        <v>46103</v>
      </c>
      <c r="D655" t="inlineStr">
        <is>
          <t>SÖDERMANLANDS LÄN</t>
        </is>
      </c>
      <c r="E655" t="inlineStr">
        <is>
          <t>KATRINEHOLM</t>
        </is>
      </c>
      <c r="G655" t="n">
        <v>15.6</v>
      </c>
      <c r="H655" t="n">
        <v>0</v>
      </c>
      <c r="I655" t="n">
        <v>0</v>
      </c>
      <c r="J655" t="n">
        <v>0</v>
      </c>
      <c r="K655" t="n">
        <v>0</v>
      </c>
      <c r="L655" t="n">
        <v>0</v>
      </c>
      <c r="M655" t="n">
        <v>0</v>
      </c>
      <c r="N655" t="n">
        <v>0</v>
      </c>
      <c r="O655" t="n">
        <v>0</v>
      </c>
      <c r="P655" t="n">
        <v>0</v>
      </c>
      <c r="Q655" t="n">
        <v>0</v>
      </c>
      <c r="R655" s="2" t="inlineStr"/>
    </row>
    <row r="656" ht="15" customHeight="1">
      <c r="A656" t="inlineStr">
        <is>
          <t>A 2735-2025</t>
        </is>
      </c>
      <c r="B656" s="1" t="n">
        <v>45677</v>
      </c>
      <c r="C656" s="1" t="n">
        <v>46103</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20326-2023</t>
        </is>
      </c>
      <c r="B657" s="1" t="n">
        <v>45056.46821759259</v>
      </c>
      <c r="C657" s="1" t="n">
        <v>46103</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67337-2021</t>
        </is>
      </c>
      <c r="B658" s="1" t="n">
        <v>44523</v>
      </c>
      <c r="C658" s="1" t="n">
        <v>46103</v>
      </c>
      <c r="D658" t="inlineStr">
        <is>
          <t>SÖDERMANLANDS LÄN</t>
        </is>
      </c>
      <c r="E658" t="inlineStr">
        <is>
          <t>KATRINEHOLM</t>
        </is>
      </c>
      <c r="G658" t="n">
        <v>5.2</v>
      </c>
      <c r="H658" t="n">
        <v>0</v>
      </c>
      <c r="I658" t="n">
        <v>0</v>
      </c>
      <c r="J658" t="n">
        <v>0</v>
      </c>
      <c r="K658" t="n">
        <v>0</v>
      </c>
      <c r="L658" t="n">
        <v>0</v>
      </c>
      <c r="M658" t="n">
        <v>0</v>
      </c>
      <c r="N658" t="n">
        <v>0</v>
      </c>
      <c r="O658" t="n">
        <v>0</v>
      </c>
      <c r="P658" t="n">
        <v>0</v>
      </c>
      <c r="Q658" t="n">
        <v>0</v>
      </c>
      <c r="R658" s="2" t="inlineStr"/>
    </row>
    <row r="659" ht="15" customHeight="1">
      <c r="A659" t="inlineStr">
        <is>
          <t>A 9044-2022</t>
        </is>
      </c>
      <c r="B659" s="1" t="n">
        <v>44602</v>
      </c>
      <c r="C659" s="1" t="n">
        <v>46103</v>
      </c>
      <c r="D659" t="inlineStr">
        <is>
          <t>SÖDERMANLANDS LÄN</t>
        </is>
      </c>
      <c r="E659" t="inlineStr">
        <is>
          <t>KATRINEHOLM</t>
        </is>
      </c>
      <c r="G659" t="n">
        <v>5.8</v>
      </c>
      <c r="H659" t="n">
        <v>0</v>
      </c>
      <c r="I659" t="n">
        <v>0</v>
      </c>
      <c r="J659" t="n">
        <v>0</v>
      </c>
      <c r="K659" t="n">
        <v>0</v>
      </c>
      <c r="L659" t="n">
        <v>0</v>
      </c>
      <c r="M659" t="n">
        <v>0</v>
      </c>
      <c r="N659" t="n">
        <v>0</v>
      </c>
      <c r="O659" t="n">
        <v>0</v>
      </c>
      <c r="P659" t="n">
        <v>0</v>
      </c>
      <c r="Q659" t="n">
        <v>0</v>
      </c>
      <c r="R659" s="2" t="inlineStr"/>
    </row>
    <row r="660" ht="15" customHeight="1">
      <c r="A660" t="inlineStr">
        <is>
          <t>A 69117-2021</t>
        </is>
      </c>
      <c r="B660" s="1" t="n">
        <v>44530.82445601852</v>
      </c>
      <c r="C660" s="1" t="n">
        <v>46103</v>
      </c>
      <c r="D660" t="inlineStr">
        <is>
          <t>SÖDERMANLANDS LÄN</t>
        </is>
      </c>
      <c r="E660" t="inlineStr">
        <is>
          <t>KATRINEHOLM</t>
        </is>
      </c>
      <c r="G660" t="n">
        <v>1.7</v>
      </c>
      <c r="H660" t="n">
        <v>0</v>
      </c>
      <c r="I660" t="n">
        <v>0</v>
      </c>
      <c r="J660" t="n">
        <v>0</v>
      </c>
      <c r="K660" t="n">
        <v>0</v>
      </c>
      <c r="L660" t="n">
        <v>0</v>
      </c>
      <c r="M660" t="n">
        <v>0</v>
      </c>
      <c r="N660" t="n">
        <v>0</v>
      </c>
      <c r="O660" t="n">
        <v>0</v>
      </c>
      <c r="P660" t="n">
        <v>0</v>
      </c>
      <c r="Q660" t="n">
        <v>0</v>
      </c>
      <c r="R660" s="2" t="inlineStr"/>
    </row>
    <row r="661" ht="15" customHeight="1">
      <c r="A661" t="inlineStr">
        <is>
          <t>A 12559-2023</t>
        </is>
      </c>
      <c r="B661" s="1" t="n">
        <v>45000.36373842593</v>
      </c>
      <c r="C661" s="1" t="n">
        <v>46103</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6722-2022</t>
        </is>
      </c>
      <c r="B662" s="1" t="n">
        <v>44602</v>
      </c>
      <c r="C662" s="1" t="n">
        <v>46103</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11872-2023</t>
        </is>
      </c>
      <c r="B663" s="1" t="n">
        <v>44995</v>
      </c>
      <c r="C663" s="1" t="n">
        <v>46103</v>
      </c>
      <c r="D663" t="inlineStr">
        <is>
          <t>SÖDERMANLANDS LÄN</t>
        </is>
      </c>
      <c r="E663" t="inlineStr">
        <is>
          <t>KATRINEHOLM</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51848-2022</t>
        </is>
      </c>
      <c r="B664" s="1" t="n">
        <v>44872.57752314815</v>
      </c>
      <c r="C664" s="1" t="n">
        <v>46103</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16087-2023</t>
        </is>
      </c>
      <c r="B665" s="1" t="n">
        <v>45026</v>
      </c>
      <c r="C665" s="1" t="n">
        <v>46103</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21959-2022</t>
        </is>
      </c>
      <c r="B666" s="1" t="n">
        <v>44708</v>
      </c>
      <c r="C666" s="1" t="n">
        <v>46103</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42451-2023</t>
        </is>
      </c>
      <c r="B667" s="1" t="n">
        <v>45180</v>
      </c>
      <c r="C667" s="1" t="n">
        <v>46103</v>
      </c>
      <c r="D667" t="inlineStr">
        <is>
          <t>SÖDERMANLANDS LÄN</t>
        </is>
      </c>
      <c r="E667" t="inlineStr">
        <is>
          <t>KATRINEHOLM</t>
        </is>
      </c>
      <c r="G667" t="n">
        <v>3.8</v>
      </c>
      <c r="H667" t="n">
        <v>0</v>
      </c>
      <c r="I667" t="n">
        <v>0</v>
      </c>
      <c r="J667" t="n">
        <v>0</v>
      </c>
      <c r="K667" t="n">
        <v>0</v>
      </c>
      <c r="L667" t="n">
        <v>0</v>
      </c>
      <c r="M667" t="n">
        <v>0</v>
      </c>
      <c r="N667" t="n">
        <v>0</v>
      </c>
      <c r="O667" t="n">
        <v>0</v>
      </c>
      <c r="P667" t="n">
        <v>0</v>
      </c>
      <c r="Q667" t="n">
        <v>0</v>
      </c>
      <c r="R667" s="2" t="inlineStr"/>
    </row>
    <row r="668" ht="15" customHeight="1">
      <c r="A668" t="inlineStr">
        <is>
          <t>A 22506-2023</t>
        </is>
      </c>
      <c r="B668" s="1" t="n">
        <v>45071.37393518518</v>
      </c>
      <c r="C668" s="1" t="n">
        <v>46103</v>
      </c>
      <c r="D668" t="inlineStr">
        <is>
          <t>SÖDERMANLANDS LÄN</t>
        </is>
      </c>
      <c r="E668" t="inlineStr">
        <is>
          <t>KATRINEHOLM</t>
        </is>
      </c>
      <c r="F668" t="inlineStr">
        <is>
          <t>Kyrkan</t>
        </is>
      </c>
      <c r="G668" t="n">
        <v>5.9</v>
      </c>
      <c r="H668" t="n">
        <v>0</v>
      </c>
      <c r="I668" t="n">
        <v>0</v>
      </c>
      <c r="J668" t="n">
        <v>0</v>
      </c>
      <c r="K668" t="n">
        <v>0</v>
      </c>
      <c r="L668" t="n">
        <v>0</v>
      </c>
      <c r="M668" t="n">
        <v>0</v>
      </c>
      <c r="N668" t="n">
        <v>0</v>
      </c>
      <c r="O668" t="n">
        <v>0</v>
      </c>
      <c r="P668" t="n">
        <v>0</v>
      </c>
      <c r="Q668" t="n">
        <v>0</v>
      </c>
      <c r="R668" s="2" t="inlineStr"/>
    </row>
    <row r="669" ht="15" customHeight="1">
      <c r="A669" t="inlineStr">
        <is>
          <t>A 26713-2024</t>
        </is>
      </c>
      <c r="B669" s="1" t="n">
        <v>45470</v>
      </c>
      <c r="C669" s="1" t="n">
        <v>46103</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1151-2025</t>
        </is>
      </c>
      <c r="B670" s="1" t="n">
        <v>45666</v>
      </c>
      <c r="C670" s="1" t="n">
        <v>46103</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36133-2021</t>
        </is>
      </c>
      <c r="B671" s="1" t="n">
        <v>44386</v>
      </c>
      <c r="C671" s="1" t="n">
        <v>46103</v>
      </c>
      <c r="D671" t="inlineStr">
        <is>
          <t>SÖDERMANLANDS LÄN</t>
        </is>
      </c>
      <c r="E671" t="inlineStr">
        <is>
          <t>KATRINEHOLM</t>
        </is>
      </c>
      <c r="F671" t="inlineStr">
        <is>
          <t>Övriga Aktiebolag</t>
        </is>
      </c>
      <c r="G671" t="n">
        <v>8.9</v>
      </c>
      <c r="H671" t="n">
        <v>0</v>
      </c>
      <c r="I671" t="n">
        <v>0</v>
      </c>
      <c r="J671" t="n">
        <v>0</v>
      </c>
      <c r="K671" t="n">
        <v>0</v>
      </c>
      <c r="L671" t="n">
        <v>0</v>
      </c>
      <c r="M671" t="n">
        <v>0</v>
      </c>
      <c r="N671" t="n">
        <v>0</v>
      </c>
      <c r="O671" t="n">
        <v>0</v>
      </c>
      <c r="P671" t="n">
        <v>0</v>
      </c>
      <c r="Q671" t="n">
        <v>0</v>
      </c>
      <c r="R671" s="2" t="inlineStr"/>
    </row>
    <row r="672" ht="15" customHeight="1">
      <c r="A672" t="inlineStr">
        <is>
          <t>A 50017-2023</t>
        </is>
      </c>
      <c r="B672" s="1" t="n">
        <v>45215</v>
      </c>
      <c r="C672" s="1" t="n">
        <v>46103</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50018-2023</t>
        </is>
      </c>
      <c r="B673" s="1" t="n">
        <v>45215</v>
      </c>
      <c r="C673" s="1" t="n">
        <v>46103</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29843-2023</t>
        </is>
      </c>
      <c r="B674" s="1" t="n">
        <v>45107</v>
      </c>
      <c r="C674" s="1" t="n">
        <v>46103</v>
      </c>
      <c r="D674" t="inlineStr">
        <is>
          <t>SÖDERMANLANDS LÄN</t>
        </is>
      </c>
      <c r="E674" t="inlineStr">
        <is>
          <t>KATRINEHOLM</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56628-2021</t>
        </is>
      </c>
      <c r="B675" s="1" t="n">
        <v>44480</v>
      </c>
      <c r="C675" s="1" t="n">
        <v>46103</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62418-2023</t>
        </is>
      </c>
      <c r="B676" s="1" t="n">
        <v>45268</v>
      </c>
      <c r="C676" s="1" t="n">
        <v>46103</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48091-2024</t>
        </is>
      </c>
      <c r="B677" s="1" t="n">
        <v>45590</v>
      </c>
      <c r="C677" s="1" t="n">
        <v>46103</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48160-2022</t>
        </is>
      </c>
      <c r="B678" s="1" t="n">
        <v>44853</v>
      </c>
      <c r="C678" s="1" t="n">
        <v>46103</v>
      </c>
      <c r="D678" t="inlineStr">
        <is>
          <t>SÖDERMANLANDS LÄN</t>
        </is>
      </c>
      <c r="E678" t="inlineStr">
        <is>
          <t>KATRINEHOLM</t>
        </is>
      </c>
      <c r="F678" t="inlineStr">
        <is>
          <t>Övriga statliga verk och myndigheter</t>
        </is>
      </c>
      <c r="G678" t="n">
        <v>2.2</v>
      </c>
      <c r="H678" t="n">
        <v>0</v>
      </c>
      <c r="I678" t="n">
        <v>0</v>
      </c>
      <c r="J678" t="n">
        <v>0</v>
      </c>
      <c r="K678" t="n">
        <v>0</v>
      </c>
      <c r="L678" t="n">
        <v>0</v>
      </c>
      <c r="M678" t="n">
        <v>0</v>
      </c>
      <c r="N678" t="n">
        <v>0</v>
      </c>
      <c r="O678" t="n">
        <v>0</v>
      </c>
      <c r="P678" t="n">
        <v>0</v>
      </c>
      <c r="Q678" t="n">
        <v>0</v>
      </c>
      <c r="R678" s="2" t="inlineStr"/>
    </row>
    <row r="679" ht="15" customHeight="1">
      <c r="A679" t="inlineStr">
        <is>
          <t>A 18339-2023</t>
        </is>
      </c>
      <c r="B679" s="1" t="n">
        <v>45041</v>
      </c>
      <c r="C679" s="1" t="n">
        <v>46103</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20460-2025</t>
        </is>
      </c>
      <c r="B680" s="1" t="n">
        <v>45775.52854166667</v>
      </c>
      <c r="C680" s="1" t="n">
        <v>46103</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49092-2024</t>
        </is>
      </c>
      <c r="B681" s="1" t="n">
        <v>45594.63619212963</v>
      </c>
      <c r="C681" s="1" t="n">
        <v>46103</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49095-2024</t>
        </is>
      </c>
      <c r="B682" s="1" t="n">
        <v>45594.63828703704</v>
      </c>
      <c r="C682" s="1" t="n">
        <v>46103</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55172-2022</t>
        </is>
      </c>
      <c r="B683" s="1" t="n">
        <v>44886</v>
      </c>
      <c r="C683" s="1" t="n">
        <v>46103</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50935-2023</t>
        </is>
      </c>
      <c r="B684" s="1" t="n">
        <v>45211</v>
      </c>
      <c r="C684" s="1" t="n">
        <v>46103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24619-2024</t>
        </is>
      </c>
      <c r="B685" s="1" t="n">
        <v>45460</v>
      </c>
      <c r="C685" s="1" t="n">
        <v>46103</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53843-2023</t>
        </is>
      </c>
      <c r="B686" s="1" t="n">
        <v>45230</v>
      </c>
      <c r="C686" s="1" t="n">
        <v>46103</v>
      </c>
      <c r="D686" t="inlineStr">
        <is>
          <t>SÖDERMANLANDS LÄN</t>
        </is>
      </c>
      <c r="E686" t="inlineStr">
        <is>
          <t>KATRINEHOLM</t>
        </is>
      </c>
      <c r="G686" t="n">
        <v>14.2</v>
      </c>
      <c r="H686" t="n">
        <v>0</v>
      </c>
      <c r="I686" t="n">
        <v>0</v>
      </c>
      <c r="J686" t="n">
        <v>0</v>
      </c>
      <c r="K686" t="n">
        <v>0</v>
      </c>
      <c r="L686" t="n">
        <v>0</v>
      </c>
      <c r="M686" t="n">
        <v>0</v>
      </c>
      <c r="N686" t="n">
        <v>0</v>
      </c>
      <c r="O686" t="n">
        <v>0</v>
      </c>
      <c r="P686" t="n">
        <v>0</v>
      </c>
      <c r="Q686" t="n">
        <v>0</v>
      </c>
      <c r="R686" s="2" t="inlineStr"/>
    </row>
    <row r="687" ht="15" customHeight="1">
      <c r="A687" t="inlineStr">
        <is>
          <t>A 22295-2024</t>
        </is>
      </c>
      <c r="B687" s="1" t="n">
        <v>45446.56141203704</v>
      </c>
      <c r="C687" s="1" t="n">
        <v>46103</v>
      </c>
      <c r="D687" t="inlineStr">
        <is>
          <t>SÖDERMANLANDS LÄN</t>
        </is>
      </c>
      <c r="E687" t="inlineStr">
        <is>
          <t>KATRINEHOLM</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22272-2022</t>
        </is>
      </c>
      <c r="B688" s="1" t="n">
        <v>44712</v>
      </c>
      <c r="C688" s="1" t="n">
        <v>46103</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46103</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58175-2024</t>
        </is>
      </c>
      <c r="B690" s="1" t="n">
        <v>45632.46648148148</v>
      </c>
      <c r="C690" s="1" t="n">
        <v>46103</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59474-2021</t>
        </is>
      </c>
      <c r="B691" s="1" t="n">
        <v>44491</v>
      </c>
      <c r="C691" s="1" t="n">
        <v>46103</v>
      </c>
      <c r="D691" t="inlineStr">
        <is>
          <t>SÖDERMANLANDS LÄN</t>
        </is>
      </c>
      <c r="E691" t="inlineStr">
        <is>
          <t>KATRINEHOLM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51923-2023</t>
        </is>
      </c>
      <c r="B692" s="1" t="n">
        <v>45223</v>
      </c>
      <c r="C692" s="1" t="n">
        <v>46103</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27875-2024</t>
        </is>
      </c>
      <c r="B693" s="1" t="n">
        <v>45475</v>
      </c>
      <c r="C693" s="1" t="n">
        <v>46103</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43088-2022</t>
        </is>
      </c>
      <c r="B694" s="1" t="n">
        <v>44833</v>
      </c>
      <c r="C694" s="1" t="n">
        <v>46103</v>
      </c>
      <c r="D694" t="inlineStr">
        <is>
          <t>SÖDERMANLANDS LÄN</t>
        </is>
      </c>
      <c r="E694" t="inlineStr">
        <is>
          <t>KATRINEHOLM</t>
        </is>
      </c>
      <c r="G694" t="n">
        <v>6.6</v>
      </c>
      <c r="H694" t="n">
        <v>0</v>
      </c>
      <c r="I694" t="n">
        <v>0</v>
      </c>
      <c r="J694" t="n">
        <v>0</v>
      </c>
      <c r="K694" t="n">
        <v>0</v>
      </c>
      <c r="L694" t="n">
        <v>0</v>
      </c>
      <c r="M694" t="n">
        <v>0</v>
      </c>
      <c r="N694" t="n">
        <v>0</v>
      </c>
      <c r="O694" t="n">
        <v>0</v>
      </c>
      <c r="P694" t="n">
        <v>0</v>
      </c>
      <c r="Q694" t="n">
        <v>0</v>
      </c>
      <c r="R694" s="2" t="inlineStr"/>
    </row>
    <row r="695" ht="15" customHeight="1">
      <c r="A695" t="inlineStr">
        <is>
          <t>A 52658-2023</t>
        </is>
      </c>
      <c r="B695" s="1" t="n">
        <v>45225</v>
      </c>
      <c r="C695" s="1" t="n">
        <v>46103</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61385-2023</t>
        </is>
      </c>
      <c r="B696" s="1" t="n">
        <v>45264.64241898148</v>
      </c>
      <c r="C696" s="1" t="n">
        <v>46103</v>
      </c>
      <c r="D696" t="inlineStr">
        <is>
          <t>SÖDERMANLANDS LÄN</t>
        </is>
      </c>
      <c r="E696" t="inlineStr">
        <is>
          <t>KATRINEHOLM</t>
        </is>
      </c>
      <c r="G696" t="n">
        <v>0.4</v>
      </c>
      <c r="H696" t="n">
        <v>0</v>
      </c>
      <c r="I696" t="n">
        <v>0</v>
      </c>
      <c r="J696" t="n">
        <v>0</v>
      </c>
      <c r="K696" t="n">
        <v>0</v>
      </c>
      <c r="L696" t="n">
        <v>0</v>
      </c>
      <c r="M696" t="n">
        <v>0</v>
      </c>
      <c r="N696" t="n">
        <v>0</v>
      </c>
      <c r="O696" t="n">
        <v>0</v>
      </c>
      <c r="P696" t="n">
        <v>0</v>
      </c>
      <c r="Q696" t="n">
        <v>0</v>
      </c>
      <c r="R696" s="2" t="inlineStr"/>
    </row>
    <row r="697" ht="15" customHeight="1">
      <c r="A697" t="inlineStr">
        <is>
          <t>A 48030-2022</t>
        </is>
      </c>
      <c r="B697" s="1" t="n">
        <v>44855</v>
      </c>
      <c r="C697" s="1" t="n">
        <v>46103</v>
      </c>
      <c r="D697" t="inlineStr">
        <is>
          <t>SÖDERMANLANDS LÄN</t>
        </is>
      </c>
      <c r="E697" t="inlineStr">
        <is>
          <t>KATRINEHOLM</t>
        </is>
      </c>
      <c r="F697" t="inlineStr">
        <is>
          <t>Allmännings- och besparingsskogar</t>
        </is>
      </c>
      <c r="G697" t="n">
        <v>1.5</v>
      </c>
      <c r="H697" t="n">
        <v>0</v>
      </c>
      <c r="I697" t="n">
        <v>0</v>
      </c>
      <c r="J697" t="n">
        <v>0</v>
      </c>
      <c r="K697" t="n">
        <v>0</v>
      </c>
      <c r="L697" t="n">
        <v>0</v>
      </c>
      <c r="M697" t="n">
        <v>0</v>
      </c>
      <c r="N697" t="n">
        <v>0</v>
      </c>
      <c r="O697" t="n">
        <v>0</v>
      </c>
      <c r="P697" t="n">
        <v>0</v>
      </c>
      <c r="Q697" t="n">
        <v>0</v>
      </c>
      <c r="R697" s="2" t="inlineStr"/>
    </row>
    <row r="698" ht="15" customHeight="1">
      <c r="A698" t="inlineStr">
        <is>
          <t>A 10932-2023</t>
        </is>
      </c>
      <c r="B698" s="1" t="n">
        <v>44985</v>
      </c>
      <c r="C698" s="1" t="n">
        <v>46103</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36767-2022</t>
        </is>
      </c>
      <c r="B699" s="1" t="n">
        <v>44805</v>
      </c>
      <c r="C699" s="1" t="n">
        <v>46103</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5834-2025</t>
        </is>
      </c>
      <c r="B700" s="1" t="n">
        <v>45694</v>
      </c>
      <c r="C700" s="1" t="n">
        <v>46103</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9899-2023</t>
        </is>
      </c>
      <c r="B701" s="1" t="n">
        <v>44985</v>
      </c>
      <c r="C701" s="1" t="n">
        <v>46103</v>
      </c>
      <c r="D701" t="inlineStr">
        <is>
          <t>SÖDERMANLANDS LÄN</t>
        </is>
      </c>
      <c r="E701" t="inlineStr">
        <is>
          <t>KATRINEHOLM</t>
        </is>
      </c>
      <c r="F701" t="inlineStr">
        <is>
          <t>Allmännings- och besparingsskogar</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34263-2023</t>
        </is>
      </c>
      <c r="B702" s="1" t="n">
        <v>45138.60248842592</v>
      </c>
      <c r="C702" s="1" t="n">
        <v>46103</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6092-2025</t>
        </is>
      </c>
      <c r="B703" s="1" t="n">
        <v>45697</v>
      </c>
      <c r="C703" s="1" t="n">
        <v>46103</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55863-2022</t>
        </is>
      </c>
      <c r="B704" s="1" t="n">
        <v>44888</v>
      </c>
      <c r="C704" s="1" t="n">
        <v>46103</v>
      </c>
      <c r="D704" t="inlineStr">
        <is>
          <t>SÖDERMANLANDS LÄN</t>
        </is>
      </c>
      <c r="E704" t="inlineStr">
        <is>
          <t>KATRINEHOLM</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55865-2022</t>
        </is>
      </c>
      <c r="B705" s="1" t="n">
        <v>44888</v>
      </c>
      <c r="C705" s="1" t="n">
        <v>46103</v>
      </c>
      <c r="D705" t="inlineStr">
        <is>
          <t>SÖDERMANLANDS LÄN</t>
        </is>
      </c>
      <c r="E705" t="inlineStr">
        <is>
          <t>KATRINEHOLM</t>
        </is>
      </c>
      <c r="G705" t="n">
        <v>9.1</v>
      </c>
      <c r="H705" t="n">
        <v>0</v>
      </c>
      <c r="I705" t="n">
        <v>0</v>
      </c>
      <c r="J705" t="n">
        <v>0</v>
      </c>
      <c r="K705" t="n">
        <v>0</v>
      </c>
      <c r="L705" t="n">
        <v>0</v>
      </c>
      <c r="M705" t="n">
        <v>0</v>
      </c>
      <c r="N705" t="n">
        <v>0</v>
      </c>
      <c r="O705" t="n">
        <v>0</v>
      </c>
      <c r="P705" t="n">
        <v>0</v>
      </c>
      <c r="Q705" t="n">
        <v>0</v>
      </c>
      <c r="R705" s="2" t="inlineStr"/>
    </row>
    <row r="706" ht="15" customHeight="1">
      <c r="A706" t="inlineStr">
        <is>
          <t>A 10341-2022</t>
        </is>
      </c>
      <c r="B706" s="1" t="n">
        <v>44623</v>
      </c>
      <c r="C706" s="1" t="n">
        <v>46103</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9437-2022</t>
        </is>
      </c>
      <c r="B707" s="1" t="n">
        <v>44616.69246527777</v>
      </c>
      <c r="C707" s="1" t="n">
        <v>46103</v>
      </c>
      <c r="D707" t="inlineStr">
        <is>
          <t>SÖDERMANLANDS LÄN</t>
        </is>
      </c>
      <c r="E707" t="inlineStr">
        <is>
          <t>KATRINEHOLM</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22345-2023</t>
        </is>
      </c>
      <c r="B708" s="1" t="n">
        <v>45070</v>
      </c>
      <c r="C708" s="1" t="n">
        <v>46103</v>
      </c>
      <c r="D708" t="inlineStr">
        <is>
          <t>SÖDERMANLANDS LÄN</t>
        </is>
      </c>
      <c r="E708" t="inlineStr">
        <is>
          <t>KATRINEHOLM</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48528-2021</t>
        </is>
      </c>
      <c r="B709" s="1" t="n">
        <v>44449</v>
      </c>
      <c r="C709" s="1" t="n">
        <v>46103</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28675-2024</t>
        </is>
      </c>
      <c r="B710" s="1" t="n">
        <v>45478</v>
      </c>
      <c r="C710" s="1" t="n">
        <v>46103</v>
      </c>
      <c r="D710" t="inlineStr">
        <is>
          <t>SÖDERMANLANDS LÄN</t>
        </is>
      </c>
      <c r="E710" t="inlineStr">
        <is>
          <t>KATRINEHOLM</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33790-2024</t>
        </is>
      </c>
      <c r="B711" s="1" t="n">
        <v>45520.59179398148</v>
      </c>
      <c r="C711" s="1" t="n">
        <v>46103</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41267-2023</t>
        </is>
      </c>
      <c r="B712" s="1" t="n">
        <v>45174</v>
      </c>
      <c r="C712" s="1" t="n">
        <v>46103</v>
      </c>
      <c r="D712" t="inlineStr">
        <is>
          <t>SÖDERMANLANDS LÄN</t>
        </is>
      </c>
      <c r="E712" t="inlineStr">
        <is>
          <t>KATRINEHOLM</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46103</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4758-2025</t>
        </is>
      </c>
      <c r="B714" s="1" t="n">
        <v>45688</v>
      </c>
      <c r="C714" s="1" t="n">
        <v>46103</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28317-2024</t>
        </is>
      </c>
      <c r="B715" s="1" t="n">
        <v>45477</v>
      </c>
      <c r="C715" s="1" t="n">
        <v>46103</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52348-2021</t>
        </is>
      </c>
      <c r="B716" s="1" t="n">
        <v>44464.49756944444</v>
      </c>
      <c r="C716" s="1" t="n">
        <v>46103</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5795-2022</t>
        </is>
      </c>
      <c r="B717" s="1" t="n">
        <v>44596</v>
      </c>
      <c r="C717" s="1" t="n">
        <v>46103</v>
      </c>
      <c r="D717" t="inlineStr">
        <is>
          <t>SÖDERMANLANDS LÄN</t>
        </is>
      </c>
      <c r="E717" t="inlineStr">
        <is>
          <t>KATRINEHOLM</t>
        </is>
      </c>
      <c r="G717" t="n">
        <v>8.1</v>
      </c>
      <c r="H717" t="n">
        <v>0</v>
      </c>
      <c r="I717" t="n">
        <v>0</v>
      </c>
      <c r="J717" t="n">
        <v>0</v>
      </c>
      <c r="K717" t="n">
        <v>0</v>
      </c>
      <c r="L717" t="n">
        <v>0</v>
      </c>
      <c r="M717" t="n">
        <v>0</v>
      </c>
      <c r="N717" t="n">
        <v>0</v>
      </c>
      <c r="O717" t="n">
        <v>0</v>
      </c>
      <c r="P717" t="n">
        <v>0</v>
      </c>
      <c r="Q717" t="n">
        <v>0</v>
      </c>
      <c r="R717" s="2" t="inlineStr"/>
    </row>
    <row r="718" ht="15" customHeight="1">
      <c r="A718" t="inlineStr">
        <is>
          <t>A 55590-2023</t>
        </is>
      </c>
      <c r="B718" s="1" t="n">
        <v>45238</v>
      </c>
      <c r="C718" s="1" t="n">
        <v>46103</v>
      </c>
      <c r="D718" t="inlineStr">
        <is>
          <t>SÖDERMANLANDS LÄN</t>
        </is>
      </c>
      <c r="E718" t="inlineStr">
        <is>
          <t>KATRINEHOLM</t>
        </is>
      </c>
      <c r="G718" t="n">
        <v>4.5</v>
      </c>
      <c r="H718" t="n">
        <v>0</v>
      </c>
      <c r="I718" t="n">
        <v>0</v>
      </c>
      <c r="J718" t="n">
        <v>0</v>
      </c>
      <c r="K718" t="n">
        <v>0</v>
      </c>
      <c r="L718" t="n">
        <v>0</v>
      </c>
      <c r="M718" t="n">
        <v>0</v>
      </c>
      <c r="N718" t="n">
        <v>0</v>
      </c>
      <c r="O718" t="n">
        <v>0</v>
      </c>
      <c r="P718" t="n">
        <v>0</v>
      </c>
      <c r="Q718" t="n">
        <v>0</v>
      </c>
      <c r="R718" s="2" t="inlineStr"/>
    </row>
    <row r="719" ht="15" customHeight="1">
      <c r="A719" t="inlineStr">
        <is>
          <t>A 46257-2021</t>
        </is>
      </c>
      <c r="B719" s="1" t="n">
        <v>44442</v>
      </c>
      <c r="C719" s="1" t="n">
        <v>46103</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5320-2025</t>
        </is>
      </c>
      <c r="B720" s="1" t="n">
        <v>45692</v>
      </c>
      <c r="C720" s="1" t="n">
        <v>46103</v>
      </c>
      <c r="D720" t="inlineStr">
        <is>
          <t>SÖDERMANLANDS LÄN</t>
        </is>
      </c>
      <c r="E720" t="inlineStr">
        <is>
          <t>KATRINEHOLM</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49914-2023</t>
        </is>
      </c>
      <c r="B721" s="1" t="n">
        <v>45214</v>
      </c>
      <c r="C721" s="1" t="n">
        <v>46103</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44637-2023</t>
        </is>
      </c>
      <c r="B722" s="1" t="n">
        <v>45189</v>
      </c>
      <c r="C722" s="1" t="n">
        <v>46103</v>
      </c>
      <c r="D722" t="inlineStr">
        <is>
          <t>SÖDERMANLANDS LÄN</t>
        </is>
      </c>
      <c r="E722" t="inlineStr">
        <is>
          <t>KATRINEHOLM</t>
        </is>
      </c>
      <c r="G722" t="n">
        <v>5.1</v>
      </c>
      <c r="H722" t="n">
        <v>0</v>
      </c>
      <c r="I722" t="n">
        <v>0</v>
      </c>
      <c r="J722" t="n">
        <v>0</v>
      </c>
      <c r="K722" t="n">
        <v>0</v>
      </c>
      <c r="L722" t="n">
        <v>0</v>
      </c>
      <c r="M722" t="n">
        <v>0</v>
      </c>
      <c r="N722" t="n">
        <v>0</v>
      </c>
      <c r="O722" t="n">
        <v>0</v>
      </c>
      <c r="P722" t="n">
        <v>0</v>
      </c>
      <c r="Q722" t="n">
        <v>0</v>
      </c>
      <c r="R722" s="2" t="inlineStr"/>
    </row>
    <row r="723" ht="15" customHeight="1">
      <c r="A723" t="inlineStr">
        <is>
          <t>A 58522-2024</t>
        </is>
      </c>
      <c r="B723" s="1" t="n">
        <v>45635.43770833333</v>
      </c>
      <c r="C723" s="1" t="n">
        <v>46103</v>
      </c>
      <c r="D723" t="inlineStr">
        <is>
          <t>SÖDERMANLANDS LÄN</t>
        </is>
      </c>
      <c r="E723" t="inlineStr">
        <is>
          <t>KATRINEHOLM</t>
        </is>
      </c>
      <c r="G723" t="n">
        <v>2</v>
      </c>
      <c r="H723" t="n">
        <v>0</v>
      </c>
      <c r="I723" t="n">
        <v>0</v>
      </c>
      <c r="J723" t="n">
        <v>0</v>
      </c>
      <c r="K723" t="n">
        <v>0</v>
      </c>
      <c r="L723" t="n">
        <v>0</v>
      </c>
      <c r="M723" t="n">
        <v>0</v>
      </c>
      <c r="N723" t="n">
        <v>0</v>
      </c>
      <c r="O723" t="n">
        <v>0</v>
      </c>
      <c r="P723" t="n">
        <v>0</v>
      </c>
      <c r="Q723" t="n">
        <v>0</v>
      </c>
      <c r="R723" s="2" t="inlineStr"/>
    </row>
    <row r="724" ht="15" customHeight="1">
      <c r="A724" t="inlineStr">
        <is>
          <t>A 20921-2023</t>
        </is>
      </c>
      <c r="B724" s="1" t="n">
        <v>45061</v>
      </c>
      <c r="C724" s="1" t="n">
        <v>46103</v>
      </c>
      <c r="D724" t="inlineStr">
        <is>
          <t>SÖDERMANLANDS LÄN</t>
        </is>
      </c>
      <c r="E724" t="inlineStr">
        <is>
          <t>KATRINEHOLM</t>
        </is>
      </c>
      <c r="G724" t="n">
        <v>8.9</v>
      </c>
      <c r="H724" t="n">
        <v>0</v>
      </c>
      <c r="I724" t="n">
        <v>0</v>
      </c>
      <c r="J724" t="n">
        <v>0</v>
      </c>
      <c r="K724" t="n">
        <v>0</v>
      </c>
      <c r="L724" t="n">
        <v>0</v>
      </c>
      <c r="M724" t="n">
        <v>0</v>
      </c>
      <c r="N724" t="n">
        <v>0</v>
      </c>
      <c r="O724" t="n">
        <v>0</v>
      </c>
      <c r="P724" t="n">
        <v>0</v>
      </c>
      <c r="Q724" t="n">
        <v>0</v>
      </c>
      <c r="R724" s="2" t="inlineStr"/>
    </row>
    <row r="725" ht="15" customHeight="1">
      <c r="A725" t="inlineStr">
        <is>
          <t>A 12929-2023</t>
        </is>
      </c>
      <c r="B725" s="1" t="n">
        <v>45001</v>
      </c>
      <c r="C725" s="1" t="n">
        <v>46103</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12932-2023</t>
        </is>
      </c>
      <c r="B726" s="1" t="n">
        <v>45001</v>
      </c>
      <c r="C726" s="1" t="n">
        <v>46103</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6446-2022</t>
        </is>
      </c>
      <c r="B727" s="1" t="n">
        <v>44600</v>
      </c>
      <c r="C727" s="1" t="n">
        <v>46103</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4724-2023</t>
        </is>
      </c>
      <c r="B728" s="1" t="n">
        <v>44957</v>
      </c>
      <c r="C728" s="1" t="n">
        <v>46103</v>
      </c>
      <c r="D728" t="inlineStr">
        <is>
          <t>SÖDERMANLANDS LÄN</t>
        </is>
      </c>
      <c r="E728" t="inlineStr">
        <is>
          <t>KATRINEHOLM</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61431-2024</t>
        </is>
      </c>
      <c r="B729" s="1" t="n">
        <v>45646.45950231481</v>
      </c>
      <c r="C729" s="1" t="n">
        <v>46103</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24097-2022</t>
        </is>
      </c>
      <c r="B730" s="1" t="n">
        <v>44725.39371527778</v>
      </c>
      <c r="C730" s="1" t="n">
        <v>46103</v>
      </c>
      <c r="D730" t="inlineStr">
        <is>
          <t>SÖDERMANLANDS LÄN</t>
        </is>
      </c>
      <c r="E730" t="inlineStr">
        <is>
          <t>KATRINEHOLM</t>
        </is>
      </c>
      <c r="G730" t="n">
        <v>6.5</v>
      </c>
      <c r="H730" t="n">
        <v>0</v>
      </c>
      <c r="I730" t="n">
        <v>0</v>
      </c>
      <c r="J730" t="n">
        <v>0</v>
      </c>
      <c r="K730" t="n">
        <v>0</v>
      </c>
      <c r="L730" t="n">
        <v>0</v>
      </c>
      <c r="M730" t="n">
        <v>0</v>
      </c>
      <c r="N730" t="n">
        <v>0</v>
      </c>
      <c r="O730" t="n">
        <v>0</v>
      </c>
      <c r="P730" t="n">
        <v>0</v>
      </c>
      <c r="Q730" t="n">
        <v>0</v>
      </c>
      <c r="R730" s="2" t="inlineStr"/>
    </row>
    <row r="731" ht="15" customHeight="1">
      <c r="A731" t="inlineStr">
        <is>
          <t>A 53393-2023</t>
        </is>
      </c>
      <c r="B731" s="1" t="n">
        <v>45229</v>
      </c>
      <c r="C731" s="1" t="n">
        <v>46103</v>
      </c>
      <c r="D731" t="inlineStr">
        <is>
          <t>SÖDERMANLANDS LÄN</t>
        </is>
      </c>
      <c r="E731" t="inlineStr">
        <is>
          <t>KATRINEHOLM</t>
        </is>
      </c>
      <c r="F731" t="inlineStr">
        <is>
          <t>Kyrkan</t>
        </is>
      </c>
      <c r="G731" t="n">
        <v>5.6</v>
      </c>
      <c r="H731" t="n">
        <v>0</v>
      </c>
      <c r="I731" t="n">
        <v>0</v>
      </c>
      <c r="J731" t="n">
        <v>0</v>
      </c>
      <c r="K731" t="n">
        <v>0</v>
      </c>
      <c r="L731" t="n">
        <v>0</v>
      </c>
      <c r="M731" t="n">
        <v>0</v>
      </c>
      <c r="N731" t="n">
        <v>0</v>
      </c>
      <c r="O731" t="n">
        <v>0</v>
      </c>
      <c r="P731" t="n">
        <v>0</v>
      </c>
      <c r="Q731" t="n">
        <v>0</v>
      </c>
      <c r="R731" s="2" t="inlineStr"/>
    </row>
    <row r="732" ht="15" customHeight="1">
      <c r="A732" t="inlineStr">
        <is>
          <t>A 40744-2022</t>
        </is>
      </c>
      <c r="B732" s="1" t="n">
        <v>44824.55655092592</v>
      </c>
      <c r="C732" s="1" t="n">
        <v>46103</v>
      </c>
      <c r="D732" t="inlineStr">
        <is>
          <t>SÖDERMANLANDS LÄN</t>
        </is>
      </c>
      <c r="E732" t="inlineStr">
        <is>
          <t>KATRINEHOLM</t>
        </is>
      </c>
      <c r="G732" t="n">
        <v>3.7</v>
      </c>
      <c r="H732" t="n">
        <v>0</v>
      </c>
      <c r="I732" t="n">
        <v>0</v>
      </c>
      <c r="J732" t="n">
        <v>0</v>
      </c>
      <c r="K732" t="n">
        <v>0</v>
      </c>
      <c r="L732" t="n">
        <v>0</v>
      </c>
      <c r="M732" t="n">
        <v>0</v>
      </c>
      <c r="N732" t="n">
        <v>0</v>
      </c>
      <c r="O732" t="n">
        <v>0</v>
      </c>
      <c r="P732" t="n">
        <v>0</v>
      </c>
      <c r="Q732" t="n">
        <v>0</v>
      </c>
      <c r="R732" s="2" t="inlineStr"/>
    </row>
    <row r="733" ht="15" customHeight="1">
      <c r="A733" t="inlineStr">
        <is>
          <t>A 20803-2024</t>
        </is>
      </c>
      <c r="B733" s="1" t="n">
        <v>45438</v>
      </c>
      <c r="C733" s="1" t="n">
        <v>46103</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15392-2023</t>
        </is>
      </c>
      <c r="B734" s="1" t="n">
        <v>45016</v>
      </c>
      <c r="C734" s="1" t="n">
        <v>46103</v>
      </c>
      <c r="D734" t="inlineStr">
        <is>
          <t>SÖDERMANLANDS LÄN</t>
        </is>
      </c>
      <c r="E734" t="inlineStr">
        <is>
          <t>KATRINEHOLM</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4645-2024</t>
        </is>
      </c>
      <c r="B735" s="1" t="n">
        <v>45328</v>
      </c>
      <c r="C735" s="1" t="n">
        <v>46103</v>
      </c>
      <c r="D735" t="inlineStr">
        <is>
          <t>SÖDERMANLANDS LÄN</t>
        </is>
      </c>
      <c r="E735" t="inlineStr">
        <is>
          <t>KATRINEHOLM</t>
        </is>
      </c>
      <c r="G735" t="n">
        <v>2.3</v>
      </c>
      <c r="H735" t="n">
        <v>0</v>
      </c>
      <c r="I735" t="n">
        <v>0</v>
      </c>
      <c r="J735" t="n">
        <v>0</v>
      </c>
      <c r="K735" t="n">
        <v>0</v>
      </c>
      <c r="L735" t="n">
        <v>0</v>
      </c>
      <c r="M735" t="n">
        <v>0</v>
      </c>
      <c r="N735" t="n">
        <v>0</v>
      </c>
      <c r="O735" t="n">
        <v>0</v>
      </c>
      <c r="P735" t="n">
        <v>0</v>
      </c>
      <c r="Q735" t="n">
        <v>0</v>
      </c>
      <c r="R735" s="2" t="inlineStr"/>
    </row>
    <row r="736" ht="15" customHeight="1">
      <c r="A736" t="inlineStr">
        <is>
          <t>A 28508-2023</t>
        </is>
      </c>
      <c r="B736" s="1" t="n">
        <v>45103.46788194445</v>
      </c>
      <c r="C736" s="1" t="n">
        <v>46103</v>
      </c>
      <c r="D736" t="inlineStr">
        <is>
          <t>SÖDERMANLANDS LÄN</t>
        </is>
      </c>
      <c r="E736" t="inlineStr">
        <is>
          <t>KATRINEHOLM</t>
        </is>
      </c>
      <c r="F736" t="inlineStr">
        <is>
          <t>Kyrkan</t>
        </is>
      </c>
      <c r="G736" t="n">
        <v>20.5</v>
      </c>
      <c r="H736" t="n">
        <v>0</v>
      </c>
      <c r="I736" t="n">
        <v>0</v>
      </c>
      <c r="J736" t="n">
        <v>0</v>
      </c>
      <c r="K736" t="n">
        <v>0</v>
      </c>
      <c r="L736" t="n">
        <v>0</v>
      </c>
      <c r="M736" t="n">
        <v>0</v>
      </c>
      <c r="N736" t="n">
        <v>0</v>
      </c>
      <c r="O736" t="n">
        <v>0</v>
      </c>
      <c r="P736" t="n">
        <v>0</v>
      </c>
      <c r="Q736" t="n">
        <v>0</v>
      </c>
      <c r="R736" s="2" t="inlineStr"/>
    </row>
    <row r="737" ht="15" customHeight="1">
      <c r="A737" t="inlineStr">
        <is>
          <t>A 47889-2023</t>
        </is>
      </c>
      <c r="B737" s="1" t="n">
        <v>45204</v>
      </c>
      <c r="C737" s="1" t="n">
        <v>46103</v>
      </c>
      <c r="D737" t="inlineStr">
        <is>
          <t>SÖDERMANLANDS LÄN</t>
        </is>
      </c>
      <c r="E737" t="inlineStr">
        <is>
          <t>KATRINEHOLM</t>
        </is>
      </c>
      <c r="G737" t="n">
        <v>2.1</v>
      </c>
      <c r="H737" t="n">
        <v>0</v>
      </c>
      <c r="I737" t="n">
        <v>0</v>
      </c>
      <c r="J737" t="n">
        <v>0</v>
      </c>
      <c r="K737" t="n">
        <v>0</v>
      </c>
      <c r="L737" t="n">
        <v>0</v>
      </c>
      <c r="M737" t="n">
        <v>0</v>
      </c>
      <c r="N737" t="n">
        <v>0</v>
      </c>
      <c r="O737" t="n">
        <v>0</v>
      </c>
      <c r="P737" t="n">
        <v>0</v>
      </c>
      <c r="Q737" t="n">
        <v>0</v>
      </c>
      <c r="R737" s="2" t="inlineStr"/>
    </row>
    <row r="738" ht="15" customHeight="1">
      <c r="A738" t="inlineStr">
        <is>
          <t>A 12975-2022</t>
        </is>
      </c>
      <c r="B738" s="1" t="n">
        <v>44643</v>
      </c>
      <c r="C738" s="1" t="n">
        <v>46103</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9668-2023</t>
        </is>
      </c>
      <c r="B739" s="1" t="n">
        <v>44984.41238425926</v>
      </c>
      <c r="C739" s="1" t="n">
        <v>46103</v>
      </c>
      <c r="D739" t="inlineStr">
        <is>
          <t>SÖDERMANLANDS LÄN</t>
        </is>
      </c>
      <c r="E739" t="inlineStr">
        <is>
          <t>KATRINEHOLM</t>
        </is>
      </c>
      <c r="G739" t="n">
        <v>4.8</v>
      </c>
      <c r="H739" t="n">
        <v>0</v>
      </c>
      <c r="I739" t="n">
        <v>0</v>
      </c>
      <c r="J739" t="n">
        <v>0</v>
      </c>
      <c r="K739" t="n">
        <v>0</v>
      </c>
      <c r="L739" t="n">
        <v>0</v>
      </c>
      <c r="M739" t="n">
        <v>0</v>
      </c>
      <c r="N739" t="n">
        <v>0</v>
      </c>
      <c r="O739" t="n">
        <v>0</v>
      </c>
      <c r="P739" t="n">
        <v>0</v>
      </c>
      <c r="Q739" t="n">
        <v>0</v>
      </c>
      <c r="R739" s="2" t="inlineStr"/>
    </row>
    <row r="740" ht="15" customHeight="1">
      <c r="A740" t="inlineStr">
        <is>
          <t>A 29977-2023</t>
        </is>
      </c>
      <c r="B740" s="1" t="n">
        <v>45108</v>
      </c>
      <c r="C740" s="1" t="n">
        <v>46103</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46103</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46103</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6087-2022</t>
        </is>
      </c>
      <c r="B743" s="1" t="n">
        <v>44599.61034722222</v>
      </c>
      <c r="C743" s="1" t="n">
        <v>46103</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47134-2022</t>
        </is>
      </c>
      <c r="B744" s="1" t="n">
        <v>44851</v>
      </c>
      <c r="C744" s="1" t="n">
        <v>46103</v>
      </c>
      <c r="D744" t="inlineStr">
        <is>
          <t>SÖDERMANLANDS LÄN</t>
        </is>
      </c>
      <c r="E744" t="inlineStr">
        <is>
          <t>KATRINEHOLM</t>
        </is>
      </c>
      <c r="F744" t="inlineStr">
        <is>
          <t>Övriga statliga verk och myndigheter</t>
        </is>
      </c>
      <c r="G744" t="n">
        <v>1.5</v>
      </c>
      <c r="H744" t="n">
        <v>0</v>
      </c>
      <c r="I744" t="n">
        <v>0</v>
      </c>
      <c r="J744" t="n">
        <v>0</v>
      </c>
      <c r="K744" t="n">
        <v>0</v>
      </c>
      <c r="L744" t="n">
        <v>0</v>
      </c>
      <c r="M744" t="n">
        <v>0</v>
      </c>
      <c r="N744" t="n">
        <v>0</v>
      </c>
      <c r="O744" t="n">
        <v>0</v>
      </c>
      <c r="P744" t="n">
        <v>0</v>
      </c>
      <c r="Q744" t="n">
        <v>0</v>
      </c>
      <c r="R744" s="2" t="inlineStr"/>
    </row>
    <row r="745" ht="15" customHeight="1">
      <c r="A745" t="inlineStr">
        <is>
          <t>A 12835-2024</t>
        </is>
      </c>
      <c r="B745" s="1" t="n">
        <v>45384</v>
      </c>
      <c r="C745" s="1" t="n">
        <v>46103</v>
      </c>
      <c r="D745" t="inlineStr">
        <is>
          <t>SÖDERMANLANDS LÄN</t>
        </is>
      </c>
      <c r="E745" t="inlineStr">
        <is>
          <t>KATRINEHOLM</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47879-2023</t>
        </is>
      </c>
      <c r="B746" s="1" t="n">
        <v>45204</v>
      </c>
      <c r="C746" s="1" t="n">
        <v>46103</v>
      </c>
      <c r="D746" t="inlineStr">
        <is>
          <t>SÖDERMANLANDS LÄN</t>
        </is>
      </c>
      <c r="E746" t="inlineStr">
        <is>
          <t>KATRINEHOLM</t>
        </is>
      </c>
      <c r="F746" t="inlineStr">
        <is>
          <t>Övriga Aktiebolag</t>
        </is>
      </c>
      <c r="G746" t="n">
        <v>2.3</v>
      </c>
      <c r="H746" t="n">
        <v>0</v>
      </c>
      <c r="I746" t="n">
        <v>0</v>
      </c>
      <c r="J746" t="n">
        <v>0</v>
      </c>
      <c r="K746" t="n">
        <v>0</v>
      </c>
      <c r="L746" t="n">
        <v>0</v>
      </c>
      <c r="M746" t="n">
        <v>0</v>
      </c>
      <c r="N746" t="n">
        <v>0</v>
      </c>
      <c r="O746" t="n">
        <v>0</v>
      </c>
      <c r="P746" t="n">
        <v>0</v>
      </c>
      <c r="Q746" t="n">
        <v>0</v>
      </c>
      <c r="R746" s="2" t="inlineStr"/>
    </row>
    <row r="747" ht="15" customHeight="1">
      <c r="A747" t="inlineStr">
        <is>
          <t>A 61410-2024</t>
        </is>
      </c>
      <c r="B747" s="1" t="n">
        <v>45646.43950231482</v>
      </c>
      <c r="C747" s="1" t="n">
        <v>46103</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17746-2024</t>
        </is>
      </c>
      <c r="B748" s="1" t="n">
        <v>45415</v>
      </c>
      <c r="C748" s="1" t="n">
        <v>46103</v>
      </c>
      <c r="D748" t="inlineStr">
        <is>
          <t>SÖDERMANLANDS LÄN</t>
        </is>
      </c>
      <c r="E748" t="inlineStr">
        <is>
          <t>KATRINEHOLM</t>
        </is>
      </c>
      <c r="G748" t="n">
        <v>7.8</v>
      </c>
      <c r="H748" t="n">
        <v>0</v>
      </c>
      <c r="I748" t="n">
        <v>0</v>
      </c>
      <c r="J748" t="n">
        <v>0</v>
      </c>
      <c r="K748" t="n">
        <v>0</v>
      </c>
      <c r="L748" t="n">
        <v>0</v>
      </c>
      <c r="M748" t="n">
        <v>0</v>
      </c>
      <c r="N748" t="n">
        <v>0</v>
      </c>
      <c r="O748" t="n">
        <v>0</v>
      </c>
      <c r="P748" t="n">
        <v>0</v>
      </c>
      <c r="Q748" t="n">
        <v>0</v>
      </c>
      <c r="R748" s="2" t="inlineStr"/>
    </row>
    <row r="749" ht="15" customHeight="1">
      <c r="A749" t="inlineStr">
        <is>
          <t>A 57510-2021</t>
        </is>
      </c>
      <c r="B749" s="1" t="n">
        <v>44483</v>
      </c>
      <c r="C749" s="1" t="n">
        <v>46103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34731-2023</t>
        </is>
      </c>
      <c r="B750" s="1" t="n">
        <v>45141</v>
      </c>
      <c r="C750" s="1" t="n">
        <v>46103</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38826-2021</t>
        </is>
      </c>
      <c r="B751" s="1" t="n">
        <v>44411</v>
      </c>
      <c r="C751" s="1" t="n">
        <v>46103</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11875-2023</t>
        </is>
      </c>
      <c r="B752" s="1" t="n">
        <v>44995</v>
      </c>
      <c r="C752" s="1" t="n">
        <v>46103</v>
      </c>
      <c r="D752" t="inlineStr">
        <is>
          <t>SÖDERMANLANDS LÄN</t>
        </is>
      </c>
      <c r="E752" t="inlineStr">
        <is>
          <t>KATRINEHOLM</t>
        </is>
      </c>
      <c r="F752" t="inlineStr">
        <is>
          <t>Kommuner</t>
        </is>
      </c>
      <c r="G752" t="n">
        <v>1.1</v>
      </c>
      <c r="H752" t="n">
        <v>0</v>
      </c>
      <c r="I752" t="n">
        <v>0</v>
      </c>
      <c r="J752" t="n">
        <v>0</v>
      </c>
      <c r="K752" t="n">
        <v>0</v>
      </c>
      <c r="L752" t="n">
        <v>0</v>
      </c>
      <c r="M752" t="n">
        <v>0</v>
      </c>
      <c r="N752" t="n">
        <v>0</v>
      </c>
      <c r="O752" t="n">
        <v>0</v>
      </c>
      <c r="P752" t="n">
        <v>0</v>
      </c>
      <c r="Q752" t="n">
        <v>0</v>
      </c>
      <c r="R752" s="2" t="inlineStr"/>
    </row>
    <row r="753" ht="15" customHeight="1">
      <c r="A753" t="inlineStr">
        <is>
          <t>A 6808-2023</t>
        </is>
      </c>
      <c r="B753" s="1" t="n">
        <v>44964</v>
      </c>
      <c r="C753" s="1" t="n">
        <v>46103</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51128-2021</t>
        </is>
      </c>
      <c r="B754" s="1" t="n">
        <v>44460</v>
      </c>
      <c r="C754" s="1" t="n">
        <v>46103</v>
      </c>
      <c r="D754" t="inlineStr">
        <is>
          <t>SÖDERMANLANDS LÄN</t>
        </is>
      </c>
      <c r="E754" t="inlineStr">
        <is>
          <t>KATRINEHOLM</t>
        </is>
      </c>
      <c r="G754" t="n">
        <v>7.8</v>
      </c>
      <c r="H754" t="n">
        <v>0</v>
      </c>
      <c r="I754" t="n">
        <v>0</v>
      </c>
      <c r="J754" t="n">
        <v>0</v>
      </c>
      <c r="K754" t="n">
        <v>0</v>
      </c>
      <c r="L754" t="n">
        <v>0</v>
      </c>
      <c r="M754" t="n">
        <v>0</v>
      </c>
      <c r="N754" t="n">
        <v>0</v>
      </c>
      <c r="O754" t="n">
        <v>0</v>
      </c>
      <c r="P754" t="n">
        <v>0</v>
      </c>
      <c r="Q754" t="n">
        <v>0</v>
      </c>
      <c r="R754" s="2" t="inlineStr"/>
    </row>
    <row r="755" ht="15" customHeight="1">
      <c r="A755" t="inlineStr">
        <is>
          <t>A 51264-2021</t>
        </is>
      </c>
      <c r="B755" s="1" t="n">
        <v>44461</v>
      </c>
      <c r="C755" s="1" t="n">
        <v>46103</v>
      </c>
      <c r="D755" t="inlineStr">
        <is>
          <t>SÖDERMANLANDS LÄN</t>
        </is>
      </c>
      <c r="E755" t="inlineStr">
        <is>
          <t>KATRINEHOLM</t>
        </is>
      </c>
      <c r="G755" t="n">
        <v>3.1</v>
      </c>
      <c r="H755" t="n">
        <v>0</v>
      </c>
      <c r="I755" t="n">
        <v>0</v>
      </c>
      <c r="J755" t="n">
        <v>0</v>
      </c>
      <c r="K755" t="n">
        <v>0</v>
      </c>
      <c r="L755" t="n">
        <v>0</v>
      </c>
      <c r="M755" t="n">
        <v>0</v>
      </c>
      <c r="N755" t="n">
        <v>0</v>
      </c>
      <c r="O755" t="n">
        <v>0</v>
      </c>
      <c r="P755" t="n">
        <v>0</v>
      </c>
      <c r="Q755" t="n">
        <v>0</v>
      </c>
      <c r="R755" s="2" t="inlineStr"/>
    </row>
    <row r="756" ht="15" customHeight="1">
      <c r="A756" t="inlineStr">
        <is>
          <t>A 23207-2023</t>
        </is>
      </c>
      <c r="B756" s="1" t="n">
        <v>45071</v>
      </c>
      <c r="C756" s="1" t="n">
        <v>46103</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5935-2023</t>
        </is>
      </c>
      <c r="B757" s="1" t="n">
        <v>44963</v>
      </c>
      <c r="C757" s="1" t="n">
        <v>46103</v>
      </c>
      <c r="D757" t="inlineStr">
        <is>
          <t>SÖDERMANLANDS LÄN</t>
        </is>
      </c>
      <c r="E757" t="inlineStr">
        <is>
          <t>KATRINEHOLM</t>
        </is>
      </c>
      <c r="G757" t="n">
        <v>1.5</v>
      </c>
      <c r="H757" t="n">
        <v>0</v>
      </c>
      <c r="I757" t="n">
        <v>0</v>
      </c>
      <c r="J757" t="n">
        <v>0</v>
      </c>
      <c r="K757" t="n">
        <v>0</v>
      </c>
      <c r="L757" t="n">
        <v>0</v>
      </c>
      <c r="M757" t="n">
        <v>0</v>
      </c>
      <c r="N757" t="n">
        <v>0</v>
      </c>
      <c r="O757" t="n">
        <v>0</v>
      </c>
      <c r="P757" t="n">
        <v>0</v>
      </c>
      <c r="Q757" t="n">
        <v>0</v>
      </c>
      <c r="R757" s="2" t="inlineStr"/>
    </row>
    <row r="758" ht="15" customHeight="1">
      <c r="A758" t="inlineStr">
        <is>
          <t>A 11104-2023</t>
        </is>
      </c>
      <c r="B758" s="1" t="n">
        <v>44992</v>
      </c>
      <c r="C758" s="1" t="n">
        <v>46103</v>
      </c>
      <c r="D758" t="inlineStr">
        <is>
          <t>SÖDERMANLANDS LÄN</t>
        </is>
      </c>
      <c r="E758" t="inlineStr">
        <is>
          <t>KATRINEHOLM</t>
        </is>
      </c>
      <c r="F758" t="inlineStr">
        <is>
          <t>Allmännings- och besparingsskogar</t>
        </is>
      </c>
      <c r="G758" t="n">
        <v>7.8</v>
      </c>
      <c r="H758" t="n">
        <v>0</v>
      </c>
      <c r="I758" t="n">
        <v>0</v>
      </c>
      <c r="J758" t="n">
        <v>0</v>
      </c>
      <c r="K758" t="n">
        <v>0</v>
      </c>
      <c r="L758" t="n">
        <v>0</v>
      </c>
      <c r="M758" t="n">
        <v>0</v>
      </c>
      <c r="N758" t="n">
        <v>0</v>
      </c>
      <c r="O758" t="n">
        <v>0</v>
      </c>
      <c r="P758" t="n">
        <v>0</v>
      </c>
      <c r="Q758" t="n">
        <v>0</v>
      </c>
      <c r="R758" s="2" t="inlineStr"/>
    </row>
    <row r="759" ht="15" customHeight="1">
      <c r="A759" t="inlineStr">
        <is>
          <t>A 40159-2023</t>
        </is>
      </c>
      <c r="B759" s="1" t="n">
        <v>45169</v>
      </c>
      <c r="C759" s="1" t="n">
        <v>46103</v>
      </c>
      <c r="D759" t="inlineStr">
        <is>
          <t>SÖDERMANLANDS LÄN</t>
        </is>
      </c>
      <c r="E759" t="inlineStr">
        <is>
          <t>KATRINEHOLM</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36562-2023</t>
        </is>
      </c>
      <c r="B760" s="1" t="n">
        <v>45153</v>
      </c>
      <c r="C760" s="1" t="n">
        <v>46103</v>
      </c>
      <c r="D760" t="inlineStr">
        <is>
          <t>SÖDERMANLANDS LÄN</t>
        </is>
      </c>
      <c r="E760" t="inlineStr">
        <is>
          <t>KATRINEHOLM</t>
        </is>
      </c>
      <c r="G760" t="n">
        <v>5.8</v>
      </c>
      <c r="H760" t="n">
        <v>0</v>
      </c>
      <c r="I760" t="n">
        <v>0</v>
      </c>
      <c r="J760" t="n">
        <v>0</v>
      </c>
      <c r="K760" t="n">
        <v>0</v>
      </c>
      <c r="L760" t="n">
        <v>0</v>
      </c>
      <c r="M760" t="n">
        <v>0</v>
      </c>
      <c r="N760" t="n">
        <v>0</v>
      </c>
      <c r="O760" t="n">
        <v>0</v>
      </c>
      <c r="P760" t="n">
        <v>0</v>
      </c>
      <c r="Q760" t="n">
        <v>0</v>
      </c>
      <c r="R760" s="2" t="inlineStr"/>
    </row>
    <row r="761" ht="15" customHeight="1">
      <c r="A761" t="inlineStr">
        <is>
          <t>A 4872-2024</t>
        </is>
      </c>
      <c r="B761" s="1" t="n">
        <v>45329</v>
      </c>
      <c r="C761" s="1" t="n">
        <v>46103</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6611-2023</t>
        </is>
      </c>
      <c r="B762" s="1" t="n">
        <v>44963</v>
      </c>
      <c r="C762" s="1" t="n">
        <v>46103</v>
      </c>
      <c r="D762" t="inlineStr">
        <is>
          <t>SÖDERMANLANDS LÄN</t>
        </is>
      </c>
      <c r="E762" t="inlineStr">
        <is>
          <t>KATRINEHOLM</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25823-2023</t>
        </is>
      </c>
      <c r="B763" s="1" t="n">
        <v>45090.55078703703</v>
      </c>
      <c r="C763" s="1" t="n">
        <v>46103</v>
      </c>
      <c r="D763" t="inlineStr">
        <is>
          <t>SÖDERMANLANDS LÄN</t>
        </is>
      </c>
      <c r="E763" t="inlineStr">
        <is>
          <t>KATRINEHOLM</t>
        </is>
      </c>
      <c r="F763" t="inlineStr">
        <is>
          <t>Kyrkan</t>
        </is>
      </c>
      <c r="G763" t="n">
        <v>10.2</v>
      </c>
      <c r="H763" t="n">
        <v>0</v>
      </c>
      <c r="I763" t="n">
        <v>0</v>
      </c>
      <c r="J763" t="n">
        <v>0</v>
      </c>
      <c r="K763" t="n">
        <v>0</v>
      </c>
      <c r="L763" t="n">
        <v>0</v>
      </c>
      <c r="M763" t="n">
        <v>0</v>
      </c>
      <c r="N763" t="n">
        <v>0</v>
      </c>
      <c r="O763" t="n">
        <v>0</v>
      </c>
      <c r="P763" t="n">
        <v>0</v>
      </c>
      <c r="Q763" t="n">
        <v>0</v>
      </c>
      <c r="R763" s="2" t="inlineStr"/>
    </row>
    <row r="764" ht="15" customHeight="1">
      <c r="A764" t="inlineStr">
        <is>
          <t>A 61398-2024</t>
        </is>
      </c>
      <c r="B764" s="1" t="n">
        <v>45646.42608796297</v>
      </c>
      <c r="C764" s="1" t="n">
        <v>46103</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20480-2022</t>
        </is>
      </c>
      <c r="B765" s="1" t="n">
        <v>44699</v>
      </c>
      <c r="C765" s="1" t="n">
        <v>46103</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3060-2022</t>
        </is>
      </c>
      <c r="B766" s="1" t="n">
        <v>44582.40109953703</v>
      </c>
      <c r="C766" s="1" t="n">
        <v>46103</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3075-2022</t>
        </is>
      </c>
      <c r="B767" s="1" t="n">
        <v>44582</v>
      </c>
      <c r="C767" s="1" t="n">
        <v>46103</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13175-2024</t>
        </is>
      </c>
      <c r="B768" s="1" t="n">
        <v>45386</v>
      </c>
      <c r="C768" s="1" t="n">
        <v>46103</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26081-2024</t>
        </is>
      </c>
      <c r="B769" s="1" t="n">
        <v>45462</v>
      </c>
      <c r="C769" s="1" t="n">
        <v>46103</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4667-2024</t>
        </is>
      </c>
      <c r="B770" s="1" t="n">
        <v>45328.47</v>
      </c>
      <c r="C770" s="1" t="n">
        <v>46103</v>
      </c>
      <c r="D770" t="inlineStr">
        <is>
          <t>SÖDERMANLANDS LÄN</t>
        </is>
      </c>
      <c r="E770" t="inlineStr">
        <is>
          <t>KATRINEHOLM</t>
        </is>
      </c>
      <c r="F770" t="inlineStr">
        <is>
          <t>Övriga Aktiebolag</t>
        </is>
      </c>
      <c r="G770" t="n">
        <v>10.2</v>
      </c>
      <c r="H770" t="n">
        <v>0</v>
      </c>
      <c r="I770" t="n">
        <v>0</v>
      </c>
      <c r="J770" t="n">
        <v>0</v>
      </c>
      <c r="K770" t="n">
        <v>0</v>
      </c>
      <c r="L770" t="n">
        <v>0</v>
      </c>
      <c r="M770" t="n">
        <v>0</v>
      </c>
      <c r="N770" t="n">
        <v>0</v>
      </c>
      <c r="O770" t="n">
        <v>0</v>
      </c>
      <c r="P770" t="n">
        <v>0</v>
      </c>
      <c r="Q770" t="n">
        <v>0</v>
      </c>
      <c r="R770" s="2" t="inlineStr"/>
    </row>
    <row r="771" ht="15" customHeight="1">
      <c r="A771" t="inlineStr">
        <is>
          <t>A 19107-2022</t>
        </is>
      </c>
      <c r="B771" s="1" t="n">
        <v>44691.54077546296</v>
      </c>
      <c r="C771" s="1" t="n">
        <v>46103</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19442-2023</t>
        </is>
      </c>
      <c r="B772" s="1" t="n">
        <v>45050</v>
      </c>
      <c r="C772" s="1" t="n">
        <v>46103</v>
      </c>
      <c r="D772" t="inlineStr">
        <is>
          <t>SÖDERMANLANDS LÄN</t>
        </is>
      </c>
      <c r="E772" t="inlineStr">
        <is>
          <t>KATRINEHOLM</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59093-2024</t>
        </is>
      </c>
      <c r="B773" s="1" t="n">
        <v>45636</v>
      </c>
      <c r="C773" s="1" t="n">
        <v>46103</v>
      </c>
      <c r="D773" t="inlineStr">
        <is>
          <t>SÖDERMANLANDS LÄN</t>
        </is>
      </c>
      <c r="E773" t="inlineStr">
        <is>
          <t>KATRINEHOLM</t>
        </is>
      </c>
      <c r="G773" t="n">
        <v>2.8</v>
      </c>
      <c r="H773" t="n">
        <v>0</v>
      </c>
      <c r="I773" t="n">
        <v>0</v>
      </c>
      <c r="J773" t="n">
        <v>0</v>
      </c>
      <c r="K773" t="n">
        <v>0</v>
      </c>
      <c r="L773" t="n">
        <v>0</v>
      </c>
      <c r="M773" t="n">
        <v>0</v>
      </c>
      <c r="N773" t="n">
        <v>0</v>
      </c>
      <c r="O773" t="n">
        <v>0</v>
      </c>
      <c r="P773" t="n">
        <v>0</v>
      </c>
      <c r="Q773" t="n">
        <v>0</v>
      </c>
      <c r="R773" s="2" t="inlineStr"/>
    </row>
    <row r="774" ht="15" customHeight="1">
      <c r="A774" t="inlineStr">
        <is>
          <t>A 2606-2025</t>
        </is>
      </c>
      <c r="B774" s="1" t="n">
        <v>45674</v>
      </c>
      <c r="C774" s="1" t="n">
        <v>46103</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48763-2024</t>
        </is>
      </c>
      <c r="B775" s="1" t="n">
        <v>45593.60288194445</v>
      </c>
      <c r="C775" s="1" t="n">
        <v>46103</v>
      </c>
      <c r="D775" t="inlineStr">
        <is>
          <t>SÖDERMANLANDS LÄN</t>
        </is>
      </c>
      <c r="E775" t="inlineStr">
        <is>
          <t>KATRINEHOLM</t>
        </is>
      </c>
      <c r="G775" t="n">
        <v>1.3</v>
      </c>
      <c r="H775" t="n">
        <v>0</v>
      </c>
      <c r="I775" t="n">
        <v>0</v>
      </c>
      <c r="J775" t="n">
        <v>0</v>
      </c>
      <c r="K775" t="n">
        <v>0</v>
      </c>
      <c r="L775" t="n">
        <v>0</v>
      </c>
      <c r="M775" t="n">
        <v>0</v>
      </c>
      <c r="N775" t="n">
        <v>0</v>
      </c>
      <c r="O775" t="n">
        <v>0</v>
      </c>
      <c r="P775" t="n">
        <v>0</v>
      </c>
      <c r="Q775" t="n">
        <v>0</v>
      </c>
      <c r="R775" s="2" t="inlineStr"/>
    </row>
    <row r="776" ht="15" customHeight="1">
      <c r="A776" t="inlineStr">
        <is>
          <t>A 38872-2024</t>
        </is>
      </c>
      <c r="B776" s="1" t="n">
        <v>45547</v>
      </c>
      <c r="C776" s="1" t="n">
        <v>46103</v>
      </c>
      <c r="D776" t="inlineStr">
        <is>
          <t>SÖDERMANLANDS LÄN</t>
        </is>
      </c>
      <c r="E776" t="inlineStr">
        <is>
          <t>KATRINEHOLM</t>
        </is>
      </c>
      <c r="G776" t="n">
        <v>5.7</v>
      </c>
      <c r="H776" t="n">
        <v>0</v>
      </c>
      <c r="I776" t="n">
        <v>0</v>
      </c>
      <c r="J776" t="n">
        <v>0</v>
      </c>
      <c r="K776" t="n">
        <v>0</v>
      </c>
      <c r="L776" t="n">
        <v>0</v>
      </c>
      <c r="M776" t="n">
        <v>0</v>
      </c>
      <c r="N776" t="n">
        <v>0</v>
      </c>
      <c r="O776" t="n">
        <v>0</v>
      </c>
      <c r="P776" t="n">
        <v>0</v>
      </c>
      <c r="Q776" t="n">
        <v>0</v>
      </c>
      <c r="R776" s="2" t="inlineStr"/>
    </row>
    <row r="777" ht="15" customHeight="1">
      <c r="A777" t="inlineStr">
        <is>
          <t>A 41229-2022</t>
        </is>
      </c>
      <c r="B777" s="1" t="n">
        <v>44825</v>
      </c>
      <c r="C777" s="1" t="n">
        <v>46103</v>
      </c>
      <c r="D777" t="inlineStr">
        <is>
          <t>SÖDERMANLANDS LÄN</t>
        </is>
      </c>
      <c r="E777" t="inlineStr">
        <is>
          <t>KATRINEHOLM</t>
        </is>
      </c>
      <c r="G777" t="n">
        <v>3.8</v>
      </c>
      <c r="H777" t="n">
        <v>0</v>
      </c>
      <c r="I777" t="n">
        <v>0</v>
      </c>
      <c r="J777" t="n">
        <v>0</v>
      </c>
      <c r="K777" t="n">
        <v>0</v>
      </c>
      <c r="L777" t="n">
        <v>0</v>
      </c>
      <c r="M777" t="n">
        <v>0</v>
      </c>
      <c r="N777" t="n">
        <v>0</v>
      </c>
      <c r="O777" t="n">
        <v>0</v>
      </c>
      <c r="P777" t="n">
        <v>0</v>
      </c>
      <c r="Q777" t="n">
        <v>0</v>
      </c>
      <c r="R777" s="2" t="inlineStr"/>
    </row>
    <row r="778" ht="15" customHeight="1">
      <c r="A778" t="inlineStr">
        <is>
          <t>A 1091-2025</t>
        </is>
      </c>
      <c r="B778" s="1" t="n">
        <v>45666</v>
      </c>
      <c r="C778" s="1" t="n">
        <v>46103</v>
      </c>
      <c r="D778" t="inlineStr">
        <is>
          <t>SÖDERMANLANDS LÄN</t>
        </is>
      </c>
      <c r="E778" t="inlineStr">
        <is>
          <t>KATRINEHOLM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39010-2021</t>
        </is>
      </c>
      <c r="B779" s="1" t="n">
        <v>44412</v>
      </c>
      <c r="C779" s="1" t="n">
        <v>46103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6311-2025</t>
        </is>
      </c>
      <c r="B780" s="1" t="n">
        <v>45698</v>
      </c>
      <c r="C780" s="1" t="n">
        <v>46103</v>
      </c>
      <c r="D780" t="inlineStr">
        <is>
          <t>SÖDERMANLANDS LÄN</t>
        </is>
      </c>
      <c r="E780" t="inlineStr">
        <is>
          <t>KATRINEHOLM</t>
        </is>
      </c>
      <c r="G780" t="n">
        <v>0.3</v>
      </c>
      <c r="H780" t="n">
        <v>0</v>
      </c>
      <c r="I780" t="n">
        <v>0</v>
      </c>
      <c r="J780" t="n">
        <v>0</v>
      </c>
      <c r="K780" t="n">
        <v>0</v>
      </c>
      <c r="L780" t="n">
        <v>0</v>
      </c>
      <c r="M780" t="n">
        <v>0</v>
      </c>
      <c r="N780" t="n">
        <v>0</v>
      </c>
      <c r="O780" t="n">
        <v>0</v>
      </c>
      <c r="P780" t="n">
        <v>0</v>
      </c>
      <c r="Q780" t="n">
        <v>0</v>
      </c>
      <c r="R780" s="2" t="inlineStr"/>
    </row>
    <row r="781" ht="15" customHeight="1">
      <c r="A781" t="inlineStr">
        <is>
          <t>A 22113-2025</t>
        </is>
      </c>
      <c r="B781" s="1" t="n">
        <v>45785</v>
      </c>
      <c r="C781" s="1" t="n">
        <v>46103</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c r="A782" t="inlineStr">
        <is>
          <t>A 22119-2025</t>
        </is>
      </c>
      <c r="B782" s="1" t="n">
        <v>45785</v>
      </c>
      <c r="C782" s="1" t="n">
        <v>46103</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2026-03-22T11:35:42Z</dcterms:created>
  <dcterms:modified xmlns:dcterms="http://purl.org/dc/terms/" xmlns:xsi="http://www.w3.org/2001/XMLSchema-instance" xsi:type="dcterms:W3CDTF">2026-03-22T11:35:42Z</dcterms:modified>
</cp:coreProperties>
</file>