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46109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46109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46109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46109</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46109</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46109</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46109</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46109</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13873-2026</t>
        </is>
      </c>
      <c r="B23" s="1" t="n">
        <v>46098.42672453704</v>
      </c>
      <c r="C23" s="1" t="n">
        <v>46109</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70501-2021</t>
        </is>
      </c>
      <c r="B24" s="1" t="n">
        <v>44536</v>
      </c>
      <c r="C24" s="1" t="n">
        <v>46109</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46109</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1150-2025</t>
        </is>
      </c>
      <c r="B26" s="1" t="n">
        <v>45666</v>
      </c>
      <c r="C26" s="1" t="n">
        <v>46109</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46109</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65184-2021</t>
        </is>
      </c>
      <c r="B28" s="1" t="n">
        <v>44512</v>
      </c>
      <c r="C28" s="1" t="n">
        <v>46109</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46109</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46109</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46109</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46109</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22474-2025</t>
        </is>
      </c>
      <c r="B33" s="1" t="n">
        <v>45786.62152777778</v>
      </c>
      <c r="C33" s="1" t="n">
        <v>46109</v>
      </c>
      <c r="D33" t="inlineStr">
        <is>
          <t>SÖDERMANLANDS LÄN</t>
        </is>
      </c>
      <c r="E33" t="inlineStr">
        <is>
          <t>KATRINEHOLM</t>
        </is>
      </c>
      <c r="F33" t="inlineStr">
        <is>
          <t>Övriga Aktiebolag</t>
        </is>
      </c>
      <c r="G33" t="n">
        <v>7.6</v>
      </c>
      <c r="H33" t="n">
        <v>1</v>
      </c>
      <c r="I33" t="n">
        <v>0</v>
      </c>
      <c r="J33" t="n">
        <v>0</v>
      </c>
      <c r="K33" t="n">
        <v>0</v>
      </c>
      <c r="L33" t="n">
        <v>0</v>
      </c>
      <c r="M33" t="n">
        <v>0</v>
      </c>
      <c r="N33" t="n">
        <v>0</v>
      </c>
      <c r="O33" t="n">
        <v>0</v>
      </c>
      <c r="P33" t="n">
        <v>0</v>
      </c>
      <c r="Q33" t="n">
        <v>1</v>
      </c>
      <c r="R33" s="2" t="inlineStr">
        <is>
          <t>Mattlummer</t>
        </is>
      </c>
      <c r="S33">
        <f>HYPERLINK("https://klasma.github.io/Logging_0483/artfynd/A 22474-2025 artfynd.xlsx", "A 22474-2025")</f>
        <v/>
      </c>
      <c r="T33">
        <f>HYPERLINK("https://klasma.github.io/Logging_0483/kartor/A 22474-2025 karta.png", "A 22474-2025")</f>
        <v/>
      </c>
      <c r="V33">
        <f>HYPERLINK("https://klasma.github.io/Logging_0483/klagomål/A 22474-2025 FSC-klagomål.docx", "A 22474-2025")</f>
        <v/>
      </c>
      <c r="W33">
        <f>HYPERLINK("https://klasma.github.io/Logging_0483/klagomålsmail/A 22474-2025 FSC-klagomål mail.docx", "A 22474-2025")</f>
        <v/>
      </c>
      <c r="X33">
        <f>HYPERLINK("https://klasma.github.io/Logging_0483/tillsyn/A 22474-2025 tillsynsbegäran.docx", "A 22474-2025")</f>
        <v/>
      </c>
      <c r="Y33">
        <f>HYPERLINK("https://klasma.github.io/Logging_0483/tillsynsmail/A 22474-2025 tillsynsbegäran mail.docx", "A 22474-2025")</f>
        <v/>
      </c>
    </row>
    <row r="34" ht="15" customHeight="1">
      <c r="A34" t="inlineStr">
        <is>
          <t>A 11890-2023</t>
        </is>
      </c>
      <c r="B34" s="1" t="n">
        <v>44995</v>
      </c>
      <c r="C34" s="1" t="n">
        <v>46109</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56074-2022</t>
        </is>
      </c>
      <c r="B35" s="1" t="n">
        <v>44889</v>
      </c>
      <c r="C35" s="1" t="n">
        <v>46109</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42055-2025</t>
        </is>
      </c>
      <c r="B36" s="1" t="n">
        <v>45903</v>
      </c>
      <c r="C36" s="1" t="n">
        <v>46109</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63946-2025</t>
        </is>
      </c>
      <c r="B37" s="1" t="n">
        <v>46010</v>
      </c>
      <c r="C37" s="1" t="n">
        <v>46109</v>
      </c>
      <c r="D37" t="inlineStr">
        <is>
          <t>SÖDERMANLANDS LÄN</t>
        </is>
      </c>
      <c r="E37" t="inlineStr">
        <is>
          <t>KATRINEHOLM</t>
        </is>
      </c>
      <c r="F37" t="inlineStr">
        <is>
          <t>Allmännings- och besparingsskogar</t>
        </is>
      </c>
      <c r="G37" t="n">
        <v>2.4</v>
      </c>
      <c r="H37" t="n">
        <v>0</v>
      </c>
      <c r="I37" t="n">
        <v>0</v>
      </c>
      <c r="J37" t="n">
        <v>1</v>
      </c>
      <c r="K37" t="n">
        <v>0</v>
      </c>
      <c r="L37" t="n">
        <v>0</v>
      </c>
      <c r="M37" t="n">
        <v>0</v>
      </c>
      <c r="N37" t="n">
        <v>0</v>
      </c>
      <c r="O37" t="n">
        <v>1</v>
      </c>
      <c r="P37" t="n">
        <v>0</v>
      </c>
      <c r="Q37" t="n">
        <v>1</v>
      </c>
      <c r="R37" s="2" t="inlineStr">
        <is>
          <t>Tallticka</t>
        </is>
      </c>
      <c r="S37">
        <f>HYPERLINK("https://klasma.github.io/Logging_0483/artfynd/A 63946-2025 artfynd.xlsx", "A 63946-2025")</f>
        <v/>
      </c>
      <c r="T37">
        <f>HYPERLINK("https://klasma.github.io/Logging_0483/kartor/A 63946-2025 karta.png", "A 63946-2025")</f>
        <v/>
      </c>
      <c r="V37">
        <f>HYPERLINK("https://klasma.github.io/Logging_0483/klagomål/A 63946-2025 FSC-klagomål.docx", "A 63946-2025")</f>
        <v/>
      </c>
      <c r="W37">
        <f>HYPERLINK("https://klasma.github.io/Logging_0483/klagomålsmail/A 63946-2025 FSC-klagomål mail.docx", "A 63946-2025")</f>
        <v/>
      </c>
      <c r="X37">
        <f>HYPERLINK("https://klasma.github.io/Logging_0483/tillsyn/A 63946-2025 tillsynsbegäran.docx", "A 63946-2025")</f>
        <v/>
      </c>
      <c r="Y37">
        <f>HYPERLINK("https://klasma.github.io/Logging_0483/tillsynsmail/A 63946-2025 tillsynsbegäran mail.docx", "A 63946-2025")</f>
        <v/>
      </c>
    </row>
    <row r="38" ht="15" customHeight="1">
      <c r="A38" t="inlineStr">
        <is>
          <t>A 62957-2025</t>
        </is>
      </c>
      <c r="B38" s="1" t="n">
        <v>46009</v>
      </c>
      <c r="C38" s="1" t="n">
        <v>46109</v>
      </c>
      <c r="D38" t="inlineStr">
        <is>
          <t>SÖDERMANLANDS LÄN</t>
        </is>
      </c>
      <c r="E38" t="inlineStr">
        <is>
          <t>KATRINEHOLM</t>
        </is>
      </c>
      <c r="F38" t="inlineStr">
        <is>
          <t>Allmännings- och besparingsskogar</t>
        </is>
      </c>
      <c r="G38" t="n">
        <v>1.7</v>
      </c>
      <c r="H38" t="n">
        <v>1</v>
      </c>
      <c r="I38" t="n">
        <v>0</v>
      </c>
      <c r="J38" t="n">
        <v>1</v>
      </c>
      <c r="K38" t="n">
        <v>0</v>
      </c>
      <c r="L38" t="n">
        <v>0</v>
      </c>
      <c r="M38" t="n">
        <v>0</v>
      </c>
      <c r="N38" t="n">
        <v>0</v>
      </c>
      <c r="O38" t="n">
        <v>1</v>
      </c>
      <c r="P38" t="n">
        <v>0</v>
      </c>
      <c r="Q38" t="n">
        <v>1</v>
      </c>
      <c r="R38" s="2" t="inlineStr">
        <is>
          <t>Utter</t>
        </is>
      </c>
      <c r="S38">
        <f>HYPERLINK("https://klasma.github.io/Logging_0483/artfynd/A 62957-2025 artfynd.xlsx", "A 62957-2025")</f>
        <v/>
      </c>
      <c r="T38">
        <f>HYPERLINK("https://klasma.github.io/Logging_0483/kartor/A 62957-2025 karta.png", "A 62957-2025")</f>
        <v/>
      </c>
      <c r="V38">
        <f>HYPERLINK("https://klasma.github.io/Logging_0483/klagomål/A 62957-2025 FSC-klagomål.docx", "A 62957-2025")</f>
        <v/>
      </c>
      <c r="W38">
        <f>HYPERLINK("https://klasma.github.io/Logging_0483/klagomålsmail/A 62957-2025 FSC-klagomål mail.docx", "A 62957-2025")</f>
        <v/>
      </c>
      <c r="X38">
        <f>HYPERLINK("https://klasma.github.io/Logging_0483/tillsyn/A 62957-2025 tillsynsbegäran.docx", "A 62957-2025")</f>
        <v/>
      </c>
      <c r="Y38">
        <f>HYPERLINK("https://klasma.github.io/Logging_0483/tillsynsmail/A 62957-2025 tillsynsbegäran mail.docx", "A 62957-2025")</f>
        <v/>
      </c>
    </row>
    <row r="39" ht="15" customHeight="1">
      <c r="A39" t="inlineStr">
        <is>
          <t>A 8917-2024</t>
        </is>
      </c>
      <c r="B39" s="1" t="n">
        <v>45357.37618055556</v>
      </c>
      <c r="C39" s="1" t="n">
        <v>46109</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46109</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46109</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46109</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1260-2026</t>
        </is>
      </c>
      <c r="B43" s="1" t="n">
        <v>46031.45652777778</v>
      </c>
      <c r="C43" s="1" t="n">
        <v>46109</v>
      </c>
      <c r="D43" t="inlineStr">
        <is>
          <t>SÖDERMANLANDS LÄN</t>
        </is>
      </c>
      <c r="E43" t="inlineStr">
        <is>
          <t>KATRINEHOLM</t>
        </is>
      </c>
      <c r="G43" t="n">
        <v>9.1</v>
      </c>
      <c r="H43" t="n">
        <v>1</v>
      </c>
      <c r="I43" t="n">
        <v>0</v>
      </c>
      <c r="J43" t="n">
        <v>1</v>
      </c>
      <c r="K43" t="n">
        <v>0</v>
      </c>
      <c r="L43" t="n">
        <v>0</v>
      </c>
      <c r="M43" t="n">
        <v>0</v>
      </c>
      <c r="N43" t="n">
        <v>0</v>
      </c>
      <c r="O43" t="n">
        <v>1</v>
      </c>
      <c r="P43" t="n">
        <v>0</v>
      </c>
      <c r="Q43" t="n">
        <v>1</v>
      </c>
      <c r="R43" s="2" t="inlineStr">
        <is>
          <t>Spillkråka</t>
        </is>
      </c>
      <c r="S43">
        <f>HYPERLINK("https://klasma.github.io/Logging_0483/artfynd/A 1260-2026 artfynd.xlsx", "A 1260-2026")</f>
        <v/>
      </c>
      <c r="T43">
        <f>HYPERLINK("https://klasma.github.io/Logging_0483/kartor/A 1260-2026 karta.png", "A 1260-2026")</f>
        <v/>
      </c>
      <c r="V43">
        <f>HYPERLINK("https://klasma.github.io/Logging_0483/klagomål/A 1260-2026 FSC-klagomål.docx", "A 1260-2026")</f>
        <v/>
      </c>
      <c r="W43">
        <f>HYPERLINK("https://klasma.github.io/Logging_0483/klagomålsmail/A 1260-2026 FSC-klagomål mail.docx", "A 1260-2026")</f>
        <v/>
      </c>
      <c r="X43">
        <f>HYPERLINK("https://klasma.github.io/Logging_0483/tillsyn/A 1260-2026 tillsynsbegäran.docx", "A 1260-2026")</f>
        <v/>
      </c>
      <c r="Y43">
        <f>HYPERLINK("https://klasma.github.io/Logging_0483/tillsynsmail/A 1260-2026 tillsynsbegäran mail.docx", "A 1260-2026")</f>
        <v/>
      </c>
      <c r="Z43">
        <f>HYPERLINK("https://klasma.github.io/Logging_0483/fåglar/A 1260-2026 prioriterade fågelarter.docx", "A 1260-2026")</f>
        <v/>
      </c>
    </row>
    <row r="44" ht="15" customHeight="1">
      <c r="A44" t="inlineStr">
        <is>
          <t>A 48199-2025</t>
        </is>
      </c>
      <c r="B44" s="1" t="n">
        <v>45933.47856481482</v>
      </c>
      <c r="C44" s="1" t="n">
        <v>46109</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27926-2025</t>
        </is>
      </c>
      <c r="B45" s="1" t="n">
        <v>45814</v>
      </c>
      <c r="C45" s="1" t="n">
        <v>46109</v>
      </c>
      <c r="D45" t="inlineStr">
        <is>
          <t>SÖDERMANLANDS LÄN</t>
        </is>
      </c>
      <c r="E45" t="inlineStr">
        <is>
          <t>KATRINEHOLM</t>
        </is>
      </c>
      <c r="F45" t="inlineStr">
        <is>
          <t>Allmännings- och besparingsskogar</t>
        </is>
      </c>
      <c r="G45" t="n">
        <v>10.7</v>
      </c>
      <c r="H45" t="n">
        <v>1</v>
      </c>
      <c r="I45" t="n">
        <v>0</v>
      </c>
      <c r="J45" t="n">
        <v>0</v>
      </c>
      <c r="K45" t="n">
        <v>0</v>
      </c>
      <c r="L45" t="n">
        <v>0</v>
      </c>
      <c r="M45" t="n">
        <v>0</v>
      </c>
      <c r="N45" t="n">
        <v>0</v>
      </c>
      <c r="O45" t="n">
        <v>0</v>
      </c>
      <c r="P45" t="n">
        <v>0</v>
      </c>
      <c r="Q45" t="n">
        <v>1</v>
      </c>
      <c r="R45" s="2" t="inlineStr">
        <is>
          <t>Revlummer</t>
        </is>
      </c>
      <c r="S45">
        <f>HYPERLINK("https://klasma.github.io/Logging_0483/artfynd/A 27926-2025 artfynd.xlsx", "A 27926-2025")</f>
        <v/>
      </c>
      <c r="T45">
        <f>HYPERLINK("https://klasma.github.io/Logging_0483/kartor/A 27926-2025 karta.png", "A 27926-2025")</f>
        <v/>
      </c>
      <c r="V45">
        <f>HYPERLINK("https://klasma.github.io/Logging_0483/klagomål/A 27926-2025 FSC-klagomål.docx", "A 27926-2025")</f>
        <v/>
      </c>
      <c r="W45">
        <f>HYPERLINK("https://klasma.github.io/Logging_0483/klagomålsmail/A 27926-2025 FSC-klagomål mail.docx", "A 27926-2025")</f>
        <v/>
      </c>
      <c r="X45">
        <f>HYPERLINK("https://klasma.github.io/Logging_0483/tillsyn/A 27926-2025 tillsynsbegäran.docx", "A 27926-2025")</f>
        <v/>
      </c>
      <c r="Y45">
        <f>HYPERLINK("https://klasma.github.io/Logging_0483/tillsynsmail/A 27926-2025 tillsynsbegäran mail.docx", "A 27926-2025")</f>
        <v/>
      </c>
    </row>
    <row r="46" ht="15" customHeight="1">
      <c r="A46" t="inlineStr">
        <is>
          <t>A 57519-2021</t>
        </is>
      </c>
      <c r="B46" s="1" t="n">
        <v>44483</v>
      </c>
      <c r="C46" s="1" t="n">
        <v>46109</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46109</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46109</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55700-2025</t>
        </is>
      </c>
      <c r="B49" s="1" t="n">
        <v>45972.45605324074</v>
      </c>
      <c r="C49" s="1" t="n">
        <v>46109</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35163-2025</t>
        </is>
      </c>
      <c r="B50" s="1" t="n">
        <v>45852.71136574074</v>
      </c>
      <c r="C50" s="1" t="n">
        <v>46109</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33801-2023</t>
        </is>
      </c>
      <c r="B51" s="1" t="n">
        <v>45133</v>
      </c>
      <c r="C51" s="1" t="n">
        <v>46109</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36220-2022</t>
        </is>
      </c>
      <c r="B52" s="1" t="n">
        <v>44803</v>
      </c>
      <c r="C52" s="1" t="n">
        <v>46109</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45530-2023</t>
        </is>
      </c>
      <c r="B53" s="1" t="n">
        <v>45188</v>
      </c>
      <c r="C53" s="1" t="n">
        <v>46109</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7305-2024</t>
        </is>
      </c>
      <c r="B54" s="1" t="n">
        <v>45344</v>
      </c>
      <c r="C54" s="1" t="n">
        <v>46109</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46109</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46109</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46109</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46109</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46109</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46109</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46109</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46109</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36856-2021</t>
        </is>
      </c>
      <c r="B63" s="1" t="n">
        <v>44393</v>
      </c>
      <c r="C63" s="1" t="n">
        <v>46109</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46109</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46109</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46109</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46109</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46109</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46109</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46109</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46109</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46109</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46109</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46109</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46109</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46109</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46109</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46109</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46109</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46109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46109</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46109</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46109</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46109</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46109</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46109</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46109</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46109</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46109</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46109</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46109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46109</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46109</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46109</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46109</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46109</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46109</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46109</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46109</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46109</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46109</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46109</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46109</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46109</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46109</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46109</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46109</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46109</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46109</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46109</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46109</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46109</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46109</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46109</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46109</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46109</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46109</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46109</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46109</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46109</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46109</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46109</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46109</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46109</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46109</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46109</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46109</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46109</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46109</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46109</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46109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46109</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46109</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46109</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46109</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46109</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46109</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46109</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46109</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46109</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46109</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46109</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46109</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46109</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46109</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46109</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46109</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46109</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46109</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46109</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46109</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46109</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46109</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46109</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46109</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46109</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46109</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46109</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46109</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46109</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46109</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46109</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46109</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46109</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46109</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46109</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46109</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46109</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46109</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46109</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46109</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46109</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46109</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46109</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46109</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46109</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46109</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46109</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46109</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46109</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46109</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46109</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46109</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58473-2021</t>
        </is>
      </c>
      <c r="B185" s="1" t="n">
        <v>44488</v>
      </c>
      <c r="C185" s="1" t="n">
        <v>46109</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46109</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20949-2021</t>
        </is>
      </c>
      <c r="B187" s="1" t="n">
        <v>44319</v>
      </c>
      <c r="C187" s="1" t="n">
        <v>46109</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35188-2022</t>
        </is>
      </c>
      <c r="B188" s="1" t="n">
        <v>44797</v>
      </c>
      <c r="C188" s="1" t="n">
        <v>46109</v>
      </c>
      <c r="D188" t="inlineStr">
        <is>
          <t>SÖDERMANLANDS LÄN</t>
        </is>
      </c>
      <c r="E188" t="inlineStr">
        <is>
          <t>KATRINEHOLM</t>
        </is>
      </c>
      <c r="G188" t="n">
        <v>3</v>
      </c>
      <c r="H188" t="n">
        <v>0</v>
      </c>
      <c r="I188" t="n">
        <v>0</v>
      </c>
      <c r="J188" t="n">
        <v>0</v>
      </c>
      <c r="K188" t="n">
        <v>0</v>
      </c>
      <c r="L188" t="n">
        <v>0</v>
      </c>
      <c r="M188" t="n">
        <v>0</v>
      </c>
      <c r="N188" t="n">
        <v>0</v>
      </c>
      <c r="O188" t="n">
        <v>0</v>
      </c>
      <c r="P188" t="n">
        <v>0</v>
      </c>
      <c r="Q188" t="n">
        <v>0</v>
      </c>
      <c r="R188" s="2" t="inlineStr"/>
    </row>
    <row r="189" ht="15" customHeight="1">
      <c r="A189" t="inlineStr">
        <is>
          <t>A 6091-2025</t>
        </is>
      </c>
      <c r="B189" s="1" t="n">
        <v>45697</v>
      </c>
      <c r="C189" s="1" t="n">
        <v>46109</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6093-2025</t>
        </is>
      </c>
      <c r="B190" s="1" t="n">
        <v>45697</v>
      </c>
      <c r="C190" s="1" t="n">
        <v>46109</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41966-2023</t>
        </is>
      </c>
      <c r="B191" s="1" t="n">
        <v>45177</v>
      </c>
      <c r="C191" s="1" t="n">
        <v>46109</v>
      </c>
      <c r="D191" t="inlineStr">
        <is>
          <t>SÖDERMANLANDS LÄN</t>
        </is>
      </c>
      <c r="E191" t="inlineStr">
        <is>
          <t>KATRINEHOLM</t>
        </is>
      </c>
      <c r="G191" t="n">
        <v>36.9</v>
      </c>
      <c r="H191" t="n">
        <v>0</v>
      </c>
      <c r="I191" t="n">
        <v>0</v>
      </c>
      <c r="J191" t="n">
        <v>0</v>
      </c>
      <c r="K191" t="n">
        <v>0</v>
      </c>
      <c r="L191" t="n">
        <v>0</v>
      </c>
      <c r="M191" t="n">
        <v>0</v>
      </c>
      <c r="N191" t="n">
        <v>0</v>
      </c>
      <c r="O191" t="n">
        <v>0</v>
      </c>
      <c r="P191" t="n">
        <v>0</v>
      </c>
      <c r="Q191" t="n">
        <v>0</v>
      </c>
      <c r="R191" s="2" t="inlineStr"/>
    </row>
    <row r="192" ht="15" customHeight="1">
      <c r="A192" t="inlineStr">
        <is>
          <t>A 36210-2022</t>
        </is>
      </c>
      <c r="B192" s="1" t="n">
        <v>44803.47950231482</v>
      </c>
      <c r="C192" s="1" t="n">
        <v>46109</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48682-2022</t>
        </is>
      </c>
      <c r="B193" s="1" t="n">
        <v>44859</v>
      </c>
      <c r="C193" s="1" t="n">
        <v>46109</v>
      </c>
      <c r="D193" t="inlineStr">
        <is>
          <t>SÖDERMANLANDS LÄN</t>
        </is>
      </c>
      <c r="E193" t="inlineStr">
        <is>
          <t>KATRINEHOLM</t>
        </is>
      </c>
      <c r="G193" t="n">
        <v>2</v>
      </c>
      <c r="H193" t="n">
        <v>0</v>
      </c>
      <c r="I193" t="n">
        <v>0</v>
      </c>
      <c r="J193" t="n">
        <v>0</v>
      </c>
      <c r="K193" t="n">
        <v>0</v>
      </c>
      <c r="L193" t="n">
        <v>0</v>
      </c>
      <c r="M193" t="n">
        <v>0</v>
      </c>
      <c r="N193" t="n">
        <v>0</v>
      </c>
      <c r="O193" t="n">
        <v>0</v>
      </c>
      <c r="P193" t="n">
        <v>0</v>
      </c>
      <c r="Q193" t="n">
        <v>0</v>
      </c>
      <c r="R193" s="2" t="inlineStr"/>
    </row>
    <row r="194" ht="15" customHeight="1">
      <c r="A194" t="inlineStr">
        <is>
          <t>A 3090-2025</t>
        </is>
      </c>
      <c r="B194" s="1" t="n">
        <v>45678</v>
      </c>
      <c r="C194" s="1" t="n">
        <v>46109</v>
      </c>
      <c r="D194" t="inlineStr">
        <is>
          <t>SÖDERMANLANDS LÄN</t>
        </is>
      </c>
      <c r="E194" t="inlineStr">
        <is>
          <t>KATRINEHOLM</t>
        </is>
      </c>
      <c r="F194" t="inlineStr">
        <is>
          <t>Kyrkan</t>
        </is>
      </c>
      <c r="G194" t="n">
        <v>6.9</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46109</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9693-2024</t>
        </is>
      </c>
      <c r="B196" s="1" t="n">
        <v>45362</v>
      </c>
      <c r="C196" s="1" t="n">
        <v>46109</v>
      </c>
      <c r="D196" t="inlineStr">
        <is>
          <t>SÖDERMANLANDS LÄN</t>
        </is>
      </c>
      <c r="E196" t="inlineStr">
        <is>
          <t>KATRINEHOLM</t>
        </is>
      </c>
      <c r="G196" t="n">
        <v>5.9</v>
      </c>
      <c r="H196" t="n">
        <v>0</v>
      </c>
      <c r="I196" t="n">
        <v>0</v>
      </c>
      <c r="J196" t="n">
        <v>0</v>
      </c>
      <c r="K196" t="n">
        <v>0</v>
      </c>
      <c r="L196" t="n">
        <v>0</v>
      </c>
      <c r="M196" t="n">
        <v>0</v>
      </c>
      <c r="N196" t="n">
        <v>0</v>
      </c>
      <c r="O196" t="n">
        <v>0</v>
      </c>
      <c r="P196" t="n">
        <v>0</v>
      </c>
      <c r="Q196" t="n">
        <v>0</v>
      </c>
      <c r="R196" s="2" t="inlineStr"/>
    </row>
    <row r="197" ht="15" customHeight="1">
      <c r="A197" t="inlineStr">
        <is>
          <t>A 43964-2022</t>
        </is>
      </c>
      <c r="B197" s="1" t="n">
        <v>44837</v>
      </c>
      <c r="C197" s="1" t="n">
        <v>46109</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17246-2024</t>
        </is>
      </c>
      <c r="B198" s="1" t="n">
        <v>45414</v>
      </c>
      <c r="C198" s="1" t="n">
        <v>46109</v>
      </c>
      <c r="D198" t="inlineStr">
        <is>
          <t>SÖDERMANLANDS LÄN</t>
        </is>
      </c>
      <c r="E198" t="inlineStr">
        <is>
          <t>KATRINEHOLM</t>
        </is>
      </c>
      <c r="F198" t="inlineStr">
        <is>
          <t>Allmännings- och besparingsskogar</t>
        </is>
      </c>
      <c r="G198" t="n">
        <v>13.7</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46109</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46109</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55846-2022</t>
        </is>
      </c>
      <c r="B201" s="1" t="n">
        <v>44888</v>
      </c>
      <c r="C201" s="1" t="n">
        <v>46109</v>
      </c>
      <c r="D201" t="inlineStr">
        <is>
          <t>SÖDERMANLANDS LÄN</t>
        </is>
      </c>
      <c r="E201" t="inlineStr">
        <is>
          <t>KATRINEHOLM</t>
        </is>
      </c>
      <c r="G201" t="n">
        <v>6.5</v>
      </c>
      <c r="H201" t="n">
        <v>0</v>
      </c>
      <c r="I201" t="n">
        <v>0</v>
      </c>
      <c r="J201" t="n">
        <v>0</v>
      </c>
      <c r="K201" t="n">
        <v>0</v>
      </c>
      <c r="L201" t="n">
        <v>0</v>
      </c>
      <c r="M201" t="n">
        <v>0</v>
      </c>
      <c r="N201" t="n">
        <v>0</v>
      </c>
      <c r="O201" t="n">
        <v>0</v>
      </c>
      <c r="P201" t="n">
        <v>0</v>
      </c>
      <c r="Q201" t="n">
        <v>0</v>
      </c>
      <c r="R201" s="2" t="inlineStr"/>
    </row>
    <row r="202" ht="15" customHeight="1">
      <c r="A202" t="inlineStr">
        <is>
          <t>A 20460-2025</t>
        </is>
      </c>
      <c r="B202" s="1" t="n">
        <v>45775.52854166667</v>
      </c>
      <c r="C202" s="1" t="n">
        <v>46109</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53722-2023</t>
        </is>
      </c>
      <c r="B203" s="1" t="n">
        <v>45230</v>
      </c>
      <c r="C203" s="1" t="n">
        <v>46109</v>
      </c>
      <c r="D203" t="inlineStr">
        <is>
          <t>SÖDERMANLANDS LÄN</t>
        </is>
      </c>
      <c r="E203" t="inlineStr">
        <is>
          <t>KATRINEHOLM</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55863-2022</t>
        </is>
      </c>
      <c r="B204" s="1" t="n">
        <v>44888</v>
      </c>
      <c r="C204" s="1" t="n">
        <v>46109</v>
      </c>
      <c r="D204" t="inlineStr">
        <is>
          <t>SÖDERMANLANDS LÄN</t>
        </is>
      </c>
      <c r="E204" t="inlineStr">
        <is>
          <t>KATRINEHOLM</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55865-2022</t>
        </is>
      </c>
      <c r="B205" s="1" t="n">
        <v>44888</v>
      </c>
      <c r="C205" s="1" t="n">
        <v>46109</v>
      </c>
      <c r="D205" t="inlineStr">
        <is>
          <t>SÖDERMANLANDS LÄN</t>
        </is>
      </c>
      <c r="E205" t="inlineStr">
        <is>
          <t>KATRINEHOLM</t>
        </is>
      </c>
      <c r="G205" t="n">
        <v>9.1</v>
      </c>
      <c r="H205" t="n">
        <v>0</v>
      </c>
      <c r="I205" t="n">
        <v>0</v>
      </c>
      <c r="J205" t="n">
        <v>0</v>
      </c>
      <c r="K205" t="n">
        <v>0</v>
      </c>
      <c r="L205" t="n">
        <v>0</v>
      </c>
      <c r="M205" t="n">
        <v>0</v>
      </c>
      <c r="N205" t="n">
        <v>0</v>
      </c>
      <c r="O205" t="n">
        <v>0</v>
      </c>
      <c r="P205" t="n">
        <v>0</v>
      </c>
      <c r="Q205" t="n">
        <v>0</v>
      </c>
      <c r="R205" s="2" t="inlineStr"/>
    </row>
    <row r="206" ht="15" customHeight="1">
      <c r="A206" t="inlineStr">
        <is>
          <t>A 32943-2024</t>
        </is>
      </c>
      <c r="B206" s="1" t="n">
        <v>45517</v>
      </c>
      <c r="C206" s="1" t="n">
        <v>46109</v>
      </c>
      <c r="D206" t="inlineStr">
        <is>
          <t>SÖDERMANLANDS LÄN</t>
        </is>
      </c>
      <c r="E206" t="inlineStr">
        <is>
          <t>KATRINEHOLM</t>
        </is>
      </c>
      <c r="G206" t="n">
        <v>1.8</v>
      </c>
      <c r="H206" t="n">
        <v>0</v>
      </c>
      <c r="I206" t="n">
        <v>0</v>
      </c>
      <c r="J206" t="n">
        <v>0</v>
      </c>
      <c r="K206" t="n">
        <v>0</v>
      </c>
      <c r="L206" t="n">
        <v>0</v>
      </c>
      <c r="M206" t="n">
        <v>0</v>
      </c>
      <c r="N206" t="n">
        <v>0</v>
      </c>
      <c r="O206" t="n">
        <v>0</v>
      </c>
      <c r="P206" t="n">
        <v>0</v>
      </c>
      <c r="Q206" t="n">
        <v>0</v>
      </c>
      <c r="R206" s="2" t="inlineStr"/>
    </row>
    <row r="207" ht="15" customHeight="1">
      <c r="A207" t="inlineStr">
        <is>
          <t>A 48520-2023</t>
        </is>
      </c>
      <c r="B207" s="1" t="n">
        <v>45208</v>
      </c>
      <c r="C207" s="1" t="n">
        <v>46109</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44481.24327546296</v>
      </c>
      <c r="C208" s="1" t="n">
        <v>46109</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28394-2023</t>
        </is>
      </c>
      <c r="B209" s="1" t="n">
        <v>45100</v>
      </c>
      <c r="C209" s="1" t="n">
        <v>46109</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4122-2023</t>
        </is>
      </c>
      <c r="B210" s="1" t="n">
        <v>44952</v>
      </c>
      <c r="C210" s="1" t="n">
        <v>46109</v>
      </c>
      <c r="D210" t="inlineStr">
        <is>
          <t>SÖDERMANLANDS LÄN</t>
        </is>
      </c>
      <c r="E210" t="inlineStr">
        <is>
          <t>KATRINEHOLM</t>
        </is>
      </c>
      <c r="G210" t="n">
        <v>9</v>
      </c>
      <c r="H210" t="n">
        <v>0</v>
      </c>
      <c r="I210" t="n">
        <v>0</v>
      </c>
      <c r="J210" t="n">
        <v>0</v>
      </c>
      <c r="K210" t="n">
        <v>0</v>
      </c>
      <c r="L210" t="n">
        <v>0</v>
      </c>
      <c r="M210" t="n">
        <v>0</v>
      </c>
      <c r="N210" t="n">
        <v>0</v>
      </c>
      <c r="O210" t="n">
        <v>0</v>
      </c>
      <c r="P210" t="n">
        <v>0</v>
      </c>
      <c r="Q210" t="n">
        <v>0</v>
      </c>
      <c r="R210" s="2" t="inlineStr"/>
    </row>
    <row r="211" ht="15" customHeight="1">
      <c r="A211" t="inlineStr">
        <is>
          <t>A 22119-2025</t>
        </is>
      </c>
      <c r="B211" s="1" t="n">
        <v>45785</v>
      </c>
      <c r="C211" s="1" t="n">
        <v>46109</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55795-2023</t>
        </is>
      </c>
      <c r="B212" s="1" t="n">
        <v>45239.54861111111</v>
      </c>
      <c r="C212" s="1" t="n">
        <v>46109</v>
      </c>
      <c r="D212" t="inlineStr">
        <is>
          <t>SÖDERMANLANDS LÄN</t>
        </is>
      </c>
      <c r="E212" t="inlineStr">
        <is>
          <t>KATRINEHOLM</t>
        </is>
      </c>
      <c r="G212" t="n">
        <v>7</v>
      </c>
      <c r="H212" t="n">
        <v>0</v>
      </c>
      <c r="I212" t="n">
        <v>0</v>
      </c>
      <c r="J212" t="n">
        <v>0</v>
      </c>
      <c r="K212" t="n">
        <v>0</v>
      </c>
      <c r="L212" t="n">
        <v>0</v>
      </c>
      <c r="M212" t="n">
        <v>0</v>
      </c>
      <c r="N212" t="n">
        <v>0</v>
      </c>
      <c r="O212" t="n">
        <v>0</v>
      </c>
      <c r="P212" t="n">
        <v>0</v>
      </c>
      <c r="Q212" t="n">
        <v>0</v>
      </c>
      <c r="R212" s="2" t="inlineStr"/>
    </row>
    <row r="213" ht="15" customHeight="1">
      <c r="A213" t="inlineStr">
        <is>
          <t>A 56597-2025</t>
        </is>
      </c>
      <c r="B213" s="1" t="n">
        <v>45975.57271990741</v>
      </c>
      <c r="C213" s="1" t="n">
        <v>46109</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46109</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35228-2025</t>
        </is>
      </c>
      <c r="B215" s="1" t="n">
        <v>45853</v>
      </c>
      <c r="C215" s="1" t="n">
        <v>46109</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46109</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46109</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36767-2022</t>
        </is>
      </c>
      <c r="B218" s="1" t="n">
        <v>44805</v>
      </c>
      <c r="C218" s="1" t="n">
        <v>46109</v>
      </c>
      <c r="D218" t="inlineStr">
        <is>
          <t>SÖDERMANLANDS LÄN</t>
        </is>
      </c>
      <c r="E218" t="inlineStr">
        <is>
          <t>KATRINEHOLM</t>
        </is>
      </c>
      <c r="G218" t="n">
        <v>1.1</v>
      </c>
      <c r="H218" t="n">
        <v>0</v>
      </c>
      <c r="I218" t="n">
        <v>0</v>
      </c>
      <c r="J218" t="n">
        <v>0</v>
      </c>
      <c r="K218" t="n">
        <v>0</v>
      </c>
      <c r="L218" t="n">
        <v>0</v>
      </c>
      <c r="M218" t="n">
        <v>0</v>
      </c>
      <c r="N218" t="n">
        <v>0</v>
      </c>
      <c r="O218" t="n">
        <v>0</v>
      </c>
      <c r="P218" t="n">
        <v>0</v>
      </c>
      <c r="Q218" t="n">
        <v>0</v>
      </c>
      <c r="R218" s="2" t="inlineStr"/>
    </row>
    <row r="219" ht="15" customHeight="1">
      <c r="A219" t="inlineStr">
        <is>
          <t>A 33712-2022</t>
        </is>
      </c>
      <c r="B219" s="1" t="n">
        <v>44789</v>
      </c>
      <c r="C219" s="1" t="n">
        <v>46109</v>
      </c>
      <c r="D219" t="inlineStr">
        <is>
          <t>SÖDERMANLANDS LÄN</t>
        </is>
      </c>
      <c r="E219" t="inlineStr">
        <is>
          <t>KATRINEHOLM</t>
        </is>
      </c>
      <c r="G219" t="n">
        <v>4.3</v>
      </c>
      <c r="H219" t="n">
        <v>0</v>
      </c>
      <c r="I219" t="n">
        <v>0</v>
      </c>
      <c r="J219" t="n">
        <v>0</v>
      </c>
      <c r="K219" t="n">
        <v>0</v>
      </c>
      <c r="L219" t="n">
        <v>0</v>
      </c>
      <c r="M219" t="n">
        <v>0</v>
      </c>
      <c r="N219" t="n">
        <v>0</v>
      </c>
      <c r="O219" t="n">
        <v>0</v>
      </c>
      <c r="P219" t="n">
        <v>0</v>
      </c>
      <c r="Q219" t="n">
        <v>0</v>
      </c>
      <c r="R219" s="2" t="inlineStr"/>
    </row>
    <row r="220" ht="15" customHeight="1">
      <c r="A220" t="inlineStr">
        <is>
          <t>A 55034-2021</t>
        </is>
      </c>
      <c r="B220" s="1" t="n">
        <v>44474</v>
      </c>
      <c r="C220" s="1" t="n">
        <v>46109</v>
      </c>
      <c r="D220" t="inlineStr">
        <is>
          <t>SÖDERMANLANDS LÄN</t>
        </is>
      </c>
      <c r="E220" t="inlineStr">
        <is>
          <t>KATRINEHOLM</t>
        </is>
      </c>
      <c r="G220" t="n">
        <v>5</v>
      </c>
      <c r="H220" t="n">
        <v>0</v>
      </c>
      <c r="I220" t="n">
        <v>0</v>
      </c>
      <c r="J220" t="n">
        <v>0</v>
      </c>
      <c r="K220" t="n">
        <v>0</v>
      </c>
      <c r="L220" t="n">
        <v>0</v>
      </c>
      <c r="M220" t="n">
        <v>0</v>
      </c>
      <c r="N220" t="n">
        <v>0</v>
      </c>
      <c r="O220" t="n">
        <v>0</v>
      </c>
      <c r="P220" t="n">
        <v>0</v>
      </c>
      <c r="Q220" t="n">
        <v>0</v>
      </c>
      <c r="R220" s="2" t="inlineStr"/>
    </row>
    <row r="221" ht="15" customHeight="1">
      <c r="A221" t="inlineStr">
        <is>
          <t>A 33717-2022</t>
        </is>
      </c>
      <c r="B221" s="1" t="n">
        <v>44789</v>
      </c>
      <c r="C221" s="1" t="n">
        <v>46109</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22113-2025</t>
        </is>
      </c>
      <c r="B222" s="1" t="n">
        <v>45785</v>
      </c>
      <c r="C222" s="1" t="n">
        <v>46109</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57323-2025</t>
        </is>
      </c>
      <c r="B223" s="1" t="n">
        <v>45980.32501157407</v>
      </c>
      <c r="C223" s="1" t="n">
        <v>46109</v>
      </c>
      <c r="D223" t="inlineStr">
        <is>
          <t>SÖDERMANLANDS LÄN</t>
        </is>
      </c>
      <c r="E223" t="inlineStr">
        <is>
          <t>KATRINEHOLM</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46109</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45376-2022</t>
        </is>
      </c>
      <c r="B225" s="1" t="n">
        <v>44844</v>
      </c>
      <c r="C225" s="1" t="n">
        <v>46109</v>
      </c>
      <c r="D225" t="inlineStr">
        <is>
          <t>SÖDERMANLANDS LÄN</t>
        </is>
      </c>
      <c r="E225" t="inlineStr">
        <is>
          <t>KATRINEHOLM</t>
        </is>
      </c>
      <c r="G225" t="n">
        <v>4.7</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44886.65092592593</v>
      </c>
      <c r="C226" s="1" t="n">
        <v>46109</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46109</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24179-2024</t>
        </is>
      </c>
      <c r="B228" s="1" t="n">
        <v>45456.83059027778</v>
      </c>
      <c r="C228" s="1" t="n">
        <v>46109</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51264-2021</t>
        </is>
      </c>
      <c r="B229" s="1" t="n">
        <v>44461</v>
      </c>
      <c r="C229" s="1" t="n">
        <v>46109</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24983-2024</t>
        </is>
      </c>
      <c r="B230" s="1" t="n">
        <v>45461</v>
      </c>
      <c r="C230" s="1" t="n">
        <v>46109</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51128-2021</t>
        </is>
      </c>
      <c r="B231" s="1" t="n">
        <v>44460</v>
      </c>
      <c r="C231" s="1" t="n">
        <v>46109</v>
      </c>
      <c r="D231" t="inlineStr">
        <is>
          <t>SÖDERMANLANDS LÄN</t>
        </is>
      </c>
      <c r="E231" t="inlineStr">
        <is>
          <t>KATRINEHOLM</t>
        </is>
      </c>
      <c r="G231" t="n">
        <v>7.8</v>
      </c>
      <c r="H231" t="n">
        <v>0</v>
      </c>
      <c r="I231" t="n">
        <v>0</v>
      </c>
      <c r="J231" t="n">
        <v>0</v>
      </c>
      <c r="K231" t="n">
        <v>0</v>
      </c>
      <c r="L231" t="n">
        <v>0</v>
      </c>
      <c r="M231" t="n">
        <v>0</v>
      </c>
      <c r="N231" t="n">
        <v>0</v>
      </c>
      <c r="O231" t="n">
        <v>0</v>
      </c>
      <c r="P231" t="n">
        <v>0</v>
      </c>
      <c r="Q231" t="n">
        <v>0</v>
      </c>
      <c r="R231" s="2" t="inlineStr"/>
    </row>
    <row r="232" ht="15" customHeight="1">
      <c r="A232" t="inlineStr">
        <is>
          <t>A 57975-2025</t>
        </is>
      </c>
      <c r="B232" s="1" t="n">
        <v>45981</v>
      </c>
      <c r="C232" s="1" t="n">
        <v>46109</v>
      </c>
      <c r="D232" t="inlineStr">
        <is>
          <t>SÖDERMANLANDS LÄN</t>
        </is>
      </c>
      <c r="E232" t="inlineStr">
        <is>
          <t>KATRINEHOLM</t>
        </is>
      </c>
      <c r="G232" t="n">
        <v>3.1</v>
      </c>
      <c r="H232" t="n">
        <v>0</v>
      </c>
      <c r="I232" t="n">
        <v>0</v>
      </c>
      <c r="J232" t="n">
        <v>0</v>
      </c>
      <c r="K232" t="n">
        <v>0</v>
      </c>
      <c r="L232" t="n">
        <v>0</v>
      </c>
      <c r="M232" t="n">
        <v>0</v>
      </c>
      <c r="N232" t="n">
        <v>0</v>
      </c>
      <c r="O232" t="n">
        <v>0</v>
      </c>
      <c r="P232" t="n">
        <v>0</v>
      </c>
      <c r="Q232" t="n">
        <v>0</v>
      </c>
      <c r="R232" s="2" t="inlineStr"/>
    </row>
    <row r="233" ht="15" customHeight="1">
      <c r="A233" t="inlineStr">
        <is>
          <t>A 22476-2025</t>
        </is>
      </c>
      <c r="B233" s="1" t="n">
        <v>45786</v>
      </c>
      <c r="C233" s="1" t="n">
        <v>46109</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3980-2024</t>
        </is>
      </c>
      <c r="B234" s="1" t="n">
        <v>45322</v>
      </c>
      <c r="C234" s="1" t="n">
        <v>46109</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64713-2023</t>
        </is>
      </c>
      <c r="B235" s="1" t="n">
        <v>45281</v>
      </c>
      <c r="C235" s="1" t="n">
        <v>46109</v>
      </c>
      <c r="D235" t="inlineStr">
        <is>
          <t>SÖDERMANLANDS LÄN</t>
        </is>
      </c>
      <c r="E235" t="inlineStr">
        <is>
          <t>KATRINEHOLM</t>
        </is>
      </c>
      <c r="G235" t="n">
        <v>4.9</v>
      </c>
      <c r="H235" t="n">
        <v>0</v>
      </c>
      <c r="I235" t="n">
        <v>0</v>
      </c>
      <c r="J235" t="n">
        <v>0</v>
      </c>
      <c r="K235" t="n">
        <v>0</v>
      </c>
      <c r="L235" t="n">
        <v>0</v>
      </c>
      <c r="M235" t="n">
        <v>0</v>
      </c>
      <c r="N235" t="n">
        <v>0</v>
      </c>
      <c r="O235" t="n">
        <v>0</v>
      </c>
      <c r="P235" t="n">
        <v>0</v>
      </c>
      <c r="Q235" t="n">
        <v>0</v>
      </c>
      <c r="R235" s="2" t="inlineStr"/>
    </row>
    <row r="236" ht="15" customHeight="1">
      <c r="A236" t="inlineStr">
        <is>
          <t>A 22336-2025</t>
        </is>
      </c>
      <c r="B236" s="1" t="n">
        <v>45786.44217592593</v>
      </c>
      <c r="C236" s="1" t="n">
        <v>46109</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60677-2021</t>
        </is>
      </c>
      <c r="B237" s="1" t="n">
        <v>44495</v>
      </c>
      <c r="C237" s="1" t="n">
        <v>46109</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43088-2022</t>
        </is>
      </c>
      <c r="B238" s="1" t="n">
        <v>44833</v>
      </c>
      <c r="C238" s="1" t="n">
        <v>46109</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46109</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28427-2024</t>
        </is>
      </c>
      <c r="B240" s="1" t="n">
        <v>45477.64910879629</v>
      </c>
      <c r="C240" s="1" t="n">
        <v>46109</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23050-2025</t>
        </is>
      </c>
      <c r="B241" s="1" t="n">
        <v>45790.69971064815</v>
      </c>
      <c r="C241" s="1" t="n">
        <v>46109</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46109</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46109</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26081-2024</t>
        </is>
      </c>
      <c r="B244" s="1" t="n">
        <v>45462</v>
      </c>
      <c r="C244" s="1" t="n">
        <v>46109</v>
      </c>
      <c r="D244" t="inlineStr">
        <is>
          <t>SÖDERMANLANDS LÄN</t>
        </is>
      </c>
      <c r="E244" t="inlineStr">
        <is>
          <t>KATRINEHOLM</t>
        </is>
      </c>
      <c r="G244" t="n">
        <v>4.1</v>
      </c>
      <c r="H244" t="n">
        <v>0</v>
      </c>
      <c r="I244" t="n">
        <v>0</v>
      </c>
      <c r="J244" t="n">
        <v>0</v>
      </c>
      <c r="K244" t="n">
        <v>0</v>
      </c>
      <c r="L244" t="n">
        <v>0</v>
      </c>
      <c r="M244" t="n">
        <v>0</v>
      </c>
      <c r="N244" t="n">
        <v>0</v>
      </c>
      <c r="O244" t="n">
        <v>0</v>
      </c>
      <c r="P244" t="n">
        <v>0</v>
      </c>
      <c r="Q244" t="n">
        <v>0</v>
      </c>
      <c r="R244" s="2" t="inlineStr"/>
    </row>
    <row r="245" ht="15" customHeight="1">
      <c r="A245" t="inlineStr">
        <is>
          <t>A 30242-2023</t>
        </is>
      </c>
      <c r="B245" s="1" t="n">
        <v>45099</v>
      </c>
      <c r="C245" s="1" t="n">
        <v>46109</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39645-2025</t>
        </is>
      </c>
      <c r="B246" s="1" t="n">
        <v>45890</v>
      </c>
      <c r="C246" s="1" t="n">
        <v>46109</v>
      </c>
      <c r="D246" t="inlineStr">
        <is>
          <t>SÖDERMANLANDS LÄN</t>
        </is>
      </c>
      <c r="E246" t="inlineStr">
        <is>
          <t>KATRINEHOLM</t>
        </is>
      </c>
      <c r="G246" t="n">
        <v>0.2</v>
      </c>
      <c r="H246" t="n">
        <v>0</v>
      </c>
      <c r="I246" t="n">
        <v>0</v>
      </c>
      <c r="J246" t="n">
        <v>0</v>
      </c>
      <c r="K246" t="n">
        <v>0</v>
      </c>
      <c r="L246" t="n">
        <v>0</v>
      </c>
      <c r="M246" t="n">
        <v>0</v>
      </c>
      <c r="N246" t="n">
        <v>0</v>
      </c>
      <c r="O246" t="n">
        <v>0</v>
      </c>
      <c r="P246" t="n">
        <v>0</v>
      </c>
      <c r="Q246" t="n">
        <v>0</v>
      </c>
      <c r="R246" s="2" t="inlineStr"/>
    </row>
    <row r="247" ht="15" customHeight="1">
      <c r="A247" t="inlineStr">
        <is>
          <t>A 69117-2021</t>
        </is>
      </c>
      <c r="B247" s="1" t="n">
        <v>44530.82445601852</v>
      </c>
      <c r="C247" s="1" t="n">
        <v>46109</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38308-2021</t>
        </is>
      </c>
      <c r="B248" s="1" t="n">
        <v>44406</v>
      </c>
      <c r="C248" s="1" t="n">
        <v>46109</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55172-2022</t>
        </is>
      </c>
      <c r="B249" s="1" t="n">
        <v>44886</v>
      </c>
      <c r="C249" s="1" t="n">
        <v>46109</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39663-2025</t>
        </is>
      </c>
      <c r="B250" s="1" t="n">
        <v>45890</v>
      </c>
      <c r="C250" s="1" t="n">
        <v>46109</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67337-2021</t>
        </is>
      </c>
      <c r="B251" s="1" t="n">
        <v>44523</v>
      </c>
      <c r="C251" s="1" t="n">
        <v>46109</v>
      </c>
      <c r="D251" t="inlineStr">
        <is>
          <t>SÖDERMANLANDS LÄN</t>
        </is>
      </c>
      <c r="E251" t="inlineStr">
        <is>
          <t>KATRINEHOLM</t>
        </is>
      </c>
      <c r="G251" t="n">
        <v>5.2</v>
      </c>
      <c r="H251" t="n">
        <v>0</v>
      </c>
      <c r="I251" t="n">
        <v>0</v>
      </c>
      <c r="J251" t="n">
        <v>0</v>
      </c>
      <c r="K251" t="n">
        <v>0</v>
      </c>
      <c r="L251" t="n">
        <v>0</v>
      </c>
      <c r="M251" t="n">
        <v>0</v>
      </c>
      <c r="N251" t="n">
        <v>0</v>
      </c>
      <c r="O251" t="n">
        <v>0</v>
      </c>
      <c r="P251" t="n">
        <v>0</v>
      </c>
      <c r="Q251" t="n">
        <v>0</v>
      </c>
      <c r="R251" s="2" t="inlineStr"/>
    </row>
    <row r="252" ht="15" customHeight="1">
      <c r="A252" t="inlineStr">
        <is>
          <t>A 39668-2025</t>
        </is>
      </c>
      <c r="B252" s="1" t="n">
        <v>45890</v>
      </c>
      <c r="C252" s="1" t="n">
        <v>46109</v>
      </c>
      <c r="D252" t="inlineStr">
        <is>
          <t>SÖDERMANLANDS LÄN</t>
        </is>
      </c>
      <c r="E252" t="inlineStr">
        <is>
          <t>KATRINEHOLM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46109</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50032-2022</t>
        </is>
      </c>
      <c r="B254" s="1" t="n">
        <v>44860</v>
      </c>
      <c r="C254" s="1" t="n">
        <v>46109</v>
      </c>
      <c r="D254" t="inlineStr">
        <is>
          <t>SÖDERMANLANDS LÄN</t>
        </is>
      </c>
      <c r="E254" t="inlineStr">
        <is>
          <t>KATRINEHOLM</t>
        </is>
      </c>
      <c r="G254" t="n">
        <v>7.5</v>
      </c>
      <c r="H254" t="n">
        <v>0</v>
      </c>
      <c r="I254" t="n">
        <v>0</v>
      </c>
      <c r="J254" t="n">
        <v>0</v>
      </c>
      <c r="K254" t="n">
        <v>0</v>
      </c>
      <c r="L254" t="n">
        <v>0</v>
      </c>
      <c r="M254" t="n">
        <v>0</v>
      </c>
      <c r="N254" t="n">
        <v>0</v>
      </c>
      <c r="O254" t="n">
        <v>0</v>
      </c>
      <c r="P254" t="n">
        <v>0</v>
      </c>
      <c r="Q254" t="n">
        <v>0</v>
      </c>
      <c r="R254" s="2" t="inlineStr"/>
    </row>
    <row r="255" ht="15" customHeight="1">
      <c r="A255" t="inlineStr">
        <is>
          <t>A 26713-2024</t>
        </is>
      </c>
      <c r="B255" s="1" t="n">
        <v>45470</v>
      </c>
      <c r="C255" s="1" t="n">
        <v>46109</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43837-2022</t>
        </is>
      </c>
      <c r="B256" s="1" t="n">
        <v>44838</v>
      </c>
      <c r="C256" s="1" t="n">
        <v>46109</v>
      </c>
      <c r="D256" t="inlineStr">
        <is>
          <t>SÖDERMANLANDS LÄN</t>
        </is>
      </c>
      <c r="E256" t="inlineStr">
        <is>
          <t>KATRINEHOLM</t>
        </is>
      </c>
      <c r="G256" t="n">
        <v>1.6</v>
      </c>
      <c r="H256" t="n">
        <v>0</v>
      </c>
      <c r="I256" t="n">
        <v>0</v>
      </c>
      <c r="J256" t="n">
        <v>0</v>
      </c>
      <c r="K256" t="n">
        <v>0</v>
      </c>
      <c r="L256" t="n">
        <v>0</v>
      </c>
      <c r="M256" t="n">
        <v>0</v>
      </c>
      <c r="N256" t="n">
        <v>0</v>
      </c>
      <c r="O256" t="n">
        <v>0</v>
      </c>
      <c r="P256" t="n">
        <v>0</v>
      </c>
      <c r="Q256" t="n">
        <v>0</v>
      </c>
      <c r="R256" s="2" t="inlineStr"/>
    </row>
    <row r="257" ht="15" customHeight="1">
      <c r="A257" t="inlineStr">
        <is>
          <t>A 57510-2021</t>
        </is>
      </c>
      <c r="B257" s="1" t="n">
        <v>44483</v>
      </c>
      <c r="C257" s="1" t="n">
        <v>46109</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55732-2023</t>
        </is>
      </c>
      <c r="B258" s="1" t="n">
        <v>45239</v>
      </c>
      <c r="C258" s="1" t="n">
        <v>46109</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40159-2023</t>
        </is>
      </c>
      <c r="B259" s="1" t="n">
        <v>45169</v>
      </c>
      <c r="C259" s="1" t="n">
        <v>46109</v>
      </c>
      <c r="D259" t="inlineStr">
        <is>
          <t>SÖDERMANLANDS LÄN</t>
        </is>
      </c>
      <c r="E259" t="inlineStr">
        <is>
          <t>KATRINEHOLM</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28675-2024</t>
        </is>
      </c>
      <c r="B260" s="1" t="n">
        <v>45478</v>
      </c>
      <c r="C260" s="1" t="n">
        <v>46109</v>
      </c>
      <c r="D260" t="inlineStr">
        <is>
          <t>SÖDERMANLANDS LÄN</t>
        </is>
      </c>
      <c r="E260" t="inlineStr">
        <is>
          <t>KATRINEHOLM</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39737-2025</t>
        </is>
      </c>
      <c r="B261" s="1" t="n">
        <v>45891</v>
      </c>
      <c r="C261" s="1" t="n">
        <v>46109</v>
      </c>
      <c r="D261" t="inlineStr">
        <is>
          <t>SÖDERMANLANDS LÄN</t>
        </is>
      </c>
      <c r="E261" t="inlineStr">
        <is>
          <t>KATRINEHOLM</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46109</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27875-2024</t>
        </is>
      </c>
      <c r="B263" s="1" t="n">
        <v>45475</v>
      </c>
      <c r="C263" s="1" t="n">
        <v>46109</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27376-2024</t>
        </is>
      </c>
      <c r="B264" s="1" t="n">
        <v>45473.88313657408</v>
      </c>
      <c r="C264" s="1" t="n">
        <v>46109</v>
      </c>
      <c r="D264" t="inlineStr">
        <is>
          <t>SÖDERMANLANDS LÄN</t>
        </is>
      </c>
      <c r="E264" t="inlineStr">
        <is>
          <t>KATRINEHOLM</t>
        </is>
      </c>
      <c r="F264" t="inlineStr">
        <is>
          <t>Kommuner</t>
        </is>
      </c>
      <c r="G264" t="n">
        <v>2.8</v>
      </c>
      <c r="H264" t="n">
        <v>0</v>
      </c>
      <c r="I264" t="n">
        <v>0</v>
      </c>
      <c r="J264" t="n">
        <v>0</v>
      </c>
      <c r="K264" t="n">
        <v>0</v>
      </c>
      <c r="L264" t="n">
        <v>0</v>
      </c>
      <c r="M264" t="n">
        <v>0</v>
      </c>
      <c r="N264" t="n">
        <v>0</v>
      </c>
      <c r="O264" t="n">
        <v>0</v>
      </c>
      <c r="P264" t="n">
        <v>0</v>
      </c>
      <c r="Q264" t="n">
        <v>0</v>
      </c>
      <c r="R264" s="2" t="inlineStr"/>
    </row>
    <row r="265" ht="15" customHeight="1">
      <c r="A265" t="inlineStr">
        <is>
          <t>A 28995-2024</t>
        </is>
      </c>
      <c r="B265" s="1" t="n">
        <v>45481.49899305555</v>
      </c>
      <c r="C265" s="1" t="n">
        <v>46109</v>
      </c>
      <c r="D265" t="inlineStr">
        <is>
          <t>SÖDERMANLANDS LÄN</t>
        </is>
      </c>
      <c r="E265" t="inlineStr">
        <is>
          <t>KATRINEHOLM</t>
        </is>
      </c>
      <c r="G265" t="n">
        <v>0.9</v>
      </c>
      <c r="H265" t="n">
        <v>0</v>
      </c>
      <c r="I265" t="n">
        <v>0</v>
      </c>
      <c r="J265" t="n">
        <v>0</v>
      </c>
      <c r="K265" t="n">
        <v>0</v>
      </c>
      <c r="L265" t="n">
        <v>0</v>
      </c>
      <c r="M265" t="n">
        <v>0</v>
      </c>
      <c r="N265" t="n">
        <v>0</v>
      </c>
      <c r="O265" t="n">
        <v>0</v>
      </c>
      <c r="P265" t="n">
        <v>0</v>
      </c>
      <c r="Q265" t="n">
        <v>0</v>
      </c>
      <c r="R265" s="2" t="inlineStr"/>
    </row>
    <row r="266" ht="15" customHeight="1">
      <c r="A266" t="inlineStr">
        <is>
          <t>A 44989-2022</t>
        </is>
      </c>
      <c r="B266" s="1" t="n">
        <v>44840</v>
      </c>
      <c r="C266" s="1" t="n">
        <v>46109</v>
      </c>
      <c r="D266" t="inlineStr">
        <is>
          <t>SÖDERMANLANDS LÄN</t>
        </is>
      </c>
      <c r="E266" t="inlineStr">
        <is>
          <t>KATRINEHOLM</t>
        </is>
      </c>
      <c r="G266" t="n">
        <v>6</v>
      </c>
      <c r="H266" t="n">
        <v>0</v>
      </c>
      <c r="I266" t="n">
        <v>0</v>
      </c>
      <c r="J266" t="n">
        <v>0</v>
      </c>
      <c r="K266" t="n">
        <v>0</v>
      </c>
      <c r="L266" t="n">
        <v>0</v>
      </c>
      <c r="M266" t="n">
        <v>0</v>
      </c>
      <c r="N266" t="n">
        <v>0</v>
      </c>
      <c r="O266" t="n">
        <v>0</v>
      </c>
      <c r="P266" t="n">
        <v>0</v>
      </c>
      <c r="Q266" t="n">
        <v>0</v>
      </c>
      <c r="R266" s="2" t="inlineStr"/>
    </row>
    <row r="267" ht="15" customHeight="1">
      <c r="A267" t="inlineStr">
        <is>
          <t>A 48259-2022</t>
        </is>
      </c>
      <c r="B267" s="1" t="n">
        <v>44858</v>
      </c>
      <c r="C267" s="1" t="n">
        <v>46109</v>
      </c>
      <c r="D267" t="inlineStr">
        <is>
          <t>SÖDERMANLANDS LÄN</t>
        </is>
      </c>
      <c r="E267" t="inlineStr">
        <is>
          <t>KATRINEHOLM</t>
        </is>
      </c>
      <c r="G267" t="n">
        <v>3.5</v>
      </c>
      <c r="H267" t="n">
        <v>0</v>
      </c>
      <c r="I267" t="n">
        <v>0</v>
      </c>
      <c r="J267" t="n">
        <v>0</v>
      </c>
      <c r="K267" t="n">
        <v>0</v>
      </c>
      <c r="L267" t="n">
        <v>0</v>
      </c>
      <c r="M267" t="n">
        <v>0</v>
      </c>
      <c r="N267" t="n">
        <v>0</v>
      </c>
      <c r="O267" t="n">
        <v>0</v>
      </c>
      <c r="P267" t="n">
        <v>0</v>
      </c>
      <c r="Q267" t="n">
        <v>0</v>
      </c>
      <c r="R267" s="2" t="inlineStr"/>
    </row>
    <row r="268" ht="15" customHeight="1">
      <c r="A268" t="inlineStr">
        <is>
          <t>A 28992-2024</t>
        </is>
      </c>
      <c r="B268" s="1" t="n">
        <v>45481.49289351852</v>
      </c>
      <c r="C268" s="1" t="n">
        <v>46109</v>
      </c>
      <c r="D268" t="inlineStr">
        <is>
          <t>SÖDERMANLANDS LÄN</t>
        </is>
      </c>
      <c r="E268" t="inlineStr">
        <is>
          <t>KATRINEHOLM</t>
        </is>
      </c>
      <c r="G268" t="n">
        <v>2.3</v>
      </c>
      <c r="H268" t="n">
        <v>0</v>
      </c>
      <c r="I268" t="n">
        <v>0</v>
      </c>
      <c r="J268" t="n">
        <v>0</v>
      </c>
      <c r="K268" t="n">
        <v>0</v>
      </c>
      <c r="L268" t="n">
        <v>0</v>
      </c>
      <c r="M268" t="n">
        <v>0</v>
      </c>
      <c r="N268" t="n">
        <v>0</v>
      </c>
      <c r="O268" t="n">
        <v>0</v>
      </c>
      <c r="P268" t="n">
        <v>0</v>
      </c>
      <c r="Q268" t="n">
        <v>0</v>
      </c>
      <c r="R268" s="2" t="inlineStr"/>
    </row>
    <row r="269" ht="15" customHeight="1">
      <c r="A269" t="inlineStr">
        <is>
          <t>A 59967-2025</t>
        </is>
      </c>
      <c r="B269" s="1" t="n">
        <v>45993.48525462963</v>
      </c>
      <c r="C269" s="1" t="n">
        <v>46109</v>
      </c>
      <c r="D269" t="inlineStr">
        <is>
          <t>SÖDERMANLANDS LÄN</t>
        </is>
      </c>
      <c r="E269" t="inlineStr">
        <is>
          <t>KATRINEHOLM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24902-2024</t>
        </is>
      </c>
      <c r="B270" s="1" t="n">
        <v>45461</v>
      </c>
      <c r="C270" s="1" t="n">
        <v>46109</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7322-2023</t>
        </is>
      </c>
      <c r="B271" s="1" t="n">
        <v>44970</v>
      </c>
      <c r="C271" s="1" t="n">
        <v>46109</v>
      </c>
      <c r="D271" t="inlineStr">
        <is>
          <t>SÖDERMANLANDS LÄN</t>
        </is>
      </c>
      <c r="E271" t="inlineStr">
        <is>
          <t>KATRINEHOLM</t>
        </is>
      </c>
      <c r="G271" t="n">
        <v>2.1</v>
      </c>
      <c r="H271" t="n">
        <v>0</v>
      </c>
      <c r="I271" t="n">
        <v>0</v>
      </c>
      <c r="J271" t="n">
        <v>0</v>
      </c>
      <c r="K271" t="n">
        <v>0</v>
      </c>
      <c r="L271" t="n">
        <v>0</v>
      </c>
      <c r="M271" t="n">
        <v>0</v>
      </c>
      <c r="N271" t="n">
        <v>0</v>
      </c>
      <c r="O271" t="n">
        <v>0</v>
      </c>
      <c r="P271" t="n">
        <v>0</v>
      </c>
      <c r="Q271" t="n">
        <v>0</v>
      </c>
      <c r="R271" s="2" t="inlineStr"/>
    </row>
    <row r="272" ht="15" customHeight="1">
      <c r="A272" t="inlineStr">
        <is>
          <t>A 2093-2025</t>
        </is>
      </c>
      <c r="B272" s="1" t="n">
        <v>45672</v>
      </c>
      <c r="C272" s="1" t="n">
        <v>46109</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2603-2025</t>
        </is>
      </c>
      <c r="B273" s="1" t="n">
        <v>45674</v>
      </c>
      <c r="C273" s="1" t="n">
        <v>46109</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24566-2025</t>
        </is>
      </c>
      <c r="B274" s="1" t="n">
        <v>45798.46452546296</v>
      </c>
      <c r="C274" s="1" t="n">
        <v>46109</v>
      </c>
      <c r="D274" t="inlineStr">
        <is>
          <t>SÖDERMANLANDS LÄN</t>
        </is>
      </c>
      <c r="E274" t="inlineStr">
        <is>
          <t>KATRINEHOLM</t>
        </is>
      </c>
      <c r="G274" t="n">
        <v>6.3</v>
      </c>
      <c r="H274" t="n">
        <v>0</v>
      </c>
      <c r="I274" t="n">
        <v>0</v>
      </c>
      <c r="J274" t="n">
        <v>0</v>
      </c>
      <c r="K274" t="n">
        <v>0</v>
      </c>
      <c r="L274" t="n">
        <v>0</v>
      </c>
      <c r="M274" t="n">
        <v>0</v>
      </c>
      <c r="N274" t="n">
        <v>0</v>
      </c>
      <c r="O274" t="n">
        <v>0</v>
      </c>
      <c r="P274" t="n">
        <v>0</v>
      </c>
      <c r="Q274" t="n">
        <v>0</v>
      </c>
      <c r="R274" s="2" t="inlineStr"/>
    </row>
    <row r="275" ht="15" customHeight="1">
      <c r="A275" t="inlineStr">
        <is>
          <t>A 27886-2024</t>
        </is>
      </c>
      <c r="B275" s="1" t="n">
        <v>45475</v>
      </c>
      <c r="C275" s="1" t="n">
        <v>46109</v>
      </c>
      <c r="D275" t="inlineStr">
        <is>
          <t>SÖDERMANLANDS LÄN</t>
        </is>
      </c>
      <c r="E275" t="inlineStr">
        <is>
          <t>KATRINEHOLM</t>
        </is>
      </c>
      <c r="G275" t="n">
        <v>10.3</v>
      </c>
      <c r="H275" t="n">
        <v>0</v>
      </c>
      <c r="I275" t="n">
        <v>0</v>
      </c>
      <c r="J275" t="n">
        <v>0</v>
      </c>
      <c r="K275" t="n">
        <v>0</v>
      </c>
      <c r="L275" t="n">
        <v>0</v>
      </c>
      <c r="M275" t="n">
        <v>0</v>
      </c>
      <c r="N275" t="n">
        <v>0</v>
      </c>
      <c r="O275" t="n">
        <v>0</v>
      </c>
      <c r="P275" t="n">
        <v>0</v>
      </c>
      <c r="Q275" t="n">
        <v>0</v>
      </c>
      <c r="R275" s="2" t="inlineStr"/>
    </row>
    <row r="276" ht="15" customHeight="1">
      <c r="A276" t="inlineStr">
        <is>
          <t>A 24605-2025</t>
        </is>
      </c>
      <c r="B276" s="1" t="n">
        <v>45798.57403935185</v>
      </c>
      <c r="C276" s="1" t="n">
        <v>46109</v>
      </c>
      <c r="D276" t="inlineStr">
        <is>
          <t>SÖDERMANLANDS LÄN</t>
        </is>
      </c>
      <c r="E276" t="inlineStr">
        <is>
          <t>KATRINEHOLM</t>
        </is>
      </c>
      <c r="G276" t="n">
        <v>7</v>
      </c>
      <c r="H276" t="n">
        <v>0</v>
      </c>
      <c r="I276" t="n">
        <v>0</v>
      </c>
      <c r="J276" t="n">
        <v>0</v>
      </c>
      <c r="K276" t="n">
        <v>0</v>
      </c>
      <c r="L276" t="n">
        <v>0</v>
      </c>
      <c r="M276" t="n">
        <v>0</v>
      </c>
      <c r="N276" t="n">
        <v>0</v>
      </c>
      <c r="O276" t="n">
        <v>0</v>
      </c>
      <c r="P276" t="n">
        <v>0</v>
      </c>
      <c r="Q276" t="n">
        <v>0</v>
      </c>
      <c r="R276" s="2" t="inlineStr"/>
    </row>
    <row r="277" ht="15" customHeight="1">
      <c r="A277" t="inlineStr">
        <is>
          <t>A 56086-2023</t>
        </is>
      </c>
      <c r="B277" s="1" t="n">
        <v>45240</v>
      </c>
      <c r="C277" s="1" t="n">
        <v>46109</v>
      </c>
      <c r="D277" t="inlineStr">
        <is>
          <t>SÖDERMANLANDS LÄN</t>
        </is>
      </c>
      <c r="E277" t="inlineStr">
        <is>
          <t>KATRINEHOLM</t>
        </is>
      </c>
      <c r="F277" t="inlineStr">
        <is>
          <t>Kyrkan</t>
        </is>
      </c>
      <c r="G277" t="n">
        <v>17</v>
      </c>
      <c r="H277" t="n">
        <v>0</v>
      </c>
      <c r="I277" t="n">
        <v>0</v>
      </c>
      <c r="J277" t="n">
        <v>0</v>
      </c>
      <c r="K277" t="n">
        <v>0</v>
      </c>
      <c r="L277" t="n">
        <v>0</v>
      </c>
      <c r="M277" t="n">
        <v>0</v>
      </c>
      <c r="N277" t="n">
        <v>0</v>
      </c>
      <c r="O277" t="n">
        <v>0</v>
      </c>
      <c r="P277" t="n">
        <v>0</v>
      </c>
      <c r="Q277" t="n">
        <v>0</v>
      </c>
      <c r="R277" s="2" t="inlineStr"/>
    </row>
    <row r="278" ht="15" customHeight="1">
      <c r="A278" t="inlineStr">
        <is>
          <t>A 60678-2025</t>
        </is>
      </c>
      <c r="B278" s="1" t="n">
        <v>45996.56251157408</v>
      </c>
      <c r="C278" s="1" t="n">
        <v>46109</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61423-2024</t>
        </is>
      </c>
      <c r="B279" s="1" t="n">
        <v>45646.45209490741</v>
      </c>
      <c r="C279" s="1" t="n">
        <v>46109</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41727-2024</t>
        </is>
      </c>
      <c r="B280" s="1" t="n">
        <v>45560</v>
      </c>
      <c r="C280" s="1" t="n">
        <v>46109</v>
      </c>
      <c r="D280" t="inlineStr">
        <is>
          <t>SÖDERMANLANDS LÄN</t>
        </is>
      </c>
      <c r="E280" t="inlineStr">
        <is>
          <t>KATRINEHOLM</t>
        </is>
      </c>
      <c r="G280" t="n">
        <v>3.9</v>
      </c>
      <c r="H280" t="n">
        <v>0</v>
      </c>
      <c r="I280" t="n">
        <v>0</v>
      </c>
      <c r="J280" t="n">
        <v>0</v>
      </c>
      <c r="K280" t="n">
        <v>0</v>
      </c>
      <c r="L280" t="n">
        <v>0</v>
      </c>
      <c r="M280" t="n">
        <v>0</v>
      </c>
      <c r="N280" t="n">
        <v>0</v>
      </c>
      <c r="O280" t="n">
        <v>0</v>
      </c>
      <c r="P280" t="n">
        <v>0</v>
      </c>
      <c r="Q280" t="n">
        <v>0</v>
      </c>
      <c r="R280" s="2" t="inlineStr"/>
    </row>
    <row r="281" ht="15" customHeight="1">
      <c r="A281" t="inlineStr">
        <is>
          <t>A 61121-2025</t>
        </is>
      </c>
      <c r="B281" s="1" t="n">
        <v>46000.46746527778</v>
      </c>
      <c r="C281" s="1" t="n">
        <v>46109</v>
      </c>
      <c r="D281" t="inlineStr">
        <is>
          <t>SÖDERMANLANDS LÄN</t>
        </is>
      </c>
      <c r="E281" t="inlineStr">
        <is>
          <t>KATRINEHOLM</t>
        </is>
      </c>
      <c r="G281" t="n">
        <v>0.2</v>
      </c>
      <c r="H281" t="n">
        <v>0</v>
      </c>
      <c r="I281" t="n">
        <v>0</v>
      </c>
      <c r="J281" t="n">
        <v>0</v>
      </c>
      <c r="K281" t="n">
        <v>0</v>
      </c>
      <c r="L281" t="n">
        <v>0</v>
      </c>
      <c r="M281" t="n">
        <v>0</v>
      </c>
      <c r="N281" t="n">
        <v>0</v>
      </c>
      <c r="O281" t="n">
        <v>0</v>
      </c>
      <c r="P281" t="n">
        <v>0</v>
      </c>
      <c r="Q281" t="n">
        <v>0</v>
      </c>
      <c r="R281" s="2" t="inlineStr"/>
    </row>
    <row r="282" ht="15" customHeight="1">
      <c r="A282" t="inlineStr">
        <is>
          <t>A 25363-2023</t>
        </is>
      </c>
      <c r="B282" s="1" t="n">
        <v>45088.83840277778</v>
      </c>
      <c r="C282" s="1" t="n">
        <v>46109</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24717-2025</t>
        </is>
      </c>
      <c r="B283" s="1" t="n">
        <v>45799.27168981481</v>
      </c>
      <c r="C283" s="1" t="n">
        <v>46109</v>
      </c>
      <c r="D283" t="inlineStr">
        <is>
          <t>SÖDERMANLANDS LÄN</t>
        </is>
      </c>
      <c r="E283" t="inlineStr">
        <is>
          <t>KATRINEHOLM</t>
        </is>
      </c>
      <c r="G283" t="n">
        <v>24.5</v>
      </c>
      <c r="H283" t="n">
        <v>0</v>
      </c>
      <c r="I283" t="n">
        <v>0</v>
      </c>
      <c r="J283" t="n">
        <v>0</v>
      </c>
      <c r="K283" t="n">
        <v>0</v>
      </c>
      <c r="L283" t="n">
        <v>0</v>
      </c>
      <c r="M283" t="n">
        <v>0</v>
      </c>
      <c r="N283" t="n">
        <v>0</v>
      </c>
      <c r="O283" t="n">
        <v>0</v>
      </c>
      <c r="P283" t="n">
        <v>0</v>
      </c>
      <c r="Q283" t="n">
        <v>0</v>
      </c>
      <c r="R283" s="2" t="inlineStr"/>
    </row>
    <row r="284" ht="15" customHeight="1">
      <c r="A284" t="inlineStr">
        <is>
          <t>A 53999-2023</t>
        </is>
      </c>
      <c r="B284" s="1" t="n">
        <v>45231</v>
      </c>
      <c r="C284" s="1" t="n">
        <v>46109</v>
      </c>
      <c r="D284" t="inlineStr">
        <is>
          <t>SÖDERMANLANDS LÄN</t>
        </is>
      </c>
      <c r="E284" t="inlineStr">
        <is>
          <t>KATRINEHOLM</t>
        </is>
      </c>
      <c r="G284" t="n">
        <v>5.4</v>
      </c>
      <c r="H284" t="n">
        <v>0</v>
      </c>
      <c r="I284" t="n">
        <v>0</v>
      </c>
      <c r="J284" t="n">
        <v>0</v>
      </c>
      <c r="K284" t="n">
        <v>0</v>
      </c>
      <c r="L284" t="n">
        <v>0</v>
      </c>
      <c r="M284" t="n">
        <v>0</v>
      </c>
      <c r="N284" t="n">
        <v>0</v>
      </c>
      <c r="O284" t="n">
        <v>0</v>
      </c>
      <c r="P284" t="n">
        <v>0</v>
      </c>
      <c r="Q284" t="n">
        <v>0</v>
      </c>
      <c r="R284" s="2" t="inlineStr"/>
    </row>
    <row r="285" ht="15" customHeight="1">
      <c r="A285" t="inlineStr">
        <is>
          <t>A 24719-2025</t>
        </is>
      </c>
      <c r="B285" s="1" t="n">
        <v>45799</v>
      </c>
      <c r="C285" s="1" t="n">
        <v>46109</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61066-2025</t>
        </is>
      </c>
      <c r="B286" s="1" t="n">
        <v>46000.37695601852</v>
      </c>
      <c r="C286" s="1" t="n">
        <v>46109</v>
      </c>
      <c r="D286" t="inlineStr">
        <is>
          <t>SÖDERMANLANDS LÄN</t>
        </is>
      </c>
      <c r="E286" t="inlineStr">
        <is>
          <t>KATRINEHOLM</t>
        </is>
      </c>
      <c r="F286" t="inlineStr">
        <is>
          <t>Kyrkan</t>
        </is>
      </c>
      <c r="G286" t="n">
        <v>5</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46109</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6722-2022</t>
        </is>
      </c>
      <c r="B288" s="1" t="n">
        <v>44602</v>
      </c>
      <c r="C288" s="1" t="n">
        <v>46109</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6763-2022</t>
        </is>
      </c>
      <c r="B289" s="1" t="n">
        <v>44602</v>
      </c>
      <c r="C289" s="1" t="n">
        <v>46109</v>
      </c>
      <c r="D289" t="inlineStr">
        <is>
          <t>SÖDERMANLANDS LÄN</t>
        </is>
      </c>
      <c r="E289" t="inlineStr">
        <is>
          <t>KATRINEHOLM</t>
        </is>
      </c>
      <c r="G289" t="n">
        <v>6.7</v>
      </c>
      <c r="H289" t="n">
        <v>0</v>
      </c>
      <c r="I289" t="n">
        <v>0</v>
      </c>
      <c r="J289" t="n">
        <v>0</v>
      </c>
      <c r="K289" t="n">
        <v>0</v>
      </c>
      <c r="L289" t="n">
        <v>0</v>
      </c>
      <c r="M289" t="n">
        <v>0</v>
      </c>
      <c r="N289" t="n">
        <v>0</v>
      </c>
      <c r="O289" t="n">
        <v>0</v>
      </c>
      <c r="P289" t="n">
        <v>0</v>
      </c>
      <c r="Q289" t="n">
        <v>0</v>
      </c>
      <c r="R289" s="2" t="inlineStr"/>
    </row>
    <row r="290" ht="15" customHeight="1">
      <c r="A290" t="inlineStr">
        <is>
          <t>A 5790-2022</t>
        </is>
      </c>
      <c r="B290" s="1" t="n">
        <v>44596.55368055555</v>
      </c>
      <c r="C290" s="1" t="n">
        <v>46109</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14313-2024</t>
        </is>
      </c>
      <c r="B291" s="1" t="n">
        <v>45393</v>
      </c>
      <c r="C291" s="1" t="n">
        <v>46109</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29397-2024</t>
        </is>
      </c>
      <c r="B292" s="1" t="n">
        <v>45483</v>
      </c>
      <c r="C292" s="1" t="n">
        <v>46109</v>
      </c>
      <c r="D292" t="inlineStr">
        <is>
          <t>SÖDERMANLANDS LÄN</t>
        </is>
      </c>
      <c r="E292" t="inlineStr">
        <is>
          <t>KATRINEHOLM</t>
        </is>
      </c>
      <c r="G292" t="n">
        <v>3.4</v>
      </c>
      <c r="H292" t="n">
        <v>0</v>
      </c>
      <c r="I292" t="n">
        <v>0</v>
      </c>
      <c r="J292" t="n">
        <v>0</v>
      </c>
      <c r="K292" t="n">
        <v>0</v>
      </c>
      <c r="L292" t="n">
        <v>0</v>
      </c>
      <c r="M292" t="n">
        <v>0</v>
      </c>
      <c r="N292" t="n">
        <v>0</v>
      </c>
      <c r="O292" t="n">
        <v>0</v>
      </c>
      <c r="P292" t="n">
        <v>0</v>
      </c>
      <c r="Q292" t="n">
        <v>0</v>
      </c>
      <c r="R292" s="2" t="inlineStr"/>
    </row>
    <row r="293" ht="15" customHeight="1">
      <c r="A293" t="inlineStr">
        <is>
          <t>A 41498-2025</t>
        </is>
      </c>
      <c r="B293" s="1" t="n">
        <v>45901.49755787037</v>
      </c>
      <c r="C293" s="1" t="n">
        <v>46109</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33278-2024</t>
        </is>
      </c>
      <c r="B294" s="1" t="n">
        <v>45518</v>
      </c>
      <c r="C294" s="1" t="n">
        <v>46109</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9714-2024</t>
        </is>
      </c>
      <c r="B295" s="1" t="n">
        <v>45362</v>
      </c>
      <c r="C295" s="1" t="n">
        <v>46109</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49341-2024</t>
        </is>
      </c>
      <c r="B296" s="1" t="n">
        <v>45595</v>
      </c>
      <c r="C296" s="1" t="n">
        <v>46109</v>
      </c>
      <c r="D296" t="inlineStr">
        <is>
          <t>SÖDERMANLANDS LÄN</t>
        </is>
      </c>
      <c r="E296" t="inlineStr">
        <is>
          <t>KATRINEHOLM</t>
        </is>
      </c>
      <c r="G296" t="n">
        <v>10</v>
      </c>
      <c r="H296" t="n">
        <v>0</v>
      </c>
      <c r="I296" t="n">
        <v>0</v>
      </c>
      <c r="J296" t="n">
        <v>0</v>
      </c>
      <c r="K296" t="n">
        <v>0</v>
      </c>
      <c r="L296" t="n">
        <v>0</v>
      </c>
      <c r="M296" t="n">
        <v>0</v>
      </c>
      <c r="N296" t="n">
        <v>0</v>
      </c>
      <c r="O296" t="n">
        <v>0</v>
      </c>
      <c r="P296" t="n">
        <v>0</v>
      </c>
      <c r="Q296" t="n">
        <v>0</v>
      </c>
      <c r="R296" s="2" t="inlineStr"/>
    </row>
    <row r="297" ht="15" customHeight="1">
      <c r="A297" t="inlineStr">
        <is>
          <t>A 24619-2024</t>
        </is>
      </c>
      <c r="B297" s="1" t="n">
        <v>45460</v>
      </c>
      <c r="C297" s="1" t="n">
        <v>46109</v>
      </c>
      <c r="D297" t="inlineStr">
        <is>
          <t>SÖDERMANLANDS LÄN</t>
        </is>
      </c>
      <c r="E297" t="inlineStr">
        <is>
          <t>KATRINEHOLM</t>
        </is>
      </c>
      <c r="G297" t="n">
        <v>4.7</v>
      </c>
      <c r="H297" t="n">
        <v>0</v>
      </c>
      <c r="I297" t="n">
        <v>0</v>
      </c>
      <c r="J297" t="n">
        <v>0</v>
      </c>
      <c r="K297" t="n">
        <v>0</v>
      </c>
      <c r="L297" t="n">
        <v>0</v>
      </c>
      <c r="M297" t="n">
        <v>0</v>
      </c>
      <c r="N297" t="n">
        <v>0</v>
      </c>
      <c r="O297" t="n">
        <v>0</v>
      </c>
      <c r="P297" t="n">
        <v>0</v>
      </c>
      <c r="Q297" t="n">
        <v>0</v>
      </c>
      <c r="R297" s="2" t="inlineStr"/>
    </row>
    <row r="298" ht="15" customHeight="1">
      <c r="A298" t="inlineStr">
        <is>
          <t>A 61721-2025</t>
        </is>
      </c>
      <c r="B298" s="1" t="n">
        <v>46002.57778935185</v>
      </c>
      <c r="C298" s="1" t="n">
        <v>46109</v>
      </c>
      <c r="D298" t="inlineStr">
        <is>
          <t>SÖDERMANLANDS LÄN</t>
        </is>
      </c>
      <c r="E298" t="inlineStr">
        <is>
          <t>KATRINEHOLM</t>
        </is>
      </c>
      <c r="G298" t="n">
        <v>4.5</v>
      </c>
      <c r="H298" t="n">
        <v>0</v>
      </c>
      <c r="I298" t="n">
        <v>0</v>
      </c>
      <c r="J298" t="n">
        <v>0</v>
      </c>
      <c r="K298" t="n">
        <v>0</v>
      </c>
      <c r="L298" t="n">
        <v>0</v>
      </c>
      <c r="M298" t="n">
        <v>0</v>
      </c>
      <c r="N298" t="n">
        <v>0</v>
      </c>
      <c r="O298" t="n">
        <v>0</v>
      </c>
      <c r="P298" t="n">
        <v>0</v>
      </c>
      <c r="Q298" t="n">
        <v>0</v>
      </c>
      <c r="R298" s="2" t="inlineStr"/>
    </row>
    <row r="299" ht="15" customHeight="1">
      <c r="A299" t="inlineStr">
        <is>
          <t>A 9699-2024</t>
        </is>
      </c>
      <c r="B299" s="1" t="n">
        <v>45362</v>
      </c>
      <c r="C299" s="1" t="n">
        <v>46109</v>
      </c>
      <c r="D299" t="inlineStr">
        <is>
          <t>SÖDERMANLANDS LÄN</t>
        </is>
      </c>
      <c r="E299" t="inlineStr">
        <is>
          <t>KATRINEHOLM</t>
        </is>
      </c>
      <c r="G299" t="n">
        <v>7.7</v>
      </c>
      <c r="H299" t="n">
        <v>0</v>
      </c>
      <c r="I299" t="n">
        <v>0</v>
      </c>
      <c r="J299" t="n">
        <v>0</v>
      </c>
      <c r="K299" t="n">
        <v>0</v>
      </c>
      <c r="L299" t="n">
        <v>0</v>
      </c>
      <c r="M299" t="n">
        <v>0</v>
      </c>
      <c r="N299" t="n">
        <v>0</v>
      </c>
      <c r="O299" t="n">
        <v>0</v>
      </c>
      <c r="P299" t="n">
        <v>0</v>
      </c>
      <c r="Q299" t="n">
        <v>0</v>
      </c>
      <c r="R299" s="2" t="inlineStr"/>
    </row>
    <row r="300" ht="15" customHeight="1">
      <c r="A300" t="inlineStr">
        <is>
          <t>A 41633-2025</t>
        </is>
      </c>
      <c r="B300" s="1" t="n">
        <v>45901</v>
      </c>
      <c r="C300" s="1" t="n">
        <v>46109</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41632-2025</t>
        </is>
      </c>
      <c r="B301" s="1" t="n">
        <v>45901</v>
      </c>
      <c r="C301" s="1" t="n">
        <v>46109</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46109</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41793-2025</t>
        </is>
      </c>
      <c r="B303" s="1" t="n">
        <v>45902</v>
      </c>
      <c r="C303" s="1" t="n">
        <v>46109</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59474-2021</t>
        </is>
      </c>
      <c r="B304" s="1" t="n">
        <v>44491</v>
      </c>
      <c r="C304" s="1" t="n">
        <v>46109</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14239-2024</t>
        </is>
      </c>
      <c r="B305" s="1" t="n">
        <v>45393</v>
      </c>
      <c r="C305" s="1" t="n">
        <v>46109</v>
      </c>
      <c r="D305" t="inlineStr">
        <is>
          <t>SÖDERMANLANDS LÄN</t>
        </is>
      </c>
      <c r="E305" t="inlineStr">
        <is>
          <t>KATRINEHOLM</t>
        </is>
      </c>
      <c r="G305" t="n">
        <v>2.7</v>
      </c>
      <c r="H305" t="n">
        <v>0</v>
      </c>
      <c r="I305" t="n">
        <v>0</v>
      </c>
      <c r="J305" t="n">
        <v>0</v>
      </c>
      <c r="K305" t="n">
        <v>0</v>
      </c>
      <c r="L305" t="n">
        <v>0</v>
      </c>
      <c r="M305" t="n">
        <v>0</v>
      </c>
      <c r="N305" t="n">
        <v>0</v>
      </c>
      <c r="O305" t="n">
        <v>0</v>
      </c>
      <c r="P305" t="n">
        <v>0</v>
      </c>
      <c r="Q305" t="n">
        <v>0</v>
      </c>
      <c r="R305" s="2" t="inlineStr"/>
    </row>
    <row r="306" ht="15" customHeight="1">
      <c r="A306" t="inlineStr">
        <is>
          <t>A 14248-2024</t>
        </is>
      </c>
      <c r="B306" s="1" t="n">
        <v>45393</v>
      </c>
      <c r="C306" s="1" t="n">
        <v>46109</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11635-2023</t>
        </is>
      </c>
      <c r="B307" s="1" t="n">
        <v>44994</v>
      </c>
      <c r="C307" s="1" t="n">
        <v>46109</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10932-2023</t>
        </is>
      </c>
      <c r="B308" s="1" t="n">
        <v>44985</v>
      </c>
      <c r="C308" s="1" t="n">
        <v>46109</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6087-2022</t>
        </is>
      </c>
      <c r="B309" s="1" t="n">
        <v>44599.61034722222</v>
      </c>
      <c r="C309" s="1" t="n">
        <v>46109</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8957-2024</t>
        </is>
      </c>
      <c r="B310" s="1" t="n">
        <v>45357.45089120371</v>
      </c>
      <c r="C310" s="1" t="n">
        <v>46109</v>
      </c>
      <c r="D310" t="inlineStr">
        <is>
          <t>SÖDERMANLANDS LÄN</t>
        </is>
      </c>
      <c r="E310" t="inlineStr">
        <is>
          <t>KATRINEHOLM</t>
        </is>
      </c>
      <c r="G310" t="n">
        <v>3.6</v>
      </c>
      <c r="H310" t="n">
        <v>0</v>
      </c>
      <c r="I310" t="n">
        <v>0</v>
      </c>
      <c r="J310" t="n">
        <v>0</v>
      </c>
      <c r="K310" t="n">
        <v>0</v>
      </c>
      <c r="L310" t="n">
        <v>0</v>
      </c>
      <c r="M310" t="n">
        <v>0</v>
      </c>
      <c r="N310" t="n">
        <v>0</v>
      </c>
      <c r="O310" t="n">
        <v>0</v>
      </c>
      <c r="P310" t="n">
        <v>0</v>
      </c>
      <c r="Q310" t="n">
        <v>0</v>
      </c>
      <c r="R310" s="2" t="inlineStr"/>
    </row>
    <row r="311" ht="15" customHeight="1">
      <c r="A311" t="inlineStr">
        <is>
          <t>A 42896-2024</t>
        </is>
      </c>
      <c r="B311" s="1" t="n">
        <v>45566.82973379629</v>
      </c>
      <c r="C311" s="1" t="n">
        <v>46109</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42686-2025</t>
        </is>
      </c>
      <c r="B312" s="1" t="n">
        <v>45908.35550925926</v>
      </c>
      <c r="C312" s="1" t="n">
        <v>46109</v>
      </c>
      <c r="D312" t="inlineStr">
        <is>
          <t>SÖDERMANLANDS LÄN</t>
        </is>
      </c>
      <c r="E312" t="inlineStr">
        <is>
          <t>KATRINEHOLM</t>
        </is>
      </c>
      <c r="G312" t="n">
        <v>0.9</v>
      </c>
      <c r="H312" t="n">
        <v>0</v>
      </c>
      <c r="I312" t="n">
        <v>0</v>
      </c>
      <c r="J312" t="n">
        <v>0</v>
      </c>
      <c r="K312" t="n">
        <v>0</v>
      </c>
      <c r="L312" t="n">
        <v>0</v>
      </c>
      <c r="M312" t="n">
        <v>0</v>
      </c>
      <c r="N312" t="n">
        <v>0</v>
      </c>
      <c r="O312" t="n">
        <v>0</v>
      </c>
      <c r="P312" t="n">
        <v>0</v>
      </c>
      <c r="Q312" t="n">
        <v>0</v>
      </c>
      <c r="R312" s="2" t="inlineStr"/>
    </row>
    <row r="313" ht="15" customHeight="1">
      <c r="A313" t="inlineStr">
        <is>
          <t>A 7747-2024</t>
        </is>
      </c>
      <c r="B313" s="1" t="n">
        <v>45348</v>
      </c>
      <c r="C313" s="1" t="n">
        <v>46109</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7753-2024</t>
        </is>
      </c>
      <c r="B314" s="1" t="n">
        <v>45348</v>
      </c>
      <c r="C314" s="1" t="n">
        <v>46109</v>
      </c>
      <c r="D314" t="inlineStr">
        <is>
          <t>SÖDERMANLANDS LÄN</t>
        </is>
      </c>
      <c r="E314" t="inlineStr">
        <is>
          <t>KATRINEHOLM</t>
        </is>
      </c>
      <c r="G314" t="n">
        <v>13.4</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46109</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25786-2025</t>
        </is>
      </c>
      <c r="B316" s="1" t="n">
        <v>45804.37456018518</v>
      </c>
      <c r="C316" s="1" t="n">
        <v>46109</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46109</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5935-2023</t>
        </is>
      </c>
      <c r="B318" s="1" t="n">
        <v>44963</v>
      </c>
      <c r="C318" s="1" t="n">
        <v>46109</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10732-2022</t>
        </is>
      </c>
      <c r="B319" s="1" t="n">
        <v>44627.34033564815</v>
      </c>
      <c r="C319" s="1" t="n">
        <v>46109</v>
      </c>
      <c r="D319" t="inlineStr">
        <is>
          <t>SÖDERMANLANDS LÄN</t>
        </is>
      </c>
      <c r="E319" t="inlineStr">
        <is>
          <t>KATRINEHOLM</t>
        </is>
      </c>
      <c r="G319" t="n">
        <v>2.4</v>
      </c>
      <c r="H319" t="n">
        <v>0</v>
      </c>
      <c r="I319" t="n">
        <v>0</v>
      </c>
      <c r="J319" t="n">
        <v>0</v>
      </c>
      <c r="K319" t="n">
        <v>0</v>
      </c>
      <c r="L319" t="n">
        <v>0</v>
      </c>
      <c r="M319" t="n">
        <v>0</v>
      </c>
      <c r="N319" t="n">
        <v>0</v>
      </c>
      <c r="O319" t="n">
        <v>0</v>
      </c>
      <c r="P319" t="n">
        <v>0</v>
      </c>
      <c r="Q319" t="n">
        <v>0</v>
      </c>
      <c r="R319" s="2" t="inlineStr"/>
    </row>
    <row r="320" ht="15" customHeight="1">
      <c r="A320" t="inlineStr">
        <is>
          <t>A 26154-2025</t>
        </is>
      </c>
      <c r="B320" s="1" t="n">
        <v>45805.43341435185</v>
      </c>
      <c r="C320" s="1" t="n">
        <v>46109</v>
      </c>
      <c r="D320" t="inlineStr">
        <is>
          <t>SÖDERMANLANDS LÄN</t>
        </is>
      </c>
      <c r="E320" t="inlineStr">
        <is>
          <t>KATRINEHOLM</t>
        </is>
      </c>
      <c r="G320" t="n">
        <v>4.5</v>
      </c>
      <c r="H320" t="n">
        <v>0</v>
      </c>
      <c r="I320" t="n">
        <v>0</v>
      </c>
      <c r="J320" t="n">
        <v>0</v>
      </c>
      <c r="K320" t="n">
        <v>0</v>
      </c>
      <c r="L320" t="n">
        <v>0</v>
      </c>
      <c r="M320" t="n">
        <v>0</v>
      </c>
      <c r="N320" t="n">
        <v>0</v>
      </c>
      <c r="O320" t="n">
        <v>0</v>
      </c>
      <c r="P320" t="n">
        <v>0</v>
      </c>
      <c r="Q320" t="n">
        <v>0</v>
      </c>
      <c r="R320" s="2" t="inlineStr"/>
    </row>
    <row r="321" ht="15" customHeight="1">
      <c r="A321" t="inlineStr">
        <is>
          <t>A 63945-2025</t>
        </is>
      </c>
      <c r="B321" s="1" t="n">
        <v>46010</v>
      </c>
      <c r="C321" s="1" t="n">
        <v>46109</v>
      </c>
      <c r="D321" t="inlineStr">
        <is>
          <t>SÖDERMANLANDS LÄN</t>
        </is>
      </c>
      <c r="E321" t="inlineStr">
        <is>
          <t>KATRINEHOLM</t>
        </is>
      </c>
      <c r="F321" t="inlineStr">
        <is>
          <t>Allmännings- och besparingsskogar</t>
        </is>
      </c>
      <c r="G321" t="n">
        <v>1.2</v>
      </c>
      <c r="H321" t="n">
        <v>0</v>
      </c>
      <c r="I321" t="n">
        <v>0</v>
      </c>
      <c r="J321" t="n">
        <v>0</v>
      </c>
      <c r="K321" t="n">
        <v>0</v>
      </c>
      <c r="L321" t="n">
        <v>0</v>
      </c>
      <c r="M321" t="n">
        <v>0</v>
      </c>
      <c r="N321" t="n">
        <v>0</v>
      </c>
      <c r="O321" t="n">
        <v>0</v>
      </c>
      <c r="P321" t="n">
        <v>0</v>
      </c>
      <c r="Q321" t="n">
        <v>0</v>
      </c>
      <c r="R321" s="2" t="inlineStr"/>
    </row>
    <row r="322" ht="15" customHeight="1">
      <c r="A322" t="inlineStr">
        <is>
          <t>A 63947-2025</t>
        </is>
      </c>
      <c r="B322" s="1" t="n">
        <v>46010</v>
      </c>
      <c r="C322" s="1" t="n">
        <v>46109</v>
      </c>
      <c r="D322" t="inlineStr">
        <is>
          <t>SÖDERMANLANDS LÄN</t>
        </is>
      </c>
      <c r="E322" t="inlineStr">
        <is>
          <t>KATRINEHOLM</t>
        </is>
      </c>
      <c r="F322" t="inlineStr">
        <is>
          <t>Allmännings- och besparingsskogar</t>
        </is>
      </c>
      <c r="G322" t="n">
        <v>4.8</v>
      </c>
      <c r="H322" t="n">
        <v>0</v>
      </c>
      <c r="I322" t="n">
        <v>0</v>
      </c>
      <c r="J322" t="n">
        <v>0</v>
      </c>
      <c r="K322" t="n">
        <v>0</v>
      </c>
      <c r="L322" t="n">
        <v>0</v>
      </c>
      <c r="M322" t="n">
        <v>0</v>
      </c>
      <c r="N322" t="n">
        <v>0</v>
      </c>
      <c r="O322" t="n">
        <v>0</v>
      </c>
      <c r="P322" t="n">
        <v>0</v>
      </c>
      <c r="Q322" t="n">
        <v>0</v>
      </c>
      <c r="R322" s="2" t="inlineStr"/>
    </row>
    <row r="323" ht="15" customHeight="1">
      <c r="A323" t="inlineStr">
        <is>
          <t>A 63949-2025</t>
        </is>
      </c>
      <c r="B323" s="1" t="n">
        <v>46010</v>
      </c>
      <c r="C323" s="1" t="n">
        <v>46109</v>
      </c>
      <c r="D323" t="inlineStr">
        <is>
          <t>SÖDERMANLANDS LÄN</t>
        </is>
      </c>
      <c r="E323" t="inlineStr">
        <is>
          <t>KATRINEHOLM</t>
        </is>
      </c>
      <c r="F323" t="inlineStr">
        <is>
          <t>Allmännings- och besparingsskogar</t>
        </is>
      </c>
      <c r="G323" t="n">
        <v>5.1</v>
      </c>
      <c r="H323" t="n">
        <v>0</v>
      </c>
      <c r="I323" t="n">
        <v>0</v>
      </c>
      <c r="J323" t="n">
        <v>0</v>
      </c>
      <c r="K323" t="n">
        <v>0</v>
      </c>
      <c r="L323" t="n">
        <v>0</v>
      </c>
      <c r="M323" t="n">
        <v>0</v>
      </c>
      <c r="N323" t="n">
        <v>0</v>
      </c>
      <c r="O323" t="n">
        <v>0</v>
      </c>
      <c r="P323" t="n">
        <v>0</v>
      </c>
      <c r="Q323" t="n">
        <v>0</v>
      </c>
      <c r="R323" s="2" t="inlineStr"/>
    </row>
    <row r="324" ht="15" customHeight="1">
      <c r="A324" t="inlineStr">
        <is>
          <t>A 26156-2025</t>
        </is>
      </c>
      <c r="B324" s="1" t="n">
        <v>45805.43864583333</v>
      </c>
      <c r="C324" s="1" t="n">
        <v>46109</v>
      </c>
      <c r="D324" t="inlineStr">
        <is>
          <t>SÖDERMANLANDS LÄN</t>
        </is>
      </c>
      <c r="E324" t="inlineStr">
        <is>
          <t>KATRINEHOLM</t>
        </is>
      </c>
      <c r="G324" t="n">
        <v>4.1</v>
      </c>
      <c r="H324" t="n">
        <v>0</v>
      </c>
      <c r="I324" t="n">
        <v>0</v>
      </c>
      <c r="J324" t="n">
        <v>0</v>
      </c>
      <c r="K324" t="n">
        <v>0</v>
      </c>
      <c r="L324" t="n">
        <v>0</v>
      </c>
      <c r="M324" t="n">
        <v>0</v>
      </c>
      <c r="N324" t="n">
        <v>0</v>
      </c>
      <c r="O324" t="n">
        <v>0</v>
      </c>
      <c r="P324" t="n">
        <v>0</v>
      </c>
      <c r="Q324" t="n">
        <v>0</v>
      </c>
      <c r="R324" s="2" t="inlineStr"/>
    </row>
    <row r="325" ht="15" customHeight="1">
      <c r="A325" t="inlineStr">
        <is>
          <t>A 3939-2022</t>
        </is>
      </c>
      <c r="B325" s="1" t="n">
        <v>44587</v>
      </c>
      <c r="C325" s="1" t="n">
        <v>46109</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56074-2022</t>
        </is>
      </c>
      <c r="B326" s="1" t="n">
        <v>44889</v>
      </c>
      <c r="C326" s="1" t="n">
        <v>46109</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c r="T326">
        <f>HYPERLINK("https://klasma.github.io/Logging_0483/kartor/A 56074-2022 karta.png", "A 56074-2022")</f>
        <v/>
      </c>
      <c r="V326">
        <f>HYPERLINK("https://klasma.github.io/Logging_0483/klagomål/A 56074-2022 FSC-klagomål.docx", "A 56074-2022")</f>
        <v/>
      </c>
      <c r="W326">
        <f>HYPERLINK("https://klasma.github.io/Logging_0483/klagomålsmail/A 56074-2022 FSC-klagomål mail.docx", "A 56074-2022")</f>
        <v/>
      </c>
      <c r="X326">
        <f>HYPERLINK("https://klasma.github.io/Logging_0483/tillsyn/A 56074-2022 tillsynsbegäran.docx", "A 56074-2022")</f>
        <v/>
      </c>
      <c r="Y326">
        <f>HYPERLINK("https://klasma.github.io/Logging_0483/tillsynsmail/A 56074-2022 tillsynsbegäran mail.docx", "A 56074-2022")</f>
        <v/>
      </c>
    </row>
    <row r="327" ht="15" customHeight="1">
      <c r="A327" t="inlineStr">
        <is>
          <t>A 63948-2025</t>
        </is>
      </c>
      <c r="B327" s="1" t="n">
        <v>46010</v>
      </c>
      <c r="C327" s="1" t="n">
        <v>46109</v>
      </c>
      <c r="D327" t="inlineStr">
        <is>
          <t>SÖDERMANLANDS LÄN</t>
        </is>
      </c>
      <c r="E327" t="inlineStr">
        <is>
          <t>KATRINEHOLM</t>
        </is>
      </c>
      <c r="F327" t="inlineStr">
        <is>
          <t>Allmännings- och besparingsskogar</t>
        </is>
      </c>
      <c r="G327" t="n">
        <v>4.9</v>
      </c>
      <c r="H327" t="n">
        <v>0</v>
      </c>
      <c r="I327" t="n">
        <v>0</v>
      </c>
      <c r="J327" t="n">
        <v>0</v>
      </c>
      <c r="K327" t="n">
        <v>0</v>
      </c>
      <c r="L327" t="n">
        <v>0</v>
      </c>
      <c r="M327" t="n">
        <v>0</v>
      </c>
      <c r="N327" t="n">
        <v>0</v>
      </c>
      <c r="O327" t="n">
        <v>0</v>
      </c>
      <c r="P327" t="n">
        <v>0</v>
      </c>
      <c r="Q327" t="n">
        <v>0</v>
      </c>
      <c r="R327" s="2" t="inlineStr"/>
    </row>
    <row r="328" ht="15" customHeight="1">
      <c r="A328" t="inlineStr">
        <is>
          <t>A 61915-2021</t>
        </is>
      </c>
      <c r="B328" s="1" t="n">
        <v>44502.36780092592</v>
      </c>
      <c r="C328" s="1" t="n">
        <v>46109</v>
      </c>
      <c r="D328" t="inlineStr">
        <is>
          <t>SÖDERMANLANDS LÄN</t>
        </is>
      </c>
      <c r="E328" t="inlineStr">
        <is>
          <t>KATRINEHOLM</t>
        </is>
      </c>
      <c r="G328" t="n">
        <v>2.6</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46109</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4656-2023</t>
        </is>
      </c>
      <c r="B330" s="1" t="n">
        <v>44957</v>
      </c>
      <c r="C330" s="1" t="n">
        <v>46109</v>
      </c>
      <c r="D330" t="inlineStr">
        <is>
          <t>SÖDERMANLANDS LÄN</t>
        </is>
      </c>
      <c r="E330" t="inlineStr">
        <is>
          <t>KATRINEHOLM</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46109</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59093-2024</t>
        </is>
      </c>
      <c r="B332" s="1" t="n">
        <v>45636</v>
      </c>
      <c r="C332" s="1" t="n">
        <v>46109</v>
      </c>
      <c r="D332" t="inlineStr">
        <is>
          <t>SÖDERMANLANDS LÄN</t>
        </is>
      </c>
      <c r="E332" t="inlineStr">
        <is>
          <t>KATRINEHOLM</t>
        </is>
      </c>
      <c r="G332" t="n">
        <v>2.8</v>
      </c>
      <c r="H332" t="n">
        <v>0</v>
      </c>
      <c r="I332" t="n">
        <v>0</v>
      </c>
      <c r="J332" t="n">
        <v>0</v>
      </c>
      <c r="K332" t="n">
        <v>0</v>
      </c>
      <c r="L332" t="n">
        <v>0</v>
      </c>
      <c r="M332" t="n">
        <v>0</v>
      </c>
      <c r="N332" t="n">
        <v>0</v>
      </c>
      <c r="O332" t="n">
        <v>0</v>
      </c>
      <c r="P332" t="n">
        <v>0</v>
      </c>
      <c r="Q332" t="n">
        <v>0</v>
      </c>
      <c r="R332" s="2" t="inlineStr"/>
    </row>
    <row r="333" ht="15" customHeight="1">
      <c r="A333" t="inlineStr">
        <is>
          <t>A 38872-2024</t>
        </is>
      </c>
      <c r="B333" s="1" t="n">
        <v>45547</v>
      </c>
      <c r="C333" s="1" t="n">
        <v>46109</v>
      </c>
      <c r="D333" t="inlineStr">
        <is>
          <t>SÖDERMANLANDS LÄN</t>
        </is>
      </c>
      <c r="E333" t="inlineStr">
        <is>
          <t>KATRINEHOLM</t>
        </is>
      </c>
      <c r="G333" t="n">
        <v>5.7</v>
      </c>
      <c r="H333" t="n">
        <v>0</v>
      </c>
      <c r="I333" t="n">
        <v>0</v>
      </c>
      <c r="J333" t="n">
        <v>0</v>
      </c>
      <c r="K333" t="n">
        <v>0</v>
      </c>
      <c r="L333" t="n">
        <v>0</v>
      </c>
      <c r="M333" t="n">
        <v>0</v>
      </c>
      <c r="N333" t="n">
        <v>0</v>
      </c>
      <c r="O333" t="n">
        <v>0</v>
      </c>
      <c r="P333" t="n">
        <v>0</v>
      </c>
      <c r="Q333" t="n">
        <v>0</v>
      </c>
      <c r="R333" s="2" t="inlineStr"/>
    </row>
    <row r="334" ht="15" customHeight="1">
      <c r="A334" t="inlineStr">
        <is>
          <t>A 63895-2025</t>
        </is>
      </c>
      <c r="B334" s="1" t="n">
        <v>46020</v>
      </c>
      <c r="C334" s="1" t="n">
        <v>46109</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54873-2025</t>
        </is>
      </c>
      <c r="B335" s="1" t="n">
        <v>45967</v>
      </c>
      <c r="C335" s="1" t="n">
        <v>46109</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9932-2023</t>
        </is>
      </c>
      <c r="B336" s="1" t="n">
        <v>44985.46709490741</v>
      </c>
      <c r="C336" s="1" t="n">
        <v>46109</v>
      </c>
      <c r="D336" t="inlineStr">
        <is>
          <t>SÖDERMANLANDS LÄN</t>
        </is>
      </c>
      <c r="E336" t="inlineStr">
        <is>
          <t>KATRINEHOLM</t>
        </is>
      </c>
      <c r="G336" t="n">
        <v>0.3</v>
      </c>
      <c r="H336" t="n">
        <v>0</v>
      </c>
      <c r="I336" t="n">
        <v>0</v>
      </c>
      <c r="J336" t="n">
        <v>0</v>
      </c>
      <c r="K336" t="n">
        <v>0</v>
      </c>
      <c r="L336" t="n">
        <v>0</v>
      </c>
      <c r="M336" t="n">
        <v>0</v>
      </c>
      <c r="N336" t="n">
        <v>0</v>
      </c>
      <c r="O336" t="n">
        <v>0</v>
      </c>
      <c r="P336" t="n">
        <v>0</v>
      </c>
      <c r="Q336" t="n">
        <v>0</v>
      </c>
      <c r="R336" s="2" t="inlineStr"/>
    </row>
    <row r="337" ht="15" customHeight="1">
      <c r="A337" t="inlineStr">
        <is>
          <t>A 9192-2023</t>
        </is>
      </c>
      <c r="B337" s="1" t="n">
        <v>44980</v>
      </c>
      <c r="C337" s="1" t="n">
        <v>46109</v>
      </c>
      <c r="D337" t="inlineStr">
        <is>
          <t>SÖDERMANLANDS LÄN</t>
        </is>
      </c>
      <c r="E337" t="inlineStr">
        <is>
          <t>KATRINEHOLM</t>
        </is>
      </c>
      <c r="F337" t="inlineStr">
        <is>
          <t>Övriga Aktiebolag</t>
        </is>
      </c>
      <c r="G337" t="n">
        <v>1.6</v>
      </c>
      <c r="H337" t="n">
        <v>0</v>
      </c>
      <c r="I337" t="n">
        <v>0</v>
      </c>
      <c r="J337" t="n">
        <v>0</v>
      </c>
      <c r="K337" t="n">
        <v>0</v>
      </c>
      <c r="L337" t="n">
        <v>0</v>
      </c>
      <c r="M337" t="n">
        <v>0</v>
      </c>
      <c r="N337" t="n">
        <v>0</v>
      </c>
      <c r="O337" t="n">
        <v>0</v>
      </c>
      <c r="P337" t="n">
        <v>0</v>
      </c>
      <c r="Q337" t="n">
        <v>0</v>
      </c>
      <c r="R337" s="2" t="inlineStr"/>
    </row>
    <row r="338" ht="15" customHeight="1">
      <c r="A338" t="inlineStr">
        <is>
          <t>A 15399-2022</t>
        </is>
      </c>
      <c r="B338" s="1" t="n">
        <v>44659</v>
      </c>
      <c r="C338" s="1" t="n">
        <v>46109</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11872-2023</t>
        </is>
      </c>
      <c r="B339" s="1" t="n">
        <v>44995</v>
      </c>
      <c r="C339" s="1" t="n">
        <v>46109</v>
      </c>
      <c r="D339" t="inlineStr">
        <is>
          <t>SÖDERMANLANDS LÄN</t>
        </is>
      </c>
      <c r="E339" t="inlineStr">
        <is>
          <t>KATRINEHOLM</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49092-2024</t>
        </is>
      </c>
      <c r="B340" s="1" t="n">
        <v>45594.63619212963</v>
      </c>
      <c r="C340" s="1" t="n">
        <v>46109</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49095-2024</t>
        </is>
      </c>
      <c r="B341" s="1" t="n">
        <v>45594.63828703704</v>
      </c>
      <c r="C341" s="1" t="n">
        <v>46109</v>
      </c>
      <c r="D341" t="inlineStr">
        <is>
          <t>SÖDERMANLANDS LÄN</t>
        </is>
      </c>
      <c r="E341" t="inlineStr">
        <is>
          <t>KATRINEHOLM</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46109</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10341-2022</t>
        </is>
      </c>
      <c r="B343" s="1" t="n">
        <v>44623</v>
      </c>
      <c r="C343" s="1" t="n">
        <v>46109</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46288-2025</t>
        </is>
      </c>
      <c r="B344" s="1" t="n">
        <v>45925.38545138889</v>
      </c>
      <c r="C344" s="1" t="n">
        <v>46109</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12835-2024</t>
        </is>
      </c>
      <c r="B345" s="1" t="n">
        <v>45384</v>
      </c>
      <c r="C345" s="1" t="n">
        <v>46109</v>
      </c>
      <c r="D345" t="inlineStr">
        <is>
          <t>SÖDERMANLANDS LÄN</t>
        </is>
      </c>
      <c r="E345" t="inlineStr">
        <is>
          <t>KATRINEHOLM</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1098-2026</t>
        </is>
      </c>
      <c r="B346" s="1" t="n">
        <v>46030.66519675926</v>
      </c>
      <c r="C346" s="1" t="n">
        <v>46109</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1106-2026</t>
        </is>
      </c>
      <c r="B347" s="1" t="n">
        <v>46030.67123842592</v>
      </c>
      <c r="C347" s="1" t="n">
        <v>46109</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25716-2022</t>
        </is>
      </c>
      <c r="B348" s="1" t="n">
        <v>44733.39600694444</v>
      </c>
      <c r="C348" s="1" t="n">
        <v>46109</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6807-2023</t>
        </is>
      </c>
      <c r="B349" s="1" t="n">
        <v>44964</v>
      </c>
      <c r="C349" s="1" t="n">
        <v>46109</v>
      </c>
      <c r="D349" t="inlineStr">
        <is>
          <t>SÖDERMANLANDS LÄN</t>
        </is>
      </c>
      <c r="E349" t="inlineStr">
        <is>
          <t>KATRINEHOLM</t>
        </is>
      </c>
      <c r="G349" t="n">
        <v>1.2</v>
      </c>
      <c r="H349" t="n">
        <v>0</v>
      </c>
      <c r="I349" t="n">
        <v>0</v>
      </c>
      <c r="J349" t="n">
        <v>0</v>
      </c>
      <c r="K349" t="n">
        <v>0</v>
      </c>
      <c r="L349" t="n">
        <v>0</v>
      </c>
      <c r="M349" t="n">
        <v>0</v>
      </c>
      <c r="N349" t="n">
        <v>0</v>
      </c>
      <c r="O349" t="n">
        <v>0</v>
      </c>
      <c r="P349" t="n">
        <v>0</v>
      </c>
      <c r="Q349" t="n">
        <v>0</v>
      </c>
      <c r="R349" s="2" t="inlineStr"/>
    </row>
    <row r="350" ht="15" customHeight="1">
      <c r="A350" t="inlineStr">
        <is>
          <t>A 9668-2023</t>
        </is>
      </c>
      <c r="B350" s="1" t="n">
        <v>44984.41238425926</v>
      </c>
      <c r="C350" s="1" t="n">
        <v>46109</v>
      </c>
      <c r="D350" t="inlineStr">
        <is>
          <t>SÖDERMANLANDS LÄN</t>
        </is>
      </c>
      <c r="E350" t="inlineStr">
        <is>
          <t>KATRINEHOLM</t>
        </is>
      </c>
      <c r="G350" t="n">
        <v>4.8</v>
      </c>
      <c r="H350" t="n">
        <v>0</v>
      </c>
      <c r="I350" t="n">
        <v>0</v>
      </c>
      <c r="J350" t="n">
        <v>0</v>
      </c>
      <c r="K350" t="n">
        <v>0</v>
      </c>
      <c r="L350" t="n">
        <v>0</v>
      </c>
      <c r="M350" t="n">
        <v>0</v>
      </c>
      <c r="N350" t="n">
        <v>0</v>
      </c>
      <c r="O350" t="n">
        <v>0</v>
      </c>
      <c r="P350" t="n">
        <v>0</v>
      </c>
      <c r="Q350" t="n">
        <v>0</v>
      </c>
      <c r="R350" s="2" t="inlineStr"/>
    </row>
    <row r="351" ht="15" customHeight="1">
      <c r="A351" t="inlineStr">
        <is>
          <t>A 46524-2025</t>
        </is>
      </c>
      <c r="B351" s="1" t="n">
        <v>45926</v>
      </c>
      <c r="C351" s="1" t="n">
        <v>46109</v>
      </c>
      <c r="D351" t="inlineStr">
        <is>
          <t>SÖDERMANLANDS LÄN</t>
        </is>
      </c>
      <c r="E351" t="inlineStr">
        <is>
          <t>KATRINEHOLM</t>
        </is>
      </c>
      <c r="G351" t="n">
        <v>5.7</v>
      </c>
      <c r="H351" t="n">
        <v>0</v>
      </c>
      <c r="I351" t="n">
        <v>0</v>
      </c>
      <c r="J351" t="n">
        <v>0</v>
      </c>
      <c r="K351" t="n">
        <v>0</v>
      </c>
      <c r="L351" t="n">
        <v>0</v>
      </c>
      <c r="M351" t="n">
        <v>0</v>
      </c>
      <c r="N351" t="n">
        <v>0</v>
      </c>
      <c r="O351" t="n">
        <v>0</v>
      </c>
      <c r="P351" t="n">
        <v>0</v>
      </c>
      <c r="Q351" t="n">
        <v>0</v>
      </c>
      <c r="R351" s="2" t="inlineStr"/>
    </row>
    <row r="352" ht="15" customHeight="1">
      <c r="A352" t="inlineStr">
        <is>
          <t>A 9044-2022</t>
        </is>
      </c>
      <c r="B352" s="1" t="n">
        <v>44602</v>
      </c>
      <c r="C352" s="1" t="n">
        <v>46109</v>
      </c>
      <c r="D352" t="inlineStr">
        <is>
          <t>SÖDERMANLANDS LÄN</t>
        </is>
      </c>
      <c r="E352" t="inlineStr">
        <is>
          <t>KATRINEHOLM</t>
        </is>
      </c>
      <c r="G352" t="n">
        <v>5.8</v>
      </c>
      <c r="H352" t="n">
        <v>0</v>
      </c>
      <c r="I352" t="n">
        <v>0</v>
      </c>
      <c r="J352" t="n">
        <v>0</v>
      </c>
      <c r="K352" t="n">
        <v>0</v>
      </c>
      <c r="L352" t="n">
        <v>0</v>
      </c>
      <c r="M352" t="n">
        <v>0</v>
      </c>
      <c r="N352" t="n">
        <v>0</v>
      </c>
      <c r="O352" t="n">
        <v>0</v>
      </c>
      <c r="P352" t="n">
        <v>0</v>
      </c>
      <c r="Q352" t="n">
        <v>0</v>
      </c>
      <c r="R352" s="2" t="inlineStr"/>
    </row>
    <row r="353" ht="15" customHeight="1">
      <c r="A353" t="inlineStr">
        <is>
          <t>A 1112-2026</t>
        </is>
      </c>
      <c r="B353" s="1" t="n">
        <v>46030.68107638889</v>
      </c>
      <c r="C353" s="1" t="n">
        <v>46109</v>
      </c>
      <c r="D353" t="inlineStr">
        <is>
          <t>SÖDERMANLANDS LÄN</t>
        </is>
      </c>
      <c r="E353" t="inlineStr">
        <is>
          <t>KATRINEHOLM</t>
        </is>
      </c>
      <c r="G353" t="n">
        <v>3.2</v>
      </c>
      <c r="H353" t="n">
        <v>0</v>
      </c>
      <c r="I353" t="n">
        <v>0</v>
      </c>
      <c r="J353" t="n">
        <v>0</v>
      </c>
      <c r="K353" t="n">
        <v>0</v>
      </c>
      <c r="L353" t="n">
        <v>0</v>
      </c>
      <c r="M353" t="n">
        <v>0</v>
      </c>
      <c r="N353" t="n">
        <v>0</v>
      </c>
      <c r="O353" t="n">
        <v>0</v>
      </c>
      <c r="P353" t="n">
        <v>0</v>
      </c>
      <c r="Q353" t="n">
        <v>0</v>
      </c>
      <c r="R353" s="2" t="inlineStr"/>
    </row>
    <row r="354" ht="15" customHeight="1">
      <c r="A354" t="inlineStr">
        <is>
          <t>A 1114-2026</t>
        </is>
      </c>
      <c r="B354" s="1" t="n">
        <v>46030.684375</v>
      </c>
      <c r="C354" s="1" t="n">
        <v>46109</v>
      </c>
      <c r="D354" t="inlineStr">
        <is>
          <t>SÖDERMANLANDS LÄN</t>
        </is>
      </c>
      <c r="E354" t="inlineStr">
        <is>
          <t>KATRINEHOLM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48091-2024</t>
        </is>
      </c>
      <c r="B355" s="1" t="n">
        <v>45590</v>
      </c>
      <c r="C355" s="1" t="n">
        <v>46109</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24097-2022</t>
        </is>
      </c>
      <c r="B356" s="1" t="n">
        <v>44725.39371527778</v>
      </c>
      <c r="C356" s="1" t="n">
        <v>46109</v>
      </c>
      <c r="D356" t="inlineStr">
        <is>
          <t>SÖDERMANLANDS LÄN</t>
        </is>
      </c>
      <c r="E356" t="inlineStr">
        <is>
          <t>KATRINEHOLM</t>
        </is>
      </c>
      <c r="G356" t="n">
        <v>6.5</v>
      </c>
      <c r="H356" t="n">
        <v>0</v>
      </c>
      <c r="I356" t="n">
        <v>0</v>
      </c>
      <c r="J356" t="n">
        <v>0</v>
      </c>
      <c r="K356" t="n">
        <v>0</v>
      </c>
      <c r="L356" t="n">
        <v>0</v>
      </c>
      <c r="M356" t="n">
        <v>0</v>
      </c>
      <c r="N356" t="n">
        <v>0</v>
      </c>
      <c r="O356" t="n">
        <v>0</v>
      </c>
      <c r="P356" t="n">
        <v>0</v>
      </c>
      <c r="Q356" t="n">
        <v>0</v>
      </c>
      <c r="R356" s="2" t="inlineStr"/>
    </row>
    <row r="357" ht="15" customHeight="1">
      <c r="A357" t="inlineStr">
        <is>
          <t>A 46670-2021</t>
        </is>
      </c>
      <c r="B357" s="1" t="n">
        <v>44445</v>
      </c>
      <c r="C357" s="1" t="n">
        <v>46109</v>
      </c>
      <c r="D357" t="inlineStr">
        <is>
          <t>SÖDERMANLANDS LÄN</t>
        </is>
      </c>
      <c r="E357" t="inlineStr">
        <is>
          <t>KATRINEHOLM</t>
        </is>
      </c>
      <c r="G357" t="n">
        <v>4.4</v>
      </c>
      <c r="H357" t="n">
        <v>0</v>
      </c>
      <c r="I357" t="n">
        <v>0</v>
      </c>
      <c r="J357" t="n">
        <v>0</v>
      </c>
      <c r="K357" t="n">
        <v>0</v>
      </c>
      <c r="L357" t="n">
        <v>0</v>
      </c>
      <c r="M357" t="n">
        <v>0</v>
      </c>
      <c r="N357" t="n">
        <v>0</v>
      </c>
      <c r="O357" t="n">
        <v>0</v>
      </c>
      <c r="P357" t="n">
        <v>0</v>
      </c>
      <c r="Q357" t="n">
        <v>0</v>
      </c>
      <c r="R357" s="2" t="inlineStr"/>
    </row>
    <row r="358" ht="15" customHeight="1">
      <c r="A358" t="inlineStr">
        <is>
          <t>A 10091-2026</t>
        </is>
      </c>
      <c r="B358" s="1" t="n">
        <v>46073.70451388889</v>
      </c>
      <c r="C358" s="1" t="n">
        <v>46109</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62954-2023</t>
        </is>
      </c>
      <c r="B359" s="1" t="n">
        <v>45272.55362268518</v>
      </c>
      <c r="C359" s="1" t="n">
        <v>46109</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58651-2023</t>
        </is>
      </c>
      <c r="B360" s="1" t="n">
        <v>45247</v>
      </c>
      <c r="C360" s="1" t="n">
        <v>46109</v>
      </c>
      <c r="D360" t="inlineStr">
        <is>
          <t>SÖDERMANLANDS LÄN</t>
        </is>
      </c>
      <c r="E360" t="inlineStr">
        <is>
          <t>KATRINEHOLM</t>
        </is>
      </c>
      <c r="G360" t="n">
        <v>2.7</v>
      </c>
      <c r="H360" t="n">
        <v>0</v>
      </c>
      <c r="I360" t="n">
        <v>0</v>
      </c>
      <c r="J360" t="n">
        <v>0</v>
      </c>
      <c r="K360" t="n">
        <v>0</v>
      </c>
      <c r="L360" t="n">
        <v>0</v>
      </c>
      <c r="M360" t="n">
        <v>0</v>
      </c>
      <c r="N360" t="n">
        <v>0</v>
      </c>
      <c r="O360" t="n">
        <v>0</v>
      </c>
      <c r="P360" t="n">
        <v>0</v>
      </c>
      <c r="Q360" t="n">
        <v>0</v>
      </c>
      <c r="R360" s="2" t="inlineStr"/>
    </row>
    <row r="361" ht="15" customHeight="1">
      <c r="A361" t="inlineStr">
        <is>
          <t>A 1668-2026</t>
        </is>
      </c>
      <c r="B361" s="1" t="n">
        <v>46034.55986111111</v>
      </c>
      <c r="C361" s="1" t="n">
        <v>46109</v>
      </c>
      <c r="D361" t="inlineStr">
        <is>
          <t>SÖDERMANLANDS LÄN</t>
        </is>
      </c>
      <c r="E361" t="inlineStr">
        <is>
          <t>KATRINEHOLM</t>
        </is>
      </c>
      <c r="G361" t="n">
        <v>4.1</v>
      </c>
      <c r="H361" t="n">
        <v>0</v>
      </c>
      <c r="I361" t="n">
        <v>0</v>
      </c>
      <c r="J361" t="n">
        <v>0</v>
      </c>
      <c r="K361" t="n">
        <v>0</v>
      </c>
      <c r="L361" t="n">
        <v>0</v>
      </c>
      <c r="M361" t="n">
        <v>0</v>
      </c>
      <c r="N361" t="n">
        <v>0</v>
      </c>
      <c r="O361" t="n">
        <v>0</v>
      </c>
      <c r="P361" t="n">
        <v>0</v>
      </c>
      <c r="Q361" t="n">
        <v>0</v>
      </c>
      <c r="R361" s="2" t="inlineStr"/>
    </row>
    <row r="362" ht="15" customHeight="1">
      <c r="A362" t="inlineStr">
        <is>
          <t>A 6446-2022</t>
        </is>
      </c>
      <c r="B362" s="1" t="n">
        <v>44600</v>
      </c>
      <c r="C362" s="1" t="n">
        <v>46109</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10086-2026</t>
        </is>
      </c>
      <c r="B363" s="1" t="n">
        <v>46073.68959490741</v>
      </c>
      <c r="C363" s="1" t="n">
        <v>46109</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27534-2025</t>
        </is>
      </c>
      <c r="B364" s="1" t="n">
        <v>45813</v>
      </c>
      <c r="C364" s="1" t="n">
        <v>46109</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27552-2025</t>
        </is>
      </c>
      <c r="B365" s="1" t="n">
        <v>45813</v>
      </c>
      <c r="C365" s="1" t="n">
        <v>46109</v>
      </c>
      <c r="D365" t="inlineStr">
        <is>
          <t>SÖDERMANLANDS LÄN</t>
        </is>
      </c>
      <c r="E365" t="inlineStr">
        <is>
          <t>KATRINEHOLM</t>
        </is>
      </c>
      <c r="G365" t="n">
        <v>0.7</v>
      </c>
      <c r="H365" t="n">
        <v>0</v>
      </c>
      <c r="I365" t="n">
        <v>0</v>
      </c>
      <c r="J365" t="n">
        <v>0</v>
      </c>
      <c r="K365" t="n">
        <v>0</v>
      </c>
      <c r="L365" t="n">
        <v>0</v>
      </c>
      <c r="M365" t="n">
        <v>0</v>
      </c>
      <c r="N365" t="n">
        <v>0</v>
      </c>
      <c r="O365" t="n">
        <v>0</v>
      </c>
      <c r="P365" t="n">
        <v>0</v>
      </c>
      <c r="Q365" t="n">
        <v>0</v>
      </c>
      <c r="R365" s="2" t="inlineStr"/>
    </row>
    <row r="366" ht="15" customHeight="1">
      <c r="A366" t="inlineStr">
        <is>
          <t>A 10892-2026</t>
        </is>
      </c>
      <c r="B366" s="1" t="n">
        <v>46078.8040625</v>
      </c>
      <c r="C366" s="1" t="n">
        <v>46109</v>
      </c>
      <c r="D366" t="inlineStr">
        <is>
          <t>SÖDERMANLANDS LÄN</t>
        </is>
      </c>
      <c r="E366" t="inlineStr">
        <is>
          <t>KATRINEHOLM</t>
        </is>
      </c>
      <c r="F366" t="inlineStr">
        <is>
          <t>Allmännings- och besparingsskogar</t>
        </is>
      </c>
      <c r="G366" t="n">
        <v>3</v>
      </c>
      <c r="H366" t="n">
        <v>0</v>
      </c>
      <c r="I366" t="n">
        <v>0</v>
      </c>
      <c r="J366" t="n">
        <v>0</v>
      </c>
      <c r="K366" t="n">
        <v>0</v>
      </c>
      <c r="L366" t="n">
        <v>0</v>
      </c>
      <c r="M366" t="n">
        <v>0</v>
      </c>
      <c r="N366" t="n">
        <v>0</v>
      </c>
      <c r="O366" t="n">
        <v>0</v>
      </c>
      <c r="P366" t="n">
        <v>0</v>
      </c>
      <c r="Q366" t="n">
        <v>0</v>
      </c>
      <c r="R366" s="2" t="inlineStr"/>
    </row>
    <row r="367" ht="15" customHeight="1">
      <c r="A367" t="inlineStr">
        <is>
          <t>A 51923-2023</t>
        </is>
      </c>
      <c r="B367" s="1" t="n">
        <v>45223</v>
      </c>
      <c r="C367" s="1" t="n">
        <v>46109</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10721-2026</t>
        </is>
      </c>
      <c r="B368" s="1" t="n">
        <v>46078.46894675926</v>
      </c>
      <c r="C368" s="1" t="n">
        <v>46109</v>
      </c>
      <c r="D368" t="inlineStr">
        <is>
          <t>SÖDERMANLANDS LÄN</t>
        </is>
      </c>
      <c r="E368" t="inlineStr">
        <is>
          <t>KATRINEHOLM</t>
        </is>
      </c>
      <c r="F368" t="inlineStr">
        <is>
          <t>Allmännings- och besparingsskogar</t>
        </is>
      </c>
      <c r="G368" t="n">
        <v>1.8</v>
      </c>
      <c r="H368" t="n">
        <v>0</v>
      </c>
      <c r="I368" t="n">
        <v>0</v>
      </c>
      <c r="J368" t="n">
        <v>0</v>
      </c>
      <c r="K368" t="n">
        <v>0</v>
      </c>
      <c r="L368" t="n">
        <v>0</v>
      </c>
      <c r="M368" t="n">
        <v>0</v>
      </c>
      <c r="N368" t="n">
        <v>0</v>
      </c>
      <c r="O368" t="n">
        <v>0</v>
      </c>
      <c r="P368" t="n">
        <v>0</v>
      </c>
      <c r="Q368" t="n">
        <v>0</v>
      </c>
      <c r="R368" s="2" t="inlineStr"/>
    </row>
    <row r="369" ht="15" customHeight="1">
      <c r="A369" t="inlineStr">
        <is>
          <t>A 27636-2025</t>
        </is>
      </c>
      <c r="B369" s="1" t="n">
        <v>45813.57603009259</v>
      </c>
      <c r="C369" s="1" t="n">
        <v>46109</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24600-2025</t>
        </is>
      </c>
      <c r="B370" s="1" t="n">
        <v>45798.56348379629</v>
      </c>
      <c r="C370" s="1" t="n">
        <v>46109</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49743-2025</t>
        </is>
      </c>
      <c r="B371" s="1" t="n">
        <v>45940</v>
      </c>
      <c r="C371" s="1" t="n">
        <v>46109</v>
      </c>
      <c r="D371" t="inlineStr">
        <is>
          <t>SÖDERMANLANDS LÄN</t>
        </is>
      </c>
      <c r="E371" t="inlineStr">
        <is>
          <t>KATRINEHOLM</t>
        </is>
      </c>
      <c r="G371" t="n">
        <v>1.1</v>
      </c>
      <c r="H371" t="n">
        <v>0</v>
      </c>
      <c r="I371" t="n">
        <v>0</v>
      </c>
      <c r="J371" t="n">
        <v>0</v>
      </c>
      <c r="K371" t="n">
        <v>0</v>
      </c>
      <c r="L371" t="n">
        <v>0</v>
      </c>
      <c r="M371" t="n">
        <v>0</v>
      </c>
      <c r="N371" t="n">
        <v>0</v>
      </c>
      <c r="O371" t="n">
        <v>0</v>
      </c>
      <c r="P371" t="n">
        <v>0</v>
      </c>
      <c r="Q371" t="n">
        <v>0</v>
      </c>
      <c r="R371" s="2" t="inlineStr"/>
    </row>
    <row r="372" ht="15" customHeight="1">
      <c r="A372" t="inlineStr">
        <is>
          <t>A 35608-2024</t>
        </is>
      </c>
      <c r="B372" s="1" t="n">
        <v>45531</v>
      </c>
      <c r="C372" s="1" t="n">
        <v>46109</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12633-2022</t>
        </is>
      </c>
      <c r="B373" s="1" t="n">
        <v>44638</v>
      </c>
      <c r="C373" s="1" t="n">
        <v>46109</v>
      </c>
      <c r="D373" t="inlineStr">
        <is>
          <t>SÖDERMANLANDS LÄN</t>
        </is>
      </c>
      <c r="E373" t="inlineStr">
        <is>
          <t>KATRINEHOLM</t>
        </is>
      </c>
      <c r="G373" t="n">
        <v>6.4</v>
      </c>
      <c r="H373" t="n">
        <v>0</v>
      </c>
      <c r="I373" t="n">
        <v>0</v>
      </c>
      <c r="J373" t="n">
        <v>0</v>
      </c>
      <c r="K373" t="n">
        <v>0</v>
      </c>
      <c r="L373" t="n">
        <v>0</v>
      </c>
      <c r="M373" t="n">
        <v>0</v>
      </c>
      <c r="N373" t="n">
        <v>0</v>
      </c>
      <c r="O373" t="n">
        <v>0</v>
      </c>
      <c r="P373" t="n">
        <v>0</v>
      </c>
      <c r="Q373" t="n">
        <v>0</v>
      </c>
      <c r="R373" s="2" t="inlineStr"/>
    </row>
    <row r="374" ht="15" customHeight="1">
      <c r="A374" t="inlineStr">
        <is>
          <t>A 29189-2025</t>
        </is>
      </c>
      <c r="B374" s="1" t="n">
        <v>45822</v>
      </c>
      <c r="C374" s="1" t="n">
        <v>46109</v>
      </c>
      <c r="D374" t="inlineStr">
        <is>
          <t>SÖDERMANLANDS LÄN</t>
        </is>
      </c>
      <c r="E374" t="inlineStr">
        <is>
          <t>KATRINEHOLM</t>
        </is>
      </c>
      <c r="G374" t="n">
        <v>3.5</v>
      </c>
      <c r="H374" t="n">
        <v>0</v>
      </c>
      <c r="I374" t="n">
        <v>0</v>
      </c>
      <c r="J374" t="n">
        <v>0</v>
      </c>
      <c r="K374" t="n">
        <v>0</v>
      </c>
      <c r="L374" t="n">
        <v>0</v>
      </c>
      <c r="M374" t="n">
        <v>0</v>
      </c>
      <c r="N374" t="n">
        <v>0</v>
      </c>
      <c r="O374" t="n">
        <v>0</v>
      </c>
      <c r="P374" t="n">
        <v>0</v>
      </c>
      <c r="Q374" t="n">
        <v>0</v>
      </c>
      <c r="R374" s="2" t="inlineStr"/>
    </row>
    <row r="375" ht="15" customHeight="1">
      <c r="A375" t="inlineStr">
        <is>
          <t>A 10891-2026</t>
        </is>
      </c>
      <c r="B375" s="1" t="n">
        <v>46078.78545138889</v>
      </c>
      <c r="C375" s="1" t="n">
        <v>46109</v>
      </c>
      <c r="D375" t="inlineStr">
        <is>
          <t>SÖDERMANLANDS LÄN</t>
        </is>
      </c>
      <c r="E375" t="inlineStr">
        <is>
          <t>KATRINEHOLM</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10893-2026</t>
        </is>
      </c>
      <c r="B376" s="1" t="n">
        <v>46078.81072916667</v>
      </c>
      <c r="C376" s="1" t="n">
        <v>46109</v>
      </c>
      <c r="D376" t="inlineStr">
        <is>
          <t>SÖDERMANLANDS LÄN</t>
        </is>
      </c>
      <c r="E376" t="inlineStr">
        <is>
          <t>KATRINEHOLM</t>
        </is>
      </c>
      <c r="F376" t="inlineStr">
        <is>
          <t>Allmännings- och besparingsskogar</t>
        </is>
      </c>
      <c r="G376" t="n">
        <v>2</v>
      </c>
      <c r="H376" t="n">
        <v>0</v>
      </c>
      <c r="I376" t="n">
        <v>0</v>
      </c>
      <c r="J376" t="n">
        <v>0</v>
      </c>
      <c r="K376" t="n">
        <v>0</v>
      </c>
      <c r="L376" t="n">
        <v>0</v>
      </c>
      <c r="M376" t="n">
        <v>0</v>
      </c>
      <c r="N376" t="n">
        <v>0</v>
      </c>
      <c r="O376" t="n">
        <v>0</v>
      </c>
      <c r="P376" t="n">
        <v>0</v>
      </c>
      <c r="Q376" t="n">
        <v>0</v>
      </c>
      <c r="R376" s="2" t="inlineStr"/>
    </row>
    <row r="377" ht="15" customHeight="1">
      <c r="A377" t="inlineStr">
        <is>
          <t>A 30050-2025</t>
        </is>
      </c>
      <c r="B377" s="1" t="n">
        <v>45826.59151620371</v>
      </c>
      <c r="C377" s="1" t="n">
        <v>46109</v>
      </c>
      <c r="D377" t="inlineStr">
        <is>
          <t>SÖDERMANLANDS LÄN</t>
        </is>
      </c>
      <c r="E377" t="inlineStr">
        <is>
          <t>KATRINEHOLM</t>
        </is>
      </c>
      <c r="G377" t="n">
        <v>7.9</v>
      </c>
      <c r="H377" t="n">
        <v>0</v>
      </c>
      <c r="I377" t="n">
        <v>0</v>
      </c>
      <c r="J377" t="n">
        <v>0</v>
      </c>
      <c r="K377" t="n">
        <v>0</v>
      </c>
      <c r="L377" t="n">
        <v>0</v>
      </c>
      <c r="M377" t="n">
        <v>0</v>
      </c>
      <c r="N377" t="n">
        <v>0</v>
      </c>
      <c r="O377" t="n">
        <v>0</v>
      </c>
      <c r="P377" t="n">
        <v>0</v>
      </c>
      <c r="Q377" t="n">
        <v>0</v>
      </c>
      <c r="R377" s="2" t="inlineStr"/>
    </row>
    <row r="378" ht="15" customHeight="1">
      <c r="A378" t="inlineStr">
        <is>
          <t>A 30070-2025</t>
        </is>
      </c>
      <c r="B378" s="1" t="n">
        <v>45826.63324074074</v>
      </c>
      <c r="C378" s="1" t="n">
        <v>46109</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18386-2025</t>
        </is>
      </c>
      <c r="B379" s="1" t="n">
        <v>45762</v>
      </c>
      <c r="C379" s="1" t="n">
        <v>46109</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3125-2024</t>
        </is>
      </c>
      <c r="B380" s="1" t="n">
        <v>45316</v>
      </c>
      <c r="C380" s="1" t="n">
        <v>46109</v>
      </c>
      <c r="D380" t="inlineStr">
        <is>
          <t>SÖDERMANLANDS LÄN</t>
        </is>
      </c>
      <c r="E380" t="inlineStr">
        <is>
          <t>KATRINEHOLM</t>
        </is>
      </c>
      <c r="G380" t="n">
        <v>3.4</v>
      </c>
      <c r="H380" t="n">
        <v>0</v>
      </c>
      <c r="I380" t="n">
        <v>0</v>
      </c>
      <c r="J380" t="n">
        <v>0</v>
      </c>
      <c r="K380" t="n">
        <v>0</v>
      </c>
      <c r="L380" t="n">
        <v>0</v>
      </c>
      <c r="M380" t="n">
        <v>0</v>
      </c>
      <c r="N380" t="n">
        <v>0</v>
      </c>
      <c r="O380" t="n">
        <v>0</v>
      </c>
      <c r="P380" t="n">
        <v>0</v>
      </c>
      <c r="Q380" t="n">
        <v>0</v>
      </c>
      <c r="R380" s="2" t="inlineStr"/>
    </row>
    <row r="381" ht="15" customHeight="1">
      <c r="A381" t="inlineStr">
        <is>
          <t>A 35183-2022</t>
        </is>
      </c>
      <c r="B381" s="1" t="n">
        <v>44797</v>
      </c>
      <c r="C381" s="1" t="n">
        <v>46109</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2645-2026</t>
        </is>
      </c>
      <c r="B382" s="1" t="n">
        <v>46037.62321759259</v>
      </c>
      <c r="C382" s="1" t="n">
        <v>46109</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2672-2026</t>
        </is>
      </c>
      <c r="B383" s="1" t="n">
        <v>46037</v>
      </c>
      <c r="C383" s="1" t="n">
        <v>46109</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2913-2026</t>
        </is>
      </c>
      <c r="B384" s="1" t="n">
        <v>46038.56913194444</v>
      </c>
      <c r="C384" s="1" t="n">
        <v>46109</v>
      </c>
      <c r="D384" t="inlineStr">
        <is>
          <t>SÖDERMANLANDS LÄN</t>
        </is>
      </c>
      <c r="E384" t="inlineStr">
        <is>
          <t>KATRINEHOLM</t>
        </is>
      </c>
      <c r="F384" t="inlineStr">
        <is>
          <t>Övriga Aktiebolag</t>
        </is>
      </c>
      <c r="G384" t="n">
        <v>6.2</v>
      </c>
      <c r="H384" t="n">
        <v>0</v>
      </c>
      <c r="I384" t="n">
        <v>0</v>
      </c>
      <c r="J384" t="n">
        <v>0</v>
      </c>
      <c r="K384" t="n">
        <v>0</v>
      </c>
      <c r="L384" t="n">
        <v>0</v>
      </c>
      <c r="M384" t="n">
        <v>0</v>
      </c>
      <c r="N384" t="n">
        <v>0</v>
      </c>
      <c r="O384" t="n">
        <v>0</v>
      </c>
      <c r="P384" t="n">
        <v>0</v>
      </c>
      <c r="Q384" t="n">
        <v>0</v>
      </c>
      <c r="R384" s="2" t="inlineStr"/>
    </row>
    <row r="385" ht="15" customHeight="1">
      <c r="A385" t="inlineStr">
        <is>
          <t>A 42519-2024</t>
        </is>
      </c>
      <c r="B385" s="1" t="n">
        <v>45565</v>
      </c>
      <c r="C385" s="1" t="n">
        <v>46109</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20826-2022</t>
        </is>
      </c>
      <c r="B386" s="1" t="n">
        <v>44701.44754629629</v>
      </c>
      <c r="C386" s="1" t="n">
        <v>46109</v>
      </c>
      <c r="D386" t="inlineStr">
        <is>
          <t>SÖDERMANLANDS LÄN</t>
        </is>
      </c>
      <c r="E386" t="inlineStr">
        <is>
          <t>KATRINEHOLM</t>
        </is>
      </c>
      <c r="G386" t="n">
        <v>6.8</v>
      </c>
      <c r="H386" t="n">
        <v>0</v>
      </c>
      <c r="I386" t="n">
        <v>0</v>
      </c>
      <c r="J386" t="n">
        <v>0</v>
      </c>
      <c r="K386" t="n">
        <v>0</v>
      </c>
      <c r="L386" t="n">
        <v>0</v>
      </c>
      <c r="M386" t="n">
        <v>0</v>
      </c>
      <c r="N386" t="n">
        <v>0</v>
      </c>
      <c r="O386" t="n">
        <v>0</v>
      </c>
      <c r="P386" t="n">
        <v>0</v>
      </c>
      <c r="Q386" t="n">
        <v>0</v>
      </c>
      <c r="R386" s="2" t="inlineStr"/>
    </row>
    <row r="387" ht="15" customHeight="1">
      <c r="A387" t="inlineStr">
        <is>
          <t>A 20846-2022</t>
        </is>
      </c>
      <c r="B387" s="1" t="n">
        <v>44701.4744212963</v>
      </c>
      <c r="C387" s="1" t="n">
        <v>46109</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2473-2026</t>
        </is>
      </c>
      <c r="B388" s="1" t="n">
        <v>46037.37704861111</v>
      </c>
      <c r="C388" s="1" t="n">
        <v>46109</v>
      </c>
      <c r="D388" t="inlineStr">
        <is>
          <t>SÖDERMANLANDS LÄN</t>
        </is>
      </c>
      <c r="E388" t="inlineStr">
        <is>
          <t>KATRINEHOLM</t>
        </is>
      </c>
      <c r="F388" t="inlineStr">
        <is>
          <t>Övriga Aktiebolag</t>
        </is>
      </c>
      <c r="G388" t="n">
        <v>3.6</v>
      </c>
      <c r="H388" t="n">
        <v>0</v>
      </c>
      <c r="I388" t="n">
        <v>0</v>
      </c>
      <c r="J388" t="n">
        <v>0</v>
      </c>
      <c r="K388" t="n">
        <v>0</v>
      </c>
      <c r="L388" t="n">
        <v>0</v>
      </c>
      <c r="M388" t="n">
        <v>0</v>
      </c>
      <c r="N388" t="n">
        <v>0</v>
      </c>
      <c r="O388" t="n">
        <v>0</v>
      </c>
      <c r="P388" t="n">
        <v>0</v>
      </c>
      <c r="Q388" t="n">
        <v>0</v>
      </c>
      <c r="R388" s="2" t="inlineStr"/>
    </row>
    <row r="389" ht="15" customHeight="1">
      <c r="A389" t="inlineStr">
        <is>
          <t>A 50934-2025</t>
        </is>
      </c>
      <c r="B389" s="1" t="n">
        <v>45946.69195601852</v>
      </c>
      <c r="C389" s="1" t="n">
        <v>46109</v>
      </c>
      <c r="D389" t="inlineStr">
        <is>
          <t>SÖDERMANLANDS LÄN</t>
        </is>
      </c>
      <c r="E389" t="inlineStr">
        <is>
          <t>KATRINEHOLM</t>
        </is>
      </c>
      <c r="G389" t="n">
        <v>2</v>
      </c>
      <c r="H389" t="n">
        <v>0</v>
      </c>
      <c r="I389" t="n">
        <v>0</v>
      </c>
      <c r="J389" t="n">
        <v>0</v>
      </c>
      <c r="K389" t="n">
        <v>0</v>
      </c>
      <c r="L389" t="n">
        <v>0</v>
      </c>
      <c r="M389" t="n">
        <v>0</v>
      </c>
      <c r="N389" t="n">
        <v>0</v>
      </c>
      <c r="O389" t="n">
        <v>0</v>
      </c>
      <c r="P389" t="n">
        <v>0</v>
      </c>
      <c r="Q389" t="n">
        <v>0</v>
      </c>
      <c r="R389" s="2" t="inlineStr"/>
    </row>
    <row r="390" ht="15" customHeight="1">
      <c r="A390" t="inlineStr">
        <is>
          <t>A 30287-2025</t>
        </is>
      </c>
      <c r="B390" s="1" t="n">
        <v>45827</v>
      </c>
      <c r="C390" s="1" t="n">
        <v>46109</v>
      </c>
      <c r="D390" t="inlineStr">
        <is>
          <t>SÖDERMANLANDS LÄN</t>
        </is>
      </c>
      <c r="E390" t="inlineStr">
        <is>
          <t>KATRINEHOLM</t>
        </is>
      </c>
      <c r="G390" t="n">
        <v>10.2</v>
      </c>
      <c r="H390" t="n">
        <v>0</v>
      </c>
      <c r="I390" t="n">
        <v>0</v>
      </c>
      <c r="J390" t="n">
        <v>0</v>
      </c>
      <c r="K390" t="n">
        <v>0</v>
      </c>
      <c r="L390" t="n">
        <v>0</v>
      </c>
      <c r="M390" t="n">
        <v>0</v>
      </c>
      <c r="N390" t="n">
        <v>0</v>
      </c>
      <c r="O390" t="n">
        <v>0</v>
      </c>
      <c r="P390" t="n">
        <v>0</v>
      </c>
      <c r="Q390" t="n">
        <v>0</v>
      </c>
      <c r="R390" s="2" t="inlineStr"/>
    </row>
    <row r="391" ht="15" customHeight="1">
      <c r="A391" t="inlineStr">
        <is>
          <t>A 49078-2024</t>
        </is>
      </c>
      <c r="B391" s="1" t="n">
        <v>45594.62556712963</v>
      </c>
      <c r="C391" s="1" t="n">
        <v>46109</v>
      </c>
      <c r="D391" t="inlineStr">
        <is>
          <t>SÖDERMANLANDS LÄN</t>
        </is>
      </c>
      <c r="E391" t="inlineStr">
        <is>
          <t>KATRINEHOLM</t>
        </is>
      </c>
      <c r="F391" t="inlineStr">
        <is>
          <t>Övriga Aktiebolag</t>
        </is>
      </c>
      <c r="G391" t="n">
        <v>0.4</v>
      </c>
      <c r="H391" t="n">
        <v>0</v>
      </c>
      <c r="I391" t="n">
        <v>0</v>
      </c>
      <c r="J391" t="n">
        <v>0</v>
      </c>
      <c r="K391" t="n">
        <v>0</v>
      </c>
      <c r="L391" t="n">
        <v>0</v>
      </c>
      <c r="M391" t="n">
        <v>0</v>
      </c>
      <c r="N391" t="n">
        <v>0</v>
      </c>
      <c r="O391" t="n">
        <v>0</v>
      </c>
      <c r="P391" t="n">
        <v>0</v>
      </c>
      <c r="Q391" t="n">
        <v>0</v>
      </c>
      <c r="R391" s="2" t="inlineStr"/>
    </row>
    <row r="392" ht="15" customHeight="1">
      <c r="A392" t="inlineStr">
        <is>
          <t>A 51440-2024</t>
        </is>
      </c>
      <c r="B392" s="1" t="n">
        <v>45604</v>
      </c>
      <c r="C392" s="1" t="n">
        <v>46109</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30350-2025</t>
        </is>
      </c>
      <c r="B393" s="1" t="n">
        <v>45827.53319444445</v>
      </c>
      <c r="C393" s="1" t="n">
        <v>46109</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30352-2025</t>
        </is>
      </c>
      <c r="B394" s="1" t="n">
        <v>45827</v>
      </c>
      <c r="C394" s="1" t="n">
        <v>46109</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47879-2023</t>
        </is>
      </c>
      <c r="B395" s="1" t="n">
        <v>45204</v>
      </c>
      <c r="C395" s="1" t="n">
        <v>46109</v>
      </c>
      <c r="D395" t="inlineStr">
        <is>
          <t>SÖDERMANLANDS LÄN</t>
        </is>
      </c>
      <c r="E395" t="inlineStr">
        <is>
          <t>KATRINEHOLM</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11130-2026</t>
        </is>
      </c>
      <c r="B396" s="1" t="n">
        <v>46079.70384259259</v>
      </c>
      <c r="C396" s="1" t="n">
        <v>46109</v>
      </c>
      <c r="D396" t="inlineStr">
        <is>
          <t>SÖDERMANLANDS LÄN</t>
        </is>
      </c>
      <c r="E396" t="inlineStr">
        <is>
          <t>KATRINEHOLM</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12975-2022</t>
        </is>
      </c>
      <c r="B397" s="1" t="n">
        <v>44643</v>
      </c>
      <c r="C397" s="1" t="n">
        <v>46109</v>
      </c>
      <c r="D397" t="inlineStr">
        <is>
          <t>SÖDERMANLANDS LÄN</t>
        </is>
      </c>
      <c r="E397" t="inlineStr">
        <is>
          <t>KATRINEHOLM</t>
        </is>
      </c>
      <c r="G397" t="n">
        <v>2.4</v>
      </c>
      <c r="H397" t="n">
        <v>0</v>
      </c>
      <c r="I397" t="n">
        <v>0</v>
      </c>
      <c r="J397" t="n">
        <v>0</v>
      </c>
      <c r="K397" t="n">
        <v>0</v>
      </c>
      <c r="L397" t="n">
        <v>0</v>
      </c>
      <c r="M397" t="n">
        <v>0</v>
      </c>
      <c r="N397" t="n">
        <v>0</v>
      </c>
      <c r="O397" t="n">
        <v>0</v>
      </c>
      <c r="P397" t="n">
        <v>0</v>
      </c>
      <c r="Q397" t="n">
        <v>0</v>
      </c>
      <c r="R397" s="2" t="inlineStr"/>
    </row>
    <row r="398" ht="15" customHeight="1">
      <c r="A398" t="inlineStr">
        <is>
          <t>A 51260-2021</t>
        </is>
      </c>
      <c r="B398" s="1" t="n">
        <v>44461</v>
      </c>
      <c r="C398" s="1" t="n">
        <v>46109</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53843-2023</t>
        </is>
      </c>
      <c r="B399" s="1" t="n">
        <v>45230</v>
      </c>
      <c r="C399" s="1" t="n">
        <v>46109</v>
      </c>
      <c r="D399" t="inlineStr">
        <is>
          <t>SÖDERMANLANDS LÄN</t>
        </is>
      </c>
      <c r="E399" t="inlineStr">
        <is>
          <t>KATRINEHOLM</t>
        </is>
      </c>
      <c r="G399" t="n">
        <v>14.2</v>
      </c>
      <c r="H399" t="n">
        <v>0</v>
      </c>
      <c r="I399" t="n">
        <v>0</v>
      </c>
      <c r="J399" t="n">
        <v>0</v>
      </c>
      <c r="K399" t="n">
        <v>0</v>
      </c>
      <c r="L399" t="n">
        <v>0</v>
      </c>
      <c r="M399" t="n">
        <v>0</v>
      </c>
      <c r="N399" t="n">
        <v>0</v>
      </c>
      <c r="O399" t="n">
        <v>0</v>
      </c>
      <c r="P399" t="n">
        <v>0</v>
      </c>
      <c r="Q399" t="n">
        <v>0</v>
      </c>
      <c r="R399" s="2" t="inlineStr"/>
    </row>
    <row r="400" ht="15" customHeight="1">
      <c r="A400" t="inlineStr">
        <is>
          <t>A 51367-2025</t>
        </is>
      </c>
      <c r="B400" s="1" t="n">
        <v>45950.44700231482</v>
      </c>
      <c r="C400" s="1" t="n">
        <v>46109</v>
      </c>
      <c r="D400" t="inlineStr">
        <is>
          <t>SÖDERMANLANDS LÄN</t>
        </is>
      </c>
      <c r="E400" t="inlineStr">
        <is>
          <t>KATRINEHOLM</t>
        </is>
      </c>
      <c r="G400" t="n">
        <v>2.7</v>
      </c>
      <c r="H400" t="n">
        <v>0</v>
      </c>
      <c r="I400" t="n">
        <v>0</v>
      </c>
      <c r="J400" t="n">
        <v>0</v>
      </c>
      <c r="K400" t="n">
        <v>0</v>
      </c>
      <c r="L400" t="n">
        <v>0</v>
      </c>
      <c r="M400" t="n">
        <v>0</v>
      </c>
      <c r="N400" t="n">
        <v>0</v>
      </c>
      <c r="O400" t="n">
        <v>0</v>
      </c>
      <c r="P400" t="n">
        <v>0</v>
      </c>
      <c r="Q400" t="n">
        <v>0</v>
      </c>
      <c r="R400" s="2" t="inlineStr"/>
    </row>
    <row r="401" ht="15" customHeight="1">
      <c r="A401" t="inlineStr">
        <is>
          <t>A 11621-2026</t>
        </is>
      </c>
      <c r="B401" s="1" t="n">
        <v>46084.46734953704</v>
      </c>
      <c r="C401" s="1" t="n">
        <v>46109</v>
      </c>
      <c r="D401" t="inlineStr">
        <is>
          <t>SÖDERMANLANDS LÄN</t>
        </is>
      </c>
      <c r="E401" t="inlineStr">
        <is>
          <t>KATRINEHOLM</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11677-2026</t>
        </is>
      </c>
      <c r="B402" s="1" t="n">
        <v>46084.56711805556</v>
      </c>
      <c r="C402" s="1" t="n">
        <v>46109</v>
      </c>
      <c r="D402" t="inlineStr">
        <is>
          <t>SÖDERMANLANDS LÄN</t>
        </is>
      </c>
      <c r="E402" t="inlineStr">
        <is>
          <t>KATRINEHOLM</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30386-2025</t>
        </is>
      </c>
      <c r="B403" s="1" t="n">
        <v>45827</v>
      </c>
      <c r="C403" s="1" t="n">
        <v>46109</v>
      </c>
      <c r="D403" t="inlineStr">
        <is>
          <t>SÖDERMANLANDS LÄN</t>
        </is>
      </c>
      <c r="E403" t="inlineStr">
        <is>
          <t>KATRINEHOLM</t>
        </is>
      </c>
      <c r="G403" t="n">
        <v>5.6</v>
      </c>
      <c r="H403" t="n">
        <v>0</v>
      </c>
      <c r="I403" t="n">
        <v>0</v>
      </c>
      <c r="J403" t="n">
        <v>0</v>
      </c>
      <c r="K403" t="n">
        <v>0</v>
      </c>
      <c r="L403" t="n">
        <v>0</v>
      </c>
      <c r="M403" t="n">
        <v>0</v>
      </c>
      <c r="N403" t="n">
        <v>0</v>
      </c>
      <c r="O403" t="n">
        <v>0</v>
      </c>
      <c r="P403" t="n">
        <v>0</v>
      </c>
      <c r="Q403" t="n">
        <v>0</v>
      </c>
      <c r="R403" s="2" t="inlineStr"/>
    </row>
    <row r="404" ht="15" customHeight="1">
      <c r="A404" t="inlineStr">
        <is>
          <t>A 30402-2025</t>
        </is>
      </c>
      <c r="B404" s="1" t="n">
        <v>45827</v>
      </c>
      <c r="C404" s="1" t="n">
        <v>46109</v>
      </c>
      <c r="D404" t="inlineStr">
        <is>
          <t>SÖDERMANLANDS LÄN</t>
        </is>
      </c>
      <c r="E404" t="inlineStr">
        <is>
          <t>KATRINEHOLM</t>
        </is>
      </c>
      <c r="G404" t="n">
        <v>7.1</v>
      </c>
      <c r="H404" t="n">
        <v>0</v>
      </c>
      <c r="I404" t="n">
        <v>0</v>
      </c>
      <c r="J404" t="n">
        <v>0</v>
      </c>
      <c r="K404" t="n">
        <v>0</v>
      </c>
      <c r="L404" t="n">
        <v>0</v>
      </c>
      <c r="M404" t="n">
        <v>0</v>
      </c>
      <c r="N404" t="n">
        <v>0</v>
      </c>
      <c r="O404" t="n">
        <v>0</v>
      </c>
      <c r="P404" t="n">
        <v>0</v>
      </c>
      <c r="Q404" t="n">
        <v>0</v>
      </c>
      <c r="R404" s="2" t="inlineStr"/>
    </row>
    <row r="405" ht="15" customHeight="1">
      <c r="A405" t="inlineStr">
        <is>
          <t>A 48763-2024</t>
        </is>
      </c>
      <c r="B405" s="1" t="n">
        <v>45593.60288194445</v>
      </c>
      <c r="C405" s="1" t="n">
        <v>46109</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14478-2023</t>
        </is>
      </c>
      <c r="B406" s="1" t="n">
        <v>45012.66421296296</v>
      </c>
      <c r="C406" s="1" t="n">
        <v>46109</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20921-2023</t>
        </is>
      </c>
      <c r="B407" s="1" t="n">
        <v>45061</v>
      </c>
      <c r="C407" s="1" t="n">
        <v>46109</v>
      </c>
      <c r="D407" t="inlineStr">
        <is>
          <t>SÖDERMANLANDS LÄN</t>
        </is>
      </c>
      <c r="E407" t="inlineStr">
        <is>
          <t>KATRINEHOLM</t>
        </is>
      </c>
      <c r="G407" t="n">
        <v>8.9</v>
      </c>
      <c r="H407" t="n">
        <v>0</v>
      </c>
      <c r="I407" t="n">
        <v>0</v>
      </c>
      <c r="J407" t="n">
        <v>0</v>
      </c>
      <c r="K407" t="n">
        <v>0</v>
      </c>
      <c r="L407" t="n">
        <v>0</v>
      </c>
      <c r="M407" t="n">
        <v>0</v>
      </c>
      <c r="N407" t="n">
        <v>0</v>
      </c>
      <c r="O407" t="n">
        <v>0</v>
      </c>
      <c r="P407" t="n">
        <v>0</v>
      </c>
      <c r="Q407" t="n">
        <v>0</v>
      </c>
      <c r="R407" s="2" t="inlineStr"/>
    </row>
    <row r="408" ht="15" customHeight="1">
      <c r="A408" t="inlineStr">
        <is>
          <t>A 12930-2023</t>
        </is>
      </c>
      <c r="B408" s="1" t="n">
        <v>45001</v>
      </c>
      <c r="C408" s="1" t="n">
        <v>46109</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12938-2023</t>
        </is>
      </c>
      <c r="B409" s="1" t="n">
        <v>45001</v>
      </c>
      <c r="C409" s="1" t="n">
        <v>46109</v>
      </c>
      <c r="D409" t="inlineStr">
        <is>
          <t>SÖDERMANLANDS LÄN</t>
        </is>
      </c>
      <c r="E409" t="inlineStr">
        <is>
          <t>KATRINEHOLM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12559-2023</t>
        </is>
      </c>
      <c r="B410" s="1" t="n">
        <v>45000.36373842593</v>
      </c>
      <c r="C410" s="1" t="n">
        <v>46109</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7704-2023</t>
        </is>
      </c>
      <c r="B411" s="1" t="n">
        <v>44968</v>
      </c>
      <c r="C411" s="1" t="n">
        <v>46109</v>
      </c>
      <c r="D411" t="inlineStr">
        <is>
          <t>SÖDERMANLANDS LÄN</t>
        </is>
      </c>
      <c r="E411" t="inlineStr">
        <is>
          <t>KATRINEHOLM</t>
        </is>
      </c>
      <c r="G411" t="n">
        <v>7.3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46109</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12937-2023</t>
        </is>
      </c>
      <c r="B413" s="1" t="n">
        <v>45001</v>
      </c>
      <c r="C413" s="1" t="n">
        <v>46109</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11127-2023</t>
        </is>
      </c>
      <c r="B414" s="1" t="n">
        <v>44987</v>
      </c>
      <c r="C414" s="1" t="n">
        <v>46109</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46109</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31376-2025</t>
        </is>
      </c>
      <c r="B416" s="1" t="n">
        <v>45833</v>
      </c>
      <c r="C416" s="1" t="n">
        <v>46109</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46109</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46109</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27345-2023</t>
        </is>
      </c>
      <c r="B419" s="1" t="n">
        <v>45096</v>
      </c>
      <c r="C419" s="1" t="n">
        <v>46109</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11666-2026</t>
        </is>
      </c>
      <c r="B420" s="1" t="n">
        <v>46084.55381944445</v>
      </c>
      <c r="C420" s="1" t="n">
        <v>46109</v>
      </c>
      <c r="D420" t="inlineStr">
        <is>
          <t>SÖDERMANLANDS LÄN</t>
        </is>
      </c>
      <c r="E420" t="inlineStr">
        <is>
          <t>KATRINEHOLM</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1151-2025</t>
        </is>
      </c>
      <c r="B421" s="1" t="n">
        <v>45666</v>
      </c>
      <c r="C421" s="1" t="n">
        <v>46109</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6808-2023</t>
        </is>
      </c>
      <c r="B422" s="1" t="n">
        <v>44964</v>
      </c>
      <c r="C422" s="1" t="n">
        <v>46109</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52242-2025</t>
        </is>
      </c>
      <c r="B423" s="1" t="n">
        <v>45953.46886574074</v>
      </c>
      <c r="C423" s="1" t="n">
        <v>46109</v>
      </c>
      <c r="D423" t="inlineStr">
        <is>
          <t>SÖDERMANLANDS LÄN</t>
        </is>
      </c>
      <c r="E423" t="inlineStr">
        <is>
          <t>KATRINEHOLM</t>
        </is>
      </c>
      <c r="G423" t="n">
        <v>5.3</v>
      </c>
      <c r="H423" t="n">
        <v>0</v>
      </c>
      <c r="I423" t="n">
        <v>0</v>
      </c>
      <c r="J423" t="n">
        <v>0</v>
      </c>
      <c r="K423" t="n">
        <v>0</v>
      </c>
      <c r="L423" t="n">
        <v>0</v>
      </c>
      <c r="M423" t="n">
        <v>0</v>
      </c>
      <c r="N423" t="n">
        <v>0</v>
      </c>
      <c r="O423" t="n">
        <v>0</v>
      </c>
      <c r="P423" t="n">
        <v>0</v>
      </c>
      <c r="Q423" t="n">
        <v>0</v>
      </c>
      <c r="R423" s="2" t="inlineStr"/>
    </row>
    <row r="424" ht="15" customHeight="1">
      <c r="A424" t="inlineStr">
        <is>
          <t>A 52239-2025</t>
        </is>
      </c>
      <c r="B424" s="1" t="n">
        <v>45953.46193287037</v>
      </c>
      <c r="C424" s="1" t="n">
        <v>46109</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52244-2025</t>
        </is>
      </c>
      <c r="B425" s="1" t="n">
        <v>45953</v>
      </c>
      <c r="C425" s="1" t="n">
        <v>46109</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31392-2025</t>
        </is>
      </c>
      <c r="B426" s="1" t="n">
        <v>45833</v>
      </c>
      <c r="C426" s="1" t="n">
        <v>46109</v>
      </c>
      <c r="D426" t="inlineStr">
        <is>
          <t>SÖDERMANLANDS LÄN</t>
        </is>
      </c>
      <c r="E426" t="inlineStr">
        <is>
          <t>KATRINEHOLM</t>
        </is>
      </c>
      <c r="G426" t="n">
        <v>5</v>
      </c>
      <c r="H426" t="n">
        <v>0</v>
      </c>
      <c r="I426" t="n">
        <v>0</v>
      </c>
      <c r="J426" t="n">
        <v>0</v>
      </c>
      <c r="K426" t="n">
        <v>0</v>
      </c>
      <c r="L426" t="n">
        <v>0</v>
      </c>
      <c r="M426" t="n">
        <v>0</v>
      </c>
      <c r="N426" t="n">
        <v>0</v>
      </c>
      <c r="O426" t="n">
        <v>0</v>
      </c>
      <c r="P426" t="n">
        <v>0</v>
      </c>
      <c r="Q426" t="n">
        <v>0</v>
      </c>
      <c r="R426" s="2" t="inlineStr"/>
    </row>
    <row r="427" ht="15" customHeight="1">
      <c r="A427" t="inlineStr">
        <is>
          <t>A 31386-2025</t>
        </is>
      </c>
      <c r="B427" s="1" t="n">
        <v>45833.45259259259</v>
      </c>
      <c r="C427" s="1" t="n">
        <v>46109</v>
      </c>
      <c r="D427" t="inlineStr">
        <is>
          <t>SÖDERMANLANDS LÄN</t>
        </is>
      </c>
      <c r="E427" t="inlineStr">
        <is>
          <t>KATRINEHOLM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61394-2024</t>
        </is>
      </c>
      <c r="B428" s="1" t="n">
        <v>45646.42061342593</v>
      </c>
      <c r="C428" s="1" t="n">
        <v>46109</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31990-2025</t>
        </is>
      </c>
      <c r="B429" s="1" t="n">
        <v>45835.36697916667</v>
      </c>
      <c r="C429" s="1" t="n">
        <v>46109</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46109</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18339-2023</t>
        </is>
      </c>
      <c r="B431" s="1" t="n">
        <v>45041</v>
      </c>
      <c r="C431" s="1" t="n">
        <v>46109</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58522-2024</t>
        </is>
      </c>
      <c r="B432" s="1" t="n">
        <v>45635.43770833333</v>
      </c>
      <c r="C432" s="1" t="n">
        <v>46109</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4889-2026</t>
        </is>
      </c>
      <c r="B433" s="1" t="n">
        <v>46048.66766203703</v>
      </c>
      <c r="C433" s="1" t="n">
        <v>46109</v>
      </c>
      <c r="D433" t="inlineStr">
        <is>
          <t>SÖDERMANLANDS LÄN</t>
        </is>
      </c>
      <c r="E433" t="inlineStr">
        <is>
          <t>KATRINEHOLM</t>
        </is>
      </c>
      <c r="F433" t="inlineStr">
        <is>
          <t>Övriga Aktiebolag</t>
        </is>
      </c>
      <c r="G433" t="n">
        <v>2.4</v>
      </c>
      <c r="H433" t="n">
        <v>0</v>
      </c>
      <c r="I433" t="n">
        <v>0</v>
      </c>
      <c r="J433" t="n">
        <v>0</v>
      </c>
      <c r="K433" t="n">
        <v>0</v>
      </c>
      <c r="L433" t="n">
        <v>0</v>
      </c>
      <c r="M433" t="n">
        <v>0</v>
      </c>
      <c r="N433" t="n">
        <v>0</v>
      </c>
      <c r="O433" t="n">
        <v>0</v>
      </c>
      <c r="P433" t="n">
        <v>0</v>
      </c>
      <c r="Q433" t="n">
        <v>0</v>
      </c>
      <c r="R433" s="2" t="inlineStr"/>
    </row>
    <row r="434" ht="15" customHeight="1">
      <c r="A434" t="inlineStr">
        <is>
          <t>A 53338-2025</t>
        </is>
      </c>
      <c r="B434" s="1" t="n">
        <v>45959.40447916667</v>
      </c>
      <c r="C434" s="1" t="n">
        <v>46109</v>
      </c>
      <c r="D434" t="inlineStr">
        <is>
          <t>SÖDERMANLANDS LÄN</t>
        </is>
      </c>
      <c r="E434" t="inlineStr">
        <is>
          <t>KATRINEHOLM</t>
        </is>
      </c>
      <c r="G434" t="n">
        <v>2.9</v>
      </c>
      <c r="H434" t="n">
        <v>0</v>
      </c>
      <c r="I434" t="n">
        <v>0</v>
      </c>
      <c r="J434" t="n">
        <v>0</v>
      </c>
      <c r="K434" t="n">
        <v>0</v>
      </c>
      <c r="L434" t="n">
        <v>0</v>
      </c>
      <c r="M434" t="n">
        <v>0</v>
      </c>
      <c r="N434" t="n">
        <v>0</v>
      </c>
      <c r="O434" t="n">
        <v>0</v>
      </c>
      <c r="P434" t="n">
        <v>0</v>
      </c>
      <c r="Q434" t="n">
        <v>0</v>
      </c>
      <c r="R434" s="2" t="inlineStr"/>
    </row>
    <row r="435" ht="15" customHeight="1">
      <c r="A435" t="inlineStr">
        <is>
          <t>A 47889-2023</t>
        </is>
      </c>
      <c r="B435" s="1" t="n">
        <v>45204</v>
      </c>
      <c r="C435" s="1" t="n">
        <v>46109</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34732-2022</t>
        </is>
      </c>
      <c r="B436" s="1" t="n">
        <v>44795</v>
      </c>
      <c r="C436" s="1" t="n">
        <v>46109</v>
      </c>
      <c r="D436" t="inlineStr">
        <is>
          <t>SÖDERMANLANDS LÄN</t>
        </is>
      </c>
      <c r="E436" t="inlineStr">
        <is>
          <t>KATRINEHOLM</t>
        </is>
      </c>
      <c r="G436" t="n">
        <v>3</v>
      </c>
      <c r="H436" t="n">
        <v>0</v>
      </c>
      <c r="I436" t="n">
        <v>0</v>
      </c>
      <c r="J436" t="n">
        <v>0</v>
      </c>
      <c r="K436" t="n">
        <v>0</v>
      </c>
      <c r="L436" t="n">
        <v>0</v>
      </c>
      <c r="M436" t="n">
        <v>0</v>
      </c>
      <c r="N436" t="n">
        <v>0</v>
      </c>
      <c r="O436" t="n">
        <v>0</v>
      </c>
      <c r="P436" t="n">
        <v>0</v>
      </c>
      <c r="Q436" t="n">
        <v>0</v>
      </c>
      <c r="R436" s="2" t="inlineStr"/>
    </row>
    <row r="437" ht="15" customHeight="1">
      <c r="A437" t="inlineStr">
        <is>
          <t>A 33469-2025</t>
        </is>
      </c>
      <c r="B437" s="1" t="n">
        <v>45841.48686342593</v>
      </c>
      <c r="C437" s="1" t="n">
        <v>46109</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33129-2025</t>
        </is>
      </c>
      <c r="B438" s="1" t="n">
        <v>45840.50141203704</v>
      </c>
      <c r="C438" s="1" t="n">
        <v>46109</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41548-2025</t>
        </is>
      </c>
      <c r="B439" s="1" t="n">
        <v>45901</v>
      </c>
      <c r="C439" s="1" t="n">
        <v>46109</v>
      </c>
      <c r="D439" t="inlineStr">
        <is>
          <t>SÖDERMANLANDS LÄN</t>
        </is>
      </c>
      <c r="E439" t="inlineStr">
        <is>
          <t>KATRINEHOLM</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33096-2025</t>
        </is>
      </c>
      <c r="B440" s="1" t="n">
        <v>45840.47563657408</v>
      </c>
      <c r="C440" s="1" t="n">
        <v>46109</v>
      </c>
      <c r="D440" t="inlineStr">
        <is>
          <t>SÖDERMANLANDS LÄN</t>
        </is>
      </c>
      <c r="E440" t="inlineStr">
        <is>
          <t>KATRINEHOLM</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33077-2025</t>
        </is>
      </c>
      <c r="B441" s="1" t="n">
        <v>45840.45864583334</v>
      </c>
      <c r="C441" s="1" t="n">
        <v>46109</v>
      </c>
      <c r="D441" t="inlineStr">
        <is>
          <t>SÖDERMANLANDS LÄN</t>
        </is>
      </c>
      <c r="E441" t="inlineStr">
        <is>
          <t>KATRINEHOLM</t>
        </is>
      </c>
      <c r="G441" t="n">
        <v>7</v>
      </c>
      <c r="H441" t="n">
        <v>0</v>
      </c>
      <c r="I441" t="n">
        <v>0</v>
      </c>
      <c r="J441" t="n">
        <v>0</v>
      </c>
      <c r="K441" t="n">
        <v>0</v>
      </c>
      <c r="L441" t="n">
        <v>0</v>
      </c>
      <c r="M441" t="n">
        <v>0</v>
      </c>
      <c r="N441" t="n">
        <v>0</v>
      </c>
      <c r="O441" t="n">
        <v>0</v>
      </c>
      <c r="P441" t="n">
        <v>0</v>
      </c>
      <c r="Q441" t="n">
        <v>0</v>
      </c>
      <c r="R441" s="2" t="inlineStr"/>
    </row>
    <row r="442" ht="15" customHeight="1">
      <c r="A442" t="inlineStr">
        <is>
          <t>A 33101-2025</t>
        </is>
      </c>
      <c r="B442" s="1" t="n">
        <v>45840.47953703703</v>
      </c>
      <c r="C442" s="1" t="n">
        <v>46109</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33090-2025</t>
        </is>
      </c>
      <c r="B443" s="1" t="n">
        <v>45840.46840277778</v>
      </c>
      <c r="C443" s="1" t="n">
        <v>46109</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54359-2025</t>
        </is>
      </c>
      <c r="B444" s="1" t="n">
        <v>45964</v>
      </c>
      <c r="C444" s="1" t="n">
        <v>46109</v>
      </c>
      <c r="D444" t="inlineStr">
        <is>
          <t>SÖDERMANLANDS LÄN</t>
        </is>
      </c>
      <c r="E444" t="inlineStr">
        <is>
          <t>KATRINEHOLM</t>
        </is>
      </c>
      <c r="G444" t="n">
        <v>2.5</v>
      </c>
      <c r="H444" t="n">
        <v>0</v>
      </c>
      <c r="I444" t="n">
        <v>0</v>
      </c>
      <c r="J444" t="n">
        <v>0</v>
      </c>
      <c r="K444" t="n">
        <v>0</v>
      </c>
      <c r="L444" t="n">
        <v>0</v>
      </c>
      <c r="M444" t="n">
        <v>0</v>
      </c>
      <c r="N444" t="n">
        <v>0</v>
      </c>
      <c r="O444" t="n">
        <v>0</v>
      </c>
      <c r="P444" t="n">
        <v>0</v>
      </c>
      <c r="Q444" t="n">
        <v>0</v>
      </c>
      <c r="R444" s="2" t="inlineStr"/>
    </row>
    <row r="445" ht="15" customHeight="1">
      <c r="A445" t="inlineStr">
        <is>
          <t>A 54395-2025</t>
        </is>
      </c>
      <c r="B445" s="1" t="n">
        <v>45964</v>
      </c>
      <c r="C445" s="1" t="n">
        <v>46109</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32166-2022</t>
        </is>
      </c>
      <c r="B446" s="1" t="n">
        <v>44781</v>
      </c>
      <c r="C446" s="1" t="n">
        <v>46109</v>
      </c>
      <c r="D446" t="inlineStr">
        <is>
          <t>SÖDERMANLANDS LÄN</t>
        </is>
      </c>
      <c r="E446" t="inlineStr">
        <is>
          <t>KATRINEHOLM</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32169-2022</t>
        </is>
      </c>
      <c r="B447" s="1" t="n">
        <v>44781</v>
      </c>
      <c r="C447" s="1" t="n">
        <v>46109</v>
      </c>
      <c r="D447" t="inlineStr">
        <is>
          <t>SÖDERMANLANDS LÄN</t>
        </is>
      </c>
      <c r="E447" t="inlineStr">
        <is>
          <t>KATRINEHOLM</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35864-2023</t>
        </is>
      </c>
      <c r="B448" s="1" t="n">
        <v>45147</v>
      </c>
      <c r="C448" s="1" t="n">
        <v>46109</v>
      </c>
      <c r="D448" t="inlineStr">
        <is>
          <t>SÖDERMANLANDS LÄN</t>
        </is>
      </c>
      <c r="E448" t="inlineStr">
        <is>
          <t>KATRINEHOLM</t>
        </is>
      </c>
      <c r="F448" t="inlineStr">
        <is>
          <t>Övriga Aktiebolag</t>
        </is>
      </c>
      <c r="G448" t="n">
        <v>4.7</v>
      </c>
      <c r="H448" t="n">
        <v>0</v>
      </c>
      <c r="I448" t="n">
        <v>0</v>
      </c>
      <c r="J448" t="n">
        <v>0</v>
      </c>
      <c r="K448" t="n">
        <v>0</v>
      </c>
      <c r="L448" t="n">
        <v>0</v>
      </c>
      <c r="M448" t="n">
        <v>0</v>
      </c>
      <c r="N448" t="n">
        <v>0</v>
      </c>
      <c r="O448" t="n">
        <v>0</v>
      </c>
      <c r="P448" t="n">
        <v>0</v>
      </c>
      <c r="Q448" t="n">
        <v>0</v>
      </c>
      <c r="R448" s="2" t="inlineStr"/>
    </row>
    <row r="449" ht="15" customHeight="1">
      <c r="A449" t="inlineStr">
        <is>
          <t>A 44637-2023</t>
        </is>
      </c>
      <c r="B449" s="1" t="n">
        <v>45189</v>
      </c>
      <c r="C449" s="1" t="n">
        <v>46109</v>
      </c>
      <c r="D449" t="inlineStr">
        <is>
          <t>SÖDERMANLANDS LÄN</t>
        </is>
      </c>
      <c r="E449" t="inlineStr">
        <is>
          <t>KATRINEHOLM</t>
        </is>
      </c>
      <c r="G449" t="n">
        <v>5.1</v>
      </c>
      <c r="H449" t="n">
        <v>0</v>
      </c>
      <c r="I449" t="n">
        <v>0</v>
      </c>
      <c r="J449" t="n">
        <v>0</v>
      </c>
      <c r="K449" t="n">
        <v>0</v>
      </c>
      <c r="L449" t="n">
        <v>0</v>
      </c>
      <c r="M449" t="n">
        <v>0</v>
      </c>
      <c r="N449" t="n">
        <v>0</v>
      </c>
      <c r="O449" t="n">
        <v>0</v>
      </c>
      <c r="P449" t="n">
        <v>0</v>
      </c>
      <c r="Q449" t="n">
        <v>0</v>
      </c>
      <c r="R449" s="2" t="inlineStr"/>
    </row>
    <row r="450" ht="15" customHeight="1">
      <c r="A450" t="inlineStr">
        <is>
          <t>A 12831-2026</t>
        </is>
      </c>
      <c r="B450" s="1" t="n">
        <v>46092.42416666666</v>
      </c>
      <c r="C450" s="1" t="n">
        <v>46109</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33084-2025</t>
        </is>
      </c>
      <c r="B451" s="1" t="n">
        <v>45840.46559027778</v>
      </c>
      <c r="C451" s="1" t="n">
        <v>46109</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46109</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54999-2025</t>
        </is>
      </c>
      <c r="B453" s="1" t="n">
        <v>45967.59880787037</v>
      </c>
      <c r="C453" s="1" t="n">
        <v>46109</v>
      </c>
      <c r="D453" t="inlineStr">
        <is>
          <t>SÖDERMANLANDS LÄN</t>
        </is>
      </c>
      <c r="E453" t="inlineStr">
        <is>
          <t>KATRINEHOLM</t>
        </is>
      </c>
      <c r="G453" t="n">
        <v>8.5</v>
      </c>
      <c r="H453" t="n">
        <v>0</v>
      </c>
      <c r="I453" t="n">
        <v>0</v>
      </c>
      <c r="J453" t="n">
        <v>0</v>
      </c>
      <c r="K453" t="n">
        <v>0</v>
      </c>
      <c r="L453" t="n">
        <v>0</v>
      </c>
      <c r="M453" t="n">
        <v>0</v>
      </c>
      <c r="N453" t="n">
        <v>0</v>
      </c>
      <c r="O453" t="n">
        <v>0</v>
      </c>
      <c r="P453" t="n">
        <v>0</v>
      </c>
      <c r="Q453" t="n">
        <v>0</v>
      </c>
      <c r="R453" s="2" t="inlineStr"/>
    </row>
    <row r="454" ht="15" customHeight="1">
      <c r="A454" t="inlineStr">
        <is>
          <t>A 5703-2026</t>
        </is>
      </c>
      <c r="B454" s="1" t="n">
        <v>46051.50774305555</v>
      </c>
      <c r="C454" s="1" t="n">
        <v>46109</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39055-2022</t>
        </is>
      </c>
      <c r="B455" s="1" t="n">
        <v>44817</v>
      </c>
      <c r="C455" s="1" t="n">
        <v>46109</v>
      </c>
      <c r="D455" t="inlineStr">
        <is>
          <t>SÖDERMANLANDS LÄN</t>
        </is>
      </c>
      <c r="E455" t="inlineStr">
        <is>
          <t>KATRINEHOLM</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46257-2021</t>
        </is>
      </c>
      <c r="B456" s="1" t="n">
        <v>44442</v>
      </c>
      <c r="C456" s="1" t="n">
        <v>46109</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33577-2025</t>
        </is>
      </c>
      <c r="B457" s="1" t="n">
        <v>45841.59056712963</v>
      </c>
      <c r="C457" s="1" t="n">
        <v>46109</v>
      </c>
      <c r="D457" t="inlineStr">
        <is>
          <t>SÖDERMANLANDS LÄN</t>
        </is>
      </c>
      <c r="E457" t="inlineStr">
        <is>
          <t>KATRINEHOLM</t>
        </is>
      </c>
      <c r="F457" t="inlineStr">
        <is>
          <t>Holmen skog AB</t>
        </is>
      </c>
      <c r="G457" t="n">
        <v>0.3</v>
      </c>
      <c r="H457" t="n">
        <v>0</v>
      </c>
      <c r="I457" t="n">
        <v>0</v>
      </c>
      <c r="J457" t="n">
        <v>0</v>
      </c>
      <c r="K457" t="n">
        <v>0</v>
      </c>
      <c r="L457" t="n">
        <v>0</v>
      </c>
      <c r="M457" t="n">
        <v>0</v>
      </c>
      <c r="N457" t="n">
        <v>0</v>
      </c>
      <c r="O457" t="n">
        <v>0</v>
      </c>
      <c r="P457" t="n">
        <v>0</v>
      </c>
      <c r="Q457" t="n">
        <v>0</v>
      </c>
      <c r="R457" s="2" t="inlineStr"/>
    </row>
    <row r="458" ht="15" customHeight="1">
      <c r="A458" t="inlineStr">
        <is>
          <t>A 52769-2023</t>
        </is>
      </c>
      <c r="B458" s="1" t="n">
        <v>45226</v>
      </c>
      <c r="C458" s="1" t="n">
        <v>46109</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4758-2025</t>
        </is>
      </c>
      <c r="B459" s="1" t="n">
        <v>45688</v>
      </c>
      <c r="C459" s="1" t="n">
        <v>46109</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27852-2023</t>
        </is>
      </c>
      <c r="B460" s="1" t="n">
        <v>45098</v>
      </c>
      <c r="C460" s="1" t="n">
        <v>46109</v>
      </c>
      <c r="D460" t="inlineStr">
        <is>
          <t>SÖDERMANLANDS LÄN</t>
        </is>
      </c>
      <c r="E460" t="inlineStr">
        <is>
          <t>KATRINEHOLM</t>
        </is>
      </c>
      <c r="G460" t="n">
        <v>7.4</v>
      </c>
      <c r="H460" t="n">
        <v>0</v>
      </c>
      <c r="I460" t="n">
        <v>0</v>
      </c>
      <c r="J460" t="n">
        <v>0</v>
      </c>
      <c r="K460" t="n">
        <v>0</v>
      </c>
      <c r="L460" t="n">
        <v>0</v>
      </c>
      <c r="M460" t="n">
        <v>0</v>
      </c>
      <c r="N460" t="n">
        <v>0</v>
      </c>
      <c r="O460" t="n">
        <v>0</v>
      </c>
      <c r="P460" t="n">
        <v>0</v>
      </c>
      <c r="Q460" t="n">
        <v>0</v>
      </c>
      <c r="R460" s="2" t="inlineStr"/>
    </row>
    <row r="461" ht="15" customHeight="1">
      <c r="A461" t="inlineStr">
        <is>
          <t>A 55829-2025</t>
        </is>
      </c>
      <c r="B461" s="1" t="n">
        <v>45972.79274305556</v>
      </c>
      <c r="C461" s="1" t="n">
        <v>46109</v>
      </c>
      <c r="D461" t="inlineStr">
        <is>
          <t>SÖDERMANLANDS LÄN</t>
        </is>
      </c>
      <c r="E461" t="inlineStr">
        <is>
          <t>KATRINEHOLM</t>
        </is>
      </c>
      <c r="G461" t="n">
        <v>3.2</v>
      </c>
      <c r="H461" t="n">
        <v>0</v>
      </c>
      <c r="I461" t="n">
        <v>0</v>
      </c>
      <c r="J461" t="n">
        <v>0</v>
      </c>
      <c r="K461" t="n">
        <v>0</v>
      </c>
      <c r="L461" t="n">
        <v>0</v>
      </c>
      <c r="M461" t="n">
        <v>0</v>
      </c>
      <c r="N461" t="n">
        <v>0</v>
      </c>
      <c r="O461" t="n">
        <v>0</v>
      </c>
      <c r="P461" t="n">
        <v>0</v>
      </c>
      <c r="Q461" t="n">
        <v>0</v>
      </c>
      <c r="R461" s="2" t="inlineStr"/>
    </row>
    <row r="462" ht="15" customHeight="1">
      <c r="A462" t="inlineStr">
        <is>
          <t>A 55832-2025</t>
        </is>
      </c>
      <c r="B462" s="1" t="n">
        <v>45972.81768518518</v>
      </c>
      <c r="C462" s="1" t="n">
        <v>46109</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28304-2024</t>
        </is>
      </c>
      <c r="B463" s="1" t="n">
        <v>45477</v>
      </c>
      <c r="C463" s="1" t="n">
        <v>46109</v>
      </c>
      <c r="D463" t="inlineStr">
        <is>
          <t>SÖDERMANLANDS LÄN</t>
        </is>
      </c>
      <c r="E463" t="inlineStr">
        <is>
          <t>KATRINEHOLM</t>
        </is>
      </c>
      <c r="G463" t="n">
        <v>3.8</v>
      </c>
      <c r="H463" t="n">
        <v>0</v>
      </c>
      <c r="I463" t="n">
        <v>0</v>
      </c>
      <c r="J463" t="n">
        <v>0</v>
      </c>
      <c r="K463" t="n">
        <v>0</v>
      </c>
      <c r="L463" t="n">
        <v>0</v>
      </c>
      <c r="M463" t="n">
        <v>0</v>
      </c>
      <c r="N463" t="n">
        <v>0</v>
      </c>
      <c r="O463" t="n">
        <v>0</v>
      </c>
      <c r="P463" t="n">
        <v>0</v>
      </c>
      <c r="Q463" t="n">
        <v>0</v>
      </c>
      <c r="R463" s="2" t="inlineStr"/>
    </row>
    <row r="464" ht="15" customHeight="1">
      <c r="A464" t="inlineStr">
        <is>
          <t>A 61911-2021</t>
        </is>
      </c>
      <c r="B464" s="1" t="n">
        <v>44502.35746527778</v>
      </c>
      <c r="C464" s="1" t="n">
        <v>46109</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33812-2025</t>
        </is>
      </c>
      <c r="B465" s="1" t="n">
        <v>45842</v>
      </c>
      <c r="C465" s="1" t="n">
        <v>46109</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33815-2025</t>
        </is>
      </c>
      <c r="B466" s="1" t="n">
        <v>45842</v>
      </c>
      <c r="C466" s="1" t="n">
        <v>46109</v>
      </c>
      <c r="D466" t="inlineStr">
        <is>
          <t>SÖDERMANLANDS LÄN</t>
        </is>
      </c>
      <c r="E466" t="inlineStr">
        <is>
          <t>KATRINEHOLM</t>
        </is>
      </c>
      <c r="G466" t="n">
        <v>3.4</v>
      </c>
      <c r="H466" t="n">
        <v>0</v>
      </c>
      <c r="I466" t="n">
        <v>0</v>
      </c>
      <c r="J466" t="n">
        <v>0</v>
      </c>
      <c r="K466" t="n">
        <v>0</v>
      </c>
      <c r="L466" t="n">
        <v>0</v>
      </c>
      <c r="M466" t="n">
        <v>0</v>
      </c>
      <c r="N466" t="n">
        <v>0</v>
      </c>
      <c r="O466" t="n">
        <v>0</v>
      </c>
      <c r="P466" t="n">
        <v>0</v>
      </c>
      <c r="Q466" t="n">
        <v>0</v>
      </c>
      <c r="R466" s="2" t="inlineStr"/>
    </row>
    <row r="467" ht="15" customHeight="1">
      <c r="A467" t="inlineStr">
        <is>
          <t>A 42945-2023</t>
        </is>
      </c>
      <c r="B467" s="1" t="n">
        <v>45182.5793287037</v>
      </c>
      <c r="C467" s="1" t="n">
        <v>46109</v>
      </c>
      <c r="D467" t="inlineStr">
        <is>
          <t>SÖDERMANLANDS LÄN</t>
        </is>
      </c>
      <c r="E467" t="inlineStr">
        <is>
          <t>KATRINEHOLM</t>
        </is>
      </c>
      <c r="F467" t="inlineStr">
        <is>
          <t>Övriga Aktiebolag</t>
        </is>
      </c>
      <c r="G467" t="n">
        <v>2.2</v>
      </c>
      <c r="H467" t="n">
        <v>0</v>
      </c>
      <c r="I467" t="n">
        <v>0</v>
      </c>
      <c r="J467" t="n">
        <v>0</v>
      </c>
      <c r="K467" t="n">
        <v>0</v>
      </c>
      <c r="L467" t="n">
        <v>0</v>
      </c>
      <c r="M467" t="n">
        <v>0</v>
      </c>
      <c r="N467" t="n">
        <v>0</v>
      </c>
      <c r="O467" t="n">
        <v>0</v>
      </c>
      <c r="P467" t="n">
        <v>0</v>
      </c>
      <c r="Q467" t="n">
        <v>0</v>
      </c>
      <c r="R467" s="2" t="inlineStr"/>
    </row>
    <row r="468" ht="15" customHeight="1">
      <c r="A468" t="inlineStr">
        <is>
          <t>A 42962-2023</t>
        </is>
      </c>
      <c r="B468" s="1" t="n">
        <v>45182</v>
      </c>
      <c r="C468" s="1" t="n">
        <v>46109</v>
      </c>
      <c r="D468" t="inlineStr">
        <is>
          <t>SÖDERMANLANDS LÄN</t>
        </is>
      </c>
      <c r="E468" t="inlineStr">
        <is>
          <t>KATRINEHOLM</t>
        </is>
      </c>
      <c r="F468" t="inlineStr">
        <is>
          <t>Övriga Aktiebolag</t>
        </is>
      </c>
      <c r="G468" t="n">
        <v>10.6</v>
      </c>
      <c r="H468" t="n">
        <v>0</v>
      </c>
      <c r="I468" t="n">
        <v>0</v>
      </c>
      <c r="J468" t="n">
        <v>0</v>
      </c>
      <c r="K468" t="n">
        <v>0</v>
      </c>
      <c r="L468" t="n">
        <v>0</v>
      </c>
      <c r="M468" t="n">
        <v>0</v>
      </c>
      <c r="N468" t="n">
        <v>0</v>
      </c>
      <c r="O468" t="n">
        <v>0</v>
      </c>
      <c r="P468" t="n">
        <v>0</v>
      </c>
      <c r="Q468" t="n">
        <v>0</v>
      </c>
      <c r="R468" s="2" t="inlineStr"/>
    </row>
    <row r="469" ht="15" customHeight="1">
      <c r="A469" t="inlineStr">
        <is>
          <t>A 55831-2025</t>
        </is>
      </c>
      <c r="B469" s="1" t="n">
        <v>45972.81034722222</v>
      </c>
      <c r="C469" s="1" t="n">
        <v>46109</v>
      </c>
      <c r="D469" t="inlineStr">
        <is>
          <t>SÖDERMANLANDS LÄN</t>
        </is>
      </c>
      <c r="E469" t="inlineStr">
        <is>
          <t>KATRINEHOLM</t>
        </is>
      </c>
      <c r="G469" t="n">
        <v>6.2</v>
      </c>
      <c r="H469" t="n">
        <v>0</v>
      </c>
      <c r="I469" t="n">
        <v>0</v>
      </c>
      <c r="J469" t="n">
        <v>0</v>
      </c>
      <c r="K469" t="n">
        <v>0</v>
      </c>
      <c r="L469" t="n">
        <v>0</v>
      </c>
      <c r="M469" t="n">
        <v>0</v>
      </c>
      <c r="N469" t="n">
        <v>0</v>
      </c>
      <c r="O469" t="n">
        <v>0</v>
      </c>
      <c r="P469" t="n">
        <v>0</v>
      </c>
      <c r="Q469" t="n">
        <v>0</v>
      </c>
      <c r="R469" s="2" t="inlineStr"/>
    </row>
    <row r="470" ht="15" customHeight="1">
      <c r="A470" t="inlineStr">
        <is>
          <t>A 56330-2025</t>
        </is>
      </c>
      <c r="B470" s="1" t="n">
        <v>45974.64094907408</v>
      </c>
      <c r="C470" s="1" t="n">
        <v>46109</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44915-2022</t>
        </is>
      </c>
      <c r="B471" s="1" t="n">
        <v>44840</v>
      </c>
      <c r="C471" s="1" t="n">
        <v>46109</v>
      </c>
      <c r="D471" t="inlineStr">
        <is>
          <t>SÖDERMANLANDS LÄN</t>
        </is>
      </c>
      <c r="E471" t="inlineStr">
        <is>
          <t>KATRINEHOLM</t>
        </is>
      </c>
      <c r="G471" t="n">
        <v>6.3</v>
      </c>
      <c r="H471" t="n">
        <v>0</v>
      </c>
      <c r="I471" t="n">
        <v>0</v>
      </c>
      <c r="J471" t="n">
        <v>0</v>
      </c>
      <c r="K471" t="n">
        <v>0</v>
      </c>
      <c r="L471" t="n">
        <v>0</v>
      </c>
      <c r="M471" t="n">
        <v>0</v>
      </c>
      <c r="N471" t="n">
        <v>0</v>
      </c>
      <c r="O471" t="n">
        <v>0</v>
      </c>
      <c r="P471" t="n">
        <v>0</v>
      </c>
      <c r="Q471" t="n">
        <v>0</v>
      </c>
      <c r="R471" s="2" t="inlineStr"/>
    </row>
    <row r="472" ht="15" customHeight="1">
      <c r="A472" t="inlineStr">
        <is>
          <t>A 6762-2025</t>
        </is>
      </c>
      <c r="B472" s="1" t="n">
        <v>45700</v>
      </c>
      <c r="C472" s="1" t="n">
        <v>46109</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20213-2025</t>
        </is>
      </c>
      <c r="B473" s="1" t="n">
        <v>45772.63453703704</v>
      </c>
      <c r="C473" s="1" t="n">
        <v>46109</v>
      </c>
      <c r="D473" t="inlineStr">
        <is>
          <t>SÖDERMANLANDS LÄN</t>
        </is>
      </c>
      <c r="E473" t="inlineStr">
        <is>
          <t>KATRINEHOLM</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48097-2023</t>
        </is>
      </c>
      <c r="B474" s="1" t="n">
        <v>45205.31987268518</v>
      </c>
      <c r="C474" s="1" t="n">
        <v>46109</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45793-2022</t>
        </is>
      </c>
      <c r="B475" s="1" t="n">
        <v>44844</v>
      </c>
      <c r="C475" s="1" t="n">
        <v>46109</v>
      </c>
      <c r="D475" t="inlineStr">
        <is>
          <t>SÖDERMANLANDS LÄN</t>
        </is>
      </c>
      <c r="E475" t="inlineStr">
        <is>
          <t>KATRINEHOLM</t>
        </is>
      </c>
      <c r="G475" t="n">
        <v>2.3</v>
      </c>
      <c r="H475" t="n">
        <v>0</v>
      </c>
      <c r="I475" t="n">
        <v>0</v>
      </c>
      <c r="J475" t="n">
        <v>0</v>
      </c>
      <c r="K475" t="n">
        <v>0</v>
      </c>
      <c r="L475" t="n">
        <v>0</v>
      </c>
      <c r="M475" t="n">
        <v>0</v>
      </c>
      <c r="N475" t="n">
        <v>0</v>
      </c>
      <c r="O475" t="n">
        <v>0</v>
      </c>
      <c r="P475" t="n">
        <v>0</v>
      </c>
      <c r="Q475" t="n">
        <v>0</v>
      </c>
      <c r="R475" s="2" t="inlineStr"/>
    </row>
    <row r="476" ht="15" customHeight="1">
      <c r="A476" t="inlineStr">
        <is>
          <t>A 40393-2022</t>
        </is>
      </c>
      <c r="B476" s="1" t="n">
        <v>44823</v>
      </c>
      <c r="C476" s="1" t="n">
        <v>46109</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48685-2022</t>
        </is>
      </c>
      <c r="B477" s="1" t="n">
        <v>44859</v>
      </c>
      <c r="C477" s="1" t="n">
        <v>46109</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36133-2021</t>
        </is>
      </c>
      <c r="B478" s="1" t="n">
        <v>44386</v>
      </c>
      <c r="C478" s="1" t="n">
        <v>46109</v>
      </c>
      <c r="D478" t="inlineStr">
        <is>
          <t>SÖDERMANLANDS LÄN</t>
        </is>
      </c>
      <c r="E478" t="inlineStr">
        <is>
          <t>KATRINEHOLM</t>
        </is>
      </c>
      <c r="F478" t="inlineStr">
        <is>
          <t>Övriga Aktiebolag</t>
        </is>
      </c>
      <c r="G478" t="n">
        <v>8.9</v>
      </c>
      <c r="H478" t="n">
        <v>0</v>
      </c>
      <c r="I478" t="n">
        <v>0</v>
      </c>
      <c r="J478" t="n">
        <v>0</v>
      </c>
      <c r="K478" t="n">
        <v>0</v>
      </c>
      <c r="L478" t="n">
        <v>0</v>
      </c>
      <c r="M478" t="n">
        <v>0</v>
      </c>
      <c r="N478" t="n">
        <v>0</v>
      </c>
      <c r="O478" t="n">
        <v>0</v>
      </c>
      <c r="P478" t="n">
        <v>0</v>
      </c>
      <c r="Q478" t="n">
        <v>0</v>
      </c>
      <c r="R478" s="2" t="inlineStr"/>
    </row>
    <row r="479" ht="15" customHeight="1">
      <c r="A479" t="inlineStr">
        <is>
          <t>A 49700-2022</t>
        </is>
      </c>
      <c r="B479" s="1" t="n">
        <v>44862</v>
      </c>
      <c r="C479" s="1" t="n">
        <v>46109</v>
      </c>
      <c r="D479" t="inlineStr">
        <is>
          <t>SÖDERMANLANDS LÄN</t>
        </is>
      </c>
      <c r="E479" t="inlineStr">
        <is>
          <t>KATRINEHOLM</t>
        </is>
      </c>
      <c r="G479" t="n">
        <v>19.5</v>
      </c>
      <c r="H479" t="n">
        <v>0</v>
      </c>
      <c r="I479" t="n">
        <v>0</v>
      </c>
      <c r="J479" t="n">
        <v>0</v>
      </c>
      <c r="K479" t="n">
        <v>0</v>
      </c>
      <c r="L479" t="n">
        <v>0</v>
      </c>
      <c r="M479" t="n">
        <v>0</v>
      </c>
      <c r="N479" t="n">
        <v>0</v>
      </c>
      <c r="O479" t="n">
        <v>0</v>
      </c>
      <c r="P479" t="n">
        <v>0</v>
      </c>
      <c r="Q479" t="n">
        <v>0</v>
      </c>
      <c r="R479" s="2" t="inlineStr"/>
    </row>
    <row r="480" ht="15" customHeight="1">
      <c r="A480" t="inlineStr">
        <is>
          <t>A 13841-2026</t>
        </is>
      </c>
      <c r="B480" s="1" t="n">
        <v>46098.37181712963</v>
      </c>
      <c r="C480" s="1" t="n">
        <v>46109</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13848-2026</t>
        </is>
      </c>
      <c r="B481" s="1" t="n">
        <v>46098.38704861111</v>
      </c>
      <c r="C481" s="1" t="n">
        <v>46109</v>
      </c>
      <c r="D481" t="inlineStr">
        <is>
          <t>SÖDERMANLANDS LÄN</t>
        </is>
      </c>
      <c r="E481" t="inlineStr">
        <is>
          <t>KATRINEHOLM</t>
        </is>
      </c>
      <c r="G481" t="n">
        <v>3.1</v>
      </c>
      <c r="H481" t="n">
        <v>0</v>
      </c>
      <c r="I481" t="n">
        <v>0</v>
      </c>
      <c r="J481" t="n">
        <v>0</v>
      </c>
      <c r="K481" t="n">
        <v>0</v>
      </c>
      <c r="L481" t="n">
        <v>0</v>
      </c>
      <c r="M481" t="n">
        <v>0</v>
      </c>
      <c r="N481" t="n">
        <v>0</v>
      </c>
      <c r="O481" t="n">
        <v>0</v>
      </c>
      <c r="P481" t="n">
        <v>0</v>
      </c>
      <c r="Q481" t="n">
        <v>0</v>
      </c>
      <c r="R481" s="2" t="inlineStr"/>
    </row>
    <row r="482" ht="15" customHeight="1">
      <c r="A482" t="inlineStr">
        <is>
          <t>A 13630-2026</t>
        </is>
      </c>
      <c r="B482" s="1" t="n">
        <v>46097.37490740741</v>
      </c>
      <c r="C482" s="1" t="n">
        <v>46109</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13631-2026</t>
        </is>
      </c>
      <c r="B483" s="1" t="n">
        <v>46095</v>
      </c>
      <c r="C483" s="1" t="n">
        <v>46109</v>
      </c>
      <c r="D483" t="inlineStr">
        <is>
          <t>SÖDERMANLANDS LÄN</t>
        </is>
      </c>
      <c r="E483" t="inlineStr">
        <is>
          <t>KATRINEHOLM</t>
        </is>
      </c>
      <c r="G483" t="n">
        <v>2.1</v>
      </c>
      <c r="H483" t="n">
        <v>0</v>
      </c>
      <c r="I483" t="n">
        <v>0</v>
      </c>
      <c r="J483" t="n">
        <v>0</v>
      </c>
      <c r="K483" t="n">
        <v>0</v>
      </c>
      <c r="L483" t="n">
        <v>0</v>
      </c>
      <c r="M483" t="n">
        <v>0</v>
      </c>
      <c r="N483" t="n">
        <v>0</v>
      </c>
      <c r="O483" t="n">
        <v>0</v>
      </c>
      <c r="P483" t="n">
        <v>0</v>
      </c>
      <c r="Q483" t="n">
        <v>0</v>
      </c>
      <c r="R483" s="2" t="inlineStr"/>
    </row>
    <row r="484" ht="15" customHeight="1">
      <c r="A484" t="inlineStr">
        <is>
          <t>A 13632-2026</t>
        </is>
      </c>
      <c r="B484" s="1" t="n">
        <v>46097.37996527777</v>
      </c>
      <c r="C484" s="1" t="n">
        <v>46109</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35156-2025</t>
        </is>
      </c>
      <c r="B485" s="1" t="n">
        <v>45852</v>
      </c>
      <c r="C485" s="1" t="n">
        <v>46109</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13633-2026</t>
        </is>
      </c>
      <c r="B486" s="1" t="n">
        <v>46097.38148148148</v>
      </c>
      <c r="C486" s="1" t="n">
        <v>46109</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13655-2026</t>
        </is>
      </c>
      <c r="B487" s="1" t="n">
        <v>46097.45415509259</v>
      </c>
      <c r="C487" s="1" t="n">
        <v>46109</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35152-2025</t>
        </is>
      </c>
      <c r="B488" s="1" t="n">
        <v>45852</v>
      </c>
      <c r="C488" s="1" t="n">
        <v>46109</v>
      </c>
      <c r="D488" t="inlineStr">
        <is>
          <t>SÖDERMANLANDS LÄN</t>
        </is>
      </c>
      <c r="E488" t="inlineStr">
        <is>
          <t>KATRINEHOLM</t>
        </is>
      </c>
      <c r="G488" t="n">
        <v>4.6</v>
      </c>
      <c r="H488" t="n">
        <v>0</v>
      </c>
      <c r="I488" t="n">
        <v>0</v>
      </c>
      <c r="J488" t="n">
        <v>0</v>
      </c>
      <c r="K488" t="n">
        <v>0</v>
      </c>
      <c r="L488" t="n">
        <v>0</v>
      </c>
      <c r="M488" t="n">
        <v>0</v>
      </c>
      <c r="N488" t="n">
        <v>0</v>
      </c>
      <c r="O488" t="n">
        <v>0</v>
      </c>
      <c r="P488" t="n">
        <v>0</v>
      </c>
      <c r="Q488" t="n">
        <v>0</v>
      </c>
      <c r="R488" s="2" t="inlineStr"/>
    </row>
    <row r="489" ht="15" customHeight="1">
      <c r="A489" t="inlineStr">
        <is>
          <t>A 35165-2025</t>
        </is>
      </c>
      <c r="B489" s="1" t="n">
        <v>45852.72320601852</v>
      </c>
      <c r="C489" s="1" t="n">
        <v>46109</v>
      </c>
      <c r="D489" t="inlineStr">
        <is>
          <t>SÖDERMANLANDS LÄN</t>
        </is>
      </c>
      <c r="E489" t="inlineStr">
        <is>
          <t>KATRINEHOLM</t>
        </is>
      </c>
      <c r="F489" t="inlineStr">
        <is>
          <t>Övriga Aktiebolag</t>
        </is>
      </c>
      <c r="G489" t="n">
        <v>20.7</v>
      </c>
      <c r="H489" t="n">
        <v>0</v>
      </c>
      <c r="I489" t="n">
        <v>0</v>
      </c>
      <c r="J489" t="n">
        <v>0</v>
      </c>
      <c r="K489" t="n">
        <v>0</v>
      </c>
      <c r="L489" t="n">
        <v>0</v>
      </c>
      <c r="M489" t="n">
        <v>0</v>
      </c>
      <c r="N489" t="n">
        <v>0</v>
      </c>
      <c r="O489" t="n">
        <v>0</v>
      </c>
      <c r="P489" t="n">
        <v>0</v>
      </c>
      <c r="Q489" t="n">
        <v>0</v>
      </c>
      <c r="R489" s="2" t="inlineStr"/>
    </row>
    <row r="490" ht="15" customHeight="1">
      <c r="A490" t="inlineStr">
        <is>
          <t>A 30276-2023</t>
        </is>
      </c>
      <c r="B490" s="1" t="n">
        <v>45110</v>
      </c>
      <c r="C490" s="1" t="n">
        <v>46109</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35149-2025</t>
        </is>
      </c>
      <c r="B491" s="1" t="n">
        <v>45852</v>
      </c>
      <c r="C491" s="1" t="n">
        <v>46109</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35161-2025</t>
        </is>
      </c>
      <c r="B492" s="1" t="n">
        <v>45852.70716435185</v>
      </c>
      <c r="C492" s="1" t="n">
        <v>46109</v>
      </c>
      <c r="D492" t="inlineStr">
        <is>
          <t>SÖDERMANLANDS LÄN</t>
        </is>
      </c>
      <c r="E492" t="inlineStr">
        <is>
          <t>KATRINEHOLM</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35084-2025</t>
        </is>
      </c>
      <c r="B493" s="1" t="n">
        <v>45852</v>
      </c>
      <c r="C493" s="1" t="n">
        <v>46109</v>
      </c>
      <c r="D493" t="inlineStr">
        <is>
          <t>SÖDERMANLANDS LÄN</t>
        </is>
      </c>
      <c r="E493" t="inlineStr">
        <is>
          <t>KATRINEHOLM</t>
        </is>
      </c>
      <c r="G493" t="n">
        <v>3.2</v>
      </c>
      <c r="H493" t="n">
        <v>0</v>
      </c>
      <c r="I493" t="n">
        <v>0</v>
      </c>
      <c r="J493" t="n">
        <v>0</v>
      </c>
      <c r="K493" t="n">
        <v>0</v>
      </c>
      <c r="L493" t="n">
        <v>0</v>
      </c>
      <c r="M493" t="n">
        <v>0</v>
      </c>
      <c r="N493" t="n">
        <v>0</v>
      </c>
      <c r="O493" t="n">
        <v>0</v>
      </c>
      <c r="P493" t="n">
        <v>0</v>
      </c>
      <c r="Q493" t="n">
        <v>0</v>
      </c>
      <c r="R493" s="2" t="inlineStr"/>
    </row>
    <row r="494" ht="15" customHeight="1">
      <c r="A494" t="inlineStr">
        <is>
          <t>A 35145-2025</t>
        </is>
      </c>
      <c r="B494" s="1" t="n">
        <v>45852</v>
      </c>
      <c r="C494" s="1" t="n">
        <v>46109</v>
      </c>
      <c r="D494" t="inlineStr">
        <is>
          <t>SÖDERMANLANDS LÄN</t>
        </is>
      </c>
      <c r="E494" t="inlineStr">
        <is>
          <t>KATRINEHOLM</t>
        </is>
      </c>
      <c r="G494" t="n">
        <v>3.1</v>
      </c>
      <c r="H494" t="n">
        <v>0</v>
      </c>
      <c r="I494" t="n">
        <v>0</v>
      </c>
      <c r="J494" t="n">
        <v>0</v>
      </c>
      <c r="K494" t="n">
        <v>0</v>
      </c>
      <c r="L494" t="n">
        <v>0</v>
      </c>
      <c r="M494" t="n">
        <v>0</v>
      </c>
      <c r="N494" t="n">
        <v>0</v>
      </c>
      <c r="O494" t="n">
        <v>0</v>
      </c>
      <c r="P494" t="n">
        <v>0</v>
      </c>
      <c r="Q494" t="n">
        <v>0</v>
      </c>
      <c r="R494" s="2" t="inlineStr"/>
    </row>
    <row r="495" ht="15" customHeight="1">
      <c r="A495" t="inlineStr">
        <is>
          <t>A 34439-2025</t>
        </is>
      </c>
      <c r="B495" s="1" t="n">
        <v>45845</v>
      </c>
      <c r="C495" s="1" t="n">
        <v>46109</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35157-2025</t>
        </is>
      </c>
      <c r="B496" s="1" t="n">
        <v>45852</v>
      </c>
      <c r="C496" s="1" t="n">
        <v>46109</v>
      </c>
      <c r="D496" t="inlineStr">
        <is>
          <t>SÖDERMANLANDS LÄN</t>
        </is>
      </c>
      <c r="E496" t="inlineStr">
        <is>
          <t>KATRINEHOLM</t>
        </is>
      </c>
      <c r="G496" t="n">
        <v>3.7</v>
      </c>
      <c r="H496" t="n">
        <v>0</v>
      </c>
      <c r="I496" t="n">
        <v>0</v>
      </c>
      <c r="J496" t="n">
        <v>0</v>
      </c>
      <c r="K496" t="n">
        <v>0</v>
      </c>
      <c r="L496" t="n">
        <v>0</v>
      </c>
      <c r="M496" t="n">
        <v>0</v>
      </c>
      <c r="N496" t="n">
        <v>0</v>
      </c>
      <c r="O496" t="n">
        <v>0</v>
      </c>
      <c r="P496" t="n">
        <v>0</v>
      </c>
      <c r="Q496" t="n">
        <v>0</v>
      </c>
      <c r="R496" s="2" t="inlineStr"/>
    </row>
    <row r="497" ht="15" customHeight="1">
      <c r="A497" t="inlineStr">
        <is>
          <t>A 35158-2025</t>
        </is>
      </c>
      <c r="B497" s="1" t="n">
        <v>45852</v>
      </c>
      <c r="C497" s="1" t="n">
        <v>46109</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57265-2022</t>
        </is>
      </c>
      <c r="B498" s="1" t="n">
        <v>44895</v>
      </c>
      <c r="C498" s="1" t="n">
        <v>46109</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50316-2023</t>
        </is>
      </c>
      <c r="B499" s="1" t="n">
        <v>45209</v>
      </c>
      <c r="C499" s="1" t="n">
        <v>46109</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52857-2021</t>
        </is>
      </c>
      <c r="B500" s="1" t="n">
        <v>44466</v>
      </c>
      <c r="C500" s="1" t="n">
        <v>46109</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34176-2025</t>
        </is>
      </c>
      <c r="B501" s="1" t="n">
        <v>45845</v>
      </c>
      <c r="C501" s="1" t="n">
        <v>46109</v>
      </c>
      <c r="D501" t="inlineStr">
        <is>
          <t>SÖDERMANLANDS LÄN</t>
        </is>
      </c>
      <c r="E501" t="inlineStr">
        <is>
          <t>KATRINEHOLM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60160-2022</t>
        </is>
      </c>
      <c r="B502" s="1" t="n">
        <v>44909</v>
      </c>
      <c r="C502" s="1" t="n">
        <v>46109</v>
      </c>
      <c r="D502" t="inlineStr">
        <is>
          <t>SÖDERMANLANDS LÄN</t>
        </is>
      </c>
      <c r="E502" t="inlineStr">
        <is>
          <t>KATRINEHOLM</t>
        </is>
      </c>
      <c r="F502" t="inlineStr">
        <is>
          <t>Allmännings- och besparingsskogar</t>
        </is>
      </c>
      <c r="G502" t="n">
        <v>2</v>
      </c>
      <c r="H502" t="n">
        <v>0</v>
      </c>
      <c r="I502" t="n">
        <v>0</v>
      </c>
      <c r="J502" t="n">
        <v>0</v>
      </c>
      <c r="K502" t="n">
        <v>0</v>
      </c>
      <c r="L502" t="n">
        <v>0</v>
      </c>
      <c r="M502" t="n">
        <v>0</v>
      </c>
      <c r="N502" t="n">
        <v>0</v>
      </c>
      <c r="O502" t="n">
        <v>0</v>
      </c>
      <c r="P502" t="n">
        <v>0</v>
      </c>
      <c r="Q502" t="n">
        <v>0</v>
      </c>
      <c r="R502" s="2" t="inlineStr"/>
    </row>
    <row r="503" ht="15" customHeight="1">
      <c r="A503" t="inlineStr">
        <is>
          <t>A 19442-2023</t>
        </is>
      </c>
      <c r="B503" s="1" t="n">
        <v>45050</v>
      </c>
      <c r="C503" s="1" t="n">
        <v>46109</v>
      </c>
      <c r="D503" t="inlineStr">
        <is>
          <t>SÖDERMANLANDS LÄN</t>
        </is>
      </c>
      <c r="E503" t="inlineStr">
        <is>
          <t>KATRINEHOLM</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14622-2026</t>
        </is>
      </c>
      <c r="B504" s="1" t="n">
        <v>46101.38826388889</v>
      </c>
      <c r="C504" s="1" t="n">
        <v>46109</v>
      </c>
      <c r="D504" t="inlineStr">
        <is>
          <t>SÖDERMANLANDS LÄN</t>
        </is>
      </c>
      <c r="E504" t="inlineStr">
        <is>
          <t>KATRINEHOLM</t>
        </is>
      </c>
      <c r="G504" t="n">
        <v>2.5</v>
      </c>
      <c r="H504" t="n">
        <v>0</v>
      </c>
      <c r="I504" t="n">
        <v>0</v>
      </c>
      <c r="J504" t="n">
        <v>0</v>
      </c>
      <c r="K504" t="n">
        <v>0</v>
      </c>
      <c r="L504" t="n">
        <v>0</v>
      </c>
      <c r="M504" t="n">
        <v>0</v>
      </c>
      <c r="N504" t="n">
        <v>0</v>
      </c>
      <c r="O504" t="n">
        <v>0</v>
      </c>
      <c r="P504" t="n">
        <v>0</v>
      </c>
      <c r="Q504" t="n">
        <v>0</v>
      </c>
      <c r="R504" s="2" t="inlineStr"/>
    </row>
    <row r="505" ht="15" customHeight="1">
      <c r="A505" t="inlineStr">
        <is>
          <t>A 44024-2021</t>
        </is>
      </c>
      <c r="B505" s="1" t="n">
        <v>44434</v>
      </c>
      <c r="C505" s="1" t="n">
        <v>46109</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50840-2022</t>
        </is>
      </c>
      <c r="B506" s="1" t="n">
        <v>44862</v>
      </c>
      <c r="C506" s="1" t="n">
        <v>46109</v>
      </c>
      <c r="D506" t="inlineStr">
        <is>
          <t>SÖDERMANLANDS LÄN</t>
        </is>
      </c>
      <c r="E506" t="inlineStr">
        <is>
          <t>KATRINEHOLM</t>
        </is>
      </c>
      <c r="G506" t="n">
        <v>4.2</v>
      </c>
      <c r="H506" t="n">
        <v>0</v>
      </c>
      <c r="I506" t="n">
        <v>0</v>
      </c>
      <c r="J506" t="n">
        <v>0</v>
      </c>
      <c r="K506" t="n">
        <v>0</v>
      </c>
      <c r="L506" t="n">
        <v>0</v>
      </c>
      <c r="M506" t="n">
        <v>0</v>
      </c>
      <c r="N506" t="n">
        <v>0</v>
      </c>
      <c r="O506" t="n">
        <v>0</v>
      </c>
      <c r="P506" t="n">
        <v>0</v>
      </c>
      <c r="Q506" t="n">
        <v>0</v>
      </c>
      <c r="R506" s="2" t="inlineStr"/>
    </row>
    <row r="507" ht="15" customHeight="1">
      <c r="A507" t="inlineStr">
        <is>
          <t>A 3060-2022</t>
        </is>
      </c>
      <c r="B507" s="1" t="n">
        <v>44582.40109953703</v>
      </c>
      <c r="C507" s="1" t="n">
        <v>46109</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14754-2026</t>
        </is>
      </c>
      <c r="B508" s="1" t="n">
        <v>46101.62297453704</v>
      </c>
      <c r="C508" s="1" t="n">
        <v>46109</v>
      </c>
      <c r="D508" t="inlineStr">
        <is>
          <t>SÖDERMANLANDS LÄN</t>
        </is>
      </c>
      <c r="E508" t="inlineStr">
        <is>
          <t>KATRINEHOLM</t>
        </is>
      </c>
      <c r="G508" t="n">
        <v>4.5</v>
      </c>
      <c r="H508" t="n">
        <v>0</v>
      </c>
      <c r="I508" t="n">
        <v>0</v>
      </c>
      <c r="J508" t="n">
        <v>0</v>
      </c>
      <c r="K508" t="n">
        <v>0</v>
      </c>
      <c r="L508" t="n">
        <v>0</v>
      </c>
      <c r="M508" t="n">
        <v>0</v>
      </c>
      <c r="N508" t="n">
        <v>0</v>
      </c>
      <c r="O508" t="n">
        <v>0</v>
      </c>
      <c r="P508" t="n">
        <v>0</v>
      </c>
      <c r="Q508" t="n">
        <v>0</v>
      </c>
      <c r="R508" s="2" t="inlineStr"/>
    </row>
    <row r="509" ht="15" customHeight="1">
      <c r="A509" t="inlineStr">
        <is>
          <t>A 7513-2026</t>
        </is>
      </c>
      <c r="B509" s="1" t="n">
        <v>46059.59083333334</v>
      </c>
      <c r="C509" s="1" t="n">
        <v>46109</v>
      </c>
      <c r="D509" t="inlineStr">
        <is>
          <t>SÖDERMANLANDS LÄN</t>
        </is>
      </c>
      <c r="E509" t="inlineStr">
        <is>
          <t>KATRINEHOLM</t>
        </is>
      </c>
      <c r="F509" t="inlineStr">
        <is>
          <t>Övriga Aktiebolag</t>
        </is>
      </c>
      <c r="G509" t="n">
        <v>5</v>
      </c>
      <c r="H509" t="n">
        <v>0</v>
      </c>
      <c r="I509" t="n">
        <v>0</v>
      </c>
      <c r="J509" t="n">
        <v>0</v>
      </c>
      <c r="K509" t="n">
        <v>0</v>
      </c>
      <c r="L509" t="n">
        <v>0</v>
      </c>
      <c r="M509" t="n">
        <v>0</v>
      </c>
      <c r="N509" t="n">
        <v>0</v>
      </c>
      <c r="O509" t="n">
        <v>0</v>
      </c>
      <c r="P509" t="n">
        <v>0</v>
      </c>
      <c r="Q509" t="n">
        <v>0</v>
      </c>
      <c r="R509" s="2" t="inlineStr"/>
    </row>
    <row r="510" ht="15" customHeight="1">
      <c r="A510" t="inlineStr">
        <is>
          <t>A 14750-2026</t>
        </is>
      </c>
      <c r="B510" s="1" t="n">
        <v>46101.6208912037</v>
      </c>
      <c r="C510" s="1" t="n">
        <v>46109</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6611-2023</t>
        </is>
      </c>
      <c r="B511" s="1" t="n">
        <v>44963</v>
      </c>
      <c r="C511" s="1" t="n">
        <v>46109</v>
      </c>
      <c r="D511" t="inlineStr">
        <is>
          <t>SÖDERMANLANDS LÄN</t>
        </is>
      </c>
      <c r="E511" t="inlineStr">
        <is>
          <t>KATRINEHOLM</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14770-2026</t>
        </is>
      </c>
      <c r="B512" s="1" t="n">
        <v>46101.63951388889</v>
      </c>
      <c r="C512" s="1" t="n">
        <v>46109</v>
      </c>
      <c r="D512" t="inlineStr">
        <is>
          <t>SÖDERMANLANDS LÄN</t>
        </is>
      </c>
      <c r="E512" t="inlineStr">
        <is>
          <t>KATRINEHOLM</t>
        </is>
      </c>
      <c r="G512" t="n">
        <v>7.5</v>
      </c>
      <c r="H512" t="n">
        <v>0</v>
      </c>
      <c r="I512" t="n">
        <v>0</v>
      </c>
      <c r="J512" t="n">
        <v>0</v>
      </c>
      <c r="K512" t="n">
        <v>0</v>
      </c>
      <c r="L512" t="n">
        <v>0</v>
      </c>
      <c r="M512" t="n">
        <v>0</v>
      </c>
      <c r="N512" t="n">
        <v>0</v>
      </c>
      <c r="O512" t="n">
        <v>0</v>
      </c>
      <c r="P512" t="n">
        <v>0</v>
      </c>
      <c r="Q512" t="n">
        <v>0</v>
      </c>
      <c r="R512" s="2" t="inlineStr"/>
    </row>
    <row r="513" ht="15" customHeight="1">
      <c r="A513" t="inlineStr">
        <is>
          <t>A 50804-2023</t>
        </is>
      </c>
      <c r="B513" s="1" t="n">
        <v>45211</v>
      </c>
      <c r="C513" s="1" t="n">
        <v>46109</v>
      </c>
      <c r="D513" t="inlineStr">
        <is>
          <t>SÖDERMANLANDS LÄN</t>
        </is>
      </c>
      <c r="E513" t="inlineStr">
        <is>
          <t>KATRINEHOLM</t>
        </is>
      </c>
      <c r="G513" t="n">
        <v>4</v>
      </c>
      <c r="H513" t="n">
        <v>0</v>
      </c>
      <c r="I513" t="n">
        <v>0</v>
      </c>
      <c r="J513" t="n">
        <v>0</v>
      </c>
      <c r="K513" t="n">
        <v>0</v>
      </c>
      <c r="L513" t="n">
        <v>0</v>
      </c>
      <c r="M513" t="n">
        <v>0</v>
      </c>
      <c r="N513" t="n">
        <v>0</v>
      </c>
      <c r="O513" t="n">
        <v>0</v>
      </c>
      <c r="P513" t="n">
        <v>0</v>
      </c>
      <c r="Q513" t="n">
        <v>0</v>
      </c>
      <c r="R513" s="2" t="inlineStr"/>
    </row>
    <row r="514" ht="15" customHeight="1">
      <c r="A514" t="inlineStr">
        <is>
          <t>A 20533-2023</t>
        </is>
      </c>
      <c r="B514" s="1" t="n">
        <v>45057</v>
      </c>
      <c r="C514" s="1" t="n">
        <v>46109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c r="T514">
        <f>HYPERLINK("https://klasma.github.io/Logging_0483/kartor/A 20533-2023 karta.png", "A 20533-2023")</f>
        <v/>
      </c>
      <c r="V514">
        <f>HYPERLINK("https://klasma.github.io/Logging_0483/klagomål/A 20533-2023 FSC-klagomål.docx", "A 20533-2023")</f>
        <v/>
      </c>
      <c r="W514">
        <f>HYPERLINK("https://klasma.github.io/Logging_0483/klagomålsmail/A 20533-2023 FSC-klagomål mail.docx", "A 20533-2023")</f>
        <v/>
      </c>
      <c r="X514">
        <f>HYPERLINK("https://klasma.github.io/Logging_0483/tillsyn/A 20533-2023 tillsynsbegäran.docx", "A 20533-2023")</f>
        <v/>
      </c>
      <c r="Y514">
        <f>HYPERLINK("https://klasma.github.io/Logging_0483/tillsynsmail/A 20533-2023 tillsynsbegäran mail.docx", "A 20533-2023")</f>
        <v/>
      </c>
      <c r="Z514">
        <f>HYPERLINK("https://klasma.github.io/Logging_0483/fåglar/A 20533-2023 prioriterade fågelarter.docx", "A 20533-2023")</f>
        <v/>
      </c>
    </row>
    <row r="515" ht="15" customHeight="1">
      <c r="A515" t="inlineStr">
        <is>
          <t>A 14751-2026</t>
        </is>
      </c>
      <c r="B515" s="1" t="n">
        <v>46101.6220949074</v>
      </c>
      <c r="C515" s="1" t="n">
        <v>46109</v>
      </c>
      <c r="D515" t="inlineStr">
        <is>
          <t>SÖDERMANLANDS LÄN</t>
        </is>
      </c>
      <c r="E515" t="inlineStr">
        <is>
          <t>KATRINEHOLM</t>
        </is>
      </c>
      <c r="G515" t="n">
        <v>2.1</v>
      </c>
      <c r="H515" t="n">
        <v>0</v>
      </c>
      <c r="I515" t="n">
        <v>0</v>
      </c>
      <c r="J515" t="n">
        <v>0</v>
      </c>
      <c r="K515" t="n">
        <v>0</v>
      </c>
      <c r="L515" t="n">
        <v>0</v>
      </c>
      <c r="M515" t="n">
        <v>0</v>
      </c>
      <c r="N515" t="n">
        <v>0</v>
      </c>
      <c r="O515" t="n">
        <v>0</v>
      </c>
      <c r="P515" t="n">
        <v>0</v>
      </c>
      <c r="Q515" t="n">
        <v>0</v>
      </c>
      <c r="R515" s="2" t="inlineStr"/>
    </row>
    <row r="516" ht="15" customHeight="1">
      <c r="A516" t="inlineStr">
        <is>
          <t>A 36590-2025</t>
        </is>
      </c>
      <c r="B516" s="1" t="n">
        <v>45870</v>
      </c>
      <c r="C516" s="1" t="n">
        <v>46109</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26684-2025</t>
        </is>
      </c>
      <c r="B517" s="1" t="n">
        <v>45810</v>
      </c>
      <c r="C517" s="1" t="n">
        <v>46109</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43499-2021</t>
        </is>
      </c>
      <c r="B518" s="1" t="n">
        <v>44433</v>
      </c>
      <c r="C518" s="1" t="n">
        <v>46109</v>
      </c>
      <c r="D518" t="inlineStr">
        <is>
          <t>SÖDERMANLANDS LÄN</t>
        </is>
      </c>
      <c r="E518" t="inlineStr">
        <is>
          <t>KATRINEHOLM</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53996-2023</t>
        </is>
      </c>
      <c r="B519" s="1" t="n">
        <v>45231</v>
      </c>
      <c r="C519" s="1" t="n">
        <v>46109</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33790-2024</t>
        </is>
      </c>
      <c r="B520" s="1" t="n">
        <v>45520.59179398148</v>
      </c>
      <c r="C520" s="1" t="n">
        <v>46109</v>
      </c>
      <c r="D520" t="inlineStr">
        <is>
          <t>SÖDERMANLANDS LÄN</t>
        </is>
      </c>
      <c r="E520" t="inlineStr">
        <is>
          <t>KATRINEHOLM</t>
        </is>
      </c>
      <c r="G520" t="n">
        <v>14</v>
      </c>
      <c r="H520" t="n">
        <v>0</v>
      </c>
      <c r="I520" t="n">
        <v>0</v>
      </c>
      <c r="J520" t="n">
        <v>0</v>
      </c>
      <c r="K520" t="n">
        <v>0</v>
      </c>
      <c r="L520" t="n">
        <v>0</v>
      </c>
      <c r="M520" t="n">
        <v>0</v>
      </c>
      <c r="N520" t="n">
        <v>0</v>
      </c>
      <c r="O520" t="n">
        <v>0</v>
      </c>
      <c r="P520" t="n">
        <v>0</v>
      </c>
      <c r="Q520" t="n">
        <v>0</v>
      </c>
      <c r="R520" s="2" t="inlineStr"/>
    </row>
    <row r="521" ht="15" customHeight="1">
      <c r="A521" t="inlineStr">
        <is>
          <t>A 47456-2022</t>
        </is>
      </c>
      <c r="B521" s="1" t="n">
        <v>44852</v>
      </c>
      <c r="C521" s="1" t="n">
        <v>46109</v>
      </c>
      <c r="D521" t="inlineStr">
        <is>
          <t>SÖDERMANLANDS LÄN</t>
        </is>
      </c>
      <c r="E521" t="inlineStr">
        <is>
          <t>KATRINEHOLM</t>
        </is>
      </c>
      <c r="G521" t="n">
        <v>3.7</v>
      </c>
      <c r="H521" t="n">
        <v>0</v>
      </c>
      <c r="I521" t="n">
        <v>0</v>
      </c>
      <c r="J521" t="n">
        <v>0</v>
      </c>
      <c r="K521" t="n">
        <v>0</v>
      </c>
      <c r="L521" t="n">
        <v>0</v>
      </c>
      <c r="M521" t="n">
        <v>0</v>
      </c>
      <c r="N521" t="n">
        <v>0</v>
      </c>
      <c r="O521" t="n">
        <v>0</v>
      </c>
      <c r="P521" t="n">
        <v>0</v>
      </c>
      <c r="Q521" t="n">
        <v>0</v>
      </c>
      <c r="R521" s="2" t="inlineStr"/>
    </row>
    <row r="522" ht="15" customHeight="1">
      <c r="A522" t="inlineStr">
        <is>
          <t>A 23347-2023</t>
        </is>
      </c>
      <c r="B522" s="1" t="n">
        <v>45076</v>
      </c>
      <c r="C522" s="1" t="n">
        <v>46109</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74354-2021</t>
        </is>
      </c>
      <c r="B523" s="1" t="n">
        <v>44559.57041666667</v>
      </c>
      <c r="C523" s="1" t="n">
        <v>46109</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52348-2021</t>
        </is>
      </c>
      <c r="B524" s="1" t="n">
        <v>44464.49756944444</v>
      </c>
      <c r="C524" s="1" t="n">
        <v>46109</v>
      </c>
      <c r="D524" t="inlineStr">
        <is>
          <t>SÖDERMANLANDS LÄN</t>
        </is>
      </c>
      <c r="E524" t="inlineStr">
        <is>
          <t>KATRINEHOLM</t>
        </is>
      </c>
      <c r="G524" t="n">
        <v>1.5</v>
      </c>
      <c r="H524" t="n">
        <v>0</v>
      </c>
      <c r="I524" t="n">
        <v>0</v>
      </c>
      <c r="J524" t="n">
        <v>0</v>
      </c>
      <c r="K524" t="n">
        <v>0</v>
      </c>
      <c r="L524" t="n">
        <v>0</v>
      </c>
      <c r="M524" t="n">
        <v>0</v>
      </c>
      <c r="N524" t="n">
        <v>0</v>
      </c>
      <c r="O524" t="n">
        <v>0</v>
      </c>
      <c r="P524" t="n">
        <v>0</v>
      </c>
      <c r="Q524" t="n">
        <v>0</v>
      </c>
      <c r="R524" s="2" t="inlineStr"/>
    </row>
    <row r="525" ht="15" customHeight="1">
      <c r="A525" t="inlineStr">
        <is>
          <t>A 12227-2025</t>
        </is>
      </c>
      <c r="B525" s="1" t="n">
        <v>45729.56836805555</v>
      </c>
      <c r="C525" s="1" t="n">
        <v>46109</v>
      </c>
      <c r="D525" t="inlineStr">
        <is>
          <t>SÖDERMANLANDS LÄN</t>
        </is>
      </c>
      <c r="E525" t="inlineStr">
        <is>
          <t>KATRINEHOLM</t>
        </is>
      </c>
      <c r="G525" t="n">
        <v>7</v>
      </c>
      <c r="H525" t="n">
        <v>0</v>
      </c>
      <c r="I525" t="n">
        <v>0</v>
      </c>
      <c r="J525" t="n">
        <v>0</v>
      </c>
      <c r="K525" t="n">
        <v>0</v>
      </c>
      <c r="L525" t="n">
        <v>0</v>
      </c>
      <c r="M525" t="n">
        <v>0</v>
      </c>
      <c r="N525" t="n">
        <v>0</v>
      </c>
      <c r="O525" t="n">
        <v>0</v>
      </c>
      <c r="P525" t="n">
        <v>0</v>
      </c>
      <c r="Q525" t="n">
        <v>0</v>
      </c>
      <c r="R525" s="2" t="inlineStr"/>
    </row>
    <row r="526" ht="15" customHeight="1">
      <c r="A526" t="inlineStr">
        <is>
          <t>A 15191-2026</t>
        </is>
      </c>
      <c r="B526" s="1" t="n">
        <v>46105.46846064815</v>
      </c>
      <c r="C526" s="1" t="n">
        <v>46109</v>
      </c>
      <c r="D526" t="inlineStr">
        <is>
          <t>SÖDERMANLANDS LÄN</t>
        </is>
      </c>
      <c r="E526" t="inlineStr">
        <is>
          <t>KATRINEHOLM</t>
        </is>
      </c>
      <c r="G526" t="n">
        <v>3.6</v>
      </c>
      <c r="H526" t="n">
        <v>0</v>
      </c>
      <c r="I526" t="n">
        <v>0</v>
      </c>
      <c r="J526" t="n">
        <v>0</v>
      </c>
      <c r="K526" t="n">
        <v>0</v>
      </c>
      <c r="L526" t="n">
        <v>0</v>
      </c>
      <c r="M526" t="n">
        <v>0</v>
      </c>
      <c r="N526" t="n">
        <v>0</v>
      </c>
      <c r="O526" t="n">
        <v>0</v>
      </c>
      <c r="P526" t="n">
        <v>0</v>
      </c>
      <c r="Q526" t="n">
        <v>0</v>
      </c>
      <c r="R526" s="2" t="inlineStr"/>
    </row>
    <row r="527" ht="15" customHeight="1">
      <c r="A527" t="inlineStr">
        <is>
          <t>A 56628-2021</t>
        </is>
      </c>
      <c r="B527" s="1" t="n">
        <v>44480</v>
      </c>
      <c r="C527" s="1" t="n">
        <v>46109</v>
      </c>
      <c r="D527" t="inlineStr">
        <is>
          <t>SÖDERMANLANDS LÄN</t>
        </is>
      </c>
      <c r="E527" t="inlineStr">
        <is>
          <t>KATRINEHOLM</t>
        </is>
      </c>
      <c r="G527" t="n">
        <v>1.8</v>
      </c>
      <c r="H527" t="n">
        <v>0</v>
      </c>
      <c r="I527" t="n">
        <v>0</v>
      </c>
      <c r="J527" t="n">
        <v>0</v>
      </c>
      <c r="K527" t="n">
        <v>0</v>
      </c>
      <c r="L527" t="n">
        <v>0</v>
      </c>
      <c r="M527" t="n">
        <v>0</v>
      </c>
      <c r="N527" t="n">
        <v>0</v>
      </c>
      <c r="O527" t="n">
        <v>0</v>
      </c>
      <c r="P527" t="n">
        <v>0</v>
      </c>
      <c r="Q527" t="n">
        <v>0</v>
      </c>
      <c r="R527" s="2" t="inlineStr"/>
    </row>
    <row r="528" ht="15" customHeight="1">
      <c r="A528" t="inlineStr">
        <is>
          <t>A 45438-2021</t>
        </is>
      </c>
      <c r="B528" s="1" t="n">
        <v>44440</v>
      </c>
      <c r="C528" s="1" t="n">
        <v>46109</v>
      </c>
      <c r="D528" t="inlineStr">
        <is>
          <t>SÖDERMANLANDS LÄN</t>
        </is>
      </c>
      <c r="E528" t="inlineStr">
        <is>
          <t>KATRINEHOLM</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50061-2022</t>
        </is>
      </c>
      <c r="B529" s="1" t="n">
        <v>44865</v>
      </c>
      <c r="C529" s="1" t="n">
        <v>46109</v>
      </c>
      <c r="D529" t="inlineStr">
        <is>
          <t>SÖDERMANLANDS LÄN</t>
        </is>
      </c>
      <c r="E529" t="inlineStr">
        <is>
          <t>KATRINEHOLM</t>
        </is>
      </c>
      <c r="G529" t="n">
        <v>4.9</v>
      </c>
      <c r="H529" t="n">
        <v>0</v>
      </c>
      <c r="I529" t="n">
        <v>0</v>
      </c>
      <c r="J529" t="n">
        <v>0</v>
      </c>
      <c r="K529" t="n">
        <v>0</v>
      </c>
      <c r="L529" t="n">
        <v>0</v>
      </c>
      <c r="M529" t="n">
        <v>0</v>
      </c>
      <c r="N529" t="n">
        <v>0</v>
      </c>
      <c r="O529" t="n">
        <v>0</v>
      </c>
      <c r="P529" t="n">
        <v>0</v>
      </c>
      <c r="Q529" t="n">
        <v>0</v>
      </c>
      <c r="R529" s="2" t="inlineStr"/>
    </row>
    <row r="530" ht="15" customHeight="1">
      <c r="A530" t="inlineStr">
        <is>
          <t>A 10446-2024</t>
        </is>
      </c>
      <c r="B530" s="1" t="n">
        <v>45366</v>
      </c>
      <c r="C530" s="1" t="n">
        <v>46109</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53860-2021</t>
        </is>
      </c>
      <c r="B531" s="1" t="n">
        <v>44467</v>
      </c>
      <c r="C531" s="1" t="n">
        <v>46109</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15819-2026</t>
        </is>
      </c>
      <c r="B532" s="1" t="n">
        <v>46107.53678240741</v>
      </c>
      <c r="C532" s="1" t="n">
        <v>46109</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23842-2023</t>
        </is>
      </c>
      <c r="B533" s="1" t="n">
        <v>45075</v>
      </c>
      <c r="C533" s="1" t="n">
        <v>46109</v>
      </c>
      <c r="D533" t="inlineStr">
        <is>
          <t>SÖDERMANLANDS LÄN</t>
        </is>
      </c>
      <c r="E533" t="inlineStr">
        <is>
          <t>KATRINEHOLM</t>
        </is>
      </c>
      <c r="G533" t="n">
        <v>1.8</v>
      </c>
      <c r="H533" t="n">
        <v>0</v>
      </c>
      <c r="I533" t="n">
        <v>0</v>
      </c>
      <c r="J533" t="n">
        <v>0</v>
      </c>
      <c r="K533" t="n">
        <v>0</v>
      </c>
      <c r="L533" t="n">
        <v>0</v>
      </c>
      <c r="M533" t="n">
        <v>0</v>
      </c>
      <c r="N533" t="n">
        <v>0</v>
      </c>
      <c r="O533" t="n">
        <v>0</v>
      </c>
      <c r="P533" t="n">
        <v>0</v>
      </c>
      <c r="Q533" t="n">
        <v>0</v>
      </c>
      <c r="R533" s="2" t="inlineStr"/>
    </row>
    <row r="534" ht="15" customHeight="1">
      <c r="A534" t="inlineStr">
        <is>
          <t>A 34263-2023</t>
        </is>
      </c>
      <c r="B534" s="1" t="n">
        <v>45138.60248842592</v>
      </c>
      <c r="C534" s="1" t="n">
        <v>46109</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50021-2023</t>
        </is>
      </c>
      <c r="B535" s="1" t="n">
        <v>45215</v>
      </c>
      <c r="C535" s="1" t="n">
        <v>46109</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15701-2026</t>
        </is>
      </c>
      <c r="B536" s="1" t="n">
        <v>46106</v>
      </c>
      <c r="C536" s="1" t="n">
        <v>46109</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46899-2022</t>
        </is>
      </c>
      <c r="B537" s="1" t="n">
        <v>44848</v>
      </c>
      <c r="C537" s="1" t="n">
        <v>46109</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55296-2022</t>
        </is>
      </c>
      <c r="B538" s="1" t="n">
        <v>44887</v>
      </c>
      <c r="C538" s="1" t="n">
        <v>46109</v>
      </c>
      <c r="D538" t="inlineStr">
        <is>
          <t>SÖDERMANLANDS LÄN</t>
        </is>
      </c>
      <c r="E538" t="inlineStr">
        <is>
          <t>KATRINEHOLM</t>
        </is>
      </c>
      <c r="G538" t="n">
        <v>1.4</v>
      </c>
      <c r="H538" t="n">
        <v>0</v>
      </c>
      <c r="I538" t="n">
        <v>0</v>
      </c>
      <c r="J538" t="n">
        <v>0</v>
      </c>
      <c r="K538" t="n">
        <v>0</v>
      </c>
      <c r="L538" t="n">
        <v>0</v>
      </c>
      <c r="M538" t="n">
        <v>0</v>
      </c>
      <c r="N538" t="n">
        <v>0</v>
      </c>
      <c r="O538" t="n">
        <v>0</v>
      </c>
      <c r="P538" t="n">
        <v>0</v>
      </c>
      <c r="Q538" t="n">
        <v>0</v>
      </c>
      <c r="R538" s="2" t="inlineStr"/>
    </row>
    <row r="539" ht="15" customHeight="1">
      <c r="A539" t="inlineStr">
        <is>
          <t>A 37043-2025</t>
        </is>
      </c>
      <c r="B539" s="1" t="n">
        <v>45875.3396412037</v>
      </c>
      <c r="C539" s="1" t="n">
        <v>46109</v>
      </c>
      <c r="D539" t="inlineStr">
        <is>
          <t>SÖDERMANLANDS LÄN</t>
        </is>
      </c>
      <c r="E539" t="inlineStr">
        <is>
          <t>KATRINEHOLM</t>
        </is>
      </c>
      <c r="G539" t="n">
        <v>2.2</v>
      </c>
      <c r="H539" t="n">
        <v>0</v>
      </c>
      <c r="I539" t="n">
        <v>0</v>
      </c>
      <c r="J539" t="n">
        <v>0</v>
      </c>
      <c r="K539" t="n">
        <v>0</v>
      </c>
      <c r="L539" t="n">
        <v>0</v>
      </c>
      <c r="M539" t="n">
        <v>0</v>
      </c>
      <c r="N539" t="n">
        <v>0</v>
      </c>
      <c r="O539" t="n">
        <v>0</v>
      </c>
      <c r="P539" t="n">
        <v>0</v>
      </c>
      <c r="Q539" t="n">
        <v>0</v>
      </c>
      <c r="R539" s="2" t="inlineStr"/>
    </row>
    <row r="540" ht="15" customHeight="1">
      <c r="A540" t="inlineStr">
        <is>
          <t>A 57524-2021</t>
        </is>
      </c>
      <c r="B540" s="1" t="n">
        <v>44483</v>
      </c>
      <c r="C540" s="1" t="n">
        <v>46109</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931-2023</t>
        </is>
      </c>
      <c r="B541" s="1" t="n">
        <v>44932.74261574074</v>
      </c>
      <c r="C541" s="1" t="n">
        <v>46109</v>
      </c>
      <c r="D541" t="inlineStr">
        <is>
          <t>SÖDERMANLANDS LÄN</t>
        </is>
      </c>
      <c r="E541" t="inlineStr">
        <is>
          <t>KATRINEHOLM</t>
        </is>
      </c>
      <c r="G541" t="n">
        <v>4</v>
      </c>
      <c r="H541" t="n">
        <v>0</v>
      </c>
      <c r="I541" t="n">
        <v>0</v>
      </c>
      <c r="J541" t="n">
        <v>0</v>
      </c>
      <c r="K541" t="n">
        <v>0</v>
      </c>
      <c r="L541" t="n">
        <v>0</v>
      </c>
      <c r="M541" t="n">
        <v>0</v>
      </c>
      <c r="N541" t="n">
        <v>0</v>
      </c>
      <c r="O541" t="n">
        <v>0</v>
      </c>
      <c r="P541" t="n">
        <v>0</v>
      </c>
      <c r="Q541" t="n">
        <v>0</v>
      </c>
      <c r="R541" s="2" t="inlineStr"/>
    </row>
    <row r="542" ht="15" customHeight="1">
      <c r="A542" t="inlineStr">
        <is>
          <t>A 55171-2023</t>
        </is>
      </c>
      <c r="B542" s="1" t="n">
        <v>45231</v>
      </c>
      <c r="C542" s="1" t="n">
        <v>46109</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53393-2023</t>
        </is>
      </c>
      <c r="B543" s="1" t="n">
        <v>45229</v>
      </c>
      <c r="C543" s="1" t="n">
        <v>46109</v>
      </c>
      <c r="D543" t="inlineStr">
        <is>
          <t>SÖDERMANLANDS LÄN</t>
        </is>
      </c>
      <c r="E543" t="inlineStr">
        <is>
          <t>KATRINEHOLM</t>
        </is>
      </c>
      <c r="F543" t="inlineStr">
        <is>
          <t>Kyrkan</t>
        </is>
      </c>
      <c r="G543" t="n">
        <v>5.6</v>
      </c>
      <c r="H543" t="n">
        <v>0</v>
      </c>
      <c r="I543" t="n">
        <v>0</v>
      </c>
      <c r="J543" t="n">
        <v>0</v>
      </c>
      <c r="K543" t="n">
        <v>0</v>
      </c>
      <c r="L543" t="n">
        <v>0</v>
      </c>
      <c r="M543" t="n">
        <v>0</v>
      </c>
      <c r="N543" t="n">
        <v>0</v>
      </c>
      <c r="O543" t="n">
        <v>0</v>
      </c>
      <c r="P543" t="n">
        <v>0</v>
      </c>
      <c r="Q543" t="n">
        <v>0</v>
      </c>
      <c r="R543" s="2" t="inlineStr"/>
    </row>
    <row r="544" ht="15" customHeight="1">
      <c r="A544" t="inlineStr">
        <is>
          <t>A 11543-2025</t>
        </is>
      </c>
      <c r="B544" s="1" t="n">
        <v>45727.34248842593</v>
      </c>
      <c r="C544" s="1" t="n">
        <v>46109</v>
      </c>
      <c r="D544" t="inlineStr">
        <is>
          <t>SÖDERMANLANDS LÄN</t>
        </is>
      </c>
      <c r="E544" t="inlineStr">
        <is>
          <t>KATRINEHOLM</t>
        </is>
      </c>
      <c r="G544" t="n">
        <v>3.6</v>
      </c>
      <c r="H544" t="n">
        <v>0</v>
      </c>
      <c r="I544" t="n">
        <v>0</v>
      </c>
      <c r="J544" t="n">
        <v>0</v>
      </c>
      <c r="K544" t="n">
        <v>0</v>
      </c>
      <c r="L544" t="n">
        <v>0</v>
      </c>
      <c r="M544" t="n">
        <v>0</v>
      </c>
      <c r="N544" t="n">
        <v>0</v>
      </c>
      <c r="O544" t="n">
        <v>0</v>
      </c>
      <c r="P544" t="n">
        <v>0</v>
      </c>
      <c r="Q544" t="n">
        <v>0</v>
      </c>
      <c r="R544" s="2" t="inlineStr"/>
    </row>
    <row r="545" ht="15" customHeight="1">
      <c r="A545" t="inlineStr">
        <is>
          <t>A 23031-2024</t>
        </is>
      </c>
      <c r="B545" s="1" t="n">
        <v>45450.38120370371</v>
      </c>
      <c r="C545" s="1" t="n">
        <v>46109</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37827-2025</t>
        </is>
      </c>
      <c r="B546" s="1" t="n">
        <v>45881.40907407407</v>
      </c>
      <c r="C546" s="1" t="n">
        <v>46109</v>
      </c>
      <c r="D546" t="inlineStr">
        <is>
          <t>SÖDERMANLANDS LÄN</t>
        </is>
      </c>
      <c r="E546" t="inlineStr">
        <is>
          <t>KATRINEHOLM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22506-2023</t>
        </is>
      </c>
      <c r="B547" s="1" t="n">
        <v>45071.37393518518</v>
      </c>
      <c r="C547" s="1" t="n">
        <v>46109</v>
      </c>
      <c r="D547" t="inlineStr">
        <is>
          <t>SÖDERMANLANDS LÄN</t>
        </is>
      </c>
      <c r="E547" t="inlineStr">
        <is>
          <t>KATRINEHOLM</t>
        </is>
      </c>
      <c r="F547" t="inlineStr">
        <is>
          <t>Kyrkan</t>
        </is>
      </c>
      <c r="G547" t="n">
        <v>5.9</v>
      </c>
      <c r="H547" t="n">
        <v>0</v>
      </c>
      <c r="I547" t="n">
        <v>0</v>
      </c>
      <c r="J547" t="n">
        <v>0</v>
      </c>
      <c r="K547" t="n">
        <v>0</v>
      </c>
      <c r="L547" t="n">
        <v>0</v>
      </c>
      <c r="M547" t="n">
        <v>0</v>
      </c>
      <c r="N547" t="n">
        <v>0</v>
      </c>
      <c r="O547" t="n">
        <v>0</v>
      </c>
      <c r="P547" t="n">
        <v>0</v>
      </c>
      <c r="Q547" t="n">
        <v>0</v>
      </c>
      <c r="R547" s="2" t="inlineStr"/>
    </row>
    <row r="548" ht="15" customHeight="1">
      <c r="A548" t="inlineStr">
        <is>
          <t>A 12888-2025</t>
        </is>
      </c>
      <c r="B548" s="1" t="n">
        <v>45733</v>
      </c>
      <c r="C548" s="1" t="n">
        <v>46109</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22345-2023</t>
        </is>
      </c>
      <c r="B549" s="1" t="n">
        <v>45070</v>
      </c>
      <c r="C549" s="1" t="n">
        <v>46109</v>
      </c>
      <c r="D549" t="inlineStr">
        <is>
          <t>SÖDERMANLANDS LÄN</t>
        </is>
      </c>
      <c r="E549" t="inlineStr">
        <is>
          <t>KATRINEHOLM</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48877-2022</t>
        </is>
      </c>
      <c r="B550" s="1" t="n">
        <v>44859</v>
      </c>
      <c r="C550" s="1" t="n">
        <v>46109</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19868-2022</t>
        </is>
      </c>
      <c r="B551" s="1" t="n">
        <v>44696</v>
      </c>
      <c r="C551" s="1" t="n">
        <v>46109</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46109</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29843-2023</t>
        </is>
      </c>
      <c r="B553" s="1" t="n">
        <v>45107</v>
      </c>
      <c r="C553" s="1" t="n">
        <v>46109</v>
      </c>
      <c r="D553" t="inlineStr">
        <is>
          <t>SÖDERMANLANDS LÄN</t>
        </is>
      </c>
      <c r="E553" t="inlineStr">
        <is>
          <t>KATRINEHOLM</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5834-2025</t>
        </is>
      </c>
      <c r="B554" s="1" t="n">
        <v>45694</v>
      </c>
      <c r="C554" s="1" t="n">
        <v>46109</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34981-2023</t>
        </is>
      </c>
      <c r="B555" s="1" t="n">
        <v>45142</v>
      </c>
      <c r="C555" s="1" t="n">
        <v>46109</v>
      </c>
      <c r="D555" t="inlineStr">
        <is>
          <t>SÖDERMANLANDS LÄN</t>
        </is>
      </c>
      <c r="E555" t="inlineStr">
        <is>
          <t>KATRINEHOLM</t>
        </is>
      </c>
      <c r="G555" t="n">
        <v>10</v>
      </c>
      <c r="H555" t="n">
        <v>0</v>
      </c>
      <c r="I555" t="n">
        <v>0</v>
      </c>
      <c r="J555" t="n">
        <v>0</v>
      </c>
      <c r="K555" t="n">
        <v>0</v>
      </c>
      <c r="L555" t="n">
        <v>0</v>
      </c>
      <c r="M555" t="n">
        <v>0</v>
      </c>
      <c r="N555" t="n">
        <v>0</v>
      </c>
      <c r="O555" t="n">
        <v>0</v>
      </c>
      <c r="P555" t="n">
        <v>0</v>
      </c>
      <c r="Q555" t="n">
        <v>0</v>
      </c>
      <c r="R555" s="2" t="inlineStr"/>
    </row>
    <row r="556" ht="15" customHeight="1">
      <c r="A556" t="inlineStr">
        <is>
          <t>A 73412-2021</t>
        </is>
      </c>
      <c r="B556" s="1" t="n">
        <v>44551</v>
      </c>
      <c r="C556" s="1" t="n">
        <v>46109</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53750-2022</t>
        </is>
      </c>
      <c r="B557" s="1" t="n">
        <v>44875</v>
      </c>
      <c r="C557" s="1" t="n">
        <v>46109</v>
      </c>
      <c r="D557" t="inlineStr">
        <is>
          <t>SÖDERMANLANDS LÄN</t>
        </is>
      </c>
      <c r="E557" t="inlineStr">
        <is>
          <t>KATRINEHOLM</t>
        </is>
      </c>
      <c r="F557" t="inlineStr">
        <is>
          <t>Övriga Aktiebolag</t>
        </is>
      </c>
      <c r="G557" t="n">
        <v>12.6</v>
      </c>
      <c r="H557" t="n">
        <v>0</v>
      </c>
      <c r="I557" t="n">
        <v>0</v>
      </c>
      <c r="J557" t="n">
        <v>0</v>
      </c>
      <c r="K557" t="n">
        <v>0</v>
      </c>
      <c r="L557" t="n">
        <v>0</v>
      </c>
      <c r="M557" t="n">
        <v>0</v>
      </c>
      <c r="N557" t="n">
        <v>0</v>
      </c>
      <c r="O557" t="n">
        <v>0</v>
      </c>
      <c r="P557" t="n">
        <v>0</v>
      </c>
      <c r="Q557" t="n">
        <v>0</v>
      </c>
      <c r="R557" s="2" t="inlineStr"/>
    </row>
    <row r="558" ht="15" customHeight="1">
      <c r="A558" t="inlineStr">
        <is>
          <t>A 14245-2024</t>
        </is>
      </c>
      <c r="B558" s="1" t="n">
        <v>45393</v>
      </c>
      <c r="C558" s="1" t="n">
        <v>46109</v>
      </c>
      <c r="D558" t="inlineStr">
        <is>
          <t>SÖDERMANLANDS LÄN</t>
        </is>
      </c>
      <c r="E558" t="inlineStr">
        <is>
          <t>KATRINEHOLM</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11104-2023</t>
        </is>
      </c>
      <c r="B559" s="1" t="n">
        <v>44992</v>
      </c>
      <c r="C559" s="1" t="n">
        <v>46109</v>
      </c>
      <c r="D559" t="inlineStr">
        <is>
          <t>SÖDERMANLANDS LÄN</t>
        </is>
      </c>
      <c r="E559" t="inlineStr">
        <is>
          <t>KATRINEHOLM</t>
        </is>
      </c>
      <c r="F559" t="inlineStr">
        <is>
          <t>Allmännings- och besparingsskogar</t>
        </is>
      </c>
      <c r="G559" t="n">
        <v>7.8</v>
      </c>
      <c r="H559" t="n">
        <v>0</v>
      </c>
      <c r="I559" t="n">
        <v>0</v>
      </c>
      <c r="J559" t="n">
        <v>0</v>
      </c>
      <c r="K559" t="n">
        <v>0</v>
      </c>
      <c r="L559" t="n">
        <v>0</v>
      </c>
      <c r="M559" t="n">
        <v>0</v>
      </c>
      <c r="N559" t="n">
        <v>0</v>
      </c>
      <c r="O559" t="n">
        <v>0</v>
      </c>
      <c r="P559" t="n">
        <v>0</v>
      </c>
      <c r="Q559" t="n">
        <v>0</v>
      </c>
      <c r="R559" s="2" t="inlineStr"/>
    </row>
    <row r="560" ht="15" customHeight="1">
      <c r="A560" t="inlineStr">
        <is>
          <t>A 4387-2024</t>
        </is>
      </c>
      <c r="B560" s="1" t="n">
        <v>45327.35068287037</v>
      </c>
      <c r="C560" s="1" t="n">
        <v>46109</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4872-2024</t>
        </is>
      </c>
      <c r="B561" s="1" t="n">
        <v>45329</v>
      </c>
      <c r="C561" s="1" t="n">
        <v>46109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29702-2021</t>
        </is>
      </c>
      <c r="B562" s="1" t="n">
        <v>44362</v>
      </c>
      <c r="C562" s="1" t="n">
        <v>46109</v>
      </c>
      <c r="D562" t="inlineStr">
        <is>
          <t>SÖDERMANLANDS LÄN</t>
        </is>
      </c>
      <c r="E562" t="inlineStr">
        <is>
          <t>KATRINEHOLM</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3986-2024</t>
        </is>
      </c>
      <c r="B563" s="1" t="n">
        <v>45322</v>
      </c>
      <c r="C563" s="1" t="n">
        <v>46109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10996-2022</t>
        </is>
      </c>
      <c r="B564" s="1" t="n">
        <v>44628</v>
      </c>
      <c r="C564" s="1" t="n">
        <v>46109</v>
      </c>
      <c r="D564" t="inlineStr">
        <is>
          <t>SÖDERMANLANDS LÄN</t>
        </is>
      </c>
      <c r="E564" t="inlineStr">
        <is>
          <t>KATRINEHOLM</t>
        </is>
      </c>
      <c r="G564" t="n">
        <v>0.3</v>
      </c>
      <c r="H564" t="n">
        <v>0</v>
      </c>
      <c r="I564" t="n">
        <v>0</v>
      </c>
      <c r="J564" t="n">
        <v>0</v>
      </c>
      <c r="K564" t="n">
        <v>0</v>
      </c>
      <c r="L564" t="n">
        <v>0</v>
      </c>
      <c r="M564" t="n">
        <v>0</v>
      </c>
      <c r="N564" t="n">
        <v>0</v>
      </c>
      <c r="O564" t="n">
        <v>0</v>
      </c>
      <c r="P564" t="n">
        <v>0</v>
      </c>
      <c r="Q564" t="n">
        <v>0</v>
      </c>
      <c r="R564" s="2" t="inlineStr"/>
    </row>
    <row r="565" ht="15" customHeight="1">
      <c r="A565" t="inlineStr">
        <is>
          <t>A 42451-2023</t>
        </is>
      </c>
      <c r="B565" s="1" t="n">
        <v>45180</v>
      </c>
      <c r="C565" s="1" t="n">
        <v>46109</v>
      </c>
      <c r="D565" t="inlineStr">
        <is>
          <t>SÖDERMANLANDS LÄN</t>
        </is>
      </c>
      <c r="E565" t="inlineStr">
        <is>
          <t>KATRINEHOLM</t>
        </is>
      </c>
      <c r="G565" t="n">
        <v>3.8</v>
      </c>
      <c r="H565" t="n">
        <v>0</v>
      </c>
      <c r="I565" t="n">
        <v>0</v>
      </c>
      <c r="J565" t="n">
        <v>0</v>
      </c>
      <c r="K565" t="n">
        <v>0</v>
      </c>
      <c r="L565" t="n">
        <v>0</v>
      </c>
      <c r="M565" t="n">
        <v>0</v>
      </c>
      <c r="N565" t="n">
        <v>0</v>
      </c>
      <c r="O565" t="n">
        <v>0</v>
      </c>
      <c r="P565" t="n">
        <v>0</v>
      </c>
      <c r="Q565" t="n">
        <v>0</v>
      </c>
      <c r="R565" s="2" t="inlineStr"/>
    </row>
    <row r="566" ht="15" customHeight="1">
      <c r="A566" t="inlineStr">
        <is>
          <t>A 13113-2023</t>
        </is>
      </c>
      <c r="B566" s="1" t="n">
        <v>45002</v>
      </c>
      <c r="C566" s="1" t="n">
        <v>46109</v>
      </c>
      <c r="D566" t="inlineStr">
        <is>
          <t>SÖDERMANLANDS LÄN</t>
        </is>
      </c>
      <c r="E566" t="inlineStr">
        <is>
          <t>KATRINEHOLM</t>
        </is>
      </c>
      <c r="F566" t="inlineStr">
        <is>
          <t>Allmännings- och besparingsskogar</t>
        </is>
      </c>
      <c r="G566" t="n">
        <v>3.6</v>
      </c>
      <c r="H566" t="n">
        <v>0</v>
      </c>
      <c r="I566" t="n">
        <v>0</v>
      </c>
      <c r="J566" t="n">
        <v>0</v>
      </c>
      <c r="K566" t="n">
        <v>0</v>
      </c>
      <c r="L566" t="n">
        <v>0</v>
      </c>
      <c r="M566" t="n">
        <v>0</v>
      </c>
      <c r="N566" t="n">
        <v>0</v>
      </c>
      <c r="O566" t="n">
        <v>0</v>
      </c>
      <c r="P566" t="n">
        <v>0</v>
      </c>
      <c r="Q566" t="n">
        <v>0</v>
      </c>
      <c r="R566" s="2" t="inlineStr"/>
    </row>
    <row r="567" ht="15" customHeight="1">
      <c r="A567" t="inlineStr">
        <is>
          <t>A 6606-2022</t>
        </is>
      </c>
      <c r="B567" s="1" t="n">
        <v>44601</v>
      </c>
      <c r="C567" s="1" t="n">
        <v>46109</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27646-2023</t>
        </is>
      </c>
      <c r="B568" s="1" t="n">
        <v>45097</v>
      </c>
      <c r="C568" s="1" t="n">
        <v>46109</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15235-2023</t>
        </is>
      </c>
      <c r="B569" s="1" t="n">
        <v>45019</v>
      </c>
      <c r="C569" s="1" t="n">
        <v>46109</v>
      </c>
      <c r="D569" t="inlineStr">
        <is>
          <t>SÖDERMANLANDS LÄN</t>
        </is>
      </c>
      <c r="E569" t="inlineStr">
        <is>
          <t>KATRINEHOLM</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25433-2024</t>
        </is>
      </c>
      <c r="B570" s="1" t="n">
        <v>45463</v>
      </c>
      <c r="C570" s="1" t="n">
        <v>46109</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22304-2024</t>
        </is>
      </c>
      <c r="B571" s="1" t="n">
        <v>45446.56626157407</v>
      </c>
      <c r="C571" s="1" t="n">
        <v>46109</v>
      </c>
      <c r="D571" t="inlineStr">
        <is>
          <t>SÖDERMANLANDS LÄN</t>
        </is>
      </c>
      <c r="E571" t="inlineStr">
        <is>
          <t>KATRINEHOLM</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14224-2024</t>
        </is>
      </c>
      <c r="B572" s="1" t="n">
        <v>45393</v>
      </c>
      <c r="C572" s="1" t="n">
        <v>46109</v>
      </c>
      <c r="D572" t="inlineStr">
        <is>
          <t>SÖDERMANLANDS LÄN</t>
        </is>
      </c>
      <c r="E572" t="inlineStr">
        <is>
          <t>KATRINEHOLM</t>
        </is>
      </c>
      <c r="F572" t="inlineStr">
        <is>
          <t>Sveaskog</t>
        </is>
      </c>
      <c r="G572" t="n">
        <v>7.6</v>
      </c>
      <c r="H572" t="n">
        <v>0</v>
      </c>
      <c r="I572" t="n">
        <v>0</v>
      </c>
      <c r="J572" t="n">
        <v>0</v>
      </c>
      <c r="K572" t="n">
        <v>0</v>
      </c>
      <c r="L572" t="n">
        <v>0</v>
      </c>
      <c r="M572" t="n">
        <v>0</v>
      </c>
      <c r="N572" t="n">
        <v>0</v>
      </c>
      <c r="O572" t="n">
        <v>0</v>
      </c>
      <c r="P572" t="n">
        <v>0</v>
      </c>
      <c r="Q572" t="n">
        <v>0</v>
      </c>
      <c r="R572" s="2" t="inlineStr"/>
    </row>
    <row r="573" ht="15" customHeight="1">
      <c r="A573" t="inlineStr">
        <is>
          <t>A 23341-2023</t>
        </is>
      </c>
      <c r="B573" s="1" t="n">
        <v>45076</v>
      </c>
      <c r="C573" s="1" t="n">
        <v>46109</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36366-2023</t>
        </is>
      </c>
      <c r="B574" s="1" t="n">
        <v>45152</v>
      </c>
      <c r="C574" s="1" t="n">
        <v>46109</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36021-2023</t>
        </is>
      </c>
      <c r="B575" s="1" t="n">
        <v>45148</v>
      </c>
      <c r="C575" s="1" t="n">
        <v>46109</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28597-2024</t>
        </is>
      </c>
      <c r="B576" s="1" t="n">
        <v>45478</v>
      </c>
      <c r="C576" s="1" t="n">
        <v>46109</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29198-2023</t>
        </is>
      </c>
      <c r="B577" s="1" t="n">
        <v>45105</v>
      </c>
      <c r="C577" s="1" t="n">
        <v>46109</v>
      </c>
      <c r="D577" t="inlineStr">
        <is>
          <t>SÖDERMANLANDS LÄN</t>
        </is>
      </c>
      <c r="E577" t="inlineStr">
        <is>
          <t>KATRINEHOLM</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46109</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41267-2023</t>
        </is>
      </c>
      <c r="B579" s="1" t="n">
        <v>45174</v>
      </c>
      <c r="C579" s="1" t="n">
        <v>46109</v>
      </c>
      <c r="D579" t="inlineStr">
        <is>
          <t>SÖDERMANLANDS LÄN</t>
        </is>
      </c>
      <c r="E579" t="inlineStr">
        <is>
          <t>KATRINEHOLM</t>
        </is>
      </c>
      <c r="F579" t="inlineStr">
        <is>
          <t>Holmen skog AB</t>
        </is>
      </c>
      <c r="G579" t="n">
        <v>4.5</v>
      </c>
      <c r="H579" t="n">
        <v>0</v>
      </c>
      <c r="I579" t="n">
        <v>0</v>
      </c>
      <c r="J579" t="n">
        <v>0</v>
      </c>
      <c r="K579" t="n">
        <v>0</v>
      </c>
      <c r="L579" t="n">
        <v>0</v>
      </c>
      <c r="M579" t="n">
        <v>0</v>
      </c>
      <c r="N579" t="n">
        <v>0</v>
      </c>
      <c r="O579" t="n">
        <v>0</v>
      </c>
      <c r="P579" t="n">
        <v>0</v>
      </c>
      <c r="Q579" t="n">
        <v>0</v>
      </c>
      <c r="R579" s="2" t="inlineStr"/>
    </row>
    <row r="580" ht="15" customHeight="1">
      <c r="A580" t="inlineStr">
        <is>
          <t>A 4650-2024</t>
        </is>
      </c>
      <c r="B580" s="1" t="n">
        <v>45328</v>
      </c>
      <c r="C580" s="1" t="n">
        <v>46109</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4652-2024</t>
        </is>
      </c>
      <c r="B581" s="1" t="n">
        <v>45328</v>
      </c>
      <c r="C581" s="1" t="n">
        <v>46109</v>
      </c>
      <c r="D581" t="inlineStr">
        <is>
          <t>SÖDERMANLANDS LÄN</t>
        </is>
      </c>
      <c r="E581" t="inlineStr">
        <is>
          <t>KATRINEHOLM</t>
        </is>
      </c>
      <c r="F581" t="inlineStr">
        <is>
          <t>Övriga Aktiebolag</t>
        </is>
      </c>
      <c r="G581" t="n">
        <v>6.1</v>
      </c>
      <c r="H581" t="n">
        <v>0</v>
      </c>
      <c r="I581" t="n">
        <v>0</v>
      </c>
      <c r="J581" t="n">
        <v>0</v>
      </c>
      <c r="K581" t="n">
        <v>0</v>
      </c>
      <c r="L581" t="n">
        <v>0</v>
      </c>
      <c r="M581" t="n">
        <v>0</v>
      </c>
      <c r="N581" t="n">
        <v>0</v>
      </c>
      <c r="O581" t="n">
        <v>0</v>
      </c>
      <c r="P581" t="n">
        <v>0</v>
      </c>
      <c r="Q581" t="n">
        <v>0</v>
      </c>
      <c r="R581" s="2" t="inlineStr"/>
    </row>
    <row r="582" ht="15" customHeight="1">
      <c r="A582" t="inlineStr">
        <is>
          <t>A 29008-2024</t>
        </is>
      </c>
      <c r="B582" s="1" t="n">
        <v>45481</v>
      </c>
      <c r="C582" s="1" t="n">
        <v>46109</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9936-2023</t>
        </is>
      </c>
      <c r="B583" s="1" t="n">
        <v>44985.47086805556</v>
      </c>
      <c r="C583" s="1" t="n">
        <v>46109</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4645-2024</t>
        </is>
      </c>
      <c r="B584" s="1" t="n">
        <v>45328</v>
      </c>
      <c r="C584" s="1" t="n">
        <v>46109</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36001-2024</t>
        </is>
      </c>
      <c r="B585" s="1" t="n">
        <v>45533.54609953704</v>
      </c>
      <c r="C585" s="1" t="n">
        <v>46109</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36832-2023</t>
        </is>
      </c>
      <c r="B586" s="1" t="n">
        <v>45153</v>
      </c>
      <c r="C586" s="1" t="n">
        <v>46109</v>
      </c>
      <c r="D586" t="inlineStr">
        <is>
          <t>SÖDERMANLANDS LÄN</t>
        </is>
      </c>
      <c r="E586" t="inlineStr">
        <is>
          <t>KATRINEHOLM</t>
        </is>
      </c>
      <c r="F586" t="inlineStr">
        <is>
          <t>Övriga Aktiebolag</t>
        </is>
      </c>
      <c r="G586" t="n">
        <v>9</v>
      </c>
      <c r="H586" t="n">
        <v>0</v>
      </c>
      <c r="I586" t="n">
        <v>0</v>
      </c>
      <c r="J586" t="n">
        <v>0</v>
      </c>
      <c r="K586" t="n">
        <v>0</v>
      </c>
      <c r="L586" t="n">
        <v>0</v>
      </c>
      <c r="M586" t="n">
        <v>0</v>
      </c>
      <c r="N586" t="n">
        <v>0</v>
      </c>
      <c r="O586" t="n">
        <v>0</v>
      </c>
      <c r="P586" t="n">
        <v>0</v>
      </c>
      <c r="Q586" t="n">
        <v>0</v>
      </c>
      <c r="R586" s="2" t="inlineStr"/>
    </row>
    <row r="587" ht="15" customHeight="1">
      <c r="A587" t="inlineStr">
        <is>
          <t>A 28931-2024</t>
        </is>
      </c>
      <c r="B587" s="1" t="n">
        <v>45479</v>
      </c>
      <c r="C587" s="1" t="n">
        <v>46109</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6810-2023</t>
        </is>
      </c>
      <c r="B588" s="1" t="n">
        <v>44964</v>
      </c>
      <c r="C588" s="1" t="n">
        <v>46109</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32944-2023</t>
        </is>
      </c>
      <c r="B589" s="1" t="n">
        <v>45125</v>
      </c>
      <c r="C589" s="1" t="n">
        <v>46109</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29977-2023</t>
        </is>
      </c>
      <c r="B590" s="1" t="n">
        <v>45108</v>
      </c>
      <c r="C590" s="1" t="n">
        <v>46109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5788-2022</t>
        </is>
      </c>
      <c r="B591" s="1" t="n">
        <v>44596.54990740741</v>
      </c>
      <c r="C591" s="1" t="n">
        <v>46109</v>
      </c>
      <c r="D591" t="inlineStr">
        <is>
          <t>SÖDERMANLANDS LÄN</t>
        </is>
      </c>
      <c r="E591" t="inlineStr">
        <is>
          <t>KATRINEHOLM</t>
        </is>
      </c>
      <c r="G591" t="n">
        <v>4.1</v>
      </c>
      <c r="H591" t="n">
        <v>0</v>
      </c>
      <c r="I591" t="n">
        <v>0</v>
      </c>
      <c r="J591" t="n">
        <v>0</v>
      </c>
      <c r="K591" t="n">
        <v>0</v>
      </c>
      <c r="L591" t="n">
        <v>0</v>
      </c>
      <c r="M591" t="n">
        <v>0</v>
      </c>
      <c r="N591" t="n">
        <v>0</v>
      </c>
      <c r="O591" t="n">
        <v>0</v>
      </c>
      <c r="P591" t="n">
        <v>0</v>
      </c>
      <c r="Q591" t="n">
        <v>0</v>
      </c>
      <c r="R591" s="2" t="inlineStr"/>
    </row>
    <row r="592" ht="15" customHeight="1">
      <c r="A592" t="inlineStr">
        <is>
          <t>A 20803-2024</t>
        </is>
      </c>
      <c r="B592" s="1" t="n">
        <v>45438</v>
      </c>
      <c r="C592" s="1" t="n">
        <v>46109</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5795-2022</t>
        </is>
      </c>
      <c r="B593" s="1" t="n">
        <v>44596</v>
      </c>
      <c r="C593" s="1" t="n">
        <v>46109</v>
      </c>
      <c r="D593" t="inlineStr">
        <is>
          <t>SÖDERMANLANDS LÄN</t>
        </is>
      </c>
      <c r="E593" t="inlineStr">
        <is>
          <t>KATRINEHOLM</t>
        </is>
      </c>
      <c r="G593" t="n">
        <v>8.1</v>
      </c>
      <c r="H593" t="n">
        <v>0</v>
      </c>
      <c r="I593" t="n">
        <v>0</v>
      </c>
      <c r="J593" t="n">
        <v>0</v>
      </c>
      <c r="K593" t="n">
        <v>0</v>
      </c>
      <c r="L593" t="n">
        <v>0</v>
      </c>
      <c r="M593" t="n">
        <v>0</v>
      </c>
      <c r="N593" t="n">
        <v>0</v>
      </c>
      <c r="O593" t="n">
        <v>0</v>
      </c>
      <c r="P593" t="n">
        <v>0</v>
      </c>
      <c r="Q593" t="n">
        <v>0</v>
      </c>
      <c r="R593" s="2" t="inlineStr"/>
    </row>
    <row r="594" ht="15" customHeight="1">
      <c r="A594" t="inlineStr">
        <is>
          <t>A 3075-2022</t>
        </is>
      </c>
      <c r="B594" s="1" t="n">
        <v>44582</v>
      </c>
      <c r="C594" s="1" t="n">
        <v>46109</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73409-2021</t>
        </is>
      </c>
      <c r="B595" s="1" t="n">
        <v>44551</v>
      </c>
      <c r="C595" s="1" t="n">
        <v>46109</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73415-2021</t>
        </is>
      </c>
      <c r="B596" s="1" t="n">
        <v>44551</v>
      </c>
      <c r="C596" s="1" t="n">
        <v>46109</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46109</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50935-2023</t>
        </is>
      </c>
      <c r="B598" s="1" t="n">
        <v>45211</v>
      </c>
      <c r="C598" s="1" t="n">
        <v>46109</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6298-2024</t>
        </is>
      </c>
      <c r="B599" s="1" t="n">
        <v>45338.34245370371</v>
      </c>
      <c r="C599" s="1" t="n">
        <v>46109</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33001-2024</t>
        </is>
      </c>
      <c r="B600" s="1" t="n">
        <v>45517</v>
      </c>
      <c r="C600" s="1" t="n">
        <v>46109</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58175-2024</t>
        </is>
      </c>
      <c r="B601" s="1" t="n">
        <v>45632.46648148148</v>
      </c>
      <c r="C601" s="1" t="n">
        <v>46109</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53715-2023</t>
        </is>
      </c>
      <c r="B602" s="1" t="n">
        <v>45230</v>
      </c>
      <c r="C602" s="1" t="n">
        <v>46109</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23705-2023</t>
        </is>
      </c>
      <c r="B603" s="1" t="n">
        <v>45077</v>
      </c>
      <c r="C603" s="1" t="n">
        <v>46109</v>
      </c>
      <c r="D603" t="inlineStr">
        <is>
          <t>SÖDERMANLANDS LÄN</t>
        </is>
      </c>
      <c r="E603" t="inlineStr">
        <is>
          <t>KATRINEHOLM</t>
        </is>
      </c>
      <c r="F603" t="inlineStr">
        <is>
          <t>Kyrkan</t>
        </is>
      </c>
      <c r="G603" t="n">
        <v>11.9</v>
      </c>
      <c r="H603" t="n">
        <v>0</v>
      </c>
      <c r="I603" t="n">
        <v>0</v>
      </c>
      <c r="J603" t="n">
        <v>0</v>
      </c>
      <c r="K603" t="n">
        <v>0</v>
      </c>
      <c r="L603" t="n">
        <v>0</v>
      </c>
      <c r="M603" t="n">
        <v>0</v>
      </c>
      <c r="N603" t="n">
        <v>0</v>
      </c>
      <c r="O603" t="n">
        <v>0</v>
      </c>
      <c r="P603" t="n">
        <v>0</v>
      </c>
      <c r="Q603" t="n">
        <v>0</v>
      </c>
      <c r="R603" s="2" t="inlineStr"/>
    </row>
    <row r="604" ht="15" customHeight="1">
      <c r="A604" t="inlineStr">
        <is>
          <t>A 39120-2023</t>
        </is>
      </c>
      <c r="B604" s="1" t="n">
        <v>45165</v>
      </c>
      <c r="C604" s="1" t="n">
        <v>46109</v>
      </c>
      <c r="D604" t="inlineStr">
        <is>
          <t>SÖDERMANLANDS LÄN</t>
        </is>
      </c>
      <c r="E604" t="inlineStr">
        <is>
          <t>KATRINEHOLM</t>
        </is>
      </c>
      <c r="G604" t="n">
        <v>4.4</v>
      </c>
      <c r="H604" t="n">
        <v>0</v>
      </c>
      <c r="I604" t="n">
        <v>0</v>
      </c>
      <c r="J604" t="n">
        <v>0</v>
      </c>
      <c r="K604" t="n">
        <v>0</v>
      </c>
      <c r="L604" t="n">
        <v>0</v>
      </c>
      <c r="M604" t="n">
        <v>0</v>
      </c>
      <c r="N604" t="n">
        <v>0</v>
      </c>
      <c r="O604" t="n">
        <v>0</v>
      </c>
      <c r="P604" t="n">
        <v>0</v>
      </c>
      <c r="Q604" t="n">
        <v>0</v>
      </c>
      <c r="R604" s="2" t="inlineStr"/>
    </row>
    <row r="605" ht="15" customHeight="1">
      <c r="A605" t="inlineStr">
        <is>
          <t>A 51397-2023</t>
        </is>
      </c>
      <c r="B605" s="1" t="n">
        <v>45214</v>
      </c>
      <c r="C605" s="1" t="n">
        <v>46109</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19452-2023</t>
        </is>
      </c>
      <c r="B606" s="1" t="n">
        <v>45050</v>
      </c>
      <c r="C606" s="1" t="n">
        <v>46109</v>
      </c>
      <c r="D606" t="inlineStr">
        <is>
          <t>SÖDERMANLANDS LÄN</t>
        </is>
      </c>
      <c r="E606" t="inlineStr">
        <is>
          <t>KATRINEHOLM</t>
        </is>
      </c>
      <c r="F606" t="inlineStr">
        <is>
          <t>Holmen skog AB</t>
        </is>
      </c>
      <c r="G606" t="n">
        <v>4.7</v>
      </c>
      <c r="H606" t="n">
        <v>0</v>
      </c>
      <c r="I606" t="n">
        <v>0</v>
      </c>
      <c r="J606" t="n">
        <v>0</v>
      </c>
      <c r="K606" t="n">
        <v>0</v>
      </c>
      <c r="L606" t="n">
        <v>0</v>
      </c>
      <c r="M606" t="n">
        <v>0</v>
      </c>
      <c r="N606" t="n">
        <v>0</v>
      </c>
      <c r="O606" t="n">
        <v>0</v>
      </c>
      <c r="P606" t="n">
        <v>0</v>
      </c>
      <c r="Q606" t="n">
        <v>0</v>
      </c>
      <c r="R606" s="2" t="inlineStr"/>
    </row>
    <row r="607" ht="15" customHeight="1">
      <c r="A607" t="inlineStr">
        <is>
          <t>A 52658-2023</t>
        </is>
      </c>
      <c r="B607" s="1" t="n">
        <v>45225</v>
      </c>
      <c r="C607" s="1" t="n">
        <v>46109</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5320-2025</t>
        </is>
      </c>
      <c r="B608" s="1" t="n">
        <v>45692</v>
      </c>
      <c r="C608" s="1" t="n">
        <v>46109</v>
      </c>
      <c r="D608" t="inlineStr">
        <is>
          <t>SÖDERMANLANDS LÄN</t>
        </is>
      </c>
      <c r="E608" t="inlineStr">
        <is>
          <t>KATRINEHOLM</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2606-2025</t>
        </is>
      </c>
      <c r="B609" s="1" t="n">
        <v>45674</v>
      </c>
      <c r="C609" s="1" t="n">
        <v>46109</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39748-2022</t>
        </is>
      </c>
      <c r="B610" s="1" t="n">
        <v>44817</v>
      </c>
      <c r="C610" s="1" t="n">
        <v>46109</v>
      </c>
      <c r="D610" t="inlineStr">
        <is>
          <t>SÖDERMANLANDS LÄN</t>
        </is>
      </c>
      <c r="E610" t="inlineStr">
        <is>
          <t>KATRINEHOLM</t>
        </is>
      </c>
      <c r="G610" t="n">
        <v>10.2</v>
      </c>
      <c r="H610" t="n">
        <v>0</v>
      </c>
      <c r="I610" t="n">
        <v>0</v>
      </c>
      <c r="J610" t="n">
        <v>0</v>
      </c>
      <c r="K610" t="n">
        <v>0</v>
      </c>
      <c r="L610" t="n">
        <v>0</v>
      </c>
      <c r="M610" t="n">
        <v>0</v>
      </c>
      <c r="N610" t="n">
        <v>0</v>
      </c>
      <c r="O610" t="n">
        <v>0</v>
      </c>
      <c r="P610" t="n">
        <v>0</v>
      </c>
      <c r="Q610" t="n">
        <v>0</v>
      </c>
      <c r="R610" s="2" t="inlineStr"/>
    </row>
    <row r="611" ht="15" customHeight="1">
      <c r="A611" t="inlineStr">
        <is>
          <t>A 34731-2023</t>
        </is>
      </c>
      <c r="B611" s="1" t="n">
        <v>45141</v>
      </c>
      <c r="C611" s="1" t="n">
        <v>46109</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34739-2023</t>
        </is>
      </c>
      <c r="B612" s="1" t="n">
        <v>45141</v>
      </c>
      <c r="C612" s="1" t="n">
        <v>46109</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20480-2022</t>
        </is>
      </c>
      <c r="B613" s="1" t="n">
        <v>44699</v>
      </c>
      <c r="C613" s="1" t="n">
        <v>46109</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50017-2023</t>
        </is>
      </c>
      <c r="B614" s="1" t="n">
        <v>45215</v>
      </c>
      <c r="C614" s="1" t="n">
        <v>46109</v>
      </c>
      <c r="D614" t="inlineStr">
        <is>
          <t>SÖDERMANLANDS LÄN</t>
        </is>
      </c>
      <c r="E614" t="inlineStr">
        <is>
          <t>KATRINEHOLM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50018-2023</t>
        </is>
      </c>
      <c r="B615" s="1" t="n">
        <v>45215</v>
      </c>
      <c r="C615" s="1" t="n">
        <v>46109</v>
      </c>
      <c r="D615" t="inlineStr">
        <is>
          <t>SÖDERMANLANDS LÄN</t>
        </is>
      </c>
      <c r="E615" t="inlineStr">
        <is>
          <t>KATRINEHOLM</t>
        </is>
      </c>
      <c r="G615" t="n">
        <v>2.4</v>
      </c>
      <c r="H615" t="n">
        <v>0</v>
      </c>
      <c r="I615" t="n">
        <v>0</v>
      </c>
      <c r="J615" t="n">
        <v>0</v>
      </c>
      <c r="K615" t="n">
        <v>0</v>
      </c>
      <c r="L615" t="n">
        <v>0</v>
      </c>
      <c r="M615" t="n">
        <v>0</v>
      </c>
      <c r="N615" t="n">
        <v>0</v>
      </c>
      <c r="O615" t="n">
        <v>0</v>
      </c>
      <c r="P615" t="n">
        <v>0</v>
      </c>
      <c r="Q615" t="n">
        <v>0</v>
      </c>
      <c r="R615" s="2" t="inlineStr"/>
    </row>
    <row r="616" ht="15" customHeight="1">
      <c r="A616" t="inlineStr">
        <is>
          <t>A 28508-2023</t>
        </is>
      </c>
      <c r="B616" s="1" t="n">
        <v>45103.46788194445</v>
      </c>
      <c r="C616" s="1" t="n">
        <v>46109</v>
      </c>
      <c r="D616" t="inlineStr">
        <is>
          <t>SÖDERMANLANDS LÄN</t>
        </is>
      </c>
      <c r="E616" t="inlineStr">
        <is>
          <t>KATRINEHOLM</t>
        </is>
      </c>
      <c r="F616" t="inlineStr">
        <is>
          <t>Kyrkan</t>
        </is>
      </c>
      <c r="G616" t="n">
        <v>20.5</v>
      </c>
      <c r="H616" t="n">
        <v>0</v>
      </c>
      <c r="I616" t="n">
        <v>0</v>
      </c>
      <c r="J616" t="n">
        <v>0</v>
      </c>
      <c r="K616" t="n">
        <v>0</v>
      </c>
      <c r="L616" t="n">
        <v>0</v>
      </c>
      <c r="M616" t="n">
        <v>0</v>
      </c>
      <c r="N616" t="n">
        <v>0</v>
      </c>
      <c r="O616" t="n">
        <v>0</v>
      </c>
      <c r="P616" t="n">
        <v>0</v>
      </c>
      <c r="Q616" t="n">
        <v>0</v>
      </c>
      <c r="R616" s="2" t="inlineStr"/>
    </row>
    <row r="617" ht="15" customHeight="1">
      <c r="A617" t="inlineStr">
        <is>
          <t>A 46075-2023</t>
        </is>
      </c>
      <c r="B617" s="1" t="n">
        <v>45196</v>
      </c>
      <c r="C617" s="1" t="n">
        <v>46109</v>
      </c>
      <c r="D617" t="inlineStr">
        <is>
          <t>SÖDERMANLANDS LÄN</t>
        </is>
      </c>
      <c r="E617" t="inlineStr">
        <is>
          <t>KATRINEHOLM</t>
        </is>
      </c>
      <c r="F617" t="inlineStr">
        <is>
          <t>Övriga Aktiebolag</t>
        </is>
      </c>
      <c r="G617" t="n">
        <v>9.5</v>
      </c>
      <c r="H617" t="n">
        <v>0</v>
      </c>
      <c r="I617" t="n">
        <v>0</v>
      </c>
      <c r="J617" t="n">
        <v>0</v>
      </c>
      <c r="K617" t="n">
        <v>0</v>
      </c>
      <c r="L617" t="n">
        <v>0</v>
      </c>
      <c r="M617" t="n">
        <v>0</v>
      </c>
      <c r="N617" t="n">
        <v>0</v>
      </c>
      <c r="O617" t="n">
        <v>0</v>
      </c>
      <c r="P617" t="n">
        <v>0</v>
      </c>
      <c r="Q617" t="n">
        <v>0</v>
      </c>
      <c r="R617" s="2" t="inlineStr"/>
    </row>
    <row r="618" ht="15" customHeight="1">
      <c r="A618" t="inlineStr">
        <is>
          <t>A 25823-2023</t>
        </is>
      </c>
      <c r="B618" s="1" t="n">
        <v>45090.55078703703</v>
      </c>
      <c r="C618" s="1" t="n">
        <v>46109</v>
      </c>
      <c r="D618" t="inlineStr">
        <is>
          <t>SÖDERMANLANDS LÄN</t>
        </is>
      </c>
      <c r="E618" t="inlineStr">
        <is>
          <t>KATRINEHOLM</t>
        </is>
      </c>
      <c r="F618" t="inlineStr">
        <is>
          <t>Kyrkan</t>
        </is>
      </c>
      <c r="G618" t="n">
        <v>10.2</v>
      </c>
      <c r="H618" t="n">
        <v>0</v>
      </c>
      <c r="I618" t="n">
        <v>0</v>
      </c>
      <c r="J618" t="n">
        <v>0</v>
      </c>
      <c r="K618" t="n">
        <v>0</v>
      </c>
      <c r="L618" t="n">
        <v>0</v>
      </c>
      <c r="M618" t="n">
        <v>0</v>
      </c>
      <c r="N618" t="n">
        <v>0</v>
      </c>
      <c r="O618" t="n">
        <v>0</v>
      </c>
      <c r="P618" t="n">
        <v>0</v>
      </c>
      <c r="Q618" t="n">
        <v>0</v>
      </c>
      <c r="R618" s="2" t="inlineStr"/>
    </row>
    <row r="619" ht="15" customHeight="1">
      <c r="A619" t="inlineStr">
        <is>
          <t>A 17360-2022</t>
        </is>
      </c>
      <c r="B619" s="1" t="n">
        <v>44678</v>
      </c>
      <c r="C619" s="1" t="n">
        <v>46109</v>
      </c>
      <c r="D619" t="inlineStr">
        <is>
          <t>SÖDERMANLANDS LÄN</t>
        </is>
      </c>
      <c r="E619" t="inlineStr">
        <is>
          <t>KATRINEHOLM</t>
        </is>
      </c>
      <c r="G619" t="n">
        <v>4.5</v>
      </c>
      <c r="H619" t="n">
        <v>0</v>
      </c>
      <c r="I619" t="n">
        <v>0</v>
      </c>
      <c r="J619" t="n">
        <v>0</v>
      </c>
      <c r="K619" t="n">
        <v>0</v>
      </c>
      <c r="L619" t="n">
        <v>0</v>
      </c>
      <c r="M619" t="n">
        <v>0</v>
      </c>
      <c r="N619" t="n">
        <v>0</v>
      </c>
      <c r="O619" t="n">
        <v>0</v>
      </c>
      <c r="P619" t="n">
        <v>0</v>
      </c>
      <c r="Q619" t="n">
        <v>0</v>
      </c>
      <c r="R619" s="2" t="inlineStr"/>
    </row>
    <row r="620" ht="15" customHeight="1">
      <c r="A620" t="inlineStr">
        <is>
          <t>A 22295-2024</t>
        </is>
      </c>
      <c r="B620" s="1" t="n">
        <v>45446.56141203704</v>
      </c>
      <c r="C620" s="1" t="n">
        <v>46109</v>
      </c>
      <c r="D620" t="inlineStr">
        <is>
          <t>SÖDERMANLANDS LÄN</t>
        </is>
      </c>
      <c r="E620" t="inlineStr">
        <is>
          <t>KATRINEHOLM</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46700-2023</t>
        </is>
      </c>
      <c r="B621" s="1" t="n">
        <v>45194</v>
      </c>
      <c r="C621" s="1" t="n">
        <v>46109</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55590-2023</t>
        </is>
      </c>
      <c r="B622" s="1" t="n">
        <v>45238</v>
      </c>
      <c r="C622" s="1" t="n">
        <v>46109</v>
      </c>
      <c r="D622" t="inlineStr">
        <is>
          <t>SÖDERMANLANDS LÄN</t>
        </is>
      </c>
      <c r="E622" t="inlineStr">
        <is>
          <t>KATRINEHOLM</t>
        </is>
      </c>
      <c r="G622" t="n">
        <v>4.5</v>
      </c>
      <c r="H622" t="n">
        <v>0</v>
      </c>
      <c r="I622" t="n">
        <v>0</v>
      </c>
      <c r="J622" t="n">
        <v>0</v>
      </c>
      <c r="K622" t="n">
        <v>0</v>
      </c>
      <c r="L622" t="n">
        <v>0</v>
      </c>
      <c r="M622" t="n">
        <v>0</v>
      </c>
      <c r="N622" t="n">
        <v>0</v>
      </c>
      <c r="O622" t="n">
        <v>0</v>
      </c>
      <c r="P622" t="n">
        <v>0</v>
      </c>
      <c r="Q622" t="n">
        <v>0</v>
      </c>
      <c r="R622" s="2" t="inlineStr"/>
    </row>
    <row r="623" ht="15" customHeight="1">
      <c r="A623" t="inlineStr">
        <is>
          <t>A 15898-2022</t>
        </is>
      </c>
      <c r="B623" s="1" t="n">
        <v>44664.55688657407</v>
      </c>
      <c r="C623" s="1" t="n">
        <v>46109</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15910-2022</t>
        </is>
      </c>
      <c r="B624" s="1" t="n">
        <v>44664</v>
      </c>
      <c r="C624" s="1" t="n">
        <v>46109</v>
      </c>
      <c r="D624" t="inlineStr">
        <is>
          <t>SÖDERMANLANDS LÄN</t>
        </is>
      </c>
      <c r="E624" t="inlineStr">
        <is>
          <t>KATRINEHOLM</t>
        </is>
      </c>
      <c r="G624" t="n">
        <v>5.6</v>
      </c>
      <c r="H624" t="n">
        <v>0</v>
      </c>
      <c r="I624" t="n">
        <v>0</v>
      </c>
      <c r="J624" t="n">
        <v>0</v>
      </c>
      <c r="K624" t="n">
        <v>0</v>
      </c>
      <c r="L624" t="n">
        <v>0</v>
      </c>
      <c r="M624" t="n">
        <v>0</v>
      </c>
      <c r="N624" t="n">
        <v>0</v>
      </c>
      <c r="O624" t="n">
        <v>0</v>
      </c>
      <c r="P624" t="n">
        <v>0</v>
      </c>
      <c r="Q624" t="n">
        <v>0</v>
      </c>
      <c r="R624" s="2" t="inlineStr"/>
    </row>
    <row r="625" ht="15" customHeight="1">
      <c r="A625" t="inlineStr">
        <is>
          <t>A 32818-2023</t>
        </is>
      </c>
      <c r="B625" s="1" t="n">
        <v>45124.55633101852</v>
      </c>
      <c r="C625" s="1" t="n">
        <v>46109</v>
      </c>
      <c r="D625" t="inlineStr">
        <is>
          <t>SÖDERMANLANDS LÄN</t>
        </is>
      </c>
      <c r="E625" t="inlineStr">
        <is>
          <t>KATRINEHOLM</t>
        </is>
      </c>
      <c r="G625" t="n">
        <v>3.4</v>
      </c>
      <c r="H625" t="n">
        <v>0</v>
      </c>
      <c r="I625" t="n">
        <v>0</v>
      </c>
      <c r="J625" t="n">
        <v>0</v>
      </c>
      <c r="K625" t="n">
        <v>0</v>
      </c>
      <c r="L625" t="n">
        <v>0</v>
      </c>
      <c r="M625" t="n">
        <v>0</v>
      </c>
      <c r="N625" t="n">
        <v>0</v>
      </c>
      <c r="O625" t="n">
        <v>0</v>
      </c>
      <c r="P625" t="n">
        <v>0</v>
      </c>
      <c r="Q625" t="n">
        <v>0</v>
      </c>
      <c r="R625" s="2" t="inlineStr"/>
    </row>
    <row r="626" ht="15" customHeight="1">
      <c r="A626" t="inlineStr">
        <is>
          <t>A 20214-2025</t>
        </is>
      </c>
      <c r="B626" s="1" t="n">
        <v>45772.63540509259</v>
      </c>
      <c r="C626" s="1" t="n">
        <v>46109</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22272-2022</t>
        </is>
      </c>
      <c r="B627" s="1" t="n">
        <v>44712</v>
      </c>
      <c r="C627" s="1" t="n">
        <v>46109</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27334-2023</t>
        </is>
      </c>
      <c r="B628" s="1" t="n">
        <v>45096</v>
      </c>
      <c r="C628" s="1" t="n">
        <v>46109</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40186-2023</t>
        </is>
      </c>
      <c r="B629" s="1" t="n">
        <v>45169</v>
      </c>
      <c r="C629" s="1" t="n">
        <v>46109</v>
      </c>
      <c r="D629" t="inlineStr">
        <is>
          <t>SÖDERMANLANDS LÄN</t>
        </is>
      </c>
      <c r="E629" t="inlineStr">
        <is>
          <t>KATRINEHOLM</t>
        </is>
      </c>
      <c r="G629" t="n">
        <v>2.1</v>
      </c>
      <c r="H629" t="n">
        <v>0</v>
      </c>
      <c r="I629" t="n">
        <v>0</v>
      </c>
      <c r="J629" t="n">
        <v>0</v>
      </c>
      <c r="K629" t="n">
        <v>0</v>
      </c>
      <c r="L629" t="n">
        <v>0</v>
      </c>
      <c r="M629" t="n">
        <v>0</v>
      </c>
      <c r="N629" t="n">
        <v>0</v>
      </c>
      <c r="O629" t="n">
        <v>0</v>
      </c>
      <c r="P629" t="n">
        <v>0</v>
      </c>
      <c r="Q629" t="n">
        <v>0</v>
      </c>
      <c r="R629" s="2" t="inlineStr"/>
    </row>
    <row r="630" ht="15" customHeight="1">
      <c r="A630" t="inlineStr">
        <is>
          <t>A 47886-2023</t>
        </is>
      </c>
      <c r="B630" s="1" t="n">
        <v>45204</v>
      </c>
      <c r="C630" s="1" t="n">
        <v>46109</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36562-2023</t>
        </is>
      </c>
      <c r="B631" s="1" t="n">
        <v>45153</v>
      </c>
      <c r="C631" s="1" t="n">
        <v>46109</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34539-2022</t>
        </is>
      </c>
      <c r="B632" s="1" t="n">
        <v>44793.50563657407</v>
      </c>
      <c r="C632" s="1" t="n">
        <v>46109</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41205-2021</t>
        </is>
      </c>
      <c r="B633" s="1" t="n">
        <v>44424.38577546296</v>
      </c>
      <c r="C633" s="1" t="n">
        <v>46109</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24748-2024</t>
        </is>
      </c>
      <c r="B634" s="1" t="n">
        <v>45460.66567129629</v>
      </c>
      <c r="C634" s="1" t="n">
        <v>46109</v>
      </c>
      <c r="D634" t="inlineStr">
        <is>
          <t>SÖDERMANLANDS LÄN</t>
        </is>
      </c>
      <c r="E634" t="inlineStr">
        <is>
          <t>KATRINEHOLM</t>
        </is>
      </c>
      <c r="G634" t="n">
        <v>3.3</v>
      </c>
      <c r="H634" t="n">
        <v>0</v>
      </c>
      <c r="I634" t="n">
        <v>0</v>
      </c>
      <c r="J634" t="n">
        <v>0</v>
      </c>
      <c r="K634" t="n">
        <v>0</v>
      </c>
      <c r="L634" t="n">
        <v>0</v>
      </c>
      <c r="M634" t="n">
        <v>0</v>
      </c>
      <c r="N634" t="n">
        <v>0</v>
      </c>
      <c r="O634" t="n">
        <v>0</v>
      </c>
      <c r="P634" t="n">
        <v>0</v>
      </c>
      <c r="Q634" t="n">
        <v>0</v>
      </c>
      <c r="R634" s="2" t="inlineStr"/>
    </row>
    <row r="635" ht="15" customHeight="1">
      <c r="A635" t="inlineStr">
        <is>
          <t>A 40402-2022</t>
        </is>
      </c>
      <c r="B635" s="1" t="n">
        <v>44823.44353009259</v>
      </c>
      <c r="C635" s="1" t="n">
        <v>46109</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17792-2025</t>
        </is>
      </c>
      <c r="B636" s="1" t="n">
        <v>45758</v>
      </c>
      <c r="C636" s="1" t="n">
        <v>46109</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17820-2025</t>
        </is>
      </c>
      <c r="B637" s="1" t="n">
        <v>45758</v>
      </c>
      <c r="C637" s="1" t="n">
        <v>46109</v>
      </c>
      <c r="D637" t="inlineStr">
        <is>
          <t>SÖDERMANLANDS LÄN</t>
        </is>
      </c>
      <c r="E637" t="inlineStr">
        <is>
          <t>KATRINEHOLM</t>
        </is>
      </c>
      <c r="G637" t="n">
        <v>5.9</v>
      </c>
      <c r="H637" t="n">
        <v>0</v>
      </c>
      <c r="I637" t="n">
        <v>0</v>
      </c>
      <c r="J637" t="n">
        <v>0</v>
      </c>
      <c r="K637" t="n">
        <v>0</v>
      </c>
      <c r="L637" t="n">
        <v>0</v>
      </c>
      <c r="M637" t="n">
        <v>0</v>
      </c>
      <c r="N637" t="n">
        <v>0</v>
      </c>
      <c r="O637" t="n">
        <v>0</v>
      </c>
      <c r="P637" t="n">
        <v>0</v>
      </c>
      <c r="Q637" t="n">
        <v>0</v>
      </c>
      <c r="R637" s="2" t="inlineStr"/>
    </row>
    <row r="638" ht="15" customHeight="1">
      <c r="A638" t="inlineStr">
        <is>
          <t>A 30387-2022</t>
        </is>
      </c>
      <c r="B638" s="1" t="n">
        <v>44760</v>
      </c>
      <c r="C638" s="1" t="n">
        <v>46109</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39052-2023</t>
        </is>
      </c>
      <c r="B639" s="1" t="n">
        <v>45163</v>
      </c>
      <c r="C639" s="1" t="n">
        <v>46109</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8922-2024</t>
        </is>
      </c>
      <c r="B640" s="1" t="n">
        <v>45357.38601851852</v>
      </c>
      <c r="C640" s="1" t="n">
        <v>46109</v>
      </c>
      <c r="D640" t="inlineStr">
        <is>
          <t>SÖDERMANLANDS LÄN</t>
        </is>
      </c>
      <c r="E640" t="inlineStr">
        <is>
          <t>KATRINEHOLM</t>
        </is>
      </c>
      <c r="G640" t="n">
        <v>2.2</v>
      </c>
      <c r="H640" t="n">
        <v>0</v>
      </c>
      <c r="I640" t="n">
        <v>0</v>
      </c>
      <c r="J640" t="n">
        <v>0</v>
      </c>
      <c r="K640" t="n">
        <v>0</v>
      </c>
      <c r="L640" t="n">
        <v>0</v>
      </c>
      <c r="M640" t="n">
        <v>0</v>
      </c>
      <c r="N640" t="n">
        <v>0</v>
      </c>
      <c r="O640" t="n">
        <v>0</v>
      </c>
      <c r="P640" t="n">
        <v>0</v>
      </c>
      <c r="Q640" t="n">
        <v>0</v>
      </c>
      <c r="R640" s="2" t="inlineStr"/>
    </row>
    <row r="641" ht="15" customHeight="1">
      <c r="A641" t="inlineStr">
        <is>
          <t>A 48160-2022</t>
        </is>
      </c>
      <c r="B641" s="1" t="n">
        <v>44853</v>
      </c>
      <c r="C641" s="1" t="n">
        <v>46109</v>
      </c>
      <c r="D641" t="inlineStr">
        <is>
          <t>SÖDERMANLANDS LÄN</t>
        </is>
      </c>
      <c r="E641" t="inlineStr">
        <is>
          <t>KATRINEHOLM</t>
        </is>
      </c>
      <c r="F641" t="inlineStr">
        <is>
          <t>Övriga statliga verk och myndigheter</t>
        </is>
      </c>
      <c r="G641" t="n">
        <v>2.2</v>
      </c>
      <c r="H641" t="n">
        <v>0</v>
      </c>
      <c r="I641" t="n">
        <v>0</v>
      </c>
      <c r="J641" t="n">
        <v>0</v>
      </c>
      <c r="K641" t="n">
        <v>0</v>
      </c>
      <c r="L641" t="n">
        <v>0</v>
      </c>
      <c r="M641" t="n">
        <v>0</v>
      </c>
      <c r="N641" t="n">
        <v>0</v>
      </c>
      <c r="O641" t="n">
        <v>0</v>
      </c>
      <c r="P641" t="n">
        <v>0</v>
      </c>
      <c r="Q641" t="n">
        <v>0</v>
      </c>
      <c r="R641" s="2" t="inlineStr"/>
    </row>
    <row r="642" ht="15" customHeight="1">
      <c r="A642" t="inlineStr">
        <is>
          <t>A 28317-2024</t>
        </is>
      </c>
      <c r="B642" s="1" t="n">
        <v>45477</v>
      </c>
      <c r="C642" s="1" t="n">
        <v>46109</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66393-2021</t>
        </is>
      </c>
      <c r="B643" s="1" t="n">
        <v>44518</v>
      </c>
      <c r="C643" s="1" t="n">
        <v>46109</v>
      </c>
      <c r="D643" t="inlineStr">
        <is>
          <t>SÖDERMANLANDS LÄN</t>
        </is>
      </c>
      <c r="E643" t="inlineStr">
        <is>
          <t>KATRINEHOLM</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47134-2022</t>
        </is>
      </c>
      <c r="B644" s="1" t="n">
        <v>44851</v>
      </c>
      <c r="C644" s="1" t="n">
        <v>46109</v>
      </c>
      <c r="D644" t="inlineStr">
        <is>
          <t>SÖDERMANLANDS LÄN</t>
        </is>
      </c>
      <c r="E644" t="inlineStr">
        <is>
          <t>KATRINEHOLM</t>
        </is>
      </c>
      <c r="F644" t="inlineStr">
        <is>
          <t>Övriga statliga verk och myndigheter</t>
        </is>
      </c>
      <c r="G644" t="n">
        <v>1.5</v>
      </c>
      <c r="H644" t="n">
        <v>0</v>
      </c>
      <c r="I644" t="n">
        <v>0</v>
      </c>
      <c r="J644" t="n">
        <v>0</v>
      </c>
      <c r="K644" t="n">
        <v>0</v>
      </c>
      <c r="L644" t="n">
        <v>0</v>
      </c>
      <c r="M644" t="n">
        <v>0</v>
      </c>
      <c r="N644" t="n">
        <v>0</v>
      </c>
      <c r="O644" t="n">
        <v>0</v>
      </c>
      <c r="P644" t="n">
        <v>0</v>
      </c>
      <c r="Q644" t="n">
        <v>0</v>
      </c>
      <c r="R644" s="2" t="inlineStr"/>
    </row>
    <row r="645" ht="15" customHeight="1">
      <c r="A645" t="inlineStr">
        <is>
          <t>A 1143-2024</t>
        </is>
      </c>
      <c r="B645" s="1" t="n">
        <v>45302</v>
      </c>
      <c r="C645" s="1" t="n">
        <v>46109</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3982-2024</t>
        </is>
      </c>
      <c r="B646" s="1" t="n">
        <v>45322</v>
      </c>
      <c r="C646" s="1" t="n">
        <v>46109</v>
      </c>
      <c r="D646" t="inlineStr">
        <is>
          <t>SÖDERMANLANDS LÄN</t>
        </is>
      </c>
      <c r="E646" t="inlineStr">
        <is>
          <t>KATRINEHOLM</t>
        </is>
      </c>
      <c r="G646" t="n">
        <v>3.7</v>
      </c>
      <c r="H646" t="n">
        <v>0</v>
      </c>
      <c r="I646" t="n">
        <v>0</v>
      </c>
      <c r="J646" t="n">
        <v>0</v>
      </c>
      <c r="K646" t="n">
        <v>0</v>
      </c>
      <c r="L646" t="n">
        <v>0</v>
      </c>
      <c r="M646" t="n">
        <v>0</v>
      </c>
      <c r="N646" t="n">
        <v>0</v>
      </c>
      <c r="O646" t="n">
        <v>0</v>
      </c>
      <c r="P646" t="n">
        <v>0</v>
      </c>
      <c r="Q646" t="n">
        <v>0</v>
      </c>
      <c r="R646" s="2" t="inlineStr"/>
    </row>
    <row r="647" ht="15" customHeight="1">
      <c r="A647" t="inlineStr">
        <is>
          <t>A 57263-2022</t>
        </is>
      </c>
      <c r="B647" s="1" t="n">
        <v>44895</v>
      </c>
      <c r="C647" s="1" t="n">
        <v>46109</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28431-2024</t>
        </is>
      </c>
      <c r="B648" s="1" t="n">
        <v>45477.65216435185</v>
      </c>
      <c r="C648" s="1" t="n">
        <v>46109</v>
      </c>
      <c r="D648" t="inlineStr">
        <is>
          <t>SÖDERMANLANDS LÄN</t>
        </is>
      </c>
      <c r="E648" t="inlineStr">
        <is>
          <t>KATRINEHOLM</t>
        </is>
      </c>
      <c r="G648" t="n">
        <v>3.5</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46109</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45142-2021</t>
        </is>
      </c>
      <c r="B650" s="1" t="n">
        <v>44439</v>
      </c>
      <c r="C650" s="1" t="n">
        <v>46109</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7191-2023</t>
        </is>
      </c>
      <c r="B651" s="1" t="n">
        <v>44965</v>
      </c>
      <c r="C651" s="1" t="n">
        <v>46109</v>
      </c>
      <c r="D651" t="inlineStr">
        <is>
          <t>SÖDERMANLANDS LÄN</t>
        </is>
      </c>
      <c r="E651" t="inlineStr">
        <is>
          <t>KATRINEHOLM</t>
        </is>
      </c>
      <c r="G651" t="n">
        <v>14.1</v>
      </c>
      <c r="H651" t="n">
        <v>0</v>
      </c>
      <c r="I651" t="n">
        <v>0</v>
      </c>
      <c r="J651" t="n">
        <v>0</v>
      </c>
      <c r="K651" t="n">
        <v>0</v>
      </c>
      <c r="L651" t="n">
        <v>0</v>
      </c>
      <c r="M651" t="n">
        <v>0</v>
      </c>
      <c r="N651" t="n">
        <v>0</v>
      </c>
      <c r="O651" t="n">
        <v>0</v>
      </c>
      <c r="P651" t="n">
        <v>0</v>
      </c>
      <c r="Q651" t="n">
        <v>0</v>
      </c>
      <c r="R651" s="2" t="inlineStr"/>
    </row>
    <row r="652" ht="15" customHeight="1">
      <c r="A652" t="inlineStr">
        <is>
          <t>A 66540-2021</t>
        </is>
      </c>
      <c r="B652" s="1" t="n">
        <v>44519</v>
      </c>
      <c r="C652" s="1" t="n">
        <v>46109</v>
      </c>
      <c r="D652" t="inlineStr">
        <is>
          <t>SÖDERMANLANDS LÄN</t>
        </is>
      </c>
      <c r="E652" t="inlineStr">
        <is>
          <t>KATRINEHOLM</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8394-2024</t>
        </is>
      </c>
      <c r="B653" s="1" t="n">
        <v>45352</v>
      </c>
      <c r="C653" s="1" t="n">
        <v>46109</v>
      </c>
      <c r="D653" t="inlineStr">
        <is>
          <t>SÖDERMANLANDS LÄN</t>
        </is>
      </c>
      <c r="E653" t="inlineStr">
        <is>
          <t>KATRINEHOLM</t>
        </is>
      </c>
      <c r="G653" t="n">
        <v>4</v>
      </c>
      <c r="H653" t="n">
        <v>0</v>
      </c>
      <c r="I653" t="n">
        <v>0</v>
      </c>
      <c r="J653" t="n">
        <v>0</v>
      </c>
      <c r="K653" t="n">
        <v>0</v>
      </c>
      <c r="L653" t="n">
        <v>0</v>
      </c>
      <c r="M653" t="n">
        <v>0</v>
      </c>
      <c r="N653" t="n">
        <v>0</v>
      </c>
      <c r="O653" t="n">
        <v>0</v>
      </c>
      <c r="P653" t="n">
        <v>0</v>
      </c>
      <c r="Q653" t="n">
        <v>0</v>
      </c>
      <c r="R653" s="2" t="inlineStr"/>
    </row>
    <row r="654" ht="15" customHeight="1">
      <c r="A654" t="inlineStr">
        <is>
          <t>A 13658-2023</t>
        </is>
      </c>
      <c r="B654" s="1" t="n">
        <v>45006</v>
      </c>
      <c r="C654" s="1" t="n">
        <v>46109</v>
      </c>
      <c r="D654" t="inlineStr">
        <is>
          <t>SÖDERMANLANDS LÄN</t>
        </is>
      </c>
      <c r="E654" t="inlineStr">
        <is>
          <t>KATRINEHOLM</t>
        </is>
      </c>
      <c r="F654" t="inlineStr">
        <is>
          <t>Kyrkan</t>
        </is>
      </c>
      <c r="G654" t="n">
        <v>24.3</v>
      </c>
      <c r="H654" t="n">
        <v>0</v>
      </c>
      <c r="I654" t="n">
        <v>0</v>
      </c>
      <c r="J654" t="n">
        <v>0</v>
      </c>
      <c r="K654" t="n">
        <v>0</v>
      </c>
      <c r="L654" t="n">
        <v>0</v>
      </c>
      <c r="M654" t="n">
        <v>0</v>
      </c>
      <c r="N654" t="n">
        <v>0</v>
      </c>
      <c r="O654" t="n">
        <v>0</v>
      </c>
      <c r="P654" t="n">
        <v>0</v>
      </c>
      <c r="Q654" t="n">
        <v>0</v>
      </c>
      <c r="R654" s="2" t="inlineStr"/>
    </row>
    <row r="655" ht="15" customHeight="1">
      <c r="A655" t="inlineStr">
        <is>
          <t>A 61385-2023</t>
        </is>
      </c>
      <c r="B655" s="1" t="n">
        <v>45264.64241898148</v>
      </c>
      <c r="C655" s="1" t="n">
        <v>46109</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55825-2022</t>
        </is>
      </c>
      <c r="B656" s="1" t="n">
        <v>44886</v>
      </c>
      <c r="C656" s="1" t="n">
        <v>46109</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55856-2022</t>
        </is>
      </c>
      <c r="B657" s="1" t="n">
        <v>44888</v>
      </c>
      <c r="C657" s="1" t="n">
        <v>46109</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43513-2023</t>
        </is>
      </c>
      <c r="B658" s="1" t="n">
        <v>45184</v>
      </c>
      <c r="C658" s="1" t="n">
        <v>46109</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8951-2024</t>
        </is>
      </c>
      <c r="B659" s="1" t="n">
        <v>45357.44695601852</v>
      </c>
      <c r="C659" s="1" t="n">
        <v>46109</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8955-2024</t>
        </is>
      </c>
      <c r="B660" s="1" t="n">
        <v>45357.44873842593</v>
      </c>
      <c r="C660" s="1" t="n">
        <v>46109</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15945-2024</t>
        </is>
      </c>
      <c r="B661" s="1" t="n">
        <v>45405.48912037037</v>
      </c>
      <c r="C661" s="1" t="n">
        <v>46109</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4655-2024</t>
        </is>
      </c>
      <c r="B662" s="1" t="n">
        <v>45328</v>
      </c>
      <c r="C662" s="1" t="n">
        <v>46109</v>
      </c>
      <c r="D662" t="inlineStr">
        <is>
          <t>SÖDERMANLANDS LÄN</t>
        </is>
      </c>
      <c r="E662" t="inlineStr">
        <is>
          <t>KATRINEHOLM</t>
        </is>
      </c>
      <c r="G662" t="n">
        <v>17.7</v>
      </c>
      <c r="H662" t="n">
        <v>0</v>
      </c>
      <c r="I662" t="n">
        <v>0</v>
      </c>
      <c r="J662" t="n">
        <v>0</v>
      </c>
      <c r="K662" t="n">
        <v>0</v>
      </c>
      <c r="L662" t="n">
        <v>0</v>
      </c>
      <c r="M662" t="n">
        <v>0</v>
      </c>
      <c r="N662" t="n">
        <v>0</v>
      </c>
      <c r="O662" t="n">
        <v>0</v>
      </c>
      <c r="P662" t="n">
        <v>0</v>
      </c>
      <c r="Q662" t="n">
        <v>0</v>
      </c>
      <c r="R662" s="2" t="inlineStr"/>
    </row>
    <row r="663" ht="15" customHeight="1">
      <c r="A663" t="inlineStr">
        <is>
          <t>A 53387-2023</t>
        </is>
      </c>
      <c r="B663" s="1" t="n">
        <v>45229</v>
      </c>
      <c r="C663" s="1" t="n">
        <v>46109</v>
      </c>
      <c r="D663" t="inlineStr">
        <is>
          <t>SÖDERMANLANDS LÄN</t>
        </is>
      </c>
      <c r="E663" t="inlineStr">
        <is>
          <t>KATRINEHOLM</t>
        </is>
      </c>
      <c r="F663" t="inlineStr">
        <is>
          <t>Kyrkan</t>
        </is>
      </c>
      <c r="G663" t="n">
        <v>7.4</v>
      </c>
      <c r="H663" t="n">
        <v>0</v>
      </c>
      <c r="I663" t="n">
        <v>0</v>
      </c>
      <c r="J663" t="n">
        <v>0</v>
      </c>
      <c r="K663" t="n">
        <v>0</v>
      </c>
      <c r="L663" t="n">
        <v>0</v>
      </c>
      <c r="M663" t="n">
        <v>0</v>
      </c>
      <c r="N663" t="n">
        <v>0</v>
      </c>
      <c r="O663" t="n">
        <v>0</v>
      </c>
      <c r="P663" t="n">
        <v>0</v>
      </c>
      <c r="Q663" t="n">
        <v>0</v>
      </c>
      <c r="R663" s="2" t="inlineStr"/>
    </row>
    <row r="664" ht="15" customHeight="1">
      <c r="A664" t="inlineStr">
        <is>
          <t>A 42590-2022</t>
        </is>
      </c>
      <c r="B664" s="1" t="n">
        <v>44831</v>
      </c>
      <c r="C664" s="1" t="n">
        <v>46109</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38883-2024</t>
        </is>
      </c>
      <c r="B665" s="1" t="n">
        <v>45547</v>
      </c>
      <c r="C665" s="1" t="n">
        <v>46109</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4667-2024</t>
        </is>
      </c>
      <c r="B666" s="1" t="n">
        <v>45328.47</v>
      </c>
      <c r="C666" s="1" t="n">
        <v>46109</v>
      </c>
      <c r="D666" t="inlineStr">
        <is>
          <t>SÖDERMANLANDS LÄN</t>
        </is>
      </c>
      <c r="E666" t="inlineStr">
        <is>
          <t>KATRINEHOLM</t>
        </is>
      </c>
      <c r="F666" t="inlineStr">
        <is>
          <t>Övriga Aktiebolag</t>
        </is>
      </c>
      <c r="G666" t="n">
        <v>10.2</v>
      </c>
      <c r="H666" t="n">
        <v>0</v>
      </c>
      <c r="I666" t="n">
        <v>0</v>
      </c>
      <c r="J666" t="n">
        <v>0</v>
      </c>
      <c r="K666" t="n">
        <v>0</v>
      </c>
      <c r="L666" t="n">
        <v>0</v>
      </c>
      <c r="M666" t="n">
        <v>0</v>
      </c>
      <c r="N666" t="n">
        <v>0</v>
      </c>
      <c r="O666" t="n">
        <v>0</v>
      </c>
      <c r="P666" t="n">
        <v>0</v>
      </c>
      <c r="Q666" t="n">
        <v>0</v>
      </c>
      <c r="R666" s="2" t="inlineStr"/>
    </row>
    <row r="667" ht="15" customHeight="1">
      <c r="A667" t="inlineStr">
        <is>
          <t>A 39704-2023</t>
        </is>
      </c>
      <c r="B667" s="1" t="n">
        <v>45167</v>
      </c>
      <c r="C667" s="1" t="n">
        <v>46109</v>
      </c>
      <c r="D667" t="inlineStr">
        <is>
          <t>SÖDERMANLANDS LÄN</t>
        </is>
      </c>
      <c r="E667" t="inlineStr">
        <is>
          <t>KATRINEHOLM</t>
        </is>
      </c>
      <c r="F667" t="inlineStr">
        <is>
          <t>Övriga Aktiebolag</t>
        </is>
      </c>
      <c r="G667" t="n">
        <v>3.4</v>
      </c>
      <c r="H667" t="n">
        <v>0</v>
      </c>
      <c r="I667" t="n">
        <v>0</v>
      </c>
      <c r="J667" t="n">
        <v>0</v>
      </c>
      <c r="K667" t="n">
        <v>0</v>
      </c>
      <c r="L667" t="n">
        <v>0</v>
      </c>
      <c r="M667" t="n">
        <v>0</v>
      </c>
      <c r="N667" t="n">
        <v>0</v>
      </c>
      <c r="O667" t="n">
        <v>0</v>
      </c>
      <c r="P667" t="n">
        <v>0</v>
      </c>
      <c r="Q667" t="n">
        <v>0</v>
      </c>
      <c r="R667" s="2" t="inlineStr"/>
    </row>
    <row r="668" ht="15" customHeight="1">
      <c r="A668" t="inlineStr">
        <is>
          <t>A 16087-2023</t>
        </is>
      </c>
      <c r="B668" s="1" t="n">
        <v>45026</v>
      </c>
      <c r="C668" s="1" t="n">
        <v>46109</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28652-2024</t>
        </is>
      </c>
      <c r="B669" s="1" t="n">
        <v>45478</v>
      </c>
      <c r="C669" s="1" t="n">
        <v>46109</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42791-2023</t>
        </is>
      </c>
      <c r="B670" s="1" t="n">
        <v>45181.92876157408</v>
      </c>
      <c r="C670" s="1" t="n">
        <v>46109</v>
      </c>
      <c r="D670" t="inlineStr">
        <is>
          <t>SÖDERMANLANDS LÄN</t>
        </is>
      </c>
      <c r="E670" t="inlineStr">
        <is>
          <t>KATRINEHOLM</t>
        </is>
      </c>
      <c r="G670" t="n">
        <v>4.1</v>
      </c>
      <c r="H670" t="n">
        <v>0</v>
      </c>
      <c r="I670" t="n">
        <v>0</v>
      </c>
      <c r="J670" t="n">
        <v>0</v>
      </c>
      <c r="K670" t="n">
        <v>0</v>
      </c>
      <c r="L670" t="n">
        <v>0</v>
      </c>
      <c r="M670" t="n">
        <v>0</v>
      </c>
      <c r="N670" t="n">
        <v>0</v>
      </c>
      <c r="O670" t="n">
        <v>0</v>
      </c>
      <c r="P670" t="n">
        <v>0</v>
      </c>
      <c r="Q670" t="n">
        <v>0</v>
      </c>
      <c r="R670" s="2" t="inlineStr"/>
    </row>
    <row r="671" ht="15" customHeight="1">
      <c r="A671" t="inlineStr">
        <is>
          <t>A 42792-2023</t>
        </is>
      </c>
      <c r="B671" s="1" t="n">
        <v>45181.95491898148</v>
      </c>
      <c r="C671" s="1" t="n">
        <v>46109</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31740-2022</t>
        </is>
      </c>
      <c r="B672" s="1" t="n">
        <v>44776</v>
      </c>
      <c r="C672" s="1" t="n">
        <v>46109</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4679-2023</t>
        </is>
      </c>
      <c r="B673" s="1" t="n">
        <v>44957.44885416667</v>
      </c>
      <c r="C673" s="1" t="n">
        <v>46109</v>
      </c>
      <c r="D673" t="inlineStr">
        <is>
          <t>SÖDERMANLANDS LÄN</t>
        </is>
      </c>
      <c r="E673" t="inlineStr">
        <is>
          <t>KATRINEHOLM</t>
        </is>
      </c>
      <c r="G673" t="n">
        <v>5.3</v>
      </c>
      <c r="H673" t="n">
        <v>0</v>
      </c>
      <c r="I673" t="n">
        <v>0</v>
      </c>
      <c r="J673" t="n">
        <v>0</v>
      </c>
      <c r="K673" t="n">
        <v>0</v>
      </c>
      <c r="L673" t="n">
        <v>0</v>
      </c>
      <c r="M673" t="n">
        <v>0</v>
      </c>
      <c r="N673" t="n">
        <v>0</v>
      </c>
      <c r="O673" t="n">
        <v>0</v>
      </c>
      <c r="P673" t="n">
        <v>0</v>
      </c>
      <c r="Q673" t="n">
        <v>0</v>
      </c>
      <c r="R673" s="2" t="inlineStr"/>
    </row>
    <row r="674" ht="15" customHeight="1">
      <c r="A674" t="inlineStr">
        <is>
          <t>A 48528-2021</t>
        </is>
      </c>
      <c r="B674" s="1" t="n">
        <v>44449</v>
      </c>
      <c r="C674" s="1" t="n">
        <v>46109</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48398-2022</t>
        </is>
      </c>
      <c r="B675" s="1" t="n">
        <v>44858.60809027778</v>
      </c>
      <c r="C675" s="1" t="n">
        <v>46109</v>
      </c>
      <c r="D675" t="inlineStr">
        <is>
          <t>SÖDERMANLANDS LÄN</t>
        </is>
      </c>
      <c r="E675" t="inlineStr">
        <is>
          <t>KATRINEHOLM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6753-2022</t>
        </is>
      </c>
      <c r="B676" s="1" t="n">
        <v>44602</v>
      </c>
      <c r="C676" s="1" t="n">
        <v>46109</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15184-2023</t>
        </is>
      </c>
      <c r="B677" s="1" t="n">
        <v>45016</v>
      </c>
      <c r="C677" s="1" t="n">
        <v>46109</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46109</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29830-2023</t>
        </is>
      </c>
      <c r="B679" s="1" t="n">
        <v>45107</v>
      </c>
      <c r="C679" s="1" t="n">
        <v>46109</v>
      </c>
      <c r="D679" t="inlineStr">
        <is>
          <t>SÖDERMANLANDS LÄN</t>
        </is>
      </c>
      <c r="E679" t="inlineStr">
        <is>
          <t>KATRINEHOLM</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19098-2022</t>
        </is>
      </c>
      <c r="B680" s="1" t="n">
        <v>44691.52616898148</v>
      </c>
      <c r="C680" s="1" t="n">
        <v>46109</v>
      </c>
      <c r="D680" t="inlineStr">
        <is>
          <t>SÖDERMANLANDS LÄN</t>
        </is>
      </c>
      <c r="E680" t="inlineStr">
        <is>
          <t>KATRINEHOLM</t>
        </is>
      </c>
      <c r="G680" t="n">
        <v>5.5</v>
      </c>
      <c r="H680" t="n">
        <v>0</v>
      </c>
      <c r="I680" t="n">
        <v>0</v>
      </c>
      <c r="J680" t="n">
        <v>0</v>
      </c>
      <c r="K680" t="n">
        <v>0</v>
      </c>
      <c r="L680" t="n">
        <v>0</v>
      </c>
      <c r="M680" t="n">
        <v>0</v>
      </c>
      <c r="N680" t="n">
        <v>0</v>
      </c>
      <c r="O680" t="n">
        <v>0</v>
      </c>
      <c r="P680" t="n">
        <v>0</v>
      </c>
      <c r="Q680" t="n">
        <v>0</v>
      </c>
      <c r="R680" s="2" t="inlineStr"/>
    </row>
    <row r="681" ht="15" customHeight="1">
      <c r="A681" t="inlineStr">
        <is>
          <t>A 6628-2022</t>
        </is>
      </c>
      <c r="B681" s="1" t="n">
        <v>44601.78850694445</v>
      </c>
      <c r="C681" s="1" t="n">
        <v>46109</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72984-2021</t>
        </is>
      </c>
      <c r="B682" s="1" t="n">
        <v>44549.74741898148</v>
      </c>
      <c r="C682" s="1" t="n">
        <v>46109</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2325-2023</t>
        </is>
      </c>
      <c r="B683" s="1" t="n">
        <v>44942</v>
      </c>
      <c r="C683" s="1" t="n">
        <v>46109</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46109</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46109</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46109</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46109</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46109</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46109</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46109</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46109</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46109</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46109</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46109</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46109</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46109</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46109</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46109</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46109</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46109</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46109</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46109</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46109</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46109</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46109</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46109</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46109</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46109</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46109</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46109</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46109</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46109</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46109</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46109</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46109</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46109</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46109</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46109</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46109</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46109</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46109</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46109</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46109</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46109</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27375-2024</t>
        </is>
      </c>
      <c r="B725" s="1" t="n">
        <v>45473.87645833333</v>
      </c>
      <c r="C725" s="1" t="n">
        <v>46109</v>
      </c>
      <c r="D725" t="inlineStr">
        <is>
          <t>SÖDERMANLANDS LÄN</t>
        </is>
      </c>
      <c r="E725" t="inlineStr">
        <is>
          <t>KATRINEHOLM</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20768-2022</t>
        </is>
      </c>
      <c r="B726" s="1" t="n">
        <v>44701.36431712963</v>
      </c>
      <c r="C726" s="1" t="n">
        <v>46109</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15284-2023</t>
        </is>
      </c>
      <c r="B727" s="1" t="n">
        <v>45019</v>
      </c>
      <c r="C727" s="1" t="n">
        <v>46109</v>
      </c>
      <c r="D727" t="inlineStr">
        <is>
          <t>SÖDERMANLANDS LÄN</t>
        </is>
      </c>
      <c r="E727" t="inlineStr">
        <is>
          <t>KATRINEHOLM</t>
        </is>
      </c>
      <c r="F727" t="inlineStr">
        <is>
          <t>Allmännings- och besparingsskogar</t>
        </is>
      </c>
      <c r="G727" t="n">
        <v>17.4</v>
      </c>
      <c r="H727" t="n">
        <v>0</v>
      </c>
      <c r="I727" t="n">
        <v>0</v>
      </c>
      <c r="J727" t="n">
        <v>0</v>
      </c>
      <c r="K727" t="n">
        <v>0</v>
      </c>
      <c r="L727" t="n">
        <v>0</v>
      </c>
      <c r="M727" t="n">
        <v>0</v>
      </c>
      <c r="N727" t="n">
        <v>0</v>
      </c>
      <c r="O727" t="n">
        <v>0</v>
      </c>
      <c r="P727" t="n">
        <v>0</v>
      </c>
      <c r="Q727" t="n">
        <v>0</v>
      </c>
      <c r="R727" s="2" t="inlineStr"/>
    </row>
    <row r="728" ht="15" customHeight="1">
      <c r="A728" t="inlineStr">
        <is>
          <t>A 51613-2022</t>
        </is>
      </c>
      <c r="B728" s="1" t="n">
        <v>44871</v>
      </c>
      <c r="C728" s="1" t="n">
        <v>46109</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46109</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8475-2023</t>
        </is>
      </c>
      <c r="B730" s="1" t="n">
        <v>44977</v>
      </c>
      <c r="C730" s="1" t="n">
        <v>46109</v>
      </c>
      <c r="D730" t="inlineStr">
        <is>
          <t>SÖDERMANLANDS LÄN</t>
        </is>
      </c>
      <c r="E730" t="inlineStr">
        <is>
          <t>KATRINEHOLM</t>
        </is>
      </c>
      <c r="F730" t="inlineStr">
        <is>
          <t>Allmännings- och besparingsskogar</t>
        </is>
      </c>
      <c r="G730" t="n">
        <v>8.1</v>
      </c>
      <c r="H730" t="n">
        <v>0</v>
      </c>
      <c r="I730" t="n">
        <v>0</v>
      </c>
      <c r="J730" t="n">
        <v>0</v>
      </c>
      <c r="K730" t="n">
        <v>0</v>
      </c>
      <c r="L730" t="n">
        <v>0</v>
      </c>
      <c r="M730" t="n">
        <v>0</v>
      </c>
      <c r="N730" t="n">
        <v>0</v>
      </c>
      <c r="O730" t="n">
        <v>0</v>
      </c>
      <c r="P730" t="n">
        <v>0</v>
      </c>
      <c r="Q730" t="n">
        <v>0</v>
      </c>
      <c r="R730" s="2" t="inlineStr"/>
    </row>
    <row r="731" ht="15" customHeight="1">
      <c r="A731" t="inlineStr">
        <is>
          <t>A 32890-2024</t>
        </is>
      </c>
      <c r="B731" s="1" t="n">
        <v>45516</v>
      </c>
      <c r="C731" s="1" t="n">
        <v>46109</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2320-2023</t>
        </is>
      </c>
      <c r="B732" s="1" t="n">
        <v>44942.58850694444</v>
      </c>
      <c r="C732" s="1" t="n">
        <v>46109</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59898-2022</t>
        </is>
      </c>
      <c r="B733" s="1" t="n">
        <v>44908</v>
      </c>
      <c r="C733" s="1" t="n">
        <v>46109</v>
      </c>
      <c r="D733" t="inlineStr">
        <is>
          <t>SÖDERMANLANDS LÄN</t>
        </is>
      </c>
      <c r="E733" t="inlineStr">
        <is>
          <t>KATRINEHOLM</t>
        </is>
      </c>
      <c r="G733" t="n">
        <v>4.8</v>
      </c>
      <c r="H733" t="n">
        <v>0</v>
      </c>
      <c r="I733" t="n">
        <v>0</v>
      </c>
      <c r="J733" t="n">
        <v>0</v>
      </c>
      <c r="K733" t="n">
        <v>0</v>
      </c>
      <c r="L733" t="n">
        <v>0</v>
      </c>
      <c r="M733" t="n">
        <v>0</v>
      </c>
      <c r="N733" t="n">
        <v>0</v>
      </c>
      <c r="O733" t="n">
        <v>0</v>
      </c>
      <c r="P733" t="n">
        <v>0</v>
      </c>
      <c r="Q733" t="n">
        <v>0</v>
      </c>
      <c r="R733" s="2" t="inlineStr"/>
    </row>
    <row r="734" ht="15" customHeight="1">
      <c r="A734" t="inlineStr">
        <is>
          <t>A 20326-2023</t>
        </is>
      </c>
      <c r="B734" s="1" t="n">
        <v>45056.46821759259</v>
      </c>
      <c r="C734" s="1" t="n">
        <v>46109</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46109</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46109</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46109</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46109</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46109</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46109</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46109</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46109</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46109</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46109</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46109</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46109</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46109</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46109</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46109</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1329-2025</t>
        </is>
      </c>
      <c r="B750" s="1" t="n">
        <v>45667</v>
      </c>
      <c r="C750" s="1" t="n">
        <v>46109</v>
      </c>
      <c r="D750" t="inlineStr">
        <is>
          <t>SÖDERMANLANDS LÄN</t>
        </is>
      </c>
      <c r="E750" t="inlineStr">
        <is>
          <t>KATRINEHOLM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46109</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24287-2024</t>
        </is>
      </c>
      <c r="B752" s="1" t="n">
        <v>45457</v>
      </c>
      <c r="C752" s="1" t="n">
        <v>46109</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8518-2023</t>
        </is>
      </c>
      <c r="B753" s="1" t="n">
        <v>44977</v>
      </c>
      <c r="C753" s="1" t="n">
        <v>46109</v>
      </c>
      <c r="D753" t="inlineStr">
        <is>
          <t>SÖDERMANLANDS LÄN</t>
        </is>
      </c>
      <c r="E753" t="inlineStr">
        <is>
          <t>KATRINEHOLM</t>
        </is>
      </c>
      <c r="F753" t="inlineStr">
        <is>
          <t>Allmännings- och besparingsskogar</t>
        </is>
      </c>
      <c r="G753" t="n">
        <v>35.3</v>
      </c>
      <c r="H753" t="n">
        <v>0</v>
      </c>
      <c r="I753" t="n">
        <v>0</v>
      </c>
      <c r="J753" t="n">
        <v>0</v>
      </c>
      <c r="K753" t="n">
        <v>0</v>
      </c>
      <c r="L753" t="n">
        <v>0</v>
      </c>
      <c r="M753" t="n">
        <v>0</v>
      </c>
      <c r="N753" t="n">
        <v>0</v>
      </c>
      <c r="O753" t="n">
        <v>0</v>
      </c>
      <c r="P753" t="n">
        <v>0</v>
      </c>
      <c r="Q753" t="n">
        <v>0</v>
      </c>
      <c r="R753" s="2" t="inlineStr"/>
    </row>
    <row r="754" ht="15" customHeight="1">
      <c r="A754" t="inlineStr">
        <is>
          <t>A 48030-2022</t>
        </is>
      </c>
      <c r="B754" s="1" t="n">
        <v>44855</v>
      </c>
      <c r="C754" s="1" t="n">
        <v>46109</v>
      </c>
      <c r="D754" t="inlineStr">
        <is>
          <t>SÖDERMANLANDS LÄN</t>
        </is>
      </c>
      <c r="E754" t="inlineStr">
        <is>
          <t>KATRINEHOLM</t>
        </is>
      </c>
      <c r="F754" t="inlineStr">
        <is>
          <t>Allmännings- och besparingsskogar</t>
        </is>
      </c>
      <c r="G754" t="n">
        <v>1.5</v>
      </c>
      <c r="H754" t="n">
        <v>0</v>
      </c>
      <c r="I754" t="n">
        <v>0</v>
      </c>
      <c r="J754" t="n">
        <v>0</v>
      </c>
      <c r="K754" t="n">
        <v>0</v>
      </c>
      <c r="L754" t="n">
        <v>0</v>
      </c>
      <c r="M754" t="n">
        <v>0</v>
      </c>
      <c r="N754" t="n">
        <v>0</v>
      </c>
      <c r="O754" t="n">
        <v>0</v>
      </c>
      <c r="P754" t="n">
        <v>0</v>
      </c>
      <c r="Q754" t="n">
        <v>0</v>
      </c>
      <c r="R754" s="2" t="inlineStr"/>
    </row>
    <row r="755" ht="15" customHeight="1">
      <c r="A755" t="inlineStr">
        <is>
          <t>A 948-2023</t>
        </is>
      </c>
      <c r="B755" s="1" t="n">
        <v>44934</v>
      </c>
      <c r="C755" s="1" t="n">
        <v>46109</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37542-2022</t>
        </is>
      </c>
      <c r="B756" s="1" t="n">
        <v>44809</v>
      </c>
      <c r="C756" s="1" t="n">
        <v>46109</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41229-2022</t>
        </is>
      </c>
      <c r="B757" s="1" t="n">
        <v>44825</v>
      </c>
      <c r="C757" s="1" t="n">
        <v>46109</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64652-2023</t>
        </is>
      </c>
      <c r="B758" s="1" t="n">
        <v>45281</v>
      </c>
      <c r="C758" s="1" t="n">
        <v>46109</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51404-2023</t>
        </is>
      </c>
      <c r="B759" s="1" t="n">
        <v>45214</v>
      </c>
      <c r="C759" s="1" t="n">
        <v>46109</v>
      </c>
      <c r="D759" t="inlineStr">
        <is>
          <t>SÖDERMANLANDS LÄN</t>
        </is>
      </c>
      <c r="E759" t="inlineStr">
        <is>
          <t>KATRINEHOLM</t>
        </is>
      </c>
      <c r="G759" t="n">
        <v>9</v>
      </c>
      <c r="H759" t="n">
        <v>0</v>
      </c>
      <c r="I759" t="n">
        <v>0</v>
      </c>
      <c r="J759" t="n">
        <v>0</v>
      </c>
      <c r="K759" t="n">
        <v>0</v>
      </c>
      <c r="L759" t="n">
        <v>0</v>
      </c>
      <c r="M759" t="n">
        <v>0</v>
      </c>
      <c r="N759" t="n">
        <v>0</v>
      </c>
      <c r="O759" t="n">
        <v>0</v>
      </c>
      <c r="P759" t="n">
        <v>0</v>
      </c>
      <c r="Q759" t="n">
        <v>0</v>
      </c>
      <c r="R759" s="2" t="inlineStr"/>
    </row>
    <row r="760" ht="15" customHeight="1">
      <c r="A760" t="inlineStr">
        <is>
          <t>A 41946-2022</t>
        </is>
      </c>
      <c r="B760" s="1" t="n">
        <v>44830.38502314815</v>
      </c>
      <c r="C760" s="1" t="n">
        <v>46109</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3115-2024</t>
        </is>
      </c>
      <c r="B761" s="1" t="n">
        <v>45316.49630787037</v>
      </c>
      <c r="C761" s="1" t="n">
        <v>46109</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61431-2024</t>
        </is>
      </c>
      <c r="B762" s="1" t="n">
        <v>45646.45950231481</v>
      </c>
      <c r="C762" s="1" t="n">
        <v>46109</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44659-2023</t>
        </is>
      </c>
      <c r="B763" s="1" t="n">
        <v>45189</v>
      </c>
      <c r="C763" s="1" t="n">
        <v>46109</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51446-2023</t>
        </is>
      </c>
      <c r="B764" s="1" t="n">
        <v>45220.48068287037</v>
      </c>
      <c r="C764" s="1" t="n">
        <v>46109</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46109</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46109</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46109</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46109</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46109</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46109</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46109</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46109</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46109</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46109</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14629-2023</t>
        </is>
      </c>
      <c r="B775" s="1" t="n">
        <v>45013</v>
      </c>
      <c r="C775" s="1" t="n">
        <v>46109</v>
      </c>
      <c r="D775" t="inlineStr">
        <is>
          <t>SÖDERMANLANDS LÄN</t>
        </is>
      </c>
      <c r="E775" t="inlineStr">
        <is>
          <t>KATRINEHOLM</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49116-2024</t>
        </is>
      </c>
      <c r="B776" s="1" t="n">
        <v>45594.6605787037</v>
      </c>
      <c r="C776" s="1" t="n">
        <v>46109</v>
      </c>
      <c r="D776" t="inlineStr">
        <is>
          <t>SÖDERMANLANDS LÄN</t>
        </is>
      </c>
      <c r="E776" t="inlineStr">
        <is>
          <t>KATRINEHOLM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2683-2025</t>
        </is>
      </c>
      <c r="B777" s="1" t="n">
        <v>45677</v>
      </c>
      <c r="C777" s="1" t="n">
        <v>46109</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61410-2024</t>
        </is>
      </c>
      <c r="B778" s="1" t="n">
        <v>45646.43950231482</v>
      </c>
      <c r="C778" s="1" t="n">
        <v>46109</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3315-2023</t>
        </is>
      </c>
      <c r="B779" s="1" t="n">
        <v>44945</v>
      </c>
      <c r="C779" s="1" t="n">
        <v>46109</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7867-2024</t>
        </is>
      </c>
      <c r="B780" s="1" t="n">
        <v>45350.32991898148</v>
      </c>
      <c r="C780" s="1" t="n">
        <v>46109</v>
      </c>
      <c r="D780" t="inlineStr">
        <is>
          <t>SÖDERMANLANDS LÄN</t>
        </is>
      </c>
      <c r="E780" t="inlineStr">
        <is>
          <t>KATRINEHOLM</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38869-2024</t>
        </is>
      </c>
      <c r="B781" s="1" t="n">
        <v>45547</v>
      </c>
      <c r="C781" s="1" t="n">
        <v>46109</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39010-2021</t>
        </is>
      </c>
      <c r="B782" s="1" t="n">
        <v>44412</v>
      </c>
      <c r="C782" s="1" t="n">
        <v>46109</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1091-2025</t>
        </is>
      </c>
      <c r="B783" s="1" t="n">
        <v>45666</v>
      </c>
      <c r="C783" s="1" t="n">
        <v>46109</v>
      </c>
      <c r="D783" t="inlineStr">
        <is>
          <t>SÖDERMANLANDS LÄN</t>
        </is>
      </c>
      <c r="E783" t="inlineStr">
        <is>
          <t>KATRINEHOLM</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6311-2025</t>
        </is>
      </c>
      <c r="B784" s="1" t="n">
        <v>45698</v>
      </c>
      <c r="C784" s="1" t="n">
        <v>46109</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c r="A785" t="inlineStr">
        <is>
          <t>A 23838-2021</t>
        </is>
      </c>
      <c r="B785" s="1" t="n">
        <v>44335</v>
      </c>
      <c r="C785" s="1" t="n">
        <v>46109</v>
      </c>
      <c r="D785" t="inlineStr">
        <is>
          <t>SÖDERMANLANDS LÄN</t>
        </is>
      </c>
      <c r="E785" t="inlineStr">
        <is>
          <t>KATRINEHOLM</t>
        </is>
      </c>
      <c r="G785" t="n">
        <v>12</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2026-03-28T11:46:11Z</dcterms:created>
  <dcterms:modified xmlns:dcterms="http://purl.org/dc/terms/" xmlns:xsi="http://www.w3.org/2001/XMLSchema-instance" xsi:type="dcterms:W3CDTF">2026-03-28T11:46:12Z</dcterms:modified>
</cp:coreProperties>
</file>