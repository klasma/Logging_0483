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45971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45971</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45971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45971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45971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45971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45971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45971</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21221-2023</t>
        </is>
      </c>
      <c r="B11" s="1" t="n">
        <v>45062</v>
      </c>
      <c r="C11" s="1" t="n">
        <v>45971</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45971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45971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45971</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45971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45971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45971</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45971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45971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45971</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45971</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45971</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45971</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45971</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70501-2021</t>
        </is>
      </c>
      <c r="B25" s="1" t="n">
        <v>44536</v>
      </c>
      <c r="C25" s="1" t="n">
        <v>45971</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45971</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14858-2023</t>
        </is>
      </c>
      <c r="B27" s="1" t="n">
        <v>45014</v>
      </c>
      <c r="C27" s="1" t="n">
        <v>45971</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45971</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45971</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45971</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45971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45971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45971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45971</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57519-2021</t>
        </is>
      </c>
      <c r="B35" s="1" t="n">
        <v>44483</v>
      </c>
      <c r="C35" s="1" t="n">
        <v>45971</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44262-2022</t>
        </is>
      </c>
      <c r="B36" s="1" t="n">
        <v>44839</v>
      </c>
      <c r="C36" s="1" t="n">
        <v>45971</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44486-2023</t>
        </is>
      </c>
      <c r="B37" s="1" t="n">
        <v>45183</v>
      </c>
      <c r="C37" s="1" t="n">
        <v>45971</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44632-2023</t>
        </is>
      </c>
      <c r="B38" s="1" t="n">
        <v>45184</v>
      </c>
      <c r="C38" s="1" t="n">
        <v>45971</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11890-2023</t>
        </is>
      </c>
      <c r="B39" s="1" t="n">
        <v>44995</v>
      </c>
      <c r="C39" s="1" t="n">
        <v>45971</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45971</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56074-2022</t>
        </is>
      </c>
      <c r="B41" s="1" t="n">
        <v>44889</v>
      </c>
      <c r="C41" s="1" t="n">
        <v>45971</v>
      </c>
      <c r="D41" t="inlineStr">
        <is>
          <t>SÖDERMANLANDS LÄN</t>
        </is>
      </c>
      <c r="E41" t="inlineStr">
        <is>
          <t>KATRINEHOLM</t>
        </is>
      </c>
      <c r="G41" t="n">
        <v>12.5</v>
      </c>
      <c r="H41" t="n">
        <v>1</v>
      </c>
      <c r="I41" t="n">
        <v>0</v>
      </c>
      <c r="J41" t="n">
        <v>0</v>
      </c>
      <c r="K41" t="n">
        <v>0</v>
      </c>
      <c r="L41" t="n">
        <v>0</v>
      </c>
      <c r="M41" t="n">
        <v>0</v>
      </c>
      <c r="N41" t="n">
        <v>0</v>
      </c>
      <c r="O41" t="n">
        <v>0</v>
      </c>
      <c r="P41" t="n">
        <v>0</v>
      </c>
      <c r="Q41" t="n">
        <v>1</v>
      </c>
      <c r="R41" s="2" t="inlineStr">
        <is>
          <t>Revlummer</t>
        </is>
      </c>
      <c r="S41">
        <f>HYPERLINK("https://klasma.github.io/Logging_0483/artfynd/A 56074-2022 artfynd.xlsx", "A 56074-2022")</f>
        <v/>
      </c>
      <c r="T41">
        <f>HYPERLINK("https://klasma.github.io/Logging_0483/kartor/A 56074-2022 karta.png", "A 56074-2022")</f>
        <v/>
      </c>
      <c r="V41">
        <f>HYPERLINK("https://klasma.github.io/Logging_0483/klagomål/A 56074-2022 FSC-klagomål.docx", "A 56074-2022")</f>
        <v/>
      </c>
      <c r="W41">
        <f>HYPERLINK("https://klasma.github.io/Logging_0483/klagomålsmail/A 56074-2022 FSC-klagomål mail.docx", "A 56074-2022")</f>
        <v/>
      </c>
      <c r="X41">
        <f>HYPERLINK("https://klasma.github.io/Logging_0483/tillsyn/A 56074-2022 tillsynsbegäran.docx", "A 56074-2022")</f>
        <v/>
      </c>
      <c r="Y41">
        <f>HYPERLINK("https://klasma.github.io/Logging_0483/tillsynsmail/A 56074-2022 tillsynsbegäran mail.docx", "A 56074-2022")</f>
        <v/>
      </c>
    </row>
    <row r="42" ht="15" customHeight="1">
      <c r="A42" t="inlineStr">
        <is>
          <t>A 42745-2022</t>
        </is>
      </c>
      <c r="B42" s="1" t="n">
        <v>44831</v>
      </c>
      <c r="C42" s="1" t="n">
        <v>45971</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33801-2023</t>
        </is>
      </c>
      <c r="B43" s="1" t="n">
        <v>45133</v>
      </c>
      <c r="C43" s="1" t="n">
        <v>45971</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Blåsippa</t>
        </is>
      </c>
      <c r="S43">
        <f>HYPERLINK("https://klasma.github.io/Logging_0483/artfynd/A 33801-2023 artfynd.xlsx", "A 33801-2023")</f>
        <v/>
      </c>
      <c r="T43">
        <f>HYPERLINK("https://klasma.github.io/Logging_0483/kartor/A 33801-2023 karta.png", "A 33801-2023")</f>
        <v/>
      </c>
      <c r="V43">
        <f>HYPERLINK("https://klasma.github.io/Logging_0483/klagomål/A 33801-2023 FSC-klagomål.docx", "A 33801-2023")</f>
        <v/>
      </c>
      <c r="W43">
        <f>HYPERLINK("https://klasma.github.io/Logging_0483/klagomålsmail/A 33801-2023 FSC-klagomål mail.docx", "A 33801-2023")</f>
        <v/>
      </c>
      <c r="X43">
        <f>HYPERLINK("https://klasma.github.io/Logging_0483/tillsyn/A 33801-2023 tillsynsbegäran.docx", "A 33801-2023")</f>
        <v/>
      </c>
      <c r="Y43">
        <f>HYPERLINK("https://klasma.github.io/Logging_0483/tillsynsmail/A 33801-2023 tillsynsbegäran mail.docx", "A 33801-2023")</f>
        <v/>
      </c>
    </row>
    <row r="44" ht="15" customHeight="1">
      <c r="A44" t="inlineStr">
        <is>
          <t>A 12238-2023</t>
        </is>
      </c>
      <c r="B44" s="1" t="n">
        <v>44995</v>
      </c>
      <c r="C44" s="1" t="n">
        <v>45971</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45971</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36220-2022</t>
        </is>
      </c>
      <c r="B46" s="1" t="n">
        <v>44803</v>
      </c>
      <c r="C46" s="1" t="n">
        <v>45971</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48199-2025</t>
        </is>
      </c>
      <c r="B47" s="1" t="n">
        <v>45933.47856481482</v>
      </c>
      <c r="C47" s="1" t="n">
        <v>45971</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16458-2022</t>
        </is>
      </c>
      <c r="B48" s="1" t="n">
        <v>44671</v>
      </c>
      <c r="C48" s="1" t="n">
        <v>45971</v>
      </c>
      <c r="D48" t="inlineStr">
        <is>
          <t>SÖDERMANLANDS LÄN</t>
        </is>
      </c>
      <c r="E48" t="inlineStr">
        <is>
          <t>KATRINEHOLM</t>
        </is>
      </c>
      <c r="G48" t="n">
        <v>16.4</v>
      </c>
      <c r="H48" t="n">
        <v>1</v>
      </c>
      <c r="I48" t="n">
        <v>0</v>
      </c>
      <c r="J48" t="n">
        <v>1</v>
      </c>
      <c r="K48" t="n">
        <v>0</v>
      </c>
      <c r="L48" t="n">
        <v>0</v>
      </c>
      <c r="M48" t="n">
        <v>0</v>
      </c>
      <c r="N48" t="n">
        <v>0</v>
      </c>
      <c r="O48" t="n">
        <v>1</v>
      </c>
      <c r="P48" t="n">
        <v>0</v>
      </c>
      <c r="Q48" t="n">
        <v>1</v>
      </c>
      <c r="R48" s="2" t="inlineStr">
        <is>
          <t>Duvhök</t>
        </is>
      </c>
      <c r="S48">
        <f>HYPERLINK("https://klasma.github.io/Logging_0483/artfynd/A 16458-2022 artfynd.xlsx", "A 16458-2022")</f>
        <v/>
      </c>
      <c r="T48">
        <f>HYPERLINK("https://klasma.github.io/Logging_0483/kartor/A 16458-2022 karta.png", "A 16458-2022")</f>
        <v/>
      </c>
      <c r="V48">
        <f>HYPERLINK("https://klasma.github.io/Logging_0483/klagomål/A 16458-2022 FSC-klagomål.docx", "A 16458-2022")</f>
        <v/>
      </c>
      <c r="W48">
        <f>HYPERLINK("https://klasma.github.io/Logging_0483/klagomålsmail/A 16458-2022 FSC-klagomål mail.docx", "A 16458-2022")</f>
        <v/>
      </c>
      <c r="X48">
        <f>HYPERLINK("https://klasma.github.io/Logging_0483/tillsyn/A 16458-2022 tillsynsbegäran.docx", "A 16458-2022")</f>
        <v/>
      </c>
      <c r="Y48">
        <f>HYPERLINK("https://klasma.github.io/Logging_0483/tillsynsmail/A 16458-2022 tillsynsbegäran mail.docx", "A 16458-2022")</f>
        <v/>
      </c>
      <c r="Z48">
        <f>HYPERLINK("https://klasma.github.io/Logging_0483/fåglar/A 16458-2022 prioriterade fågelarter.docx", "A 16458-2022")</f>
        <v/>
      </c>
    </row>
    <row r="49" ht="15" customHeight="1">
      <c r="A49" t="inlineStr">
        <is>
          <t>A 45530-2023</t>
        </is>
      </c>
      <c r="B49" s="1" t="n">
        <v>45188</v>
      </c>
      <c r="C49" s="1" t="n">
        <v>45971</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44413-2024</t>
        </is>
      </c>
      <c r="B50" s="1" t="n">
        <v>45573.77701388889</v>
      </c>
      <c r="C50" s="1" t="n">
        <v>45971</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23568-2023</t>
        </is>
      </c>
      <c r="B51" s="1" t="n">
        <v>45077</v>
      </c>
      <c r="C51" s="1" t="n">
        <v>45971</v>
      </c>
      <c r="D51" t="inlineStr">
        <is>
          <t>SÖDERMANLANDS LÄN</t>
        </is>
      </c>
      <c r="E51" t="inlineStr">
        <is>
          <t>KATRINEHOLM</t>
        </is>
      </c>
      <c r="F51" t="inlineStr">
        <is>
          <t>Kommuner</t>
        </is>
      </c>
      <c r="G51" t="n">
        <v>1.4</v>
      </c>
      <c r="H51" t="n">
        <v>0</v>
      </c>
      <c r="I51" t="n">
        <v>0</v>
      </c>
      <c r="J51" t="n">
        <v>1</v>
      </c>
      <c r="K51" t="n">
        <v>0</v>
      </c>
      <c r="L51" t="n">
        <v>0</v>
      </c>
      <c r="M51" t="n">
        <v>0</v>
      </c>
      <c r="N51" t="n">
        <v>0</v>
      </c>
      <c r="O51" t="n">
        <v>1</v>
      </c>
      <c r="P51" t="n">
        <v>0</v>
      </c>
      <c r="Q51" t="n">
        <v>1</v>
      </c>
      <c r="R51" s="2" t="inlineStr">
        <is>
          <t>Fyrflikig jordstjärna</t>
        </is>
      </c>
      <c r="S51">
        <f>HYPERLINK("https://klasma.github.io/Logging_0483/artfynd/A 23568-2023 artfynd.xlsx", "A 23568-2023")</f>
        <v/>
      </c>
      <c r="T51">
        <f>HYPERLINK("https://klasma.github.io/Logging_0483/kartor/A 23568-2023 karta.png", "A 23568-2023")</f>
        <v/>
      </c>
      <c r="V51">
        <f>HYPERLINK("https://klasma.github.io/Logging_0483/klagomål/A 23568-2023 FSC-klagomål.docx", "A 23568-2023")</f>
        <v/>
      </c>
      <c r="W51">
        <f>HYPERLINK("https://klasma.github.io/Logging_0483/klagomålsmail/A 23568-2023 FSC-klagomål mail.docx", "A 23568-2023")</f>
        <v/>
      </c>
      <c r="X51">
        <f>HYPERLINK("https://klasma.github.io/Logging_0483/tillsyn/A 23568-2023 tillsynsbegäran.docx", "A 23568-2023")</f>
        <v/>
      </c>
      <c r="Y51">
        <f>HYPERLINK("https://klasma.github.io/Logging_0483/tillsynsmail/A 23568-2023 tillsynsbegäran mail.docx", "A 23568-2023")</f>
        <v/>
      </c>
    </row>
    <row r="52" ht="15" customHeight="1">
      <c r="A52" t="inlineStr">
        <is>
          <t>A 22474-2025</t>
        </is>
      </c>
      <c r="B52" s="1" t="n">
        <v>45786.62152777778</v>
      </c>
      <c r="C52" s="1" t="n">
        <v>45971</v>
      </c>
      <c r="D52" t="inlineStr">
        <is>
          <t>SÖDERMANLANDS LÄN</t>
        </is>
      </c>
      <c r="E52" t="inlineStr">
        <is>
          <t>KATRINEHOLM</t>
        </is>
      </c>
      <c r="F52" t="inlineStr">
        <is>
          <t>Övriga Aktiebolag</t>
        </is>
      </c>
      <c r="G52" t="n">
        <v>7.6</v>
      </c>
      <c r="H52" t="n">
        <v>1</v>
      </c>
      <c r="I52" t="n">
        <v>0</v>
      </c>
      <c r="J52" t="n">
        <v>0</v>
      </c>
      <c r="K52" t="n">
        <v>0</v>
      </c>
      <c r="L52" t="n">
        <v>0</v>
      </c>
      <c r="M52" t="n">
        <v>0</v>
      </c>
      <c r="N52" t="n">
        <v>0</v>
      </c>
      <c r="O52" t="n">
        <v>0</v>
      </c>
      <c r="P52" t="n">
        <v>0</v>
      </c>
      <c r="Q52" t="n">
        <v>1</v>
      </c>
      <c r="R52" s="2" t="inlineStr">
        <is>
          <t>Mattlummer</t>
        </is>
      </c>
      <c r="S52">
        <f>HYPERLINK("https://klasma.github.io/Logging_0483/artfynd/A 22474-2025 artfynd.xlsx", "A 22474-2025")</f>
        <v/>
      </c>
      <c r="T52">
        <f>HYPERLINK("https://klasma.github.io/Logging_0483/kartor/A 22474-2025 karta.png", "A 22474-2025")</f>
        <v/>
      </c>
      <c r="V52">
        <f>HYPERLINK("https://klasma.github.io/Logging_0483/klagomål/A 22474-2025 FSC-klagomål.docx", "A 22474-2025")</f>
        <v/>
      </c>
      <c r="W52">
        <f>HYPERLINK("https://klasma.github.io/Logging_0483/klagomålsmail/A 22474-2025 FSC-klagomål mail.docx", "A 22474-2025")</f>
        <v/>
      </c>
      <c r="X52">
        <f>HYPERLINK("https://klasma.github.io/Logging_0483/tillsyn/A 22474-2025 tillsynsbegäran.docx", "A 22474-2025")</f>
        <v/>
      </c>
      <c r="Y52">
        <f>HYPERLINK("https://klasma.github.io/Logging_0483/tillsynsmail/A 22474-2025 tillsynsbegäran mail.docx", "A 22474-2025")</f>
        <v/>
      </c>
    </row>
    <row r="53" ht="15" customHeight="1">
      <c r="A53" t="inlineStr">
        <is>
          <t>A 7305-2024</t>
        </is>
      </c>
      <c r="B53" s="1" t="n">
        <v>45344</v>
      </c>
      <c r="C53" s="1" t="n">
        <v>45971</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42055-2025</t>
        </is>
      </c>
      <c r="B54" s="1" t="n">
        <v>45903</v>
      </c>
      <c r="C54" s="1" t="n">
        <v>45971</v>
      </c>
      <c r="D54" t="inlineStr">
        <is>
          <t>SÖDERMANLANDS LÄN</t>
        </is>
      </c>
      <c r="E54" t="inlineStr">
        <is>
          <t>KATRINEHOLM</t>
        </is>
      </c>
      <c r="F54" t="inlineStr">
        <is>
          <t>Allmännings- och besparingsskogar</t>
        </is>
      </c>
      <c r="G54" t="n">
        <v>0.8</v>
      </c>
      <c r="H54" t="n">
        <v>0</v>
      </c>
      <c r="I54" t="n">
        <v>1</v>
      </c>
      <c r="J54" t="n">
        <v>0</v>
      </c>
      <c r="K54" t="n">
        <v>0</v>
      </c>
      <c r="L54" t="n">
        <v>0</v>
      </c>
      <c r="M54" t="n">
        <v>0</v>
      </c>
      <c r="N54" t="n">
        <v>0</v>
      </c>
      <c r="O54" t="n">
        <v>0</v>
      </c>
      <c r="P54" t="n">
        <v>0</v>
      </c>
      <c r="Q54" t="n">
        <v>1</v>
      </c>
      <c r="R54" s="2" t="inlineStr">
        <is>
          <t>Björksplintborre</t>
        </is>
      </c>
      <c r="S54">
        <f>HYPERLINK("https://klasma.github.io/Logging_0483/artfynd/A 42055-2025 artfynd.xlsx", "A 42055-2025")</f>
        <v/>
      </c>
      <c r="T54">
        <f>HYPERLINK("https://klasma.github.io/Logging_0483/kartor/A 42055-2025 karta.png", "A 42055-2025")</f>
        <v/>
      </c>
      <c r="V54">
        <f>HYPERLINK("https://klasma.github.io/Logging_0483/klagomål/A 42055-2025 FSC-klagomål.docx", "A 42055-2025")</f>
        <v/>
      </c>
      <c r="W54">
        <f>HYPERLINK("https://klasma.github.io/Logging_0483/klagomålsmail/A 42055-2025 FSC-klagomål mail.docx", "A 42055-2025")</f>
        <v/>
      </c>
      <c r="X54">
        <f>HYPERLINK("https://klasma.github.io/Logging_0483/tillsyn/A 42055-2025 tillsynsbegäran.docx", "A 42055-2025")</f>
        <v/>
      </c>
      <c r="Y54">
        <f>HYPERLINK("https://klasma.github.io/Logging_0483/tillsynsmail/A 42055-2025 tillsynsbegäran mail.docx", "A 42055-2025")</f>
        <v/>
      </c>
    </row>
    <row r="55" ht="15" customHeight="1">
      <c r="A55" t="inlineStr">
        <is>
          <t>A 53990-2023</t>
        </is>
      </c>
      <c r="B55" s="1" t="n">
        <v>45231</v>
      </c>
      <c r="C55" s="1" t="n">
        <v>45971</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27926-2025</t>
        </is>
      </c>
      <c r="B56" s="1" t="n">
        <v>45814</v>
      </c>
      <c r="C56" s="1" t="n">
        <v>45971</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53154-2023</t>
        </is>
      </c>
      <c r="B57" s="1" t="n">
        <v>45229</v>
      </c>
      <c r="C57" s="1" t="n">
        <v>45971</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41980-2025</t>
        </is>
      </c>
      <c r="B58" s="1" t="n">
        <v>45903</v>
      </c>
      <c r="C58" s="1" t="n">
        <v>45971</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35163-2025</t>
        </is>
      </c>
      <c r="B59" s="1" t="n">
        <v>45852.71136574074</v>
      </c>
      <c r="C59" s="1" t="n">
        <v>45971</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11890-2023</t>
        </is>
      </c>
      <c r="B60" s="1" t="n">
        <v>44995</v>
      </c>
      <c r="C60" s="1" t="n">
        <v>45971</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36856-2021</t>
        </is>
      </c>
      <c r="B61" s="1" t="n">
        <v>44393</v>
      </c>
      <c r="C61" s="1" t="n">
        <v>45971</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45971</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45971</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45971</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45971</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45971</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42853-2021</t>
        </is>
      </c>
      <c r="B67" s="1" t="n">
        <v>44430</v>
      </c>
      <c r="C67" s="1" t="n">
        <v>45971</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45971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45971</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45971</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45971</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45971</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45971</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45971</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45971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45971</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45971</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45971</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45971</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45971</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45971</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45971</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45971</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45971</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45971</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45971</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45971</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45971</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45971</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45971</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45971</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45971</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45971</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45971</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45971</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45971</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45971</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45971</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45971</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45971</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45971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45971</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45971</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45971</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45971</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45971</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45971</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45971</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45971</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45971</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45971</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45971</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45971</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45971</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45971</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45971</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45971</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45971</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45971</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45971</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45971</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45971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45971</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45971</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45971</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45971</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45971</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45971</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45971</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45971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45971</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45971</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45971</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45971</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45971</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45971</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45971</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45971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45971</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45971</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45971</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45971</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45971</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45971</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45971</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45971</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45971</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45971</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41863-2021</t>
        </is>
      </c>
      <c r="B149" s="1" t="n">
        <v>44426</v>
      </c>
      <c r="C149" s="1" t="n">
        <v>45971</v>
      </c>
      <c r="D149" t="inlineStr">
        <is>
          <t>SÖDERMANLANDS LÄN</t>
        </is>
      </c>
      <c r="E149" t="inlineStr">
        <is>
          <t>KATRINEHOLM</t>
        </is>
      </c>
      <c r="G149" t="n">
        <v>0.3</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45971</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45971</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45971</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45971</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45971</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45971</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45971</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45971</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45971</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45971</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45971</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24098-2022</t>
        </is>
      </c>
      <c r="B161" s="1" t="n">
        <v>44725</v>
      </c>
      <c r="C161" s="1" t="n">
        <v>45971</v>
      </c>
      <c r="D161" t="inlineStr">
        <is>
          <t>SÖDERMANLANDS LÄN</t>
        </is>
      </c>
      <c r="E161" t="inlineStr">
        <is>
          <t>KATRINEHOLM</t>
        </is>
      </c>
      <c r="G161" t="n">
        <v>1.9</v>
      </c>
      <c r="H161" t="n">
        <v>0</v>
      </c>
      <c r="I161" t="n">
        <v>0</v>
      </c>
      <c r="J161" t="n">
        <v>0</v>
      </c>
      <c r="K161" t="n">
        <v>0</v>
      </c>
      <c r="L161" t="n">
        <v>0</v>
      </c>
      <c r="M161" t="n">
        <v>0</v>
      </c>
      <c r="N161" t="n">
        <v>0</v>
      </c>
      <c r="O161" t="n">
        <v>0</v>
      </c>
      <c r="P161" t="n">
        <v>0</v>
      </c>
      <c r="Q161" t="n">
        <v>0</v>
      </c>
      <c r="R161" s="2" t="inlineStr"/>
    </row>
    <row r="162" ht="15" customHeight="1">
      <c r="A162" t="inlineStr">
        <is>
          <t>A 34625-2022</t>
        </is>
      </c>
      <c r="B162" s="1" t="n">
        <v>44795.44392361111</v>
      </c>
      <c r="C162" s="1" t="n">
        <v>45971</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45971</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41642-2022</t>
        </is>
      </c>
      <c r="B164" s="1" t="n">
        <v>44827</v>
      </c>
      <c r="C164" s="1" t="n">
        <v>45971</v>
      </c>
      <c r="D164" t="inlineStr">
        <is>
          <t>SÖDERMANLANDS LÄN</t>
        </is>
      </c>
      <c r="E164" t="inlineStr">
        <is>
          <t>KATRINEHOLM</t>
        </is>
      </c>
      <c r="G164" t="n">
        <v>2.4</v>
      </c>
      <c r="H164" t="n">
        <v>0</v>
      </c>
      <c r="I164" t="n">
        <v>0</v>
      </c>
      <c r="J164" t="n">
        <v>0</v>
      </c>
      <c r="K164" t="n">
        <v>0</v>
      </c>
      <c r="L164" t="n">
        <v>0</v>
      </c>
      <c r="M164" t="n">
        <v>0</v>
      </c>
      <c r="N164" t="n">
        <v>0</v>
      </c>
      <c r="O164" t="n">
        <v>0</v>
      </c>
      <c r="P164" t="n">
        <v>0</v>
      </c>
      <c r="Q164" t="n">
        <v>0</v>
      </c>
      <c r="R164" s="2" t="inlineStr"/>
    </row>
    <row r="165" ht="15" customHeight="1">
      <c r="A165" t="inlineStr">
        <is>
          <t>A 12760-2021</t>
        </is>
      </c>
      <c r="B165" s="1" t="n">
        <v>44270</v>
      </c>
      <c r="C165" s="1" t="n">
        <v>45971</v>
      </c>
      <c r="D165" t="inlineStr">
        <is>
          <t>SÖDERMANLANDS LÄN</t>
        </is>
      </c>
      <c r="E165" t="inlineStr">
        <is>
          <t>KATRINEHOLM</t>
        </is>
      </c>
      <c r="F165" t="inlineStr">
        <is>
          <t>Kyrkan</t>
        </is>
      </c>
      <c r="G165" t="n">
        <v>1.2</v>
      </c>
      <c r="H165" t="n">
        <v>0</v>
      </c>
      <c r="I165" t="n">
        <v>0</v>
      </c>
      <c r="J165" t="n">
        <v>0</v>
      </c>
      <c r="K165" t="n">
        <v>0</v>
      </c>
      <c r="L165" t="n">
        <v>0</v>
      </c>
      <c r="M165" t="n">
        <v>0</v>
      </c>
      <c r="N165" t="n">
        <v>0</v>
      </c>
      <c r="O165" t="n">
        <v>0</v>
      </c>
      <c r="P165" t="n">
        <v>0</v>
      </c>
      <c r="Q165" t="n">
        <v>0</v>
      </c>
      <c r="R165" s="2" t="inlineStr"/>
    </row>
    <row r="166" ht="15" customHeight="1">
      <c r="A166" t="inlineStr">
        <is>
          <t>A 64633-2020</t>
        </is>
      </c>
      <c r="B166" s="1" t="n">
        <v>44169</v>
      </c>
      <c r="C166" s="1" t="n">
        <v>45971</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12068-2021</t>
        </is>
      </c>
      <c r="B167" s="1" t="n">
        <v>44266</v>
      </c>
      <c r="C167" s="1" t="n">
        <v>45971</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65162-2021</t>
        </is>
      </c>
      <c r="B168" s="1" t="n">
        <v>44512</v>
      </c>
      <c r="C168" s="1" t="n">
        <v>45971</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30567-2022</t>
        </is>
      </c>
      <c r="B169" s="1" t="n">
        <v>44762</v>
      </c>
      <c r="C169" s="1" t="n">
        <v>45971</v>
      </c>
      <c r="D169" t="inlineStr">
        <is>
          <t>SÖDERMANLANDS LÄN</t>
        </is>
      </c>
      <c r="E169" t="inlineStr">
        <is>
          <t>KATRINEHOLM</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34040-2022</t>
        </is>
      </c>
      <c r="B170" s="1" t="n">
        <v>44790</v>
      </c>
      <c r="C170" s="1" t="n">
        <v>45971</v>
      </c>
      <c r="D170" t="inlineStr">
        <is>
          <t>SÖDERMANLANDS LÄN</t>
        </is>
      </c>
      <c r="E170" t="inlineStr">
        <is>
          <t>KATRINEHOLM</t>
        </is>
      </c>
      <c r="F170" t="inlineStr">
        <is>
          <t>Allmännings- och besparingsskogar</t>
        </is>
      </c>
      <c r="G170" t="n">
        <v>2.5</v>
      </c>
      <c r="H170" t="n">
        <v>0</v>
      </c>
      <c r="I170" t="n">
        <v>0</v>
      </c>
      <c r="J170" t="n">
        <v>0</v>
      </c>
      <c r="K170" t="n">
        <v>0</v>
      </c>
      <c r="L170" t="n">
        <v>0</v>
      </c>
      <c r="M170" t="n">
        <v>0</v>
      </c>
      <c r="N170" t="n">
        <v>0</v>
      </c>
      <c r="O170" t="n">
        <v>0</v>
      </c>
      <c r="P170" t="n">
        <v>0</v>
      </c>
      <c r="Q170" t="n">
        <v>0</v>
      </c>
      <c r="R170" s="2" t="inlineStr"/>
    </row>
    <row r="171" ht="15" customHeight="1">
      <c r="A171" t="inlineStr">
        <is>
          <t>A 71129-2021</t>
        </is>
      </c>
      <c r="B171" s="1" t="n">
        <v>44539</v>
      </c>
      <c r="C171" s="1" t="n">
        <v>45971</v>
      </c>
      <c r="D171" t="inlineStr">
        <is>
          <t>SÖDERMANLANDS LÄN</t>
        </is>
      </c>
      <c r="E171" t="inlineStr">
        <is>
          <t>KATRINEHOLM</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45147-2021</t>
        </is>
      </c>
      <c r="B172" s="1" t="n">
        <v>44439</v>
      </c>
      <c r="C172" s="1" t="n">
        <v>45971</v>
      </c>
      <c r="D172" t="inlineStr">
        <is>
          <t>SÖDERMANLANDS LÄN</t>
        </is>
      </c>
      <c r="E172" t="inlineStr">
        <is>
          <t>KATRINEHOLM</t>
        </is>
      </c>
      <c r="G172" t="n">
        <v>3.2</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45971</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40749-2022</t>
        </is>
      </c>
      <c r="B174" s="1" t="n">
        <v>44824</v>
      </c>
      <c r="C174" s="1" t="n">
        <v>45971</v>
      </c>
      <c r="D174" t="inlineStr">
        <is>
          <t>SÖDERMANLANDS LÄN</t>
        </is>
      </c>
      <c r="E174" t="inlineStr">
        <is>
          <t>KATRINEHOLM</t>
        </is>
      </c>
      <c r="G174" t="n">
        <v>0.2</v>
      </c>
      <c r="H174" t="n">
        <v>0</v>
      </c>
      <c r="I174" t="n">
        <v>0</v>
      </c>
      <c r="J174" t="n">
        <v>0</v>
      </c>
      <c r="K174" t="n">
        <v>0</v>
      </c>
      <c r="L174" t="n">
        <v>0</v>
      </c>
      <c r="M174" t="n">
        <v>0</v>
      </c>
      <c r="N174" t="n">
        <v>0</v>
      </c>
      <c r="O174" t="n">
        <v>0</v>
      </c>
      <c r="P174" t="n">
        <v>0</v>
      </c>
      <c r="Q174" t="n">
        <v>0</v>
      </c>
      <c r="R174" s="2" t="inlineStr"/>
    </row>
    <row r="175" ht="15" customHeight="1">
      <c r="A175" t="inlineStr">
        <is>
          <t>A 52044-2021</t>
        </is>
      </c>
      <c r="B175" s="1" t="n">
        <v>44463</v>
      </c>
      <c r="C175" s="1" t="n">
        <v>45971</v>
      </c>
      <c r="D175" t="inlineStr">
        <is>
          <t>SÖDERMANLANDS LÄN</t>
        </is>
      </c>
      <c r="E175" t="inlineStr">
        <is>
          <t>KATRINEHOLM</t>
        </is>
      </c>
      <c r="G175" t="n">
        <v>1.1</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45971</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46569-2022</t>
        </is>
      </c>
      <c r="B177" s="1" t="n">
        <v>44847</v>
      </c>
      <c r="C177" s="1" t="n">
        <v>45971</v>
      </c>
      <c r="D177" t="inlineStr">
        <is>
          <t>SÖDERMANLANDS LÄN</t>
        </is>
      </c>
      <c r="E177" t="inlineStr">
        <is>
          <t>KATRINEHOLM</t>
        </is>
      </c>
      <c r="G177" t="n">
        <v>1.7</v>
      </c>
      <c r="H177" t="n">
        <v>0</v>
      </c>
      <c r="I177" t="n">
        <v>0</v>
      </c>
      <c r="J177" t="n">
        <v>0</v>
      </c>
      <c r="K177" t="n">
        <v>0</v>
      </c>
      <c r="L177" t="n">
        <v>0</v>
      </c>
      <c r="M177" t="n">
        <v>0</v>
      </c>
      <c r="N177" t="n">
        <v>0</v>
      </c>
      <c r="O177" t="n">
        <v>0</v>
      </c>
      <c r="P177" t="n">
        <v>0</v>
      </c>
      <c r="Q177" t="n">
        <v>0</v>
      </c>
      <c r="R177" s="2" t="inlineStr"/>
    </row>
    <row r="178" ht="15" customHeight="1">
      <c r="A178" t="inlineStr">
        <is>
          <t>A 36964-2021</t>
        </is>
      </c>
      <c r="B178" s="1" t="n">
        <v>44393</v>
      </c>
      <c r="C178" s="1" t="n">
        <v>45971</v>
      </c>
      <c r="D178" t="inlineStr">
        <is>
          <t>SÖDERMANLANDS LÄN</t>
        </is>
      </c>
      <c r="E178" t="inlineStr">
        <is>
          <t>KATRINEHOLM</t>
        </is>
      </c>
      <c r="G178" t="n">
        <v>3.5</v>
      </c>
      <c r="H178" t="n">
        <v>0</v>
      </c>
      <c r="I178" t="n">
        <v>0</v>
      </c>
      <c r="J178" t="n">
        <v>0</v>
      </c>
      <c r="K178" t="n">
        <v>0</v>
      </c>
      <c r="L178" t="n">
        <v>0</v>
      </c>
      <c r="M178" t="n">
        <v>0</v>
      </c>
      <c r="N178" t="n">
        <v>0</v>
      </c>
      <c r="O178" t="n">
        <v>0</v>
      </c>
      <c r="P178" t="n">
        <v>0</v>
      </c>
      <c r="Q178" t="n">
        <v>0</v>
      </c>
      <c r="R178" s="2" t="inlineStr"/>
    </row>
    <row r="179" ht="15" customHeight="1">
      <c r="A179" t="inlineStr">
        <is>
          <t>A 30981-2022</t>
        </is>
      </c>
      <c r="B179" s="1" t="n">
        <v>44768</v>
      </c>
      <c r="C179" s="1" t="n">
        <v>45971</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38606-2021</t>
        </is>
      </c>
      <c r="B180" s="1" t="n">
        <v>44409.40363425926</v>
      </c>
      <c r="C180" s="1" t="n">
        <v>45971</v>
      </c>
      <c r="D180" t="inlineStr">
        <is>
          <t>SÖDERMANLANDS LÄN</t>
        </is>
      </c>
      <c r="E180" t="inlineStr">
        <is>
          <t>KATRINEHOLM</t>
        </is>
      </c>
      <c r="G180" t="n">
        <v>2.2</v>
      </c>
      <c r="H180" t="n">
        <v>0</v>
      </c>
      <c r="I180" t="n">
        <v>0</v>
      </c>
      <c r="J180" t="n">
        <v>0</v>
      </c>
      <c r="K180" t="n">
        <v>0</v>
      </c>
      <c r="L180" t="n">
        <v>0</v>
      </c>
      <c r="M180" t="n">
        <v>0</v>
      </c>
      <c r="N180" t="n">
        <v>0</v>
      </c>
      <c r="O180" t="n">
        <v>0</v>
      </c>
      <c r="P180" t="n">
        <v>0</v>
      </c>
      <c r="Q180" t="n">
        <v>0</v>
      </c>
      <c r="R180" s="2" t="inlineStr"/>
    </row>
    <row r="181" ht="15" customHeight="1">
      <c r="A181" t="inlineStr">
        <is>
          <t>A 53822-2023</t>
        </is>
      </c>
      <c r="B181" s="1" t="n">
        <v>45231.40846064815</v>
      </c>
      <c r="C181" s="1" t="n">
        <v>45971</v>
      </c>
      <c r="D181" t="inlineStr">
        <is>
          <t>SÖDERMANLANDS LÄN</t>
        </is>
      </c>
      <c r="E181" t="inlineStr">
        <is>
          <t>KATRINEHOLM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35188-2022</t>
        </is>
      </c>
      <c r="B182" s="1" t="n">
        <v>44797</v>
      </c>
      <c r="C182" s="1" t="n">
        <v>45971</v>
      </c>
      <c r="D182" t="inlineStr">
        <is>
          <t>SÖDERMANLANDS LÄN</t>
        </is>
      </c>
      <c r="E182" t="inlineStr">
        <is>
          <t>KATRINEHOLM</t>
        </is>
      </c>
      <c r="G182" t="n">
        <v>3</v>
      </c>
      <c r="H182" t="n">
        <v>0</v>
      </c>
      <c r="I182" t="n">
        <v>0</v>
      </c>
      <c r="J182" t="n">
        <v>0</v>
      </c>
      <c r="K182" t="n">
        <v>0</v>
      </c>
      <c r="L182" t="n">
        <v>0</v>
      </c>
      <c r="M182" t="n">
        <v>0</v>
      </c>
      <c r="N182" t="n">
        <v>0</v>
      </c>
      <c r="O182" t="n">
        <v>0</v>
      </c>
      <c r="P182" t="n">
        <v>0</v>
      </c>
      <c r="Q182" t="n">
        <v>0</v>
      </c>
      <c r="R182" s="2" t="inlineStr"/>
    </row>
    <row r="183" ht="15" customHeight="1">
      <c r="A183" t="inlineStr">
        <is>
          <t>A 6789-2022</t>
        </is>
      </c>
      <c r="B183" s="1" t="n">
        <v>44602</v>
      </c>
      <c r="C183" s="1" t="n">
        <v>45971</v>
      </c>
      <c r="D183" t="inlineStr">
        <is>
          <t>SÖDERMANLANDS LÄN</t>
        </is>
      </c>
      <c r="E183" t="inlineStr">
        <is>
          <t>KATRINEHOLM</t>
        </is>
      </c>
      <c r="G183" t="n">
        <v>4.6</v>
      </c>
      <c r="H183" t="n">
        <v>0</v>
      </c>
      <c r="I183" t="n">
        <v>0</v>
      </c>
      <c r="J183" t="n">
        <v>0</v>
      </c>
      <c r="K183" t="n">
        <v>0</v>
      </c>
      <c r="L183" t="n">
        <v>0</v>
      </c>
      <c r="M183" t="n">
        <v>0</v>
      </c>
      <c r="N183" t="n">
        <v>0</v>
      </c>
      <c r="O183" t="n">
        <v>0</v>
      </c>
      <c r="P183" t="n">
        <v>0</v>
      </c>
      <c r="Q183" t="n">
        <v>0</v>
      </c>
      <c r="R183" s="2" t="inlineStr"/>
    </row>
    <row r="184" ht="15" customHeight="1">
      <c r="A184" t="inlineStr">
        <is>
          <t>A 21576-2022</t>
        </is>
      </c>
      <c r="B184" s="1" t="n">
        <v>44706</v>
      </c>
      <c r="C184" s="1" t="n">
        <v>45971</v>
      </c>
      <c r="D184" t="inlineStr">
        <is>
          <t>SÖDERMANLANDS LÄN</t>
        </is>
      </c>
      <c r="E184" t="inlineStr">
        <is>
          <t>KATRINEHOLM</t>
        </is>
      </c>
      <c r="G184" t="n">
        <v>4.2</v>
      </c>
      <c r="H184" t="n">
        <v>0</v>
      </c>
      <c r="I184" t="n">
        <v>0</v>
      </c>
      <c r="J184" t="n">
        <v>0</v>
      </c>
      <c r="K184" t="n">
        <v>0</v>
      </c>
      <c r="L184" t="n">
        <v>0</v>
      </c>
      <c r="M184" t="n">
        <v>0</v>
      </c>
      <c r="N184" t="n">
        <v>0</v>
      </c>
      <c r="O184" t="n">
        <v>0</v>
      </c>
      <c r="P184" t="n">
        <v>0</v>
      </c>
      <c r="Q184" t="n">
        <v>0</v>
      </c>
      <c r="R184" s="2" t="inlineStr"/>
    </row>
    <row r="185" ht="15" customHeight="1">
      <c r="A185" t="inlineStr">
        <is>
          <t>A 43967-2022</t>
        </is>
      </c>
      <c r="B185" s="1" t="n">
        <v>44837</v>
      </c>
      <c r="C185" s="1" t="n">
        <v>45971</v>
      </c>
      <c r="D185" t="inlineStr">
        <is>
          <t>SÖDERMANLANDS LÄN</t>
        </is>
      </c>
      <c r="E185" t="inlineStr">
        <is>
          <t>KATRINEHOLM</t>
        </is>
      </c>
      <c r="G185" t="n">
        <v>6.2</v>
      </c>
      <c r="H185" t="n">
        <v>0</v>
      </c>
      <c r="I185" t="n">
        <v>0</v>
      </c>
      <c r="J185" t="n">
        <v>0</v>
      </c>
      <c r="K185" t="n">
        <v>0</v>
      </c>
      <c r="L185" t="n">
        <v>0</v>
      </c>
      <c r="M185" t="n">
        <v>0</v>
      </c>
      <c r="N185" t="n">
        <v>0</v>
      </c>
      <c r="O185" t="n">
        <v>0</v>
      </c>
      <c r="P185" t="n">
        <v>0</v>
      </c>
      <c r="Q185" t="n">
        <v>0</v>
      </c>
      <c r="R185" s="2" t="inlineStr"/>
    </row>
    <row r="186" ht="15" customHeight="1">
      <c r="A186" t="inlineStr">
        <is>
          <t>A 44012-2022</t>
        </is>
      </c>
      <c r="B186" s="1" t="n">
        <v>44838</v>
      </c>
      <c r="C186" s="1" t="n">
        <v>45971</v>
      </c>
      <c r="D186" t="inlineStr">
        <is>
          <t>SÖDERMANLANDS LÄN</t>
        </is>
      </c>
      <c r="E186" t="inlineStr">
        <is>
          <t>KATRINEHOLM</t>
        </is>
      </c>
      <c r="G186" t="n">
        <v>0.4</v>
      </c>
      <c r="H186" t="n">
        <v>0</v>
      </c>
      <c r="I186" t="n">
        <v>0</v>
      </c>
      <c r="J186" t="n">
        <v>0</v>
      </c>
      <c r="K186" t="n">
        <v>0</v>
      </c>
      <c r="L186" t="n">
        <v>0</v>
      </c>
      <c r="M186" t="n">
        <v>0</v>
      </c>
      <c r="N186" t="n">
        <v>0</v>
      </c>
      <c r="O186" t="n">
        <v>0</v>
      </c>
      <c r="P186" t="n">
        <v>0</v>
      </c>
      <c r="Q186" t="n">
        <v>0</v>
      </c>
      <c r="R186" s="2" t="inlineStr"/>
    </row>
    <row r="187" ht="15" customHeight="1">
      <c r="A187" t="inlineStr">
        <is>
          <t>A 7705-2021</t>
        </is>
      </c>
      <c r="B187" s="1" t="n">
        <v>44242</v>
      </c>
      <c r="C187" s="1" t="n">
        <v>45971</v>
      </c>
      <c r="D187" t="inlineStr">
        <is>
          <t>SÖDERMANLANDS LÄN</t>
        </is>
      </c>
      <c r="E187" t="inlineStr">
        <is>
          <t>KATRINEHOLM</t>
        </is>
      </c>
      <c r="F187" t="inlineStr">
        <is>
          <t>Allmännings- och besparingsskogar</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7240-2021</t>
        </is>
      </c>
      <c r="B188" s="1" t="n">
        <v>44238</v>
      </c>
      <c r="C188" s="1" t="n">
        <v>45971</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51835-2022</t>
        </is>
      </c>
      <c r="B189" s="1" t="n">
        <v>44872.57288194444</v>
      </c>
      <c r="C189" s="1" t="n">
        <v>45971</v>
      </c>
      <c r="D189" t="inlineStr">
        <is>
          <t>SÖDERMANLANDS LÄN</t>
        </is>
      </c>
      <c r="E189" t="inlineStr">
        <is>
          <t>KATRINEHOLM</t>
        </is>
      </c>
      <c r="G189" t="n">
        <v>0.9</v>
      </c>
      <c r="H189" t="n">
        <v>0</v>
      </c>
      <c r="I189" t="n">
        <v>0</v>
      </c>
      <c r="J189" t="n">
        <v>0</v>
      </c>
      <c r="K189" t="n">
        <v>0</v>
      </c>
      <c r="L189" t="n">
        <v>0</v>
      </c>
      <c r="M189" t="n">
        <v>0</v>
      </c>
      <c r="N189" t="n">
        <v>0</v>
      </c>
      <c r="O189" t="n">
        <v>0</v>
      </c>
      <c r="P189" t="n">
        <v>0</v>
      </c>
      <c r="Q189" t="n">
        <v>0</v>
      </c>
      <c r="R189" s="2" t="inlineStr"/>
    </row>
    <row r="190" ht="15" customHeight="1">
      <c r="A190" t="inlineStr">
        <is>
          <t>A 6091-2025</t>
        </is>
      </c>
      <c r="B190" s="1" t="n">
        <v>45697</v>
      </c>
      <c r="C190" s="1" t="n">
        <v>45971</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6093-2025</t>
        </is>
      </c>
      <c r="B191" s="1" t="n">
        <v>45697</v>
      </c>
      <c r="C191" s="1" t="n">
        <v>45971</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41966-2023</t>
        </is>
      </c>
      <c r="B192" s="1" t="n">
        <v>45177</v>
      </c>
      <c r="C192" s="1" t="n">
        <v>45971</v>
      </c>
      <c r="D192" t="inlineStr">
        <is>
          <t>SÖDERMANLANDS LÄN</t>
        </is>
      </c>
      <c r="E192" t="inlineStr">
        <is>
          <t>KATRINEHOLM</t>
        </is>
      </c>
      <c r="G192" t="n">
        <v>36.9</v>
      </c>
      <c r="H192" t="n">
        <v>0</v>
      </c>
      <c r="I192" t="n">
        <v>0</v>
      </c>
      <c r="J192" t="n">
        <v>0</v>
      </c>
      <c r="K192" t="n">
        <v>0</v>
      </c>
      <c r="L192" t="n">
        <v>0</v>
      </c>
      <c r="M192" t="n">
        <v>0</v>
      </c>
      <c r="N192" t="n">
        <v>0</v>
      </c>
      <c r="O192" t="n">
        <v>0</v>
      </c>
      <c r="P192" t="n">
        <v>0</v>
      </c>
      <c r="Q192" t="n">
        <v>0</v>
      </c>
      <c r="R192" s="2" t="inlineStr"/>
    </row>
    <row r="193" ht="15" customHeight="1">
      <c r="A193" t="inlineStr">
        <is>
          <t>A 58473-2021</t>
        </is>
      </c>
      <c r="B193" s="1" t="n">
        <v>44488</v>
      </c>
      <c r="C193" s="1" t="n">
        <v>45971</v>
      </c>
      <c r="D193" t="inlineStr">
        <is>
          <t>SÖDERMANLANDS LÄN</t>
        </is>
      </c>
      <c r="E193" t="inlineStr">
        <is>
          <t>KATRINEHOLM</t>
        </is>
      </c>
      <c r="G193" t="n">
        <v>0.5</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45971</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45971</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47879-2023</t>
        </is>
      </c>
      <c r="B196" s="1" t="n">
        <v>45204</v>
      </c>
      <c r="C196" s="1" t="n">
        <v>45971</v>
      </c>
      <c r="D196" t="inlineStr">
        <is>
          <t>SÖDERMANLANDS LÄN</t>
        </is>
      </c>
      <c r="E196" t="inlineStr">
        <is>
          <t>KATRINEHOLM</t>
        </is>
      </c>
      <c r="F196" t="inlineStr">
        <is>
          <t>Övriga Aktiebolag</t>
        </is>
      </c>
      <c r="G196" t="n">
        <v>2.3</v>
      </c>
      <c r="H196" t="n">
        <v>0</v>
      </c>
      <c r="I196" t="n">
        <v>0</v>
      </c>
      <c r="J196" t="n">
        <v>0</v>
      </c>
      <c r="K196" t="n">
        <v>0</v>
      </c>
      <c r="L196" t="n">
        <v>0</v>
      </c>
      <c r="M196" t="n">
        <v>0</v>
      </c>
      <c r="N196" t="n">
        <v>0</v>
      </c>
      <c r="O196" t="n">
        <v>0</v>
      </c>
      <c r="P196" t="n">
        <v>0</v>
      </c>
      <c r="Q196" t="n">
        <v>0</v>
      </c>
      <c r="R196" s="2" t="inlineStr"/>
    </row>
    <row r="197" ht="15" customHeight="1">
      <c r="A197" t="inlineStr">
        <is>
          <t>A 20949-2021</t>
        </is>
      </c>
      <c r="B197" s="1" t="n">
        <v>44319</v>
      </c>
      <c r="C197" s="1" t="n">
        <v>45971</v>
      </c>
      <c r="D197" t="inlineStr">
        <is>
          <t>SÖDERMANLANDS LÄN</t>
        </is>
      </c>
      <c r="E197" t="inlineStr">
        <is>
          <t>KATRINEHOLM</t>
        </is>
      </c>
      <c r="G197" t="n">
        <v>0.9</v>
      </c>
      <c r="H197" t="n">
        <v>0</v>
      </c>
      <c r="I197" t="n">
        <v>0</v>
      </c>
      <c r="J197" t="n">
        <v>0</v>
      </c>
      <c r="K197" t="n">
        <v>0</v>
      </c>
      <c r="L197" t="n">
        <v>0</v>
      </c>
      <c r="M197" t="n">
        <v>0</v>
      </c>
      <c r="N197" t="n">
        <v>0</v>
      </c>
      <c r="O197" t="n">
        <v>0</v>
      </c>
      <c r="P197" t="n">
        <v>0</v>
      </c>
      <c r="Q197" t="n">
        <v>0</v>
      </c>
      <c r="R197" s="2" t="inlineStr"/>
    </row>
    <row r="198" ht="15" customHeight="1">
      <c r="A198" t="inlineStr">
        <is>
          <t>A 12975-2022</t>
        </is>
      </c>
      <c r="B198" s="1" t="n">
        <v>44643</v>
      </c>
      <c r="C198" s="1" t="n">
        <v>45971</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51260-2021</t>
        </is>
      </c>
      <c r="B199" s="1" t="n">
        <v>44461</v>
      </c>
      <c r="C199" s="1" t="n">
        <v>45971</v>
      </c>
      <c r="D199" t="inlineStr">
        <is>
          <t>SÖDERMANLANDS LÄN</t>
        </is>
      </c>
      <c r="E199" t="inlineStr">
        <is>
          <t>KATRINEHOLM</t>
        </is>
      </c>
      <c r="G199" t="n">
        <v>0.7</v>
      </c>
      <c r="H199" t="n">
        <v>0</v>
      </c>
      <c r="I199" t="n">
        <v>0</v>
      </c>
      <c r="J199" t="n">
        <v>0</v>
      </c>
      <c r="K199" t="n">
        <v>0</v>
      </c>
      <c r="L199" t="n">
        <v>0</v>
      </c>
      <c r="M199" t="n">
        <v>0</v>
      </c>
      <c r="N199" t="n">
        <v>0</v>
      </c>
      <c r="O199" t="n">
        <v>0</v>
      </c>
      <c r="P199" t="n">
        <v>0</v>
      </c>
      <c r="Q199" t="n">
        <v>0</v>
      </c>
      <c r="R199" s="2" t="inlineStr"/>
    </row>
    <row r="200" ht="15" customHeight="1">
      <c r="A200" t="inlineStr">
        <is>
          <t>A 35088-2022</t>
        </is>
      </c>
      <c r="B200" s="1" t="n">
        <v>44797</v>
      </c>
      <c r="C200" s="1" t="n">
        <v>45971</v>
      </c>
      <c r="D200" t="inlineStr">
        <is>
          <t>SÖDERMANLANDS LÄN</t>
        </is>
      </c>
      <c r="E200" t="inlineStr">
        <is>
          <t>KATRINEHOLM</t>
        </is>
      </c>
      <c r="G200" t="n">
        <v>2.8</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45971</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53843-2023</t>
        </is>
      </c>
      <c r="B202" s="1" t="n">
        <v>45230</v>
      </c>
      <c r="C202" s="1" t="n">
        <v>45971</v>
      </c>
      <c r="D202" t="inlineStr">
        <is>
          <t>SÖDERMANLANDS LÄN</t>
        </is>
      </c>
      <c r="E202" t="inlineStr">
        <is>
          <t>KATRINEHOLM</t>
        </is>
      </c>
      <c r="G202" t="n">
        <v>14.2</v>
      </c>
      <c r="H202" t="n">
        <v>0</v>
      </c>
      <c r="I202" t="n">
        <v>0</v>
      </c>
      <c r="J202" t="n">
        <v>0</v>
      </c>
      <c r="K202" t="n">
        <v>0</v>
      </c>
      <c r="L202" t="n">
        <v>0</v>
      </c>
      <c r="M202" t="n">
        <v>0</v>
      </c>
      <c r="N202" t="n">
        <v>0</v>
      </c>
      <c r="O202" t="n">
        <v>0</v>
      </c>
      <c r="P202" t="n">
        <v>0</v>
      </c>
      <c r="Q202" t="n">
        <v>0</v>
      </c>
      <c r="R202" s="2" t="inlineStr"/>
    </row>
    <row r="203" ht="15" customHeight="1">
      <c r="A203" t="inlineStr">
        <is>
          <t>A 24099-2022</t>
        </is>
      </c>
      <c r="B203" s="1" t="n">
        <v>44725</v>
      </c>
      <c r="C203" s="1" t="n">
        <v>45971</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12658-2022</t>
        </is>
      </c>
      <c r="B204" s="1" t="n">
        <v>44641</v>
      </c>
      <c r="C204" s="1" t="n">
        <v>45971</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46412-2022</t>
        </is>
      </c>
      <c r="B205" s="1" t="n">
        <v>44848.42216435185</v>
      </c>
      <c r="C205" s="1" t="n">
        <v>45971</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48763-2024</t>
        </is>
      </c>
      <c r="B206" s="1" t="n">
        <v>45593.60288194445</v>
      </c>
      <c r="C206" s="1" t="n">
        <v>45971</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31684-2021</t>
        </is>
      </c>
      <c r="B207" s="1" t="n">
        <v>44369</v>
      </c>
      <c r="C207" s="1" t="n">
        <v>45971</v>
      </c>
      <c r="D207" t="inlineStr">
        <is>
          <t>SÖDERMANLANDS LÄN</t>
        </is>
      </c>
      <c r="E207" t="inlineStr">
        <is>
          <t>KATRINEHOLM</t>
        </is>
      </c>
      <c r="G207" t="n">
        <v>3.4</v>
      </c>
      <c r="H207" t="n">
        <v>0</v>
      </c>
      <c r="I207" t="n">
        <v>0</v>
      </c>
      <c r="J207" t="n">
        <v>0</v>
      </c>
      <c r="K207" t="n">
        <v>0</v>
      </c>
      <c r="L207" t="n">
        <v>0</v>
      </c>
      <c r="M207" t="n">
        <v>0</v>
      </c>
      <c r="N207" t="n">
        <v>0</v>
      </c>
      <c r="O207" t="n">
        <v>0</v>
      </c>
      <c r="P207" t="n">
        <v>0</v>
      </c>
      <c r="Q207" t="n">
        <v>0</v>
      </c>
      <c r="R207" s="2" t="inlineStr"/>
    </row>
    <row r="208" ht="15" customHeight="1">
      <c r="A208" t="inlineStr">
        <is>
          <t>A 36210-2022</t>
        </is>
      </c>
      <c r="B208" s="1" t="n">
        <v>44803.47950231482</v>
      </c>
      <c r="C208" s="1" t="n">
        <v>45971</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14478-2023</t>
        </is>
      </c>
      <c r="B209" s="1" t="n">
        <v>45012.66421296296</v>
      </c>
      <c r="C209" s="1" t="n">
        <v>45971</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20921-2023</t>
        </is>
      </c>
      <c r="B210" s="1" t="n">
        <v>45061</v>
      </c>
      <c r="C210" s="1" t="n">
        <v>45971</v>
      </c>
      <c r="D210" t="inlineStr">
        <is>
          <t>SÖDERMANLANDS LÄN</t>
        </is>
      </c>
      <c r="E210" t="inlineStr">
        <is>
          <t>KATRINEHOLM</t>
        </is>
      </c>
      <c r="G210" t="n">
        <v>8.9</v>
      </c>
      <c r="H210" t="n">
        <v>0</v>
      </c>
      <c r="I210" t="n">
        <v>0</v>
      </c>
      <c r="J210" t="n">
        <v>0</v>
      </c>
      <c r="K210" t="n">
        <v>0</v>
      </c>
      <c r="L210" t="n">
        <v>0</v>
      </c>
      <c r="M210" t="n">
        <v>0</v>
      </c>
      <c r="N210" t="n">
        <v>0</v>
      </c>
      <c r="O210" t="n">
        <v>0</v>
      </c>
      <c r="P210" t="n">
        <v>0</v>
      </c>
      <c r="Q210" t="n">
        <v>0</v>
      </c>
      <c r="R210" s="2" t="inlineStr"/>
    </row>
    <row r="211" ht="15" customHeight="1">
      <c r="A211" t="inlineStr">
        <is>
          <t>A 3090-2025</t>
        </is>
      </c>
      <c r="B211" s="1" t="n">
        <v>45678</v>
      </c>
      <c r="C211" s="1" t="n">
        <v>45971</v>
      </c>
      <c r="D211" t="inlineStr">
        <is>
          <t>SÖDERMANLANDS LÄN</t>
        </is>
      </c>
      <c r="E211" t="inlineStr">
        <is>
          <t>KATRINEHOLM</t>
        </is>
      </c>
      <c r="F211" t="inlineStr">
        <is>
          <t>Kyrkan</t>
        </is>
      </c>
      <c r="G211" t="n">
        <v>6.9</v>
      </c>
      <c r="H211" t="n">
        <v>0</v>
      </c>
      <c r="I211" t="n">
        <v>0</v>
      </c>
      <c r="J211" t="n">
        <v>0</v>
      </c>
      <c r="K211" t="n">
        <v>0</v>
      </c>
      <c r="L211" t="n">
        <v>0</v>
      </c>
      <c r="M211" t="n">
        <v>0</v>
      </c>
      <c r="N211" t="n">
        <v>0</v>
      </c>
      <c r="O211" t="n">
        <v>0</v>
      </c>
      <c r="P211" t="n">
        <v>0</v>
      </c>
      <c r="Q211" t="n">
        <v>0</v>
      </c>
      <c r="R211" s="2" t="inlineStr"/>
    </row>
    <row r="212" ht="15" customHeight="1">
      <c r="A212" t="inlineStr">
        <is>
          <t>A 12930-2023</t>
        </is>
      </c>
      <c r="B212" s="1" t="n">
        <v>45001</v>
      </c>
      <c r="C212" s="1" t="n">
        <v>45971</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12938-2023</t>
        </is>
      </c>
      <c r="B213" s="1" t="n">
        <v>45001</v>
      </c>
      <c r="C213" s="1" t="n">
        <v>45971</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56572-2021</t>
        </is>
      </c>
      <c r="B214" s="1" t="n">
        <v>44480</v>
      </c>
      <c r="C214" s="1" t="n">
        <v>45971</v>
      </c>
      <c r="D214" t="inlineStr">
        <is>
          <t>SÖDERMANLANDS LÄN</t>
        </is>
      </c>
      <c r="E214" t="inlineStr">
        <is>
          <t>KATRINEHOLM</t>
        </is>
      </c>
      <c r="F214" t="inlineStr">
        <is>
          <t>Holmen skog AB</t>
        </is>
      </c>
      <c r="G214" t="n">
        <v>0.5</v>
      </c>
      <c r="H214" t="n">
        <v>0</v>
      </c>
      <c r="I214" t="n">
        <v>0</v>
      </c>
      <c r="J214" t="n">
        <v>0</v>
      </c>
      <c r="K214" t="n">
        <v>0</v>
      </c>
      <c r="L214" t="n">
        <v>0</v>
      </c>
      <c r="M214" t="n">
        <v>0</v>
      </c>
      <c r="N214" t="n">
        <v>0</v>
      </c>
      <c r="O214" t="n">
        <v>0</v>
      </c>
      <c r="P214" t="n">
        <v>0</v>
      </c>
      <c r="Q214" t="n">
        <v>0</v>
      </c>
      <c r="R214" s="2" t="inlineStr"/>
    </row>
    <row r="215" ht="15" customHeight="1">
      <c r="A215" t="inlineStr">
        <is>
          <t>A 12559-2023</t>
        </is>
      </c>
      <c r="B215" s="1" t="n">
        <v>45000.36373842593</v>
      </c>
      <c r="C215" s="1" t="n">
        <v>45971</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7704-2023</t>
        </is>
      </c>
      <c r="B216" s="1" t="n">
        <v>44968</v>
      </c>
      <c r="C216" s="1" t="n">
        <v>45971</v>
      </c>
      <c r="D216" t="inlineStr">
        <is>
          <t>SÖDERMANLANDS LÄN</t>
        </is>
      </c>
      <c r="E216" t="inlineStr">
        <is>
          <t>KATRINEHOLM</t>
        </is>
      </c>
      <c r="G216" t="n">
        <v>7.3</v>
      </c>
      <c r="H216" t="n">
        <v>0</v>
      </c>
      <c r="I216" t="n">
        <v>0</v>
      </c>
      <c r="J216" t="n">
        <v>0</v>
      </c>
      <c r="K216" t="n">
        <v>0</v>
      </c>
      <c r="L216" t="n">
        <v>0</v>
      </c>
      <c r="M216" t="n">
        <v>0</v>
      </c>
      <c r="N216" t="n">
        <v>0</v>
      </c>
      <c r="O216" t="n">
        <v>0</v>
      </c>
      <c r="P216" t="n">
        <v>0</v>
      </c>
      <c r="Q216" t="n">
        <v>0</v>
      </c>
      <c r="R216" s="2" t="inlineStr"/>
    </row>
    <row r="217" ht="15" customHeight="1">
      <c r="A217" t="inlineStr">
        <is>
          <t>A 49122-2024</t>
        </is>
      </c>
      <c r="B217" s="1" t="n">
        <v>45594</v>
      </c>
      <c r="C217" s="1" t="n">
        <v>45971</v>
      </c>
      <c r="D217" t="inlineStr">
        <is>
          <t>SÖDERMANLANDS LÄN</t>
        </is>
      </c>
      <c r="E217" t="inlineStr">
        <is>
          <t>KATRINEHOLM</t>
        </is>
      </c>
      <c r="G217" t="n">
        <v>19.4</v>
      </c>
      <c r="H217" t="n">
        <v>0</v>
      </c>
      <c r="I217" t="n">
        <v>0</v>
      </c>
      <c r="J217" t="n">
        <v>0</v>
      </c>
      <c r="K217" t="n">
        <v>0</v>
      </c>
      <c r="L217" t="n">
        <v>0</v>
      </c>
      <c r="M217" t="n">
        <v>0</v>
      </c>
      <c r="N217" t="n">
        <v>0</v>
      </c>
      <c r="O217" t="n">
        <v>0</v>
      </c>
      <c r="P217" t="n">
        <v>0</v>
      </c>
      <c r="Q217" t="n">
        <v>0</v>
      </c>
      <c r="R217" s="2" t="inlineStr"/>
    </row>
    <row r="218" ht="15" customHeight="1">
      <c r="A218" t="inlineStr">
        <is>
          <t>A 12937-2023</t>
        </is>
      </c>
      <c r="B218" s="1" t="n">
        <v>45001</v>
      </c>
      <c r="C218" s="1" t="n">
        <v>45971</v>
      </c>
      <c r="D218" t="inlineStr">
        <is>
          <t>SÖDERMANLANDS LÄN</t>
        </is>
      </c>
      <c r="E218" t="inlineStr">
        <is>
          <t>KATRINEHOLM</t>
        </is>
      </c>
      <c r="G218" t="n">
        <v>0.9</v>
      </c>
      <c r="H218" t="n">
        <v>0</v>
      </c>
      <c r="I218" t="n">
        <v>0</v>
      </c>
      <c r="J218" t="n">
        <v>0</v>
      </c>
      <c r="K218" t="n">
        <v>0</v>
      </c>
      <c r="L218" t="n">
        <v>0</v>
      </c>
      <c r="M218" t="n">
        <v>0</v>
      </c>
      <c r="N218" t="n">
        <v>0</v>
      </c>
      <c r="O218" t="n">
        <v>0</v>
      </c>
      <c r="P218" t="n">
        <v>0</v>
      </c>
      <c r="Q218" t="n">
        <v>0</v>
      </c>
      <c r="R218" s="2" t="inlineStr"/>
    </row>
    <row r="219" ht="15" customHeight="1">
      <c r="A219" t="inlineStr">
        <is>
          <t>A 2877-2022</t>
        </is>
      </c>
      <c r="B219" s="1" t="n">
        <v>44581</v>
      </c>
      <c r="C219" s="1" t="n">
        <v>45971</v>
      </c>
      <c r="D219" t="inlineStr">
        <is>
          <t>SÖDERMANLANDS LÄN</t>
        </is>
      </c>
      <c r="E219" t="inlineStr">
        <is>
          <t>KATRINEHOLM</t>
        </is>
      </c>
      <c r="G219" t="n">
        <v>10.3</v>
      </c>
      <c r="H219" t="n">
        <v>0</v>
      </c>
      <c r="I219" t="n">
        <v>0</v>
      </c>
      <c r="J219" t="n">
        <v>0</v>
      </c>
      <c r="K219" t="n">
        <v>0</v>
      </c>
      <c r="L219" t="n">
        <v>0</v>
      </c>
      <c r="M219" t="n">
        <v>0</v>
      </c>
      <c r="N219" t="n">
        <v>0</v>
      </c>
      <c r="O219" t="n">
        <v>0</v>
      </c>
      <c r="P219" t="n">
        <v>0</v>
      </c>
      <c r="Q219" t="n">
        <v>0</v>
      </c>
      <c r="R219" s="2" t="inlineStr"/>
    </row>
    <row r="220" ht="15" customHeight="1">
      <c r="A220" t="inlineStr">
        <is>
          <t>A 11127-2023</t>
        </is>
      </c>
      <c r="B220" s="1" t="n">
        <v>44987</v>
      </c>
      <c r="C220" s="1" t="n">
        <v>45971</v>
      </c>
      <c r="D220" t="inlineStr">
        <is>
          <t>SÖDERMANLANDS LÄN</t>
        </is>
      </c>
      <c r="E220" t="inlineStr">
        <is>
          <t>KATRINEHOLM</t>
        </is>
      </c>
      <c r="G220" t="n">
        <v>4.3</v>
      </c>
      <c r="H220" t="n">
        <v>0</v>
      </c>
      <c r="I220" t="n">
        <v>0</v>
      </c>
      <c r="J220" t="n">
        <v>0</v>
      </c>
      <c r="K220" t="n">
        <v>0</v>
      </c>
      <c r="L220" t="n">
        <v>0</v>
      </c>
      <c r="M220" t="n">
        <v>0</v>
      </c>
      <c r="N220" t="n">
        <v>0</v>
      </c>
      <c r="O220" t="n">
        <v>0</v>
      </c>
      <c r="P220" t="n">
        <v>0</v>
      </c>
      <c r="Q220" t="n">
        <v>0</v>
      </c>
      <c r="R220" s="2" t="inlineStr"/>
    </row>
    <row r="221" ht="15" customHeight="1">
      <c r="A221" t="inlineStr">
        <is>
          <t>A 48682-2022</t>
        </is>
      </c>
      <c r="B221" s="1" t="n">
        <v>44859</v>
      </c>
      <c r="C221" s="1" t="n">
        <v>45971</v>
      </c>
      <c r="D221" t="inlineStr">
        <is>
          <t>SÖDERMANLANDS LÄN</t>
        </is>
      </c>
      <c r="E221" t="inlineStr">
        <is>
          <t>KATRINEHOLM</t>
        </is>
      </c>
      <c r="G221" t="n">
        <v>2</v>
      </c>
      <c r="H221" t="n">
        <v>0</v>
      </c>
      <c r="I221" t="n">
        <v>0</v>
      </c>
      <c r="J221" t="n">
        <v>0</v>
      </c>
      <c r="K221" t="n">
        <v>0</v>
      </c>
      <c r="L221" t="n">
        <v>0</v>
      </c>
      <c r="M221" t="n">
        <v>0</v>
      </c>
      <c r="N221" t="n">
        <v>0</v>
      </c>
      <c r="O221" t="n">
        <v>0</v>
      </c>
      <c r="P221" t="n">
        <v>0</v>
      </c>
      <c r="Q221" t="n">
        <v>0</v>
      </c>
      <c r="R221" s="2" t="inlineStr"/>
    </row>
    <row r="222" ht="15" customHeight="1">
      <c r="A222" t="inlineStr">
        <is>
          <t>A 6628-2022</t>
        </is>
      </c>
      <c r="B222" s="1" t="n">
        <v>44601.78850694445</v>
      </c>
      <c r="C222" s="1" t="n">
        <v>45971</v>
      </c>
      <c r="D222" t="inlineStr">
        <is>
          <t>SÖDERMANLANDS LÄN</t>
        </is>
      </c>
      <c r="E222" t="inlineStr">
        <is>
          <t>KATRINEHOLM</t>
        </is>
      </c>
      <c r="G222" t="n">
        <v>0.6</v>
      </c>
      <c r="H222" t="n">
        <v>0</v>
      </c>
      <c r="I222" t="n">
        <v>0</v>
      </c>
      <c r="J222" t="n">
        <v>0</v>
      </c>
      <c r="K222" t="n">
        <v>0</v>
      </c>
      <c r="L222" t="n">
        <v>0</v>
      </c>
      <c r="M222" t="n">
        <v>0</v>
      </c>
      <c r="N222" t="n">
        <v>0</v>
      </c>
      <c r="O222" t="n">
        <v>0</v>
      </c>
      <c r="P222" t="n">
        <v>0</v>
      </c>
      <c r="Q222" t="n">
        <v>0</v>
      </c>
      <c r="R222" s="2" t="inlineStr"/>
    </row>
    <row r="223" ht="15" customHeight="1">
      <c r="A223" t="inlineStr">
        <is>
          <t>A 72984-2021</t>
        </is>
      </c>
      <c r="B223" s="1" t="n">
        <v>44549.74741898148</v>
      </c>
      <c r="C223" s="1" t="n">
        <v>45971</v>
      </c>
      <c r="D223" t="inlineStr">
        <is>
          <t>SÖDERMANLANDS LÄN</t>
        </is>
      </c>
      <c r="E223" t="inlineStr">
        <is>
          <t>KATRINEHOLM</t>
        </is>
      </c>
      <c r="G223" t="n">
        <v>4.9</v>
      </c>
      <c r="H223" t="n">
        <v>0</v>
      </c>
      <c r="I223" t="n">
        <v>0</v>
      </c>
      <c r="J223" t="n">
        <v>0</v>
      </c>
      <c r="K223" t="n">
        <v>0</v>
      </c>
      <c r="L223" t="n">
        <v>0</v>
      </c>
      <c r="M223" t="n">
        <v>0</v>
      </c>
      <c r="N223" t="n">
        <v>0</v>
      </c>
      <c r="O223" t="n">
        <v>0</v>
      </c>
      <c r="P223" t="n">
        <v>0</v>
      </c>
      <c r="Q223" t="n">
        <v>0</v>
      </c>
      <c r="R223" s="2" t="inlineStr"/>
    </row>
    <row r="224" ht="15" customHeight="1">
      <c r="A224" t="inlineStr">
        <is>
          <t>A 9419-2022</t>
        </is>
      </c>
      <c r="B224" s="1" t="n">
        <v>44616</v>
      </c>
      <c r="C224" s="1" t="n">
        <v>45971</v>
      </c>
      <c r="D224" t="inlineStr">
        <is>
          <t>SÖDERMANLANDS LÄN</t>
        </is>
      </c>
      <c r="E224" t="inlineStr">
        <is>
          <t>KATRINEHOLM</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51885-2022</t>
        </is>
      </c>
      <c r="B225" s="1" t="n">
        <v>44872.60384259259</v>
      </c>
      <c r="C225" s="1" t="n">
        <v>45971</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42735-2022</t>
        </is>
      </c>
      <c r="B226" s="1" t="n">
        <v>44832</v>
      </c>
      <c r="C226" s="1" t="n">
        <v>45971</v>
      </c>
      <c r="D226" t="inlineStr">
        <is>
          <t>SÖDERMANLANDS LÄN</t>
        </is>
      </c>
      <c r="E226" t="inlineStr">
        <is>
          <t>KATRINEHOLM</t>
        </is>
      </c>
      <c r="G226" t="n">
        <v>0.5</v>
      </c>
      <c r="H226" t="n">
        <v>0</v>
      </c>
      <c r="I226" t="n">
        <v>0</v>
      </c>
      <c r="J226" t="n">
        <v>0</v>
      </c>
      <c r="K226" t="n">
        <v>0</v>
      </c>
      <c r="L226" t="n">
        <v>0</v>
      </c>
      <c r="M226" t="n">
        <v>0</v>
      </c>
      <c r="N226" t="n">
        <v>0</v>
      </c>
      <c r="O226" t="n">
        <v>0</v>
      </c>
      <c r="P226" t="n">
        <v>0</v>
      </c>
      <c r="Q226" t="n">
        <v>0</v>
      </c>
      <c r="R226" s="2" t="inlineStr"/>
    </row>
    <row r="227" ht="15" customHeight="1">
      <c r="A227" t="inlineStr">
        <is>
          <t>A 66801-2021</t>
        </is>
      </c>
      <c r="B227" s="1" t="n">
        <v>44522</v>
      </c>
      <c r="C227" s="1" t="n">
        <v>45971</v>
      </c>
      <c r="D227" t="inlineStr">
        <is>
          <t>SÖDERMANLANDS LÄN</t>
        </is>
      </c>
      <c r="E227" t="inlineStr">
        <is>
          <t>KATRINEHOLM</t>
        </is>
      </c>
      <c r="F227" t="inlineStr">
        <is>
          <t>Holmen skog AB</t>
        </is>
      </c>
      <c r="G227" t="n">
        <v>0.2</v>
      </c>
      <c r="H227" t="n">
        <v>0</v>
      </c>
      <c r="I227" t="n">
        <v>0</v>
      </c>
      <c r="J227" t="n">
        <v>0</v>
      </c>
      <c r="K227" t="n">
        <v>0</v>
      </c>
      <c r="L227" t="n">
        <v>0</v>
      </c>
      <c r="M227" t="n">
        <v>0</v>
      </c>
      <c r="N227" t="n">
        <v>0</v>
      </c>
      <c r="O227" t="n">
        <v>0</v>
      </c>
      <c r="P227" t="n">
        <v>0</v>
      </c>
      <c r="Q227" t="n">
        <v>0</v>
      </c>
      <c r="R227" s="2" t="inlineStr"/>
    </row>
    <row r="228" ht="15" customHeight="1">
      <c r="A228" t="inlineStr">
        <is>
          <t>A 45038-2022</t>
        </is>
      </c>
      <c r="B228" s="1" t="n">
        <v>44840</v>
      </c>
      <c r="C228" s="1" t="n">
        <v>45971</v>
      </c>
      <c r="D228" t="inlineStr">
        <is>
          <t>SÖDERMANLANDS LÄN</t>
        </is>
      </c>
      <c r="E228" t="inlineStr">
        <is>
          <t>KATRINEHOLM</t>
        </is>
      </c>
      <c r="G228" t="n">
        <v>3.6</v>
      </c>
      <c r="H228" t="n">
        <v>0</v>
      </c>
      <c r="I228" t="n">
        <v>0</v>
      </c>
      <c r="J228" t="n">
        <v>0</v>
      </c>
      <c r="K228" t="n">
        <v>0</v>
      </c>
      <c r="L228" t="n">
        <v>0</v>
      </c>
      <c r="M228" t="n">
        <v>0</v>
      </c>
      <c r="N228" t="n">
        <v>0</v>
      </c>
      <c r="O228" t="n">
        <v>0</v>
      </c>
      <c r="P228" t="n">
        <v>0</v>
      </c>
      <c r="Q228" t="n">
        <v>0</v>
      </c>
      <c r="R228" s="2" t="inlineStr"/>
    </row>
    <row r="229" ht="15" customHeight="1">
      <c r="A229" t="inlineStr">
        <is>
          <t>A 27345-2023</t>
        </is>
      </c>
      <c r="B229" s="1" t="n">
        <v>45096</v>
      </c>
      <c r="C229" s="1" t="n">
        <v>45971</v>
      </c>
      <c r="D229" t="inlineStr">
        <is>
          <t>SÖDERMANLANDS LÄN</t>
        </is>
      </c>
      <c r="E229" t="inlineStr">
        <is>
          <t>KATRINEHOLM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67351-2021</t>
        </is>
      </c>
      <c r="B230" s="1" t="n">
        <v>44523</v>
      </c>
      <c r="C230" s="1" t="n">
        <v>45971</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1151-2025</t>
        </is>
      </c>
      <c r="B231" s="1" t="n">
        <v>45666</v>
      </c>
      <c r="C231" s="1" t="n">
        <v>45971</v>
      </c>
      <c r="D231" t="inlineStr">
        <is>
          <t>SÖDERMANLANDS LÄN</t>
        </is>
      </c>
      <c r="E231" t="inlineStr">
        <is>
          <t>KATRINEHOLM</t>
        </is>
      </c>
      <c r="G231" t="n">
        <v>1.9</v>
      </c>
      <c r="H231" t="n">
        <v>0</v>
      </c>
      <c r="I231" t="n">
        <v>0</v>
      </c>
      <c r="J231" t="n">
        <v>0</v>
      </c>
      <c r="K231" t="n">
        <v>0</v>
      </c>
      <c r="L231" t="n">
        <v>0</v>
      </c>
      <c r="M231" t="n">
        <v>0</v>
      </c>
      <c r="N231" t="n">
        <v>0</v>
      </c>
      <c r="O231" t="n">
        <v>0</v>
      </c>
      <c r="P231" t="n">
        <v>0</v>
      </c>
      <c r="Q231" t="n">
        <v>0</v>
      </c>
      <c r="R231" s="2" t="inlineStr"/>
    </row>
    <row r="232" ht="15" customHeight="1">
      <c r="A232" t="inlineStr">
        <is>
          <t>A 6808-2023</t>
        </is>
      </c>
      <c r="B232" s="1" t="n">
        <v>44964</v>
      </c>
      <c r="C232" s="1" t="n">
        <v>45971</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17246-2024</t>
        </is>
      </c>
      <c r="B233" s="1" t="n">
        <v>45414</v>
      </c>
      <c r="C233" s="1" t="n">
        <v>45971</v>
      </c>
      <c r="D233" t="inlineStr">
        <is>
          <t>SÖDERMANLANDS LÄN</t>
        </is>
      </c>
      <c r="E233" t="inlineStr">
        <is>
          <t>KATRINEHOLM</t>
        </is>
      </c>
      <c r="F233" t="inlineStr">
        <is>
          <t>Allmännings- och besparingsskogar</t>
        </is>
      </c>
      <c r="G233" t="n">
        <v>13.7</v>
      </c>
      <c r="H233" t="n">
        <v>0</v>
      </c>
      <c r="I233" t="n">
        <v>0</v>
      </c>
      <c r="J233" t="n">
        <v>0</v>
      </c>
      <c r="K233" t="n">
        <v>0</v>
      </c>
      <c r="L233" t="n">
        <v>0</v>
      </c>
      <c r="M233" t="n">
        <v>0</v>
      </c>
      <c r="N233" t="n">
        <v>0</v>
      </c>
      <c r="O233" t="n">
        <v>0</v>
      </c>
      <c r="P233" t="n">
        <v>0</v>
      </c>
      <c r="Q233" t="n">
        <v>0</v>
      </c>
      <c r="R233" s="2" t="inlineStr"/>
    </row>
    <row r="234" ht="15" customHeight="1">
      <c r="A234" t="inlineStr">
        <is>
          <t>A 20460-2025</t>
        </is>
      </c>
      <c r="B234" s="1" t="n">
        <v>45775.52854166667</v>
      </c>
      <c r="C234" s="1" t="n">
        <v>45971</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2325-2023</t>
        </is>
      </c>
      <c r="B235" s="1" t="n">
        <v>44942</v>
      </c>
      <c r="C235" s="1" t="n">
        <v>45971</v>
      </c>
      <c r="D235" t="inlineStr">
        <is>
          <t>SÖDERMANLANDS LÄN</t>
        </is>
      </c>
      <c r="E235" t="inlineStr">
        <is>
          <t>KATRINEHOLM</t>
        </is>
      </c>
      <c r="G235" t="n">
        <v>5.6</v>
      </c>
      <c r="H235" t="n">
        <v>0</v>
      </c>
      <c r="I235" t="n">
        <v>0</v>
      </c>
      <c r="J235" t="n">
        <v>0</v>
      </c>
      <c r="K235" t="n">
        <v>0</v>
      </c>
      <c r="L235" t="n">
        <v>0</v>
      </c>
      <c r="M235" t="n">
        <v>0</v>
      </c>
      <c r="N235" t="n">
        <v>0</v>
      </c>
      <c r="O235" t="n">
        <v>0</v>
      </c>
      <c r="P235" t="n">
        <v>0</v>
      </c>
      <c r="Q235" t="n">
        <v>0</v>
      </c>
      <c r="R235" s="2" t="inlineStr"/>
    </row>
    <row r="236" ht="15" customHeight="1">
      <c r="A236" t="inlineStr">
        <is>
          <t>A 61394-2024</t>
        </is>
      </c>
      <c r="B236" s="1" t="n">
        <v>45646.42061342593</v>
      </c>
      <c r="C236" s="1" t="n">
        <v>45971</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46011-2021</t>
        </is>
      </c>
      <c r="B237" s="1" t="n">
        <v>44441.88092592593</v>
      </c>
      <c r="C237" s="1" t="n">
        <v>45971</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9693-2024</t>
        </is>
      </c>
      <c r="B238" s="1" t="n">
        <v>45362</v>
      </c>
      <c r="C238" s="1" t="n">
        <v>45971</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43964-2022</t>
        </is>
      </c>
      <c r="B239" s="1" t="n">
        <v>44837</v>
      </c>
      <c r="C239" s="1" t="n">
        <v>45971</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32733-2021</t>
        </is>
      </c>
      <c r="B240" s="1" t="n">
        <v>44375</v>
      </c>
      <c r="C240" s="1" t="n">
        <v>45971</v>
      </c>
      <c r="D240" t="inlineStr">
        <is>
          <t>SÖDERMANLANDS LÄN</t>
        </is>
      </c>
      <c r="E240" t="inlineStr">
        <is>
          <t>KATRINEHOLM</t>
        </is>
      </c>
      <c r="G240" t="n">
        <v>9</v>
      </c>
      <c r="H240" t="n">
        <v>0</v>
      </c>
      <c r="I240" t="n">
        <v>0</v>
      </c>
      <c r="J240" t="n">
        <v>0</v>
      </c>
      <c r="K240" t="n">
        <v>0</v>
      </c>
      <c r="L240" t="n">
        <v>0</v>
      </c>
      <c r="M240" t="n">
        <v>0</v>
      </c>
      <c r="N240" t="n">
        <v>0</v>
      </c>
      <c r="O240" t="n">
        <v>0</v>
      </c>
      <c r="P240" t="n">
        <v>0</v>
      </c>
      <c r="Q240" t="n">
        <v>0</v>
      </c>
      <c r="R240" s="2" t="inlineStr"/>
      <c r="U240">
        <f>HYPERLINK("https://klasma.github.io/Logging_0483/knärot/A 32733-2021 karta knärot.png", "A 32733-2021")</f>
        <v/>
      </c>
      <c r="V240">
        <f>HYPERLINK("https://klasma.github.io/Logging_0483/klagomål/A 32733-2021 FSC-klagomål.docx", "A 32733-2021")</f>
        <v/>
      </c>
      <c r="W240">
        <f>HYPERLINK("https://klasma.github.io/Logging_0483/klagomålsmail/A 32733-2021 FSC-klagomål mail.docx", "A 32733-2021")</f>
        <v/>
      </c>
      <c r="X240">
        <f>HYPERLINK("https://klasma.github.io/Logging_0483/tillsyn/A 32733-2021 tillsynsbegäran.docx", "A 32733-2021")</f>
        <v/>
      </c>
      <c r="Y240">
        <f>HYPERLINK("https://klasma.github.io/Logging_0483/tillsynsmail/A 32733-2021 tillsynsbegäran mail.docx", "A 32733-2021")</f>
        <v/>
      </c>
    </row>
    <row r="241" ht="15" customHeight="1">
      <c r="A241" t="inlineStr">
        <is>
          <t>A 62140-2022</t>
        </is>
      </c>
      <c r="B241" s="1" t="n">
        <v>44922</v>
      </c>
      <c r="C241" s="1" t="n">
        <v>45971</v>
      </c>
      <c r="D241" t="inlineStr">
        <is>
          <t>SÖDERMANLANDS LÄN</t>
        </is>
      </c>
      <c r="E241" t="inlineStr">
        <is>
          <t>KATRINEHOLM</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42015-2022</t>
        </is>
      </c>
      <c r="B242" s="1" t="n">
        <v>44830.4649074074</v>
      </c>
      <c r="C242" s="1" t="n">
        <v>45971</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42020-2022</t>
        </is>
      </c>
      <c r="B243" s="1" t="n">
        <v>44830.46849537037</v>
      </c>
      <c r="C243" s="1" t="n">
        <v>45971</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55846-2022</t>
        </is>
      </c>
      <c r="B244" s="1" t="n">
        <v>44888</v>
      </c>
      <c r="C244" s="1" t="n">
        <v>45971</v>
      </c>
      <c r="D244" t="inlineStr">
        <is>
          <t>SÖDERMANLANDS LÄN</t>
        </is>
      </c>
      <c r="E244" t="inlineStr">
        <is>
          <t>KATRINEHOLM</t>
        </is>
      </c>
      <c r="G244" t="n">
        <v>6.5</v>
      </c>
      <c r="H244" t="n">
        <v>0</v>
      </c>
      <c r="I244" t="n">
        <v>0</v>
      </c>
      <c r="J244" t="n">
        <v>0</v>
      </c>
      <c r="K244" t="n">
        <v>0</v>
      </c>
      <c r="L244" t="n">
        <v>0</v>
      </c>
      <c r="M244" t="n">
        <v>0</v>
      </c>
      <c r="N244" t="n">
        <v>0</v>
      </c>
      <c r="O244" t="n">
        <v>0</v>
      </c>
      <c r="P244" t="n">
        <v>0</v>
      </c>
      <c r="Q244" t="n">
        <v>0</v>
      </c>
      <c r="R244" s="2" t="inlineStr"/>
    </row>
    <row r="245" ht="15" customHeight="1">
      <c r="A245" t="inlineStr">
        <is>
          <t>A 33934-2022</t>
        </is>
      </c>
      <c r="B245" s="1" t="n">
        <v>44790</v>
      </c>
      <c r="C245" s="1" t="n">
        <v>45971</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13171-2024</t>
        </is>
      </c>
      <c r="B246" s="1" t="n">
        <v>45386</v>
      </c>
      <c r="C246" s="1" t="n">
        <v>45971</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53722-2023</t>
        </is>
      </c>
      <c r="B247" s="1" t="n">
        <v>45230</v>
      </c>
      <c r="C247" s="1" t="n">
        <v>45971</v>
      </c>
      <c r="D247" t="inlineStr">
        <is>
          <t>SÖDERMANLANDS LÄN</t>
        </is>
      </c>
      <c r="E247" t="inlineStr">
        <is>
          <t>KATRINEHOLM</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59384-2022</t>
        </is>
      </c>
      <c r="B248" s="1" t="n">
        <v>44905</v>
      </c>
      <c r="C248" s="1" t="n">
        <v>45971</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45971</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55863-2022</t>
        </is>
      </c>
      <c r="B250" s="1" t="n">
        <v>44888</v>
      </c>
      <c r="C250" s="1" t="n">
        <v>45971</v>
      </c>
      <c r="D250" t="inlineStr">
        <is>
          <t>SÖDERMANLANDS LÄN</t>
        </is>
      </c>
      <c r="E250" t="inlineStr">
        <is>
          <t>KATRINEHOLM</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55865-2022</t>
        </is>
      </c>
      <c r="B251" s="1" t="n">
        <v>44888</v>
      </c>
      <c r="C251" s="1" t="n">
        <v>45971</v>
      </c>
      <c r="D251" t="inlineStr">
        <is>
          <t>SÖDERMANLANDS LÄN</t>
        </is>
      </c>
      <c r="E251" t="inlineStr">
        <is>
          <t>KATRINEHOLM</t>
        </is>
      </c>
      <c r="G251" t="n">
        <v>9.1</v>
      </c>
      <c r="H251" t="n">
        <v>0</v>
      </c>
      <c r="I251" t="n">
        <v>0</v>
      </c>
      <c r="J251" t="n">
        <v>0</v>
      </c>
      <c r="K251" t="n">
        <v>0</v>
      </c>
      <c r="L251" t="n">
        <v>0</v>
      </c>
      <c r="M251" t="n">
        <v>0</v>
      </c>
      <c r="N251" t="n">
        <v>0</v>
      </c>
      <c r="O251" t="n">
        <v>0</v>
      </c>
      <c r="P251" t="n">
        <v>0</v>
      </c>
      <c r="Q251" t="n">
        <v>0</v>
      </c>
      <c r="R251" s="2" t="inlineStr"/>
    </row>
    <row r="252" ht="15" customHeight="1">
      <c r="A252" t="inlineStr">
        <is>
          <t>A 19670-2022</t>
        </is>
      </c>
      <c r="B252" s="1" t="n">
        <v>44694</v>
      </c>
      <c r="C252" s="1" t="n">
        <v>45971</v>
      </c>
      <c r="D252" t="inlineStr">
        <is>
          <t>SÖDERMANLANDS LÄN</t>
        </is>
      </c>
      <c r="E252" t="inlineStr">
        <is>
          <t>KATRINEHOLM</t>
        </is>
      </c>
      <c r="G252" t="n">
        <v>13.6</v>
      </c>
      <c r="H252" t="n">
        <v>0</v>
      </c>
      <c r="I252" t="n">
        <v>0</v>
      </c>
      <c r="J252" t="n">
        <v>0</v>
      </c>
      <c r="K252" t="n">
        <v>0</v>
      </c>
      <c r="L252" t="n">
        <v>0</v>
      </c>
      <c r="M252" t="n">
        <v>0</v>
      </c>
      <c r="N252" t="n">
        <v>0</v>
      </c>
      <c r="O252" t="n">
        <v>0</v>
      </c>
      <c r="P252" t="n">
        <v>0</v>
      </c>
      <c r="Q252" t="n">
        <v>0</v>
      </c>
      <c r="R252" s="2" t="inlineStr"/>
    </row>
    <row r="253" ht="15" customHeight="1">
      <c r="A253" t="inlineStr">
        <is>
          <t>A 19107-2022</t>
        </is>
      </c>
      <c r="B253" s="1" t="n">
        <v>44691.54077546296</v>
      </c>
      <c r="C253" s="1" t="n">
        <v>45971</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18339-2023</t>
        </is>
      </c>
      <c r="B254" s="1" t="n">
        <v>45041</v>
      </c>
      <c r="C254" s="1" t="n">
        <v>45971</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58522-2024</t>
        </is>
      </c>
      <c r="B255" s="1" t="n">
        <v>45635.43770833333</v>
      </c>
      <c r="C255" s="1" t="n">
        <v>45971</v>
      </c>
      <c r="D255" t="inlineStr">
        <is>
          <t>SÖDERMANLANDS LÄN</t>
        </is>
      </c>
      <c r="E255" t="inlineStr">
        <is>
          <t>KATRINEHOLM</t>
        </is>
      </c>
      <c r="G255" t="n">
        <v>2</v>
      </c>
      <c r="H255" t="n">
        <v>0</v>
      </c>
      <c r="I255" t="n">
        <v>0</v>
      </c>
      <c r="J255" t="n">
        <v>0</v>
      </c>
      <c r="K255" t="n">
        <v>0</v>
      </c>
      <c r="L255" t="n">
        <v>0</v>
      </c>
      <c r="M255" t="n">
        <v>0</v>
      </c>
      <c r="N255" t="n">
        <v>0</v>
      </c>
      <c r="O255" t="n">
        <v>0</v>
      </c>
      <c r="P255" t="n">
        <v>0</v>
      </c>
      <c r="Q255" t="n">
        <v>0</v>
      </c>
      <c r="R255" s="2" t="inlineStr"/>
    </row>
    <row r="256" ht="15" customHeight="1">
      <c r="A256" t="inlineStr">
        <is>
          <t>A 30333-2023</t>
        </is>
      </c>
      <c r="B256" s="1" t="n">
        <v>45111</v>
      </c>
      <c r="C256" s="1" t="n">
        <v>45971</v>
      </c>
      <c r="D256" t="inlineStr">
        <is>
          <t>SÖDERMANLANDS LÄN</t>
        </is>
      </c>
      <c r="E256" t="inlineStr">
        <is>
          <t>KATRINEHOLM</t>
        </is>
      </c>
      <c r="G256" t="n">
        <v>1.2</v>
      </c>
      <c r="H256" t="n">
        <v>0</v>
      </c>
      <c r="I256" t="n">
        <v>0</v>
      </c>
      <c r="J256" t="n">
        <v>0</v>
      </c>
      <c r="K256" t="n">
        <v>0</v>
      </c>
      <c r="L256" t="n">
        <v>0</v>
      </c>
      <c r="M256" t="n">
        <v>0</v>
      </c>
      <c r="N256" t="n">
        <v>0</v>
      </c>
      <c r="O256" t="n">
        <v>0</v>
      </c>
      <c r="P256" t="n">
        <v>0</v>
      </c>
      <c r="Q256" t="n">
        <v>0</v>
      </c>
      <c r="R256" s="2" t="inlineStr"/>
    </row>
    <row r="257" ht="15" customHeight="1">
      <c r="A257" t="inlineStr">
        <is>
          <t>A 6175-2023</t>
        </is>
      </c>
      <c r="B257" s="1" t="n">
        <v>44964</v>
      </c>
      <c r="C257" s="1" t="n">
        <v>45971</v>
      </c>
      <c r="D257" t="inlineStr">
        <is>
          <t>SÖDERMANLANDS LÄN</t>
        </is>
      </c>
      <c r="E257" t="inlineStr">
        <is>
          <t>KATRINEHOLM</t>
        </is>
      </c>
      <c r="G257" t="n">
        <v>11.2</v>
      </c>
      <c r="H257" t="n">
        <v>0</v>
      </c>
      <c r="I257" t="n">
        <v>0</v>
      </c>
      <c r="J257" t="n">
        <v>0</v>
      </c>
      <c r="K257" t="n">
        <v>0</v>
      </c>
      <c r="L257" t="n">
        <v>0</v>
      </c>
      <c r="M257" t="n">
        <v>0</v>
      </c>
      <c r="N257" t="n">
        <v>0</v>
      </c>
      <c r="O257" t="n">
        <v>0</v>
      </c>
      <c r="P257" t="n">
        <v>0</v>
      </c>
      <c r="Q257" t="n">
        <v>0</v>
      </c>
      <c r="R257" s="2" t="inlineStr"/>
    </row>
    <row r="258" ht="15" customHeight="1">
      <c r="A258" t="inlineStr">
        <is>
          <t>A 48520-2023</t>
        </is>
      </c>
      <c r="B258" s="1" t="n">
        <v>45208</v>
      </c>
      <c r="C258" s="1" t="n">
        <v>45971</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11875-2023</t>
        </is>
      </c>
      <c r="B259" s="1" t="n">
        <v>44995</v>
      </c>
      <c r="C259" s="1" t="n">
        <v>45971</v>
      </c>
      <c r="D259" t="inlineStr">
        <is>
          <t>SÖDERMANLANDS LÄN</t>
        </is>
      </c>
      <c r="E259" t="inlineStr">
        <is>
          <t>KATRINEHOLM</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6796-2022</t>
        </is>
      </c>
      <c r="B260" s="1" t="n">
        <v>44602</v>
      </c>
      <c r="C260" s="1" t="n">
        <v>45971</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56661-2021</t>
        </is>
      </c>
      <c r="B261" s="1" t="n">
        <v>44481.24327546296</v>
      </c>
      <c r="C261" s="1" t="n">
        <v>45971</v>
      </c>
      <c r="D261" t="inlineStr">
        <is>
          <t>SÖDERMANLANDS LÄN</t>
        </is>
      </c>
      <c r="E261" t="inlineStr">
        <is>
          <t>KATRINEHOLM</t>
        </is>
      </c>
      <c r="G261" t="n">
        <v>5.8</v>
      </c>
      <c r="H261" t="n">
        <v>0</v>
      </c>
      <c r="I261" t="n">
        <v>0</v>
      </c>
      <c r="J261" t="n">
        <v>0</v>
      </c>
      <c r="K261" t="n">
        <v>0</v>
      </c>
      <c r="L261" t="n">
        <v>0</v>
      </c>
      <c r="M261" t="n">
        <v>0</v>
      </c>
      <c r="N261" t="n">
        <v>0</v>
      </c>
      <c r="O261" t="n">
        <v>0</v>
      </c>
      <c r="P261" t="n">
        <v>0</v>
      </c>
      <c r="Q261" t="n">
        <v>0</v>
      </c>
      <c r="R261" s="2" t="inlineStr"/>
    </row>
    <row r="262" ht="15" customHeight="1">
      <c r="A262" t="inlineStr">
        <is>
          <t>A 28394-2023</t>
        </is>
      </c>
      <c r="B262" s="1" t="n">
        <v>45100</v>
      </c>
      <c r="C262" s="1" t="n">
        <v>45971</v>
      </c>
      <c r="D262" t="inlineStr">
        <is>
          <t>SÖDERMANLANDS LÄN</t>
        </is>
      </c>
      <c r="E262" t="inlineStr">
        <is>
          <t>KATRINEHOLM</t>
        </is>
      </c>
      <c r="G262" t="n">
        <v>4.2</v>
      </c>
      <c r="H262" t="n">
        <v>0</v>
      </c>
      <c r="I262" t="n">
        <v>0</v>
      </c>
      <c r="J262" t="n">
        <v>0</v>
      </c>
      <c r="K262" t="n">
        <v>0</v>
      </c>
      <c r="L262" t="n">
        <v>0</v>
      </c>
      <c r="M262" t="n">
        <v>0</v>
      </c>
      <c r="N262" t="n">
        <v>0</v>
      </c>
      <c r="O262" t="n">
        <v>0</v>
      </c>
      <c r="P262" t="n">
        <v>0</v>
      </c>
      <c r="Q262" t="n">
        <v>0</v>
      </c>
      <c r="R262" s="2" t="inlineStr"/>
    </row>
    <row r="263" ht="15" customHeight="1">
      <c r="A263" t="inlineStr">
        <is>
          <t>A 4122-2023</t>
        </is>
      </c>
      <c r="B263" s="1" t="n">
        <v>44952</v>
      </c>
      <c r="C263" s="1" t="n">
        <v>45971</v>
      </c>
      <c r="D263" t="inlineStr">
        <is>
          <t>SÖDERMANLANDS LÄN</t>
        </is>
      </c>
      <c r="E263" t="inlineStr">
        <is>
          <t>KATRINEHOLM</t>
        </is>
      </c>
      <c r="G263" t="n">
        <v>9</v>
      </c>
      <c r="H263" t="n">
        <v>0</v>
      </c>
      <c r="I263" t="n">
        <v>0</v>
      </c>
      <c r="J263" t="n">
        <v>0</v>
      </c>
      <c r="K263" t="n">
        <v>0</v>
      </c>
      <c r="L263" t="n">
        <v>0</v>
      </c>
      <c r="M263" t="n">
        <v>0</v>
      </c>
      <c r="N263" t="n">
        <v>0</v>
      </c>
      <c r="O263" t="n">
        <v>0</v>
      </c>
      <c r="P263" t="n">
        <v>0</v>
      </c>
      <c r="Q263" t="n">
        <v>0</v>
      </c>
      <c r="R263" s="2" t="inlineStr"/>
    </row>
    <row r="264" ht="15" customHeight="1">
      <c r="A264" t="inlineStr">
        <is>
          <t>A 13612-2023</t>
        </is>
      </c>
      <c r="B264" s="1" t="n">
        <v>45006</v>
      </c>
      <c r="C264" s="1" t="n">
        <v>45971</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47889-2023</t>
        </is>
      </c>
      <c r="B265" s="1" t="n">
        <v>45204</v>
      </c>
      <c r="C265" s="1" t="n">
        <v>45971</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34732-2022</t>
        </is>
      </c>
      <c r="B266" s="1" t="n">
        <v>44795</v>
      </c>
      <c r="C266" s="1" t="n">
        <v>45971</v>
      </c>
      <c r="D266" t="inlineStr">
        <is>
          <t>SÖDERMANLANDS LÄN</t>
        </is>
      </c>
      <c r="E266" t="inlineStr">
        <is>
          <t>KATRINEHOLM</t>
        </is>
      </c>
      <c r="G266" t="n">
        <v>3</v>
      </c>
      <c r="H266" t="n">
        <v>0</v>
      </c>
      <c r="I266" t="n">
        <v>0</v>
      </c>
      <c r="J266" t="n">
        <v>0</v>
      </c>
      <c r="K266" t="n">
        <v>0</v>
      </c>
      <c r="L266" t="n">
        <v>0</v>
      </c>
      <c r="M266" t="n">
        <v>0</v>
      </c>
      <c r="N266" t="n">
        <v>0</v>
      </c>
      <c r="O266" t="n">
        <v>0</v>
      </c>
      <c r="P266" t="n">
        <v>0</v>
      </c>
      <c r="Q266" t="n">
        <v>0</v>
      </c>
      <c r="R266" s="2" t="inlineStr"/>
    </row>
    <row r="267" ht="15" customHeight="1">
      <c r="A267" t="inlineStr">
        <is>
          <t>A 55795-2023</t>
        </is>
      </c>
      <c r="B267" s="1" t="n">
        <v>45239.54861111111</v>
      </c>
      <c r="C267" s="1" t="n">
        <v>45971</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39068-2022</t>
        </is>
      </c>
      <c r="B268" s="1" t="n">
        <v>44816</v>
      </c>
      <c r="C268" s="1" t="n">
        <v>45971</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8765-2023</t>
        </is>
      </c>
      <c r="B269" s="1" t="n">
        <v>44978.52131944444</v>
      </c>
      <c r="C269" s="1" t="n">
        <v>45971</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24284-2024</t>
        </is>
      </c>
      <c r="B270" s="1" t="n">
        <v>45457</v>
      </c>
      <c r="C270" s="1" t="n">
        <v>45971</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64657-2020</t>
        </is>
      </c>
      <c r="B271" s="1" t="n">
        <v>44169</v>
      </c>
      <c r="C271" s="1" t="n">
        <v>45971</v>
      </c>
      <c r="D271" t="inlineStr">
        <is>
          <t>SÖDERMANLANDS LÄN</t>
        </is>
      </c>
      <c r="E271" t="inlineStr">
        <is>
          <t>KATRINEHOLM</t>
        </is>
      </c>
      <c r="F271" t="inlineStr">
        <is>
          <t>Kyrkan</t>
        </is>
      </c>
      <c r="G271" t="n">
        <v>7.6</v>
      </c>
      <c r="H271" t="n">
        <v>0</v>
      </c>
      <c r="I271" t="n">
        <v>0</v>
      </c>
      <c r="J271" t="n">
        <v>0</v>
      </c>
      <c r="K271" t="n">
        <v>0</v>
      </c>
      <c r="L271" t="n">
        <v>0</v>
      </c>
      <c r="M271" t="n">
        <v>0</v>
      </c>
      <c r="N271" t="n">
        <v>0</v>
      </c>
      <c r="O271" t="n">
        <v>0</v>
      </c>
      <c r="P271" t="n">
        <v>0</v>
      </c>
      <c r="Q271" t="n">
        <v>0</v>
      </c>
      <c r="R271" s="2" t="inlineStr"/>
    </row>
    <row r="272" ht="15" customHeight="1">
      <c r="A272" t="inlineStr">
        <is>
          <t>A 32166-2022</t>
        </is>
      </c>
      <c r="B272" s="1" t="n">
        <v>44781</v>
      </c>
      <c r="C272" s="1" t="n">
        <v>45971</v>
      </c>
      <c r="D272" t="inlineStr">
        <is>
          <t>SÖDERMANLANDS LÄN</t>
        </is>
      </c>
      <c r="E272" t="inlineStr">
        <is>
          <t>KATRINEHOLM</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32169-2022</t>
        </is>
      </c>
      <c r="B273" s="1" t="n">
        <v>44781</v>
      </c>
      <c r="C273" s="1" t="n">
        <v>45971</v>
      </c>
      <c r="D273" t="inlineStr">
        <is>
          <t>SÖDERMANLANDS LÄN</t>
        </is>
      </c>
      <c r="E273" t="inlineStr">
        <is>
          <t>KATRINEHOLM</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57154-2023</t>
        </is>
      </c>
      <c r="B274" s="1" t="n">
        <v>45245</v>
      </c>
      <c r="C274" s="1" t="n">
        <v>45971</v>
      </c>
      <c r="D274" t="inlineStr">
        <is>
          <t>SÖDERMANLANDS LÄN</t>
        </is>
      </c>
      <c r="E274" t="inlineStr">
        <is>
          <t>KATRINEHOLM</t>
        </is>
      </c>
      <c r="F274" t="inlineStr">
        <is>
          <t>Allmännings- och besparingsskogar</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35864-2023</t>
        </is>
      </c>
      <c r="B275" s="1" t="n">
        <v>45147</v>
      </c>
      <c r="C275" s="1" t="n">
        <v>45971</v>
      </c>
      <c r="D275" t="inlineStr">
        <is>
          <t>SÖDERMANLANDS LÄN</t>
        </is>
      </c>
      <c r="E275" t="inlineStr">
        <is>
          <t>KATRINEHOLM</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29502-2023</t>
        </is>
      </c>
      <c r="B276" s="1" t="n">
        <v>45106</v>
      </c>
      <c r="C276" s="1" t="n">
        <v>45971</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42111-2022</t>
        </is>
      </c>
      <c r="B277" s="1" t="n">
        <v>44830</v>
      </c>
      <c r="C277" s="1" t="n">
        <v>45971</v>
      </c>
      <c r="D277" t="inlineStr">
        <is>
          <t>SÖDERMANLANDS LÄN</t>
        </is>
      </c>
      <c r="E277" t="inlineStr">
        <is>
          <t>KATRINEHOLM</t>
        </is>
      </c>
      <c r="G277" t="n">
        <v>2.5</v>
      </c>
      <c r="H277" t="n">
        <v>0</v>
      </c>
      <c r="I277" t="n">
        <v>0</v>
      </c>
      <c r="J277" t="n">
        <v>0</v>
      </c>
      <c r="K277" t="n">
        <v>0</v>
      </c>
      <c r="L277" t="n">
        <v>0</v>
      </c>
      <c r="M277" t="n">
        <v>0</v>
      </c>
      <c r="N277" t="n">
        <v>0</v>
      </c>
      <c r="O277" t="n">
        <v>0</v>
      </c>
      <c r="P277" t="n">
        <v>0</v>
      </c>
      <c r="Q277" t="n">
        <v>0</v>
      </c>
      <c r="R277" s="2" t="inlineStr"/>
    </row>
    <row r="278" ht="15" customHeight="1">
      <c r="A278" t="inlineStr">
        <is>
          <t>A 35228-2025</t>
        </is>
      </c>
      <c r="B278" s="1" t="n">
        <v>45853</v>
      </c>
      <c r="C278" s="1" t="n">
        <v>45971</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21959-2022</t>
        </is>
      </c>
      <c r="B279" s="1" t="n">
        <v>44708</v>
      </c>
      <c r="C279" s="1" t="n">
        <v>45971</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51530-2023</t>
        </is>
      </c>
      <c r="B280" s="1" t="n">
        <v>45222</v>
      </c>
      <c r="C280" s="1" t="n">
        <v>45971</v>
      </c>
      <c r="D280" t="inlineStr">
        <is>
          <t>SÖDERMANLANDS LÄN</t>
        </is>
      </c>
      <c r="E280" t="inlineStr">
        <is>
          <t>KATRINEHOLM</t>
        </is>
      </c>
      <c r="G280" t="n">
        <v>0.9</v>
      </c>
      <c r="H280" t="n">
        <v>0</v>
      </c>
      <c r="I280" t="n">
        <v>0</v>
      </c>
      <c r="J280" t="n">
        <v>0</v>
      </c>
      <c r="K280" t="n">
        <v>0</v>
      </c>
      <c r="L280" t="n">
        <v>0</v>
      </c>
      <c r="M280" t="n">
        <v>0</v>
      </c>
      <c r="N280" t="n">
        <v>0</v>
      </c>
      <c r="O280" t="n">
        <v>0</v>
      </c>
      <c r="P280" t="n">
        <v>0</v>
      </c>
      <c r="Q280" t="n">
        <v>0</v>
      </c>
      <c r="R280" s="2" t="inlineStr"/>
    </row>
    <row r="281" ht="15" customHeight="1">
      <c r="A281" t="inlineStr">
        <is>
          <t>A 44637-2023</t>
        </is>
      </c>
      <c r="B281" s="1" t="n">
        <v>45189</v>
      </c>
      <c r="C281" s="1" t="n">
        <v>45971</v>
      </c>
      <c r="D281" t="inlineStr">
        <is>
          <t>SÖDERMANLANDS LÄN</t>
        </is>
      </c>
      <c r="E281" t="inlineStr">
        <is>
          <t>KATRINEHOLM</t>
        </is>
      </c>
      <c r="G281" t="n">
        <v>5.1</v>
      </c>
      <c r="H281" t="n">
        <v>0</v>
      </c>
      <c r="I281" t="n">
        <v>0</v>
      </c>
      <c r="J281" t="n">
        <v>0</v>
      </c>
      <c r="K281" t="n">
        <v>0</v>
      </c>
      <c r="L281" t="n">
        <v>0</v>
      </c>
      <c r="M281" t="n">
        <v>0</v>
      </c>
      <c r="N281" t="n">
        <v>0</v>
      </c>
      <c r="O281" t="n">
        <v>0</v>
      </c>
      <c r="P281" t="n">
        <v>0</v>
      </c>
      <c r="Q281" t="n">
        <v>0</v>
      </c>
      <c r="R281" s="2" t="inlineStr"/>
    </row>
    <row r="282" ht="15" customHeight="1">
      <c r="A282" t="inlineStr">
        <is>
          <t>A 36767-2022</t>
        </is>
      </c>
      <c r="B282" s="1" t="n">
        <v>44805</v>
      </c>
      <c r="C282" s="1" t="n">
        <v>45971</v>
      </c>
      <c r="D282" t="inlineStr">
        <is>
          <t>SÖDERMANLANDS LÄN</t>
        </is>
      </c>
      <c r="E282" t="inlineStr">
        <is>
          <t>KATRINEHOLM</t>
        </is>
      </c>
      <c r="G282" t="n">
        <v>1.1</v>
      </c>
      <c r="H282" t="n">
        <v>0</v>
      </c>
      <c r="I282" t="n">
        <v>0</v>
      </c>
      <c r="J282" t="n">
        <v>0</v>
      </c>
      <c r="K282" t="n">
        <v>0</v>
      </c>
      <c r="L282" t="n">
        <v>0</v>
      </c>
      <c r="M282" t="n">
        <v>0</v>
      </c>
      <c r="N282" t="n">
        <v>0</v>
      </c>
      <c r="O282" t="n">
        <v>0</v>
      </c>
      <c r="P282" t="n">
        <v>0</v>
      </c>
      <c r="Q282" t="n">
        <v>0</v>
      </c>
      <c r="R282" s="2" t="inlineStr"/>
    </row>
    <row r="283" ht="15" customHeight="1">
      <c r="A283" t="inlineStr">
        <is>
          <t>A 33712-2022</t>
        </is>
      </c>
      <c r="B283" s="1" t="n">
        <v>44789</v>
      </c>
      <c r="C283" s="1" t="n">
        <v>45971</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55034-2021</t>
        </is>
      </c>
      <c r="B284" s="1" t="n">
        <v>44474</v>
      </c>
      <c r="C284" s="1" t="n">
        <v>45971</v>
      </c>
      <c r="D284" t="inlineStr">
        <is>
          <t>SÖDERMANLANDS LÄN</t>
        </is>
      </c>
      <c r="E284" t="inlineStr">
        <is>
          <t>KATRINEHOLM</t>
        </is>
      </c>
      <c r="G284" t="n">
        <v>5</v>
      </c>
      <c r="H284" t="n">
        <v>0</v>
      </c>
      <c r="I284" t="n">
        <v>0</v>
      </c>
      <c r="J284" t="n">
        <v>0</v>
      </c>
      <c r="K284" t="n">
        <v>0</v>
      </c>
      <c r="L284" t="n">
        <v>0</v>
      </c>
      <c r="M284" t="n">
        <v>0</v>
      </c>
      <c r="N284" t="n">
        <v>0</v>
      </c>
      <c r="O284" t="n">
        <v>0</v>
      </c>
      <c r="P284" t="n">
        <v>0</v>
      </c>
      <c r="Q284" t="n">
        <v>0</v>
      </c>
      <c r="R284" s="2" t="inlineStr"/>
    </row>
    <row r="285" ht="15" customHeight="1">
      <c r="A285" t="inlineStr">
        <is>
          <t>A 33717-2022</t>
        </is>
      </c>
      <c r="B285" s="1" t="n">
        <v>44789</v>
      </c>
      <c r="C285" s="1" t="n">
        <v>45971</v>
      </c>
      <c r="D285" t="inlineStr">
        <is>
          <t>SÖDERMANLANDS LÄN</t>
        </is>
      </c>
      <c r="E285" t="inlineStr">
        <is>
          <t>KATRINEHOLM</t>
        </is>
      </c>
      <c r="G285" t="n">
        <v>4.4</v>
      </c>
      <c r="H285" t="n">
        <v>0</v>
      </c>
      <c r="I285" t="n">
        <v>0</v>
      </c>
      <c r="J285" t="n">
        <v>0</v>
      </c>
      <c r="K285" t="n">
        <v>0</v>
      </c>
      <c r="L285" t="n">
        <v>0</v>
      </c>
      <c r="M285" t="n">
        <v>0</v>
      </c>
      <c r="N285" t="n">
        <v>0</v>
      </c>
      <c r="O285" t="n">
        <v>0</v>
      </c>
      <c r="P285" t="n">
        <v>0</v>
      </c>
      <c r="Q285" t="n">
        <v>0</v>
      </c>
      <c r="R285" s="2" t="inlineStr"/>
    </row>
    <row r="286" ht="15" customHeight="1">
      <c r="A286" t="inlineStr">
        <is>
          <t>A 23916-2023</t>
        </is>
      </c>
      <c r="B286" s="1" t="n">
        <v>45075</v>
      </c>
      <c r="C286" s="1" t="n">
        <v>45971</v>
      </c>
      <c r="D286" t="inlineStr">
        <is>
          <t>SÖDERMANLANDS LÄN</t>
        </is>
      </c>
      <c r="E286" t="inlineStr">
        <is>
          <t>KATRINEHOLM</t>
        </is>
      </c>
      <c r="G286" t="n">
        <v>8</v>
      </c>
      <c r="H286" t="n">
        <v>0</v>
      </c>
      <c r="I286" t="n">
        <v>0</v>
      </c>
      <c r="J286" t="n">
        <v>0</v>
      </c>
      <c r="K286" t="n">
        <v>0</v>
      </c>
      <c r="L286" t="n">
        <v>0</v>
      </c>
      <c r="M286" t="n">
        <v>0</v>
      </c>
      <c r="N286" t="n">
        <v>0</v>
      </c>
      <c r="O286" t="n">
        <v>0</v>
      </c>
      <c r="P286" t="n">
        <v>0</v>
      </c>
      <c r="Q286" t="n">
        <v>0</v>
      </c>
      <c r="R286" s="2" t="inlineStr"/>
    </row>
    <row r="287" ht="15" customHeight="1">
      <c r="A287" t="inlineStr">
        <is>
          <t>A 38879-2024</t>
        </is>
      </c>
      <c r="B287" s="1" t="n">
        <v>45547</v>
      </c>
      <c r="C287" s="1" t="n">
        <v>45971</v>
      </c>
      <c r="D287" t="inlineStr">
        <is>
          <t>SÖDERMANLANDS LÄN</t>
        </is>
      </c>
      <c r="E287" t="inlineStr">
        <is>
          <t>KATRINEHOLM</t>
        </is>
      </c>
      <c r="G287" t="n">
        <v>2.6</v>
      </c>
      <c r="H287" t="n">
        <v>0</v>
      </c>
      <c r="I287" t="n">
        <v>0</v>
      </c>
      <c r="J287" t="n">
        <v>0</v>
      </c>
      <c r="K287" t="n">
        <v>0</v>
      </c>
      <c r="L287" t="n">
        <v>0</v>
      </c>
      <c r="M287" t="n">
        <v>0</v>
      </c>
      <c r="N287" t="n">
        <v>0</v>
      </c>
      <c r="O287" t="n">
        <v>0</v>
      </c>
      <c r="P287" t="n">
        <v>0</v>
      </c>
      <c r="Q287" t="n">
        <v>0</v>
      </c>
      <c r="R287" s="2" t="inlineStr"/>
    </row>
    <row r="288" ht="15" customHeight="1">
      <c r="A288" t="inlineStr">
        <is>
          <t>A 33752-2023</t>
        </is>
      </c>
      <c r="B288" s="1" t="n">
        <v>45120</v>
      </c>
      <c r="C288" s="1" t="n">
        <v>45971</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45376-2022</t>
        </is>
      </c>
      <c r="B289" s="1" t="n">
        <v>44844</v>
      </c>
      <c r="C289" s="1" t="n">
        <v>45971</v>
      </c>
      <c r="D289" t="inlineStr">
        <is>
          <t>SÖDERMANLANDS LÄN</t>
        </is>
      </c>
      <c r="E289" t="inlineStr">
        <is>
          <t>KATRINEHOLM</t>
        </is>
      </c>
      <c r="G289" t="n">
        <v>4.7</v>
      </c>
      <c r="H289" t="n">
        <v>0</v>
      </c>
      <c r="I289" t="n">
        <v>0</v>
      </c>
      <c r="J289" t="n">
        <v>0</v>
      </c>
      <c r="K289" t="n">
        <v>0</v>
      </c>
      <c r="L289" t="n">
        <v>0</v>
      </c>
      <c r="M289" t="n">
        <v>0</v>
      </c>
      <c r="N289" t="n">
        <v>0</v>
      </c>
      <c r="O289" t="n">
        <v>0</v>
      </c>
      <c r="P289" t="n">
        <v>0</v>
      </c>
      <c r="Q289" t="n">
        <v>0</v>
      </c>
      <c r="R289" s="2" t="inlineStr"/>
    </row>
    <row r="290" ht="15" customHeight="1">
      <c r="A290" t="inlineStr">
        <is>
          <t>A 55122-2022</t>
        </is>
      </c>
      <c r="B290" s="1" t="n">
        <v>44886.65092592593</v>
      </c>
      <c r="C290" s="1" t="n">
        <v>45971</v>
      </c>
      <c r="D290" t="inlineStr">
        <is>
          <t>SÖDERMANLANDS LÄN</t>
        </is>
      </c>
      <c r="E290" t="inlineStr">
        <is>
          <t>KATRINEHOLM</t>
        </is>
      </c>
      <c r="G290" t="n">
        <v>6.5</v>
      </c>
      <c r="H290" t="n">
        <v>0</v>
      </c>
      <c r="I290" t="n">
        <v>0</v>
      </c>
      <c r="J290" t="n">
        <v>0</v>
      </c>
      <c r="K290" t="n">
        <v>0</v>
      </c>
      <c r="L290" t="n">
        <v>0</v>
      </c>
      <c r="M290" t="n">
        <v>0</v>
      </c>
      <c r="N290" t="n">
        <v>0</v>
      </c>
      <c r="O290" t="n">
        <v>0</v>
      </c>
      <c r="P290" t="n">
        <v>0</v>
      </c>
      <c r="Q290" t="n">
        <v>0</v>
      </c>
      <c r="R290" s="2" t="inlineStr"/>
    </row>
    <row r="291" ht="15" customHeight="1">
      <c r="A291" t="inlineStr">
        <is>
          <t>A 17746-2024</t>
        </is>
      </c>
      <c r="B291" s="1" t="n">
        <v>45415</v>
      </c>
      <c r="C291" s="1" t="n">
        <v>45971</v>
      </c>
      <c r="D291" t="inlineStr">
        <is>
          <t>SÖDERMANLANDS LÄN</t>
        </is>
      </c>
      <c r="E291" t="inlineStr">
        <is>
          <t>KATRINEHOLM</t>
        </is>
      </c>
      <c r="G291" t="n">
        <v>7.8</v>
      </c>
      <c r="H291" t="n">
        <v>0</v>
      </c>
      <c r="I291" t="n">
        <v>0</v>
      </c>
      <c r="J291" t="n">
        <v>0</v>
      </c>
      <c r="K291" t="n">
        <v>0</v>
      </c>
      <c r="L291" t="n">
        <v>0</v>
      </c>
      <c r="M291" t="n">
        <v>0</v>
      </c>
      <c r="N291" t="n">
        <v>0</v>
      </c>
      <c r="O291" t="n">
        <v>0</v>
      </c>
      <c r="P291" t="n">
        <v>0</v>
      </c>
      <c r="Q291" t="n">
        <v>0</v>
      </c>
      <c r="R291" s="2" t="inlineStr"/>
    </row>
    <row r="292" ht="15" customHeight="1">
      <c r="A292" t="inlineStr">
        <is>
          <t>A 24179-2024</t>
        </is>
      </c>
      <c r="B292" s="1" t="n">
        <v>45456.83059027778</v>
      </c>
      <c r="C292" s="1" t="n">
        <v>45971</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51264-2021</t>
        </is>
      </c>
      <c r="B293" s="1" t="n">
        <v>44461</v>
      </c>
      <c r="C293" s="1" t="n">
        <v>45971</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64657-2020</t>
        </is>
      </c>
      <c r="B294" s="1" t="n">
        <v>44169</v>
      </c>
      <c r="C294" s="1" t="n">
        <v>45971</v>
      </c>
      <c r="D294" t="inlineStr">
        <is>
          <t>SÖDERMANLANDS LÄN</t>
        </is>
      </c>
      <c r="E294" t="inlineStr">
        <is>
          <t>KATRINEHOLM</t>
        </is>
      </c>
      <c r="F294" t="inlineStr">
        <is>
          <t>Kyrkan</t>
        </is>
      </c>
      <c r="G294" t="n">
        <v>7.6</v>
      </c>
      <c r="H294" t="n">
        <v>0</v>
      </c>
      <c r="I294" t="n">
        <v>0</v>
      </c>
      <c r="J294" t="n">
        <v>0</v>
      </c>
      <c r="K294" t="n">
        <v>0</v>
      </c>
      <c r="L294" t="n">
        <v>0</v>
      </c>
      <c r="M294" t="n">
        <v>0</v>
      </c>
      <c r="N294" t="n">
        <v>0</v>
      </c>
      <c r="O294" t="n">
        <v>0</v>
      </c>
      <c r="P294" t="n">
        <v>0</v>
      </c>
      <c r="Q294" t="n">
        <v>0</v>
      </c>
      <c r="R294" s="2" t="inlineStr"/>
    </row>
    <row r="295" ht="15" customHeight="1">
      <c r="A295" t="inlineStr">
        <is>
          <t>A 9437-2022</t>
        </is>
      </c>
      <c r="B295" s="1" t="n">
        <v>44616.69246527777</v>
      </c>
      <c r="C295" s="1" t="n">
        <v>45971</v>
      </c>
      <c r="D295" t="inlineStr">
        <is>
          <t>SÖDERMANLANDS LÄN</t>
        </is>
      </c>
      <c r="E295" t="inlineStr">
        <is>
          <t>KATRINEHOLM</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51128-2021</t>
        </is>
      </c>
      <c r="B296" s="1" t="n">
        <v>44460</v>
      </c>
      <c r="C296" s="1" t="n">
        <v>45971</v>
      </c>
      <c r="D296" t="inlineStr">
        <is>
          <t>SÖDERMANLANDS LÄN</t>
        </is>
      </c>
      <c r="E296" t="inlineStr">
        <is>
          <t>KATRINEHOLM</t>
        </is>
      </c>
      <c r="G296" t="n">
        <v>7.8</v>
      </c>
      <c r="H296" t="n">
        <v>0</v>
      </c>
      <c r="I296" t="n">
        <v>0</v>
      </c>
      <c r="J296" t="n">
        <v>0</v>
      </c>
      <c r="K296" t="n">
        <v>0</v>
      </c>
      <c r="L296" t="n">
        <v>0</v>
      </c>
      <c r="M296" t="n">
        <v>0</v>
      </c>
      <c r="N296" t="n">
        <v>0</v>
      </c>
      <c r="O296" t="n">
        <v>0</v>
      </c>
      <c r="P296" t="n">
        <v>0</v>
      </c>
      <c r="Q296" t="n">
        <v>0</v>
      </c>
      <c r="R296" s="2" t="inlineStr"/>
    </row>
    <row r="297" ht="15" customHeight="1">
      <c r="A297" t="inlineStr">
        <is>
          <t>A 28427-2024</t>
        </is>
      </c>
      <c r="B297" s="1" t="n">
        <v>45477.64910879629</v>
      </c>
      <c r="C297" s="1" t="n">
        <v>45971</v>
      </c>
      <c r="D297" t="inlineStr">
        <is>
          <t>SÖDERMANLANDS LÄN</t>
        </is>
      </c>
      <c r="E297" t="inlineStr">
        <is>
          <t>KATRINEHOLM</t>
        </is>
      </c>
      <c r="G297" t="n">
        <v>5.9</v>
      </c>
      <c r="H297" t="n">
        <v>0</v>
      </c>
      <c r="I297" t="n">
        <v>0</v>
      </c>
      <c r="J297" t="n">
        <v>0</v>
      </c>
      <c r="K297" t="n">
        <v>0</v>
      </c>
      <c r="L297" t="n">
        <v>0</v>
      </c>
      <c r="M297" t="n">
        <v>0</v>
      </c>
      <c r="N297" t="n">
        <v>0</v>
      </c>
      <c r="O297" t="n">
        <v>0</v>
      </c>
      <c r="P297" t="n">
        <v>0</v>
      </c>
      <c r="Q297" t="n">
        <v>0</v>
      </c>
      <c r="R297" s="2" t="inlineStr"/>
    </row>
    <row r="298" ht="15" customHeight="1">
      <c r="A298" t="inlineStr">
        <is>
          <t>A 25362-2023</t>
        </is>
      </c>
      <c r="B298" s="1" t="n">
        <v>45088.83430555555</v>
      </c>
      <c r="C298" s="1" t="n">
        <v>45971</v>
      </c>
      <c r="D298" t="inlineStr">
        <is>
          <t>SÖDERMANLANDS LÄN</t>
        </is>
      </c>
      <c r="E298" t="inlineStr">
        <is>
          <t>KATRINEHOLM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39055-2022</t>
        </is>
      </c>
      <c r="B299" s="1" t="n">
        <v>44817</v>
      </c>
      <c r="C299" s="1" t="n">
        <v>45971</v>
      </c>
      <c r="D299" t="inlineStr">
        <is>
          <t>SÖDERMANLANDS LÄN</t>
        </is>
      </c>
      <c r="E299" t="inlineStr">
        <is>
          <t>KATRINEHOLM</t>
        </is>
      </c>
      <c r="F299" t="inlineStr">
        <is>
          <t>Övriga Aktiebolag</t>
        </is>
      </c>
      <c r="G299" t="n">
        <v>0.6</v>
      </c>
      <c r="H299" t="n">
        <v>0</v>
      </c>
      <c r="I299" t="n">
        <v>0</v>
      </c>
      <c r="J299" t="n">
        <v>0</v>
      </c>
      <c r="K299" t="n">
        <v>0</v>
      </c>
      <c r="L299" t="n">
        <v>0</v>
      </c>
      <c r="M299" t="n">
        <v>0</v>
      </c>
      <c r="N299" t="n">
        <v>0</v>
      </c>
      <c r="O299" t="n">
        <v>0</v>
      </c>
      <c r="P299" t="n">
        <v>0</v>
      </c>
      <c r="Q299" t="n">
        <v>0</v>
      </c>
      <c r="R299" s="2" t="inlineStr"/>
    </row>
    <row r="300" ht="15" customHeight="1">
      <c r="A300" t="inlineStr">
        <is>
          <t>A 3980-2024</t>
        </is>
      </c>
      <c r="B300" s="1" t="n">
        <v>45322</v>
      </c>
      <c r="C300" s="1" t="n">
        <v>45971</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64713-2023</t>
        </is>
      </c>
      <c r="B301" s="1" t="n">
        <v>45281</v>
      </c>
      <c r="C301" s="1" t="n">
        <v>45971</v>
      </c>
      <c r="D301" t="inlineStr">
        <is>
          <t>SÖDERMANLANDS LÄN</t>
        </is>
      </c>
      <c r="E301" t="inlineStr">
        <is>
          <t>KATRINEHOLM</t>
        </is>
      </c>
      <c r="G301" t="n">
        <v>4.9</v>
      </c>
      <c r="H301" t="n">
        <v>0</v>
      </c>
      <c r="I301" t="n">
        <v>0</v>
      </c>
      <c r="J301" t="n">
        <v>0</v>
      </c>
      <c r="K301" t="n">
        <v>0</v>
      </c>
      <c r="L301" t="n">
        <v>0</v>
      </c>
      <c r="M301" t="n">
        <v>0</v>
      </c>
      <c r="N301" t="n">
        <v>0</v>
      </c>
      <c r="O301" t="n">
        <v>0</v>
      </c>
      <c r="P301" t="n">
        <v>0</v>
      </c>
      <c r="Q301" t="n">
        <v>0</v>
      </c>
      <c r="R301" s="2" t="inlineStr"/>
    </row>
    <row r="302" ht="15" customHeight="1">
      <c r="A302" t="inlineStr">
        <is>
          <t>A 60677-2021</t>
        </is>
      </c>
      <c r="B302" s="1" t="n">
        <v>44495</v>
      </c>
      <c r="C302" s="1" t="n">
        <v>45971</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46257-2021</t>
        </is>
      </c>
      <c r="B303" s="1" t="n">
        <v>44442</v>
      </c>
      <c r="C303" s="1" t="n">
        <v>45971</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43088-2022</t>
        </is>
      </c>
      <c r="B304" s="1" t="n">
        <v>44833</v>
      </c>
      <c r="C304" s="1" t="n">
        <v>45971</v>
      </c>
      <c r="D304" t="inlineStr">
        <is>
          <t>SÖDERMANLANDS LÄN</t>
        </is>
      </c>
      <c r="E304" t="inlineStr">
        <is>
          <t>KATRINEHOLM</t>
        </is>
      </c>
      <c r="G304" t="n">
        <v>6.6</v>
      </c>
      <c r="H304" t="n">
        <v>0</v>
      </c>
      <c r="I304" t="n">
        <v>0</v>
      </c>
      <c r="J304" t="n">
        <v>0</v>
      </c>
      <c r="K304" t="n">
        <v>0</v>
      </c>
      <c r="L304" t="n">
        <v>0</v>
      </c>
      <c r="M304" t="n">
        <v>0</v>
      </c>
      <c r="N304" t="n">
        <v>0</v>
      </c>
      <c r="O304" t="n">
        <v>0</v>
      </c>
      <c r="P304" t="n">
        <v>0</v>
      </c>
      <c r="Q304" t="n">
        <v>0</v>
      </c>
      <c r="R304" s="2" t="inlineStr"/>
    </row>
    <row r="305" ht="15" customHeight="1">
      <c r="A305" t="inlineStr">
        <is>
          <t>A 4662-2023</t>
        </is>
      </c>
      <c r="B305" s="1" t="n">
        <v>44957</v>
      </c>
      <c r="C305" s="1" t="n">
        <v>45971</v>
      </c>
      <c r="D305" t="inlineStr">
        <is>
          <t>SÖDERMANLANDS LÄN</t>
        </is>
      </c>
      <c r="E305" t="inlineStr">
        <is>
          <t>KATRINEHOLM</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19685-2022</t>
        </is>
      </c>
      <c r="B306" s="1" t="n">
        <v>44694</v>
      </c>
      <c r="C306" s="1" t="n">
        <v>45971</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52769-2023</t>
        </is>
      </c>
      <c r="B307" s="1" t="n">
        <v>45226</v>
      </c>
      <c r="C307" s="1" t="n">
        <v>45971</v>
      </c>
      <c r="D307" t="inlineStr">
        <is>
          <t>SÖDERMANLANDS LÄN</t>
        </is>
      </c>
      <c r="E307" t="inlineStr">
        <is>
          <t>KATRINEHOLM</t>
        </is>
      </c>
      <c r="G307" t="n">
        <v>0.5</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45971</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62419-2023</t>
        </is>
      </c>
      <c r="B309" s="1" t="n">
        <v>45268</v>
      </c>
      <c r="C309" s="1" t="n">
        <v>45971</v>
      </c>
      <c r="D309" t="inlineStr">
        <is>
          <t>SÖDERMANLANDS LÄN</t>
        </is>
      </c>
      <c r="E309" t="inlineStr">
        <is>
          <t>KATRINEHOLM</t>
        </is>
      </c>
      <c r="G309" t="n">
        <v>9</v>
      </c>
      <c r="H309" t="n">
        <v>0</v>
      </c>
      <c r="I309" t="n">
        <v>0</v>
      </c>
      <c r="J309" t="n">
        <v>0</v>
      </c>
      <c r="K309" t="n">
        <v>0</v>
      </c>
      <c r="L309" t="n">
        <v>0</v>
      </c>
      <c r="M309" t="n">
        <v>0</v>
      </c>
      <c r="N309" t="n">
        <v>0</v>
      </c>
      <c r="O309" t="n">
        <v>0</v>
      </c>
      <c r="P309" t="n">
        <v>0</v>
      </c>
      <c r="Q309" t="n">
        <v>0</v>
      </c>
      <c r="R309" s="2" t="inlineStr"/>
    </row>
    <row r="310" ht="15" customHeight="1">
      <c r="A310" t="inlineStr">
        <is>
          <t>A 4758-2025</t>
        </is>
      </c>
      <c r="B310" s="1" t="n">
        <v>45688</v>
      </c>
      <c r="C310" s="1" t="n">
        <v>45971</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27852-2023</t>
        </is>
      </c>
      <c r="B311" s="1" t="n">
        <v>45098</v>
      </c>
      <c r="C311" s="1" t="n">
        <v>45971</v>
      </c>
      <c r="D311" t="inlineStr">
        <is>
          <t>SÖDERMANLANDS LÄN</t>
        </is>
      </c>
      <c r="E311" t="inlineStr">
        <is>
          <t>KATRINEHOLM</t>
        </is>
      </c>
      <c r="G311" t="n">
        <v>7.4</v>
      </c>
      <c r="H311" t="n">
        <v>0</v>
      </c>
      <c r="I311" t="n">
        <v>0</v>
      </c>
      <c r="J311" t="n">
        <v>0</v>
      </c>
      <c r="K311" t="n">
        <v>0</v>
      </c>
      <c r="L311" t="n">
        <v>0</v>
      </c>
      <c r="M311" t="n">
        <v>0</v>
      </c>
      <c r="N311" t="n">
        <v>0</v>
      </c>
      <c r="O311" t="n">
        <v>0</v>
      </c>
      <c r="P311" t="n">
        <v>0</v>
      </c>
      <c r="Q311" t="n">
        <v>0</v>
      </c>
      <c r="R311" s="2" t="inlineStr"/>
    </row>
    <row r="312" ht="15" customHeight="1">
      <c r="A312" t="inlineStr">
        <is>
          <t>A 38708-2025</t>
        </is>
      </c>
      <c r="B312" s="1" t="n">
        <v>45885</v>
      </c>
      <c r="C312" s="1" t="n">
        <v>45971</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28304-2024</t>
        </is>
      </c>
      <c r="B313" s="1" t="n">
        <v>45477</v>
      </c>
      <c r="C313" s="1" t="n">
        <v>45971</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39897-2023</t>
        </is>
      </c>
      <c r="B314" s="1" t="n">
        <v>45168</v>
      </c>
      <c r="C314" s="1" t="n">
        <v>45971</v>
      </c>
      <c r="D314" t="inlineStr">
        <is>
          <t>SÖDERMANLANDS LÄN</t>
        </is>
      </c>
      <c r="E314" t="inlineStr">
        <is>
          <t>KATRINEHOLM</t>
        </is>
      </c>
      <c r="G314" t="n">
        <v>15.6</v>
      </c>
      <c r="H314" t="n">
        <v>0</v>
      </c>
      <c r="I314" t="n">
        <v>0</v>
      </c>
      <c r="J314" t="n">
        <v>0</v>
      </c>
      <c r="K314" t="n">
        <v>0</v>
      </c>
      <c r="L314" t="n">
        <v>0</v>
      </c>
      <c r="M314" t="n">
        <v>0</v>
      </c>
      <c r="N314" t="n">
        <v>0</v>
      </c>
      <c r="O314" t="n">
        <v>0</v>
      </c>
      <c r="P314" t="n">
        <v>0</v>
      </c>
      <c r="Q314" t="n">
        <v>0</v>
      </c>
      <c r="R314" s="2" t="inlineStr"/>
    </row>
    <row r="315" ht="15" customHeight="1">
      <c r="A315" t="inlineStr">
        <is>
          <t>A 61911-2021</t>
        </is>
      </c>
      <c r="B315" s="1" t="n">
        <v>44502.35746527778</v>
      </c>
      <c r="C315" s="1" t="n">
        <v>45971</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23207-2023</t>
        </is>
      </c>
      <c r="B316" s="1" t="n">
        <v>45071</v>
      </c>
      <c r="C316" s="1" t="n">
        <v>45971</v>
      </c>
      <c r="D316" t="inlineStr">
        <is>
          <t>SÖDERMANLANDS LÄN</t>
        </is>
      </c>
      <c r="E316" t="inlineStr">
        <is>
          <t>KATRINEHOLM</t>
        </is>
      </c>
      <c r="G316" t="n">
        <v>0.6</v>
      </c>
      <c r="H316" t="n">
        <v>0</v>
      </c>
      <c r="I316" t="n">
        <v>0</v>
      </c>
      <c r="J316" t="n">
        <v>0</v>
      </c>
      <c r="K316" t="n">
        <v>0</v>
      </c>
      <c r="L316" t="n">
        <v>0</v>
      </c>
      <c r="M316" t="n">
        <v>0</v>
      </c>
      <c r="N316" t="n">
        <v>0</v>
      </c>
      <c r="O316" t="n">
        <v>0</v>
      </c>
      <c r="P316" t="n">
        <v>0</v>
      </c>
      <c r="Q316" t="n">
        <v>0</v>
      </c>
      <c r="R316" s="2" t="inlineStr"/>
    </row>
    <row r="317" ht="15" customHeight="1">
      <c r="A317" t="inlineStr">
        <is>
          <t>A 42945-2023</t>
        </is>
      </c>
      <c r="B317" s="1" t="n">
        <v>45182.5793287037</v>
      </c>
      <c r="C317" s="1" t="n">
        <v>45971</v>
      </c>
      <c r="D317" t="inlineStr">
        <is>
          <t>SÖDERMANLANDS LÄN</t>
        </is>
      </c>
      <c r="E317" t="inlineStr">
        <is>
          <t>KATRINEHOLM</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42962-2023</t>
        </is>
      </c>
      <c r="B318" s="1" t="n">
        <v>45182</v>
      </c>
      <c r="C318" s="1" t="n">
        <v>45971</v>
      </c>
      <c r="D318" t="inlineStr">
        <is>
          <t>SÖDERMANLANDS LÄN</t>
        </is>
      </c>
      <c r="E318" t="inlineStr">
        <is>
          <t>KATRINEHOLM</t>
        </is>
      </c>
      <c r="F318" t="inlineStr">
        <is>
          <t>Övriga Aktiebolag</t>
        </is>
      </c>
      <c r="G318" t="n">
        <v>10.6</v>
      </c>
      <c r="H318" t="n">
        <v>0</v>
      </c>
      <c r="I318" t="n">
        <v>0</v>
      </c>
      <c r="J318" t="n">
        <v>0</v>
      </c>
      <c r="K318" t="n">
        <v>0</v>
      </c>
      <c r="L318" t="n">
        <v>0</v>
      </c>
      <c r="M318" t="n">
        <v>0</v>
      </c>
      <c r="N318" t="n">
        <v>0</v>
      </c>
      <c r="O318" t="n">
        <v>0</v>
      </c>
      <c r="P318" t="n">
        <v>0</v>
      </c>
      <c r="Q318" t="n">
        <v>0</v>
      </c>
      <c r="R318" s="2" t="inlineStr"/>
    </row>
    <row r="319" ht="15" customHeight="1">
      <c r="A319" t="inlineStr">
        <is>
          <t>A 42025-2022</t>
        </is>
      </c>
      <c r="B319" s="1" t="n">
        <v>44830.47399305556</v>
      </c>
      <c r="C319" s="1" t="n">
        <v>45971</v>
      </c>
      <c r="D319" t="inlineStr">
        <is>
          <t>SÖDERMANLANDS LÄN</t>
        </is>
      </c>
      <c r="E319" t="inlineStr">
        <is>
          <t>KATRINEHOLM</t>
        </is>
      </c>
      <c r="G319" t="n">
        <v>1.5</v>
      </c>
      <c r="H319" t="n">
        <v>0</v>
      </c>
      <c r="I319" t="n">
        <v>0</v>
      </c>
      <c r="J319" t="n">
        <v>0</v>
      </c>
      <c r="K319" t="n">
        <v>0</v>
      </c>
      <c r="L319" t="n">
        <v>0</v>
      </c>
      <c r="M319" t="n">
        <v>0</v>
      </c>
      <c r="N319" t="n">
        <v>0</v>
      </c>
      <c r="O319" t="n">
        <v>0</v>
      </c>
      <c r="P319" t="n">
        <v>0</v>
      </c>
      <c r="Q319" t="n">
        <v>0</v>
      </c>
      <c r="R319" s="2" t="inlineStr"/>
    </row>
    <row r="320" ht="15" customHeight="1">
      <c r="A320" t="inlineStr">
        <is>
          <t>A 44915-2022</t>
        </is>
      </c>
      <c r="B320" s="1" t="n">
        <v>44840</v>
      </c>
      <c r="C320" s="1" t="n">
        <v>45971</v>
      </c>
      <c r="D320" t="inlineStr">
        <is>
          <t>SÖDERMANLANDS LÄN</t>
        </is>
      </c>
      <c r="E320" t="inlineStr">
        <is>
          <t>KATRINEHOLM</t>
        </is>
      </c>
      <c r="G320" t="n">
        <v>6.3</v>
      </c>
      <c r="H320" t="n">
        <v>0</v>
      </c>
      <c r="I320" t="n">
        <v>0</v>
      </c>
      <c r="J320" t="n">
        <v>0</v>
      </c>
      <c r="K320" t="n">
        <v>0</v>
      </c>
      <c r="L320" t="n">
        <v>0</v>
      </c>
      <c r="M320" t="n">
        <v>0</v>
      </c>
      <c r="N320" t="n">
        <v>0</v>
      </c>
      <c r="O320" t="n">
        <v>0</v>
      </c>
      <c r="P320" t="n">
        <v>0</v>
      </c>
      <c r="Q320" t="n">
        <v>0</v>
      </c>
      <c r="R320" s="2" t="inlineStr"/>
    </row>
    <row r="321" ht="15" customHeight="1">
      <c r="A321" t="inlineStr">
        <is>
          <t>A 28582-2024</t>
        </is>
      </c>
      <c r="B321" s="1" t="n">
        <v>45478.40751157407</v>
      </c>
      <c r="C321" s="1" t="n">
        <v>45971</v>
      </c>
      <c r="D321" t="inlineStr">
        <is>
          <t>SÖDERMANLANDS LÄN</t>
        </is>
      </c>
      <c r="E321" t="inlineStr">
        <is>
          <t>KATRINEHOLM</t>
        </is>
      </c>
      <c r="F321" t="inlineStr">
        <is>
          <t>Övriga Aktiebolag</t>
        </is>
      </c>
      <c r="G321" t="n">
        <v>4</v>
      </c>
      <c r="H321" t="n">
        <v>0</v>
      </c>
      <c r="I321" t="n">
        <v>0</v>
      </c>
      <c r="J321" t="n">
        <v>0</v>
      </c>
      <c r="K321" t="n">
        <v>0</v>
      </c>
      <c r="L321" t="n">
        <v>0</v>
      </c>
      <c r="M321" t="n">
        <v>0</v>
      </c>
      <c r="N321" t="n">
        <v>0</v>
      </c>
      <c r="O321" t="n">
        <v>0</v>
      </c>
      <c r="P321" t="n">
        <v>0</v>
      </c>
      <c r="Q321" t="n">
        <v>0</v>
      </c>
      <c r="R321" s="2" t="inlineStr"/>
    </row>
    <row r="322" ht="15" customHeight="1">
      <c r="A322" t="inlineStr">
        <is>
          <t>A 26081-2024</t>
        </is>
      </c>
      <c r="B322" s="1" t="n">
        <v>45462</v>
      </c>
      <c r="C322" s="1" t="n">
        <v>45971</v>
      </c>
      <c r="D322" t="inlineStr">
        <is>
          <t>SÖDERMANLANDS LÄN</t>
        </is>
      </c>
      <c r="E322" t="inlineStr">
        <is>
          <t>KATRINEHOLM</t>
        </is>
      </c>
      <c r="G322" t="n">
        <v>4.1</v>
      </c>
      <c r="H322" t="n">
        <v>0</v>
      </c>
      <c r="I322" t="n">
        <v>0</v>
      </c>
      <c r="J322" t="n">
        <v>0</v>
      </c>
      <c r="K322" t="n">
        <v>0</v>
      </c>
      <c r="L322" t="n">
        <v>0</v>
      </c>
      <c r="M322" t="n">
        <v>0</v>
      </c>
      <c r="N322" t="n">
        <v>0</v>
      </c>
      <c r="O322" t="n">
        <v>0</v>
      </c>
      <c r="P322" t="n">
        <v>0</v>
      </c>
      <c r="Q322" t="n">
        <v>0</v>
      </c>
      <c r="R322" s="2" t="inlineStr"/>
    </row>
    <row r="323" ht="15" customHeight="1">
      <c r="A323" t="inlineStr">
        <is>
          <t>A 8791-2023</t>
        </is>
      </c>
      <c r="B323" s="1" t="n">
        <v>44978</v>
      </c>
      <c r="C323" s="1" t="n">
        <v>45971</v>
      </c>
      <c r="D323" t="inlineStr">
        <is>
          <t>SÖDERMANLANDS LÄN</t>
        </is>
      </c>
      <c r="E323" t="inlineStr">
        <is>
          <t>KATRINEHOLM</t>
        </is>
      </c>
      <c r="G323" t="n">
        <v>1.4</v>
      </c>
      <c r="H323" t="n">
        <v>0</v>
      </c>
      <c r="I323" t="n">
        <v>0</v>
      </c>
      <c r="J323" t="n">
        <v>0</v>
      </c>
      <c r="K323" t="n">
        <v>0</v>
      </c>
      <c r="L323" t="n">
        <v>0</v>
      </c>
      <c r="M323" t="n">
        <v>0</v>
      </c>
      <c r="N323" t="n">
        <v>0</v>
      </c>
      <c r="O323" t="n">
        <v>0</v>
      </c>
      <c r="P323" t="n">
        <v>0</v>
      </c>
      <c r="Q323" t="n">
        <v>0</v>
      </c>
      <c r="R323" s="2" t="inlineStr"/>
    </row>
    <row r="324" ht="15" customHeight="1">
      <c r="A324" t="inlineStr">
        <is>
          <t>A 48253-2022</t>
        </is>
      </c>
      <c r="B324" s="1" t="n">
        <v>44858</v>
      </c>
      <c r="C324" s="1" t="n">
        <v>45971</v>
      </c>
      <c r="D324" t="inlineStr">
        <is>
          <t>SÖDERMANLANDS LÄN</t>
        </is>
      </c>
      <c r="E324" t="inlineStr">
        <is>
          <t>KATRINEHOLM</t>
        </is>
      </c>
      <c r="G324" t="n">
        <v>4.7</v>
      </c>
      <c r="H324" t="n">
        <v>0</v>
      </c>
      <c r="I324" t="n">
        <v>0</v>
      </c>
      <c r="J324" t="n">
        <v>0</v>
      </c>
      <c r="K324" t="n">
        <v>0</v>
      </c>
      <c r="L324" t="n">
        <v>0</v>
      </c>
      <c r="M324" t="n">
        <v>0</v>
      </c>
      <c r="N324" t="n">
        <v>0</v>
      </c>
      <c r="O324" t="n">
        <v>0</v>
      </c>
      <c r="P324" t="n">
        <v>0</v>
      </c>
      <c r="Q324" t="n">
        <v>0</v>
      </c>
      <c r="R324" s="2" t="inlineStr"/>
    </row>
    <row r="325" ht="15" customHeight="1">
      <c r="A325" t="inlineStr">
        <is>
          <t>A 30242-2023</t>
        </is>
      </c>
      <c r="B325" s="1" t="n">
        <v>45099</v>
      </c>
      <c r="C325" s="1" t="n">
        <v>45971</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5953-2021</t>
        </is>
      </c>
      <c r="B326" s="1" t="n">
        <v>44231</v>
      </c>
      <c r="C326" s="1" t="n">
        <v>45971</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53809-2021</t>
        </is>
      </c>
      <c r="B327" s="1" t="n">
        <v>44467</v>
      </c>
      <c r="C327" s="1" t="n">
        <v>45971</v>
      </c>
      <c r="D327" t="inlineStr">
        <is>
          <t>SÖDERMANLANDS LÄN</t>
        </is>
      </c>
      <c r="E327" t="inlineStr">
        <is>
          <t>KATRINEHOLM</t>
        </is>
      </c>
      <c r="G327" t="n">
        <v>7</v>
      </c>
      <c r="H327" t="n">
        <v>0</v>
      </c>
      <c r="I327" t="n">
        <v>0</v>
      </c>
      <c r="J327" t="n">
        <v>0</v>
      </c>
      <c r="K327" t="n">
        <v>0</v>
      </c>
      <c r="L327" t="n">
        <v>0</v>
      </c>
      <c r="M327" t="n">
        <v>0</v>
      </c>
      <c r="N327" t="n">
        <v>0</v>
      </c>
      <c r="O327" t="n">
        <v>0</v>
      </c>
      <c r="P327" t="n">
        <v>0</v>
      </c>
      <c r="Q327" t="n">
        <v>0</v>
      </c>
      <c r="R327" s="2" t="inlineStr"/>
    </row>
    <row r="328" ht="15" customHeight="1">
      <c r="A328" t="inlineStr">
        <is>
          <t>A 31719-2024</t>
        </is>
      </c>
      <c r="B328" s="1" t="n">
        <v>45509</v>
      </c>
      <c r="C328" s="1" t="n">
        <v>45971</v>
      </c>
      <c r="D328" t="inlineStr">
        <is>
          <t>SÖDERMANLANDS LÄN</t>
        </is>
      </c>
      <c r="E328" t="inlineStr">
        <is>
          <t>KATRINEHOLM</t>
        </is>
      </c>
      <c r="F328" t="inlineStr">
        <is>
          <t>Kyrkan</t>
        </is>
      </c>
      <c r="G328" t="n">
        <v>11.9</v>
      </c>
      <c r="H328" t="n">
        <v>0</v>
      </c>
      <c r="I328" t="n">
        <v>0</v>
      </c>
      <c r="J328" t="n">
        <v>0</v>
      </c>
      <c r="K328" t="n">
        <v>0</v>
      </c>
      <c r="L328" t="n">
        <v>0</v>
      </c>
      <c r="M328" t="n">
        <v>0</v>
      </c>
      <c r="N328" t="n">
        <v>0</v>
      </c>
      <c r="O328" t="n">
        <v>0</v>
      </c>
      <c r="P328" t="n">
        <v>0</v>
      </c>
      <c r="Q328" t="n">
        <v>0</v>
      </c>
      <c r="R328" s="2" t="inlineStr"/>
    </row>
    <row r="329" ht="15" customHeight="1">
      <c r="A329" t="inlineStr">
        <is>
          <t>A 13175-2024</t>
        </is>
      </c>
      <c r="B329" s="1" t="n">
        <v>45386</v>
      </c>
      <c r="C329" s="1" t="n">
        <v>45971</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48097-2023</t>
        </is>
      </c>
      <c r="B330" s="1" t="n">
        <v>45205.31987268518</v>
      </c>
      <c r="C330" s="1" t="n">
        <v>45971</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69117-2021</t>
        </is>
      </c>
      <c r="B331" s="1" t="n">
        <v>44530.82445601852</v>
      </c>
      <c r="C331" s="1" t="n">
        <v>45971</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40744-2022</t>
        </is>
      </c>
      <c r="B332" s="1" t="n">
        <v>44824.55655092592</v>
      </c>
      <c r="C332" s="1" t="n">
        <v>45971</v>
      </c>
      <c r="D332" t="inlineStr">
        <is>
          <t>SÖDERMANLANDS LÄN</t>
        </is>
      </c>
      <c r="E332" t="inlineStr">
        <is>
          <t>KATRINEHOLM</t>
        </is>
      </c>
      <c r="G332" t="n">
        <v>3.7</v>
      </c>
      <c r="H332" t="n">
        <v>0</v>
      </c>
      <c r="I332" t="n">
        <v>0</v>
      </c>
      <c r="J332" t="n">
        <v>0</v>
      </c>
      <c r="K332" t="n">
        <v>0</v>
      </c>
      <c r="L332" t="n">
        <v>0</v>
      </c>
      <c r="M332" t="n">
        <v>0</v>
      </c>
      <c r="N332" t="n">
        <v>0</v>
      </c>
      <c r="O332" t="n">
        <v>0</v>
      </c>
      <c r="P332" t="n">
        <v>0</v>
      </c>
      <c r="Q332" t="n">
        <v>0</v>
      </c>
      <c r="R332" s="2" t="inlineStr"/>
    </row>
    <row r="333" ht="15" customHeight="1">
      <c r="A333" t="inlineStr">
        <is>
          <t>A 38308-2021</t>
        </is>
      </c>
      <c r="B333" s="1" t="n">
        <v>44406</v>
      </c>
      <c r="C333" s="1" t="n">
        <v>45971</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55172-2022</t>
        </is>
      </c>
      <c r="B334" s="1" t="n">
        <v>44886</v>
      </c>
      <c r="C334" s="1" t="n">
        <v>45971</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67337-2021</t>
        </is>
      </c>
      <c r="B335" s="1" t="n">
        <v>44523</v>
      </c>
      <c r="C335" s="1" t="n">
        <v>45971</v>
      </c>
      <c r="D335" t="inlineStr">
        <is>
          <t>SÖDERMANLANDS LÄN</t>
        </is>
      </c>
      <c r="E335" t="inlineStr">
        <is>
          <t>KATRINEHOLM</t>
        </is>
      </c>
      <c r="G335" t="n">
        <v>5.2</v>
      </c>
      <c r="H335" t="n">
        <v>0</v>
      </c>
      <c r="I335" t="n">
        <v>0</v>
      </c>
      <c r="J335" t="n">
        <v>0</v>
      </c>
      <c r="K335" t="n">
        <v>0</v>
      </c>
      <c r="L335" t="n">
        <v>0</v>
      </c>
      <c r="M335" t="n">
        <v>0</v>
      </c>
      <c r="N335" t="n">
        <v>0</v>
      </c>
      <c r="O335" t="n">
        <v>0</v>
      </c>
      <c r="P335" t="n">
        <v>0</v>
      </c>
      <c r="Q335" t="n">
        <v>0</v>
      </c>
      <c r="R335" s="2" t="inlineStr"/>
    </row>
    <row r="336" ht="15" customHeight="1">
      <c r="A336" t="inlineStr">
        <is>
          <t>A 45793-2022</t>
        </is>
      </c>
      <c r="B336" s="1" t="n">
        <v>44844</v>
      </c>
      <c r="C336" s="1" t="n">
        <v>45971</v>
      </c>
      <c r="D336" t="inlineStr">
        <is>
          <t>SÖDERMANLANDS LÄN</t>
        </is>
      </c>
      <c r="E336" t="inlineStr">
        <is>
          <t>KATRINEHOLM</t>
        </is>
      </c>
      <c r="G336" t="n">
        <v>2.3</v>
      </c>
      <c r="H336" t="n">
        <v>0</v>
      </c>
      <c r="I336" t="n">
        <v>0</v>
      </c>
      <c r="J336" t="n">
        <v>0</v>
      </c>
      <c r="K336" t="n">
        <v>0</v>
      </c>
      <c r="L336" t="n">
        <v>0</v>
      </c>
      <c r="M336" t="n">
        <v>0</v>
      </c>
      <c r="N336" t="n">
        <v>0</v>
      </c>
      <c r="O336" t="n">
        <v>0</v>
      </c>
      <c r="P336" t="n">
        <v>0</v>
      </c>
      <c r="Q336" t="n">
        <v>0</v>
      </c>
      <c r="R336" s="2" t="inlineStr"/>
    </row>
    <row r="337" ht="15" customHeight="1">
      <c r="A337" t="inlineStr">
        <is>
          <t>A 29394-2024</t>
        </is>
      </c>
      <c r="B337" s="1" t="n">
        <v>45483</v>
      </c>
      <c r="C337" s="1" t="n">
        <v>45971</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8761-2023</t>
        </is>
      </c>
      <c r="B338" s="1" t="n">
        <v>44978.49685185185</v>
      </c>
      <c r="C338" s="1" t="n">
        <v>45971</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8778-2023</t>
        </is>
      </c>
      <c r="B339" s="1" t="n">
        <v>44978.5737037037</v>
      </c>
      <c r="C339" s="1" t="n">
        <v>45971</v>
      </c>
      <c r="D339" t="inlineStr">
        <is>
          <t>SÖDERMANLANDS LÄN</t>
        </is>
      </c>
      <c r="E339" t="inlineStr">
        <is>
          <t>KATRINEHOLM</t>
        </is>
      </c>
      <c r="G339" t="n">
        <v>4.5</v>
      </c>
      <c r="H339" t="n">
        <v>0</v>
      </c>
      <c r="I339" t="n">
        <v>0</v>
      </c>
      <c r="J339" t="n">
        <v>0</v>
      </c>
      <c r="K339" t="n">
        <v>0</v>
      </c>
      <c r="L339" t="n">
        <v>0</v>
      </c>
      <c r="M339" t="n">
        <v>0</v>
      </c>
      <c r="N339" t="n">
        <v>0</v>
      </c>
      <c r="O339" t="n">
        <v>0</v>
      </c>
      <c r="P339" t="n">
        <v>0</v>
      </c>
      <c r="Q339" t="n">
        <v>0</v>
      </c>
      <c r="R339" s="2" t="inlineStr"/>
    </row>
    <row r="340" ht="15" customHeight="1">
      <c r="A340" t="inlineStr">
        <is>
          <t>A 50032-2022</t>
        </is>
      </c>
      <c r="B340" s="1" t="n">
        <v>44860</v>
      </c>
      <c r="C340" s="1" t="n">
        <v>45971</v>
      </c>
      <c r="D340" t="inlineStr">
        <is>
          <t>SÖDERMANLANDS LÄN</t>
        </is>
      </c>
      <c r="E340" t="inlineStr">
        <is>
          <t>KATRINEHOLM</t>
        </is>
      </c>
      <c r="G340" t="n">
        <v>7.5</v>
      </c>
      <c r="H340" t="n">
        <v>0</v>
      </c>
      <c r="I340" t="n">
        <v>0</v>
      </c>
      <c r="J340" t="n">
        <v>0</v>
      </c>
      <c r="K340" t="n">
        <v>0</v>
      </c>
      <c r="L340" t="n">
        <v>0</v>
      </c>
      <c r="M340" t="n">
        <v>0</v>
      </c>
      <c r="N340" t="n">
        <v>0</v>
      </c>
      <c r="O340" t="n">
        <v>0</v>
      </c>
      <c r="P340" t="n">
        <v>0</v>
      </c>
      <c r="Q340" t="n">
        <v>0</v>
      </c>
      <c r="R340" s="2" t="inlineStr"/>
    </row>
    <row r="341" ht="15" customHeight="1">
      <c r="A341" t="inlineStr">
        <is>
          <t>A 26713-2024</t>
        </is>
      </c>
      <c r="B341" s="1" t="n">
        <v>45470</v>
      </c>
      <c r="C341" s="1" t="n">
        <v>45971</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40393-2022</t>
        </is>
      </c>
      <c r="B342" s="1" t="n">
        <v>44823</v>
      </c>
      <c r="C342" s="1" t="n">
        <v>45971</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48685-2022</t>
        </is>
      </c>
      <c r="B343" s="1" t="n">
        <v>44859</v>
      </c>
      <c r="C343" s="1" t="n">
        <v>45971</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43837-2022</t>
        </is>
      </c>
      <c r="B344" s="1" t="n">
        <v>44838</v>
      </c>
      <c r="C344" s="1" t="n">
        <v>45971</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36133-2021</t>
        </is>
      </c>
      <c r="B345" s="1" t="n">
        <v>44386</v>
      </c>
      <c r="C345" s="1" t="n">
        <v>45971</v>
      </c>
      <c r="D345" t="inlineStr">
        <is>
          <t>SÖDERMANLANDS LÄN</t>
        </is>
      </c>
      <c r="E345" t="inlineStr">
        <is>
          <t>KATRINEHOLM</t>
        </is>
      </c>
      <c r="F345" t="inlineStr">
        <is>
          <t>Övriga Aktiebolag</t>
        </is>
      </c>
      <c r="G345" t="n">
        <v>8.9</v>
      </c>
      <c r="H345" t="n">
        <v>0</v>
      </c>
      <c r="I345" t="n">
        <v>0</v>
      </c>
      <c r="J345" t="n">
        <v>0</v>
      </c>
      <c r="K345" t="n">
        <v>0</v>
      </c>
      <c r="L345" t="n">
        <v>0</v>
      </c>
      <c r="M345" t="n">
        <v>0</v>
      </c>
      <c r="N345" t="n">
        <v>0</v>
      </c>
      <c r="O345" t="n">
        <v>0</v>
      </c>
      <c r="P345" t="n">
        <v>0</v>
      </c>
      <c r="Q345" t="n">
        <v>0</v>
      </c>
      <c r="R345" s="2" t="inlineStr"/>
    </row>
    <row r="346" ht="15" customHeight="1">
      <c r="A346" t="inlineStr">
        <is>
          <t>A 57510-2021</t>
        </is>
      </c>
      <c r="B346" s="1" t="n">
        <v>44483</v>
      </c>
      <c r="C346" s="1" t="n">
        <v>45971</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49700-2022</t>
        </is>
      </c>
      <c r="B347" s="1" t="n">
        <v>44862</v>
      </c>
      <c r="C347" s="1" t="n">
        <v>45971</v>
      </c>
      <c r="D347" t="inlineStr">
        <is>
          <t>SÖDERMANLANDS LÄN</t>
        </is>
      </c>
      <c r="E347" t="inlineStr">
        <is>
          <t>KATRINEHOLM</t>
        </is>
      </c>
      <c r="G347" t="n">
        <v>19.5</v>
      </c>
      <c r="H347" t="n">
        <v>0</v>
      </c>
      <c r="I347" t="n">
        <v>0</v>
      </c>
      <c r="J347" t="n">
        <v>0</v>
      </c>
      <c r="K347" t="n">
        <v>0</v>
      </c>
      <c r="L347" t="n">
        <v>0</v>
      </c>
      <c r="M347" t="n">
        <v>0</v>
      </c>
      <c r="N347" t="n">
        <v>0</v>
      </c>
      <c r="O347" t="n">
        <v>0</v>
      </c>
      <c r="P347" t="n">
        <v>0</v>
      </c>
      <c r="Q347" t="n">
        <v>0</v>
      </c>
      <c r="R347" s="2" t="inlineStr"/>
    </row>
    <row r="348" ht="15" customHeight="1">
      <c r="A348" t="inlineStr">
        <is>
          <t>A 8457-2023</t>
        </is>
      </c>
      <c r="B348" s="1" t="n">
        <v>44977</v>
      </c>
      <c r="C348" s="1" t="n">
        <v>45971</v>
      </c>
      <c r="D348" t="inlineStr">
        <is>
          <t>SÖDERMANLANDS LÄN</t>
        </is>
      </c>
      <c r="E348" t="inlineStr">
        <is>
          <t>KATRINEHOLM</t>
        </is>
      </c>
      <c r="F348" t="inlineStr">
        <is>
          <t>Allmännings- och besparingsskogar</t>
        </is>
      </c>
      <c r="G348" t="n">
        <v>16.1</v>
      </c>
      <c r="H348" t="n">
        <v>0</v>
      </c>
      <c r="I348" t="n">
        <v>0</v>
      </c>
      <c r="J348" t="n">
        <v>0</v>
      </c>
      <c r="K348" t="n">
        <v>0</v>
      </c>
      <c r="L348" t="n">
        <v>0</v>
      </c>
      <c r="M348" t="n">
        <v>0</v>
      </c>
      <c r="N348" t="n">
        <v>0</v>
      </c>
      <c r="O348" t="n">
        <v>0</v>
      </c>
      <c r="P348" t="n">
        <v>0</v>
      </c>
      <c r="Q348" t="n">
        <v>0</v>
      </c>
      <c r="R348" s="2" t="inlineStr"/>
    </row>
    <row r="349" ht="15" customHeight="1">
      <c r="A349" t="inlineStr">
        <is>
          <t>A 7056-2022</t>
        </is>
      </c>
      <c r="B349" s="1" t="n">
        <v>44603</v>
      </c>
      <c r="C349" s="1" t="n">
        <v>45971</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55732-2023</t>
        </is>
      </c>
      <c r="B350" s="1" t="n">
        <v>45239</v>
      </c>
      <c r="C350" s="1" t="n">
        <v>45971</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40159-2023</t>
        </is>
      </c>
      <c r="B351" s="1" t="n">
        <v>45169</v>
      </c>
      <c r="C351" s="1" t="n">
        <v>45971</v>
      </c>
      <c r="D351" t="inlineStr">
        <is>
          <t>SÖDERMANLANDS LÄN</t>
        </is>
      </c>
      <c r="E351" t="inlineStr">
        <is>
          <t>KATRINEHOLM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59887-2020</t>
        </is>
      </c>
      <c r="B352" s="1" t="n">
        <v>44151</v>
      </c>
      <c r="C352" s="1" t="n">
        <v>45971</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28675-2024</t>
        </is>
      </c>
      <c r="B353" s="1" t="n">
        <v>45478</v>
      </c>
      <c r="C353" s="1" t="n">
        <v>45971</v>
      </c>
      <c r="D353" t="inlineStr">
        <is>
          <t>SÖDERMANLANDS LÄN</t>
        </is>
      </c>
      <c r="E353" t="inlineStr">
        <is>
          <t>KATRINEHOLM</t>
        </is>
      </c>
      <c r="F353" t="inlineStr">
        <is>
          <t>Övriga Aktiebolag</t>
        </is>
      </c>
      <c r="G353" t="n">
        <v>3.5</v>
      </c>
      <c r="H353" t="n">
        <v>0</v>
      </c>
      <c r="I353" t="n">
        <v>0</v>
      </c>
      <c r="J353" t="n">
        <v>0</v>
      </c>
      <c r="K353" t="n">
        <v>0</v>
      </c>
      <c r="L353" t="n">
        <v>0</v>
      </c>
      <c r="M353" t="n">
        <v>0</v>
      </c>
      <c r="N353" t="n">
        <v>0</v>
      </c>
      <c r="O353" t="n">
        <v>0</v>
      </c>
      <c r="P353" t="n">
        <v>0</v>
      </c>
      <c r="Q353" t="n">
        <v>0</v>
      </c>
      <c r="R353" s="2" t="inlineStr"/>
    </row>
    <row r="354" ht="15" customHeight="1">
      <c r="A354" t="inlineStr">
        <is>
          <t>A 30276-2023</t>
        </is>
      </c>
      <c r="B354" s="1" t="n">
        <v>45110</v>
      </c>
      <c r="C354" s="1" t="n">
        <v>45971</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27875-2024</t>
        </is>
      </c>
      <c r="B355" s="1" t="n">
        <v>45475</v>
      </c>
      <c r="C355" s="1" t="n">
        <v>45971</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32786-2022</t>
        </is>
      </c>
      <c r="B356" s="1" t="n">
        <v>44784</v>
      </c>
      <c r="C356" s="1" t="n">
        <v>45971</v>
      </c>
      <c r="D356" t="inlineStr">
        <is>
          <t>SÖDERMANLANDS LÄN</t>
        </is>
      </c>
      <c r="E356" t="inlineStr">
        <is>
          <t>KATRINEHOLM</t>
        </is>
      </c>
      <c r="G356" t="n">
        <v>7</v>
      </c>
      <c r="H356" t="n">
        <v>0</v>
      </c>
      <c r="I356" t="n">
        <v>0</v>
      </c>
      <c r="J356" t="n">
        <v>0</v>
      </c>
      <c r="K356" t="n">
        <v>0</v>
      </c>
      <c r="L356" t="n">
        <v>0</v>
      </c>
      <c r="M356" t="n">
        <v>0</v>
      </c>
      <c r="N356" t="n">
        <v>0</v>
      </c>
      <c r="O356" t="n">
        <v>0</v>
      </c>
      <c r="P356" t="n">
        <v>0</v>
      </c>
      <c r="Q356" t="n">
        <v>0</v>
      </c>
      <c r="R356" s="2" t="inlineStr"/>
    </row>
    <row r="357" ht="15" customHeight="1">
      <c r="A357" t="inlineStr">
        <is>
          <t>A 27376-2024</t>
        </is>
      </c>
      <c r="B357" s="1" t="n">
        <v>45473.88313657408</v>
      </c>
      <c r="C357" s="1" t="n">
        <v>45971</v>
      </c>
      <c r="D357" t="inlineStr">
        <is>
          <t>SÖDERMANLANDS LÄN</t>
        </is>
      </c>
      <c r="E357" t="inlineStr">
        <is>
          <t>KATRINEHOLM</t>
        </is>
      </c>
      <c r="F357" t="inlineStr">
        <is>
          <t>Kommuner</t>
        </is>
      </c>
      <c r="G357" t="n">
        <v>2.8</v>
      </c>
      <c r="H357" t="n">
        <v>0</v>
      </c>
      <c r="I357" t="n">
        <v>0</v>
      </c>
      <c r="J357" t="n">
        <v>0</v>
      </c>
      <c r="K357" t="n">
        <v>0</v>
      </c>
      <c r="L357" t="n">
        <v>0</v>
      </c>
      <c r="M357" t="n">
        <v>0</v>
      </c>
      <c r="N357" t="n">
        <v>0</v>
      </c>
      <c r="O357" t="n">
        <v>0</v>
      </c>
      <c r="P357" t="n">
        <v>0</v>
      </c>
      <c r="Q357" t="n">
        <v>0</v>
      </c>
      <c r="R357" s="2" t="inlineStr"/>
    </row>
    <row r="358" ht="15" customHeight="1">
      <c r="A358" t="inlineStr">
        <is>
          <t>A 7223-2022</t>
        </is>
      </c>
      <c r="B358" s="1" t="n">
        <v>44603</v>
      </c>
      <c r="C358" s="1" t="n">
        <v>45971</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7459-2022</t>
        </is>
      </c>
      <c r="B359" s="1" t="n">
        <v>44607.35009259259</v>
      </c>
      <c r="C359" s="1" t="n">
        <v>45971</v>
      </c>
      <c r="D359" t="inlineStr">
        <is>
          <t>SÖDERMANLANDS LÄN</t>
        </is>
      </c>
      <c r="E359" t="inlineStr">
        <is>
          <t>KATRINEHOLM</t>
        </is>
      </c>
      <c r="G359" t="n">
        <v>2</v>
      </c>
      <c r="H359" t="n">
        <v>0</v>
      </c>
      <c r="I359" t="n">
        <v>0</v>
      </c>
      <c r="J359" t="n">
        <v>0</v>
      </c>
      <c r="K359" t="n">
        <v>0</v>
      </c>
      <c r="L359" t="n">
        <v>0</v>
      </c>
      <c r="M359" t="n">
        <v>0</v>
      </c>
      <c r="N359" t="n">
        <v>0</v>
      </c>
      <c r="O359" t="n">
        <v>0</v>
      </c>
      <c r="P359" t="n">
        <v>0</v>
      </c>
      <c r="Q359" t="n">
        <v>0</v>
      </c>
      <c r="R359" s="2" t="inlineStr"/>
    </row>
    <row r="360" ht="15" customHeight="1">
      <c r="A360" t="inlineStr">
        <is>
          <t>A 27375-2024</t>
        </is>
      </c>
      <c r="B360" s="1" t="n">
        <v>45473.87645833333</v>
      </c>
      <c r="C360" s="1" t="n">
        <v>45971</v>
      </c>
      <c r="D360" t="inlineStr">
        <is>
          <t>SÖDERMANLANDS LÄN</t>
        </is>
      </c>
      <c r="E360" t="inlineStr">
        <is>
          <t>KATRINEHOLM</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28995-2024</t>
        </is>
      </c>
      <c r="B361" s="1" t="n">
        <v>45481.49899305555</v>
      </c>
      <c r="C361" s="1" t="n">
        <v>45971</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44989-2022</t>
        </is>
      </c>
      <c r="B362" s="1" t="n">
        <v>44840</v>
      </c>
      <c r="C362" s="1" t="n">
        <v>45971</v>
      </c>
      <c r="D362" t="inlineStr">
        <is>
          <t>SÖDERMANLANDS LÄN</t>
        </is>
      </c>
      <c r="E362" t="inlineStr">
        <is>
          <t>KATRINEHOLM</t>
        </is>
      </c>
      <c r="G362" t="n">
        <v>6</v>
      </c>
      <c r="H362" t="n">
        <v>0</v>
      </c>
      <c r="I362" t="n">
        <v>0</v>
      </c>
      <c r="J362" t="n">
        <v>0</v>
      </c>
      <c r="K362" t="n">
        <v>0</v>
      </c>
      <c r="L362" t="n">
        <v>0</v>
      </c>
      <c r="M362" t="n">
        <v>0</v>
      </c>
      <c r="N362" t="n">
        <v>0</v>
      </c>
      <c r="O362" t="n">
        <v>0</v>
      </c>
      <c r="P362" t="n">
        <v>0</v>
      </c>
      <c r="Q362" t="n">
        <v>0</v>
      </c>
      <c r="R362" s="2" t="inlineStr"/>
    </row>
    <row r="363" ht="15" customHeight="1">
      <c r="A363" t="inlineStr">
        <is>
          <t>A 48259-2022</t>
        </is>
      </c>
      <c r="B363" s="1" t="n">
        <v>44858</v>
      </c>
      <c r="C363" s="1" t="n">
        <v>45971</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20768-2022</t>
        </is>
      </c>
      <c r="B364" s="1" t="n">
        <v>44701.36431712963</v>
      </c>
      <c r="C364" s="1" t="n">
        <v>45971</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28992-2024</t>
        </is>
      </c>
      <c r="B365" s="1" t="n">
        <v>45481.49289351852</v>
      </c>
      <c r="C365" s="1" t="n">
        <v>45971</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57265-2022</t>
        </is>
      </c>
      <c r="B366" s="1" t="n">
        <v>44895</v>
      </c>
      <c r="C366" s="1" t="n">
        <v>45971</v>
      </c>
      <c r="D366" t="inlineStr">
        <is>
          <t>SÖDERMANLANDS LÄN</t>
        </is>
      </c>
      <c r="E366" t="inlineStr">
        <is>
          <t>KATRINEHOLM</t>
        </is>
      </c>
      <c r="G366" t="n">
        <v>2</v>
      </c>
      <c r="H366" t="n">
        <v>0</v>
      </c>
      <c r="I366" t="n">
        <v>0</v>
      </c>
      <c r="J366" t="n">
        <v>0</v>
      </c>
      <c r="K366" t="n">
        <v>0</v>
      </c>
      <c r="L366" t="n">
        <v>0</v>
      </c>
      <c r="M366" t="n">
        <v>0</v>
      </c>
      <c r="N366" t="n">
        <v>0</v>
      </c>
      <c r="O366" t="n">
        <v>0</v>
      </c>
      <c r="P366" t="n">
        <v>0</v>
      </c>
      <c r="Q366" t="n">
        <v>0</v>
      </c>
      <c r="R366" s="2" t="inlineStr"/>
    </row>
    <row r="367" ht="15" customHeight="1">
      <c r="A367" t="inlineStr">
        <is>
          <t>A 7322-2023</t>
        </is>
      </c>
      <c r="B367" s="1" t="n">
        <v>44970</v>
      </c>
      <c r="C367" s="1" t="n">
        <v>45971</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2093-2025</t>
        </is>
      </c>
      <c r="B368" s="1" t="n">
        <v>45672</v>
      </c>
      <c r="C368" s="1" t="n">
        <v>45971</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50316-2023</t>
        </is>
      </c>
      <c r="B369" s="1" t="n">
        <v>45209</v>
      </c>
      <c r="C369" s="1" t="n">
        <v>45971</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52857-2021</t>
        </is>
      </c>
      <c r="B370" s="1" t="n">
        <v>44466</v>
      </c>
      <c r="C370" s="1" t="n">
        <v>45971</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15284-2023</t>
        </is>
      </c>
      <c r="B371" s="1" t="n">
        <v>45019</v>
      </c>
      <c r="C371" s="1" t="n">
        <v>45971</v>
      </c>
      <c r="D371" t="inlineStr">
        <is>
          <t>SÖDERMANLANDS LÄN</t>
        </is>
      </c>
      <c r="E371" t="inlineStr">
        <is>
          <t>KATRINEHOLM</t>
        </is>
      </c>
      <c r="F371" t="inlineStr">
        <is>
          <t>Allmännings- och besparingsskogar</t>
        </is>
      </c>
      <c r="G371" t="n">
        <v>17.4</v>
      </c>
      <c r="H371" t="n">
        <v>0</v>
      </c>
      <c r="I371" t="n">
        <v>0</v>
      </c>
      <c r="J371" t="n">
        <v>0</v>
      </c>
      <c r="K371" t="n">
        <v>0</v>
      </c>
      <c r="L371" t="n">
        <v>0</v>
      </c>
      <c r="M371" t="n">
        <v>0</v>
      </c>
      <c r="N371" t="n">
        <v>0</v>
      </c>
      <c r="O371" t="n">
        <v>0</v>
      </c>
      <c r="P371" t="n">
        <v>0</v>
      </c>
      <c r="Q371" t="n">
        <v>0</v>
      </c>
      <c r="R371" s="2" t="inlineStr"/>
    </row>
    <row r="372" ht="15" customHeight="1">
      <c r="A372" t="inlineStr">
        <is>
          <t>A 60160-2022</t>
        </is>
      </c>
      <c r="B372" s="1" t="n">
        <v>44909</v>
      </c>
      <c r="C372" s="1" t="n">
        <v>45971</v>
      </c>
      <c r="D372" t="inlineStr">
        <is>
          <t>SÖDERMANLANDS LÄN</t>
        </is>
      </c>
      <c r="E372" t="inlineStr">
        <is>
          <t>KATRINEHOLM</t>
        </is>
      </c>
      <c r="F372" t="inlineStr">
        <is>
          <t>Allmännings- och besparingsskogar</t>
        </is>
      </c>
      <c r="G372" t="n">
        <v>2</v>
      </c>
      <c r="H372" t="n">
        <v>0</v>
      </c>
      <c r="I372" t="n">
        <v>0</v>
      </c>
      <c r="J372" t="n">
        <v>0</v>
      </c>
      <c r="K372" t="n">
        <v>0</v>
      </c>
      <c r="L372" t="n">
        <v>0</v>
      </c>
      <c r="M372" t="n">
        <v>0</v>
      </c>
      <c r="N372" t="n">
        <v>0</v>
      </c>
      <c r="O372" t="n">
        <v>0</v>
      </c>
      <c r="P372" t="n">
        <v>0</v>
      </c>
      <c r="Q372" t="n">
        <v>0</v>
      </c>
      <c r="R372" s="2" t="inlineStr"/>
    </row>
    <row r="373" ht="15" customHeight="1">
      <c r="A373" t="inlineStr">
        <is>
          <t>A 27886-2024</t>
        </is>
      </c>
      <c r="B373" s="1" t="n">
        <v>45475</v>
      </c>
      <c r="C373" s="1" t="n">
        <v>45971</v>
      </c>
      <c r="D373" t="inlineStr">
        <is>
          <t>SÖDERMANLANDS LÄN</t>
        </is>
      </c>
      <c r="E373" t="inlineStr">
        <is>
          <t>KATRINEHOLM</t>
        </is>
      </c>
      <c r="G373" t="n">
        <v>10.3</v>
      </c>
      <c r="H373" t="n">
        <v>0</v>
      </c>
      <c r="I373" t="n">
        <v>0</v>
      </c>
      <c r="J373" t="n">
        <v>0</v>
      </c>
      <c r="K373" t="n">
        <v>0</v>
      </c>
      <c r="L373" t="n">
        <v>0</v>
      </c>
      <c r="M373" t="n">
        <v>0</v>
      </c>
      <c r="N373" t="n">
        <v>0</v>
      </c>
      <c r="O373" t="n">
        <v>0</v>
      </c>
      <c r="P373" t="n">
        <v>0</v>
      </c>
      <c r="Q373" t="n">
        <v>0</v>
      </c>
      <c r="R373" s="2" t="inlineStr"/>
    </row>
    <row r="374" ht="15" customHeight="1">
      <c r="A374" t="inlineStr">
        <is>
          <t>A 19442-2023</t>
        </is>
      </c>
      <c r="B374" s="1" t="n">
        <v>45050</v>
      </c>
      <c r="C374" s="1" t="n">
        <v>45971</v>
      </c>
      <c r="D374" t="inlineStr">
        <is>
          <t>SÖDERMANLANDS LÄN</t>
        </is>
      </c>
      <c r="E374" t="inlineStr">
        <is>
          <t>KATRINEHOLM</t>
        </is>
      </c>
      <c r="F374" t="inlineStr">
        <is>
          <t>Holmen skog AB</t>
        </is>
      </c>
      <c r="G374" t="n">
        <v>0.7</v>
      </c>
      <c r="H374" t="n">
        <v>0</v>
      </c>
      <c r="I374" t="n">
        <v>0</v>
      </c>
      <c r="J374" t="n">
        <v>0</v>
      </c>
      <c r="K374" t="n">
        <v>0</v>
      </c>
      <c r="L374" t="n">
        <v>0</v>
      </c>
      <c r="M374" t="n">
        <v>0</v>
      </c>
      <c r="N374" t="n">
        <v>0</v>
      </c>
      <c r="O374" t="n">
        <v>0</v>
      </c>
      <c r="P374" t="n">
        <v>0</v>
      </c>
      <c r="Q374" t="n">
        <v>0</v>
      </c>
      <c r="R374" s="2" t="inlineStr"/>
    </row>
    <row r="375" ht="15" customHeight="1">
      <c r="A375" t="inlineStr">
        <is>
          <t>A 51613-2022</t>
        </is>
      </c>
      <c r="B375" s="1" t="n">
        <v>44871</v>
      </c>
      <c r="C375" s="1" t="n">
        <v>45971</v>
      </c>
      <c r="D375" t="inlineStr">
        <is>
          <t>SÖDERMANLANDS LÄN</t>
        </is>
      </c>
      <c r="E375" t="inlineStr">
        <is>
          <t>KATRINEHOLM</t>
        </is>
      </c>
      <c r="G375" t="n">
        <v>3</v>
      </c>
      <c r="H375" t="n">
        <v>0</v>
      </c>
      <c r="I375" t="n">
        <v>0</v>
      </c>
      <c r="J375" t="n">
        <v>0</v>
      </c>
      <c r="K375" t="n">
        <v>0</v>
      </c>
      <c r="L375" t="n">
        <v>0</v>
      </c>
      <c r="M375" t="n">
        <v>0</v>
      </c>
      <c r="N375" t="n">
        <v>0</v>
      </c>
      <c r="O375" t="n">
        <v>0</v>
      </c>
      <c r="P375" t="n">
        <v>0</v>
      </c>
      <c r="Q375" t="n">
        <v>0</v>
      </c>
      <c r="R375" s="2" t="inlineStr"/>
    </row>
    <row r="376" ht="15" customHeight="1">
      <c r="A376" t="inlineStr">
        <is>
          <t>A 37834-2023</t>
        </is>
      </c>
      <c r="B376" s="1" t="n">
        <v>45160</v>
      </c>
      <c r="C376" s="1" t="n">
        <v>45971</v>
      </c>
      <c r="D376" t="inlineStr">
        <is>
          <t>SÖDERMANLANDS LÄN</t>
        </is>
      </c>
      <c r="E376" t="inlineStr">
        <is>
          <t>KATRINEHOLM</t>
        </is>
      </c>
      <c r="F376" t="inlineStr">
        <is>
          <t>Kyrkan</t>
        </is>
      </c>
      <c r="G376" t="n">
        <v>2.8</v>
      </c>
      <c r="H376" t="n">
        <v>0</v>
      </c>
      <c r="I376" t="n">
        <v>0</v>
      </c>
      <c r="J376" t="n">
        <v>0</v>
      </c>
      <c r="K376" t="n">
        <v>0</v>
      </c>
      <c r="L376" t="n">
        <v>0</v>
      </c>
      <c r="M376" t="n">
        <v>0</v>
      </c>
      <c r="N376" t="n">
        <v>0</v>
      </c>
      <c r="O376" t="n">
        <v>0</v>
      </c>
      <c r="P376" t="n">
        <v>0</v>
      </c>
      <c r="Q376" t="n">
        <v>0</v>
      </c>
      <c r="R376" s="2" t="inlineStr"/>
    </row>
    <row r="377" ht="15" customHeight="1">
      <c r="A377" t="inlineStr">
        <is>
          <t>A 25363-2023</t>
        </is>
      </c>
      <c r="B377" s="1" t="n">
        <v>45088.83840277778</v>
      </c>
      <c r="C377" s="1" t="n">
        <v>45971</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8475-2023</t>
        </is>
      </c>
      <c r="B378" s="1" t="n">
        <v>44977</v>
      </c>
      <c r="C378" s="1" t="n">
        <v>45971</v>
      </c>
      <c r="D378" t="inlineStr">
        <is>
          <t>SÖDERMANLANDS LÄN</t>
        </is>
      </c>
      <c r="E378" t="inlineStr">
        <is>
          <t>KATRINEHOLM</t>
        </is>
      </c>
      <c r="F378" t="inlineStr">
        <is>
          <t>Allmännings- och besparingsskogar</t>
        </is>
      </c>
      <c r="G378" t="n">
        <v>8.1</v>
      </c>
      <c r="H378" t="n">
        <v>0</v>
      </c>
      <c r="I378" t="n">
        <v>0</v>
      </c>
      <c r="J378" t="n">
        <v>0</v>
      </c>
      <c r="K378" t="n">
        <v>0</v>
      </c>
      <c r="L378" t="n">
        <v>0</v>
      </c>
      <c r="M378" t="n">
        <v>0</v>
      </c>
      <c r="N378" t="n">
        <v>0</v>
      </c>
      <c r="O378" t="n">
        <v>0</v>
      </c>
      <c r="P378" t="n">
        <v>0</v>
      </c>
      <c r="Q378" t="n">
        <v>0</v>
      </c>
      <c r="R378" s="2" t="inlineStr"/>
    </row>
    <row r="379" ht="15" customHeight="1">
      <c r="A379" t="inlineStr">
        <is>
          <t>A 50840-2022</t>
        </is>
      </c>
      <c r="B379" s="1" t="n">
        <v>44862</v>
      </c>
      <c r="C379" s="1" t="n">
        <v>45971</v>
      </c>
      <c r="D379" t="inlineStr">
        <is>
          <t>SÖDERMANLANDS LÄN</t>
        </is>
      </c>
      <c r="E379" t="inlineStr">
        <is>
          <t>KATRINEHOLM</t>
        </is>
      </c>
      <c r="G379" t="n">
        <v>4.2</v>
      </c>
      <c r="H379" t="n">
        <v>0</v>
      </c>
      <c r="I379" t="n">
        <v>0</v>
      </c>
      <c r="J379" t="n">
        <v>0</v>
      </c>
      <c r="K379" t="n">
        <v>0</v>
      </c>
      <c r="L379" t="n">
        <v>0</v>
      </c>
      <c r="M379" t="n">
        <v>0</v>
      </c>
      <c r="N379" t="n">
        <v>0</v>
      </c>
      <c r="O379" t="n">
        <v>0</v>
      </c>
      <c r="P379" t="n">
        <v>0</v>
      </c>
      <c r="Q379" t="n">
        <v>0</v>
      </c>
      <c r="R379" s="2" t="inlineStr"/>
    </row>
    <row r="380" ht="15" customHeight="1">
      <c r="A380" t="inlineStr">
        <is>
          <t>A 6722-2022</t>
        </is>
      </c>
      <c r="B380" s="1" t="n">
        <v>44602</v>
      </c>
      <c r="C380" s="1" t="n">
        <v>45971</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32890-2024</t>
        </is>
      </c>
      <c r="B381" s="1" t="n">
        <v>45516</v>
      </c>
      <c r="C381" s="1" t="n">
        <v>45971</v>
      </c>
      <c r="D381" t="inlineStr">
        <is>
          <t>SÖDERMANLANDS LÄN</t>
        </is>
      </c>
      <c r="E381" t="inlineStr">
        <is>
          <t>KATRINEHOLM</t>
        </is>
      </c>
      <c r="G381" t="n">
        <v>2.6</v>
      </c>
      <c r="H381" t="n">
        <v>0</v>
      </c>
      <c r="I381" t="n">
        <v>0</v>
      </c>
      <c r="J381" t="n">
        <v>0</v>
      </c>
      <c r="K381" t="n">
        <v>0</v>
      </c>
      <c r="L381" t="n">
        <v>0</v>
      </c>
      <c r="M381" t="n">
        <v>0</v>
      </c>
      <c r="N381" t="n">
        <v>0</v>
      </c>
      <c r="O381" t="n">
        <v>0</v>
      </c>
      <c r="P381" t="n">
        <v>0</v>
      </c>
      <c r="Q381" t="n">
        <v>0</v>
      </c>
      <c r="R381" s="2" t="inlineStr"/>
    </row>
    <row r="382" ht="15" customHeight="1">
      <c r="A382" t="inlineStr">
        <is>
          <t>A 6763-2022</t>
        </is>
      </c>
      <c r="B382" s="1" t="n">
        <v>44602</v>
      </c>
      <c r="C382" s="1" t="n">
        <v>45971</v>
      </c>
      <c r="D382" t="inlineStr">
        <is>
          <t>SÖDERMANLANDS LÄN</t>
        </is>
      </c>
      <c r="E382" t="inlineStr">
        <is>
          <t>KATRINEHOLM</t>
        </is>
      </c>
      <c r="G382" t="n">
        <v>6.7</v>
      </c>
      <c r="H382" t="n">
        <v>0</v>
      </c>
      <c r="I382" t="n">
        <v>0</v>
      </c>
      <c r="J382" t="n">
        <v>0</v>
      </c>
      <c r="K382" t="n">
        <v>0</v>
      </c>
      <c r="L382" t="n">
        <v>0</v>
      </c>
      <c r="M382" t="n">
        <v>0</v>
      </c>
      <c r="N382" t="n">
        <v>0</v>
      </c>
      <c r="O382" t="n">
        <v>0</v>
      </c>
      <c r="P382" t="n">
        <v>0</v>
      </c>
      <c r="Q382" t="n">
        <v>0</v>
      </c>
      <c r="R382" s="2" t="inlineStr"/>
    </row>
    <row r="383" ht="15" customHeight="1">
      <c r="A383" t="inlineStr">
        <is>
          <t>A 5790-2022</t>
        </is>
      </c>
      <c r="B383" s="1" t="n">
        <v>44596.55368055555</v>
      </c>
      <c r="C383" s="1" t="n">
        <v>45971</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14313-2024</t>
        </is>
      </c>
      <c r="B384" s="1" t="n">
        <v>45393</v>
      </c>
      <c r="C384" s="1" t="n">
        <v>45971</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29397-2024</t>
        </is>
      </c>
      <c r="B385" s="1" t="n">
        <v>45483</v>
      </c>
      <c r="C385" s="1" t="n">
        <v>45971</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2320-2023</t>
        </is>
      </c>
      <c r="B386" s="1" t="n">
        <v>44942.58850694444</v>
      </c>
      <c r="C386" s="1" t="n">
        <v>45971</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59898-2022</t>
        </is>
      </c>
      <c r="B387" s="1" t="n">
        <v>44908</v>
      </c>
      <c r="C387" s="1" t="n">
        <v>45971</v>
      </c>
      <c r="D387" t="inlineStr">
        <is>
          <t>SÖDERMANLANDS LÄN</t>
        </is>
      </c>
      <c r="E387" t="inlineStr">
        <is>
          <t>KATRINEHOLM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3060-2022</t>
        </is>
      </c>
      <c r="B388" s="1" t="n">
        <v>44582.40109953703</v>
      </c>
      <c r="C388" s="1" t="n">
        <v>45971</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20326-2023</t>
        </is>
      </c>
      <c r="B389" s="1" t="n">
        <v>45056.46821759259</v>
      </c>
      <c r="C389" s="1" t="n">
        <v>45971</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15392-2023</t>
        </is>
      </c>
      <c r="B390" s="1" t="n">
        <v>45016</v>
      </c>
      <c r="C390" s="1" t="n">
        <v>45971</v>
      </c>
      <c r="D390" t="inlineStr">
        <is>
          <t>SÖDERMANLANDS LÄN</t>
        </is>
      </c>
      <c r="E390" t="inlineStr">
        <is>
          <t>KATRINEHOLM</t>
        </is>
      </c>
      <c r="F390" t="inlineStr">
        <is>
          <t>Övriga Aktiebolag</t>
        </is>
      </c>
      <c r="G390" t="n">
        <v>2.7</v>
      </c>
      <c r="H390" t="n">
        <v>0</v>
      </c>
      <c r="I390" t="n">
        <v>0</v>
      </c>
      <c r="J390" t="n">
        <v>0</v>
      </c>
      <c r="K390" t="n">
        <v>0</v>
      </c>
      <c r="L390" t="n">
        <v>0</v>
      </c>
      <c r="M390" t="n">
        <v>0</v>
      </c>
      <c r="N390" t="n">
        <v>0</v>
      </c>
      <c r="O390" t="n">
        <v>0</v>
      </c>
      <c r="P390" t="n">
        <v>0</v>
      </c>
      <c r="Q390" t="n">
        <v>0</v>
      </c>
      <c r="R390" s="2" t="inlineStr"/>
    </row>
    <row r="391" ht="15" customHeight="1">
      <c r="A391" t="inlineStr">
        <is>
          <t>A 6611-2023</t>
        </is>
      </c>
      <c r="B391" s="1" t="n">
        <v>44963</v>
      </c>
      <c r="C391" s="1" t="n">
        <v>45971</v>
      </c>
      <c r="D391" t="inlineStr">
        <is>
          <t>SÖDERMANLANDS LÄN</t>
        </is>
      </c>
      <c r="E391" t="inlineStr">
        <is>
          <t>KATRINEHOLM</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33278-2024</t>
        </is>
      </c>
      <c r="B392" s="1" t="n">
        <v>45518</v>
      </c>
      <c r="C392" s="1" t="n">
        <v>45971</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45246-2023</t>
        </is>
      </c>
      <c r="B393" s="1" t="n">
        <v>45191</v>
      </c>
      <c r="C393" s="1" t="n">
        <v>45971</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9714-2024</t>
        </is>
      </c>
      <c r="B394" s="1" t="n">
        <v>45362</v>
      </c>
      <c r="C394" s="1" t="n">
        <v>45971</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24619-2024</t>
        </is>
      </c>
      <c r="B395" s="1" t="n">
        <v>45460</v>
      </c>
      <c r="C395" s="1" t="n">
        <v>45971</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50804-2023</t>
        </is>
      </c>
      <c r="B396" s="1" t="n">
        <v>45211</v>
      </c>
      <c r="C396" s="1" t="n">
        <v>45971</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20533-2023</t>
        </is>
      </c>
      <c r="B397" s="1" t="n">
        <v>45057</v>
      </c>
      <c r="C397" s="1" t="n">
        <v>45971</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c r="T397">
        <f>HYPERLINK("https://klasma.github.io/Logging_0483/kartor/A 20533-2023 karta.png", "A 20533-2023")</f>
        <v/>
      </c>
      <c r="V397">
        <f>HYPERLINK("https://klasma.github.io/Logging_0483/klagomål/A 20533-2023 FSC-klagomål.docx", "A 20533-2023")</f>
        <v/>
      </c>
      <c r="W397">
        <f>HYPERLINK("https://klasma.github.io/Logging_0483/klagomålsmail/A 20533-2023 FSC-klagomål mail.docx", "A 20533-2023")</f>
        <v/>
      </c>
      <c r="X397">
        <f>HYPERLINK("https://klasma.github.io/Logging_0483/tillsyn/A 20533-2023 tillsynsbegäran.docx", "A 20533-2023")</f>
        <v/>
      </c>
      <c r="Y397">
        <f>HYPERLINK("https://klasma.github.io/Logging_0483/tillsynsmail/A 20533-2023 tillsynsbegäran mail.docx", "A 20533-2023")</f>
        <v/>
      </c>
      <c r="Z397">
        <f>HYPERLINK("https://klasma.github.io/Logging_0483/fåglar/A 20533-2023 prioriterade fågelarter.docx", "A 20533-2023")</f>
        <v/>
      </c>
    </row>
    <row r="398" ht="15" customHeight="1">
      <c r="A398" t="inlineStr">
        <is>
          <t>A 2735-2025</t>
        </is>
      </c>
      <c r="B398" s="1" t="n">
        <v>45677</v>
      </c>
      <c r="C398" s="1" t="n">
        <v>45971</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49914-2023</t>
        </is>
      </c>
      <c r="B399" s="1" t="n">
        <v>45214</v>
      </c>
      <c r="C399" s="1" t="n">
        <v>45971</v>
      </c>
      <c r="D399" t="inlineStr">
        <is>
          <t>SÖDERMANLANDS LÄN</t>
        </is>
      </c>
      <c r="E399" t="inlineStr">
        <is>
          <t>KATRINEHOLM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9699-2024</t>
        </is>
      </c>
      <c r="B400" s="1" t="n">
        <v>45362</v>
      </c>
      <c r="C400" s="1" t="n">
        <v>45971</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17335-2023</t>
        </is>
      </c>
      <c r="B401" s="1" t="n">
        <v>45033</v>
      </c>
      <c r="C401" s="1" t="n">
        <v>45971</v>
      </c>
      <c r="D401" t="inlineStr">
        <is>
          <t>SÖDERMANLANDS LÄN</t>
        </is>
      </c>
      <c r="E401" t="inlineStr">
        <is>
          <t>KATRINEHOLM</t>
        </is>
      </c>
      <c r="G401" t="n">
        <v>3.3</v>
      </c>
      <c r="H401" t="n">
        <v>0</v>
      </c>
      <c r="I401" t="n">
        <v>0</v>
      </c>
      <c r="J401" t="n">
        <v>0</v>
      </c>
      <c r="K401" t="n">
        <v>0</v>
      </c>
      <c r="L401" t="n">
        <v>0</v>
      </c>
      <c r="M401" t="n">
        <v>0</v>
      </c>
      <c r="N401" t="n">
        <v>0</v>
      </c>
      <c r="O401" t="n">
        <v>0</v>
      </c>
      <c r="P401" t="n">
        <v>0</v>
      </c>
      <c r="Q401" t="n">
        <v>0</v>
      </c>
      <c r="R401" s="2" t="inlineStr"/>
    </row>
    <row r="402" ht="15" customHeight="1">
      <c r="A402" t="inlineStr">
        <is>
          <t>A 43499-2021</t>
        </is>
      </c>
      <c r="B402" s="1" t="n">
        <v>44433</v>
      </c>
      <c r="C402" s="1" t="n">
        <v>45971</v>
      </c>
      <c r="D402" t="inlineStr">
        <is>
          <t>SÖDERMANLANDS LÄN</t>
        </is>
      </c>
      <c r="E402" t="inlineStr">
        <is>
          <t>KATRINEHOLM</t>
        </is>
      </c>
      <c r="F402" t="inlineStr">
        <is>
          <t>Övriga Aktiebolag</t>
        </is>
      </c>
      <c r="G402" t="n">
        <v>1.4</v>
      </c>
      <c r="H402" t="n">
        <v>0</v>
      </c>
      <c r="I402" t="n">
        <v>0</v>
      </c>
      <c r="J402" t="n">
        <v>0</v>
      </c>
      <c r="K402" t="n">
        <v>0</v>
      </c>
      <c r="L402" t="n">
        <v>0</v>
      </c>
      <c r="M402" t="n">
        <v>0</v>
      </c>
      <c r="N402" t="n">
        <v>0</v>
      </c>
      <c r="O402" t="n">
        <v>0</v>
      </c>
      <c r="P402" t="n">
        <v>0</v>
      </c>
      <c r="Q402" t="n">
        <v>0</v>
      </c>
      <c r="R402" s="2" t="inlineStr"/>
    </row>
    <row r="403" ht="15" customHeight="1">
      <c r="A403" t="inlineStr">
        <is>
          <t>A 53996-2023</t>
        </is>
      </c>
      <c r="B403" s="1" t="n">
        <v>45231</v>
      </c>
      <c r="C403" s="1" t="n">
        <v>45971</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59474-2021</t>
        </is>
      </c>
      <c r="B404" s="1" t="n">
        <v>44491</v>
      </c>
      <c r="C404" s="1" t="n">
        <v>45971</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33790-2024</t>
        </is>
      </c>
      <c r="B405" s="1" t="n">
        <v>45520.59179398148</v>
      </c>
      <c r="C405" s="1" t="n">
        <v>45971</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45971</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45971</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11635-2023</t>
        </is>
      </c>
      <c r="B408" s="1" t="n">
        <v>44994</v>
      </c>
      <c r="C408" s="1" t="n">
        <v>45971</v>
      </c>
      <c r="D408" t="inlineStr">
        <is>
          <t>SÖDERMANLANDS LÄN</t>
        </is>
      </c>
      <c r="E408" t="inlineStr">
        <is>
          <t>KATRINEHOLM</t>
        </is>
      </c>
      <c r="G408" t="n">
        <v>4.3</v>
      </c>
      <c r="H408" t="n">
        <v>0</v>
      </c>
      <c r="I408" t="n">
        <v>0</v>
      </c>
      <c r="J408" t="n">
        <v>0</v>
      </c>
      <c r="K408" t="n">
        <v>0</v>
      </c>
      <c r="L408" t="n">
        <v>0</v>
      </c>
      <c r="M408" t="n">
        <v>0</v>
      </c>
      <c r="N408" t="n">
        <v>0</v>
      </c>
      <c r="O408" t="n">
        <v>0</v>
      </c>
      <c r="P408" t="n">
        <v>0</v>
      </c>
      <c r="Q408" t="n">
        <v>0</v>
      </c>
      <c r="R408" s="2" t="inlineStr"/>
    </row>
    <row r="409" ht="15" customHeight="1">
      <c r="A409" t="inlineStr">
        <is>
          <t>A 65485-2020</t>
        </is>
      </c>
      <c r="B409" s="1" t="n">
        <v>44173</v>
      </c>
      <c r="C409" s="1" t="n">
        <v>45971</v>
      </c>
      <c r="D409" t="inlineStr">
        <is>
          <t>SÖDERMANLANDS LÄN</t>
        </is>
      </c>
      <c r="E409" t="inlineStr">
        <is>
          <t>KATRINEHOLM</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47456-2022</t>
        </is>
      </c>
      <c r="B410" s="1" t="n">
        <v>44852</v>
      </c>
      <c r="C410" s="1" t="n">
        <v>45971</v>
      </c>
      <c r="D410" t="inlineStr">
        <is>
          <t>SÖDERMANLANDS LÄN</t>
        </is>
      </c>
      <c r="E410" t="inlineStr">
        <is>
          <t>KATRINEHOLM</t>
        </is>
      </c>
      <c r="G410" t="n">
        <v>3.7</v>
      </c>
      <c r="H410" t="n">
        <v>0</v>
      </c>
      <c r="I410" t="n">
        <v>0</v>
      </c>
      <c r="J410" t="n">
        <v>0</v>
      </c>
      <c r="K410" t="n">
        <v>0</v>
      </c>
      <c r="L410" t="n">
        <v>0</v>
      </c>
      <c r="M410" t="n">
        <v>0</v>
      </c>
      <c r="N410" t="n">
        <v>0</v>
      </c>
      <c r="O410" t="n">
        <v>0</v>
      </c>
      <c r="P410" t="n">
        <v>0</v>
      </c>
      <c r="Q410" t="n">
        <v>0</v>
      </c>
      <c r="R410" s="2" t="inlineStr"/>
    </row>
    <row r="411" ht="15" customHeight="1">
      <c r="A411" t="inlineStr">
        <is>
          <t>A 10932-2023</t>
        </is>
      </c>
      <c r="B411" s="1" t="n">
        <v>44985</v>
      </c>
      <c r="C411" s="1" t="n">
        <v>45971</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23347-2023</t>
        </is>
      </c>
      <c r="B412" s="1" t="n">
        <v>45076</v>
      </c>
      <c r="C412" s="1" t="n">
        <v>45971</v>
      </c>
      <c r="D412" t="inlineStr">
        <is>
          <t>SÖDERMANLANDS LÄN</t>
        </is>
      </c>
      <c r="E412" t="inlineStr">
        <is>
          <t>KATRINEHOLM</t>
        </is>
      </c>
      <c r="G412" t="n">
        <v>4.3</v>
      </c>
      <c r="H412" t="n">
        <v>0</v>
      </c>
      <c r="I412" t="n">
        <v>0</v>
      </c>
      <c r="J412" t="n">
        <v>0</v>
      </c>
      <c r="K412" t="n">
        <v>0</v>
      </c>
      <c r="L412" t="n">
        <v>0</v>
      </c>
      <c r="M412" t="n">
        <v>0</v>
      </c>
      <c r="N412" t="n">
        <v>0</v>
      </c>
      <c r="O412" t="n">
        <v>0</v>
      </c>
      <c r="P412" t="n">
        <v>0</v>
      </c>
      <c r="Q412" t="n">
        <v>0</v>
      </c>
      <c r="R412" s="2" t="inlineStr"/>
    </row>
    <row r="413" ht="15" customHeight="1">
      <c r="A413" t="inlineStr">
        <is>
          <t>A 74354-2021</t>
        </is>
      </c>
      <c r="B413" s="1" t="n">
        <v>44559.57041666667</v>
      </c>
      <c r="C413" s="1" t="n">
        <v>45971</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16605-2025</t>
        </is>
      </c>
      <c r="B414" s="1" t="n">
        <v>45753.61614583333</v>
      </c>
      <c r="C414" s="1" t="n">
        <v>45971</v>
      </c>
      <c r="D414" t="inlineStr">
        <is>
          <t>SÖDERMANLANDS LÄN</t>
        </is>
      </c>
      <c r="E414" t="inlineStr">
        <is>
          <t>KATRINEHOLM</t>
        </is>
      </c>
      <c r="G414" t="n">
        <v>5.2</v>
      </c>
      <c r="H414" t="n">
        <v>0</v>
      </c>
      <c r="I414" t="n">
        <v>0</v>
      </c>
      <c r="J414" t="n">
        <v>0</v>
      </c>
      <c r="K414" t="n">
        <v>0</v>
      </c>
      <c r="L414" t="n">
        <v>0</v>
      </c>
      <c r="M414" t="n">
        <v>0</v>
      </c>
      <c r="N414" t="n">
        <v>0</v>
      </c>
      <c r="O414" t="n">
        <v>0</v>
      </c>
      <c r="P414" t="n">
        <v>0</v>
      </c>
      <c r="Q414" t="n">
        <v>0</v>
      </c>
      <c r="R414" s="2" t="inlineStr"/>
    </row>
    <row r="415" ht="15" customHeight="1">
      <c r="A415" t="inlineStr">
        <is>
          <t>A 52348-2021</t>
        </is>
      </c>
      <c r="B415" s="1" t="n">
        <v>44464.49756944444</v>
      </c>
      <c r="C415" s="1" t="n">
        <v>45971</v>
      </c>
      <c r="D415" t="inlineStr">
        <is>
          <t>SÖDERMANLANDS LÄN</t>
        </is>
      </c>
      <c r="E415" t="inlineStr">
        <is>
          <t>KATRINEHOLM</t>
        </is>
      </c>
      <c r="G415" t="n">
        <v>1.5</v>
      </c>
      <c r="H415" t="n">
        <v>0</v>
      </c>
      <c r="I415" t="n">
        <v>0</v>
      </c>
      <c r="J415" t="n">
        <v>0</v>
      </c>
      <c r="K415" t="n">
        <v>0</v>
      </c>
      <c r="L415" t="n">
        <v>0</v>
      </c>
      <c r="M415" t="n">
        <v>0</v>
      </c>
      <c r="N415" t="n">
        <v>0</v>
      </c>
      <c r="O415" t="n">
        <v>0</v>
      </c>
      <c r="P415" t="n">
        <v>0</v>
      </c>
      <c r="Q415" t="n">
        <v>0</v>
      </c>
      <c r="R415" s="2" t="inlineStr"/>
    </row>
    <row r="416" ht="15" customHeight="1">
      <c r="A416" t="inlineStr">
        <is>
          <t>A 39645-2025</t>
        </is>
      </c>
      <c r="B416" s="1" t="n">
        <v>45890</v>
      </c>
      <c r="C416" s="1" t="n">
        <v>45971</v>
      </c>
      <c r="D416" t="inlineStr">
        <is>
          <t>SÖDERMANLANDS LÄN</t>
        </is>
      </c>
      <c r="E416" t="inlineStr">
        <is>
          <t>KATRINEHOLM</t>
        </is>
      </c>
      <c r="G416" t="n">
        <v>0.2</v>
      </c>
      <c r="H416" t="n">
        <v>0</v>
      </c>
      <c r="I416" t="n">
        <v>0</v>
      </c>
      <c r="J416" t="n">
        <v>0</v>
      </c>
      <c r="K416" t="n">
        <v>0</v>
      </c>
      <c r="L416" t="n">
        <v>0</v>
      </c>
      <c r="M416" t="n">
        <v>0</v>
      </c>
      <c r="N416" t="n">
        <v>0</v>
      </c>
      <c r="O416" t="n">
        <v>0</v>
      </c>
      <c r="P416" t="n">
        <v>0</v>
      </c>
      <c r="Q416" t="n">
        <v>0</v>
      </c>
      <c r="R416" s="2" t="inlineStr"/>
    </row>
    <row r="417" ht="15" customHeight="1">
      <c r="A417" t="inlineStr">
        <is>
          <t>A 6087-2022</t>
        </is>
      </c>
      <c r="B417" s="1" t="n">
        <v>44599.61034722222</v>
      </c>
      <c r="C417" s="1" t="n">
        <v>45971</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8957-2024</t>
        </is>
      </c>
      <c r="B418" s="1" t="n">
        <v>45357.45089120371</v>
      </c>
      <c r="C418" s="1" t="n">
        <v>45971</v>
      </c>
      <c r="D418" t="inlineStr">
        <is>
          <t>SÖDERMANLANDS LÄN</t>
        </is>
      </c>
      <c r="E418" t="inlineStr">
        <is>
          <t>KATRINEHOLM</t>
        </is>
      </c>
      <c r="G418" t="n">
        <v>3.6</v>
      </c>
      <c r="H418" t="n">
        <v>0</v>
      </c>
      <c r="I418" t="n">
        <v>0</v>
      </c>
      <c r="J418" t="n">
        <v>0</v>
      </c>
      <c r="K418" t="n">
        <v>0</v>
      </c>
      <c r="L418" t="n">
        <v>0</v>
      </c>
      <c r="M418" t="n">
        <v>0</v>
      </c>
      <c r="N418" t="n">
        <v>0</v>
      </c>
      <c r="O418" t="n">
        <v>0</v>
      </c>
      <c r="P418" t="n">
        <v>0</v>
      </c>
      <c r="Q418" t="n">
        <v>0</v>
      </c>
      <c r="R418" s="2" t="inlineStr"/>
    </row>
    <row r="419" ht="15" customHeight="1">
      <c r="A419" t="inlineStr">
        <is>
          <t>A 33141-2023</t>
        </is>
      </c>
      <c r="B419" s="1" t="n">
        <v>45126.65491898148</v>
      </c>
      <c r="C419" s="1" t="n">
        <v>45971</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56628-2021</t>
        </is>
      </c>
      <c r="B420" s="1" t="n">
        <v>44480</v>
      </c>
      <c r="C420" s="1" t="n">
        <v>45971</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45438-2021</t>
        </is>
      </c>
      <c r="B421" s="1" t="n">
        <v>44440</v>
      </c>
      <c r="C421" s="1" t="n">
        <v>45971</v>
      </c>
      <c r="D421" t="inlineStr">
        <is>
          <t>SÖDERMANLANDS LÄN</t>
        </is>
      </c>
      <c r="E421" t="inlineStr">
        <is>
          <t>KATRINEHOLM</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58528-2024</t>
        </is>
      </c>
      <c r="B422" s="1" t="n">
        <v>45635.44527777778</v>
      </c>
      <c r="C422" s="1" t="n">
        <v>45971</v>
      </c>
      <c r="D422" t="inlineStr">
        <is>
          <t>SÖDERMANLANDS LÄN</t>
        </is>
      </c>
      <c r="E422" t="inlineStr">
        <is>
          <t>KATRINEHOLM</t>
        </is>
      </c>
      <c r="G422" t="n">
        <v>2.4</v>
      </c>
      <c r="H422" t="n">
        <v>0</v>
      </c>
      <c r="I422" t="n">
        <v>0</v>
      </c>
      <c r="J422" t="n">
        <v>0</v>
      </c>
      <c r="K422" t="n">
        <v>0</v>
      </c>
      <c r="L422" t="n">
        <v>0</v>
      </c>
      <c r="M422" t="n">
        <v>0</v>
      </c>
      <c r="N422" t="n">
        <v>0</v>
      </c>
      <c r="O422" t="n">
        <v>0</v>
      </c>
      <c r="P422" t="n">
        <v>0</v>
      </c>
      <c r="Q422" t="n">
        <v>0</v>
      </c>
      <c r="R422" s="2" t="inlineStr"/>
    </row>
    <row r="423" ht="15" customHeight="1">
      <c r="A423" t="inlineStr">
        <is>
          <t>A 9899-2023</t>
        </is>
      </c>
      <c r="B423" s="1" t="n">
        <v>44985</v>
      </c>
      <c r="C423" s="1" t="n">
        <v>45971</v>
      </c>
      <c r="D423" t="inlineStr">
        <is>
          <t>SÖDERMANLANDS LÄN</t>
        </is>
      </c>
      <c r="E423" t="inlineStr">
        <is>
          <t>KATRINEHOLM</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42896-2024</t>
        </is>
      </c>
      <c r="B424" s="1" t="n">
        <v>45566.82973379629</v>
      </c>
      <c r="C424" s="1" t="n">
        <v>45971</v>
      </c>
      <c r="D424" t="inlineStr">
        <is>
          <t>SÖDERMANLANDS LÄN</t>
        </is>
      </c>
      <c r="E424" t="inlineStr">
        <is>
          <t>KATRINEHOLM</t>
        </is>
      </c>
      <c r="G424" t="n">
        <v>4.3</v>
      </c>
      <c r="H424" t="n">
        <v>0</v>
      </c>
      <c r="I424" t="n">
        <v>0</v>
      </c>
      <c r="J424" t="n">
        <v>0</v>
      </c>
      <c r="K424" t="n">
        <v>0</v>
      </c>
      <c r="L424" t="n">
        <v>0</v>
      </c>
      <c r="M424" t="n">
        <v>0</v>
      </c>
      <c r="N424" t="n">
        <v>0</v>
      </c>
      <c r="O424" t="n">
        <v>0</v>
      </c>
      <c r="P424" t="n">
        <v>0</v>
      </c>
      <c r="Q424" t="n">
        <v>0</v>
      </c>
      <c r="R424" s="2" t="inlineStr"/>
    </row>
    <row r="425" ht="15" customHeight="1">
      <c r="A425" t="inlineStr">
        <is>
          <t>A 50061-2022</t>
        </is>
      </c>
      <c r="B425" s="1" t="n">
        <v>44865</v>
      </c>
      <c r="C425" s="1" t="n">
        <v>45971</v>
      </c>
      <c r="D425" t="inlineStr">
        <is>
          <t>SÖDERMANLANDS LÄN</t>
        </is>
      </c>
      <c r="E425" t="inlineStr">
        <is>
          <t>KATRINEHOLM</t>
        </is>
      </c>
      <c r="G425" t="n">
        <v>4.9</v>
      </c>
      <c r="H425" t="n">
        <v>0</v>
      </c>
      <c r="I425" t="n">
        <v>0</v>
      </c>
      <c r="J425" t="n">
        <v>0</v>
      </c>
      <c r="K425" t="n">
        <v>0</v>
      </c>
      <c r="L425" t="n">
        <v>0</v>
      </c>
      <c r="M425" t="n">
        <v>0</v>
      </c>
      <c r="N425" t="n">
        <v>0</v>
      </c>
      <c r="O425" t="n">
        <v>0</v>
      </c>
      <c r="P425" t="n">
        <v>0</v>
      </c>
      <c r="Q425" t="n">
        <v>0</v>
      </c>
      <c r="R425" s="2" t="inlineStr"/>
    </row>
    <row r="426" ht="15" customHeight="1">
      <c r="A426" t="inlineStr">
        <is>
          <t>A 10446-2024</t>
        </is>
      </c>
      <c r="B426" s="1" t="n">
        <v>45366</v>
      </c>
      <c r="C426" s="1" t="n">
        <v>45971</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7747-2024</t>
        </is>
      </c>
      <c r="B427" s="1" t="n">
        <v>45348</v>
      </c>
      <c r="C427" s="1" t="n">
        <v>45971</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7753-2024</t>
        </is>
      </c>
      <c r="B428" s="1" t="n">
        <v>45348</v>
      </c>
      <c r="C428" s="1" t="n">
        <v>45971</v>
      </c>
      <c r="D428" t="inlineStr">
        <is>
          <t>SÖDERMANLANDS LÄN</t>
        </is>
      </c>
      <c r="E428" t="inlineStr">
        <is>
          <t>KATRINEHOLM</t>
        </is>
      </c>
      <c r="G428" t="n">
        <v>13.4</v>
      </c>
      <c r="H428" t="n">
        <v>0</v>
      </c>
      <c r="I428" t="n">
        <v>0</v>
      </c>
      <c r="J428" t="n">
        <v>0</v>
      </c>
      <c r="K428" t="n">
        <v>0</v>
      </c>
      <c r="L428" t="n">
        <v>0</v>
      </c>
      <c r="M428" t="n">
        <v>0</v>
      </c>
      <c r="N428" t="n">
        <v>0</v>
      </c>
      <c r="O428" t="n">
        <v>0</v>
      </c>
      <c r="P428" t="n">
        <v>0</v>
      </c>
      <c r="Q428" t="n">
        <v>0</v>
      </c>
      <c r="R428" s="2" t="inlineStr"/>
    </row>
    <row r="429" ht="15" customHeight="1">
      <c r="A429" t="inlineStr">
        <is>
          <t>A 5935-2023</t>
        </is>
      </c>
      <c r="B429" s="1" t="n">
        <v>44963</v>
      </c>
      <c r="C429" s="1" t="n">
        <v>45971</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8288-2023</t>
        </is>
      </c>
      <c r="B430" s="1" t="n">
        <v>44974</v>
      </c>
      <c r="C430" s="1" t="n">
        <v>45971</v>
      </c>
      <c r="D430" t="inlineStr">
        <is>
          <t>SÖDERMANLANDS LÄN</t>
        </is>
      </c>
      <c r="E430" t="inlineStr">
        <is>
          <t>KATRINEHOLM</t>
        </is>
      </c>
      <c r="F430" t="inlineStr">
        <is>
          <t>Allmännings- och besparingsskogar</t>
        </is>
      </c>
      <c r="G430" t="n">
        <v>5.6</v>
      </c>
      <c r="H430" t="n">
        <v>0</v>
      </c>
      <c r="I430" t="n">
        <v>0</v>
      </c>
      <c r="J430" t="n">
        <v>0</v>
      </c>
      <c r="K430" t="n">
        <v>0</v>
      </c>
      <c r="L430" t="n">
        <v>0</v>
      </c>
      <c r="M430" t="n">
        <v>0</v>
      </c>
      <c r="N430" t="n">
        <v>0</v>
      </c>
      <c r="O430" t="n">
        <v>0</v>
      </c>
      <c r="P430" t="n">
        <v>0</v>
      </c>
      <c r="Q430" t="n">
        <v>0</v>
      </c>
      <c r="R430" s="2" t="inlineStr"/>
    </row>
    <row r="431" ht="15" customHeight="1">
      <c r="A431" t="inlineStr">
        <is>
          <t>A 3317-2023</t>
        </is>
      </c>
      <c r="B431" s="1" t="n">
        <v>44945</v>
      </c>
      <c r="C431" s="1" t="n">
        <v>45971</v>
      </c>
      <c r="D431" t="inlineStr">
        <is>
          <t>SÖDERMANLANDS LÄN</t>
        </is>
      </c>
      <c r="E431" t="inlineStr">
        <is>
          <t>KATRINEHOLM</t>
        </is>
      </c>
      <c r="G431" t="n">
        <v>3.2</v>
      </c>
      <c r="H431" t="n">
        <v>0</v>
      </c>
      <c r="I431" t="n">
        <v>0</v>
      </c>
      <c r="J431" t="n">
        <v>0</v>
      </c>
      <c r="K431" t="n">
        <v>0</v>
      </c>
      <c r="L431" t="n">
        <v>0</v>
      </c>
      <c r="M431" t="n">
        <v>0</v>
      </c>
      <c r="N431" t="n">
        <v>0</v>
      </c>
      <c r="O431" t="n">
        <v>0</v>
      </c>
      <c r="P431" t="n">
        <v>0</v>
      </c>
      <c r="Q431" t="n">
        <v>0</v>
      </c>
      <c r="R431" s="2" t="inlineStr"/>
    </row>
    <row r="432" ht="15" customHeight="1">
      <c r="A432" t="inlineStr">
        <is>
          <t>A 37185-2023</t>
        </is>
      </c>
      <c r="B432" s="1" t="n">
        <v>45154</v>
      </c>
      <c r="C432" s="1" t="n">
        <v>45971</v>
      </c>
      <c r="D432" t="inlineStr">
        <is>
          <t>SÖDERMANLANDS LÄN</t>
        </is>
      </c>
      <c r="E432" t="inlineStr">
        <is>
          <t>KATRINEHOLM</t>
        </is>
      </c>
      <c r="G432" t="n">
        <v>3</v>
      </c>
      <c r="H432" t="n">
        <v>0</v>
      </c>
      <c r="I432" t="n">
        <v>0</v>
      </c>
      <c r="J432" t="n">
        <v>0</v>
      </c>
      <c r="K432" t="n">
        <v>0</v>
      </c>
      <c r="L432" t="n">
        <v>0</v>
      </c>
      <c r="M432" t="n">
        <v>0</v>
      </c>
      <c r="N432" t="n">
        <v>0</v>
      </c>
      <c r="O432" t="n">
        <v>0</v>
      </c>
      <c r="P432" t="n">
        <v>0</v>
      </c>
      <c r="Q432" t="n">
        <v>0</v>
      </c>
      <c r="R432" s="2" t="inlineStr"/>
    </row>
    <row r="433" ht="15" customHeight="1">
      <c r="A433" t="inlineStr">
        <is>
          <t>A 51848-2022</t>
        </is>
      </c>
      <c r="B433" s="1" t="n">
        <v>44872.57752314815</v>
      </c>
      <c r="C433" s="1" t="n">
        <v>45971</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10732-2022</t>
        </is>
      </c>
      <c r="B434" s="1" t="n">
        <v>44627.34033564815</v>
      </c>
      <c r="C434" s="1" t="n">
        <v>45971</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61167-2020</t>
        </is>
      </c>
      <c r="B435" s="1" t="n">
        <v>44155</v>
      </c>
      <c r="C435" s="1" t="n">
        <v>45971</v>
      </c>
      <c r="D435" t="inlineStr">
        <is>
          <t>SÖDERMANLANDS LÄN</t>
        </is>
      </c>
      <c r="E435" t="inlineStr">
        <is>
          <t>KATRINEHOLM</t>
        </is>
      </c>
      <c r="G435" t="n">
        <v>3.8</v>
      </c>
      <c r="H435" t="n">
        <v>0</v>
      </c>
      <c r="I435" t="n">
        <v>0</v>
      </c>
      <c r="J435" t="n">
        <v>0</v>
      </c>
      <c r="K435" t="n">
        <v>0</v>
      </c>
      <c r="L435" t="n">
        <v>0</v>
      </c>
      <c r="M435" t="n">
        <v>0</v>
      </c>
      <c r="N435" t="n">
        <v>0</v>
      </c>
      <c r="O435" t="n">
        <v>0</v>
      </c>
      <c r="P435" t="n">
        <v>0</v>
      </c>
      <c r="Q435" t="n">
        <v>0</v>
      </c>
      <c r="R435" s="2" t="inlineStr"/>
    </row>
    <row r="436" ht="15" customHeight="1">
      <c r="A436" t="inlineStr">
        <is>
          <t>A 53860-2021</t>
        </is>
      </c>
      <c r="B436" s="1" t="n">
        <v>44467</v>
      </c>
      <c r="C436" s="1" t="n">
        <v>45971</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49218-2023</t>
        </is>
      </c>
      <c r="B437" s="1" t="n">
        <v>45205</v>
      </c>
      <c r="C437" s="1" t="n">
        <v>45971</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23842-2023</t>
        </is>
      </c>
      <c r="B438" s="1" t="n">
        <v>45075</v>
      </c>
      <c r="C438" s="1" t="n">
        <v>45971</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34263-2023</t>
        </is>
      </c>
      <c r="B439" s="1" t="n">
        <v>45138.60248842592</v>
      </c>
      <c r="C439" s="1" t="n">
        <v>45971</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59308-2020</t>
        </is>
      </c>
      <c r="B440" s="1" t="n">
        <v>44147</v>
      </c>
      <c r="C440" s="1" t="n">
        <v>45971</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58958-2020</t>
        </is>
      </c>
      <c r="B441" s="1" t="n">
        <v>44146</v>
      </c>
      <c r="C441" s="1" t="n">
        <v>45971</v>
      </c>
      <c r="D441" t="inlineStr">
        <is>
          <t>SÖDERMANLANDS LÄN</t>
        </is>
      </c>
      <c r="E441" t="inlineStr">
        <is>
          <t>KATRINEHOLM</t>
        </is>
      </c>
      <c r="F441" t="inlineStr">
        <is>
          <t>Holmen skog AB</t>
        </is>
      </c>
      <c r="G441" t="n">
        <v>0.2</v>
      </c>
      <c r="H441" t="n">
        <v>0</v>
      </c>
      <c r="I441" t="n">
        <v>0</v>
      </c>
      <c r="J441" t="n">
        <v>0</v>
      </c>
      <c r="K441" t="n">
        <v>0</v>
      </c>
      <c r="L441" t="n">
        <v>0</v>
      </c>
      <c r="M441" t="n">
        <v>0</v>
      </c>
      <c r="N441" t="n">
        <v>0</v>
      </c>
      <c r="O441" t="n">
        <v>0</v>
      </c>
      <c r="P441" t="n">
        <v>0</v>
      </c>
      <c r="Q441" t="n">
        <v>0</v>
      </c>
      <c r="R441" s="2" t="inlineStr"/>
    </row>
    <row r="442" ht="15" customHeight="1">
      <c r="A442" t="inlineStr">
        <is>
          <t>A 46899-2022</t>
        </is>
      </c>
      <c r="B442" s="1" t="n">
        <v>44848</v>
      </c>
      <c r="C442" s="1" t="n">
        <v>45971</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3939-2022</t>
        </is>
      </c>
      <c r="B443" s="1" t="n">
        <v>44587</v>
      </c>
      <c r="C443" s="1" t="n">
        <v>45971</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56074-2022</t>
        </is>
      </c>
      <c r="B444" s="1" t="n">
        <v>44889</v>
      </c>
      <c r="C444" s="1" t="n">
        <v>45971</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c r="T444">
        <f>HYPERLINK("https://klasma.github.io/Logging_0483/kartor/A 56074-2022 karta.png", "A 56074-2022")</f>
        <v/>
      </c>
      <c r="V444">
        <f>HYPERLINK("https://klasma.github.io/Logging_0483/klagomål/A 56074-2022 FSC-klagomål.docx", "A 56074-2022")</f>
        <v/>
      </c>
      <c r="W444">
        <f>HYPERLINK("https://klasma.github.io/Logging_0483/klagomålsmail/A 56074-2022 FSC-klagomål mail.docx", "A 56074-2022")</f>
        <v/>
      </c>
      <c r="X444">
        <f>HYPERLINK("https://klasma.github.io/Logging_0483/tillsyn/A 56074-2022 tillsynsbegäran.docx", "A 56074-2022")</f>
        <v/>
      </c>
      <c r="Y444">
        <f>HYPERLINK("https://klasma.github.io/Logging_0483/tillsynsmail/A 56074-2022 tillsynsbegäran mail.docx", "A 56074-2022")</f>
        <v/>
      </c>
    </row>
    <row r="445" ht="15" customHeight="1">
      <c r="A445" t="inlineStr">
        <is>
          <t>A 55296-2022</t>
        </is>
      </c>
      <c r="B445" s="1" t="n">
        <v>44887</v>
      </c>
      <c r="C445" s="1" t="n">
        <v>45971</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55169-2022</t>
        </is>
      </c>
      <c r="B446" s="1" t="n">
        <v>44886</v>
      </c>
      <c r="C446" s="1" t="n">
        <v>45971</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1329-2025</t>
        </is>
      </c>
      <c r="B447" s="1" t="n">
        <v>45667</v>
      </c>
      <c r="C447" s="1" t="n">
        <v>45971</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61915-2021</t>
        </is>
      </c>
      <c r="B448" s="1" t="n">
        <v>44502.36780092592</v>
      </c>
      <c r="C448" s="1" t="n">
        <v>45971</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57524-2021</t>
        </is>
      </c>
      <c r="B449" s="1" t="n">
        <v>44483</v>
      </c>
      <c r="C449" s="1" t="n">
        <v>45971</v>
      </c>
      <c r="D449" t="inlineStr">
        <is>
          <t>SÖDERMANLANDS LÄN</t>
        </is>
      </c>
      <c r="E449" t="inlineStr">
        <is>
          <t>KATRINEHOLM</t>
        </is>
      </c>
      <c r="G449" t="n">
        <v>0.4</v>
      </c>
      <c r="H449" t="n">
        <v>0</v>
      </c>
      <c r="I449" t="n">
        <v>0</v>
      </c>
      <c r="J449" t="n">
        <v>0</v>
      </c>
      <c r="K449" t="n">
        <v>0</v>
      </c>
      <c r="L449" t="n">
        <v>0</v>
      </c>
      <c r="M449" t="n">
        <v>0</v>
      </c>
      <c r="N449" t="n">
        <v>0</v>
      </c>
      <c r="O449" t="n">
        <v>0</v>
      </c>
      <c r="P449" t="n">
        <v>0</v>
      </c>
      <c r="Q449" t="n">
        <v>0</v>
      </c>
      <c r="R449" s="2" t="inlineStr"/>
    </row>
    <row r="450" ht="15" customHeight="1">
      <c r="A450" t="inlineStr">
        <is>
          <t>A 61398-2024</t>
        </is>
      </c>
      <c r="B450" s="1" t="n">
        <v>45646.42608796297</v>
      </c>
      <c r="C450" s="1" t="n">
        <v>45971</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931-2023</t>
        </is>
      </c>
      <c r="B451" s="1" t="n">
        <v>44932.74261574074</v>
      </c>
      <c r="C451" s="1" t="n">
        <v>45971</v>
      </c>
      <c r="D451" t="inlineStr">
        <is>
          <t>SÖDERMANLANDS LÄN</t>
        </is>
      </c>
      <c r="E451" t="inlineStr">
        <is>
          <t>KATRINEHOLM</t>
        </is>
      </c>
      <c r="G451" t="n">
        <v>4</v>
      </c>
      <c r="H451" t="n">
        <v>0</v>
      </c>
      <c r="I451" t="n">
        <v>0</v>
      </c>
      <c r="J451" t="n">
        <v>0</v>
      </c>
      <c r="K451" t="n">
        <v>0</v>
      </c>
      <c r="L451" t="n">
        <v>0</v>
      </c>
      <c r="M451" t="n">
        <v>0</v>
      </c>
      <c r="N451" t="n">
        <v>0</v>
      </c>
      <c r="O451" t="n">
        <v>0</v>
      </c>
      <c r="P451" t="n">
        <v>0</v>
      </c>
      <c r="Q451" t="n">
        <v>0</v>
      </c>
      <c r="R451" s="2" t="inlineStr"/>
    </row>
    <row r="452" ht="15" customHeight="1">
      <c r="A452" t="inlineStr">
        <is>
          <t>A 55171-2023</t>
        </is>
      </c>
      <c r="B452" s="1" t="n">
        <v>45231</v>
      </c>
      <c r="C452" s="1" t="n">
        <v>45971</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39663-2025</t>
        </is>
      </c>
      <c r="B453" s="1" t="n">
        <v>45890</v>
      </c>
      <c r="C453" s="1" t="n">
        <v>45971</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24287-2024</t>
        </is>
      </c>
      <c r="B454" s="1" t="n">
        <v>45457</v>
      </c>
      <c r="C454" s="1" t="n">
        <v>45971</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8518-2023</t>
        </is>
      </c>
      <c r="B455" s="1" t="n">
        <v>44977</v>
      </c>
      <c r="C455" s="1" t="n">
        <v>45971</v>
      </c>
      <c r="D455" t="inlineStr">
        <is>
          <t>SÖDERMANLANDS LÄN</t>
        </is>
      </c>
      <c r="E455" t="inlineStr">
        <is>
          <t>KATRINEHOLM</t>
        </is>
      </c>
      <c r="F455" t="inlineStr">
        <is>
          <t>Allmännings- och besparingsskogar</t>
        </is>
      </c>
      <c r="G455" t="n">
        <v>35.3</v>
      </c>
      <c r="H455" t="n">
        <v>0</v>
      </c>
      <c r="I455" t="n">
        <v>0</v>
      </c>
      <c r="J455" t="n">
        <v>0</v>
      </c>
      <c r="K455" t="n">
        <v>0</v>
      </c>
      <c r="L455" t="n">
        <v>0</v>
      </c>
      <c r="M455" t="n">
        <v>0</v>
      </c>
      <c r="N455" t="n">
        <v>0</v>
      </c>
      <c r="O455" t="n">
        <v>0</v>
      </c>
      <c r="P455" t="n">
        <v>0</v>
      </c>
      <c r="Q455" t="n">
        <v>0</v>
      </c>
      <c r="R455" s="2" t="inlineStr"/>
    </row>
    <row r="456" ht="15" customHeight="1">
      <c r="A456" t="inlineStr">
        <is>
          <t>A 48030-2022</t>
        </is>
      </c>
      <c r="B456" s="1" t="n">
        <v>44855</v>
      </c>
      <c r="C456" s="1" t="n">
        <v>45971</v>
      </c>
      <c r="D456" t="inlineStr">
        <is>
          <t>SÖDERMANLANDS LÄN</t>
        </is>
      </c>
      <c r="E456" t="inlineStr">
        <is>
          <t>KATRINEHOLM</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53393-2023</t>
        </is>
      </c>
      <c r="B457" s="1" t="n">
        <v>45229</v>
      </c>
      <c r="C457" s="1" t="n">
        <v>45971</v>
      </c>
      <c r="D457" t="inlineStr">
        <is>
          <t>SÖDERMANLANDS LÄN</t>
        </is>
      </c>
      <c r="E457" t="inlineStr">
        <is>
          <t>KATRINEHOLM</t>
        </is>
      </c>
      <c r="F457" t="inlineStr">
        <is>
          <t>Kyrkan</t>
        </is>
      </c>
      <c r="G457" t="n">
        <v>5.6</v>
      </c>
      <c r="H457" t="n">
        <v>0</v>
      </c>
      <c r="I457" t="n">
        <v>0</v>
      </c>
      <c r="J457" t="n">
        <v>0</v>
      </c>
      <c r="K457" t="n">
        <v>0</v>
      </c>
      <c r="L457" t="n">
        <v>0</v>
      </c>
      <c r="M457" t="n">
        <v>0</v>
      </c>
      <c r="N457" t="n">
        <v>0</v>
      </c>
      <c r="O457" t="n">
        <v>0</v>
      </c>
      <c r="P457" t="n">
        <v>0</v>
      </c>
      <c r="Q457" t="n">
        <v>0</v>
      </c>
      <c r="R457" s="2" t="inlineStr"/>
    </row>
    <row r="458" ht="15" customHeight="1">
      <c r="A458" t="inlineStr">
        <is>
          <t>A 39668-2025</t>
        </is>
      </c>
      <c r="B458" s="1" t="n">
        <v>45890</v>
      </c>
      <c r="C458" s="1" t="n">
        <v>45971</v>
      </c>
      <c r="D458" t="inlineStr">
        <is>
          <t>SÖDERMANLANDS LÄN</t>
        </is>
      </c>
      <c r="E458" t="inlineStr">
        <is>
          <t>KATRINEHOLM</t>
        </is>
      </c>
      <c r="G458" t="n">
        <v>2.9</v>
      </c>
      <c r="H458" t="n">
        <v>0</v>
      </c>
      <c r="I458" t="n">
        <v>0</v>
      </c>
      <c r="J458" t="n">
        <v>0</v>
      </c>
      <c r="K458" t="n">
        <v>0</v>
      </c>
      <c r="L458" t="n">
        <v>0</v>
      </c>
      <c r="M458" t="n">
        <v>0</v>
      </c>
      <c r="N458" t="n">
        <v>0</v>
      </c>
      <c r="O458" t="n">
        <v>0</v>
      </c>
      <c r="P458" t="n">
        <v>0</v>
      </c>
      <c r="Q458" t="n">
        <v>0</v>
      </c>
      <c r="R458" s="2" t="inlineStr"/>
    </row>
    <row r="459" ht="15" customHeight="1">
      <c r="A459" t="inlineStr">
        <is>
          <t>A 8917-2024</t>
        </is>
      </c>
      <c r="B459" s="1" t="n">
        <v>45357.37618055556</v>
      </c>
      <c r="C459" s="1" t="n">
        <v>45971</v>
      </c>
      <c r="D459" t="inlineStr">
        <is>
          <t>SÖDERMANLANDS LÄN</t>
        </is>
      </c>
      <c r="E459" t="inlineStr">
        <is>
          <t>KATRINEHOLM</t>
        </is>
      </c>
      <c r="G459" t="n">
        <v>3</v>
      </c>
      <c r="H459" t="n">
        <v>0</v>
      </c>
      <c r="I459" t="n">
        <v>0</v>
      </c>
      <c r="J459" t="n">
        <v>0</v>
      </c>
      <c r="K459" t="n">
        <v>0</v>
      </c>
      <c r="L459" t="n">
        <v>0</v>
      </c>
      <c r="M459" t="n">
        <v>0</v>
      </c>
      <c r="N459" t="n">
        <v>0</v>
      </c>
      <c r="O459" t="n">
        <v>0</v>
      </c>
      <c r="P459" t="n">
        <v>0</v>
      </c>
      <c r="Q459" t="n">
        <v>0</v>
      </c>
      <c r="R459" s="2" t="inlineStr"/>
    </row>
    <row r="460" ht="15" customHeight="1">
      <c r="A460" t="inlineStr">
        <is>
          <t>A 4656-2023</t>
        </is>
      </c>
      <c r="B460" s="1" t="n">
        <v>44957</v>
      </c>
      <c r="C460" s="1" t="n">
        <v>45971</v>
      </c>
      <c r="D460" t="inlineStr">
        <is>
          <t>SÖDERMANLANDS LÄN</t>
        </is>
      </c>
      <c r="E460" t="inlineStr">
        <is>
          <t>KATRINEHOLM</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59093-2024</t>
        </is>
      </c>
      <c r="B461" s="1" t="n">
        <v>45636</v>
      </c>
      <c r="C461" s="1" t="n">
        <v>45971</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948-2023</t>
        </is>
      </c>
      <c r="B462" s="1" t="n">
        <v>44934</v>
      </c>
      <c r="C462" s="1" t="n">
        <v>45971</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37542-2022</t>
        </is>
      </c>
      <c r="B463" s="1" t="n">
        <v>44809</v>
      </c>
      <c r="C463" s="1" t="n">
        <v>45971</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41229-2022</t>
        </is>
      </c>
      <c r="B464" s="1" t="n">
        <v>44825</v>
      </c>
      <c r="C464" s="1" t="n">
        <v>45971</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64652-2023</t>
        </is>
      </c>
      <c r="B465" s="1" t="n">
        <v>45281</v>
      </c>
      <c r="C465" s="1" t="n">
        <v>45971</v>
      </c>
      <c r="D465" t="inlineStr">
        <is>
          <t>SÖDERMANLANDS LÄN</t>
        </is>
      </c>
      <c r="E465" t="inlineStr">
        <is>
          <t>KATRINEHOLM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38872-2024</t>
        </is>
      </c>
      <c r="B466" s="1" t="n">
        <v>45547</v>
      </c>
      <c r="C466" s="1" t="n">
        <v>45971</v>
      </c>
      <c r="D466" t="inlineStr">
        <is>
          <t>SÖDERMANLANDS LÄN</t>
        </is>
      </c>
      <c r="E466" t="inlineStr">
        <is>
          <t>KATRINEHOLM</t>
        </is>
      </c>
      <c r="G466" t="n">
        <v>5.7</v>
      </c>
      <c r="H466" t="n">
        <v>0</v>
      </c>
      <c r="I466" t="n">
        <v>0</v>
      </c>
      <c r="J466" t="n">
        <v>0</v>
      </c>
      <c r="K466" t="n">
        <v>0</v>
      </c>
      <c r="L466" t="n">
        <v>0</v>
      </c>
      <c r="M466" t="n">
        <v>0</v>
      </c>
      <c r="N466" t="n">
        <v>0</v>
      </c>
      <c r="O466" t="n">
        <v>0</v>
      </c>
      <c r="P466" t="n">
        <v>0</v>
      </c>
      <c r="Q466" t="n">
        <v>0</v>
      </c>
      <c r="R466" s="2" t="inlineStr"/>
    </row>
    <row r="467" ht="15" customHeight="1">
      <c r="A467" t="inlineStr">
        <is>
          <t>A 23031-2024</t>
        </is>
      </c>
      <c r="B467" s="1" t="n">
        <v>45450.38120370371</v>
      </c>
      <c r="C467" s="1" t="n">
        <v>45971</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69600-2020</t>
        </is>
      </c>
      <c r="B468" s="1" t="n">
        <v>44195</v>
      </c>
      <c r="C468" s="1" t="n">
        <v>45971</v>
      </c>
      <c r="D468" t="inlineStr">
        <is>
          <t>SÖDERMANLANDS LÄN</t>
        </is>
      </c>
      <c r="E468" t="inlineStr">
        <is>
          <t>KATRINEHOLM</t>
        </is>
      </c>
      <c r="G468" t="n">
        <v>11.3</v>
      </c>
      <c r="H468" t="n">
        <v>0</v>
      </c>
      <c r="I468" t="n">
        <v>0</v>
      </c>
      <c r="J468" t="n">
        <v>0</v>
      </c>
      <c r="K468" t="n">
        <v>0</v>
      </c>
      <c r="L468" t="n">
        <v>0</v>
      </c>
      <c r="M468" t="n">
        <v>0</v>
      </c>
      <c r="N468" t="n">
        <v>0</v>
      </c>
      <c r="O468" t="n">
        <v>0</v>
      </c>
      <c r="P468" t="n">
        <v>0</v>
      </c>
      <c r="Q468" t="n">
        <v>0</v>
      </c>
      <c r="R468" s="2" t="inlineStr"/>
    </row>
    <row r="469" ht="15" customHeight="1">
      <c r="A469" t="inlineStr">
        <is>
          <t>A 22506-2023</t>
        </is>
      </c>
      <c r="B469" s="1" t="n">
        <v>45071.37393518518</v>
      </c>
      <c r="C469" s="1" t="n">
        <v>45971</v>
      </c>
      <c r="D469" t="inlineStr">
        <is>
          <t>SÖDERMANLANDS LÄN</t>
        </is>
      </c>
      <c r="E469" t="inlineStr">
        <is>
          <t>KATRINEHOLM</t>
        </is>
      </c>
      <c r="F469" t="inlineStr">
        <is>
          <t>Kyrkan</t>
        </is>
      </c>
      <c r="G469" t="n">
        <v>5.9</v>
      </c>
      <c r="H469" t="n">
        <v>0</v>
      </c>
      <c r="I469" t="n">
        <v>0</v>
      </c>
      <c r="J469" t="n">
        <v>0</v>
      </c>
      <c r="K469" t="n">
        <v>0</v>
      </c>
      <c r="L469" t="n">
        <v>0</v>
      </c>
      <c r="M469" t="n">
        <v>0</v>
      </c>
      <c r="N469" t="n">
        <v>0</v>
      </c>
      <c r="O469" t="n">
        <v>0</v>
      </c>
      <c r="P469" t="n">
        <v>0</v>
      </c>
      <c r="Q469" t="n">
        <v>0</v>
      </c>
      <c r="R469" s="2" t="inlineStr"/>
    </row>
    <row r="470" ht="15" customHeight="1">
      <c r="A470" t="inlineStr">
        <is>
          <t>A 12888-2025</t>
        </is>
      </c>
      <c r="B470" s="1" t="n">
        <v>45733</v>
      </c>
      <c r="C470" s="1" t="n">
        <v>45971</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51404-2023</t>
        </is>
      </c>
      <c r="B471" s="1" t="n">
        <v>45214</v>
      </c>
      <c r="C471" s="1" t="n">
        <v>45971</v>
      </c>
      <c r="D471" t="inlineStr">
        <is>
          <t>SÖDERMANLANDS LÄN</t>
        </is>
      </c>
      <c r="E471" t="inlineStr">
        <is>
          <t>KATRINEHOLM</t>
        </is>
      </c>
      <c r="G471" t="n">
        <v>9</v>
      </c>
      <c r="H471" t="n">
        <v>0</v>
      </c>
      <c r="I471" t="n">
        <v>0</v>
      </c>
      <c r="J471" t="n">
        <v>0</v>
      </c>
      <c r="K471" t="n">
        <v>0</v>
      </c>
      <c r="L471" t="n">
        <v>0</v>
      </c>
      <c r="M471" t="n">
        <v>0</v>
      </c>
      <c r="N471" t="n">
        <v>0</v>
      </c>
      <c r="O471" t="n">
        <v>0</v>
      </c>
      <c r="P471" t="n">
        <v>0</v>
      </c>
      <c r="Q471" t="n">
        <v>0</v>
      </c>
      <c r="R471" s="2" t="inlineStr"/>
    </row>
    <row r="472" ht="15" customHeight="1">
      <c r="A472" t="inlineStr">
        <is>
          <t>A 22345-2023</t>
        </is>
      </c>
      <c r="B472" s="1" t="n">
        <v>45070</v>
      </c>
      <c r="C472" s="1" t="n">
        <v>45971</v>
      </c>
      <c r="D472" t="inlineStr">
        <is>
          <t>SÖDERMANLANDS LÄN</t>
        </is>
      </c>
      <c r="E472" t="inlineStr">
        <is>
          <t>KATRINEHOLM</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41946-2022</t>
        </is>
      </c>
      <c r="B473" s="1" t="n">
        <v>44830.38502314815</v>
      </c>
      <c r="C473" s="1" t="n">
        <v>45971</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3115-2024</t>
        </is>
      </c>
      <c r="B474" s="1" t="n">
        <v>45316.49630787037</v>
      </c>
      <c r="C474" s="1" t="n">
        <v>45971</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9932-2023</t>
        </is>
      </c>
      <c r="B475" s="1" t="n">
        <v>44985.46709490741</v>
      </c>
      <c r="C475" s="1" t="n">
        <v>45971</v>
      </c>
      <c r="D475" t="inlineStr">
        <is>
          <t>SÖDERMANLANDS LÄN</t>
        </is>
      </c>
      <c r="E475" t="inlineStr">
        <is>
          <t>KATRINEHOLM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48877-2022</t>
        </is>
      </c>
      <c r="B476" s="1" t="n">
        <v>44859</v>
      </c>
      <c r="C476" s="1" t="n">
        <v>45971</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61674-2020</t>
        </is>
      </c>
      <c r="B477" s="1" t="n">
        <v>44158</v>
      </c>
      <c r="C477" s="1" t="n">
        <v>45971</v>
      </c>
      <c r="D477" t="inlineStr">
        <is>
          <t>SÖDERMANLANDS LÄN</t>
        </is>
      </c>
      <c r="E477" t="inlineStr">
        <is>
          <t>KATRINEHOLM</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19868-2022</t>
        </is>
      </c>
      <c r="B478" s="1" t="n">
        <v>44696</v>
      </c>
      <c r="C478" s="1" t="n">
        <v>45971</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9192-2023</t>
        </is>
      </c>
      <c r="B479" s="1" t="n">
        <v>44980</v>
      </c>
      <c r="C479" s="1" t="n">
        <v>45971</v>
      </c>
      <c r="D479" t="inlineStr">
        <is>
          <t>SÖDERMANLANDS LÄN</t>
        </is>
      </c>
      <c r="E479" t="inlineStr">
        <is>
          <t>KATRINEHOLM</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15399-2022</t>
        </is>
      </c>
      <c r="B480" s="1" t="n">
        <v>44659</v>
      </c>
      <c r="C480" s="1" t="n">
        <v>45971</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11872-2023</t>
        </is>
      </c>
      <c r="B481" s="1" t="n">
        <v>44995</v>
      </c>
      <c r="C481" s="1" t="n">
        <v>45971</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63188-2021</t>
        </is>
      </c>
      <c r="B482" s="1" t="n">
        <v>44507.56865740741</v>
      </c>
      <c r="C482" s="1" t="n">
        <v>45971</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61431-2024</t>
        </is>
      </c>
      <c r="B483" s="1" t="n">
        <v>45646.45950231481</v>
      </c>
      <c r="C483" s="1" t="n">
        <v>45971</v>
      </c>
      <c r="D483" t="inlineStr">
        <is>
          <t>SÖDERMANLANDS LÄN</t>
        </is>
      </c>
      <c r="E483" t="inlineStr">
        <is>
          <t>KATRINEHOLM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49092-2024</t>
        </is>
      </c>
      <c r="B484" s="1" t="n">
        <v>45594.63619212963</v>
      </c>
      <c r="C484" s="1" t="n">
        <v>45971</v>
      </c>
      <c r="D484" t="inlineStr">
        <is>
          <t>SÖDERMANLANDS LÄN</t>
        </is>
      </c>
      <c r="E484" t="inlineStr">
        <is>
          <t>KATRINEHOLM</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49095-2024</t>
        </is>
      </c>
      <c r="B485" s="1" t="n">
        <v>45594.63828703704</v>
      </c>
      <c r="C485" s="1" t="n">
        <v>45971</v>
      </c>
      <c r="D485" t="inlineStr">
        <is>
          <t>SÖDERMANLANDS LÄN</t>
        </is>
      </c>
      <c r="E485" t="inlineStr">
        <is>
          <t>KATRINEHOLM</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63677-2020</t>
        </is>
      </c>
      <c r="B486" s="1" t="n">
        <v>44166</v>
      </c>
      <c r="C486" s="1" t="n">
        <v>45971</v>
      </c>
      <c r="D486" t="inlineStr">
        <is>
          <t>SÖDERMANLANDS LÄN</t>
        </is>
      </c>
      <c r="E486" t="inlineStr">
        <is>
          <t>KATRINEHOLM</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29843-2023</t>
        </is>
      </c>
      <c r="B487" s="1" t="n">
        <v>45107</v>
      </c>
      <c r="C487" s="1" t="n">
        <v>45971</v>
      </c>
      <c r="D487" t="inlineStr">
        <is>
          <t>SÖDERMANLANDS LÄN</t>
        </is>
      </c>
      <c r="E487" t="inlineStr">
        <is>
          <t>KATRINEHOLM</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44659-2023</t>
        </is>
      </c>
      <c r="B488" s="1" t="n">
        <v>45189</v>
      </c>
      <c r="C488" s="1" t="n">
        <v>45971</v>
      </c>
      <c r="D488" t="inlineStr">
        <is>
          <t>SÖDERMANLANDS LÄN</t>
        </is>
      </c>
      <c r="E488" t="inlineStr">
        <is>
          <t>KATRINEHOLM</t>
        </is>
      </c>
      <c r="G488" t="n">
        <v>3.5</v>
      </c>
      <c r="H488" t="n">
        <v>0</v>
      </c>
      <c r="I488" t="n">
        <v>0</v>
      </c>
      <c r="J488" t="n">
        <v>0</v>
      </c>
      <c r="K488" t="n">
        <v>0</v>
      </c>
      <c r="L488" t="n">
        <v>0</v>
      </c>
      <c r="M488" t="n">
        <v>0</v>
      </c>
      <c r="N488" t="n">
        <v>0</v>
      </c>
      <c r="O488" t="n">
        <v>0</v>
      </c>
      <c r="P488" t="n">
        <v>0</v>
      </c>
      <c r="Q488" t="n">
        <v>0</v>
      </c>
      <c r="R488" s="2" t="inlineStr"/>
    </row>
    <row r="489" ht="15" customHeight="1">
      <c r="A489" t="inlineStr">
        <is>
          <t>A 7254-2021</t>
        </is>
      </c>
      <c r="B489" s="1" t="n">
        <v>44238</v>
      </c>
      <c r="C489" s="1" t="n">
        <v>45971</v>
      </c>
      <c r="D489" t="inlineStr">
        <is>
          <t>SÖDERMANLANDS LÄN</t>
        </is>
      </c>
      <c r="E489" t="inlineStr">
        <is>
          <t>KATRINEHOLM</t>
        </is>
      </c>
      <c r="G489" t="n">
        <v>3.6</v>
      </c>
      <c r="H489" t="n">
        <v>0</v>
      </c>
      <c r="I489" t="n">
        <v>0</v>
      </c>
      <c r="J489" t="n">
        <v>0</v>
      </c>
      <c r="K489" t="n">
        <v>0</v>
      </c>
      <c r="L489" t="n">
        <v>0</v>
      </c>
      <c r="M489" t="n">
        <v>0</v>
      </c>
      <c r="N489" t="n">
        <v>0</v>
      </c>
      <c r="O489" t="n">
        <v>0</v>
      </c>
      <c r="P489" t="n">
        <v>0</v>
      </c>
      <c r="Q489" t="n">
        <v>0</v>
      </c>
      <c r="R489" s="2" t="inlineStr"/>
    </row>
    <row r="490" ht="15" customHeight="1">
      <c r="A490" t="inlineStr">
        <is>
          <t>A 51446-2023</t>
        </is>
      </c>
      <c r="B490" s="1" t="n">
        <v>45220.48068287037</v>
      </c>
      <c r="C490" s="1" t="n">
        <v>45971</v>
      </c>
      <c r="D490" t="inlineStr">
        <is>
          <t>SÖDERMANLANDS LÄN</t>
        </is>
      </c>
      <c r="E490" t="inlineStr">
        <is>
          <t>KATRINEHOLM</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5834-2025</t>
        </is>
      </c>
      <c r="B491" s="1" t="n">
        <v>45694</v>
      </c>
      <c r="C491" s="1" t="n">
        <v>45971</v>
      </c>
      <c r="D491" t="inlineStr">
        <is>
          <t>SÖDERMANLANDS LÄN</t>
        </is>
      </c>
      <c r="E491" t="inlineStr">
        <is>
          <t>KATRINEHOLM</t>
        </is>
      </c>
      <c r="G491" t="n">
        <v>3.3</v>
      </c>
      <c r="H491" t="n">
        <v>0</v>
      </c>
      <c r="I491" t="n">
        <v>0</v>
      </c>
      <c r="J491" t="n">
        <v>0</v>
      </c>
      <c r="K491" t="n">
        <v>0</v>
      </c>
      <c r="L491" t="n">
        <v>0</v>
      </c>
      <c r="M491" t="n">
        <v>0</v>
      </c>
      <c r="N491" t="n">
        <v>0</v>
      </c>
      <c r="O491" t="n">
        <v>0</v>
      </c>
      <c r="P491" t="n">
        <v>0</v>
      </c>
      <c r="Q491" t="n">
        <v>0</v>
      </c>
      <c r="R491" s="2" t="inlineStr"/>
    </row>
    <row r="492" ht="15" customHeight="1">
      <c r="A492" t="inlineStr">
        <is>
          <t>A 39737-2025</t>
        </is>
      </c>
      <c r="B492" s="1" t="n">
        <v>45891</v>
      </c>
      <c r="C492" s="1" t="n">
        <v>45971</v>
      </c>
      <c r="D492" t="inlineStr">
        <is>
          <t>SÖDERMANLANDS LÄN</t>
        </is>
      </c>
      <c r="E492" t="inlineStr">
        <is>
          <t>KATRINEHOLM</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27955-2023</t>
        </is>
      </c>
      <c r="B493" s="1" t="n">
        <v>45098</v>
      </c>
      <c r="C493" s="1" t="n">
        <v>45971</v>
      </c>
      <c r="D493" t="inlineStr">
        <is>
          <t>SÖDERMANLANDS LÄN</t>
        </is>
      </c>
      <c r="E493" t="inlineStr">
        <is>
          <t>KATRINEHOLM</t>
        </is>
      </c>
      <c r="G493" t="n">
        <v>5.9</v>
      </c>
      <c r="H493" t="n">
        <v>0</v>
      </c>
      <c r="I493" t="n">
        <v>0</v>
      </c>
      <c r="J493" t="n">
        <v>0</v>
      </c>
      <c r="K493" t="n">
        <v>0</v>
      </c>
      <c r="L493" t="n">
        <v>0</v>
      </c>
      <c r="M493" t="n">
        <v>0</v>
      </c>
      <c r="N493" t="n">
        <v>0</v>
      </c>
      <c r="O493" t="n">
        <v>0</v>
      </c>
      <c r="P493" t="n">
        <v>0</v>
      </c>
      <c r="Q493" t="n">
        <v>0</v>
      </c>
      <c r="R493" s="2" t="inlineStr"/>
    </row>
    <row r="494" ht="15" customHeight="1">
      <c r="A494" t="inlineStr">
        <is>
          <t>A 65077-2020</t>
        </is>
      </c>
      <c r="B494" s="1" t="n">
        <v>44172</v>
      </c>
      <c r="C494" s="1" t="n">
        <v>45971</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39847-2025</t>
        </is>
      </c>
      <c r="B495" s="1" t="n">
        <v>45891.58381944444</v>
      </c>
      <c r="C495" s="1" t="n">
        <v>45971</v>
      </c>
      <c r="D495" t="inlineStr">
        <is>
          <t>SÖDERMANLANDS LÄN</t>
        </is>
      </c>
      <c r="E495" t="inlineStr">
        <is>
          <t>KATRINEHOLM</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34981-2023</t>
        </is>
      </c>
      <c r="B496" s="1" t="n">
        <v>45142</v>
      </c>
      <c r="C496" s="1" t="n">
        <v>45971</v>
      </c>
      <c r="D496" t="inlineStr">
        <is>
          <t>SÖDERMANLANDS LÄN</t>
        </is>
      </c>
      <c r="E496" t="inlineStr">
        <is>
          <t>KATRINEHOLM</t>
        </is>
      </c>
      <c r="G496" t="n">
        <v>10</v>
      </c>
      <c r="H496" t="n">
        <v>0</v>
      </c>
      <c r="I496" t="n">
        <v>0</v>
      </c>
      <c r="J496" t="n">
        <v>0</v>
      </c>
      <c r="K496" t="n">
        <v>0</v>
      </c>
      <c r="L496" t="n">
        <v>0</v>
      </c>
      <c r="M496" t="n">
        <v>0</v>
      </c>
      <c r="N496" t="n">
        <v>0</v>
      </c>
      <c r="O496" t="n">
        <v>0</v>
      </c>
      <c r="P496" t="n">
        <v>0</v>
      </c>
      <c r="Q496" t="n">
        <v>0</v>
      </c>
      <c r="R496" s="2" t="inlineStr"/>
    </row>
    <row r="497" ht="15" customHeight="1">
      <c r="A497" t="inlineStr">
        <is>
          <t>A 36-2023</t>
        </is>
      </c>
      <c r="B497" s="1" t="n">
        <v>44928.36578703704</v>
      </c>
      <c r="C497" s="1" t="n">
        <v>45971</v>
      </c>
      <c r="D497" t="inlineStr">
        <is>
          <t>SÖDERMANLANDS LÄN</t>
        </is>
      </c>
      <c r="E497" t="inlineStr">
        <is>
          <t>KATRINEHOLM</t>
        </is>
      </c>
      <c r="G497" t="n">
        <v>3.7</v>
      </c>
      <c r="H497" t="n">
        <v>0</v>
      </c>
      <c r="I497" t="n">
        <v>0</v>
      </c>
      <c r="J497" t="n">
        <v>0</v>
      </c>
      <c r="K497" t="n">
        <v>0</v>
      </c>
      <c r="L497" t="n">
        <v>0</v>
      </c>
      <c r="M497" t="n">
        <v>0</v>
      </c>
      <c r="N497" t="n">
        <v>0</v>
      </c>
      <c r="O497" t="n">
        <v>0</v>
      </c>
      <c r="P497" t="n">
        <v>0</v>
      </c>
      <c r="Q497" t="n">
        <v>0</v>
      </c>
      <c r="R497" s="2" t="inlineStr"/>
    </row>
    <row r="498" ht="15" customHeight="1">
      <c r="A498" t="inlineStr">
        <is>
          <t>A 73412-2021</t>
        </is>
      </c>
      <c r="B498" s="1" t="n">
        <v>44551</v>
      </c>
      <c r="C498" s="1" t="n">
        <v>45971</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4669-2023</t>
        </is>
      </c>
      <c r="B499" s="1" t="n">
        <v>44957</v>
      </c>
      <c r="C499" s="1" t="n">
        <v>45971</v>
      </c>
      <c r="D499" t="inlineStr">
        <is>
          <t>SÖDERMANLANDS LÄN</t>
        </is>
      </c>
      <c r="E499" t="inlineStr">
        <is>
          <t>KATRINEHOLM</t>
        </is>
      </c>
      <c r="F499" t="inlineStr">
        <is>
          <t>Holmen skog AB</t>
        </is>
      </c>
      <c r="G499" t="n">
        <v>2.2</v>
      </c>
      <c r="H499" t="n">
        <v>0</v>
      </c>
      <c r="I499" t="n">
        <v>0</v>
      </c>
      <c r="J499" t="n">
        <v>0</v>
      </c>
      <c r="K499" t="n">
        <v>0</v>
      </c>
      <c r="L499" t="n">
        <v>0</v>
      </c>
      <c r="M499" t="n">
        <v>0</v>
      </c>
      <c r="N499" t="n">
        <v>0</v>
      </c>
      <c r="O499" t="n">
        <v>0</v>
      </c>
      <c r="P499" t="n">
        <v>0</v>
      </c>
      <c r="Q499" t="n">
        <v>0</v>
      </c>
      <c r="R499" s="2" t="inlineStr"/>
    </row>
    <row r="500" ht="15" customHeight="1">
      <c r="A500" t="inlineStr">
        <is>
          <t>A 10341-2022</t>
        </is>
      </c>
      <c r="B500" s="1" t="n">
        <v>44623</v>
      </c>
      <c r="C500" s="1" t="n">
        <v>45971</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53750-2022</t>
        </is>
      </c>
      <c r="B501" s="1" t="n">
        <v>44875</v>
      </c>
      <c r="C501" s="1" t="n">
        <v>45971</v>
      </c>
      <c r="D501" t="inlineStr">
        <is>
          <t>SÖDERMANLANDS LÄN</t>
        </is>
      </c>
      <c r="E501" t="inlineStr">
        <is>
          <t>KATRINEHOLM</t>
        </is>
      </c>
      <c r="F501" t="inlineStr">
        <is>
          <t>Övriga Aktiebolag</t>
        </is>
      </c>
      <c r="G501" t="n">
        <v>12.6</v>
      </c>
      <c r="H501" t="n">
        <v>0</v>
      </c>
      <c r="I501" t="n">
        <v>0</v>
      </c>
      <c r="J501" t="n">
        <v>0</v>
      </c>
      <c r="K501" t="n">
        <v>0</v>
      </c>
      <c r="L501" t="n">
        <v>0</v>
      </c>
      <c r="M501" t="n">
        <v>0</v>
      </c>
      <c r="N501" t="n">
        <v>0</v>
      </c>
      <c r="O501" t="n">
        <v>0</v>
      </c>
      <c r="P501" t="n">
        <v>0</v>
      </c>
      <c r="Q501" t="n">
        <v>0</v>
      </c>
      <c r="R501" s="2" t="inlineStr"/>
    </row>
    <row r="502" ht="15" customHeight="1">
      <c r="A502" t="inlineStr">
        <is>
          <t>A 4724-2023</t>
        </is>
      </c>
      <c r="B502" s="1" t="n">
        <v>44957</v>
      </c>
      <c r="C502" s="1" t="n">
        <v>45971</v>
      </c>
      <c r="D502" t="inlineStr">
        <is>
          <t>SÖDERMANLANDS LÄN</t>
        </is>
      </c>
      <c r="E502" t="inlineStr">
        <is>
          <t>KATRINEHOLM</t>
        </is>
      </c>
      <c r="F502" t="inlineStr">
        <is>
          <t>Holmen skog AB</t>
        </is>
      </c>
      <c r="G502" t="n">
        <v>1.7</v>
      </c>
      <c r="H502" t="n">
        <v>0</v>
      </c>
      <c r="I502" t="n">
        <v>0</v>
      </c>
      <c r="J502" t="n">
        <v>0</v>
      </c>
      <c r="K502" t="n">
        <v>0</v>
      </c>
      <c r="L502" t="n">
        <v>0</v>
      </c>
      <c r="M502" t="n">
        <v>0</v>
      </c>
      <c r="N502" t="n">
        <v>0</v>
      </c>
      <c r="O502" t="n">
        <v>0</v>
      </c>
      <c r="P502" t="n">
        <v>0</v>
      </c>
      <c r="Q502" t="n">
        <v>0</v>
      </c>
      <c r="R502" s="2" t="inlineStr"/>
    </row>
    <row r="503" ht="15" customHeight="1">
      <c r="A503" t="inlineStr">
        <is>
          <t>A 14245-2024</t>
        </is>
      </c>
      <c r="B503" s="1" t="n">
        <v>45393</v>
      </c>
      <c r="C503" s="1" t="n">
        <v>45971</v>
      </c>
      <c r="D503" t="inlineStr">
        <is>
          <t>SÖDERMANLANDS LÄN</t>
        </is>
      </c>
      <c r="E503" t="inlineStr">
        <is>
          <t>KATRINEHOLM</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11104-2023</t>
        </is>
      </c>
      <c r="B504" s="1" t="n">
        <v>44992</v>
      </c>
      <c r="C504" s="1" t="n">
        <v>45971</v>
      </c>
      <c r="D504" t="inlineStr">
        <is>
          <t>SÖDERMANLANDS LÄN</t>
        </is>
      </c>
      <c r="E504" t="inlineStr">
        <is>
          <t>KATRINEHOLM</t>
        </is>
      </c>
      <c r="F504" t="inlineStr">
        <is>
          <t>Allmännings- och besparingsskogar</t>
        </is>
      </c>
      <c r="G504" t="n">
        <v>7.8</v>
      </c>
      <c r="H504" t="n">
        <v>0</v>
      </c>
      <c r="I504" t="n">
        <v>0</v>
      </c>
      <c r="J504" t="n">
        <v>0</v>
      </c>
      <c r="K504" t="n">
        <v>0</v>
      </c>
      <c r="L504" t="n">
        <v>0</v>
      </c>
      <c r="M504" t="n">
        <v>0</v>
      </c>
      <c r="N504" t="n">
        <v>0</v>
      </c>
      <c r="O504" t="n">
        <v>0</v>
      </c>
      <c r="P504" t="n">
        <v>0</v>
      </c>
      <c r="Q504" t="n">
        <v>0</v>
      </c>
      <c r="R504" s="2" t="inlineStr"/>
    </row>
    <row r="505" ht="15" customHeight="1">
      <c r="A505" t="inlineStr">
        <is>
          <t>A 12835-2024</t>
        </is>
      </c>
      <c r="B505" s="1" t="n">
        <v>45384</v>
      </c>
      <c r="C505" s="1" t="n">
        <v>45971</v>
      </c>
      <c r="D505" t="inlineStr">
        <is>
          <t>SÖDERMANLANDS LÄN</t>
        </is>
      </c>
      <c r="E505" t="inlineStr">
        <is>
          <t>KATRINEHOLM</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7197-2023</t>
        </is>
      </c>
      <c r="B506" s="1" t="n">
        <v>44965</v>
      </c>
      <c r="C506" s="1" t="n">
        <v>45971</v>
      </c>
      <c r="D506" t="inlineStr">
        <is>
          <t>SÖDERMANLANDS LÄN</t>
        </is>
      </c>
      <c r="E506" t="inlineStr">
        <is>
          <t>KATRINEHOLM</t>
        </is>
      </c>
      <c r="G506" t="n">
        <v>5.3</v>
      </c>
      <c r="H506" t="n">
        <v>0</v>
      </c>
      <c r="I506" t="n">
        <v>0</v>
      </c>
      <c r="J506" t="n">
        <v>0</v>
      </c>
      <c r="K506" t="n">
        <v>0</v>
      </c>
      <c r="L506" t="n">
        <v>0</v>
      </c>
      <c r="M506" t="n">
        <v>0</v>
      </c>
      <c r="N506" t="n">
        <v>0</v>
      </c>
      <c r="O506" t="n">
        <v>0</v>
      </c>
      <c r="P506" t="n">
        <v>0</v>
      </c>
      <c r="Q506" t="n">
        <v>0</v>
      </c>
      <c r="R506" s="2" t="inlineStr"/>
    </row>
    <row r="507" ht="15" customHeight="1">
      <c r="A507" t="inlineStr">
        <is>
          <t>A 6092-2025</t>
        </is>
      </c>
      <c r="B507" s="1" t="n">
        <v>45697</v>
      </c>
      <c r="C507" s="1" t="n">
        <v>45971</v>
      </c>
      <c r="D507" t="inlineStr">
        <is>
          <t>SÖDERMANLANDS LÄN</t>
        </is>
      </c>
      <c r="E507" t="inlineStr">
        <is>
          <t>KATRINEHOLM</t>
        </is>
      </c>
      <c r="G507" t="n">
        <v>0.7</v>
      </c>
      <c r="H507" t="n">
        <v>0</v>
      </c>
      <c r="I507" t="n">
        <v>0</v>
      </c>
      <c r="J507" t="n">
        <v>0</v>
      </c>
      <c r="K507" t="n">
        <v>0</v>
      </c>
      <c r="L507" t="n">
        <v>0</v>
      </c>
      <c r="M507" t="n">
        <v>0</v>
      </c>
      <c r="N507" t="n">
        <v>0</v>
      </c>
      <c r="O507" t="n">
        <v>0</v>
      </c>
      <c r="P507" t="n">
        <v>0</v>
      </c>
      <c r="Q507" t="n">
        <v>0</v>
      </c>
      <c r="R507" s="2" t="inlineStr"/>
    </row>
    <row r="508" ht="15" customHeight="1">
      <c r="A508" t="inlineStr">
        <is>
          <t>A 5327-2025</t>
        </is>
      </c>
      <c r="B508" s="1" t="n">
        <v>45692</v>
      </c>
      <c r="C508" s="1" t="n">
        <v>45971</v>
      </c>
      <c r="D508" t="inlineStr">
        <is>
          <t>SÖDERMANLANDS LÄN</t>
        </is>
      </c>
      <c r="E508" t="inlineStr">
        <is>
          <t>KATRINEHOLM</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25716-2022</t>
        </is>
      </c>
      <c r="B509" s="1" t="n">
        <v>44733.39600694444</v>
      </c>
      <c r="C509" s="1" t="n">
        <v>45971</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12929-2023</t>
        </is>
      </c>
      <c r="B510" s="1" t="n">
        <v>45001</v>
      </c>
      <c r="C510" s="1" t="n">
        <v>45971</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12932-2023</t>
        </is>
      </c>
      <c r="B511" s="1" t="n">
        <v>45001</v>
      </c>
      <c r="C511" s="1" t="n">
        <v>45971</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6807-2023</t>
        </is>
      </c>
      <c r="B512" s="1" t="n">
        <v>44964</v>
      </c>
      <c r="C512" s="1" t="n">
        <v>45971</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9668-2023</t>
        </is>
      </c>
      <c r="B513" s="1" t="n">
        <v>44984.41238425926</v>
      </c>
      <c r="C513" s="1" t="n">
        <v>45971</v>
      </c>
      <c r="D513" t="inlineStr">
        <is>
          <t>SÖDERMANLANDS LÄN</t>
        </is>
      </c>
      <c r="E513" t="inlineStr">
        <is>
          <t>KATRINEHOLM</t>
        </is>
      </c>
      <c r="G513" t="n">
        <v>4.8</v>
      </c>
      <c r="H513" t="n">
        <v>0</v>
      </c>
      <c r="I513" t="n">
        <v>0</v>
      </c>
      <c r="J513" t="n">
        <v>0</v>
      </c>
      <c r="K513" t="n">
        <v>0</v>
      </c>
      <c r="L513" t="n">
        <v>0</v>
      </c>
      <c r="M513" t="n">
        <v>0</v>
      </c>
      <c r="N513" t="n">
        <v>0</v>
      </c>
      <c r="O513" t="n">
        <v>0</v>
      </c>
      <c r="P513" t="n">
        <v>0</v>
      </c>
      <c r="Q513" t="n">
        <v>0</v>
      </c>
      <c r="R513" s="2" t="inlineStr"/>
    </row>
    <row r="514" ht="15" customHeight="1">
      <c r="A514" t="inlineStr">
        <is>
          <t>A 50626-2024</t>
        </is>
      </c>
      <c r="B514" s="1" t="n">
        <v>45601</v>
      </c>
      <c r="C514" s="1" t="n">
        <v>45971</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4387-2024</t>
        </is>
      </c>
      <c r="B515" s="1" t="n">
        <v>45327.35068287037</v>
      </c>
      <c r="C515" s="1" t="n">
        <v>45971</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9044-2022</t>
        </is>
      </c>
      <c r="B516" s="1" t="n">
        <v>44602</v>
      </c>
      <c r="C516" s="1" t="n">
        <v>45971</v>
      </c>
      <c r="D516" t="inlineStr">
        <is>
          <t>SÖDERMANLANDS LÄN</t>
        </is>
      </c>
      <c r="E516" t="inlineStr">
        <is>
          <t>KATRINEHOLM</t>
        </is>
      </c>
      <c r="G516" t="n">
        <v>5.8</v>
      </c>
      <c r="H516" t="n">
        <v>0</v>
      </c>
      <c r="I516" t="n">
        <v>0</v>
      </c>
      <c r="J516" t="n">
        <v>0</v>
      </c>
      <c r="K516" t="n">
        <v>0</v>
      </c>
      <c r="L516" t="n">
        <v>0</v>
      </c>
      <c r="M516" t="n">
        <v>0</v>
      </c>
      <c r="N516" t="n">
        <v>0</v>
      </c>
      <c r="O516" t="n">
        <v>0</v>
      </c>
      <c r="P516" t="n">
        <v>0</v>
      </c>
      <c r="Q516" t="n">
        <v>0</v>
      </c>
      <c r="R516" s="2" t="inlineStr"/>
    </row>
    <row r="517" ht="15" customHeight="1">
      <c r="A517" t="inlineStr">
        <is>
          <t>A 7398-2024</t>
        </is>
      </c>
      <c r="B517" s="1" t="n">
        <v>45345</v>
      </c>
      <c r="C517" s="1" t="n">
        <v>45971</v>
      </c>
      <c r="D517" t="inlineStr">
        <is>
          <t>SÖDERMANLANDS LÄN</t>
        </is>
      </c>
      <c r="E517" t="inlineStr">
        <is>
          <t>KATRINEHOLM</t>
        </is>
      </c>
      <c r="G517" t="n">
        <v>4.4</v>
      </c>
      <c r="H517" t="n">
        <v>0</v>
      </c>
      <c r="I517" t="n">
        <v>0</v>
      </c>
      <c r="J517" t="n">
        <v>0</v>
      </c>
      <c r="K517" t="n">
        <v>0</v>
      </c>
      <c r="L517" t="n">
        <v>0</v>
      </c>
      <c r="M517" t="n">
        <v>0</v>
      </c>
      <c r="N517" t="n">
        <v>0</v>
      </c>
      <c r="O517" t="n">
        <v>0</v>
      </c>
      <c r="P517" t="n">
        <v>0</v>
      </c>
      <c r="Q517" t="n">
        <v>0</v>
      </c>
      <c r="R517" s="2" t="inlineStr"/>
    </row>
    <row r="518" ht="15" customHeight="1">
      <c r="A518" t="inlineStr">
        <is>
          <t>A 4872-2024</t>
        </is>
      </c>
      <c r="B518" s="1" t="n">
        <v>45329</v>
      </c>
      <c r="C518" s="1" t="n">
        <v>45971</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29702-2021</t>
        </is>
      </c>
      <c r="B519" s="1" t="n">
        <v>44362</v>
      </c>
      <c r="C519" s="1" t="n">
        <v>45971</v>
      </c>
      <c r="D519" t="inlineStr">
        <is>
          <t>SÖDERMANLANDS LÄN</t>
        </is>
      </c>
      <c r="E519" t="inlineStr">
        <is>
          <t>KATRINEHOLM</t>
        </is>
      </c>
      <c r="F519" t="inlineStr">
        <is>
          <t>Holmen skog AB</t>
        </is>
      </c>
      <c r="G519" t="n">
        <v>0.3</v>
      </c>
      <c r="H519" t="n">
        <v>0</v>
      </c>
      <c r="I519" t="n">
        <v>0</v>
      </c>
      <c r="J519" t="n">
        <v>0</v>
      </c>
      <c r="K519" t="n">
        <v>0</v>
      </c>
      <c r="L519" t="n">
        <v>0</v>
      </c>
      <c r="M519" t="n">
        <v>0</v>
      </c>
      <c r="N519" t="n">
        <v>0</v>
      </c>
      <c r="O519" t="n">
        <v>0</v>
      </c>
      <c r="P519" t="n">
        <v>0</v>
      </c>
      <c r="Q519" t="n">
        <v>0</v>
      </c>
      <c r="R519" s="2" t="inlineStr"/>
    </row>
    <row r="520" ht="15" customHeight="1">
      <c r="A520" t="inlineStr">
        <is>
          <t>A 14629-2023</t>
        </is>
      </c>
      <c r="B520" s="1" t="n">
        <v>45013</v>
      </c>
      <c r="C520" s="1" t="n">
        <v>45971</v>
      </c>
      <c r="D520" t="inlineStr">
        <is>
          <t>SÖDERMANLANDS LÄN</t>
        </is>
      </c>
      <c r="E520" t="inlineStr">
        <is>
          <t>KATRINEHOLM</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3986-2024</t>
        </is>
      </c>
      <c r="B521" s="1" t="n">
        <v>45322</v>
      </c>
      <c r="C521" s="1" t="n">
        <v>45971</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10996-2022</t>
        </is>
      </c>
      <c r="B522" s="1" t="n">
        <v>44628</v>
      </c>
      <c r="C522" s="1" t="n">
        <v>45971</v>
      </c>
      <c r="D522" t="inlineStr">
        <is>
          <t>SÖDERMANLANDS LÄN</t>
        </is>
      </c>
      <c r="E522" t="inlineStr">
        <is>
          <t>KATRINEHOLM</t>
        </is>
      </c>
      <c r="G522" t="n">
        <v>0.3</v>
      </c>
      <c r="H522" t="n">
        <v>0</v>
      </c>
      <c r="I522" t="n">
        <v>0</v>
      </c>
      <c r="J522" t="n">
        <v>0</v>
      </c>
      <c r="K522" t="n">
        <v>0</v>
      </c>
      <c r="L522" t="n">
        <v>0</v>
      </c>
      <c r="M522" t="n">
        <v>0</v>
      </c>
      <c r="N522" t="n">
        <v>0</v>
      </c>
      <c r="O522" t="n">
        <v>0</v>
      </c>
      <c r="P522" t="n">
        <v>0</v>
      </c>
      <c r="Q522" t="n">
        <v>0</v>
      </c>
      <c r="R522" s="2" t="inlineStr"/>
    </row>
    <row r="523" ht="15" customHeight="1">
      <c r="A523" t="inlineStr">
        <is>
          <t>A 49116-2024</t>
        </is>
      </c>
      <c r="B523" s="1" t="n">
        <v>45594.6605787037</v>
      </c>
      <c r="C523" s="1" t="n">
        <v>45971</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42451-2023</t>
        </is>
      </c>
      <c r="B524" s="1" t="n">
        <v>45180</v>
      </c>
      <c r="C524" s="1" t="n">
        <v>45971</v>
      </c>
      <c r="D524" t="inlineStr">
        <is>
          <t>SÖDERMANLANDS LÄN</t>
        </is>
      </c>
      <c r="E524" t="inlineStr">
        <is>
          <t>KATRINEHOLM</t>
        </is>
      </c>
      <c r="G524" t="n">
        <v>3.8</v>
      </c>
      <c r="H524" t="n">
        <v>0</v>
      </c>
      <c r="I524" t="n">
        <v>0</v>
      </c>
      <c r="J524" t="n">
        <v>0</v>
      </c>
      <c r="K524" t="n">
        <v>0</v>
      </c>
      <c r="L524" t="n">
        <v>0</v>
      </c>
      <c r="M524" t="n">
        <v>0</v>
      </c>
      <c r="N524" t="n">
        <v>0</v>
      </c>
      <c r="O524" t="n">
        <v>0</v>
      </c>
      <c r="P524" t="n">
        <v>0</v>
      </c>
      <c r="Q524" t="n">
        <v>0</v>
      </c>
      <c r="R524" s="2" t="inlineStr"/>
    </row>
    <row r="525" ht="15" customHeight="1">
      <c r="A525" t="inlineStr">
        <is>
          <t>A 13113-2023</t>
        </is>
      </c>
      <c r="B525" s="1" t="n">
        <v>45002</v>
      </c>
      <c r="C525" s="1" t="n">
        <v>45971</v>
      </c>
      <c r="D525" t="inlineStr">
        <is>
          <t>SÖDERMANLANDS LÄN</t>
        </is>
      </c>
      <c r="E525" t="inlineStr">
        <is>
          <t>KATRINEHOLM</t>
        </is>
      </c>
      <c r="F525" t="inlineStr">
        <is>
          <t>Allmännings- och besparingsskogar</t>
        </is>
      </c>
      <c r="G525" t="n">
        <v>3.6</v>
      </c>
      <c r="H525" t="n">
        <v>0</v>
      </c>
      <c r="I525" t="n">
        <v>0</v>
      </c>
      <c r="J525" t="n">
        <v>0</v>
      </c>
      <c r="K525" t="n">
        <v>0</v>
      </c>
      <c r="L525" t="n">
        <v>0</v>
      </c>
      <c r="M525" t="n">
        <v>0</v>
      </c>
      <c r="N525" t="n">
        <v>0</v>
      </c>
      <c r="O525" t="n">
        <v>0</v>
      </c>
      <c r="P525" t="n">
        <v>0</v>
      </c>
      <c r="Q525" t="n">
        <v>0</v>
      </c>
      <c r="R525" s="2" t="inlineStr"/>
    </row>
    <row r="526" ht="15" customHeight="1">
      <c r="A526" t="inlineStr">
        <is>
          <t>A 48091-2024</t>
        </is>
      </c>
      <c r="B526" s="1" t="n">
        <v>45590</v>
      </c>
      <c r="C526" s="1" t="n">
        <v>45971</v>
      </c>
      <c r="D526" t="inlineStr">
        <is>
          <t>SÖDERMANLANDS LÄN</t>
        </is>
      </c>
      <c r="E526" t="inlineStr">
        <is>
          <t>KATRINEHOLM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24097-2022</t>
        </is>
      </c>
      <c r="B527" s="1" t="n">
        <v>44725.39371527778</v>
      </c>
      <c r="C527" s="1" t="n">
        <v>45971</v>
      </c>
      <c r="D527" t="inlineStr">
        <is>
          <t>SÖDERMANLANDS LÄN</t>
        </is>
      </c>
      <c r="E527" t="inlineStr">
        <is>
          <t>KATRINEHOLM</t>
        </is>
      </c>
      <c r="G527" t="n">
        <v>6.5</v>
      </c>
      <c r="H527" t="n">
        <v>0</v>
      </c>
      <c r="I527" t="n">
        <v>0</v>
      </c>
      <c r="J527" t="n">
        <v>0</v>
      </c>
      <c r="K527" t="n">
        <v>0</v>
      </c>
      <c r="L527" t="n">
        <v>0</v>
      </c>
      <c r="M527" t="n">
        <v>0</v>
      </c>
      <c r="N527" t="n">
        <v>0</v>
      </c>
      <c r="O527" t="n">
        <v>0</v>
      </c>
      <c r="P527" t="n">
        <v>0</v>
      </c>
      <c r="Q527" t="n">
        <v>0</v>
      </c>
      <c r="R527" s="2" t="inlineStr"/>
    </row>
    <row r="528" ht="15" customHeight="1">
      <c r="A528" t="inlineStr">
        <is>
          <t>A 6606-2022</t>
        </is>
      </c>
      <c r="B528" s="1" t="n">
        <v>44601</v>
      </c>
      <c r="C528" s="1" t="n">
        <v>45971</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46670-2021</t>
        </is>
      </c>
      <c r="B529" s="1" t="n">
        <v>44445</v>
      </c>
      <c r="C529" s="1" t="n">
        <v>45971</v>
      </c>
      <c r="D529" t="inlineStr">
        <is>
          <t>SÖDERMANLANDS LÄN</t>
        </is>
      </c>
      <c r="E529" t="inlineStr">
        <is>
          <t>KATRINEHOLM</t>
        </is>
      </c>
      <c r="G529" t="n">
        <v>4.4</v>
      </c>
      <c r="H529" t="n">
        <v>0</v>
      </c>
      <c r="I529" t="n">
        <v>0</v>
      </c>
      <c r="J529" t="n">
        <v>0</v>
      </c>
      <c r="K529" t="n">
        <v>0</v>
      </c>
      <c r="L529" t="n">
        <v>0</v>
      </c>
      <c r="M529" t="n">
        <v>0</v>
      </c>
      <c r="N529" t="n">
        <v>0</v>
      </c>
      <c r="O529" t="n">
        <v>0</v>
      </c>
      <c r="P529" t="n">
        <v>0</v>
      </c>
      <c r="Q529" t="n">
        <v>0</v>
      </c>
      <c r="R529" s="2" t="inlineStr"/>
    </row>
    <row r="530" ht="15" customHeight="1">
      <c r="A530" t="inlineStr">
        <is>
          <t>A 27646-2023</t>
        </is>
      </c>
      <c r="B530" s="1" t="n">
        <v>45097</v>
      </c>
      <c r="C530" s="1" t="n">
        <v>45971</v>
      </c>
      <c r="D530" t="inlineStr">
        <is>
          <t>SÖDERMANLANDS LÄN</t>
        </is>
      </c>
      <c r="E530" t="inlineStr">
        <is>
          <t>KATRINEHOLM</t>
        </is>
      </c>
      <c r="G530" t="n">
        <v>2.4</v>
      </c>
      <c r="H530" t="n">
        <v>0</v>
      </c>
      <c r="I530" t="n">
        <v>0</v>
      </c>
      <c r="J530" t="n">
        <v>0</v>
      </c>
      <c r="K530" t="n">
        <v>0</v>
      </c>
      <c r="L530" t="n">
        <v>0</v>
      </c>
      <c r="M530" t="n">
        <v>0</v>
      </c>
      <c r="N530" t="n">
        <v>0</v>
      </c>
      <c r="O530" t="n">
        <v>0</v>
      </c>
      <c r="P530" t="n">
        <v>0</v>
      </c>
      <c r="Q530" t="n">
        <v>0</v>
      </c>
      <c r="R530" s="2" t="inlineStr"/>
    </row>
    <row r="531" ht="15" customHeight="1">
      <c r="A531" t="inlineStr">
        <is>
          <t>A 15235-2023</t>
        </is>
      </c>
      <c r="B531" s="1" t="n">
        <v>45019</v>
      </c>
      <c r="C531" s="1" t="n">
        <v>45971</v>
      </c>
      <c r="D531" t="inlineStr">
        <is>
          <t>SÖDERMANLANDS LÄN</t>
        </is>
      </c>
      <c r="E531" t="inlineStr">
        <is>
          <t>KATRINEHOLM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2683-2025</t>
        </is>
      </c>
      <c r="B532" s="1" t="n">
        <v>45677</v>
      </c>
      <c r="C532" s="1" t="n">
        <v>45971</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62954-2023</t>
        </is>
      </c>
      <c r="B533" s="1" t="n">
        <v>45272.55362268518</v>
      </c>
      <c r="C533" s="1" t="n">
        <v>45971</v>
      </c>
      <c r="D533" t="inlineStr">
        <is>
          <t>SÖDERMANLANDS LÄN</t>
        </is>
      </c>
      <c r="E533" t="inlineStr">
        <is>
          <t>KATRINEHOLM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58651-2023</t>
        </is>
      </c>
      <c r="B534" s="1" t="n">
        <v>45247</v>
      </c>
      <c r="C534" s="1" t="n">
        <v>45971</v>
      </c>
      <c r="D534" t="inlineStr">
        <is>
          <t>SÖDERMANLANDS LÄN</t>
        </is>
      </c>
      <c r="E534" t="inlineStr">
        <is>
          <t>KATRINEHOLM</t>
        </is>
      </c>
      <c r="G534" t="n">
        <v>2.7</v>
      </c>
      <c r="H534" t="n">
        <v>0</v>
      </c>
      <c r="I534" t="n">
        <v>0</v>
      </c>
      <c r="J534" t="n">
        <v>0</v>
      </c>
      <c r="K534" t="n">
        <v>0</v>
      </c>
      <c r="L534" t="n">
        <v>0</v>
      </c>
      <c r="M534" t="n">
        <v>0</v>
      </c>
      <c r="N534" t="n">
        <v>0</v>
      </c>
      <c r="O534" t="n">
        <v>0</v>
      </c>
      <c r="P534" t="n">
        <v>0</v>
      </c>
      <c r="Q534" t="n">
        <v>0</v>
      </c>
      <c r="R534" s="2" t="inlineStr"/>
    </row>
    <row r="535" ht="15" customHeight="1">
      <c r="A535" t="inlineStr">
        <is>
          <t>A 12238-2021</t>
        </is>
      </c>
      <c r="B535" s="1" t="n">
        <v>44266</v>
      </c>
      <c r="C535" s="1" t="n">
        <v>45971</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25433-2024</t>
        </is>
      </c>
      <c r="B536" s="1" t="n">
        <v>45463</v>
      </c>
      <c r="C536" s="1" t="n">
        <v>45971</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22304-2024</t>
        </is>
      </c>
      <c r="B537" s="1" t="n">
        <v>45446.56626157407</v>
      </c>
      <c r="C537" s="1" t="n">
        <v>45971</v>
      </c>
      <c r="D537" t="inlineStr">
        <is>
          <t>SÖDERMANLANDS LÄN</t>
        </is>
      </c>
      <c r="E537" t="inlineStr">
        <is>
          <t>KATRINEHOLM</t>
        </is>
      </c>
      <c r="F537" t="inlineStr">
        <is>
          <t>Kommuner</t>
        </is>
      </c>
      <c r="G537" t="n">
        <v>0.7</v>
      </c>
      <c r="H537" t="n">
        <v>0</v>
      </c>
      <c r="I537" t="n">
        <v>0</v>
      </c>
      <c r="J537" t="n">
        <v>0</v>
      </c>
      <c r="K537" t="n">
        <v>0</v>
      </c>
      <c r="L537" t="n">
        <v>0</v>
      </c>
      <c r="M537" t="n">
        <v>0</v>
      </c>
      <c r="N537" t="n">
        <v>0</v>
      </c>
      <c r="O537" t="n">
        <v>0</v>
      </c>
      <c r="P537" t="n">
        <v>0</v>
      </c>
      <c r="Q537" t="n">
        <v>0</v>
      </c>
      <c r="R537" s="2" t="inlineStr"/>
    </row>
    <row r="538" ht="15" customHeight="1">
      <c r="A538" t="inlineStr">
        <is>
          <t>A 14224-2024</t>
        </is>
      </c>
      <c r="B538" s="1" t="n">
        <v>45393</v>
      </c>
      <c r="C538" s="1" t="n">
        <v>45971</v>
      </c>
      <c r="D538" t="inlineStr">
        <is>
          <t>SÖDERMANLANDS LÄN</t>
        </is>
      </c>
      <c r="E538" t="inlineStr">
        <is>
          <t>KATRINEHOLM</t>
        </is>
      </c>
      <c r="F538" t="inlineStr">
        <is>
          <t>Sveaskog</t>
        </is>
      </c>
      <c r="G538" t="n">
        <v>7.6</v>
      </c>
      <c r="H538" t="n">
        <v>0</v>
      </c>
      <c r="I538" t="n">
        <v>0</v>
      </c>
      <c r="J538" t="n">
        <v>0</v>
      </c>
      <c r="K538" t="n">
        <v>0</v>
      </c>
      <c r="L538" t="n">
        <v>0</v>
      </c>
      <c r="M538" t="n">
        <v>0</v>
      </c>
      <c r="N538" t="n">
        <v>0</v>
      </c>
      <c r="O538" t="n">
        <v>0</v>
      </c>
      <c r="P538" t="n">
        <v>0</v>
      </c>
      <c r="Q538" t="n">
        <v>0</v>
      </c>
      <c r="R538" s="2" t="inlineStr"/>
    </row>
    <row r="539" ht="15" customHeight="1">
      <c r="A539" t="inlineStr">
        <is>
          <t>A 23341-2023</t>
        </is>
      </c>
      <c r="B539" s="1" t="n">
        <v>45076</v>
      </c>
      <c r="C539" s="1" t="n">
        <v>45971</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61410-2024</t>
        </is>
      </c>
      <c r="B540" s="1" t="n">
        <v>45646.43950231482</v>
      </c>
      <c r="C540" s="1" t="n">
        <v>45971</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6446-2022</t>
        </is>
      </c>
      <c r="B541" s="1" t="n">
        <v>44600</v>
      </c>
      <c r="C541" s="1" t="n">
        <v>45971</v>
      </c>
      <c r="D541" t="inlineStr">
        <is>
          <t>SÖDERMANLANDS LÄN</t>
        </is>
      </c>
      <c r="E541" t="inlineStr">
        <is>
          <t>KATRINEHOLM</t>
        </is>
      </c>
      <c r="G541" t="n">
        <v>1.5</v>
      </c>
      <c r="H541" t="n">
        <v>0</v>
      </c>
      <c r="I541" t="n">
        <v>0</v>
      </c>
      <c r="J541" t="n">
        <v>0</v>
      </c>
      <c r="K541" t="n">
        <v>0</v>
      </c>
      <c r="L541" t="n">
        <v>0</v>
      </c>
      <c r="M541" t="n">
        <v>0</v>
      </c>
      <c r="N541" t="n">
        <v>0</v>
      </c>
      <c r="O541" t="n">
        <v>0</v>
      </c>
      <c r="P541" t="n">
        <v>0</v>
      </c>
      <c r="Q541" t="n">
        <v>0</v>
      </c>
      <c r="R541" s="2" t="inlineStr"/>
    </row>
    <row r="542" ht="15" customHeight="1">
      <c r="A542" t="inlineStr">
        <is>
          <t>A 3315-2023</t>
        </is>
      </c>
      <c r="B542" s="1" t="n">
        <v>44945</v>
      </c>
      <c r="C542" s="1" t="n">
        <v>45971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7867-2024</t>
        </is>
      </c>
      <c r="B543" s="1" t="n">
        <v>45350.32991898148</v>
      </c>
      <c r="C543" s="1" t="n">
        <v>45971</v>
      </c>
      <c r="D543" t="inlineStr">
        <is>
          <t>SÖDERMANLANDS LÄN</t>
        </is>
      </c>
      <c r="E543" t="inlineStr">
        <is>
          <t>KATRINEHOLM</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51923-2023</t>
        </is>
      </c>
      <c r="B544" s="1" t="n">
        <v>45223</v>
      </c>
      <c r="C544" s="1" t="n">
        <v>45971</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45971</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38869-2024</t>
        </is>
      </c>
      <c r="B546" s="1" t="n">
        <v>45547</v>
      </c>
      <c r="C546" s="1" t="n">
        <v>45971</v>
      </c>
      <c r="D546" t="inlineStr">
        <is>
          <t>SÖDERMANLANDS LÄN</t>
        </is>
      </c>
      <c r="E546" t="inlineStr">
        <is>
          <t>KATRINEHOLM</t>
        </is>
      </c>
      <c r="G546" t="n">
        <v>2.2</v>
      </c>
      <c r="H546" t="n">
        <v>0</v>
      </c>
      <c r="I546" t="n">
        <v>0</v>
      </c>
      <c r="J546" t="n">
        <v>0</v>
      </c>
      <c r="K546" t="n">
        <v>0</v>
      </c>
      <c r="L546" t="n">
        <v>0</v>
      </c>
      <c r="M546" t="n">
        <v>0</v>
      </c>
      <c r="N546" t="n">
        <v>0</v>
      </c>
      <c r="O546" t="n">
        <v>0</v>
      </c>
      <c r="P546" t="n">
        <v>0</v>
      </c>
      <c r="Q546" t="n">
        <v>0</v>
      </c>
      <c r="R546" s="2" t="inlineStr"/>
    </row>
    <row r="547" ht="15" customHeight="1">
      <c r="A547" t="inlineStr">
        <is>
          <t>A 36021-2023</t>
        </is>
      </c>
      <c r="B547" s="1" t="n">
        <v>45148</v>
      </c>
      <c r="C547" s="1" t="n">
        <v>45971</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39010-2021</t>
        </is>
      </c>
      <c r="B548" s="1" t="n">
        <v>44412</v>
      </c>
      <c r="C548" s="1" t="n">
        <v>45971</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1091-2025</t>
        </is>
      </c>
      <c r="B549" s="1" t="n">
        <v>45666</v>
      </c>
      <c r="C549" s="1" t="n">
        <v>45971</v>
      </c>
      <c r="D549" t="inlineStr">
        <is>
          <t>SÖDERMANLANDS LÄN</t>
        </is>
      </c>
      <c r="E549" t="inlineStr">
        <is>
          <t>KATRINEHOLM</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28597-2024</t>
        </is>
      </c>
      <c r="B550" s="1" t="n">
        <v>45478</v>
      </c>
      <c r="C550" s="1" t="n">
        <v>45971</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18386-2025</t>
        </is>
      </c>
      <c r="B551" s="1" t="n">
        <v>45762</v>
      </c>
      <c r="C551" s="1" t="n">
        <v>45971</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3125-2024</t>
        </is>
      </c>
      <c r="B552" s="1" t="n">
        <v>45316</v>
      </c>
      <c r="C552" s="1" t="n">
        <v>45971</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35183-2022</t>
        </is>
      </c>
      <c r="B553" s="1" t="n">
        <v>44797</v>
      </c>
      <c r="C553" s="1" t="n">
        <v>45971</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42519-2024</t>
        </is>
      </c>
      <c r="B554" s="1" t="n">
        <v>45565</v>
      </c>
      <c r="C554" s="1" t="n">
        <v>45971</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20826-2022</t>
        </is>
      </c>
      <c r="B555" s="1" t="n">
        <v>44701.44754629629</v>
      </c>
      <c r="C555" s="1" t="n">
        <v>45971</v>
      </c>
      <c r="D555" t="inlineStr">
        <is>
          <t>SÖDERMANLANDS LÄN</t>
        </is>
      </c>
      <c r="E555" t="inlineStr">
        <is>
          <t>KATRINEHOLM</t>
        </is>
      </c>
      <c r="G555" t="n">
        <v>6.8</v>
      </c>
      <c r="H555" t="n">
        <v>0</v>
      </c>
      <c r="I555" t="n">
        <v>0</v>
      </c>
      <c r="J555" t="n">
        <v>0</v>
      </c>
      <c r="K555" t="n">
        <v>0</v>
      </c>
      <c r="L555" t="n">
        <v>0</v>
      </c>
      <c r="M555" t="n">
        <v>0</v>
      </c>
      <c r="N555" t="n">
        <v>0</v>
      </c>
      <c r="O555" t="n">
        <v>0</v>
      </c>
      <c r="P555" t="n">
        <v>0</v>
      </c>
      <c r="Q555" t="n">
        <v>0</v>
      </c>
      <c r="R555" s="2" t="inlineStr"/>
    </row>
    <row r="556" ht="15" customHeight="1">
      <c r="A556" t="inlineStr">
        <is>
          <t>A 20846-2022</t>
        </is>
      </c>
      <c r="B556" s="1" t="n">
        <v>44701.4744212963</v>
      </c>
      <c r="C556" s="1" t="n">
        <v>45971</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6311-2025</t>
        </is>
      </c>
      <c r="B557" s="1" t="n">
        <v>45698</v>
      </c>
      <c r="C557" s="1" t="n">
        <v>45971</v>
      </c>
      <c r="D557" t="inlineStr">
        <is>
          <t>SÖDERMANLANDS LÄN</t>
        </is>
      </c>
      <c r="E557" t="inlineStr">
        <is>
          <t>KATRINEHOLM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29198-2023</t>
        </is>
      </c>
      <c r="B558" s="1" t="n">
        <v>45105</v>
      </c>
      <c r="C558" s="1" t="n">
        <v>45971</v>
      </c>
      <c r="D558" t="inlineStr">
        <is>
          <t>SÖDERMANLANDS LÄN</t>
        </is>
      </c>
      <c r="E558" t="inlineStr">
        <is>
          <t>KATRINEHOLM</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49078-2024</t>
        </is>
      </c>
      <c r="B559" s="1" t="n">
        <v>45594.62556712963</v>
      </c>
      <c r="C559" s="1" t="n">
        <v>45971</v>
      </c>
      <c r="D559" t="inlineStr">
        <is>
          <t>SÖDERMANLANDS LÄN</t>
        </is>
      </c>
      <c r="E559" t="inlineStr">
        <is>
          <t>KATRINEHOLM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51440-2024</t>
        </is>
      </c>
      <c r="B560" s="1" t="n">
        <v>45604</v>
      </c>
      <c r="C560" s="1" t="n">
        <v>45971</v>
      </c>
      <c r="D560" t="inlineStr">
        <is>
          <t>SÖDERMANLANDS LÄN</t>
        </is>
      </c>
      <c r="E560" t="inlineStr">
        <is>
          <t>KATRINEHOLM</t>
        </is>
      </c>
      <c r="G560" t="n">
        <v>4.7</v>
      </c>
      <c r="H560" t="n">
        <v>0</v>
      </c>
      <c r="I560" t="n">
        <v>0</v>
      </c>
      <c r="J560" t="n">
        <v>0</v>
      </c>
      <c r="K560" t="n">
        <v>0</v>
      </c>
      <c r="L560" t="n">
        <v>0</v>
      </c>
      <c r="M560" t="n">
        <v>0</v>
      </c>
      <c r="N560" t="n">
        <v>0</v>
      </c>
      <c r="O560" t="n">
        <v>0</v>
      </c>
      <c r="P560" t="n">
        <v>0</v>
      </c>
      <c r="Q560" t="n">
        <v>0</v>
      </c>
      <c r="R560" s="2" t="inlineStr"/>
    </row>
    <row r="561" ht="15" customHeight="1">
      <c r="A561" t="inlineStr">
        <is>
          <t>A 9992-2022</t>
        </is>
      </c>
      <c r="B561" s="1" t="n">
        <v>44621</v>
      </c>
      <c r="C561" s="1" t="n">
        <v>45971</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41267-2023</t>
        </is>
      </c>
      <c r="B562" s="1" t="n">
        <v>45174</v>
      </c>
      <c r="C562" s="1" t="n">
        <v>45971</v>
      </c>
      <c r="D562" t="inlineStr">
        <is>
          <t>SÖDERMANLANDS LÄN</t>
        </is>
      </c>
      <c r="E562" t="inlineStr">
        <is>
          <t>KATRINEHOLM</t>
        </is>
      </c>
      <c r="F562" t="inlineStr">
        <is>
          <t>Holmen skog AB</t>
        </is>
      </c>
      <c r="G562" t="n">
        <v>4.5</v>
      </c>
      <c r="H562" t="n">
        <v>0</v>
      </c>
      <c r="I562" t="n">
        <v>0</v>
      </c>
      <c r="J562" t="n">
        <v>0</v>
      </c>
      <c r="K562" t="n">
        <v>0</v>
      </c>
      <c r="L562" t="n">
        <v>0</v>
      </c>
      <c r="M562" t="n">
        <v>0</v>
      </c>
      <c r="N562" t="n">
        <v>0</v>
      </c>
      <c r="O562" t="n">
        <v>0</v>
      </c>
      <c r="P562" t="n">
        <v>0</v>
      </c>
      <c r="Q562" t="n">
        <v>0</v>
      </c>
      <c r="R562" s="2" t="inlineStr"/>
    </row>
    <row r="563" ht="15" customHeight="1">
      <c r="A563" t="inlineStr">
        <is>
          <t>A 23838-2021</t>
        </is>
      </c>
      <c r="B563" s="1" t="n">
        <v>44335</v>
      </c>
      <c r="C563" s="1" t="n">
        <v>45971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4650-2024</t>
        </is>
      </c>
      <c r="B564" s="1" t="n">
        <v>45328</v>
      </c>
      <c r="C564" s="1" t="n">
        <v>45971</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4652-2024</t>
        </is>
      </c>
      <c r="B565" s="1" t="n">
        <v>45328</v>
      </c>
      <c r="C565" s="1" t="n">
        <v>45971</v>
      </c>
      <c r="D565" t="inlineStr">
        <is>
          <t>SÖDERMANLANDS LÄN</t>
        </is>
      </c>
      <c r="E565" t="inlineStr">
        <is>
          <t>KATRINEHOLM</t>
        </is>
      </c>
      <c r="F565" t="inlineStr">
        <is>
          <t>Övriga Aktiebolag</t>
        </is>
      </c>
      <c r="G565" t="n">
        <v>6.1</v>
      </c>
      <c r="H565" t="n">
        <v>0</v>
      </c>
      <c r="I565" t="n">
        <v>0</v>
      </c>
      <c r="J565" t="n">
        <v>0</v>
      </c>
      <c r="K565" t="n">
        <v>0</v>
      </c>
      <c r="L565" t="n">
        <v>0</v>
      </c>
      <c r="M565" t="n">
        <v>0</v>
      </c>
      <c r="N565" t="n">
        <v>0</v>
      </c>
      <c r="O565" t="n">
        <v>0</v>
      </c>
      <c r="P565" t="n">
        <v>0</v>
      </c>
      <c r="Q565" t="n">
        <v>0</v>
      </c>
      <c r="R565" s="2" t="inlineStr"/>
    </row>
    <row r="566" ht="15" customHeight="1">
      <c r="A566" t="inlineStr">
        <is>
          <t>A 29008-2024</t>
        </is>
      </c>
      <c r="B566" s="1" t="n">
        <v>45481</v>
      </c>
      <c r="C566" s="1" t="n">
        <v>45971</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9936-2023</t>
        </is>
      </c>
      <c r="B567" s="1" t="n">
        <v>44985.47086805556</v>
      </c>
      <c r="C567" s="1" t="n">
        <v>45971</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32943-2024</t>
        </is>
      </c>
      <c r="B568" s="1" t="n">
        <v>45517</v>
      </c>
      <c r="C568" s="1" t="n">
        <v>45971</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4645-2024</t>
        </is>
      </c>
      <c r="B569" s="1" t="n">
        <v>45328</v>
      </c>
      <c r="C569" s="1" t="n">
        <v>45971</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22119-2025</t>
        </is>
      </c>
      <c r="B570" s="1" t="n">
        <v>45785</v>
      </c>
      <c r="C570" s="1" t="n">
        <v>45971</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36001-2024</t>
        </is>
      </c>
      <c r="B571" s="1" t="n">
        <v>45533.54609953704</v>
      </c>
      <c r="C571" s="1" t="n">
        <v>45971</v>
      </c>
      <c r="D571" t="inlineStr">
        <is>
          <t>SÖDERMANLANDS LÄN</t>
        </is>
      </c>
      <c r="E571" t="inlineStr">
        <is>
          <t>KATRINEHOLM</t>
        </is>
      </c>
      <c r="G571" t="n">
        <v>1</v>
      </c>
      <c r="H571" t="n">
        <v>0</v>
      </c>
      <c r="I571" t="n">
        <v>0</v>
      </c>
      <c r="J571" t="n">
        <v>0</v>
      </c>
      <c r="K571" t="n">
        <v>0</v>
      </c>
      <c r="L571" t="n">
        <v>0</v>
      </c>
      <c r="M571" t="n">
        <v>0</v>
      </c>
      <c r="N571" t="n">
        <v>0</v>
      </c>
      <c r="O571" t="n">
        <v>0</v>
      </c>
      <c r="P571" t="n">
        <v>0</v>
      </c>
      <c r="Q571" t="n">
        <v>0</v>
      </c>
      <c r="R571" s="2" t="inlineStr"/>
    </row>
    <row r="572" ht="15" customHeight="1">
      <c r="A572" t="inlineStr">
        <is>
          <t>A 22113-2025</t>
        </is>
      </c>
      <c r="B572" s="1" t="n">
        <v>45785</v>
      </c>
      <c r="C572" s="1" t="n">
        <v>45971</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45971</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24983-2024</t>
        </is>
      </c>
      <c r="B574" s="1" t="n">
        <v>45461</v>
      </c>
      <c r="C574" s="1" t="n">
        <v>45971</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41074-2025</t>
        </is>
      </c>
      <c r="B575" s="1" t="n">
        <v>45898</v>
      </c>
      <c r="C575" s="1" t="n">
        <v>45971</v>
      </c>
      <c r="D575" t="inlineStr">
        <is>
          <t>SÖDERMANLANDS LÄN</t>
        </is>
      </c>
      <c r="E575" t="inlineStr">
        <is>
          <t>KATRINEHOLM</t>
        </is>
      </c>
      <c r="F575" t="inlineStr">
        <is>
          <t>Allmännings- och besparingsskogar</t>
        </is>
      </c>
      <c r="G575" t="n">
        <v>4.8</v>
      </c>
      <c r="H575" t="n">
        <v>0</v>
      </c>
      <c r="I575" t="n">
        <v>0</v>
      </c>
      <c r="J575" t="n">
        <v>0</v>
      </c>
      <c r="K575" t="n">
        <v>0</v>
      </c>
      <c r="L575" t="n">
        <v>0</v>
      </c>
      <c r="M575" t="n">
        <v>0</v>
      </c>
      <c r="N575" t="n">
        <v>0</v>
      </c>
      <c r="O575" t="n">
        <v>0</v>
      </c>
      <c r="P575" t="n">
        <v>0</v>
      </c>
      <c r="Q575" t="n">
        <v>0</v>
      </c>
      <c r="R575" s="2" t="inlineStr"/>
    </row>
    <row r="576" ht="15" customHeight="1">
      <c r="A576" t="inlineStr">
        <is>
          <t>A 22476-2025</t>
        </is>
      </c>
      <c r="B576" s="1" t="n">
        <v>45786</v>
      </c>
      <c r="C576" s="1" t="n">
        <v>45971</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45971</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23050-2025</t>
        </is>
      </c>
      <c r="B578" s="1" t="n">
        <v>45790.69971064815</v>
      </c>
      <c r="C578" s="1" t="n">
        <v>45971</v>
      </c>
      <c r="D578" t="inlineStr">
        <is>
          <t>SÖDERMANLANDS LÄN</t>
        </is>
      </c>
      <c r="E578" t="inlineStr">
        <is>
          <t>KATRINEHOLM</t>
        </is>
      </c>
      <c r="G578" t="n">
        <v>3.7</v>
      </c>
      <c r="H578" t="n">
        <v>0</v>
      </c>
      <c r="I578" t="n">
        <v>0</v>
      </c>
      <c r="J578" t="n">
        <v>0</v>
      </c>
      <c r="K578" t="n">
        <v>0</v>
      </c>
      <c r="L578" t="n">
        <v>0</v>
      </c>
      <c r="M578" t="n">
        <v>0</v>
      </c>
      <c r="N578" t="n">
        <v>0</v>
      </c>
      <c r="O578" t="n">
        <v>0</v>
      </c>
      <c r="P578" t="n">
        <v>0</v>
      </c>
      <c r="Q578" t="n">
        <v>0</v>
      </c>
      <c r="R578" s="2" t="inlineStr"/>
    </row>
    <row r="579" ht="15" customHeight="1">
      <c r="A579" t="inlineStr">
        <is>
          <t>A 28931-2024</t>
        </is>
      </c>
      <c r="B579" s="1" t="n">
        <v>45479</v>
      </c>
      <c r="C579" s="1" t="n">
        <v>45971</v>
      </c>
      <c r="D579" t="inlineStr">
        <is>
          <t>SÖDERMANLANDS LÄN</t>
        </is>
      </c>
      <c r="E579" t="inlineStr">
        <is>
          <t>KATRINEHOLM</t>
        </is>
      </c>
      <c r="G579" t="n">
        <v>7.4</v>
      </c>
      <c r="H579" t="n">
        <v>0</v>
      </c>
      <c r="I579" t="n">
        <v>0</v>
      </c>
      <c r="J579" t="n">
        <v>0</v>
      </c>
      <c r="K579" t="n">
        <v>0</v>
      </c>
      <c r="L579" t="n">
        <v>0</v>
      </c>
      <c r="M579" t="n">
        <v>0</v>
      </c>
      <c r="N579" t="n">
        <v>0</v>
      </c>
      <c r="O579" t="n">
        <v>0</v>
      </c>
      <c r="P579" t="n">
        <v>0</v>
      </c>
      <c r="Q579" t="n">
        <v>0</v>
      </c>
      <c r="R579" s="2" t="inlineStr"/>
    </row>
    <row r="580" ht="15" customHeight="1">
      <c r="A580" t="inlineStr">
        <is>
          <t>A 6810-2023</t>
        </is>
      </c>
      <c r="B580" s="1" t="n">
        <v>44964</v>
      </c>
      <c r="C580" s="1" t="n">
        <v>45971</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32944-2023</t>
        </is>
      </c>
      <c r="B581" s="1" t="n">
        <v>45125</v>
      </c>
      <c r="C581" s="1" t="n">
        <v>45971</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29977-2023</t>
        </is>
      </c>
      <c r="B582" s="1" t="n">
        <v>45108</v>
      </c>
      <c r="C582" s="1" t="n">
        <v>45971</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5788-2022</t>
        </is>
      </c>
      <c r="B583" s="1" t="n">
        <v>44596.54990740741</v>
      </c>
      <c r="C583" s="1" t="n">
        <v>45971</v>
      </c>
      <c r="D583" t="inlineStr">
        <is>
          <t>SÖDERMANLANDS LÄN</t>
        </is>
      </c>
      <c r="E583" t="inlineStr">
        <is>
          <t>KATRINEHOLM</t>
        </is>
      </c>
      <c r="G583" t="n">
        <v>4.1</v>
      </c>
      <c r="H583" t="n">
        <v>0</v>
      </c>
      <c r="I583" t="n">
        <v>0</v>
      </c>
      <c r="J583" t="n">
        <v>0</v>
      </c>
      <c r="K583" t="n">
        <v>0</v>
      </c>
      <c r="L583" t="n">
        <v>0</v>
      </c>
      <c r="M583" t="n">
        <v>0</v>
      </c>
      <c r="N583" t="n">
        <v>0</v>
      </c>
      <c r="O583" t="n">
        <v>0</v>
      </c>
      <c r="P583" t="n">
        <v>0</v>
      </c>
      <c r="Q583" t="n">
        <v>0</v>
      </c>
      <c r="R583" s="2" t="inlineStr"/>
    </row>
    <row r="584" ht="15" customHeight="1">
      <c r="A584" t="inlineStr">
        <is>
          <t>A 20803-2024</t>
        </is>
      </c>
      <c r="B584" s="1" t="n">
        <v>45438</v>
      </c>
      <c r="C584" s="1" t="n">
        <v>45971</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5795-2022</t>
        </is>
      </c>
      <c r="B585" s="1" t="n">
        <v>44596</v>
      </c>
      <c r="C585" s="1" t="n">
        <v>45971</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49743-2025</t>
        </is>
      </c>
      <c r="B586" s="1" t="n">
        <v>45940</v>
      </c>
      <c r="C586" s="1" t="n">
        <v>45971</v>
      </c>
      <c r="D586" t="inlineStr">
        <is>
          <t>SÖDERMANLANDS LÄN</t>
        </is>
      </c>
      <c r="E586" t="inlineStr">
        <is>
          <t>KATRINEHOLM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3075-2022</t>
        </is>
      </c>
      <c r="B587" s="1" t="n">
        <v>44582</v>
      </c>
      <c r="C587" s="1" t="n">
        <v>45971</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41498-2025</t>
        </is>
      </c>
      <c r="B588" s="1" t="n">
        <v>45901.49755787037</v>
      </c>
      <c r="C588" s="1" t="n">
        <v>45971</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41548-2025</t>
        </is>
      </c>
      <c r="B589" s="1" t="n">
        <v>45901</v>
      </c>
      <c r="C589" s="1" t="n">
        <v>45971</v>
      </c>
      <c r="D589" t="inlineStr">
        <is>
          <t>SÖDERMANLANDS LÄN</t>
        </is>
      </c>
      <c r="E589" t="inlineStr">
        <is>
          <t>KATRINEHOLM</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24902-2024</t>
        </is>
      </c>
      <c r="B590" s="1" t="n">
        <v>45461</v>
      </c>
      <c r="C590" s="1" t="n">
        <v>45971</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73409-2021</t>
        </is>
      </c>
      <c r="B591" s="1" t="n">
        <v>44551</v>
      </c>
      <c r="C591" s="1" t="n">
        <v>45971</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73415-2021</t>
        </is>
      </c>
      <c r="B592" s="1" t="n">
        <v>44551</v>
      </c>
      <c r="C592" s="1" t="n">
        <v>45971</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49341-2024</t>
        </is>
      </c>
      <c r="B593" s="1" t="n">
        <v>45595</v>
      </c>
      <c r="C593" s="1" t="n">
        <v>45971</v>
      </c>
      <c r="D593" t="inlineStr">
        <is>
          <t>SÖDERMANLANDS LÄN</t>
        </is>
      </c>
      <c r="E593" t="inlineStr">
        <is>
          <t>KATRINEHOLM</t>
        </is>
      </c>
      <c r="G593" t="n">
        <v>10</v>
      </c>
      <c r="H593" t="n">
        <v>0</v>
      </c>
      <c r="I593" t="n">
        <v>0</v>
      </c>
      <c r="J593" t="n">
        <v>0</v>
      </c>
      <c r="K593" t="n">
        <v>0</v>
      </c>
      <c r="L593" t="n">
        <v>0</v>
      </c>
      <c r="M593" t="n">
        <v>0</v>
      </c>
      <c r="N593" t="n">
        <v>0</v>
      </c>
      <c r="O593" t="n">
        <v>0</v>
      </c>
      <c r="P593" t="n">
        <v>0</v>
      </c>
      <c r="Q593" t="n">
        <v>0</v>
      </c>
      <c r="R593" s="2" t="inlineStr"/>
    </row>
    <row r="594" ht="15" customHeight="1">
      <c r="A594" t="inlineStr">
        <is>
          <t>A 41633-2025</t>
        </is>
      </c>
      <c r="B594" s="1" t="n">
        <v>45901</v>
      </c>
      <c r="C594" s="1" t="n">
        <v>45971</v>
      </c>
      <c r="D594" t="inlineStr">
        <is>
          <t>SÖDERMANLANDS LÄN</t>
        </is>
      </c>
      <c r="E594" t="inlineStr">
        <is>
          <t>KATRINEHOLM</t>
        </is>
      </c>
      <c r="G594" t="n">
        <v>2.1</v>
      </c>
      <c r="H594" t="n">
        <v>0</v>
      </c>
      <c r="I594" t="n">
        <v>0</v>
      </c>
      <c r="J594" t="n">
        <v>0</v>
      </c>
      <c r="K594" t="n">
        <v>0</v>
      </c>
      <c r="L594" t="n">
        <v>0</v>
      </c>
      <c r="M594" t="n">
        <v>0</v>
      </c>
      <c r="N594" t="n">
        <v>0</v>
      </c>
      <c r="O594" t="n">
        <v>0</v>
      </c>
      <c r="P594" t="n">
        <v>0</v>
      </c>
      <c r="Q594" t="n">
        <v>0</v>
      </c>
      <c r="R594" s="2" t="inlineStr"/>
    </row>
    <row r="595" ht="15" customHeight="1">
      <c r="A595" t="inlineStr">
        <is>
          <t>A 41632-2025</t>
        </is>
      </c>
      <c r="B595" s="1" t="n">
        <v>45901</v>
      </c>
      <c r="C595" s="1" t="n">
        <v>45971</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41648-2025</t>
        </is>
      </c>
      <c r="B596" s="1" t="n">
        <v>45902.32601851852</v>
      </c>
      <c r="C596" s="1" t="n">
        <v>45971</v>
      </c>
      <c r="D596" t="inlineStr">
        <is>
          <t>SÖDERMANLANDS LÄN</t>
        </is>
      </c>
      <c r="E596" t="inlineStr">
        <is>
          <t>KATRINEHOLM</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8087-2022</t>
        </is>
      </c>
      <c r="B597" s="1" t="n">
        <v>44609.53502314815</v>
      </c>
      <c r="C597" s="1" t="n">
        <v>45971</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2603-2025</t>
        </is>
      </c>
      <c r="B598" s="1" t="n">
        <v>45674</v>
      </c>
      <c r="C598" s="1" t="n">
        <v>45971</v>
      </c>
      <c r="D598" t="inlineStr">
        <is>
          <t>SÖDERMANLANDS LÄN</t>
        </is>
      </c>
      <c r="E598" t="inlineStr">
        <is>
          <t>KATRINEHOLM</t>
        </is>
      </c>
      <c r="G598" t="n">
        <v>1.6</v>
      </c>
      <c r="H598" t="n">
        <v>0</v>
      </c>
      <c r="I598" t="n">
        <v>0</v>
      </c>
      <c r="J598" t="n">
        <v>0</v>
      </c>
      <c r="K598" t="n">
        <v>0</v>
      </c>
      <c r="L598" t="n">
        <v>0</v>
      </c>
      <c r="M598" t="n">
        <v>0</v>
      </c>
      <c r="N598" t="n">
        <v>0</v>
      </c>
      <c r="O598" t="n">
        <v>0</v>
      </c>
      <c r="P598" t="n">
        <v>0</v>
      </c>
      <c r="Q598" t="n">
        <v>0</v>
      </c>
      <c r="R598" s="2" t="inlineStr"/>
    </row>
    <row r="599" ht="15" customHeight="1">
      <c r="A599" t="inlineStr">
        <is>
          <t>A 50935-2023</t>
        </is>
      </c>
      <c r="B599" s="1" t="n">
        <v>45211</v>
      </c>
      <c r="C599" s="1" t="n">
        <v>45971</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6298-2024</t>
        </is>
      </c>
      <c r="B600" s="1" t="n">
        <v>45338.34245370371</v>
      </c>
      <c r="C600" s="1" t="n">
        <v>45971</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24566-2025</t>
        </is>
      </c>
      <c r="B601" s="1" t="n">
        <v>45798.46452546296</v>
      </c>
      <c r="C601" s="1" t="n">
        <v>45971</v>
      </c>
      <c r="D601" t="inlineStr">
        <is>
          <t>SÖDERMANLANDS LÄN</t>
        </is>
      </c>
      <c r="E601" t="inlineStr">
        <is>
          <t>KATRINEHOLM</t>
        </is>
      </c>
      <c r="G601" t="n">
        <v>6.3</v>
      </c>
      <c r="H601" t="n">
        <v>0</v>
      </c>
      <c r="I601" t="n">
        <v>0</v>
      </c>
      <c r="J601" t="n">
        <v>0</v>
      </c>
      <c r="K601" t="n">
        <v>0</v>
      </c>
      <c r="L601" t="n">
        <v>0</v>
      </c>
      <c r="M601" t="n">
        <v>0</v>
      </c>
      <c r="N601" t="n">
        <v>0</v>
      </c>
      <c r="O601" t="n">
        <v>0</v>
      </c>
      <c r="P601" t="n">
        <v>0</v>
      </c>
      <c r="Q601" t="n">
        <v>0</v>
      </c>
      <c r="R601" s="2" t="inlineStr"/>
    </row>
    <row r="602" ht="15" customHeight="1">
      <c r="A602" t="inlineStr">
        <is>
          <t>A 33001-2024</t>
        </is>
      </c>
      <c r="B602" s="1" t="n">
        <v>45517</v>
      </c>
      <c r="C602" s="1" t="n">
        <v>45971</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41793-2025</t>
        </is>
      </c>
      <c r="B603" s="1" t="n">
        <v>45902</v>
      </c>
      <c r="C603" s="1" t="n">
        <v>45971</v>
      </c>
      <c r="D603" t="inlineStr">
        <is>
          <t>SÖDERMANLANDS LÄN</t>
        </is>
      </c>
      <c r="E603" t="inlineStr">
        <is>
          <t>KATRINEHOLM</t>
        </is>
      </c>
      <c r="G603" t="n">
        <v>1.1</v>
      </c>
      <c r="H603" t="n">
        <v>0</v>
      </c>
      <c r="I603" t="n">
        <v>0</v>
      </c>
      <c r="J603" t="n">
        <v>0</v>
      </c>
      <c r="K603" t="n">
        <v>0</v>
      </c>
      <c r="L603" t="n">
        <v>0</v>
      </c>
      <c r="M603" t="n">
        <v>0</v>
      </c>
      <c r="N603" t="n">
        <v>0</v>
      </c>
      <c r="O603" t="n">
        <v>0</v>
      </c>
      <c r="P603" t="n">
        <v>0</v>
      </c>
      <c r="Q603" t="n">
        <v>0</v>
      </c>
      <c r="R603" s="2" t="inlineStr"/>
    </row>
    <row r="604" ht="15" customHeight="1">
      <c r="A604" t="inlineStr">
        <is>
          <t>A 24605-2025</t>
        </is>
      </c>
      <c r="B604" s="1" t="n">
        <v>45798.57403935185</v>
      </c>
      <c r="C604" s="1" t="n">
        <v>45971</v>
      </c>
      <c r="D604" t="inlineStr">
        <is>
          <t>SÖDERMANLANDS LÄN</t>
        </is>
      </c>
      <c r="E604" t="inlineStr">
        <is>
          <t>KATRINEHOLM</t>
        </is>
      </c>
      <c r="G604" t="n">
        <v>7</v>
      </c>
      <c r="H604" t="n">
        <v>0</v>
      </c>
      <c r="I604" t="n">
        <v>0</v>
      </c>
      <c r="J604" t="n">
        <v>0</v>
      </c>
      <c r="K604" t="n">
        <v>0</v>
      </c>
      <c r="L604" t="n">
        <v>0</v>
      </c>
      <c r="M604" t="n">
        <v>0</v>
      </c>
      <c r="N604" t="n">
        <v>0</v>
      </c>
      <c r="O604" t="n">
        <v>0</v>
      </c>
      <c r="P604" t="n">
        <v>0</v>
      </c>
      <c r="Q604" t="n">
        <v>0</v>
      </c>
      <c r="R604" s="2" t="inlineStr"/>
    </row>
    <row r="605" ht="15" customHeight="1">
      <c r="A605" t="inlineStr">
        <is>
          <t>A 56086-2023</t>
        </is>
      </c>
      <c r="B605" s="1" t="n">
        <v>45240</v>
      </c>
      <c r="C605" s="1" t="n">
        <v>45971</v>
      </c>
      <c r="D605" t="inlineStr">
        <is>
          <t>SÖDERMANLANDS LÄN</t>
        </is>
      </c>
      <c r="E605" t="inlineStr">
        <is>
          <t>KATRINEHOLM</t>
        </is>
      </c>
      <c r="F605" t="inlineStr">
        <is>
          <t>Kyrkan</t>
        </is>
      </c>
      <c r="G605" t="n">
        <v>17</v>
      </c>
      <c r="H605" t="n">
        <v>0</v>
      </c>
      <c r="I605" t="n">
        <v>0</v>
      </c>
      <c r="J605" t="n">
        <v>0</v>
      </c>
      <c r="K605" t="n">
        <v>0</v>
      </c>
      <c r="L605" t="n">
        <v>0</v>
      </c>
      <c r="M605" t="n">
        <v>0</v>
      </c>
      <c r="N605" t="n">
        <v>0</v>
      </c>
      <c r="O605" t="n">
        <v>0</v>
      </c>
      <c r="P605" t="n">
        <v>0</v>
      </c>
      <c r="Q605" t="n">
        <v>0</v>
      </c>
      <c r="R605" s="2" t="inlineStr"/>
    </row>
    <row r="606" ht="15" customHeight="1">
      <c r="A606" t="inlineStr">
        <is>
          <t>A 58175-2024</t>
        </is>
      </c>
      <c r="B606" s="1" t="n">
        <v>45632.46648148148</v>
      </c>
      <c r="C606" s="1" t="n">
        <v>45971</v>
      </c>
      <c r="D606" t="inlineStr">
        <is>
          <t>SÖDERMANLANDS LÄN</t>
        </is>
      </c>
      <c r="E606" t="inlineStr">
        <is>
          <t>KATRINEHOLM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53715-2023</t>
        </is>
      </c>
      <c r="B607" s="1" t="n">
        <v>45230</v>
      </c>
      <c r="C607" s="1" t="n">
        <v>45971</v>
      </c>
      <c r="D607" t="inlineStr">
        <is>
          <t>SÖDERMANLANDS LÄN</t>
        </is>
      </c>
      <c r="E607" t="inlineStr">
        <is>
          <t>KATRINEHOLM</t>
        </is>
      </c>
      <c r="F607" t="inlineStr">
        <is>
          <t>Allmännings- och besparingsskogar</t>
        </is>
      </c>
      <c r="G607" t="n">
        <v>5.6</v>
      </c>
      <c r="H607" t="n">
        <v>0</v>
      </c>
      <c r="I607" t="n">
        <v>0</v>
      </c>
      <c r="J607" t="n">
        <v>0</v>
      </c>
      <c r="K607" t="n">
        <v>0</v>
      </c>
      <c r="L607" t="n">
        <v>0</v>
      </c>
      <c r="M607" t="n">
        <v>0</v>
      </c>
      <c r="N607" t="n">
        <v>0</v>
      </c>
      <c r="O607" t="n">
        <v>0</v>
      </c>
      <c r="P607" t="n">
        <v>0</v>
      </c>
      <c r="Q607" t="n">
        <v>0</v>
      </c>
      <c r="R607" s="2" t="inlineStr"/>
    </row>
    <row r="608" ht="15" customHeight="1">
      <c r="A608" t="inlineStr">
        <is>
          <t>A 61423-2024</t>
        </is>
      </c>
      <c r="B608" s="1" t="n">
        <v>45646.45209490741</v>
      </c>
      <c r="C608" s="1" t="n">
        <v>45971</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23705-2023</t>
        </is>
      </c>
      <c r="B609" s="1" t="n">
        <v>45077</v>
      </c>
      <c r="C609" s="1" t="n">
        <v>45971</v>
      </c>
      <c r="D609" t="inlineStr">
        <is>
          <t>SÖDERMANLANDS LÄN</t>
        </is>
      </c>
      <c r="E609" t="inlineStr">
        <is>
          <t>KATRINEHOLM</t>
        </is>
      </c>
      <c r="F609" t="inlineStr">
        <is>
          <t>Kyrkan</t>
        </is>
      </c>
      <c r="G609" t="n">
        <v>11.9</v>
      </c>
      <c r="H609" t="n">
        <v>0</v>
      </c>
      <c r="I609" t="n">
        <v>0</v>
      </c>
      <c r="J609" t="n">
        <v>0</v>
      </c>
      <c r="K609" t="n">
        <v>0</v>
      </c>
      <c r="L609" t="n">
        <v>0</v>
      </c>
      <c r="M609" t="n">
        <v>0</v>
      </c>
      <c r="N609" t="n">
        <v>0</v>
      </c>
      <c r="O609" t="n">
        <v>0</v>
      </c>
      <c r="P609" t="n">
        <v>0</v>
      </c>
      <c r="Q609" t="n">
        <v>0</v>
      </c>
      <c r="R609" s="2" t="inlineStr"/>
    </row>
    <row r="610" ht="15" customHeight="1">
      <c r="A610" t="inlineStr">
        <is>
          <t>A 41727-2024</t>
        </is>
      </c>
      <c r="B610" s="1" t="n">
        <v>45560</v>
      </c>
      <c r="C610" s="1" t="n">
        <v>45971</v>
      </c>
      <c r="D610" t="inlineStr">
        <is>
          <t>SÖDERMANLANDS LÄN</t>
        </is>
      </c>
      <c r="E610" t="inlineStr">
        <is>
          <t>KATRINEHOLM</t>
        </is>
      </c>
      <c r="G610" t="n">
        <v>3.9</v>
      </c>
      <c r="H610" t="n">
        <v>0</v>
      </c>
      <c r="I610" t="n">
        <v>0</v>
      </c>
      <c r="J610" t="n">
        <v>0</v>
      </c>
      <c r="K610" t="n">
        <v>0</v>
      </c>
      <c r="L610" t="n">
        <v>0</v>
      </c>
      <c r="M610" t="n">
        <v>0</v>
      </c>
      <c r="N610" t="n">
        <v>0</v>
      </c>
      <c r="O610" t="n">
        <v>0</v>
      </c>
      <c r="P610" t="n">
        <v>0</v>
      </c>
      <c r="Q610" t="n">
        <v>0</v>
      </c>
      <c r="R610" s="2" t="inlineStr"/>
    </row>
    <row r="611" ht="15" customHeight="1">
      <c r="A611" t="inlineStr">
        <is>
          <t>A 24717-2025</t>
        </is>
      </c>
      <c r="B611" s="1" t="n">
        <v>45799.27168981481</v>
      </c>
      <c r="C611" s="1" t="n">
        <v>45971</v>
      </c>
      <c r="D611" t="inlineStr">
        <is>
          <t>SÖDERMANLANDS LÄN</t>
        </is>
      </c>
      <c r="E611" t="inlineStr">
        <is>
          <t>KATRINEHOLM</t>
        </is>
      </c>
      <c r="G611" t="n">
        <v>24.5</v>
      </c>
      <c r="H611" t="n">
        <v>0</v>
      </c>
      <c r="I611" t="n">
        <v>0</v>
      </c>
      <c r="J611" t="n">
        <v>0</v>
      </c>
      <c r="K611" t="n">
        <v>0</v>
      </c>
      <c r="L611" t="n">
        <v>0</v>
      </c>
      <c r="M611" t="n">
        <v>0</v>
      </c>
      <c r="N611" t="n">
        <v>0</v>
      </c>
      <c r="O611" t="n">
        <v>0</v>
      </c>
      <c r="P611" t="n">
        <v>0</v>
      </c>
      <c r="Q611" t="n">
        <v>0</v>
      </c>
      <c r="R611" s="2" t="inlineStr"/>
    </row>
    <row r="612" ht="15" customHeight="1">
      <c r="A612" t="inlineStr">
        <is>
          <t>A 53999-2023</t>
        </is>
      </c>
      <c r="B612" s="1" t="n">
        <v>45231</v>
      </c>
      <c r="C612" s="1" t="n">
        <v>45971</v>
      </c>
      <c r="D612" t="inlineStr">
        <is>
          <t>SÖDERMANLANDS LÄN</t>
        </is>
      </c>
      <c r="E612" t="inlineStr">
        <is>
          <t>KATRINEHOLM</t>
        </is>
      </c>
      <c r="G612" t="n">
        <v>5.4</v>
      </c>
      <c r="H612" t="n">
        <v>0</v>
      </c>
      <c r="I612" t="n">
        <v>0</v>
      </c>
      <c r="J612" t="n">
        <v>0</v>
      </c>
      <c r="K612" t="n">
        <v>0</v>
      </c>
      <c r="L612" t="n">
        <v>0</v>
      </c>
      <c r="M612" t="n">
        <v>0</v>
      </c>
      <c r="N612" t="n">
        <v>0</v>
      </c>
      <c r="O612" t="n">
        <v>0</v>
      </c>
      <c r="P612" t="n">
        <v>0</v>
      </c>
      <c r="Q612" t="n">
        <v>0</v>
      </c>
      <c r="R612" s="2" t="inlineStr"/>
    </row>
    <row r="613" ht="15" customHeight="1">
      <c r="A613" t="inlineStr">
        <is>
          <t>A 24719-2025</t>
        </is>
      </c>
      <c r="B613" s="1" t="n">
        <v>45799</v>
      </c>
      <c r="C613" s="1" t="n">
        <v>45971</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59749-2020</t>
        </is>
      </c>
      <c r="B614" s="1" t="n">
        <v>44151</v>
      </c>
      <c r="C614" s="1" t="n">
        <v>45971</v>
      </c>
      <c r="D614" t="inlineStr">
        <is>
          <t>SÖDERMANLANDS LÄN</t>
        </is>
      </c>
      <c r="E614" t="inlineStr">
        <is>
          <t>KATRINEHOLM</t>
        </is>
      </c>
      <c r="G614" t="n">
        <v>2.1</v>
      </c>
      <c r="H614" t="n">
        <v>0</v>
      </c>
      <c r="I614" t="n">
        <v>0</v>
      </c>
      <c r="J614" t="n">
        <v>0</v>
      </c>
      <c r="K614" t="n">
        <v>0</v>
      </c>
      <c r="L614" t="n">
        <v>0</v>
      </c>
      <c r="M614" t="n">
        <v>0</v>
      </c>
      <c r="N614" t="n">
        <v>0</v>
      </c>
      <c r="O614" t="n">
        <v>0</v>
      </c>
      <c r="P614" t="n">
        <v>0</v>
      </c>
      <c r="Q614" t="n">
        <v>0</v>
      </c>
      <c r="R614" s="2" t="inlineStr"/>
    </row>
    <row r="615" ht="15" customHeight="1">
      <c r="A615" t="inlineStr">
        <is>
          <t>A 39120-2023</t>
        </is>
      </c>
      <c r="B615" s="1" t="n">
        <v>45165</v>
      </c>
      <c r="C615" s="1" t="n">
        <v>45971</v>
      </c>
      <c r="D615" t="inlineStr">
        <is>
          <t>SÖDERMANLANDS LÄN</t>
        </is>
      </c>
      <c r="E615" t="inlineStr">
        <is>
          <t>KATRINEHOLM</t>
        </is>
      </c>
      <c r="G615" t="n">
        <v>4.4</v>
      </c>
      <c r="H615" t="n">
        <v>0</v>
      </c>
      <c r="I615" t="n">
        <v>0</v>
      </c>
      <c r="J615" t="n">
        <v>0</v>
      </c>
      <c r="K615" t="n">
        <v>0</v>
      </c>
      <c r="L615" t="n">
        <v>0</v>
      </c>
      <c r="M615" t="n">
        <v>0</v>
      </c>
      <c r="N615" t="n">
        <v>0</v>
      </c>
      <c r="O615" t="n">
        <v>0</v>
      </c>
      <c r="P615" t="n">
        <v>0</v>
      </c>
      <c r="Q615" t="n">
        <v>0</v>
      </c>
      <c r="R615" s="2" t="inlineStr"/>
    </row>
    <row r="616" ht="15" customHeight="1">
      <c r="A616" t="inlineStr">
        <is>
          <t>A 25786-2025</t>
        </is>
      </c>
      <c r="B616" s="1" t="n">
        <v>45804.37456018518</v>
      </c>
      <c r="C616" s="1" t="n">
        <v>45971</v>
      </c>
      <c r="D616" t="inlineStr">
        <is>
          <t>SÖDERMANLANDS LÄN</t>
        </is>
      </c>
      <c r="E616" t="inlineStr">
        <is>
          <t>KATRINEHOLM</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26154-2025</t>
        </is>
      </c>
      <c r="B617" s="1" t="n">
        <v>45805.43341435185</v>
      </c>
      <c r="C617" s="1" t="n">
        <v>45971</v>
      </c>
      <c r="D617" t="inlineStr">
        <is>
          <t>SÖDERMANLANDS LÄN</t>
        </is>
      </c>
      <c r="E617" t="inlineStr">
        <is>
          <t>KATRINEHOLM</t>
        </is>
      </c>
      <c r="G617" t="n">
        <v>4.5</v>
      </c>
      <c r="H617" t="n">
        <v>0</v>
      </c>
      <c r="I617" t="n">
        <v>0</v>
      </c>
      <c r="J617" t="n">
        <v>0</v>
      </c>
      <c r="K617" t="n">
        <v>0</v>
      </c>
      <c r="L617" t="n">
        <v>0</v>
      </c>
      <c r="M617" t="n">
        <v>0</v>
      </c>
      <c r="N617" t="n">
        <v>0</v>
      </c>
      <c r="O617" t="n">
        <v>0</v>
      </c>
      <c r="P617" t="n">
        <v>0</v>
      </c>
      <c r="Q617" t="n">
        <v>0</v>
      </c>
      <c r="R617" s="2" t="inlineStr"/>
    </row>
    <row r="618" ht="15" customHeight="1">
      <c r="A618" t="inlineStr">
        <is>
          <t>A 26156-2025</t>
        </is>
      </c>
      <c r="B618" s="1" t="n">
        <v>45805.43864583333</v>
      </c>
      <c r="C618" s="1" t="n">
        <v>45971</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50934-2025</t>
        </is>
      </c>
      <c r="B619" s="1" t="n">
        <v>45946.69195601852</v>
      </c>
      <c r="C619" s="1" t="n">
        <v>45971</v>
      </c>
      <c r="D619" t="inlineStr">
        <is>
          <t>SÖDERMANLANDS LÄN</t>
        </is>
      </c>
      <c r="E619" t="inlineStr">
        <is>
          <t>KATRINEHOLM</t>
        </is>
      </c>
      <c r="G619" t="n">
        <v>2</v>
      </c>
      <c r="H619" t="n">
        <v>0</v>
      </c>
      <c r="I619" t="n">
        <v>0</v>
      </c>
      <c r="J619" t="n">
        <v>0</v>
      </c>
      <c r="K619" t="n">
        <v>0</v>
      </c>
      <c r="L619" t="n">
        <v>0</v>
      </c>
      <c r="M619" t="n">
        <v>0</v>
      </c>
      <c r="N619" t="n">
        <v>0</v>
      </c>
      <c r="O619" t="n">
        <v>0</v>
      </c>
      <c r="P619" t="n">
        <v>0</v>
      </c>
      <c r="Q619" t="n">
        <v>0</v>
      </c>
      <c r="R619" s="2" t="inlineStr"/>
    </row>
    <row r="620" ht="15" customHeight="1">
      <c r="A620" t="inlineStr">
        <is>
          <t>A 51397-2023</t>
        </is>
      </c>
      <c r="B620" s="1" t="n">
        <v>45214</v>
      </c>
      <c r="C620" s="1" t="n">
        <v>45971</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45971</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42686-2025</t>
        </is>
      </c>
      <c r="B622" s="1" t="n">
        <v>45908.35550925926</v>
      </c>
      <c r="C622" s="1" t="n">
        <v>45971</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42799-2025</t>
        </is>
      </c>
      <c r="B623" s="1" t="n">
        <v>45907</v>
      </c>
      <c r="C623" s="1" t="n">
        <v>45971</v>
      </c>
      <c r="D623" t="inlineStr">
        <is>
          <t>SÖDERMANLANDS LÄN</t>
        </is>
      </c>
      <c r="E623" t="inlineStr">
        <is>
          <t>KATRINEHOLM</t>
        </is>
      </c>
      <c r="G623" t="n">
        <v>3.9</v>
      </c>
      <c r="H623" t="n">
        <v>0</v>
      </c>
      <c r="I623" t="n">
        <v>0</v>
      </c>
      <c r="J623" t="n">
        <v>0</v>
      </c>
      <c r="K623" t="n">
        <v>0</v>
      </c>
      <c r="L623" t="n">
        <v>0</v>
      </c>
      <c r="M623" t="n">
        <v>0</v>
      </c>
      <c r="N623" t="n">
        <v>0</v>
      </c>
      <c r="O623" t="n">
        <v>0</v>
      </c>
      <c r="P623" t="n">
        <v>0</v>
      </c>
      <c r="Q623" t="n">
        <v>0</v>
      </c>
      <c r="R623" s="2" t="inlineStr"/>
    </row>
    <row r="624" ht="15" customHeight="1">
      <c r="A624" t="inlineStr">
        <is>
          <t>A 42474-2025</t>
        </is>
      </c>
      <c r="B624" s="1" t="n">
        <v>45905.46659722222</v>
      </c>
      <c r="C624" s="1" t="n">
        <v>45971</v>
      </c>
      <c r="D624" t="inlineStr">
        <is>
          <t>SÖDERMANLANDS LÄN</t>
        </is>
      </c>
      <c r="E624" t="inlineStr">
        <is>
          <t>KATRINEHOLM</t>
        </is>
      </c>
      <c r="G624" t="n">
        <v>4</v>
      </c>
      <c r="H624" t="n">
        <v>0</v>
      </c>
      <c r="I624" t="n">
        <v>0</v>
      </c>
      <c r="J624" t="n">
        <v>0</v>
      </c>
      <c r="K624" t="n">
        <v>0</v>
      </c>
      <c r="L624" t="n">
        <v>0</v>
      </c>
      <c r="M624" t="n">
        <v>0</v>
      </c>
      <c r="N624" t="n">
        <v>0</v>
      </c>
      <c r="O624" t="n">
        <v>0</v>
      </c>
      <c r="P624" t="n">
        <v>0</v>
      </c>
      <c r="Q624" t="n">
        <v>0</v>
      </c>
      <c r="R624" s="2" t="inlineStr"/>
    </row>
    <row r="625" ht="15" customHeight="1">
      <c r="A625" t="inlineStr">
        <is>
          <t>A 51367-2025</t>
        </is>
      </c>
      <c r="B625" s="1" t="n">
        <v>45950.44700231482</v>
      </c>
      <c r="C625" s="1" t="n">
        <v>45971</v>
      </c>
      <c r="D625" t="inlineStr">
        <is>
          <t>SÖDERMANLANDS LÄN</t>
        </is>
      </c>
      <c r="E625" t="inlineStr">
        <is>
          <t>KATRINEHOLM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52658-2023</t>
        </is>
      </c>
      <c r="B626" s="1" t="n">
        <v>45225</v>
      </c>
      <c r="C626" s="1" t="n">
        <v>45971</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51780-2025</t>
        </is>
      </c>
      <c r="B627" s="1" t="n">
        <v>45951.65725694445</v>
      </c>
      <c r="C627" s="1" t="n">
        <v>45971</v>
      </c>
      <c r="D627" t="inlineStr">
        <is>
          <t>SÖDERMANLANDS LÄN</t>
        </is>
      </c>
      <c r="E627" t="inlineStr">
        <is>
          <t>KATRINEHOLM</t>
        </is>
      </c>
      <c r="F627" t="inlineStr">
        <is>
          <t>Allmännings- och besparingsskogar</t>
        </is>
      </c>
      <c r="G627" t="n">
        <v>1.3</v>
      </c>
      <c r="H627" t="n">
        <v>0</v>
      </c>
      <c r="I627" t="n">
        <v>0</v>
      </c>
      <c r="J627" t="n">
        <v>0</v>
      </c>
      <c r="K627" t="n">
        <v>0</v>
      </c>
      <c r="L627" t="n">
        <v>0</v>
      </c>
      <c r="M627" t="n">
        <v>0</v>
      </c>
      <c r="N627" t="n">
        <v>0</v>
      </c>
      <c r="O627" t="n">
        <v>0</v>
      </c>
      <c r="P627" t="n">
        <v>0</v>
      </c>
      <c r="Q627" t="n">
        <v>0</v>
      </c>
      <c r="R627" s="2" t="inlineStr"/>
    </row>
    <row r="628" ht="15" customHeight="1">
      <c r="A628" t="inlineStr">
        <is>
          <t>A 51774-2025</t>
        </is>
      </c>
      <c r="B628" s="1" t="n">
        <v>45951.65359953704</v>
      </c>
      <c r="C628" s="1" t="n">
        <v>45971</v>
      </c>
      <c r="D628" t="inlineStr">
        <is>
          <t>SÖDERMANLANDS LÄN</t>
        </is>
      </c>
      <c r="E628" t="inlineStr">
        <is>
          <t>KATRINEHOLM</t>
        </is>
      </c>
      <c r="F628" t="inlineStr">
        <is>
          <t>Allmännings- och besparingsskogar</t>
        </is>
      </c>
      <c r="G628" t="n">
        <v>3.7</v>
      </c>
      <c r="H628" t="n">
        <v>0</v>
      </c>
      <c r="I628" t="n">
        <v>0</v>
      </c>
      <c r="J628" t="n">
        <v>0</v>
      </c>
      <c r="K628" t="n">
        <v>0</v>
      </c>
      <c r="L628" t="n">
        <v>0</v>
      </c>
      <c r="M628" t="n">
        <v>0</v>
      </c>
      <c r="N628" t="n">
        <v>0</v>
      </c>
      <c r="O628" t="n">
        <v>0</v>
      </c>
      <c r="P628" t="n">
        <v>0</v>
      </c>
      <c r="Q628" t="n">
        <v>0</v>
      </c>
      <c r="R628" s="2" t="inlineStr"/>
    </row>
    <row r="629" ht="15" customHeight="1">
      <c r="A629" t="inlineStr">
        <is>
          <t>A 51783-2025</t>
        </is>
      </c>
      <c r="B629" s="1" t="n">
        <v>45951.67546296296</v>
      </c>
      <c r="C629" s="1" t="n">
        <v>45971</v>
      </c>
      <c r="D629" t="inlineStr">
        <is>
          <t>SÖDERMANLANDS LÄN</t>
        </is>
      </c>
      <c r="E629" t="inlineStr">
        <is>
          <t>KATRINEHOLM</t>
        </is>
      </c>
      <c r="F629" t="inlineStr">
        <is>
          <t>Allmännings- och besparingsskogar</t>
        </is>
      </c>
      <c r="G629" t="n">
        <v>5.8</v>
      </c>
      <c r="H629" t="n">
        <v>0</v>
      </c>
      <c r="I629" t="n">
        <v>0</v>
      </c>
      <c r="J629" t="n">
        <v>0</v>
      </c>
      <c r="K629" t="n">
        <v>0</v>
      </c>
      <c r="L629" t="n">
        <v>0</v>
      </c>
      <c r="M629" t="n">
        <v>0</v>
      </c>
      <c r="N629" t="n">
        <v>0</v>
      </c>
      <c r="O629" t="n">
        <v>0</v>
      </c>
      <c r="P629" t="n">
        <v>0</v>
      </c>
      <c r="Q629" t="n">
        <v>0</v>
      </c>
      <c r="R629" s="2" t="inlineStr"/>
    </row>
    <row r="630" ht="15" customHeight="1">
      <c r="A630" t="inlineStr">
        <is>
          <t>A 5320-2025</t>
        </is>
      </c>
      <c r="B630" s="1" t="n">
        <v>45692</v>
      </c>
      <c r="C630" s="1" t="n">
        <v>45971</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2606-2025</t>
        </is>
      </c>
      <c r="B631" s="1" t="n">
        <v>45674</v>
      </c>
      <c r="C631" s="1" t="n">
        <v>45971</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45971</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34731-2023</t>
        </is>
      </c>
      <c r="B633" s="1" t="n">
        <v>45141</v>
      </c>
      <c r="C633" s="1" t="n">
        <v>45971</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34739-2023</t>
        </is>
      </c>
      <c r="B634" s="1" t="n">
        <v>45141</v>
      </c>
      <c r="C634" s="1" t="n">
        <v>45971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27534-2025</t>
        </is>
      </c>
      <c r="B635" s="1" t="n">
        <v>45813</v>
      </c>
      <c r="C635" s="1" t="n">
        <v>45971</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27552-2025</t>
        </is>
      </c>
      <c r="B636" s="1" t="n">
        <v>45813</v>
      </c>
      <c r="C636" s="1" t="n">
        <v>45971</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20480-2022</t>
        </is>
      </c>
      <c r="B637" s="1" t="n">
        <v>44699</v>
      </c>
      <c r="C637" s="1" t="n">
        <v>45971</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27636-2025</t>
        </is>
      </c>
      <c r="B638" s="1" t="n">
        <v>45813.57603009259</v>
      </c>
      <c r="C638" s="1" t="n">
        <v>45971</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50017-2023</t>
        </is>
      </c>
      <c r="B639" s="1" t="n">
        <v>45215</v>
      </c>
      <c r="C639" s="1" t="n">
        <v>45971</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50018-2023</t>
        </is>
      </c>
      <c r="B640" s="1" t="n">
        <v>45215</v>
      </c>
      <c r="C640" s="1" t="n">
        <v>45971</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28508-2023</t>
        </is>
      </c>
      <c r="B641" s="1" t="n">
        <v>45103.46788194445</v>
      </c>
      <c r="C641" s="1" t="n">
        <v>45971</v>
      </c>
      <c r="D641" t="inlineStr">
        <is>
          <t>SÖDERMANLANDS LÄN</t>
        </is>
      </c>
      <c r="E641" t="inlineStr">
        <is>
          <t>KATRINEHOLM</t>
        </is>
      </c>
      <c r="F641" t="inlineStr">
        <is>
          <t>Kyrkan</t>
        </is>
      </c>
      <c r="G641" t="n">
        <v>20.5</v>
      </c>
      <c r="H641" t="n">
        <v>0</v>
      </c>
      <c r="I641" t="n">
        <v>0</v>
      </c>
      <c r="J641" t="n">
        <v>0</v>
      </c>
      <c r="K641" t="n">
        <v>0</v>
      </c>
      <c r="L641" t="n">
        <v>0</v>
      </c>
      <c r="M641" t="n">
        <v>0</v>
      </c>
      <c r="N641" t="n">
        <v>0</v>
      </c>
      <c r="O641" t="n">
        <v>0</v>
      </c>
      <c r="P641" t="n">
        <v>0</v>
      </c>
      <c r="Q641" t="n">
        <v>0</v>
      </c>
      <c r="R641" s="2" t="inlineStr"/>
    </row>
    <row r="642" ht="15" customHeight="1">
      <c r="A642" t="inlineStr">
        <is>
          <t>A 24600-2025</t>
        </is>
      </c>
      <c r="B642" s="1" t="n">
        <v>45798.56348379629</v>
      </c>
      <c r="C642" s="1" t="n">
        <v>45971</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46075-2023</t>
        </is>
      </c>
      <c r="B643" s="1" t="n">
        <v>45196</v>
      </c>
      <c r="C643" s="1" t="n">
        <v>45971</v>
      </c>
      <c r="D643" t="inlineStr">
        <is>
          <t>SÖDERMANLANDS LÄN</t>
        </is>
      </c>
      <c r="E643" t="inlineStr">
        <is>
          <t>KATRINEHOLM</t>
        </is>
      </c>
      <c r="F643" t="inlineStr">
        <is>
          <t>Övriga Aktiebolag</t>
        </is>
      </c>
      <c r="G643" t="n">
        <v>9.5</v>
      </c>
      <c r="H643" t="n">
        <v>0</v>
      </c>
      <c r="I643" t="n">
        <v>0</v>
      </c>
      <c r="J643" t="n">
        <v>0</v>
      </c>
      <c r="K643" t="n">
        <v>0</v>
      </c>
      <c r="L643" t="n">
        <v>0</v>
      </c>
      <c r="M643" t="n">
        <v>0</v>
      </c>
      <c r="N643" t="n">
        <v>0</v>
      </c>
      <c r="O643" t="n">
        <v>0</v>
      </c>
      <c r="P643" t="n">
        <v>0</v>
      </c>
      <c r="Q643" t="n">
        <v>0</v>
      </c>
      <c r="R643" s="2" t="inlineStr"/>
    </row>
    <row r="644" ht="15" customHeight="1">
      <c r="A644" t="inlineStr">
        <is>
          <t>A 25823-2023</t>
        </is>
      </c>
      <c r="B644" s="1" t="n">
        <v>45090.55078703703</v>
      </c>
      <c r="C644" s="1" t="n">
        <v>45971</v>
      </c>
      <c r="D644" t="inlineStr">
        <is>
          <t>SÖDERMANLANDS LÄN</t>
        </is>
      </c>
      <c r="E644" t="inlineStr">
        <is>
          <t>KATRINEHOLM</t>
        </is>
      </c>
      <c r="F644" t="inlineStr">
        <is>
          <t>Kyrkan</t>
        </is>
      </c>
      <c r="G644" t="n">
        <v>10.2</v>
      </c>
      <c r="H644" t="n">
        <v>0</v>
      </c>
      <c r="I644" t="n">
        <v>0</v>
      </c>
      <c r="J644" t="n">
        <v>0</v>
      </c>
      <c r="K644" t="n">
        <v>0</v>
      </c>
      <c r="L644" t="n">
        <v>0</v>
      </c>
      <c r="M644" t="n">
        <v>0</v>
      </c>
      <c r="N644" t="n">
        <v>0</v>
      </c>
      <c r="O644" t="n">
        <v>0</v>
      </c>
      <c r="P644" t="n">
        <v>0</v>
      </c>
      <c r="Q644" t="n">
        <v>0</v>
      </c>
      <c r="R644" s="2" t="inlineStr"/>
    </row>
    <row r="645" ht="15" customHeight="1">
      <c r="A645" t="inlineStr">
        <is>
          <t>A 35608-2024</t>
        </is>
      </c>
      <c r="B645" s="1" t="n">
        <v>45531</v>
      </c>
      <c r="C645" s="1" t="n">
        <v>45971</v>
      </c>
      <c r="D645" t="inlineStr">
        <is>
          <t>SÖDERMANLANDS LÄN</t>
        </is>
      </c>
      <c r="E645" t="inlineStr">
        <is>
          <t>KATRINEHOLM</t>
        </is>
      </c>
      <c r="G645" t="n">
        <v>2</v>
      </c>
      <c r="H645" t="n">
        <v>0</v>
      </c>
      <c r="I645" t="n">
        <v>0</v>
      </c>
      <c r="J645" t="n">
        <v>0</v>
      </c>
      <c r="K645" t="n">
        <v>0</v>
      </c>
      <c r="L645" t="n">
        <v>0</v>
      </c>
      <c r="M645" t="n">
        <v>0</v>
      </c>
      <c r="N645" t="n">
        <v>0</v>
      </c>
      <c r="O645" t="n">
        <v>0</v>
      </c>
      <c r="P645" t="n">
        <v>0</v>
      </c>
      <c r="Q645" t="n">
        <v>0</v>
      </c>
      <c r="R645" s="2" t="inlineStr"/>
    </row>
    <row r="646" ht="15" customHeight="1">
      <c r="A646" t="inlineStr">
        <is>
          <t>A 17360-2022</t>
        </is>
      </c>
      <c r="B646" s="1" t="n">
        <v>44678</v>
      </c>
      <c r="C646" s="1" t="n">
        <v>45971</v>
      </c>
      <c r="D646" t="inlineStr">
        <is>
          <t>SÖDERMANLANDS LÄN</t>
        </is>
      </c>
      <c r="E646" t="inlineStr">
        <is>
          <t>KATRINEHOLM</t>
        </is>
      </c>
      <c r="G646" t="n">
        <v>4.5</v>
      </c>
      <c r="H646" t="n">
        <v>0</v>
      </c>
      <c r="I646" t="n">
        <v>0</v>
      </c>
      <c r="J646" t="n">
        <v>0</v>
      </c>
      <c r="K646" t="n">
        <v>0</v>
      </c>
      <c r="L646" t="n">
        <v>0</v>
      </c>
      <c r="M646" t="n">
        <v>0</v>
      </c>
      <c r="N646" t="n">
        <v>0</v>
      </c>
      <c r="O646" t="n">
        <v>0</v>
      </c>
      <c r="P646" t="n">
        <v>0</v>
      </c>
      <c r="Q646" t="n">
        <v>0</v>
      </c>
      <c r="R646" s="2" t="inlineStr"/>
    </row>
    <row r="647" ht="15" customHeight="1">
      <c r="A647" t="inlineStr">
        <is>
          <t>A 12633-2022</t>
        </is>
      </c>
      <c r="B647" s="1" t="n">
        <v>44638</v>
      </c>
      <c r="C647" s="1" t="n">
        <v>45971</v>
      </c>
      <c r="D647" t="inlineStr">
        <is>
          <t>SÖDERMANLANDS LÄN</t>
        </is>
      </c>
      <c r="E647" t="inlineStr">
        <is>
          <t>KATRINEHOLM</t>
        </is>
      </c>
      <c r="G647" t="n">
        <v>6.4</v>
      </c>
      <c r="H647" t="n">
        <v>0</v>
      </c>
      <c r="I647" t="n">
        <v>0</v>
      </c>
      <c r="J647" t="n">
        <v>0</v>
      </c>
      <c r="K647" t="n">
        <v>0</v>
      </c>
      <c r="L647" t="n">
        <v>0</v>
      </c>
      <c r="M647" t="n">
        <v>0</v>
      </c>
      <c r="N647" t="n">
        <v>0</v>
      </c>
      <c r="O647" t="n">
        <v>0</v>
      </c>
      <c r="P647" t="n">
        <v>0</v>
      </c>
      <c r="Q647" t="n">
        <v>0</v>
      </c>
      <c r="R647" s="2" t="inlineStr"/>
    </row>
    <row r="648" ht="15" customHeight="1">
      <c r="A648" t="inlineStr">
        <is>
          <t>A 52242-2025</t>
        </is>
      </c>
      <c r="B648" s="1" t="n">
        <v>45953.46886574074</v>
      </c>
      <c r="C648" s="1" t="n">
        <v>45971</v>
      </c>
      <c r="D648" t="inlineStr">
        <is>
          <t>SÖDERMANLANDS LÄN</t>
        </is>
      </c>
      <c r="E648" t="inlineStr">
        <is>
          <t>KATRINEHOLM</t>
        </is>
      </c>
      <c r="G648" t="n">
        <v>5.3</v>
      </c>
      <c r="H648" t="n">
        <v>0</v>
      </c>
      <c r="I648" t="n">
        <v>0</v>
      </c>
      <c r="J648" t="n">
        <v>0</v>
      </c>
      <c r="K648" t="n">
        <v>0</v>
      </c>
      <c r="L648" t="n">
        <v>0</v>
      </c>
      <c r="M648" t="n">
        <v>0</v>
      </c>
      <c r="N648" t="n">
        <v>0</v>
      </c>
      <c r="O648" t="n">
        <v>0</v>
      </c>
      <c r="P648" t="n">
        <v>0</v>
      </c>
      <c r="Q648" t="n">
        <v>0</v>
      </c>
      <c r="R648" s="2" t="inlineStr"/>
    </row>
    <row r="649" ht="15" customHeight="1">
      <c r="A649" t="inlineStr">
        <is>
          <t>A 52239-2025</t>
        </is>
      </c>
      <c r="B649" s="1" t="n">
        <v>45953.46193287037</v>
      </c>
      <c r="C649" s="1" t="n">
        <v>45971</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29189-2025</t>
        </is>
      </c>
      <c r="B650" s="1" t="n">
        <v>45822</v>
      </c>
      <c r="C650" s="1" t="n">
        <v>45971</v>
      </c>
      <c r="D650" t="inlineStr">
        <is>
          <t>SÖDERMANLANDS LÄN</t>
        </is>
      </c>
      <c r="E650" t="inlineStr">
        <is>
          <t>KATRINEHOLM</t>
        </is>
      </c>
      <c r="G650" t="n">
        <v>3.5</v>
      </c>
      <c r="H650" t="n">
        <v>0</v>
      </c>
      <c r="I650" t="n">
        <v>0</v>
      </c>
      <c r="J650" t="n">
        <v>0</v>
      </c>
      <c r="K650" t="n">
        <v>0</v>
      </c>
      <c r="L650" t="n">
        <v>0</v>
      </c>
      <c r="M650" t="n">
        <v>0</v>
      </c>
      <c r="N650" t="n">
        <v>0</v>
      </c>
      <c r="O650" t="n">
        <v>0</v>
      </c>
      <c r="P650" t="n">
        <v>0</v>
      </c>
      <c r="Q650" t="n">
        <v>0</v>
      </c>
      <c r="R650" s="2" t="inlineStr"/>
    </row>
    <row r="651" ht="15" customHeight="1">
      <c r="A651" t="inlineStr">
        <is>
          <t>A 22295-2024</t>
        </is>
      </c>
      <c r="B651" s="1" t="n">
        <v>45446.56141203704</v>
      </c>
      <c r="C651" s="1" t="n">
        <v>45971</v>
      </c>
      <c r="D651" t="inlineStr">
        <is>
          <t>SÖDERMANLANDS LÄN</t>
        </is>
      </c>
      <c r="E651" t="inlineStr">
        <is>
          <t>KATRINEHOLM</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30050-2025</t>
        </is>
      </c>
      <c r="B652" s="1" t="n">
        <v>45826.59151620371</v>
      </c>
      <c r="C652" s="1" t="n">
        <v>45971</v>
      </c>
      <c r="D652" t="inlineStr">
        <is>
          <t>SÖDERMANLANDS LÄN</t>
        </is>
      </c>
      <c r="E652" t="inlineStr">
        <is>
          <t>KATRINEHOLM</t>
        </is>
      </c>
      <c r="G652" t="n">
        <v>7.9</v>
      </c>
      <c r="H652" t="n">
        <v>0</v>
      </c>
      <c r="I652" t="n">
        <v>0</v>
      </c>
      <c r="J652" t="n">
        <v>0</v>
      </c>
      <c r="K652" t="n">
        <v>0</v>
      </c>
      <c r="L652" t="n">
        <v>0</v>
      </c>
      <c r="M652" t="n">
        <v>0</v>
      </c>
      <c r="N652" t="n">
        <v>0</v>
      </c>
      <c r="O652" t="n">
        <v>0</v>
      </c>
      <c r="P652" t="n">
        <v>0</v>
      </c>
      <c r="Q652" t="n">
        <v>0</v>
      </c>
      <c r="R652" s="2" t="inlineStr"/>
    </row>
    <row r="653" ht="15" customHeight="1">
      <c r="A653" t="inlineStr">
        <is>
          <t>A 46700-2023</t>
        </is>
      </c>
      <c r="B653" s="1" t="n">
        <v>45194</v>
      </c>
      <c r="C653" s="1" t="n">
        <v>45971</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55590-2023</t>
        </is>
      </c>
      <c r="B654" s="1" t="n">
        <v>45238</v>
      </c>
      <c r="C654" s="1" t="n">
        <v>45971</v>
      </c>
      <c r="D654" t="inlineStr">
        <is>
          <t>SÖDERMANLANDS LÄN</t>
        </is>
      </c>
      <c r="E654" t="inlineStr">
        <is>
          <t>KATRINEHOLM</t>
        </is>
      </c>
      <c r="G654" t="n">
        <v>4.5</v>
      </c>
      <c r="H654" t="n">
        <v>0</v>
      </c>
      <c r="I654" t="n">
        <v>0</v>
      </c>
      <c r="J654" t="n">
        <v>0</v>
      </c>
      <c r="K654" t="n">
        <v>0</v>
      </c>
      <c r="L654" t="n">
        <v>0</v>
      </c>
      <c r="M654" t="n">
        <v>0</v>
      </c>
      <c r="N654" t="n">
        <v>0</v>
      </c>
      <c r="O654" t="n">
        <v>0</v>
      </c>
      <c r="P654" t="n">
        <v>0</v>
      </c>
      <c r="Q654" t="n">
        <v>0</v>
      </c>
      <c r="R654" s="2" t="inlineStr"/>
    </row>
    <row r="655" ht="15" customHeight="1">
      <c r="A655" t="inlineStr">
        <is>
          <t>A 30070-2025</t>
        </is>
      </c>
      <c r="B655" s="1" t="n">
        <v>45826.63324074074</v>
      </c>
      <c r="C655" s="1" t="n">
        <v>45971</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15898-2022</t>
        </is>
      </c>
      <c r="B656" s="1" t="n">
        <v>44664.55688657407</v>
      </c>
      <c r="C656" s="1" t="n">
        <v>45971</v>
      </c>
      <c r="D656" t="inlineStr">
        <is>
          <t>SÖDERMANLANDS LÄN</t>
        </is>
      </c>
      <c r="E656" t="inlineStr">
        <is>
          <t>KATRINEHOLM</t>
        </is>
      </c>
      <c r="G656" t="n">
        <v>6.5</v>
      </c>
      <c r="H656" t="n">
        <v>0</v>
      </c>
      <c r="I656" t="n">
        <v>0</v>
      </c>
      <c r="J656" t="n">
        <v>0</v>
      </c>
      <c r="K656" t="n">
        <v>0</v>
      </c>
      <c r="L656" t="n">
        <v>0</v>
      </c>
      <c r="M656" t="n">
        <v>0</v>
      </c>
      <c r="N656" t="n">
        <v>0</v>
      </c>
      <c r="O656" t="n">
        <v>0</v>
      </c>
      <c r="P656" t="n">
        <v>0</v>
      </c>
      <c r="Q656" t="n">
        <v>0</v>
      </c>
      <c r="R656" s="2" t="inlineStr"/>
    </row>
    <row r="657" ht="15" customHeight="1">
      <c r="A657" t="inlineStr">
        <is>
          <t>A 15910-2022</t>
        </is>
      </c>
      <c r="B657" s="1" t="n">
        <v>44664</v>
      </c>
      <c r="C657" s="1" t="n">
        <v>45971</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32818-2023</t>
        </is>
      </c>
      <c r="B658" s="1" t="n">
        <v>45124.55633101852</v>
      </c>
      <c r="C658" s="1" t="n">
        <v>45971</v>
      </c>
      <c r="D658" t="inlineStr">
        <is>
          <t>SÖDERMANLANDS LÄN</t>
        </is>
      </c>
      <c r="E658" t="inlineStr">
        <is>
          <t>KATRINEHOLM</t>
        </is>
      </c>
      <c r="G658" t="n">
        <v>3.4</v>
      </c>
      <c r="H658" t="n">
        <v>0</v>
      </c>
      <c r="I658" t="n">
        <v>0</v>
      </c>
      <c r="J658" t="n">
        <v>0</v>
      </c>
      <c r="K658" t="n">
        <v>0</v>
      </c>
      <c r="L658" t="n">
        <v>0</v>
      </c>
      <c r="M658" t="n">
        <v>0</v>
      </c>
      <c r="N658" t="n">
        <v>0</v>
      </c>
      <c r="O658" t="n">
        <v>0</v>
      </c>
      <c r="P658" t="n">
        <v>0</v>
      </c>
      <c r="Q658" t="n">
        <v>0</v>
      </c>
      <c r="R658" s="2" t="inlineStr"/>
    </row>
    <row r="659" ht="15" customHeight="1">
      <c r="A659" t="inlineStr">
        <is>
          <t>A 30287-2025</t>
        </is>
      </c>
      <c r="B659" s="1" t="n">
        <v>45827</v>
      </c>
      <c r="C659" s="1" t="n">
        <v>45971</v>
      </c>
      <c r="D659" t="inlineStr">
        <is>
          <t>SÖDERMANLANDS LÄN</t>
        </is>
      </c>
      <c r="E659" t="inlineStr">
        <is>
          <t>KATRINEHOLM</t>
        </is>
      </c>
      <c r="G659" t="n">
        <v>10.2</v>
      </c>
      <c r="H659" t="n">
        <v>0</v>
      </c>
      <c r="I659" t="n">
        <v>0</v>
      </c>
      <c r="J659" t="n">
        <v>0</v>
      </c>
      <c r="K659" t="n">
        <v>0</v>
      </c>
      <c r="L659" t="n">
        <v>0</v>
      </c>
      <c r="M659" t="n">
        <v>0</v>
      </c>
      <c r="N659" t="n">
        <v>0</v>
      </c>
      <c r="O659" t="n">
        <v>0</v>
      </c>
      <c r="P659" t="n">
        <v>0</v>
      </c>
      <c r="Q659" t="n">
        <v>0</v>
      </c>
      <c r="R659" s="2" t="inlineStr"/>
    </row>
    <row r="660" ht="15" customHeight="1">
      <c r="A660" t="inlineStr">
        <is>
          <t>A 30350-2025</t>
        </is>
      </c>
      <c r="B660" s="1" t="n">
        <v>45827.53319444445</v>
      </c>
      <c r="C660" s="1" t="n">
        <v>45971</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30352-2025</t>
        </is>
      </c>
      <c r="B661" s="1" t="n">
        <v>45827</v>
      </c>
      <c r="C661" s="1" t="n">
        <v>45971</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30386-2025</t>
        </is>
      </c>
      <c r="B662" s="1" t="n">
        <v>45827</v>
      </c>
      <c r="C662" s="1" t="n">
        <v>45971</v>
      </c>
      <c r="D662" t="inlineStr">
        <is>
          <t>SÖDERMANLANDS LÄN</t>
        </is>
      </c>
      <c r="E662" t="inlineStr">
        <is>
          <t>KATRINEHOLM</t>
        </is>
      </c>
      <c r="G662" t="n">
        <v>5.6</v>
      </c>
      <c r="H662" t="n">
        <v>0</v>
      </c>
      <c r="I662" t="n">
        <v>0</v>
      </c>
      <c r="J662" t="n">
        <v>0</v>
      </c>
      <c r="K662" t="n">
        <v>0</v>
      </c>
      <c r="L662" t="n">
        <v>0</v>
      </c>
      <c r="M662" t="n">
        <v>0</v>
      </c>
      <c r="N662" t="n">
        <v>0</v>
      </c>
      <c r="O662" t="n">
        <v>0</v>
      </c>
      <c r="P662" t="n">
        <v>0</v>
      </c>
      <c r="Q662" t="n">
        <v>0</v>
      </c>
      <c r="R662" s="2" t="inlineStr"/>
    </row>
    <row r="663" ht="15" customHeight="1">
      <c r="A663" t="inlineStr">
        <is>
          <t>A 20214-2025</t>
        </is>
      </c>
      <c r="B663" s="1" t="n">
        <v>45772.63540509259</v>
      </c>
      <c r="C663" s="1" t="n">
        <v>45971</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30402-2025</t>
        </is>
      </c>
      <c r="B664" s="1" t="n">
        <v>45827</v>
      </c>
      <c r="C664" s="1" t="n">
        <v>45971</v>
      </c>
      <c r="D664" t="inlineStr">
        <is>
          <t>SÖDERMANLANDS LÄN</t>
        </is>
      </c>
      <c r="E664" t="inlineStr">
        <is>
          <t>KATRINEHOLM</t>
        </is>
      </c>
      <c r="G664" t="n">
        <v>7.1</v>
      </c>
      <c r="H664" t="n">
        <v>0</v>
      </c>
      <c r="I664" t="n">
        <v>0</v>
      </c>
      <c r="J664" t="n">
        <v>0</v>
      </c>
      <c r="K664" t="n">
        <v>0</v>
      </c>
      <c r="L664" t="n">
        <v>0</v>
      </c>
      <c r="M664" t="n">
        <v>0</v>
      </c>
      <c r="N664" t="n">
        <v>0</v>
      </c>
      <c r="O664" t="n">
        <v>0</v>
      </c>
      <c r="P664" t="n">
        <v>0</v>
      </c>
      <c r="Q664" t="n">
        <v>0</v>
      </c>
      <c r="R664" s="2" t="inlineStr"/>
    </row>
    <row r="665" ht="15" customHeight="1">
      <c r="A665" t="inlineStr">
        <is>
          <t>A 52744-2025</t>
        </is>
      </c>
      <c r="B665" s="1" t="n">
        <v>45957.38387731482</v>
      </c>
      <c r="C665" s="1" t="n">
        <v>45971</v>
      </c>
      <c r="D665" t="inlineStr">
        <is>
          <t>SÖDERMANLANDS LÄN</t>
        </is>
      </c>
      <c r="E665" t="inlineStr">
        <is>
          <t>KATRINEHOLM</t>
        </is>
      </c>
      <c r="G665" t="n">
        <v>4</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45971</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27334-2023</t>
        </is>
      </c>
      <c r="B667" s="1" t="n">
        <v>45096</v>
      </c>
      <c r="C667" s="1" t="n">
        <v>45971</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40186-2023</t>
        </is>
      </c>
      <c r="B668" s="1" t="n">
        <v>45169</v>
      </c>
      <c r="C668" s="1" t="n">
        <v>45971</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31376-2025</t>
        </is>
      </c>
      <c r="B669" s="1" t="n">
        <v>45833</v>
      </c>
      <c r="C669" s="1" t="n">
        <v>45971</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47886-2023</t>
        </is>
      </c>
      <c r="B670" s="1" t="n">
        <v>45204</v>
      </c>
      <c r="C670" s="1" t="n">
        <v>45971</v>
      </c>
      <c r="D670" t="inlineStr">
        <is>
          <t>SÖDERMANLANDS LÄN</t>
        </is>
      </c>
      <c r="E670" t="inlineStr">
        <is>
          <t>KATRINEHOLM</t>
        </is>
      </c>
      <c r="G670" t="n">
        <v>22</v>
      </c>
      <c r="H670" t="n">
        <v>0</v>
      </c>
      <c r="I670" t="n">
        <v>0</v>
      </c>
      <c r="J670" t="n">
        <v>0</v>
      </c>
      <c r="K670" t="n">
        <v>0</v>
      </c>
      <c r="L670" t="n">
        <v>0</v>
      </c>
      <c r="M670" t="n">
        <v>0</v>
      </c>
      <c r="N670" t="n">
        <v>0</v>
      </c>
      <c r="O670" t="n">
        <v>0</v>
      </c>
      <c r="P670" t="n">
        <v>0</v>
      </c>
      <c r="Q670" t="n">
        <v>0</v>
      </c>
      <c r="R670" s="2" t="inlineStr"/>
    </row>
    <row r="671" ht="15" customHeight="1">
      <c r="A671" t="inlineStr">
        <is>
          <t>A 44071-2025</t>
        </is>
      </c>
      <c r="B671" s="1" t="n">
        <v>45915</v>
      </c>
      <c r="C671" s="1" t="n">
        <v>45971</v>
      </c>
      <c r="D671" t="inlineStr">
        <is>
          <t>SÖDERMANLANDS LÄN</t>
        </is>
      </c>
      <c r="E671" t="inlineStr">
        <is>
          <t>KATRINEHOLM</t>
        </is>
      </c>
      <c r="G671" t="n">
        <v>3.1</v>
      </c>
      <c r="H671" t="n">
        <v>0</v>
      </c>
      <c r="I671" t="n">
        <v>0</v>
      </c>
      <c r="J671" t="n">
        <v>0</v>
      </c>
      <c r="K671" t="n">
        <v>0</v>
      </c>
      <c r="L671" t="n">
        <v>0</v>
      </c>
      <c r="M671" t="n">
        <v>0</v>
      </c>
      <c r="N671" t="n">
        <v>0</v>
      </c>
      <c r="O671" t="n">
        <v>0</v>
      </c>
      <c r="P671" t="n">
        <v>0</v>
      </c>
      <c r="Q671" t="n">
        <v>0</v>
      </c>
      <c r="R671" s="2" t="inlineStr"/>
    </row>
    <row r="672" ht="15" customHeight="1">
      <c r="A672" t="inlineStr">
        <is>
          <t>A 36562-2023</t>
        </is>
      </c>
      <c r="B672" s="1" t="n">
        <v>45153</v>
      </c>
      <c r="C672" s="1" t="n">
        <v>45971</v>
      </c>
      <c r="D672" t="inlineStr">
        <is>
          <t>SÖDERMANLANDS LÄN</t>
        </is>
      </c>
      <c r="E672" t="inlineStr">
        <is>
          <t>KATRINEHOLM</t>
        </is>
      </c>
      <c r="G672" t="n">
        <v>5.8</v>
      </c>
      <c r="H672" t="n">
        <v>0</v>
      </c>
      <c r="I672" t="n">
        <v>0</v>
      </c>
      <c r="J672" t="n">
        <v>0</v>
      </c>
      <c r="K672" t="n">
        <v>0</v>
      </c>
      <c r="L672" t="n">
        <v>0</v>
      </c>
      <c r="M672" t="n">
        <v>0</v>
      </c>
      <c r="N672" t="n">
        <v>0</v>
      </c>
      <c r="O672" t="n">
        <v>0</v>
      </c>
      <c r="P672" t="n">
        <v>0</v>
      </c>
      <c r="Q672" t="n">
        <v>0</v>
      </c>
      <c r="R672" s="2" t="inlineStr"/>
    </row>
    <row r="673" ht="15" customHeight="1">
      <c r="A673" t="inlineStr">
        <is>
          <t>A 43975-2025</t>
        </is>
      </c>
      <c r="B673" s="1" t="n">
        <v>45915.41148148148</v>
      </c>
      <c r="C673" s="1" t="n">
        <v>45971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34539-2022</t>
        </is>
      </c>
      <c r="B674" s="1" t="n">
        <v>44793.50563657407</v>
      </c>
      <c r="C674" s="1" t="n">
        <v>45971</v>
      </c>
      <c r="D674" t="inlineStr">
        <is>
          <t>SÖDERMANLANDS LÄN</t>
        </is>
      </c>
      <c r="E674" t="inlineStr">
        <is>
          <t>KATRINEHOLM</t>
        </is>
      </c>
      <c r="G674" t="n">
        <v>1</v>
      </c>
      <c r="H674" t="n">
        <v>0</v>
      </c>
      <c r="I674" t="n">
        <v>0</v>
      </c>
      <c r="J674" t="n">
        <v>0</v>
      </c>
      <c r="K674" t="n">
        <v>0</v>
      </c>
      <c r="L674" t="n">
        <v>0</v>
      </c>
      <c r="M674" t="n">
        <v>0</v>
      </c>
      <c r="N674" t="n">
        <v>0</v>
      </c>
      <c r="O674" t="n">
        <v>0</v>
      </c>
      <c r="P674" t="n">
        <v>0</v>
      </c>
      <c r="Q674" t="n">
        <v>0</v>
      </c>
      <c r="R674" s="2" t="inlineStr"/>
    </row>
    <row r="675" ht="15" customHeight="1">
      <c r="A675" t="inlineStr">
        <is>
          <t>A 31392-2025</t>
        </is>
      </c>
      <c r="B675" s="1" t="n">
        <v>45833</v>
      </c>
      <c r="C675" s="1" t="n">
        <v>45971</v>
      </c>
      <c r="D675" t="inlineStr">
        <is>
          <t>SÖDERMANLANDS LÄN</t>
        </is>
      </c>
      <c r="E675" t="inlineStr">
        <is>
          <t>KATRINEHOLM</t>
        </is>
      </c>
      <c r="G675" t="n">
        <v>5</v>
      </c>
      <c r="H675" t="n">
        <v>0</v>
      </c>
      <c r="I675" t="n">
        <v>0</v>
      </c>
      <c r="J675" t="n">
        <v>0</v>
      </c>
      <c r="K675" t="n">
        <v>0</v>
      </c>
      <c r="L675" t="n">
        <v>0</v>
      </c>
      <c r="M675" t="n">
        <v>0</v>
      </c>
      <c r="N675" t="n">
        <v>0</v>
      </c>
      <c r="O675" t="n">
        <v>0</v>
      </c>
      <c r="P675" t="n">
        <v>0</v>
      </c>
      <c r="Q675" t="n">
        <v>0</v>
      </c>
      <c r="R675" s="2" t="inlineStr"/>
    </row>
    <row r="676" ht="15" customHeight="1">
      <c r="A676" t="inlineStr">
        <is>
          <t>A 31386-2025</t>
        </is>
      </c>
      <c r="B676" s="1" t="n">
        <v>45833.45259259259</v>
      </c>
      <c r="C676" s="1" t="n">
        <v>45971</v>
      </c>
      <c r="D676" t="inlineStr">
        <is>
          <t>SÖDERMANLANDS LÄN</t>
        </is>
      </c>
      <c r="E676" t="inlineStr">
        <is>
          <t>KATRINEHOLM</t>
        </is>
      </c>
      <c r="F676" t="inlineStr">
        <is>
          <t>Övriga Aktiebolag</t>
        </is>
      </c>
      <c r="G676" t="n">
        <v>2.2</v>
      </c>
      <c r="H676" t="n">
        <v>0</v>
      </c>
      <c r="I676" t="n">
        <v>0</v>
      </c>
      <c r="J676" t="n">
        <v>0</v>
      </c>
      <c r="K676" t="n">
        <v>0</v>
      </c>
      <c r="L676" t="n">
        <v>0</v>
      </c>
      <c r="M676" t="n">
        <v>0</v>
      </c>
      <c r="N676" t="n">
        <v>0</v>
      </c>
      <c r="O676" t="n">
        <v>0</v>
      </c>
      <c r="P676" t="n">
        <v>0</v>
      </c>
      <c r="Q676" t="n">
        <v>0</v>
      </c>
      <c r="R676" s="2" t="inlineStr"/>
    </row>
    <row r="677" ht="15" customHeight="1">
      <c r="A677" t="inlineStr">
        <is>
          <t>A 41205-2021</t>
        </is>
      </c>
      <c r="B677" s="1" t="n">
        <v>44424.38577546296</v>
      </c>
      <c r="C677" s="1" t="n">
        <v>45971</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53338-2025</t>
        </is>
      </c>
      <c r="B678" s="1" t="n">
        <v>45959.40447916667</v>
      </c>
      <c r="C678" s="1" t="n">
        <v>45971</v>
      </c>
      <c r="D678" t="inlineStr">
        <is>
          <t>SÖDERMANLANDS LÄN</t>
        </is>
      </c>
      <c r="E678" t="inlineStr">
        <is>
          <t>KATRINEHOLM</t>
        </is>
      </c>
      <c r="G678" t="n">
        <v>2.9</v>
      </c>
      <c r="H678" t="n">
        <v>0</v>
      </c>
      <c r="I678" t="n">
        <v>0</v>
      </c>
      <c r="J678" t="n">
        <v>0</v>
      </c>
      <c r="K678" t="n">
        <v>0</v>
      </c>
      <c r="L678" t="n">
        <v>0</v>
      </c>
      <c r="M678" t="n">
        <v>0</v>
      </c>
      <c r="N678" t="n">
        <v>0</v>
      </c>
      <c r="O678" t="n">
        <v>0</v>
      </c>
      <c r="P678" t="n">
        <v>0</v>
      </c>
      <c r="Q678" t="n">
        <v>0</v>
      </c>
      <c r="R678" s="2" t="inlineStr"/>
    </row>
    <row r="679" ht="15" customHeight="1">
      <c r="A679" t="inlineStr">
        <is>
          <t>A 24748-2024</t>
        </is>
      </c>
      <c r="B679" s="1" t="n">
        <v>45460.66567129629</v>
      </c>
      <c r="C679" s="1" t="n">
        <v>45971</v>
      </c>
      <c r="D679" t="inlineStr">
        <is>
          <t>SÖDERMANLANDS LÄN</t>
        </is>
      </c>
      <c r="E679" t="inlineStr">
        <is>
          <t>KATRINEHOLM</t>
        </is>
      </c>
      <c r="G679" t="n">
        <v>3.3</v>
      </c>
      <c r="H679" t="n">
        <v>0</v>
      </c>
      <c r="I679" t="n">
        <v>0</v>
      </c>
      <c r="J679" t="n">
        <v>0</v>
      </c>
      <c r="K679" t="n">
        <v>0</v>
      </c>
      <c r="L679" t="n">
        <v>0</v>
      </c>
      <c r="M679" t="n">
        <v>0</v>
      </c>
      <c r="N679" t="n">
        <v>0</v>
      </c>
      <c r="O679" t="n">
        <v>0</v>
      </c>
      <c r="P679" t="n">
        <v>0</v>
      </c>
      <c r="Q679" t="n">
        <v>0</v>
      </c>
      <c r="R679" s="2" t="inlineStr"/>
    </row>
    <row r="680" ht="15" customHeight="1">
      <c r="A680" t="inlineStr">
        <is>
          <t>A 2298-2021</t>
        </is>
      </c>
      <c r="B680" s="1" t="n">
        <v>44212</v>
      </c>
      <c r="C680" s="1" t="n">
        <v>45971</v>
      </c>
      <c r="D680" t="inlineStr">
        <is>
          <t>SÖDERMANLANDS LÄN</t>
        </is>
      </c>
      <c r="E680" t="inlineStr">
        <is>
          <t>KATRINEHOLM</t>
        </is>
      </c>
      <c r="G680" t="n">
        <v>3.4</v>
      </c>
      <c r="H680" t="n">
        <v>0</v>
      </c>
      <c r="I680" t="n">
        <v>0</v>
      </c>
      <c r="J680" t="n">
        <v>0</v>
      </c>
      <c r="K680" t="n">
        <v>0</v>
      </c>
      <c r="L680" t="n">
        <v>0</v>
      </c>
      <c r="M680" t="n">
        <v>0</v>
      </c>
      <c r="N680" t="n">
        <v>0</v>
      </c>
      <c r="O680" t="n">
        <v>0</v>
      </c>
      <c r="P680" t="n">
        <v>0</v>
      </c>
      <c r="Q680" t="n">
        <v>0</v>
      </c>
      <c r="R680" s="2" t="inlineStr"/>
    </row>
    <row r="681" ht="15" customHeight="1">
      <c r="A681" t="inlineStr">
        <is>
          <t>A 31990-2025</t>
        </is>
      </c>
      <c r="B681" s="1" t="n">
        <v>45835.36697916667</v>
      </c>
      <c r="C681" s="1" t="n">
        <v>45971</v>
      </c>
      <c r="D681" t="inlineStr">
        <is>
          <t>SÖDERMANLANDS LÄN</t>
        </is>
      </c>
      <c r="E681" t="inlineStr">
        <is>
          <t>KATRINEHOLM</t>
        </is>
      </c>
      <c r="G681" t="n">
        <v>0.5</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44823.44353009259</v>
      </c>
      <c r="C682" s="1" t="n">
        <v>45971</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17792-2025</t>
        </is>
      </c>
      <c r="B683" s="1" t="n">
        <v>45758</v>
      </c>
      <c r="C683" s="1" t="n">
        <v>45971</v>
      </c>
      <c r="D683" t="inlineStr">
        <is>
          <t>SÖDERMANLANDS LÄN</t>
        </is>
      </c>
      <c r="E683" t="inlineStr">
        <is>
          <t>KATRINEHOLM</t>
        </is>
      </c>
      <c r="G683" t="n">
        <v>4.2</v>
      </c>
      <c r="H683" t="n">
        <v>0</v>
      </c>
      <c r="I683" t="n">
        <v>0</v>
      </c>
      <c r="J683" t="n">
        <v>0</v>
      </c>
      <c r="K683" t="n">
        <v>0</v>
      </c>
      <c r="L683" t="n">
        <v>0</v>
      </c>
      <c r="M683" t="n">
        <v>0</v>
      </c>
      <c r="N683" t="n">
        <v>0</v>
      </c>
      <c r="O683" t="n">
        <v>0</v>
      </c>
      <c r="P683" t="n">
        <v>0</v>
      </c>
      <c r="Q683" t="n">
        <v>0</v>
      </c>
      <c r="R683" s="2" t="inlineStr"/>
    </row>
    <row r="684" ht="15" customHeight="1">
      <c r="A684" t="inlineStr">
        <is>
          <t>A 17820-2025</t>
        </is>
      </c>
      <c r="B684" s="1" t="n">
        <v>45758</v>
      </c>
      <c r="C684" s="1" t="n">
        <v>45971</v>
      </c>
      <c r="D684" t="inlineStr">
        <is>
          <t>SÖDERMANLANDS LÄN</t>
        </is>
      </c>
      <c r="E684" t="inlineStr">
        <is>
          <t>KATRINEHOLM</t>
        </is>
      </c>
      <c r="G684" t="n">
        <v>5.9</v>
      </c>
      <c r="H684" t="n">
        <v>0</v>
      </c>
      <c r="I684" t="n">
        <v>0</v>
      </c>
      <c r="J684" t="n">
        <v>0</v>
      </c>
      <c r="K684" t="n">
        <v>0</v>
      </c>
      <c r="L684" t="n">
        <v>0</v>
      </c>
      <c r="M684" t="n">
        <v>0</v>
      </c>
      <c r="N684" t="n">
        <v>0</v>
      </c>
      <c r="O684" t="n">
        <v>0</v>
      </c>
      <c r="P684" t="n">
        <v>0</v>
      </c>
      <c r="Q684" t="n">
        <v>0</v>
      </c>
      <c r="R684" s="2" t="inlineStr"/>
    </row>
    <row r="685" ht="15" customHeight="1">
      <c r="A685" t="inlineStr">
        <is>
          <t>A 30387-2022</t>
        </is>
      </c>
      <c r="B685" s="1" t="n">
        <v>44760</v>
      </c>
      <c r="C685" s="1" t="n">
        <v>45971</v>
      </c>
      <c r="D685" t="inlineStr">
        <is>
          <t>SÖDERMANLANDS LÄN</t>
        </is>
      </c>
      <c r="E685" t="inlineStr">
        <is>
          <t>KATRINEHOLM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33077-2025</t>
        </is>
      </c>
      <c r="B686" s="1" t="n">
        <v>45840.45864583334</v>
      </c>
      <c r="C686" s="1" t="n">
        <v>45971</v>
      </c>
      <c r="D686" t="inlineStr">
        <is>
          <t>SÖDERMANLANDS LÄN</t>
        </is>
      </c>
      <c r="E686" t="inlineStr">
        <is>
          <t>KATRINEHOLM</t>
        </is>
      </c>
      <c r="G686" t="n">
        <v>7</v>
      </c>
      <c r="H686" t="n">
        <v>0</v>
      </c>
      <c r="I686" t="n">
        <v>0</v>
      </c>
      <c r="J686" t="n">
        <v>0</v>
      </c>
      <c r="K686" t="n">
        <v>0</v>
      </c>
      <c r="L686" t="n">
        <v>0</v>
      </c>
      <c r="M686" t="n">
        <v>0</v>
      </c>
      <c r="N686" t="n">
        <v>0</v>
      </c>
      <c r="O686" t="n">
        <v>0</v>
      </c>
      <c r="P686" t="n">
        <v>0</v>
      </c>
      <c r="Q686" t="n">
        <v>0</v>
      </c>
      <c r="R686" s="2" t="inlineStr"/>
    </row>
    <row r="687" ht="15" customHeight="1">
      <c r="A687" t="inlineStr">
        <is>
          <t>A 33096-2025</t>
        </is>
      </c>
      <c r="B687" s="1" t="n">
        <v>45840.47563657408</v>
      </c>
      <c r="C687" s="1" t="n">
        <v>45971</v>
      </c>
      <c r="D687" t="inlineStr">
        <is>
          <t>SÖDERMANLANDS LÄN</t>
        </is>
      </c>
      <c r="E687" t="inlineStr">
        <is>
          <t>KATRINEHOLM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33101-2025</t>
        </is>
      </c>
      <c r="B688" s="1" t="n">
        <v>45840.47953703703</v>
      </c>
      <c r="C688" s="1" t="n">
        <v>45971</v>
      </c>
      <c r="D688" t="inlineStr">
        <is>
          <t>SÖDERMANLANDS LÄN</t>
        </is>
      </c>
      <c r="E688" t="inlineStr">
        <is>
          <t>KATRINEHOLM</t>
        </is>
      </c>
      <c r="G688" t="n">
        <v>4.4</v>
      </c>
      <c r="H688" t="n">
        <v>0</v>
      </c>
      <c r="I688" t="n">
        <v>0</v>
      </c>
      <c r="J688" t="n">
        <v>0</v>
      </c>
      <c r="K688" t="n">
        <v>0</v>
      </c>
      <c r="L688" t="n">
        <v>0</v>
      </c>
      <c r="M688" t="n">
        <v>0</v>
      </c>
      <c r="N688" t="n">
        <v>0</v>
      </c>
      <c r="O688" t="n">
        <v>0</v>
      </c>
      <c r="P688" t="n">
        <v>0</v>
      </c>
      <c r="Q688" t="n">
        <v>0</v>
      </c>
      <c r="R688" s="2" t="inlineStr"/>
    </row>
    <row r="689" ht="15" customHeight="1">
      <c r="A689" t="inlineStr">
        <is>
          <t>A 33090-2025</t>
        </is>
      </c>
      <c r="B689" s="1" t="n">
        <v>45840.46840277778</v>
      </c>
      <c r="C689" s="1" t="n">
        <v>45971</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33084-2025</t>
        </is>
      </c>
      <c r="B690" s="1" t="n">
        <v>45840.46559027778</v>
      </c>
      <c r="C690" s="1" t="n">
        <v>45971</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33129-2025</t>
        </is>
      </c>
      <c r="B691" s="1" t="n">
        <v>45840.50141203704</v>
      </c>
      <c r="C691" s="1" t="n">
        <v>45971</v>
      </c>
      <c r="D691" t="inlineStr">
        <is>
          <t>SÖDERMANLANDS LÄN</t>
        </is>
      </c>
      <c r="E691" t="inlineStr">
        <is>
          <t>KATRINEHOLM</t>
        </is>
      </c>
      <c r="G691" t="n">
        <v>2.6</v>
      </c>
      <c r="H691" t="n">
        <v>0</v>
      </c>
      <c r="I691" t="n">
        <v>0</v>
      </c>
      <c r="J691" t="n">
        <v>0</v>
      </c>
      <c r="K691" t="n">
        <v>0</v>
      </c>
      <c r="L691" t="n">
        <v>0</v>
      </c>
      <c r="M691" t="n">
        <v>0</v>
      </c>
      <c r="N691" t="n">
        <v>0</v>
      </c>
      <c r="O691" t="n">
        <v>0</v>
      </c>
      <c r="P691" t="n">
        <v>0</v>
      </c>
      <c r="Q691" t="n">
        <v>0</v>
      </c>
      <c r="R691" s="2" t="inlineStr"/>
    </row>
    <row r="692" ht="15" customHeight="1">
      <c r="A692" t="inlineStr">
        <is>
          <t>A 33577-2025</t>
        </is>
      </c>
      <c r="B692" s="1" t="n">
        <v>45841.59056712963</v>
      </c>
      <c r="C692" s="1" t="n">
        <v>45971</v>
      </c>
      <c r="D692" t="inlineStr">
        <is>
          <t>SÖDERMANLANDS LÄN</t>
        </is>
      </c>
      <c r="E692" t="inlineStr">
        <is>
          <t>KATRINEHOLM</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33469-2025</t>
        </is>
      </c>
      <c r="B693" s="1" t="n">
        <v>45841.48686342593</v>
      </c>
      <c r="C693" s="1" t="n">
        <v>45971</v>
      </c>
      <c r="D693" t="inlineStr">
        <is>
          <t>SÖDERMANLANDS LÄN</t>
        </is>
      </c>
      <c r="E693" t="inlineStr">
        <is>
          <t>KATRINEHOLM</t>
        </is>
      </c>
      <c r="G693" t="n">
        <v>2.1</v>
      </c>
      <c r="H693" t="n">
        <v>0</v>
      </c>
      <c r="I693" t="n">
        <v>0</v>
      </c>
      <c r="J693" t="n">
        <v>0</v>
      </c>
      <c r="K693" t="n">
        <v>0</v>
      </c>
      <c r="L693" t="n">
        <v>0</v>
      </c>
      <c r="M693" t="n">
        <v>0</v>
      </c>
      <c r="N693" t="n">
        <v>0</v>
      </c>
      <c r="O693" t="n">
        <v>0</v>
      </c>
      <c r="P693" t="n">
        <v>0</v>
      </c>
      <c r="Q693" t="n">
        <v>0</v>
      </c>
      <c r="R693" s="2" t="inlineStr"/>
    </row>
    <row r="694" ht="15" customHeight="1">
      <c r="A694" t="inlineStr">
        <is>
          <t>A 33812-2025</t>
        </is>
      </c>
      <c r="B694" s="1" t="n">
        <v>45842</v>
      </c>
      <c r="C694" s="1" t="n">
        <v>45971</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33815-2025</t>
        </is>
      </c>
      <c r="B695" s="1" t="n">
        <v>45842</v>
      </c>
      <c r="C695" s="1" t="n">
        <v>45971</v>
      </c>
      <c r="D695" t="inlineStr">
        <is>
          <t>SÖDERMANLANDS LÄN</t>
        </is>
      </c>
      <c r="E695" t="inlineStr">
        <is>
          <t>KATRINEHOLM</t>
        </is>
      </c>
      <c r="G695" t="n">
        <v>3.4</v>
      </c>
      <c r="H695" t="n">
        <v>0</v>
      </c>
      <c r="I695" t="n">
        <v>0</v>
      </c>
      <c r="J695" t="n">
        <v>0</v>
      </c>
      <c r="K695" t="n">
        <v>0</v>
      </c>
      <c r="L695" t="n">
        <v>0</v>
      </c>
      <c r="M695" t="n">
        <v>0</v>
      </c>
      <c r="N695" t="n">
        <v>0</v>
      </c>
      <c r="O695" t="n">
        <v>0</v>
      </c>
      <c r="P695" t="n">
        <v>0</v>
      </c>
      <c r="Q695" t="n">
        <v>0</v>
      </c>
      <c r="R695" s="2" t="inlineStr"/>
    </row>
    <row r="696" ht="15" customHeight="1">
      <c r="A696" t="inlineStr">
        <is>
          <t>A 39052-2023</t>
        </is>
      </c>
      <c r="B696" s="1" t="n">
        <v>45163</v>
      </c>
      <c r="C696" s="1" t="n">
        <v>45971</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8922-2024</t>
        </is>
      </c>
      <c r="B697" s="1" t="n">
        <v>45357.38601851852</v>
      </c>
      <c r="C697" s="1" t="n">
        <v>45971</v>
      </c>
      <c r="D697" t="inlineStr">
        <is>
          <t>SÖDERMANLANDS LÄN</t>
        </is>
      </c>
      <c r="E697" t="inlineStr">
        <is>
          <t>KATRINEHOLM</t>
        </is>
      </c>
      <c r="G697" t="n">
        <v>2.2</v>
      </c>
      <c r="H697" t="n">
        <v>0</v>
      </c>
      <c r="I697" t="n">
        <v>0</v>
      </c>
      <c r="J697" t="n">
        <v>0</v>
      </c>
      <c r="K697" t="n">
        <v>0</v>
      </c>
      <c r="L697" t="n">
        <v>0</v>
      </c>
      <c r="M697" t="n">
        <v>0</v>
      </c>
      <c r="N697" t="n">
        <v>0</v>
      </c>
      <c r="O697" t="n">
        <v>0</v>
      </c>
      <c r="P697" t="n">
        <v>0</v>
      </c>
      <c r="Q697" t="n">
        <v>0</v>
      </c>
      <c r="R697" s="2" t="inlineStr"/>
    </row>
    <row r="698" ht="15" customHeight="1">
      <c r="A698" t="inlineStr">
        <is>
          <t>A 6762-2025</t>
        </is>
      </c>
      <c r="B698" s="1" t="n">
        <v>45700</v>
      </c>
      <c r="C698" s="1" t="n">
        <v>45971</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20213-2025</t>
        </is>
      </c>
      <c r="B699" s="1" t="n">
        <v>45772.63453703704</v>
      </c>
      <c r="C699" s="1" t="n">
        <v>45971</v>
      </c>
      <c r="D699" t="inlineStr">
        <is>
          <t>SÖDERMANLANDS LÄN</t>
        </is>
      </c>
      <c r="E699" t="inlineStr">
        <is>
          <t>KATRINEHOLM</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48160-2022</t>
        </is>
      </c>
      <c r="B700" s="1" t="n">
        <v>44853</v>
      </c>
      <c r="C700" s="1" t="n">
        <v>45971</v>
      </c>
      <c r="D700" t="inlineStr">
        <is>
          <t>SÖDERMANLANDS LÄN</t>
        </is>
      </c>
      <c r="E700" t="inlineStr">
        <is>
          <t>KATRINEHOLM</t>
        </is>
      </c>
      <c r="F700" t="inlineStr">
        <is>
          <t>Övriga statliga verk och myndigheter</t>
        </is>
      </c>
      <c r="G700" t="n">
        <v>2.2</v>
      </c>
      <c r="H700" t="n">
        <v>0</v>
      </c>
      <c r="I700" t="n">
        <v>0</v>
      </c>
      <c r="J700" t="n">
        <v>0</v>
      </c>
      <c r="K700" t="n">
        <v>0</v>
      </c>
      <c r="L700" t="n">
        <v>0</v>
      </c>
      <c r="M700" t="n">
        <v>0</v>
      </c>
      <c r="N700" t="n">
        <v>0</v>
      </c>
      <c r="O700" t="n">
        <v>0</v>
      </c>
      <c r="P700" t="n">
        <v>0</v>
      </c>
      <c r="Q700" t="n">
        <v>0</v>
      </c>
      <c r="R700" s="2" t="inlineStr"/>
    </row>
    <row r="701" ht="15" customHeight="1">
      <c r="A701" t="inlineStr">
        <is>
          <t>A 28317-2024</t>
        </is>
      </c>
      <c r="B701" s="1" t="n">
        <v>45477</v>
      </c>
      <c r="C701" s="1" t="n">
        <v>45971</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52244-2025</t>
        </is>
      </c>
      <c r="B702" s="1" t="n">
        <v>45953</v>
      </c>
      <c r="C702" s="1" t="n">
        <v>45971</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66393-2021</t>
        </is>
      </c>
      <c r="B703" s="1" t="n">
        <v>44518</v>
      </c>
      <c r="C703" s="1" t="n">
        <v>45971</v>
      </c>
      <c r="D703" t="inlineStr">
        <is>
          <t>SÖDERMANLANDS LÄN</t>
        </is>
      </c>
      <c r="E703" t="inlineStr">
        <is>
          <t>KATRINEHOLM</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47134-2022</t>
        </is>
      </c>
      <c r="B704" s="1" t="n">
        <v>44851</v>
      </c>
      <c r="C704" s="1" t="n">
        <v>45971</v>
      </c>
      <c r="D704" t="inlineStr">
        <is>
          <t>SÖDERMANLANDS LÄN</t>
        </is>
      </c>
      <c r="E704" t="inlineStr">
        <is>
          <t>KATRINEHOLM</t>
        </is>
      </c>
      <c r="F704" t="inlineStr">
        <is>
          <t>Övriga statliga verk och myndigheter</t>
        </is>
      </c>
      <c r="G704" t="n">
        <v>1.5</v>
      </c>
      <c r="H704" t="n">
        <v>0</v>
      </c>
      <c r="I704" t="n">
        <v>0</v>
      </c>
      <c r="J704" t="n">
        <v>0</v>
      </c>
      <c r="K704" t="n">
        <v>0</v>
      </c>
      <c r="L704" t="n">
        <v>0</v>
      </c>
      <c r="M704" t="n">
        <v>0</v>
      </c>
      <c r="N704" t="n">
        <v>0</v>
      </c>
      <c r="O704" t="n">
        <v>0</v>
      </c>
      <c r="P704" t="n">
        <v>0</v>
      </c>
      <c r="Q704" t="n">
        <v>0</v>
      </c>
      <c r="R704" s="2" t="inlineStr"/>
    </row>
    <row r="705" ht="15" customHeight="1">
      <c r="A705" t="inlineStr">
        <is>
          <t>A 1143-2024</t>
        </is>
      </c>
      <c r="B705" s="1" t="n">
        <v>45302</v>
      </c>
      <c r="C705" s="1" t="n">
        <v>45971</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3982-2024</t>
        </is>
      </c>
      <c r="B706" s="1" t="n">
        <v>45322</v>
      </c>
      <c r="C706" s="1" t="n">
        <v>45971</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57263-2022</t>
        </is>
      </c>
      <c r="B707" s="1" t="n">
        <v>44895</v>
      </c>
      <c r="C707" s="1" t="n">
        <v>45971</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28431-2024</t>
        </is>
      </c>
      <c r="B708" s="1" t="n">
        <v>45477.65216435185</v>
      </c>
      <c r="C708" s="1" t="n">
        <v>45971</v>
      </c>
      <c r="D708" t="inlineStr">
        <is>
          <t>SÖDERMANLANDS LÄN</t>
        </is>
      </c>
      <c r="E708" t="inlineStr">
        <is>
          <t>KATRINEHOLM</t>
        </is>
      </c>
      <c r="G708" t="n">
        <v>3.5</v>
      </c>
      <c r="H708" t="n">
        <v>0</v>
      </c>
      <c r="I708" t="n">
        <v>0</v>
      </c>
      <c r="J708" t="n">
        <v>0</v>
      </c>
      <c r="K708" t="n">
        <v>0</v>
      </c>
      <c r="L708" t="n">
        <v>0</v>
      </c>
      <c r="M708" t="n">
        <v>0</v>
      </c>
      <c r="N708" t="n">
        <v>0</v>
      </c>
      <c r="O708" t="n">
        <v>0</v>
      </c>
      <c r="P708" t="n">
        <v>0</v>
      </c>
      <c r="Q708" t="n">
        <v>0</v>
      </c>
      <c r="R708" s="2" t="inlineStr"/>
    </row>
    <row r="709" ht="15" customHeight="1">
      <c r="A709" t="inlineStr">
        <is>
          <t>A 35156-2025</t>
        </is>
      </c>
      <c r="B709" s="1" t="n">
        <v>45852</v>
      </c>
      <c r="C709" s="1" t="n">
        <v>45971</v>
      </c>
      <c r="D709" t="inlineStr">
        <is>
          <t>SÖDERMANLANDS LÄN</t>
        </is>
      </c>
      <c r="E709" t="inlineStr">
        <is>
          <t>KATRINEHOLM</t>
        </is>
      </c>
      <c r="G709" t="n">
        <v>5.7</v>
      </c>
      <c r="H709" t="n">
        <v>0</v>
      </c>
      <c r="I709" t="n">
        <v>0</v>
      </c>
      <c r="J709" t="n">
        <v>0</v>
      </c>
      <c r="K709" t="n">
        <v>0</v>
      </c>
      <c r="L709" t="n">
        <v>0</v>
      </c>
      <c r="M709" t="n">
        <v>0</v>
      </c>
      <c r="N709" t="n">
        <v>0</v>
      </c>
      <c r="O709" t="n">
        <v>0</v>
      </c>
      <c r="P709" t="n">
        <v>0</v>
      </c>
      <c r="Q709" t="n">
        <v>0</v>
      </c>
      <c r="R709" s="2" t="inlineStr"/>
    </row>
    <row r="710" ht="15" customHeight="1">
      <c r="A710" t="inlineStr">
        <is>
          <t>A 35152-2025</t>
        </is>
      </c>
      <c r="B710" s="1" t="n">
        <v>45852</v>
      </c>
      <c r="C710" s="1" t="n">
        <v>45971</v>
      </c>
      <c r="D710" t="inlineStr">
        <is>
          <t>SÖDERMANLANDS LÄN</t>
        </is>
      </c>
      <c r="E710" t="inlineStr">
        <is>
          <t>KATRINEHOLM</t>
        </is>
      </c>
      <c r="G710" t="n">
        <v>4.6</v>
      </c>
      <c r="H710" t="n">
        <v>0</v>
      </c>
      <c r="I710" t="n">
        <v>0</v>
      </c>
      <c r="J710" t="n">
        <v>0</v>
      </c>
      <c r="K710" t="n">
        <v>0</v>
      </c>
      <c r="L710" t="n">
        <v>0</v>
      </c>
      <c r="M710" t="n">
        <v>0</v>
      </c>
      <c r="N710" t="n">
        <v>0</v>
      </c>
      <c r="O710" t="n">
        <v>0</v>
      </c>
      <c r="P710" t="n">
        <v>0</v>
      </c>
      <c r="Q710" t="n">
        <v>0</v>
      </c>
      <c r="R710" s="2" t="inlineStr"/>
    </row>
    <row r="711" ht="15" customHeight="1">
      <c r="A711" t="inlineStr">
        <is>
          <t>A 35165-2025</t>
        </is>
      </c>
      <c r="B711" s="1" t="n">
        <v>45852.72320601852</v>
      </c>
      <c r="C711" s="1" t="n">
        <v>45971</v>
      </c>
      <c r="D711" t="inlineStr">
        <is>
          <t>SÖDERMANLANDS LÄN</t>
        </is>
      </c>
      <c r="E711" t="inlineStr">
        <is>
          <t>KATRINEHOLM</t>
        </is>
      </c>
      <c r="F711" t="inlineStr">
        <is>
          <t>Övriga Aktiebolag</t>
        </is>
      </c>
      <c r="G711" t="n">
        <v>20.7</v>
      </c>
      <c r="H711" t="n">
        <v>0</v>
      </c>
      <c r="I711" t="n">
        <v>0</v>
      </c>
      <c r="J711" t="n">
        <v>0</v>
      </c>
      <c r="K711" t="n">
        <v>0</v>
      </c>
      <c r="L711" t="n">
        <v>0</v>
      </c>
      <c r="M711" t="n">
        <v>0</v>
      </c>
      <c r="N711" t="n">
        <v>0</v>
      </c>
      <c r="O711" t="n">
        <v>0</v>
      </c>
      <c r="P711" t="n">
        <v>0</v>
      </c>
      <c r="Q711" t="n">
        <v>0</v>
      </c>
      <c r="R711" s="2" t="inlineStr"/>
    </row>
    <row r="712" ht="15" customHeight="1">
      <c r="A712" t="inlineStr">
        <is>
          <t>A 35149-2025</t>
        </is>
      </c>
      <c r="B712" s="1" t="n">
        <v>45852</v>
      </c>
      <c r="C712" s="1" t="n">
        <v>45971</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35161-2025</t>
        </is>
      </c>
      <c r="B713" s="1" t="n">
        <v>45852.70716435185</v>
      </c>
      <c r="C713" s="1" t="n">
        <v>45971</v>
      </c>
      <c r="D713" t="inlineStr">
        <is>
          <t>SÖDERMANLANDS LÄN</t>
        </is>
      </c>
      <c r="E713" t="inlineStr">
        <is>
          <t>KATRINEHOLM</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62418-2023</t>
        </is>
      </c>
      <c r="B714" s="1" t="n">
        <v>45268</v>
      </c>
      <c r="C714" s="1" t="n">
        <v>45971</v>
      </c>
      <c r="D714" t="inlineStr">
        <is>
          <t>SÖDERMANLANDS LÄN</t>
        </is>
      </c>
      <c r="E714" t="inlineStr">
        <is>
          <t>KATRINEHOLM</t>
        </is>
      </c>
      <c r="G714" t="n">
        <v>3</v>
      </c>
      <c r="H714" t="n">
        <v>0</v>
      </c>
      <c r="I714" t="n">
        <v>0</v>
      </c>
      <c r="J714" t="n">
        <v>0</v>
      </c>
      <c r="K714" t="n">
        <v>0</v>
      </c>
      <c r="L714" t="n">
        <v>0</v>
      </c>
      <c r="M714" t="n">
        <v>0</v>
      </c>
      <c r="N714" t="n">
        <v>0</v>
      </c>
      <c r="O714" t="n">
        <v>0</v>
      </c>
      <c r="P714" t="n">
        <v>0</v>
      </c>
      <c r="Q714" t="n">
        <v>0</v>
      </c>
      <c r="R714" s="2" t="inlineStr"/>
    </row>
    <row r="715" ht="15" customHeight="1">
      <c r="A715" t="inlineStr">
        <is>
          <t>A 35084-2025</t>
        </is>
      </c>
      <c r="B715" s="1" t="n">
        <v>45852</v>
      </c>
      <c r="C715" s="1" t="n">
        <v>45971</v>
      </c>
      <c r="D715" t="inlineStr">
        <is>
          <t>SÖDERMANLANDS LÄN</t>
        </is>
      </c>
      <c r="E715" t="inlineStr">
        <is>
          <t>KATRINEHOLM</t>
        </is>
      </c>
      <c r="G715" t="n">
        <v>3.2</v>
      </c>
      <c r="H715" t="n">
        <v>0</v>
      </c>
      <c r="I715" t="n">
        <v>0</v>
      </c>
      <c r="J715" t="n">
        <v>0</v>
      </c>
      <c r="K715" t="n">
        <v>0</v>
      </c>
      <c r="L715" t="n">
        <v>0</v>
      </c>
      <c r="M715" t="n">
        <v>0</v>
      </c>
      <c r="N715" t="n">
        <v>0</v>
      </c>
      <c r="O715" t="n">
        <v>0</v>
      </c>
      <c r="P715" t="n">
        <v>0</v>
      </c>
      <c r="Q715" t="n">
        <v>0</v>
      </c>
      <c r="R715" s="2" t="inlineStr"/>
    </row>
    <row r="716" ht="15" customHeight="1">
      <c r="A716" t="inlineStr">
        <is>
          <t>A 35145-2025</t>
        </is>
      </c>
      <c r="B716" s="1" t="n">
        <v>45852</v>
      </c>
      <c r="C716" s="1" t="n">
        <v>45971</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34439-2025</t>
        </is>
      </c>
      <c r="B717" s="1" t="n">
        <v>45845</v>
      </c>
      <c r="C717" s="1" t="n">
        <v>45971</v>
      </c>
      <c r="D717" t="inlineStr">
        <is>
          <t>SÖDERMANLANDS LÄN</t>
        </is>
      </c>
      <c r="E717" t="inlineStr">
        <is>
          <t>KATRINEHOLM</t>
        </is>
      </c>
      <c r="G717" t="n">
        <v>1.4</v>
      </c>
      <c r="H717" t="n">
        <v>0</v>
      </c>
      <c r="I717" t="n">
        <v>0</v>
      </c>
      <c r="J717" t="n">
        <v>0</v>
      </c>
      <c r="K717" t="n">
        <v>0</v>
      </c>
      <c r="L717" t="n">
        <v>0</v>
      </c>
      <c r="M717" t="n">
        <v>0</v>
      </c>
      <c r="N717" t="n">
        <v>0</v>
      </c>
      <c r="O717" t="n">
        <v>0</v>
      </c>
      <c r="P717" t="n">
        <v>0</v>
      </c>
      <c r="Q717" t="n">
        <v>0</v>
      </c>
      <c r="R717" s="2" t="inlineStr"/>
    </row>
    <row r="718" ht="15" customHeight="1">
      <c r="A718" t="inlineStr">
        <is>
          <t>A 35157-2025</t>
        </is>
      </c>
      <c r="B718" s="1" t="n">
        <v>45852</v>
      </c>
      <c r="C718" s="1" t="n">
        <v>45971</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35158-2025</t>
        </is>
      </c>
      <c r="B719" s="1" t="n">
        <v>45852</v>
      </c>
      <c r="C719" s="1" t="n">
        <v>45971</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45142-2021</t>
        </is>
      </c>
      <c r="B720" s="1" t="n">
        <v>44439</v>
      </c>
      <c r="C720" s="1" t="n">
        <v>45971</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7191-2023</t>
        </is>
      </c>
      <c r="B721" s="1" t="n">
        <v>44965</v>
      </c>
      <c r="C721" s="1" t="n">
        <v>45971</v>
      </c>
      <c r="D721" t="inlineStr">
        <is>
          <t>SÖDERMANLANDS LÄN</t>
        </is>
      </c>
      <c r="E721" t="inlineStr">
        <is>
          <t>KATRINEHOLM</t>
        </is>
      </c>
      <c r="G721" t="n">
        <v>14.1</v>
      </c>
      <c r="H721" t="n">
        <v>0</v>
      </c>
      <c r="I721" t="n">
        <v>0</v>
      </c>
      <c r="J721" t="n">
        <v>0</v>
      </c>
      <c r="K721" t="n">
        <v>0</v>
      </c>
      <c r="L721" t="n">
        <v>0</v>
      </c>
      <c r="M721" t="n">
        <v>0</v>
      </c>
      <c r="N721" t="n">
        <v>0</v>
      </c>
      <c r="O721" t="n">
        <v>0</v>
      </c>
      <c r="P721" t="n">
        <v>0</v>
      </c>
      <c r="Q721" t="n">
        <v>0</v>
      </c>
      <c r="R721" s="2" t="inlineStr"/>
    </row>
    <row r="722" ht="15" customHeight="1">
      <c r="A722" t="inlineStr">
        <is>
          <t>A 66540-2021</t>
        </is>
      </c>
      <c r="B722" s="1" t="n">
        <v>44519</v>
      </c>
      <c r="C722" s="1" t="n">
        <v>45971</v>
      </c>
      <c r="D722" t="inlineStr">
        <is>
          <t>SÖDERMANLANDS LÄN</t>
        </is>
      </c>
      <c r="E722" t="inlineStr">
        <is>
          <t>KATRINEHOLM</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8394-2024</t>
        </is>
      </c>
      <c r="B723" s="1" t="n">
        <v>45352</v>
      </c>
      <c r="C723" s="1" t="n">
        <v>45971</v>
      </c>
      <c r="D723" t="inlineStr">
        <is>
          <t>SÖDERMANLANDS LÄN</t>
        </is>
      </c>
      <c r="E723" t="inlineStr">
        <is>
          <t>KATRINEHOLM</t>
        </is>
      </c>
      <c r="G723" t="n">
        <v>4</v>
      </c>
      <c r="H723" t="n">
        <v>0</v>
      </c>
      <c r="I723" t="n">
        <v>0</v>
      </c>
      <c r="J723" t="n">
        <v>0</v>
      </c>
      <c r="K723" t="n">
        <v>0</v>
      </c>
      <c r="L723" t="n">
        <v>0</v>
      </c>
      <c r="M723" t="n">
        <v>0</v>
      </c>
      <c r="N723" t="n">
        <v>0</v>
      </c>
      <c r="O723" t="n">
        <v>0</v>
      </c>
      <c r="P723" t="n">
        <v>0</v>
      </c>
      <c r="Q723" t="n">
        <v>0</v>
      </c>
      <c r="R723" s="2" t="inlineStr"/>
    </row>
    <row r="724" ht="15" customHeight="1">
      <c r="A724" t="inlineStr">
        <is>
          <t>A 13658-2023</t>
        </is>
      </c>
      <c r="B724" s="1" t="n">
        <v>45006</v>
      </c>
      <c r="C724" s="1" t="n">
        <v>45971</v>
      </c>
      <c r="D724" t="inlineStr">
        <is>
          <t>SÖDERMANLANDS LÄN</t>
        </is>
      </c>
      <c r="E724" t="inlineStr">
        <is>
          <t>KATRINEHOLM</t>
        </is>
      </c>
      <c r="F724" t="inlineStr">
        <is>
          <t>Kyrkan</t>
        </is>
      </c>
      <c r="G724" t="n">
        <v>24.3</v>
      </c>
      <c r="H724" t="n">
        <v>0</v>
      </c>
      <c r="I724" t="n">
        <v>0</v>
      </c>
      <c r="J724" t="n">
        <v>0</v>
      </c>
      <c r="K724" t="n">
        <v>0</v>
      </c>
      <c r="L724" t="n">
        <v>0</v>
      </c>
      <c r="M724" t="n">
        <v>0</v>
      </c>
      <c r="N724" t="n">
        <v>0</v>
      </c>
      <c r="O724" t="n">
        <v>0</v>
      </c>
      <c r="P724" t="n">
        <v>0</v>
      </c>
      <c r="Q724" t="n">
        <v>0</v>
      </c>
      <c r="R724" s="2" t="inlineStr"/>
    </row>
    <row r="725" ht="15" customHeight="1">
      <c r="A725" t="inlineStr">
        <is>
          <t>A 61385-2023</t>
        </is>
      </c>
      <c r="B725" s="1" t="n">
        <v>45264.64241898148</v>
      </c>
      <c r="C725" s="1" t="n">
        <v>45971</v>
      </c>
      <c r="D725" t="inlineStr">
        <is>
          <t>SÖDERMANLANDS LÄN</t>
        </is>
      </c>
      <c r="E725" t="inlineStr">
        <is>
          <t>KATRINEHOLM</t>
        </is>
      </c>
      <c r="G725" t="n">
        <v>0.4</v>
      </c>
      <c r="H725" t="n">
        <v>0</v>
      </c>
      <c r="I725" t="n">
        <v>0</v>
      </c>
      <c r="J725" t="n">
        <v>0</v>
      </c>
      <c r="K725" t="n">
        <v>0</v>
      </c>
      <c r="L725" t="n">
        <v>0</v>
      </c>
      <c r="M725" t="n">
        <v>0</v>
      </c>
      <c r="N725" t="n">
        <v>0</v>
      </c>
      <c r="O725" t="n">
        <v>0</v>
      </c>
      <c r="P725" t="n">
        <v>0</v>
      </c>
      <c r="Q725" t="n">
        <v>0</v>
      </c>
      <c r="R725" s="2" t="inlineStr"/>
    </row>
    <row r="726" ht="15" customHeight="1">
      <c r="A726" t="inlineStr">
        <is>
          <t>A 34176-2025</t>
        </is>
      </c>
      <c r="B726" s="1" t="n">
        <v>45845</v>
      </c>
      <c r="C726" s="1" t="n">
        <v>45971</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55825-2022</t>
        </is>
      </c>
      <c r="B727" s="1" t="n">
        <v>44886</v>
      </c>
      <c r="C727" s="1" t="n">
        <v>45971</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55856-2022</t>
        </is>
      </c>
      <c r="B728" s="1" t="n">
        <v>44888</v>
      </c>
      <c r="C728" s="1" t="n">
        <v>45971</v>
      </c>
      <c r="D728" t="inlineStr">
        <is>
          <t>SÖDERMANLANDS LÄN</t>
        </is>
      </c>
      <c r="E728" t="inlineStr">
        <is>
          <t>KATRINEHOLM</t>
        </is>
      </c>
      <c r="G728" t="n">
        <v>5.6</v>
      </c>
      <c r="H728" t="n">
        <v>0</v>
      </c>
      <c r="I728" t="n">
        <v>0</v>
      </c>
      <c r="J728" t="n">
        <v>0</v>
      </c>
      <c r="K728" t="n">
        <v>0</v>
      </c>
      <c r="L728" t="n">
        <v>0</v>
      </c>
      <c r="M728" t="n">
        <v>0</v>
      </c>
      <c r="N728" t="n">
        <v>0</v>
      </c>
      <c r="O728" t="n">
        <v>0</v>
      </c>
      <c r="P728" t="n">
        <v>0</v>
      </c>
      <c r="Q728" t="n">
        <v>0</v>
      </c>
      <c r="R728" s="2" t="inlineStr"/>
    </row>
    <row r="729" ht="15" customHeight="1">
      <c r="A729" t="inlineStr">
        <is>
          <t>A 43513-2023</t>
        </is>
      </c>
      <c r="B729" s="1" t="n">
        <v>45184</v>
      </c>
      <c r="C729" s="1" t="n">
        <v>45971</v>
      </c>
      <c r="D729" t="inlineStr">
        <is>
          <t>SÖDERMANLANDS LÄN</t>
        </is>
      </c>
      <c r="E729" t="inlineStr">
        <is>
          <t>KATRINEHOLM</t>
        </is>
      </c>
      <c r="G729" t="n">
        <v>3.8</v>
      </c>
      <c r="H729" t="n">
        <v>0</v>
      </c>
      <c r="I729" t="n">
        <v>0</v>
      </c>
      <c r="J729" t="n">
        <v>0</v>
      </c>
      <c r="K729" t="n">
        <v>0</v>
      </c>
      <c r="L729" t="n">
        <v>0</v>
      </c>
      <c r="M729" t="n">
        <v>0</v>
      </c>
      <c r="N729" t="n">
        <v>0</v>
      </c>
      <c r="O729" t="n">
        <v>0</v>
      </c>
      <c r="P729" t="n">
        <v>0</v>
      </c>
      <c r="Q729" t="n">
        <v>0</v>
      </c>
      <c r="R729" s="2" t="inlineStr"/>
    </row>
    <row r="730" ht="15" customHeight="1">
      <c r="A730" t="inlineStr">
        <is>
          <t>A 8951-2024</t>
        </is>
      </c>
      <c r="B730" s="1" t="n">
        <v>45357.44695601852</v>
      </c>
      <c r="C730" s="1" t="n">
        <v>45971</v>
      </c>
      <c r="D730" t="inlineStr">
        <is>
          <t>SÖDERMANLANDS LÄN</t>
        </is>
      </c>
      <c r="E730" t="inlineStr">
        <is>
          <t>KATRINEHOLM</t>
        </is>
      </c>
      <c r="G730" t="n">
        <v>3.3</v>
      </c>
      <c r="H730" t="n">
        <v>0</v>
      </c>
      <c r="I730" t="n">
        <v>0</v>
      </c>
      <c r="J730" t="n">
        <v>0</v>
      </c>
      <c r="K730" t="n">
        <v>0</v>
      </c>
      <c r="L730" t="n">
        <v>0</v>
      </c>
      <c r="M730" t="n">
        <v>0</v>
      </c>
      <c r="N730" t="n">
        <v>0</v>
      </c>
      <c r="O730" t="n">
        <v>0</v>
      </c>
      <c r="P730" t="n">
        <v>0</v>
      </c>
      <c r="Q730" t="n">
        <v>0</v>
      </c>
      <c r="R730" s="2" t="inlineStr"/>
    </row>
    <row r="731" ht="15" customHeight="1">
      <c r="A731" t="inlineStr">
        <is>
          <t>A 8955-2024</t>
        </is>
      </c>
      <c r="B731" s="1" t="n">
        <v>45357.44873842593</v>
      </c>
      <c r="C731" s="1" t="n">
        <v>45971</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44024-2021</t>
        </is>
      </c>
      <c r="B732" s="1" t="n">
        <v>44434</v>
      </c>
      <c r="C732" s="1" t="n">
        <v>45971</v>
      </c>
      <c r="D732" t="inlineStr">
        <is>
          <t>SÖDERMANLANDS LÄN</t>
        </is>
      </c>
      <c r="E732" t="inlineStr">
        <is>
          <t>KATRINEHOLM</t>
        </is>
      </c>
      <c r="G732" t="n">
        <v>13</v>
      </c>
      <c r="H732" t="n">
        <v>0</v>
      </c>
      <c r="I732" t="n">
        <v>0</v>
      </c>
      <c r="J732" t="n">
        <v>0</v>
      </c>
      <c r="K732" t="n">
        <v>0</v>
      </c>
      <c r="L732" t="n">
        <v>0</v>
      </c>
      <c r="M732" t="n">
        <v>0</v>
      </c>
      <c r="N732" t="n">
        <v>0</v>
      </c>
      <c r="O732" t="n">
        <v>0</v>
      </c>
      <c r="P732" t="n">
        <v>0</v>
      </c>
      <c r="Q732" t="n">
        <v>0</v>
      </c>
      <c r="R732" s="2" t="inlineStr"/>
    </row>
    <row r="733" ht="15" customHeight="1">
      <c r="A733" t="inlineStr">
        <is>
          <t>A 15945-2024</t>
        </is>
      </c>
      <c r="B733" s="1" t="n">
        <v>45405.48912037037</v>
      </c>
      <c r="C733" s="1" t="n">
        <v>45971</v>
      </c>
      <c r="D733" t="inlineStr">
        <is>
          <t>SÖDERMANLANDS LÄN</t>
        </is>
      </c>
      <c r="E733" t="inlineStr">
        <is>
          <t>KATRINEHOLM</t>
        </is>
      </c>
      <c r="G733" t="n">
        <v>1.8</v>
      </c>
      <c r="H733" t="n">
        <v>0</v>
      </c>
      <c r="I733" t="n">
        <v>0</v>
      </c>
      <c r="J733" t="n">
        <v>0</v>
      </c>
      <c r="K733" t="n">
        <v>0</v>
      </c>
      <c r="L733" t="n">
        <v>0</v>
      </c>
      <c r="M733" t="n">
        <v>0</v>
      </c>
      <c r="N733" t="n">
        <v>0</v>
      </c>
      <c r="O733" t="n">
        <v>0</v>
      </c>
      <c r="P733" t="n">
        <v>0</v>
      </c>
      <c r="Q733" t="n">
        <v>0</v>
      </c>
      <c r="R733" s="2" t="inlineStr"/>
    </row>
    <row r="734" ht="15" customHeight="1">
      <c r="A734" t="inlineStr">
        <is>
          <t>A 4655-2024</t>
        </is>
      </c>
      <c r="B734" s="1" t="n">
        <v>45328</v>
      </c>
      <c r="C734" s="1" t="n">
        <v>45971</v>
      </c>
      <c r="D734" t="inlineStr">
        <is>
          <t>SÖDERMANLANDS LÄN</t>
        </is>
      </c>
      <c r="E734" t="inlineStr">
        <is>
          <t>KATRINEHOLM</t>
        </is>
      </c>
      <c r="G734" t="n">
        <v>17.7</v>
      </c>
      <c r="H734" t="n">
        <v>0</v>
      </c>
      <c r="I734" t="n">
        <v>0</v>
      </c>
      <c r="J734" t="n">
        <v>0</v>
      </c>
      <c r="K734" t="n">
        <v>0</v>
      </c>
      <c r="L734" t="n">
        <v>0</v>
      </c>
      <c r="M734" t="n">
        <v>0</v>
      </c>
      <c r="N734" t="n">
        <v>0</v>
      </c>
      <c r="O734" t="n">
        <v>0</v>
      </c>
      <c r="P734" t="n">
        <v>0</v>
      </c>
      <c r="Q734" t="n">
        <v>0</v>
      </c>
      <c r="R734" s="2" t="inlineStr"/>
    </row>
    <row r="735" ht="15" customHeight="1">
      <c r="A735" t="inlineStr">
        <is>
          <t>A 53387-2023</t>
        </is>
      </c>
      <c r="B735" s="1" t="n">
        <v>45229</v>
      </c>
      <c r="C735" s="1" t="n">
        <v>45971</v>
      </c>
      <c r="D735" t="inlineStr">
        <is>
          <t>SÖDERMANLANDS LÄN</t>
        </is>
      </c>
      <c r="E735" t="inlineStr">
        <is>
          <t>KATRINEHOLM</t>
        </is>
      </c>
      <c r="F735" t="inlineStr">
        <is>
          <t>Kyrkan</t>
        </is>
      </c>
      <c r="G735" t="n">
        <v>7.4</v>
      </c>
      <c r="H735" t="n">
        <v>0</v>
      </c>
      <c r="I735" t="n">
        <v>0</v>
      </c>
      <c r="J735" t="n">
        <v>0</v>
      </c>
      <c r="K735" t="n">
        <v>0</v>
      </c>
      <c r="L735" t="n">
        <v>0</v>
      </c>
      <c r="M735" t="n">
        <v>0</v>
      </c>
      <c r="N735" t="n">
        <v>0</v>
      </c>
      <c r="O735" t="n">
        <v>0</v>
      </c>
      <c r="P735" t="n">
        <v>0</v>
      </c>
      <c r="Q735" t="n">
        <v>0</v>
      </c>
      <c r="R735" s="2" t="inlineStr"/>
    </row>
    <row r="736" ht="15" customHeight="1">
      <c r="A736" t="inlineStr">
        <is>
          <t>A 42590-2022</t>
        </is>
      </c>
      <c r="B736" s="1" t="n">
        <v>44831</v>
      </c>
      <c r="C736" s="1" t="n">
        <v>45971</v>
      </c>
      <c r="D736" t="inlineStr">
        <is>
          <t>SÖDERMANLANDS LÄN</t>
        </is>
      </c>
      <c r="E736" t="inlineStr">
        <is>
          <t>KATRINEHOLM</t>
        </is>
      </c>
      <c r="G736" t="n">
        <v>1.7</v>
      </c>
      <c r="H736" t="n">
        <v>0</v>
      </c>
      <c r="I736" t="n">
        <v>0</v>
      </c>
      <c r="J736" t="n">
        <v>0</v>
      </c>
      <c r="K736" t="n">
        <v>0</v>
      </c>
      <c r="L736" t="n">
        <v>0</v>
      </c>
      <c r="M736" t="n">
        <v>0</v>
      </c>
      <c r="N736" t="n">
        <v>0</v>
      </c>
      <c r="O736" t="n">
        <v>0</v>
      </c>
      <c r="P736" t="n">
        <v>0</v>
      </c>
      <c r="Q736" t="n">
        <v>0</v>
      </c>
      <c r="R736" s="2" t="inlineStr"/>
    </row>
    <row r="737" ht="15" customHeight="1">
      <c r="A737" t="inlineStr">
        <is>
          <t>A 36590-2025</t>
        </is>
      </c>
      <c r="B737" s="1" t="n">
        <v>45870</v>
      </c>
      <c r="C737" s="1" t="n">
        <v>45971</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26684-2025</t>
        </is>
      </c>
      <c r="B738" s="1" t="n">
        <v>45810</v>
      </c>
      <c r="C738" s="1" t="n">
        <v>45971</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38883-2024</t>
        </is>
      </c>
      <c r="B739" s="1" t="n">
        <v>45547</v>
      </c>
      <c r="C739" s="1" t="n">
        <v>45971</v>
      </c>
      <c r="D739" t="inlineStr">
        <is>
          <t>SÖDERMANLANDS LÄN</t>
        </is>
      </c>
      <c r="E739" t="inlineStr">
        <is>
          <t>KATRINEHOLM</t>
        </is>
      </c>
      <c r="G739" t="n">
        <v>3.1</v>
      </c>
      <c r="H739" t="n">
        <v>0</v>
      </c>
      <c r="I739" t="n">
        <v>0</v>
      </c>
      <c r="J739" t="n">
        <v>0</v>
      </c>
      <c r="K739" t="n">
        <v>0</v>
      </c>
      <c r="L739" t="n">
        <v>0</v>
      </c>
      <c r="M739" t="n">
        <v>0</v>
      </c>
      <c r="N739" t="n">
        <v>0</v>
      </c>
      <c r="O739" t="n">
        <v>0</v>
      </c>
      <c r="P739" t="n">
        <v>0</v>
      </c>
      <c r="Q739" t="n">
        <v>0</v>
      </c>
      <c r="R739" s="2" t="inlineStr"/>
    </row>
    <row r="740" ht="15" customHeight="1">
      <c r="A740" t="inlineStr">
        <is>
          <t>A 4667-2024</t>
        </is>
      </c>
      <c r="B740" s="1" t="n">
        <v>45328.47</v>
      </c>
      <c r="C740" s="1" t="n">
        <v>45971</v>
      </c>
      <c r="D740" t="inlineStr">
        <is>
          <t>SÖDERMANLANDS LÄN</t>
        </is>
      </c>
      <c r="E740" t="inlineStr">
        <is>
          <t>KATRINEHOLM</t>
        </is>
      </c>
      <c r="F740" t="inlineStr">
        <is>
          <t>Övriga Aktiebolag</t>
        </is>
      </c>
      <c r="G740" t="n">
        <v>10.2</v>
      </c>
      <c r="H740" t="n">
        <v>0</v>
      </c>
      <c r="I740" t="n">
        <v>0</v>
      </c>
      <c r="J740" t="n">
        <v>0</v>
      </c>
      <c r="K740" t="n">
        <v>0</v>
      </c>
      <c r="L740" t="n">
        <v>0</v>
      </c>
      <c r="M740" t="n">
        <v>0</v>
      </c>
      <c r="N740" t="n">
        <v>0</v>
      </c>
      <c r="O740" t="n">
        <v>0</v>
      </c>
      <c r="P740" t="n">
        <v>0</v>
      </c>
      <c r="Q740" t="n">
        <v>0</v>
      </c>
      <c r="R740" s="2" t="inlineStr"/>
    </row>
    <row r="741" ht="15" customHeight="1">
      <c r="A741" t="inlineStr">
        <is>
          <t>A 12227-2025</t>
        </is>
      </c>
      <c r="B741" s="1" t="n">
        <v>45729.56836805555</v>
      </c>
      <c r="C741" s="1" t="n">
        <v>45971</v>
      </c>
      <c r="D741" t="inlineStr">
        <is>
          <t>SÖDERMANLANDS LÄN</t>
        </is>
      </c>
      <c r="E741" t="inlineStr">
        <is>
          <t>KATRINEHOLM</t>
        </is>
      </c>
      <c r="G741" t="n">
        <v>7</v>
      </c>
      <c r="H741" t="n">
        <v>0</v>
      </c>
      <c r="I741" t="n">
        <v>0</v>
      </c>
      <c r="J741" t="n">
        <v>0</v>
      </c>
      <c r="K741" t="n">
        <v>0</v>
      </c>
      <c r="L741" t="n">
        <v>0</v>
      </c>
      <c r="M741" t="n">
        <v>0</v>
      </c>
      <c r="N741" t="n">
        <v>0</v>
      </c>
      <c r="O741" t="n">
        <v>0</v>
      </c>
      <c r="P741" t="n">
        <v>0</v>
      </c>
      <c r="Q741" t="n">
        <v>0</v>
      </c>
      <c r="R741" s="2" t="inlineStr"/>
    </row>
    <row r="742" ht="15" customHeight="1">
      <c r="A742" t="inlineStr">
        <is>
          <t>A 39704-2023</t>
        </is>
      </c>
      <c r="B742" s="1" t="n">
        <v>45167</v>
      </c>
      <c r="C742" s="1" t="n">
        <v>45971</v>
      </c>
      <c r="D742" t="inlineStr">
        <is>
          <t>SÖDERMANLANDS LÄN</t>
        </is>
      </c>
      <c r="E742" t="inlineStr">
        <is>
          <t>KATRINEHOLM</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16087-2023</t>
        </is>
      </c>
      <c r="B743" s="1" t="n">
        <v>45026</v>
      </c>
      <c r="C743" s="1" t="n">
        <v>45971</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61867-2020</t>
        </is>
      </c>
      <c r="B744" s="1" t="n">
        <v>44159</v>
      </c>
      <c r="C744" s="1" t="n">
        <v>45971</v>
      </c>
      <c r="D744" t="inlineStr">
        <is>
          <t>SÖDERMANLANDS LÄN</t>
        </is>
      </c>
      <c r="E744" t="inlineStr">
        <is>
          <t>KATRINEHOLM</t>
        </is>
      </c>
      <c r="G744" t="n">
        <v>2.9</v>
      </c>
      <c r="H744" t="n">
        <v>0</v>
      </c>
      <c r="I744" t="n">
        <v>0</v>
      </c>
      <c r="J744" t="n">
        <v>0</v>
      </c>
      <c r="K744" t="n">
        <v>0</v>
      </c>
      <c r="L744" t="n">
        <v>0</v>
      </c>
      <c r="M744" t="n">
        <v>0</v>
      </c>
      <c r="N744" t="n">
        <v>0</v>
      </c>
      <c r="O744" t="n">
        <v>0</v>
      </c>
      <c r="P744" t="n">
        <v>0</v>
      </c>
      <c r="Q744" t="n">
        <v>0</v>
      </c>
      <c r="R744" s="2" t="inlineStr"/>
    </row>
    <row r="745" ht="15" customHeight="1">
      <c r="A745" t="inlineStr">
        <is>
          <t>A 28652-2024</t>
        </is>
      </c>
      <c r="B745" s="1" t="n">
        <v>45478</v>
      </c>
      <c r="C745" s="1" t="n">
        <v>45971</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50021-2023</t>
        </is>
      </c>
      <c r="B746" s="1" t="n">
        <v>45215</v>
      </c>
      <c r="C746" s="1" t="n">
        <v>45971</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42791-2023</t>
        </is>
      </c>
      <c r="B747" s="1" t="n">
        <v>45181.92876157408</v>
      </c>
      <c r="C747" s="1" t="n">
        <v>45971</v>
      </c>
      <c r="D747" t="inlineStr">
        <is>
          <t>SÖDERMANLANDS LÄN</t>
        </is>
      </c>
      <c r="E747" t="inlineStr">
        <is>
          <t>KATRINEHOLM</t>
        </is>
      </c>
      <c r="G747" t="n">
        <v>4.1</v>
      </c>
      <c r="H747" t="n">
        <v>0</v>
      </c>
      <c r="I747" t="n">
        <v>0</v>
      </c>
      <c r="J747" t="n">
        <v>0</v>
      </c>
      <c r="K747" t="n">
        <v>0</v>
      </c>
      <c r="L747" t="n">
        <v>0</v>
      </c>
      <c r="M747" t="n">
        <v>0</v>
      </c>
      <c r="N747" t="n">
        <v>0</v>
      </c>
      <c r="O747" t="n">
        <v>0</v>
      </c>
      <c r="P747" t="n">
        <v>0</v>
      </c>
      <c r="Q747" t="n">
        <v>0</v>
      </c>
      <c r="R747" s="2" t="inlineStr"/>
    </row>
    <row r="748" ht="15" customHeight="1">
      <c r="A748" t="inlineStr">
        <is>
          <t>A 42792-2023</t>
        </is>
      </c>
      <c r="B748" s="1" t="n">
        <v>45181.95491898148</v>
      </c>
      <c r="C748" s="1" t="n">
        <v>45971</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37043-2025</t>
        </is>
      </c>
      <c r="B749" s="1" t="n">
        <v>45875.3396412037</v>
      </c>
      <c r="C749" s="1" t="n">
        <v>45971</v>
      </c>
      <c r="D749" t="inlineStr">
        <is>
          <t>SÖDERMANLANDS LÄN</t>
        </is>
      </c>
      <c r="E749" t="inlineStr">
        <is>
          <t>KATRINEHOLM</t>
        </is>
      </c>
      <c r="G749" t="n">
        <v>2.2</v>
      </c>
      <c r="H749" t="n">
        <v>0</v>
      </c>
      <c r="I749" t="n">
        <v>0</v>
      </c>
      <c r="J749" t="n">
        <v>0</v>
      </c>
      <c r="K749" t="n">
        <v>0</v>
      </c>
      <c r="L749" t="n">
        <v>0</v>
      </c>
      <c r="M749" t="n">
        <v>0</v>
      </c>
      <c r="N749" t="n">
        <v>0</v>
      </c>
      <c r="O749" t="n">
        <v>0</v>
      </c>
      <c r="P749" t="n">
        <v>0</v>
      </c>
      <c r="Q749" t="n">
        <v>0</v>
      </c>
      <c r="R749" s="2" t="inlineStr"/>
    </row>
    <row r="750" ht="15" customHeight="1">
      <c r="A750" t="inlineStr">
        <is>
          <t>A 31740-2022</t>
        </is>
      </c>
      <c r="B750" s="1" t="n">
        <v>44776</v>
      </c>
      <c r="C750" s="1" t="n">
        <v>45971</v>
      </c>
      <c r="D750" t="inlineStr">
        <is>
          <t>SÖDERMANLANDS LÄN</t>
        </is>
      </c>
      <c r="E750" t="inlineStr">
        <is>
          <t>KATRINEHOLM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4679-2023</t>
        </is>
      </c>
      <c r="B751" s="1" t="n">
        <v>44957.44885416667</v>
      </c>
      <c r="C751" s="1" t="n">
        <v>45971</v>
      </c>
      <c r="D751" t="inlineStr">
        <is>
          <t>SÖDERMANLANDS LÄN</t>
        </is>
      </c>
      <c r="E751" t="inlineStr">
        <is>
          <t>KATRINEHOLM</t>
        </is>
      </c>
      <c r="G751" t="n">
        <v>5.3</v>
      </c>
      <c r="H751" t="n">
        <v>0</v>
      </c>
      <c r="I751" t="n">
        <v>0</v>
      </c>
      <c r="J751" t="n">
        <v>0</v>
      </c>
      <c r="K751" t="n">
        <v>0</v>
      </c>
      <c r="L751" t="n">
        <v>0</v>
      </c>
      <c r="M751" t="n">
        <v>0</v>
      </c>
      <c r="N751" t="n">
        <v>0</v>
      </c>
      <c r="O751" t="n">
        <v>0</v>
      </c>
      <c r="P751" t="n">
        <v>0</v>
      </c>
      <c r="Q751" t="n">
        <v>0</v>
      </c>
      <c r="R751" s="2" t="inlineStr"/>
    </row>
    <row r="752" ht="15" customHeight="1">
      <c r="A752" t="inlineStr">
        <is>
          <t>A 54395-2025</t>
        </is>
      </c>
      <c r="B752" s="1" t="n">
        <v>45964</v>
      </c>
      <c r="C752" s="1" t="n">
        <v>45971</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6087-2021</t>
        </is>
      </c>
      <c r="B753" s="1" t="n">
        <v>44232</v>
      </c>
      <c r="C753" s="1" t="n">
        <v>45971</v>
      </c>
      <c r="D753" t="inlineStr">
        <is>
          <t>SÖDERMANLANDS LÄN</t>
        </is>
      </c>
      <c r="E753" t="inlineStr">
        <is>
          <t>KATRINEHOLM</t>
        </is>
      </c>
      <c r="G753" t="n">
        <v>2.6</v>
      </c>
      <c r="H753" t="n">
        <v>0</v>
      </c>
      <c r="I753" t="n">
        <v>0</v>
      </c>
      <c r="J753" t="n">
        <v>0</v>
      </c>
      <c r="K753" t="n">
        <v>0</v>
      </c>
      <c r="L753" t="n">
        <v>0</v>
      </c>
      <c r="M753" t="n">
        <v>0</v>
      </c>
      <c r="N753" t="n">
        <v>0</v>
      </c>
      <c r="O753" t="n">
        <v>0</v>
      </c>
      <c r="P753" t="n">
        <v>0</v>
      </c>
      <c r="Q753" t="n">
        <v>0</v>
      </c>
      <c r="R753" s="2" t="inlineStr"/>
    </row>
    <row r="754" ht="15" customHeight="1">
      <c r="A754" t="inlineStr">
        <is>
          <t>A 48528-2021</t>
        </is>
      </c>
      <c r="B754" s="1" t="n">
        <v>44449</v>
      </c>
      <c r="C754" s="1" t="n">
        <v>45971</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48398-2022</t>
        </is>
      </c>
      <c r="B755" s="1" t="n">
        <v>44858.60809027778</v>
      </c>
      <c r="C755" s="1" t="n">
        <v>45971</v>
      </c>
      <c r="D755" t="inlineStr">
        <is>
          <t>SÖDERMANLANDS LÄN</t>
        </is>
      </c>
      <c r="E755" t="inlineStr">
        <is>
          <t>KATRINEHOLM</t>
        </is>
      </c>
      <c r="G755" t="n">
        <v>1.9</v>
      </c>
      <c r="H755" t="n">
        <v>0</v>
      </c>
      <c r="I755" t="n">
        <v>0</v>
      </c>
      <c r="J755" t="n">
        <v>0</v>
      </c>
      <c r="K755" t="n">
        <v>0</v>
      </c>
      <c r="L755" t="n">
        <v>0</v>
      </c>
      <c r="M755" t="n">
        <v>0</v>
      </c>
      <c r="N755" t="n">
        <v>0</v>
      </c>
      <c r="O755" t="n">
        <v>0</v>
      </c>
      <c r="P755" t="n">
        <v>0</v>
      </c>
      <c r="Q755" t="n">
        <v>0</v>
      </c>
      <c r="R755" s="2" t="inlineStr"/>
    </row>
    <row r="756" ht="15" customHeight="1">
      <c r="A756" t="inlineStr">
        <is>
          <t>A 11543-2025</t>
        </is>
      </c>
      <c r="B756" s="1" t="n">
        <v>45727.34248842593</v>
      </c>
      <c r="C756" s="1" t="n">
        <v>45971</v>
      </c>
      <c r="D756" t="inlineStr">
        <is>
          <t>SÖDERMANLANDS LÄN</t>
        </is>
      </c>
      <c r="E756" t="inlineStr">
        <is>
          <t>KATRINEHOLM</t>
        </is>
      </c>
      <c r="G756" t="n">
        <v>3.6</v>
      </c>
      <c r="H756" t="n">
        <v>0</v>
      </c>
      <c r="I756" t="n">
        <v>0</v>
      </c>
      <c r="J756" t="n">
        <v>0</v>
      </c>
      <c r="K756" t="n">
        <v>0</v>
      </c>
      <c r="L756" t="n">
        <v>0</v>
      </c>
      <c r="M756" t="n">
        <v>0</v>
      </c>
      <c r="N756" t="n">
        <v>0</v>
      </c>
      <c r="O756" t="n">
        <v>0</v>
      </c>
      <c r="P756" t="n">
        <v>0</v>
      </c>
      <c r="Q756" t="n">
        <v>0</v>
      </c>
      <c r="R756" s="2" t="inlineStr"/>
    </row>
    <row r="757" ht="15" customHeight="1">
      <c r="A757" t="inlineStr">
        <is>
          <t>A 6753-2022</t>
        </is>
      </c>
      <c r="B757" s="1" t="n">
        <v>44602</v>
      </c>
      <c r="C757" s="1" t="n">
        <v>45971</v>
      </c>
      <c r="D757" t="inlineStr">
        <is>
          <t>SÖDERMANLANDS LÄN</t>
        </is>
      </c>
      <c r="E757" t="inlineStr">
        <is>
          <t>KATRINEHOLM</t>
        </is>
      </c>
      <c r="G757" t="n">
        <v>4.3</v>
      </c>
      <c r="H757" t="n">
        <v>0</v>
      </c>
      <c r="I757" t="n">
        <v>0</v>
      </c>
      <c r="J757" t="n">
        <v>0</v>
      </c>
      <c r="K757" t="n">
        <v>0</v>
      </c>
      <c r="L757" t="n">
        <v>0</v>
      </c>
      <c r="M757" t="n">
        <v>0</v>
      </c>
      <c r="N757" t="n">
        <v>0</v>
      </c>
      <c r="O757" t="n">
        <v>0</v>
      </c>
      <c r="P757" t="n">
        <v>0</v>
      </c>
      <c r="Q757" t="n">
        <v>0</v>
      </c>
      <c r="R757" s="2" t="inlineStr"/>
    </row>
    <row r="758" ht="15" customHeight="1">
      <c r="A758" t="inlineStr">
        <is>
          <t>A 15184-2023</t>
        </is>
      </c>
      <c r="B758" s="1" t="n">
        <v>45016</v>
      </c>
      <c r="C758" s="1" t="n">
        <v>45971</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37827-2025</t>
        </is>
      </c>
      <c r="B759" s="1" t="n">
        <v>45881.40907407407</v>
      </c>
      <c r="C759" s="1" t="n">
        <v>45971</v>
      </c>
      <c r="D759" t="inlineStr">
        <is>
          <t>SÖDERMANLANDS LÄN</t>
        </is>
      </c>
      <c r="E759" t="inlineStr">
        <is>
          <t>KATRINEHOLM</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54359-2025</t>
        </is>
      </c>
      <c r="B760" s="1" t="n">
        <v>45964</v>
      </c>
      <c r="C760" s="1" t="n">
        <v>45971</v>
      </c>
      <c r="D760" t="inlineStr">
        <is>
          <t>SÖDERMANLANDS LÄN</t>
        </is>
      </c>
      <c r="E760" t="inlineStr">
        <is>
          <t>KATRINEHOLM</t>
        </is>
      </c>
      <c r="G760" t="n">
        <v>2.5</v>
      </c>
      <c r="H760" t="n">
        <v>0</v>
      </c>
      <c r="I760" t="n">
        <v>0</v>
      </c>
      <c r="J760" t="n">
        <v>0</v>
      </c>
      <c r="K760" t="n">
        <v>0</v>
      </c>
      <c r="L760" t="n">
        <v>0</v>
      </c>
      <c r="M760" t="n">
        <v>0</v>
      </c>
      <c r="N760" t="n">
        <v>0</v>
      </c>
      <c r="O760" t="n">
        <v>0</v>
      </c>
      <c r="P760" t="n">
        <v>0</v>
      </c>
      <c r="Q760" t="n">
        <v>0</v>
      </c>
      <c r="R760" s="2" t="inlineStr"/>
    </row>
    <row r="761" ht="15" customHeight="1">
      <c r="A761" t="inlineStr">
        <is>
          <t>A 38826-2021</t>
        </is>
      </c>
      <c r="B761" s="1" t="n">
        <v>44411</v>
      </c>
      <c r="C761" s="1" t="n">
        <v>45971</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2297-2021</t>
        </is>
      </c>
      <c r="B762" s="1" t="n">
        <v>44212</v>
      </c>
      <c r="C762" s="1" t="n">
        <v>45971</v>
      </c>
      <c r="D762" t="inlineStr">
        <is>
          <t>SÖDERMANLANDS LÄN</t>
        </is>
      </c>
      <c r="E762" t="inlineStr">
        <is>
          <t>KATRINEHOLM</t>
        </is>
      </c>
      <c r="G762" t="n">
        <v>14.4</v>
      </c>
      <c r="H762" t="n">
        <v>0</v>
      </c>
      <c r="I762" t="n">
        <v>0</v>
      </c>
      <c r="J762" t="n">
        <v>0</v>
      </c>
      <c r="K762" t="n">
        <v>0</v>
      </c>
      <c r="L762" t="n">
        <v>0</v>
      </c>
      <c r="M762" t="n">
        <v>0</v>
      </c>
      <c r="N762" t="n">
        <v>0</v>
      </c>
      <c r="O762" t="n">
        <v>0</v>
      </c>
      <c r="P762" t="n">
        <v>0</v>
      </c>
      <c r="Q762" t="n">
        <v>0</v>
      </c>
      <c r="R762" s="2" t="inlineStr"/>
    </row>
    <row r="763" ht="15" customHeight="1">
      <c r="A763" t="inlineStr">
        <is>
          <t>A 9388-2021</t>
        </is>
      </c>
      <c r="B763" s="1" t="n">
        <v>44250</v>
      </c>
      <c r="C763" s="1" t="n">
        <v>45971</v>
      </c>
      <c r="D763" t="inlineStr">
        <is>
          <t>SÖDERMANLANDS LÄN</t>
        </is>
      </c>
      <c r="E763" t="inlineStr">
        <is>
          <t>KATRINEHOLM</t>
        </is>
      </c>
      <c r="G763" t="n">
        <v>5.4</v>
      </c>
      <c r="H763" t="n">
        <v>0</v>
      </c>
      <c r="I763" t="n">
        <v>0</v>
      </c>
      <c r="J763" t="n">
        <v>0</v>
      </c>
      <c r="K763" t="n">
        <v>0</v>
      </c>
      <c r="L763" t="n">
        <v>0</v>
      </c>
      <c r="M763" t="n">
        <v>0</v>
      </c>
      <c r="N763" t="n">
        <v>0</v>
      </c>
      <c r="O763" t="n">
        <v>0</v>
      </c>
      <c r="P763" t="n">
        <v>0</v>
      </c>
      <c r="Q763" t="n">
        <v>0</v>
      </c>
      <c r="R763" s="2" t="inlineStr"/>
    </row>
    <row r="764" ht="15" customHeight="1">
      <c r="A764" t="inlineStr">
        <is>
          <t>A 55029-2025</t>
        </is>
      </c>
      <c r="B764" s="1" t="n">
        <v>45967.63784722222</v>
      </c>
      <c r="C764" s="1" t="n">
        <v>45971</v>
      </c>
      <c r="D764" t="inlineStr">
        <is>
          <t>SÖDERMANLANDS LÄN</t>
        </is>
      </c>
      <c r="E764" t="inlineStr">
        <is>
          <t>KATRINEHOLM</t>
        </is>
      </c>
      <c r="G764" t="n">
        <v>10.1</v>
      </c>
      <c r="H764" t="n">
        <v>0</v>
      </c>
      <c r="I764" t="n">
        <v>0</v>
      </c>
      <c r="J764" t="n">
        <v>0</v>
      </c>
      <c r="K764" t="n">
        <v>0</v>
      </c>
      <c r="L764" t="n">
        <v>0</v>
      </c>
      <c r="M764" t="n">
        <v>0</v>
      </c>
      <c r="N764" t="n">
        <v>0</v>
      </c>
      <c r="O764" t="n">
        <v>0</v>
      </c>
      <c r="P764" t="n">
        <v>0</v>
      </c>
      <c r="Q764" t="n">
        <v>0</v>
      </c>
      <c r="R764" s="2" t="inlineStr"/>
    </row>
    <row r="765" ht="15" customHeight="1">
      <c r="A765" t="inlineStr">
        <is>
          <t>A 29830-2023</t>
        </is>
      </c>
      <c r="B765" s="1" t="n">
        <v>45107</v>
      </c>
      <c r="C765" s="1" t="n">
        <v>45971</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65358-2020</t>
        </is>
      </c>
      <c r="B766" s="1" t="n">
        <v>44173</v>
      </c>
      <c r="C766" s="1" t="n">
        <v>45971</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46288-2025</t>
        </is>
      </c>
      <c r="B767" s="1" t="n">
        <v>45925.38545138889</v>
      </c>
      <c r="C767" s="1" t="n">
        <v>45971</v>
      </c>
      <c r="D767" t="inlineStr">
        <is>
          <t>SÖDERMANLANDS LÄN</t>
        </is>
      </c>
      <c r="E767" t="inlineStr">
        <is>
          <t>KATRINEHOLM</t>
        </is>
      </c>
      <c r="G767" t="n">
        <v>0.4</v>
      </c>
      <c r="H767" t="n">
        <v>0</v>
      </c>
      <c r="I767" t="n">
        <v>0</v>
      </c>
      <c r="J767" t="n">
        <v>0</v>
      </c>
      <c r="K767" t="n">
        <v>0</v>
      </c>
      <c r="L767" t="n">
        <v>0</v>
      </c>
      <c r="M767" t="n">
        <v>0</v>
      </c>
      <c r="N767" t="n">
        <v>0</v>
      </c>
      <c r="O767" t="n">
        <v>0</v>
      </c>
      <c r="P767" t="n">
        <v>0</v>
      </c>
      <c r="Q767" t="n">
        <v>0</v>
      </c>
      <c r="R767" s="2" t="inlineStr"/>
    </row>
    <row r="768" ht="15" customHeight="1">
      <c r="A768" t="inlineStr">
        <is>
          <t>A 62424-2020</t>
        </is>
      </c>
      <c r="B768" s="1" t="n">
        <v>44160</v>
      </c>
      <c r="C768" s="1" t="n">
        <v>45971</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19098-2022</t>
        </is>
      </c>
      <c r="B769" s="1" t="n">
        <v>44691.52616898148</v>
      </c>
      <c r="C769" s="1" t="n">
        <v>45971</v>
      </c>
      <c r="D769" t="inlineStr">
        <is>
          <t>SÖDERMANLANDS LÄN</t>
        </is>
      </c>
      <c r="E769" t="inlineStr">
        <is>
          <t>KATRINEHOLM</t>
        </is>
      </c>
      <c r="G769" t="n">
        <v>5.5</v>
      </c>
      <c r="H769" t="n">
        <v>0</v>
      </c>
      <c r="I769" t="n">
        <v>0</v>
      </c>
      <c r="J769" t="n">
        <v>0</v>
      </c>
      <c r="K769" t="n">
        <v>0</v>
      </c>
      <c r="L769" t="n">
        <v>0</v>
      </c>
      <c r="M769" t="n">
        <v>0</v>
      </c>
      <c r="N769" t="n">
        <v>0</v>
      </c>
      <c r="O769" t="n">
        <v>0</v>
      </c>
      <c r="P769" t="n">
        <v>0</v>
      </c>
      <c r="Q769" t="n">
        <v>0</v>
      </c>
      <c r="R769" s="2" t="inlineStr"/>
    </row>
    <row r="770" ht="15" customHeight="1">
      <c r="A770" t="inlineStr">
        <is>
          <t>A 54873-2025</t>
        </is>
      </c>
      <c r="B770" s="1" t="n">
        <v>45967.30731481482</v>
      </c>
      <c r="C770" s="1" t="n">
        <v>45971</v>
      </c>
      <c r="D770" t="inlineStr">
        <is>
          <t>SÖDERMANLANDS LÄN</t>
        </is>
      </c>
      <c r="E770" t="inlineStr">
        <is>
          <t>KATRINEHOLM</t>
        </is>
      </c>
      <c r="G770" t="n">
        <v>2.7</v>
      </c>
      <c r="H770" t="n">
        <v>0</v>
      </c>
      <c r="I770" t="n">
        <v>0</v>
      </c>
      <c r="J770" t="n">
        <v>0</v>
      </c>
      <c r="K770" t="n">
        <v>0</v>
      </c>
      <c r="L770" t="n">
        <v>0</v>
      </c>
      <c r="M770" t="n">
        <v>0</v>
      </c>
      <c r="N770" t="n">
        <v>0</v>
      </c>
      <c r="O770" t="n">
        <v>0</v>
      </c>
      <c r="P770" t="n">
        <v>0</v>
      </c>
      <c r="Q770" t="n">
        <v>0</v>
      </c>
      <c r="R770" s="2" t="inlineStr"/>
    </row>
    <row r="771" ht="15" customHeight="1">
      <c r="A771" t="inlineStr">
        <is>
          <t>A 46524-2025</t>
        </is>
      </c>
      <c r="B771" s="1" t="n">
        <v>45926</v>
      </c>
      <c r="C771" s="1" t="n">
        <v>45971</v>
      </c>
      <c r="D771" t="inlineStr">
        <is>
          <t>SÖDERMANLANDS LÄN</t>
        </is>
      </c>
      <c r="E771" t="inlineStr">
        <is>
          <t>KATRINEHOLM</t>
        </is>
      </c>
      <c r="G771" t="n">
        <v>5.7</v>
      </c>
      <c r="H771" t="n">
        <v>0</v>
      </c>
      <c r="I771" t="n">
        <v>0</v>
      </c>
      <c r="J771" t="n">
        <v>0</v>
      </c>
      <c r="K771" t="n">
        <v>0</v>
      </c>
      <c r="L771" t="n">
        <v>0</v>
      </c>
      <c r="M771" t="n">
        <v>0</v>
      </c>
      <c r="N771" t="n">
        <v>0</v>
      </c>
      <c r="O771" t="n">
        <v>0</v>
      </c>
      <c r="P771" t="n">
        <v>0</v>
      </c>
      <c r="Q771" t="n">
        <v>0</v>
      </c>
      <c r="R771" s="2" t="inlineStr"/>
    </row>
    <row r="772">
      <c r="A772" t="inlineStr">
        <is>
          <t>A 54999-2025</t>
        </is>
      </c>
      <c r="B772" s="1" t="n">
        <v>45967.59880787037</v>
      </c>
      <c r="C772" s="1" t="n">
        <v>45971</v>
      </c>
      <c r="D772" t="inlineStr">
        <is>
          <t>SÖDERMANLANDS LÄN</t>
        </is>
      </c>
      <c r="E772" t="inlineStr">
        <is>
          <t>KATRINEHOLM</t>
        </is>
      </c>
      <c r="G772" t="n">
        <v>8.5</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2025-11-10T10:12:43Z</dcterms:created>
  <dcterms:modified xmlns:dcterms="http://purl.org/dc/terms/" xmlns:xsi="http://www.w3.org/2001/XMLSchema-instance" xsi:type="dcterms:W3CDTF">2025-11-10T10:12:43Z</dcterms:modified>
</cp:coreProperties>
</file>