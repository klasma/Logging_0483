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46029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46029</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46029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46029</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46029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46029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46029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46029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46029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46029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46029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46029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46029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46029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46029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58684-2025</t>
        </is>
      </c>
      <c r="B18" s="1" t="n">
        <v>45986.56953703704</v>
      </c>
      <c r="C18" s="1" t="n">
        <v>46029</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188-2025</t>
        </is>
      </c>
      <c r="B19" s="1" t="n">
        <v>45649</v>
      </c>
      <c r="C19" s="1" t="n">
        <v>46029</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46029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46029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46029</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46029</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46029</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46029</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46029</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46029</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46029</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46029</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46029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46029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46029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46029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46029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46029</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46029</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27926-2025</t>
        </is>
      </c>
      <c r="B37" s="1" t="n">
        <v>45814</v>
      </c>
      <c r="C37" s="1" t="n">
        <v>46029</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16458-2022</t>
        </is>
      </c>
      <c r="B38" s="1" t="n">
        <v>44671</v>
      </c>
      <c r="C38" s="1" t="n">
        <v>46029</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46029</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42055-2025</t>
        </is>
      </c>
      <c r="B40" s="1" t="n">
        <v>45903</v>
      </c>
      <c r="C40" s="1" t="n">
        <v>46029</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35163-2025</t>
        </is>
      </c>
      <c r="B41" s="1" t="n">
        <v>45852.71136574074</v>
      </c>
      <c r="C41" s="1" t="n">
        <v>46029</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57519-2021</t>
        </is>
      </c>
      <c r="B42" s="1" t="n">
        <v>44483</v>
      </c>
      <c r="C42" s="1" t="n">
        <v>46029</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46029</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44632-2023</t>
        </is>
      </c>
      <c r="B44" s="1" t="n">
        <v>45184</v>
      </c>
      <c r="C44" s="1" t="n">
        <v>46029</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41980-2025</t>
        </is>
      </c>
      <c r="B45" s="1" t="n">
        <v>45903</v>
      </c>
      <c r="C45" s="1" t="n">
        <v>46029</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48199-2025</t>
        </is>
      </c>
      <c r="B46" s="1" t="n">
        <v>45933.47856481482</v>
      </c>
      <c r="C46" s="1" t="n">
        <v>46029</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33801-2023</t>
        </is>
      </c>
      <c r="B47" s="1" t="n">
        <v>45133</v>
      </c>
      <c r="C47" s="1" t="n">
        <v>46029</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36220-2022</t>
        </is>
      </c>
      <c r="B48" s="1" t="n">
        <v>44803</v>
      </c>
      <c r="C48" s="1" t="n">
        <v>46029</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45530-2023</t>
        </is>
      </c>
      <c r="B49" s="1" t="n">
        <v>45188</v>
      </c>
      <c r="C49" s="1" t="n">
        <v>46029</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7305-2024</t>
        </is>
      </c>
      <c r="B50" s="1" t="n">
        <v>45344</v>
      </c>
      <c r="C50" s="1" t="n">
        <v>46029</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Gröngöling</t>
        </is>
      </c>
      <c r="S50">
        <f>HYPERLINK("https://klasma.github.io/Logging_0483/artfynd/A 7305-2024 artfynd.xlsx", "A 7305-2024")</f>
        <v/>
      </c>
      <c r="T50">
        <f>HYPERLINK("https://klasma.github.io/Logging_0483/kartor/A 7305-2024 karta.png", "A 7305-2024")</f>
        <v/>
      </c>
      <c r="V50">
        <f>HYPERLINK("https://klasma.github.io/Logging_0483/klagomål/A 7305-2024 FSC-klagomål.docx", "A 7305-2024")</f>
        <v/>
      </c>
      <c r="W50">
        <f>HYPERLINK("https://klasma.github.io/Logging_0483/klagomålsmail/A 7305-2024 FSC-klagomål mail.docx", "A 7305-2024")</f>
        <v/>
      </c>
      <c r="X50">
        <f>HYPERLINK("https://klasma.github.io/Logging_0483/tillsyn/A 7305-2024 tillsynsbegäran.docx", "A 7305-2024")</f>
        <v/>
      </c>
      <c r="Y50">
        <f>HYPERLINK("https://klasma.github.io/Logging_0483/tillsynsmail/A 7305-2024 tillsynsbegäran mail.docx", "A 7305-2024")</f>
        <v/>
      </c>
      <c r="Z50">
        <f>HYPERLINK("https://klasma.github.io/Logging_0483/fåglar/A 7305-2024 prioriterade fågelarter.docx", "A 7305-2024")</f>
        <v/>
      </c>
    </row>
    <row r="51" ht="15" customHeight="1">
      <c r="A51" t="inlineStr">
        <is>
          <t>A 55700-2025</t>
        </is>
      </c>
      <c r="B51" s="1" t="n">
        <v>45972.45605324074</v>
      </c>
      <c r="C51" s="1" t="n">
        <v>46029</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53990-2023</t>
        </is>
      </c>
      <c r="B52" s="1" t="n">
        <v>45231</v>
      </c>
      <c r="C52" s="1" t="n">
        <v>46029</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63946-2025</t>
        </is>
      </c>
      <c r="B53" s="1" t="n">
        <v>46010</v>
      </c>
      <c r="C53" s="1" t="n">
        <v>46029</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46029</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53154-2023</t>
        </is>
      </c>
      <c r="B55" s="1" t="n">
        <v>45229</v>
      </c>
      <c r="C55" s="1" t="n">
        <v>46029</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46029</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46029</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46029</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46029</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46029</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46029</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46029</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46029</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46029</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46029</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46029</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46029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46029</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46029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46029</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46029</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46029</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46029</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46029</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46029</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46029</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46029</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46029</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46029</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46029</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46029</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46029</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46029</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46029</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46029</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46029</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46029</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46029</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46029</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46029</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46029</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46029</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46029</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46029</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46029</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46029</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46029</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46029</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46029</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46029</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46029</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46029</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46029</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46029</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46029</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46029</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46029</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46029</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46029</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46029</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46029</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46029</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46029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46029</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46029</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65589-2021</t>
        </is>
      </c>
      <c r="B116" s="1" t="n">
        <v>44515</v>
      </c>
      <c r="C116" s="1" t="n">
        <v>46029</v>
      </c>
      <c r="D116" t="inlineStr">
        <is>
          <t>SÖDERMANLANDS LÄN</t>
        </is>
      </c>
      <c r="E116" t="inlineStr">
        <is>
          <t>KATRINEHOLM</t>
        </is>
      </c>
      <c r="G116" t="n">
        <v>2.6</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46029</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46029</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46029</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46029</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46029</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46029</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46029</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46029</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46029</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46029</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46029</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46029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46029</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46029</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46029</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46029</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46029</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46029</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46029</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46029</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46029</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46029</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46029</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46029</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46029</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46029</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46029</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46029</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46029</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46029</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46029</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46029</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46029</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46029</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46029</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46029</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46029</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46029</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46029</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46029</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46029</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46029</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46029</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46029</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46029</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46029</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46029</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46029</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46029</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46029</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46029</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46029</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46029</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46029</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46029</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46029</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46029</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46029</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46029</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46029</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46029</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46029</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46029</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46029</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46029</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46029</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46029</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46029</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46029</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46029</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46029</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46029</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46029</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46029</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46029</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46029</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46029</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46029</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46029</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46029</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46029</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46029</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46029</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6091-2025</t>
        </is>
      </c>
      <c r="B200" s="1" t="n">
        <v>45697</v>
      </c>
      <c r="C200" s="1" t="n">
        <v>46029</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6093-2025</t>
        </is>
      </c>
      <c r="B201" s="1" t="n">
        <v>45697</v>
      </c>
      <c r="C201" s="1" t="n">
        <v>46029</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41966-2023</t>
        </is>
      </c>
      <c r="B202" s="1" t="n">
        <v>45177</v>
      </c>
      <c r="C202" s="1" t="n">
        <v>46029</v>
      </c>
      <c r="D202" t="inlineStr">
        <is>
          <t>SÖDERMANLANDS LÄN</t>
        </is>
      </c>
      <c r="E202" t="inlineStr">
        <is>
          <t>KATRINEHOLM</t>
        </is>
      </c>
      <c r="G202" t="n">
        <v>36.9</v>
      </c>
      <c r="H202" t="n">
        <v>0</v>
      </c>
      <c r="I202" t="n">
        <v>0</v>
      </c>
      <c r="J202" t="n">
        <v>0</v>
      </c>
      <c r="K202" t="n">
        <v>0</v>
      </c>
      <c r="L202" t="n">
        <v>0</v>
      </c>
      <c r="M202" t="n">
        <v>0</v>
      </c>
      <c r="N202" t="n">
        <v>0</v>
      </c>
      <c r="O202" t="n">
        <v>0</v>
      </c>
      <c r="P202" t="n">
        <v>0</v>
      </c>
      <c r="Q202" t="n">
        <v>0</v>
      </c>
      <c r="R202" s="2" t="inlineStr"/>
    </row>
    <row r="203" ht="15" customHeight="1">
      <c r="A203" t="inlineStr">
        <is>
          <t>A 35188-2022</t>
        </is>
      </c>
      <c r="B203" s="1" t="n">
        <v>44797</v>
      </c>
      <c r="C203" s="1" t="n">
        <v>46029</v>
      </c>
      <c r="D203" t="inlineStr">
        <is>
          <t>SÖDERMANLANDS LÄN</t>
        </is>
      </c>
      <c r="E203" t="inlineStr">
        <is>
          <t>KATRINEHOLM</t>
        </is>
      </c>
      <c r="G203" t="n">
        <v>3</v>
      </c>
      <c r="H203" t="n">
        <v>0</v>
      </c>
      <c r="I203" t="n">
        <v>0</v>
      </c>
      <c r="J203" t="n">
        <v>0</v>
      </c>
      <c r="K203" t="n">
        <v>0</v>
      </c>
      <c r="L203" t="n">
        <v>0</v>
      </c>
      <c r="M203" t="n">
        <v>0</v>
      </c>
      <c r="N203" t="n">
        <v>0</v>
      </c>
      <c r="O203" t="n">
        <v>0</v>
      </c>
      <c r="P203" t="n">
        <v>0</v>
      </c>
      <c r="Q203" t="n">
        <v>0</v>
      </c>
      <c r="R203" s="2" t="inlineStr"/>
    </row>
    <row r="204" ht="15" customHeight="1">
      <c r="A204" t="inlineStr">
        <is>
          <t>A 46569-2022</t>
        </is>
      </c>
      <c r="B204" s="1" t="n">
        <v>44847</v>
      </c>
      <c r="C204" s="1" t="n">
        <v>46029</v>
      </c>
      <c r="D204" t="inlineStr">
        <is>
          <t>SÖDERMANLANDS LÄN</t>
        </is>
      </c>
      <c r="E204" t="inlineStr">
        <is>
          <t>KATRINEHOLM</t>
        </is>
      </c>
      <c r="G204" t="n">
        <v>1.7</v>
      </c>
      <c r="H204" t="n">
        <v>0</v>
      </c>
      <c r="I204" t="n">
        <v>0</v>
      </c>
      <c r="J204" t="n">
        <v>0</v>
      </c>
      <c r="K204" t="n">
        <v>0</v>
      </c>
      <c r="L204" t="n">
        <v>0</v>
      </c>
      <c r="M204" t="n">
        <v>0</v>
      </c>
      <c r="N204" t="n">
        <v>0</v>
      </c>
      <c r="O204" t="n">
        <v>0</v>
      </c>
      <c r="P204" t="n">
        <v>0</v>
      </c>
      <c r="Q204" t="n">
        <v>0</v>
      </c>
      <c r="R204" s="2" t="inlineStr"/>
    </row>
    <row r="205" ht="15" customHeight="1">
      <c r="A205" t="inlineStr">
        <is>
          <t>A 58473-2021</t>
        </is>
      </c>
      <c r="B205" s="1" t="n">
        <v>44488</v>
      </c>
      <c r="C205" s="1" t="n">
        <v>46029</v>
      </c>
      <c r="D205" t="inlineStr">
        <is>
          <t>SÖDERMANLANDS LÄN</t>
        </is>
      </c>
      <c r="E205" t="inlineStr">
        <is>
          <t>KATRINEHOLM</t>
        </is>
      </c>
      <c r="G205" t="n">
        <v>0.5</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46029</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36210-2022</t>
        </is>
      </c>
      <c r="B207" s="1" t="n">
        <v>44803.47950231482</v>
      </c>
      <c r="C207" s="1" t="n">
        <v>46029</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46029</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48682-2022</t>
        </is>
      </c>
      <c r="B209" s="1" t="n">
        <v>44859</v>
      </c>
      <c r="C209" s="1" t="n">
        <v>46029</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3090-2025</t>
        </is>
      </c>
      <c r="B210" s="1" t="n">
        <v>45678</v>
      </c>
      <c r="C210" s="1" t="n">
        <v>46029</v>
      </c>
      <c r="D210" t="inlineStr">
        <is>
          <t>SÖDERMANLANDS LÄN</t>
        </is>
      </c>
      <c r="E210" t="inlineStr">
        <is>
          <t>KATRINEHOLM</t>
        </is>
      </c>
      <c r="F210" t="inlineStr">
        <is>
          <t>Kyrkan</t>
        </is>
      </c>
      <c r="G210" t="n">
        <v>6.9</v>
      </c>
      <c r="H210" t="n">
        <v>0</v>
      </c>
      <c r="I210" t="n">
        <v>0</v>
      </c>
      <c r="J210" t="n">
        <v>0</v>
      </c>
      <c r="K210" t="n">
        <v>0</v>
      </c>
      <c r="L210" t="n">
        <v>0</v>
      </c>
      <c r="M210" t="n">
        <v>0</v>
      </c>
      <c r="N210" t="n">
        <v>0</v>
      </c>
      <c r="O210" t="n">
        <v>0</v>
      </c>
      <c r="P210" t="n">
        <v>0</v>
      </c>
      <c r="Q210" t="n">
        <v>0</v>
      </c>
      <c r="R210" s="2" t="inlineStr"/>
    </row>
    <row r="211" ht="15" customHeight="1">
      <c r="A211" t="inlineStr">
        <is>
          <t>A 17246-2024</t>
        </is>
      </c>
      <c r="B211" s="1" t="n">
        <v>45414</v>
      </c>
      <c r="C211" s="1" t="n">
        <v>46029</v>
      </c>
      <c r="D211" t="inlineStr">
        <is>
          <t>SÖDERMANLANDS LÄN</t>
        </is>
      </c>
      <c r="E211" t="inlineStr">
        <is>
          <t>KATRINEHOLM</t>
        </is>
      </c>
      <c r="F211" t="inlineStr">
        <is>
          <t>Allmännings- och besparingsskogar</t>
        </is>
      </c>
      <c r="G211" t="n">
        <v>13.7</v>
      </c>
      <c r="H211" t="n">
        <v>0</v>
      </c>
      <c r="I211" t="n">
        <v>0</v>
      </c>
      <c r="J211" t="n">
        <v>0</v>
      </c>
      <c r="K211" t="n">
        <v>0</v>
      </c>
      <c r="L211" t="n">
        <v>0</v>
      </c>
      <c r="M211" t="n">
        <v>0</v>
      </c>
      <c r="N211" t="n">
        <v>0</v>
      </c>
      <c r="O211" t="n">
        <v>0</v>
      </c>
      <c r="P211" t="n">
        <v>0</v>
      </c>
      <c r="Q211" t="n">
        <v>0</v>
      </c>
      <c r="R211" s="2" t="inlineStr"/>
    </row>
    <row r="212" ht="15" customHeight="1">
      <c r="A212" t="inlineStr">
        <is>
          <t>A 20460-2025</t>
        </is>
      </c>
      <c r="B212" s="1" t="n">
        <v>45775.52854166667</v>
      </c>
      <c r="C212" s="1" t="n">
        <v>46029</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53722-2023</t>
        </is>
      </c>
      <c r="B213" s="1" t="n">
        <v>45230</v>
      </c>
      <c r="C213" s="1" t="n">
        <v>46029</v>
      </c>
      <c r="D213" t="inlineStr">
        <is>
          <t>SÖDERMANLANDS LÄN</t>
        </is>
      </c>
      <c r="E213" t="inlineStr">
        <is>
          <t>KATRINEHOLM</t>
        </is>
      </c>
      <c r="F213" t="inlineStr">
        <is>
          <t>Allmännings- och besparingsskogar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48520-2023</t>
        </is>
      </c>
      <c r="B214" s="1" t="n">
        <v>45208</v>
      </c>
      <c r="C214" s="1" t="n">
        <v>46029</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55863-2022</t>
        </is>
      </c>
      <c r="B215" s="1" t="n">
        <v>44888</v>
      </c>
      <c r="C215" s="1" t="n">
        <v>46029</v>
      </c>
      <c r="D215" t="inlineStr">
        <is>
          <t>SÖDERMANLANDS LÄN</t>
        </is>
      </c>
      <c r="E215" t="inlineStr">
        <is>
          <t>KATRINEHOLM</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55865-2022</t>
        </is>
      </c>
      <c r="B216" s="1" t="n">
        <v>44888</v>
      </c>
      <c r="C216" s="1" t="n">
        <v>46029</v>
      </c>
      <c r="D216" t="inlineStr">
        <is>
          <t>SÖDERMANLANDS LÄN</t>
        </is>
      </c>
      <c r="E216" t="inlineStr">
        <is>
          <t>KATRINEHOLM</t>
        </is>
      </c>
      <c r="G216" t="n">
        <v>9.1</v>
      </c>
      <c r="H216" t="n">
        <v>0</v>
      </c>
      <c r="I216" t="n">
        <v>0</v>
      </c>
      <c r="J216" t="n">
        <v>0</v>
      </c>
      <c r="K216" t="n">
        <v>0</v>
      </c>
      <c r="L216" t="n">
        <v>0</v>
      </c>
      <c r="M216" t="n">
        <v>0</v>
      </c>
      <c r="N216" t="n">
        <v>0</v>
      </c>
      <c r="O216" t="n">
        <v>0</v>
      </c>
      <c r="P216" t="n">
        <v>0</v>
      </c>
      <c r="Q216" t="n">
        <v>0</v>
      </c>
      <c r="R216" s="2" t="inlineStr"/>
    </row>
    <row r="217" ht="15" customHeight="1">
      <c r="A217" t="inlineStr">
        <is>
          <t>A 56661-2021</t>
        </is>
      </c>
      <c r="B217" s="1" t="n">
        <v>44481.24327546296</v>
      </c>
      <c r="C217" s="1" t="n">
        <v>46029</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28394-2023</t>
        </is>
      </c>
      <c r="B218" s="1" t="n">
        <v>45100</v>
      </c>
      <c r="C218" s="1" t="n">
        <v>46029</v>
      </c>
      <c r="D218" t="inlineStr">
        <is>
          <t>SÖDERMANLANDS LÄN</t>
        </is>
      </c>
      <c r="E218" t="inlineStr">
        <is>
          <t>KATRINEHOLM</t>
        </is>
      </c>
      <c r="G218" t="n">
        <v>4.2</v>
      </c>
      <c r="H218" t="n">
        <v>0</v>
      </c>
      <c r="I218" t="n">
        <v>0</v>
      </c>
      <c r="J218" t="n">
        <v>0</v>
      </c>
      <c r="K218" t="n">
        <v>0</v>
      </c>
      <c r="L218" t="n">
        <v>0</v>
      </c>
      <c r="M218" t="n">
        <v>0</v>
      </c>
      <c r="N218" t="n">
        <v>0</v>
      </c>
      <c r="O218" t="n">
        <v>0</v>
      </c>
      <c r="P218" t="n">
        <v>0</v>
      </c>
      <c r="Q218" t="n">
        <v>0</v>
      </c>
      <c r="R218" s="2" t="inlineStr"/>
    </row>
    <row r="219" ht="15" customHeight="1">
      <c r="A219" t="inlineStr">
        <is>
          <t>A 4122-2023</t>
        </is>
      </c>
      <c r="B219" s="1" t="n">
        <v>44952</v>
      </c>
      <c r="C219" s="1" t="n">
        <v>46029</v>
      </c>
      <c r="D219" t="inlineStr">
        <is>
          <t>SÖDERMANLANDS LÄN</t>
        </is>
      </c>
      <c r="E219" t="inlineStr">
        <is>
          <t>KATRINEHOLM</t>
        </is>
      </c>
      <c r="G219" t="n">
        <v>9</v>
      </c>
      <c r="H219" t="n">
        <v>0</v>
      </c>
      <c r="I219" t="n">
        <v>0</v>
      </c>
      <c r="J219" t="n">
        <v>0</v>
      </c>
      <c r="K219" t="n">
        <v>0</v>
      </c>
      <c r="L219" t="n">
        <v>0</v>
      </c>
      <c r="M219" t="n">
        <v>0</v>
      </c>
      <c r="N219" t="n">
        <v>0</v>
      </c>
      <c r="O219" t="n">
        <v>0</v>
      </c>
      <c r="P219" t="n">
        <v>0</v>
      </c>
      <c r="Q219" t="n">
        <v>0</v>
      </c>
      <c r="R219" s="2" t="inlineStr"/>
    </row>
    <row r="220" ht="15" customHeight="1">
      <c r="A220" t="inlineStr">
        <is>
          <t>A 55795-2023</t>
        </is>
      </c>
      <c r="B220" s="1" t="n">
        <v>45239.54861111111</v>
      </c>
      <c r="C220" s="1" t="n">
        <v>46029</v>
      </c>
      <c r="D220" t="inlineStr">
        <is>
          <t>SÖDERMANLANDS LÄN</t>
        </is>
      </c>
      <c r="E220" t="inlineStr">
        <is>
          <t>KATRINEHOLM</t>
        </is>
      </c>
      <c r="G220" t="n">
        <v>7</v>
      </c>
      <c r="H220" t="n">
        <v>0</v>
      </c>
      <c r="I220" t="n">
        <v>0</v>
      </c>
      <c r="J220" t="n">
        <v>0</v>
      </c>
      <c r="K220" t="n">
        <v>0</v>
      </c>
      <c r="L220" t="n">
        <v>0</v>
      </c>
      <c r="M220" t="n">
        <v>0</v>
      </c>
      <c r="N220" t="n">
        <v>0</v>
      </c>
      <c r="O220" t="n">
        <v>0</v>
      </c>
      <c r="P220" t="n">
        <v>0</v>
      </c>
      <c r="Q220" t="n">
        <v>0</v>
      </c>
      <c r="R220" s="2" t="inlineStr"/>
    </row>
    <row r="221" ht="15" customHeight="1">
      <c r="A221" t="inlineStr">
        <is>
          <t>A 24284-2024</t>
        </is>
      </c>
      <c r="B221" s="1" t="n">
        <v>45457</v>
      </c>
      <c r="C221" s="1" t="n">
        <v>46029</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29502-2023</t>
        </is>
      </c>
      <c r="B222" s="1" t="n">
        <v>45106</v>
      </c>
      <c r="C222" s="1" t="n">
        <v>46029</v>
      </c>
      <c r="D222" t="inlineStr">
        <is>
          <t>SÖDERMANLANDS LÄN</t>
        </is>
      </c>
      <c r="E222" t="inlineStr">
        <is>
          <t>KATRINEHOLM</t>
        </is>
      </c>
      <c r="G222" t="n">
        <v>2.3</v>
      </c>
      <c r="H222" t="n">
        <v>0</v>
      </c>
      <c r="I222" t="n">
        <v>0</v>
      </c>
      <c r="J222" t="n">
        <v>0</v>
      </c>
      <c r="K222" t="n">
        <v>0</v>
      </c>
      <c r="L222" t="n">
        <v>0</v>
      </c>
      <c r="M222" t="n">
        <v>0</v>
      </c>
      <c r="N222" t="n">
        <v>0</v>
      </c>
      <c r="O222" t="n">
        <v>0</v>
      </c>
      <c r="P222" t="n">
        <v>0</v>
      </c>
      <c r="Q222" t="n">
        <v>0</v>
      </c>
      <c r="R222" s="2" t="inlineStr"/>
    </row>
    <row r="223" ht="15" customHeight="1">
      <c r="A223" t="inlineStr">
        <is>
          <t>A 42111-2022</t>
        </is>
      </c>
      <c r="B223" s="1" t="n">
        <v>44830</v>
      </c>
      <c r="C223" s="1" t="n">
        <v>46029</v>
      </c>
      <c r="D223" t="inlineStr">
        <is>
          <t>SÖDERMANLANDS LÄN</t>
        </is>
      </c>
      <c r="E223" t="inlineStr">
        <is>
          <t>KATRINEHOLM</t>
        </is>
      </c>
      <c r="G223" t="n">
        <v>2.5</v>
      </c>
      <c r="H223" t="n">
        <v>0</v>
      </c>
      <c r="I223" t="n">
        <v>0</v>
      </c>
      <c r="J223" t="n">
        <v>0</v>
      </c>
      <c r="K223" t="n">
        <v>0</v>
      </c>
      <c r="L223" t="n">
        <v>0</v>
      </c>
      <c r="M223" t="n">
        <v>0</v>
      </c>
      <c r="N223" t="n">
        <v>0</v>
      </c>
      <c r="O223" t="n">
        <v>0</v>
      </c>
      <c r="P223" t="n">
        <v>0</v>
      </c>
      <c r="Q223" t="n">
        <v>0</v>
      </c>
      <c r="R223" s="2" t="inlineStr"/>
    </row>
    <row r="224" ht="15" customHeight="1">
      <c r="A224" t="inlineStr">
        <is>
          <t>A 33712-2022</t>
        </is>
      </c>
      <c r="B224" s="1" t="n">
        <v>44789</v>
      </c>
      <c r="C224" s="1" t="n">
        <v>46029</v>
      </c>
      <c r="D224" t="inlineStr">
        <is>
          <t>SÖDERMANLANDS LÄN</t>
        </is>
      </c>
      <c r="E224" t="inlineStr">
        <is>
          <t>KATRINEHOLM</t>
        </is>
      </c>
      <c r="G224" t="n">
        <v>4.3</v>
      </c>
      <c r="H224" t="n">
        <v>0</v>
      </c>
      <c r="I224" t="n">
        <v>0</v>
      </c>
      <c r="J224" t="n">
        <v>0</v>
      </c>
      <c r="K224" t="n">
        <v>0</v>
      </c>
      <c r="L224" t="n">
        <v>0</v>
      </c>
      <c r="M224" t="n">
        <v>0</v>
      </c>
      <c r="N224" t="n">
        <v>0</v>
      </c>
      <c r="O224" t="n">
        <v>0</v>
      </c>
      <c r="P224" t="n">
        <v>0</v>
      </c>
      <c r="Q224" t="n">
        <v>0</v>
      </c>
      <c r="R224" s="2" t="inlineStr"/>
    </row>
    <row r="225" ht="15" customHeight="1">
      <c r="A225" t="inlineStr">
        <is>
          <t>A 55034-2021</t>
        </is>
      </c>
      <c r="B225" s="1" t="n">
        <v>44474</v>
      </c>
      <c r="C225" s="1" t="n">
        <v>46029</v>
      </c>
      <c r="D225" t="inlineStr">
        <is>
          <t>SÖDERMANLANDS LÄN</t>
        </is>
      </c>
      <c r="E225" t="inlineStr">
        <is>
          <t>KATRINEHOLM</t>
        </is>
      </c>
      <c r="G225" t="n">
        <v>5</v>
      </c>
      <c r="H225" t="n">
        <v>0</v>
      </c>
      <c r="I225" t="n">
        <v>0</v>
      </c>
      <c r="J225" t="n">
        <v>0</v>
      </c>
      <c r="K225" t="n">
        <v>0</v>
      </c>
      <c r="L225" t="n">
        <v>0</v>
      </c>
      <c r="M225" t="n">
        <v>0</v>
      </c>
      <c r="N225" t="n">
        <v>0</v>
      </c>
      <c r="O225" t="n">
        <v>0</v>
      </c>
      <c r="P225" t="n">
        <v>0</v>
      </c>
      <c r="Q225" t="n">
        <v>0</v>
      </c>
      <c r="R225" s="2" t="inlineStr"/>
    </row>
    <row r="226" ht="15" customHeight="1">
      <c r="A226" t="inlineStr">
        <is>
          <t>A 33717-2022</t>
        </is>
      </c>
      <c r="B226" s="1" t="n">
        <v>44789</v>
      </c>
      <c r="C226" s="1" t="n">
        <v>46029</v>
      </c>
      <c r="D226" t="inlineStr">
        <is>
          <t>SÖDERMANLANDS LÄN</t>
        </is>
      </c>
      <c r="E226" t="inlineStr">
        <is>
          <t>KATRINEHOLM</t>
        </is>
      </c>
      <c r="G226" t="n">
        <v>4.4</v>
      </c>
      <c r="H226" t="n">
        <v>0</v>
      </c>
      <c r="I226" t="n">
        <v>0</v>
      </c>
      <c r="J226" t="n">
        <v>0</v>
      </c>
      <c r="K226" t="n">
        <v>0</v>
      </c>
      <c r="L226" t="n">
        <v>0</v>
      </c>
      <c r="M226" t="n">
        <v>0</v>
      </c>
      <c r="N226" t="n">
        <v>0</v>
      </c>
      <c r="O226" t="n">
        <v>0</v>
      </c>
      <c r="P226" t="n">
        <v>0</v>
      </c>
      <c r="Q226" t="n">
        <v>0</v>
      </c>
      <c r="R226" s="2" t="inlineStr"/>
    </row>
    <row r="227" ht="15" customHeight="1">
      <c r="A227" t="inlineStr">
        <is>
          <t>A 36767-2022</t>
        </is>
      </c>
      <c r="B227" s="1" t="n">
        <v>44805</v>
      </c>
      <c r="C227" s="1" t="n">
        <v>46029</v>
      </c>
      <c r="D227" t="inlineStr">
        <is>
          <t>SÖDERMANLANDS LÄN</t>
        </is>
      </c>
      <c r="E227" t="inlineStr">
        <is>
          <t>KATRINEHOLM</t>
        </is>
      </c>
      <c r="G227" t="n">
        <v>1.1</v>
      </c>
      <c r="H227" t="n">
        <v>0</v>
      </c>
      <c r="I227" t="n">
        <v>0</v>
      </c>
      <c r="J227" t="n">
        <v>0</v>
      </c>
      <c r="K227" t="n">
        <v>0</v>
      </c>
      <c r="L227" t="n">
        <v>0</v>
      </c>
      <c r="M227" t="n">
        <v>0</v>
      </c>
      <c r="N227" t="n">
        <v>0</v>
      </c>
      <c r="O227" t="n">
        <v>0</v>
      </c>
      <c r="P227" t="n">
        <v>0</v>
      </c>
      <c r="Q227" t="n">
        <v>0</v>
      </c>
      <c r="R227" s="2" t="inlineStr"/>
    </row>
    <row r="228" ht="15" customHeight="1">
      <c r="A228" t="inlineStr">
        <is>
          <t>A 55122-2022</t>
        </is>
      </c>
      <c r="B228" s="1" t="n">
        <v>44886.65092592593</v>
      </c>
      <c r="C228" s="1" t="n">
        <v>46029</v>
      </c>
      <c r="D228" t="inlineStr">
        <is>
          <t>SÖDERMANLANDS LÄN</t>
        </is>
      </c>
      <c r="E228" t="inlineStr">
        <is>
          <t>KATRINEHOLM</t>
        </is>
      </c>
      <c r="G228" t="n">
        <v>6.5</v>
      </c>
      <c r="H228" t="n">
        <v>0</v>
      </c>
      <c r="I228" t="n">
        <v>0</v>
      </c>
      <c r="J228" t="n">
        <v>0</v>
      </c>
      <c r="K228" t="n">
        <v>0</v>
      </c>
      <c r="L228" t="n">
        <v>0</v>
      </c>
      <c r="M228" t="n">
        <v>0</v>
      </c>
      <c r="N228" t="n">
        <v>0</v>
      </c>
      <c r="O228" t="n">
        <v>0</v>
      </c>
      <c r="P228" t="n">
        <v>0</v>
      </c>
      <c r="Q228" t="n">
        <v>0</v>
      </c>
      <c r="R228" s="2" t="inlineStr"/>
    </row>
    <row r="229" ht="15" customHeight="1">
      <c r="A229" t="inlineStr">
        <is>
          <t>A 17746-2024</t>
        </is>
      </c>
      <c r="B229" s="1" t="n">
        <v>45415</v>
      </c>
      <c r="C229" s="1" t="n">
        <v>46029</v>
      </c>
      <c r="D229" t="inlineStr">
        <is>
          <t>SÖDERMANLANDS LÄN</t>
        </is>
      </c>
      <c r="E229" t="inlineStr">
        <is>
          <t>KATRINEHOLM</t>
        </is>
      </c>
      <c r="G229" t="n">
        <v>7.8</v>
      </c>
      <c r="H229" t="n">
        <v>0</v>
      </c>
      <c r="I229" t="n">
        <v>0</v>
      </c>
      <c r="J229" t="n">
        <v>0</v>
      </c>
      <c r="K229" t="n">
        <v>0</v>
      </c>
      <c r="L229" t="n">
        <v>0</v>
      </c>
      <c r="M229" t="n">
        <v>0</v>
      </c>
      <c r="N229" t="n">
        <v>0</v>
      </c>
      <c r="O229" t="n">
        <v>0</v>
      </c>
      <c r="P229" t="n">
        <v>0</v>
      </c>
      <c r="Q229" t="n">
        <v>0</v>
      </c>
      <c r="R229" s="2" t="inlineStr"/>
    </row>
    <row r="230" ht="15" customHeight="1">
      <c r="A230" t="inlineStr">
        <is>
          <t>A 9693-2024</t>
        </is>
      </c>
      <c r="B230" s="1" t="n">
        <v>45362</v>
      </c>
      <c r="C230" s="1" t="n">
        <v>46029</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43964-2022</t>
        </is>
      </c>
      <c r="B231" s="1" t="n">
        <v>44837</v>
      </c>
      <c r="C231" s="1" t="n">
        <v>46029</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33752-2023</t>
        </is>
      </c>
      <c r="B232" s="1" t="n">
        <v>45120</v>
      </c>
      <c r="C232" s="1" t="n">
        <v>46029</v>
      </c>
      <c r="D232" t="inlineStr">
        <is>
          <t>SÖDERMANLANDS LÄN</t>
        </is>
      </c>
      <c r="E232" t="inlineStr">
        <is>
          <t>KATRINEHOLM</t>
        </is>
      </c>
      <c r="G232" t="n">
        <v>1</v>
      </c>
      <c r="H232" t="n">
        <v>0</v>
      </c>
      <c r="I232" t="n">
        <v>0</v>
      </c>
      <c r="J232" t="n">
        <v>0</v>
      </c>
      <c r="K232" t="n">
        <v>0</v>
      </c>
      <c r="L232" t="n">
        <v>0</v>
      </c>
      <c r="M232" t="n">
        <v>0</v>
      </c>
      <c r="N232" t="n">
        <v>0</v>
      </c>
      <c r="O232" t="n">
        <v>0</v>
      </c>
      <c r="P232" t="n">
        <v>0</v>
      </c>
      <c r="Q232" t="n">
        <v>0</v>
      </c>
      <c r="R232" s="2" t="inlineStr"/>
    </row>
    <row r="233" ht="15" customHeight="1">
      <c r="A233" t="inlineStr">
        <is>
          <t>A 45376-2022</t>
        </is>
      </c>
      <c r="B233" s="1" t="n">
        <v>44844</v>
      </c>
      <c r="C233" s="1" t="n">
        <v>46029</v>
      </c>
      <c r="D233" t="inlineStr">
        <is>
          <t>SÖDERMANLANDS LÄN</t>
        </is>
      </c>
      <c r="E233" t="inlineStr">
        <is>
          <t>KATRINEHOLM</t>
        </is>
      </c>
      <c r="G233" t="n">
        <v>4.7</v>
      </c>
      <c r="H233" t="n">
        <v>0</v>
      </c>
      <c r="I233" t="n">
        <v>0</v>
      </c>
      <c r="J233" t="n">
        <v>0</v>
      </c>
      <c r="K233" t="n">
        <v>0</v>
      </c>
      <c r="L233" t="n">
        <v>0</v>
      </c>
      <c r="M233" t="n">
        <v>0</v>
      </c>
      <c r="N233" t="n">
        <v>0</v>
      </c>
      <c r="O233" t="n">
        <v>0</v>
      </c>
      <c r="P233" t="n">
        <v>0</v>
      </c>
      <c r="Q233" t="n">
        <v>0</v>
      </c>
      <c r="R233" s="2" t="inlineStr"/>
    </row>
    <row r="234" ht="15" customHeight="1">
      <c r="A234" t="inlineStr">
        <is>
          <t>A 24179-2024</t>
        </is>
      </c>
      <c r="B234" s="1" t="n">
        <v>45456.83059027778</v>
      </c>
      <c r="C234" s="1" t="n">
        <v>46029</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51264-2021</t>
        </is>
      </c>
      <c r="B235" s="1" t="n">
        <v>44461</v>
      </c>
      <c r="C235" s="1" t="n">
        <v>46029</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46029</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46029</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64713-2023</t>
        </is>
      </c>
      <c r="B238" s="1" t="n">
        <v>45281</v>
      </c>
      <c r="C238" s="1" t="n">
        <v>46029</v>
      </c>
      <c r="D238" t="inlineStr">
        <is>
          <t>SÖDERMANLANDS LÄN</t>
        </is>
      </c>
      <c r="E238" t="inlineStr">
        <is>
          <t>KATRINEHOLM</t>
        </is>
      </c>
      <c r="G238" t="n">
        <v>4.9</v>
      </c>
      <c r="H238" t="n">
        <v>0</v>
      </c>
      <c r="I238" t="n">
        <v>0</v>
      </c>
      <c r="J238" t="n">
        <v>0</v>
      </c>
      <c r="K238" t="n">
        <v>0</v>
      </c>
      <c r="L238" t="n">
        <v>0</v>
      </c>
      <c r="M238" t="n">
        <v>0</v>
      </c>
      <c r="N238" t="n">
        <v>0</v>
      </c>
      <c r="O238" t="n">
        <v>0</v>
      </c>
      <c r="P238" t="n">
        <v>0</v>
      </c>
      <c r="Q238" t="n">
        <v>0</v>
      </c>
      <c r="R238" s="2" t="inlineStr"/>
    </row>
    <row r="239" ht="15" customHeight="1">
      <c r="A239" t="inlineStr">
        <is>
          <t>A 60677-2021</t>
        </is>
      </c>
      <c r="B239" s="1" t="n">
        <v>44495</v>
      </c>
      <c r="C239" s="1" t="n">
        <v>46029</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64605-2023</t>
        </is>
      </c>
      <c r="B240" s="1" t="n">
        <v>45281</v>
      </c>
      <c r="C240" s="1" t="n">
        <v>46029</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43088-2022</t>
        </is>
      </c>
      <c r="B241" s="1" t="n">
        <v>44833</v>
      </c>
      <c r="C241" s="1" t="n">
        <v>46029</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46029</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46029</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28582-2024</t>
        </is>
      </c>
      <c r="B244" s="1" t="n">
        <v>45478.40751157407</v>
      </c>
      <c r="C244" s="1" t="n">
        <v>46029</v>
      </c>
      <c r="D244" t="inlineStr">
        <is>
          <t>SÖDERMANLANDS LÄN</t>
        </is>
      </c>
      <c r="E244" t="inlineStr">
        <is>
          <t>KATRINEHOLM</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55846-2022</t>
        </is>
      </c>
      <c r="B245" s="1" t="n">
        <v>44888</v>
      </c>
      <c r="C245" s="1" t="n">
        <v>46029</v>
      </c>
      <c r="D245" t="inlineStr">
        <is>
          <t>SÖDERMANLANDS LÄN</t>
        </is>
      </c>
      <c r="E245" t="inlineStr">
        <is>
          <t>KATRINEHOLM</t>
        </is>
      </c>
      <c r="G245" t="n">
        <v>6.5</v>
      </c>
      <c r="H245" t="n">
        <v>0</v>
      </c>
      <c r="I245" t="n">
        <v>0</v>
      </c>
      <c r="J245" t="n">
        <v>0</v>
      </c>
      <c r="K245" t="n">
        <v>0</v>
      </c>
      <c r="L245" t="n">
        <v>0</v>
      </c>
      <c r="M245" t="n">
        <v>0</v>
      </c>
      <c r="N245" t="n">
        <v>0</v>
      </c>
      <c r="O245" t="n">
        <v>0</v>
      </c>
      <c r="P245" t="n">
        <v>0</v>
      </c>
      <c r="Q245" t="n">
        <v>0</v>
      </c>
      <c r="R245" s="2" t="inlineStr"/>
    </row>
    <row r="246" ht="15" customHeight="1">
      <c r="A246" t="inlineStr">
        <is>
          <t>A 26081-2024</t>
        </is>
      </c>
      <c r="B246" s="1" t="n">
        <v>45462</v>
      </c>
      <c r="C246" s="1" t="n">
        <v>46029</v>
      </c>
      <c r="D246" t="inlineStr">
        <is>
          <t>SÖDERMANLANDS LÄN</t>
        </is>
      </c>
      <c r="E246" t="inlineStr">
        <is>
          <t>KATRINEHOLM</t>
        </is>
      </c>
      <c r="G246" t="n">
        <v>4.1</v>
      </c>
      <c r="H246" t="n">
        <v>0</v>
      </c>
      <c r="I246" t="n">
        <v>0</v>
      </c>
      <c r="J246" t="n">
        <v>0</v>
      </c>
      <c r="K246" t="n">
        <v>0</v>
      </c>
      <c r="L246" t="n">
        <v>0</v>
      </c>
      <c r="M246" t="n">
        <v>0</v>
      </c>
      <c r="N246" t="n">
        <v>0</v>
      </c>
      <c r="O246" t="n">
        <v>0</v>
      </c>
      <c r="P246" t="n">
        <v>0</v>
      </c>
      <c r="Q246" t="n">
        <v>0</v>
      </c>
      <c r="R246" s="2" t="inlineStr"/>
    </row>
    <row r="247" ht="15" customHeight="1">
      <c r="A247" t="inlineStr">
        <is>
          <t>A 30242-2023</t>
        </is>
      </c>
      <c r="B247" s="1" t="n">
        <v>45099</v>
      </c>
      <c r="C247" s="1" t="n">
        <v>46029</v>
      </c>
      <c r="D247" t="inlineStr">
        <is>
          <t>SÖDERMANLANDS LÄN</t>
        </is>
      </c>
      <c r="E247" t="inlineStr">
        <is>
          <t>KATRINEHOLM</t>
        </is>
      </c>
      <c r="G247" t="n">
        <v>3</v>
      </c>
      <c r="H247" t="n">
        <v>0</v>
      </c>
      <c r="I247" t="n">
        <v>0</v>
      </c>
      <c r="J247" t="n">
        <v>0</v>
      </c>
      <c r="K247" t="n">
        <v>0</v>
      </c>
      <c r="L247" t="n">
        <v>0</v>
      </c>
      <c r="M247" t="n">
        <v>0</v>
      </c>
      <c r="N247" t="n">
        <v>0</v>
      </c>
      <c r="O247" t="n">
        <v>0</v>
      </c>
      <c r="P247" t="n">
        <v>0</v>
      </c>
      <c r="Q247" t="n">
        <v>0</v>
      </c>
      <c r="R247" s="2" t="inlineStr"/>
    </row>
    <row r="248" ht="15" customHeight="1">
      <c r="A248" t="inlineStr">
        <is>
          <t>A 2603-2025</t>
        </is>
      </c>
      <c r="B248" s="1" t="n">
        <v>45674</v>
      </c>
      <c r="C248" s="1" t="n">
        <v>46029</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69117-2021</t>
        </is>
      </c>
      <c r="B249" s="1" t="n">
        <v>44530.82445601852</v>
      </c>
      <c r="C249" s="1" t="n">
        <v>46029</v>
      </c>
      <c r="D249" t="inlineStr">
        <is>
          <t>SÖDERMANLANDS LÄN</t>
        </is>
      </c>
      <c r="E249" t="inlineStr">
        <is>
          <t>KATRINEHOLM</t>
        </is>
      </c>
      <c r="G249" t="n">
        <v>1.7</v>
      </c>
      <c r="H249" t="n">
        <v>0</v>
      </c>
      <c r="I249" t="n">
        <v>0</v>
      </c>
      <c r="J249" t="n">
        <v>0</v>
      </c>
      <c r="K249" t="n">
        <v>0</v>
      </c>
      <c r="L249" t="n">
        <v>0</v>
      </c>
      <c r="M249" t="n">
        <v>0</v>
      </c>
      <c r="N249" t="n">
        <v>0</v>
      </c>
      <c r="O249" t="n">
        <v>0</v>
      </c>
      <c r="P249" t="n">
        <v>0</v>
      </c>
      <c r="Q249" t="n">
        <v>0</v>
      </c>
      <c r="R249" s="2" t="inlineStr"/>
    </row>
    <row r="250" ht="15" customHeight="1">
      <c r="A250" t="inlineStr">
        <is>
          <t>A 35228-2025</t>
        </is>
      </c>
      <c r="B250" s="1" t="n">
        <v>45853</v>
      </c>
      <c r="C250" s="1" t="n">
        <v>46029</v>
      </c>
      <c r="D250" t="inlineStr">
        <is>
          <t>SÖDERMANLANDS LÄN</t>
        </is>
      </c>
      <c r="E250" t="inlineStr">
        <is>
          <t>KATRINEHOLM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38308-2021</t>
        </is>
      </c>
      <c r="B251" s="1" t="n">
        <v>44406</v>
      </c>
      <c r="C251" s="1" t="n">
        <v>46029</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55172-2022</t>
        </is>
      </c>
      <c r="B252" s="1" t="n">
        <v>44886</v>
      </c>
      <c r="C252" s="1" t="n">
        <v>46029</v>
      </c>
      <c r="D252" t="inlineStr">
        <is>
          <t>SÖDERMANLANDS LÄN</t>
        </is>
      </c>
      <c r="E252" t="inlineStr">
        <is>
          <t>KATRINEHOLM</t>
        </is>
      </c>
      <c r="G252" t="n">
        <v>1.3</v>
      </c>
      <c r="H252" t="n">
        <v>0</v>
      </c>
      <c r="I252" t="n">
        <v>0</v>
      </c>
      <c r="J252" t="n">
        <v>0</v>
      </c>
      <c r="K252" t="n">
        <v>0</v>
      </c>
      <c r="L252" t="n">
        <v>0</v>
      </c>
      <c r="M252" t="n">
        <v>0</v>
      </c>
      <c r="N252" t="n">
        <v>0</v>
      </c>
      <c r="O252" t="n">
        <v>0</v>
      </c>
      <c r="P252" t="n">
        <v>0</v>
      </c>
      <c r="Q252" t="n">
        <v>0</v>
      </c>
      <c r="R252" s="2" t="inlineStr"/>
    </row>
    <row r="253" ht="15" customHeight="1">
      <c r="A253" t="inlineStr">
        <is>
          <t>A 67337-2021</t>
        </is>
      </c>
      <c r="B253" s="1" t="n">
        <v>44523</v>
      </c>
      <c r="C253" s="1" t="n">
        <v>46029</v>
      </c>
      <c r="D253" t="inlineStr">
        <is>
          <t>SÖDERMANLANDS LÄN</t>
        </is>
      </c>
      <c r="E253" t="inlineStr">
        <is>
          <t>KATRINEHOLM</t>
        </is>
      </c>
      <c r="G253" t="n">
        <v>5.2</v>
      </c>
      <c r="H253" t="n">
        <v>0</v>
      </c>
      <c r="I253" t="n">
        <v>0</v>
      </c>
      <c r="J253" t="n">
        <v>0</v>
      </c>
      <c r="K253" t="n">
        <v>0</v>
      </c>
      <c r="L253" t="n">
        <v>0</v>
      </c>
      <c r="M253" t="n">
        <v>0</v>
      </c>
      <c r="N253" t="n">
        <v>0</v>
      </c>
      <c r="O253" t="n">
        <v>0</v>
      </c>
      <c r="P253" t="n">
        <v>0</v>
      </c>
      <c r="Q253" t="n">
        <v>0</v>
      </c>
      <c r="R253" s="2" t="inlineStr"/>
    </row>
    <row r="254" ht="15" customHeight="1">
      <c r="A254" t="inlineStr">
        <is>
          <t>A 24566-2025</t>
        </is>
      </c>
      <c r="B254" s="1" t="n">
        <v>45798.46452546296</v>
      </c>
      <c r="C254" s="1" t="n">
        <v>46029</v>
      </c>
      <c r="D254" t="inlineStr">
        <is>
          <t>SÖDERMANLANDS LÄN</t>
        </is>
      </c>
      <c r="E254" t="inlineStr">
        <is>
          <t>KATRINEHOLM</t>
        </is>
      </c>
      <c r="G254" t="n">
        <v>6.3</v>
      </c>
      <c r="H254" t="n">
        <v>0</v>
      </c>
      <c r="I254" t="n">
        <v>0</v>
      </c>
      <c r="J254" t="n">
        <v>0</v>
      </c>
      <c r="K254" t="n">
        <v>0</v>
      </c>
      <c r="L254" t="n">
        <v>0</v>
      </c>
      <c r="M254" t="n">
        <v>0</v>
      </c>
      <c r="N254" t="n">
        <v>0</v>
      </c>
      <c r="O254" t="n">
        <v>0</v>
      </c>
      <c r="P254" t="n">
        <v>0</v>
      </c>
      <c r="Q254" t="n">
        <v>0</v>
      </c>
      <c r="R254" s="2" t="inlineStr"/>
    </row>
    <row r="255" ht="15" customHeight="1">
      <c r="A255" t="inlineStr">
        <is>
          <t>A 29394-2024</t>
        </is>
      </c>
      <c r="B255" s="1" t="n">
        <v>45483</v>
      </c>
      <c r="C255" s="1" t="n">
        <v>46029</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50032-2022</t>
        </is>
      </c>
      <c r="B256" s="1" t="n">
        <v>44860</v>
      </c>
      <c r="C256" s="1" t="n">
        <v>46029</v>
      </c>
      <c r="D256" t="inlineStr">
        <is>
          <t>SÖDERMANLANDS LÄN</t>
        </is>
      </c>
      <c r="E256" t="inlineStr">
        <is>
          <t>KATRINEHOLM</t>
        </is>
      </c>
      <c r="G256" t="n">
        <v>7.5</v>
      </c>
      <c r="H256" t="n">
        <v>0</v>
      </c>
      <c r="I256" t="n">
        <v>0</v>
      </c>
      <c r="J256" t="n">
        <v>0</v>
      </c>
      <c r="K256" t="n">
        <v>0</v>
      </c>
      <c r="L256" t="n">
        <v>0</v>
      </c>
      <c r="M256" t="n">
        <v>0</v>
      </c>
      <c r="N256" t="n">
        <v>0</v>
      </c>
      <c r="O256" t="n">
        <v>0</v>
      </c>
      <c r="P256" t="n">
        <v>0</v>
      </c>
      <c r="Q256" t="n">
        <v>0</v>
      </c>
      <c r="R256" s="2" t="inlineStr"/>
    </row>
    <row r="257" ht="15" customHeight="1">
      <c r="A257" t="inlineStr">
        <is>
          <t>A 26713-2024</t>
        </is>
      </c>
      <c r="B257" s="1" t="n">
        <v>45470</v>
      </c>
      <c r="C257" s="1" t="n">
        <v>46029</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43837-2022</t>
        </is>
      </c>
      <c r="B258" s="1" t="n">
        <v>44838</v>
      </c>
      <c r="C258" s="1" t="n">
        <v>46029</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57510-2021</t>
        </is>
      </c>
      <c r="B259" s="1" t="n">
        <v>44483</v>
      </c>
      <c r="C259" s="1" t="n">
        <v>46029</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24605-2025</t>
        </is>
      </c>
      <c r="B260" s="1" t="n">
        <v>45798.57403935185</v>
      </c>
      <c r="C260" s="1" t="n">
        <v>46029</v>
      </c>
      <c r="D260" t="inlineStr">
        <is>
          <t>SÖDERMANLANDS LÄN</t>
        </is>
      </c>
      <c r="E260" t="inlineStr">
        <is>
          <t>KATRINEHOLM</t>
        </is>
      </c>
      <c r="G260" t="n">
        <v>7</v>
      </c>
      <c r="H260" t="n">
        <v>0</v>
      </c>
      <c r="I260" t="n">
        <v>0</v>
      </c>
      <c r="J260" t="n">
        <v>0</v>
      </c>
      <c r="K260" t="n">
        <v>0</v>
      </c>
      <c r="L260" t="n">
        <v>0</v>
      </c>
      <c r="M260" t="n">
        <v>0</v>
      </c>
      <c r="N260" t="n">
        <v>0</v>
      </c>
      <c r="O260" t="n">
        <v>0</v>
      </c>
      <c r="P260" t="n">
        <v>0</v>
      </c>
      <c r="Q260" t="n">
        <v>0</v>
      </c>
      <c r="R260" s="2" t="inlineStr"/>
    </row>
    <row r="261" ht="15" customHeight="1">
      <c r="A261" t="inlineStr">
        <is>
          <t>A 55732-2023</t>
        </is>
      </c>
      <c r="B261" s="1" t="n">
        <v>45239</v>
      </c>
      <c r="C261" s="1" t="n">
        <v>46029</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40159-2023</t>
        </is>
      </c>
      <c r="B262" s="1" t="n">
        <v>45169</v>
      </c>
      <c r="C262" s="1" t="n">
        <v>46029</v>
      </c>
      <c r="D262" t="inlineStr">
        <is>
          <t>SÖDERMANLANDS LÄN</t>
        </is>
      </c>
      <c r="E262" t="inlineStr">
        <is>
          <t>KATRINEHOLM</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56086-2023</t>
        </is>
      </c>
      <c r="B263" s="1" t="n">
        <v>45240</v>
      </c>
      <c r="C263" s="1" t="n">
        <v>46029</v>
      </c>
      <c r="D263" t="inlineStr">
        <is>
          <t>SÖDERMANLANDS LÄN</t>
        </is>
      </c>
      <c r="E263" t="inlineStr">
        <is>
          <t>KATRINEHOLM</t>
        </is>
      </c>
      <c r="F263" t="inlineStr">
        <is>
          <t>Kyrkan</t>
        </is>
      </c>
      <c r="G263" t="n">
        <v>17</v>
      </c>
      <c r="H263" t="n">
        <v>0</v>
      </c>
      <c r="I263" t="n">
        <v>0</v>
      </c>
      <c r="J263" t="n">
        <v>0</v>
      </c>
      <c r="K263" t="n">
        <v>0</v>
      </c>
      <c r="L263" t="n">
        <v>0</v>
      </c>
      <c r="M263" t="n">
        <v>0</v>
      </c>
      <c r="N263" t="n">
        <v>0</v>
      </c>
      <c r="O263" t="n">
        <v>0</v>
      </c>
      <c r="P263" t="n">
        <v>0</v>
      </c>
      <c r="Q263" t="n">
        <v>0</v>
      </c>
      <c r="R263" s="2" t="inlineStr"/>
    </row>
    <row r="264" ht="15" customHeight="1">
      <c r="A264" t="inlineStr">
        <is>
          <t>A 28675-2024</t>
        </is>
      </c>
      <c r="B264" s="1" t="n">
        <v>45478</v>
      </c>
      <c r="C264" s="1" t="n">
        <v>46029</v>
      </c>
      <c r="D264" t="inlineStr">
        <is>
          <t>SÖDERMANLANDS LÄN</t>
        </is>
      </c>
      <c r="E264" t="inlineStr">
        <is>
          <t>KATRINEHOLM</t>
        </is>
      </c>
      <c r="F264" t="inlineStr">
        <is>
          <t>Övriga Aktiebolag</t>
        </is>
      </c>
      <c r="G264" t="n">
        <v>3.5</v>
      </c>
      <c r="H264" t="n">
        <v>0</v>
      </c>
      <c r="I264" t="n">
        <v>0</v>
      </c>
      <c r="J264" t="n">
        <v>0</v>
      </c>
      <c r="K264" t="n">
        <v>0</v>
      </c>
      <c r="L264" t="n">
        <v>0</v>
      </c>
      <c r="M264" t="n">
        <v>0</v>
      </c>
      <c r="N264" t="n">
        <v>0</v>
      </c>
      <c r="O264" t="n">
        <v>0</v>
      </c>
      <c r="P264" t="n">
        <v>0</v>
      </c>
      <c r="Q264" t="n">
        <v>0</v>
      </c>
      <c r="R264" s="2" t="inlineStr"/>
    </row>
    <row r="265" ht="15" customHeight="1">
      <c r="A265" t="inlineStr">
        <is>
          <t>A 27875-2024</t>
        </is>
      </c>
      <c r="B265" s="1" t="n">
        <v>45475</v>
      </c>
      <c r="C265" s="1" t="n">
        <v>46029</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27376-2024</t>
        </is>
      </c>
      <c r="B266" s="1" t="n">
        <v>45473.88313657408</v>
      </c>
      <c r="C266" s="1" t="n">
        <v>46029</v>
      </c>
      <c r="D266" t="inlineStr">
        <is>
          <t>SÖDERMANLANDS LÄN</t>
        </is>
      </c>
      <c r="E266" t="inlineStr">
        <is>
          <t>KATRINEHOLM</t>
        </is>
      </c>
      <c r="F266" t="inlineStr">
        <is>
          <t>Kommuner</t>
        </is>
      </c>
      <c r="G266" t="n">
        <v>2.8</v>
      </c>
      <c r="H266" t="n">
        <v>0</v>
      </c>
      <c r="I266" t="n">
        <v>0</v>
      </c>
      <c r="J266" t="n">
        <v>0</v>
      </c>
      <c r="K266" t="n">
        <v>0</v>
      </c>
      <c r="L266" t="n">
        <v>0</v>
      </c>
      <c r="M266" t="n">
        <v>0</v>
      </c>
      <c r="N266" t="n">
        <v>0</v>
      </c>
      <c r="O266" t="n">
        <v>0</v>
      </c>
      <c r="P266" t="n">
        <v>0</v>
      </c>
      <c r="Q266" t="n">
        <v>0</v>
      </c>
      <c r="R266" s="2" t="inlineStr"/>
    </row>
    <row r="267" ht="15" customHeight="1">
      <c r="A267" t="inlineStr">
        <is>
          <t>A 28995-2024</t>
        </is>
      </c>
      <c r="B267" s="1" t="n">
        <v>45481.49899305555</v>
      </c>
      <c r="C267" s="1" t="n">
        <v>46029</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44989-2022</t>
        </is>
      </c>
      <c r="B268" s="1" t="n">
        <v>44840</v>
      </c>
      <c r="C268" s="1" t="n">
        <v>46029</v>
      </c>
      <c r="D268" t="inlineStr">
        <is>
          <t>SÖDERMANLANDS LÄN</t>
        </is>
      </c>
      <c r="E268" t="inlineStr">
        <is>
          <t>KATRINEHOLM</t>
        </is>
      </c>
      <c r="G268" t="n">
        <v>6</v>
      </c>
      <c r="H268" t="n">
        <v>0</v>
      </c>
      <c r="I268" t="n">
        <v>0</v>
      </c>
      <c r="J268" t="n">
        <v>0</v>
      </c>
      <c r="K268" t="n">
        <v>0</v>
      </c>
      <c r="L268" t="n">
        <v>0</v>
      </c>
      <c r="M268" t="n">
        <v>0</v>
      </c>
      <c r="N268" t="n">
        <v>0</v>
      </c>
      <c r="O268" t="n">
        <v>0</v>
      </c>
      <c r="P268" t="n">
        <v>0</v>
      </c>
      <c r="Q268" t="n">
        <v>0</v>
      </c>
      <c r="R268" s="2" t="inlineStr"/>
    </row>
    <row r="269" ht="15" customHeight="1">
      <c r="A269" t="inlineStr">
        <is>
          <t>A 48259-2022</t>
        </is>
      </c>
      <c r="B269" s="1" t="n">
        <v>44858</v>
      </c>
      <c r="C269" s="1" t="n">
        <v>46029</v>
      </c>
      <c r="D269" t="inlineStr">
        <is>
          <t>SÖDERMANLANDS LÄN</t>
        </is>
      </c>
      <c r="E269" t="inlineStr">
        <is>
          <t>KATRINEHOLM</t>
        </is>
      </c>
      <c r="G269" t="n">
        <v>3.5</v>
      </c>
      <c r="H269" t="n">
        <v>0</v>
      </c>
      <c r="I269" t="n">
        <v>0</v>
      </c>
      <c r="J269" t="n">
        <v>0</v>
      </c>
      <c r="K269" t="n">
        <v>0</v>
      </c>
      <c r="L269" t="n">
        <v>0</v>
      </c>
      <c r="M269" t="n">
        <v>0</v>
      </c>
      <c r="N269" t="n">
        <v>0</v>
      </c>
      <c r="O269" t="n">
        <v>0</v>
      </c>
      <c r="P269" t="n">
        <v>0</v>
      </c>
      <c r="Q269" t="n">
        <v>0</v>
      </c>
      <c r="R269" s="2" t="inlineStr"/>
    </row>
    <row r="270" ht="15" customHeight="1">
      <c r="A270" t="inlineStr">
        <is>
          <t>A 61423-2024</t>
        </is>
      </c>
      <c r="B270" s="1" t="n">
        <v>45646.45209490741</v>
      </c>
      <c r="C270" s="1" t="n">
        <v>46029</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28992-2024</t>
        </is>
      </c>
      <c r="B271" s="1" t="n">
        <v>45481.49289351852</v>
      </c>
      <c r="C271" s="1" t="n">
        <v>46029</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41727-2024</t>
        </is>
      </c>
      <c r="B272" s="1" t="n">
        <v>45560</v>
      </c>
      <c r="C272" s="1" t="n">
        <v>46029</v>
      </c>
      <c r="D272" t="inlineStr">
        <is>
          <t>SÖDERMANLANDS LÄN</t>
        </is>
      </c>
      <c r="E272" t="inlineStr">
        <is>
          <t>KATRINEHOLM</t>
        </is>
      </c>
      <c r="G272" t="n">
        <v>3.9</v>
      </c>
      <c r="H272" t="n">
        <v>0</v>
      </c>
      <c r="I272" t="n">
        <v>0</v>
      </c>
      <c r="J272" t="n">
        <v>0</v>
      </c>
      <c r="K272" t="n">
        <v>0</v>
      </c>
      <c r="L272" t="n">
        <v>0</v>
      </c>
      <c r="M272" t="n">
        <v>0</v>
      </c>
      <c r="N272" t="n">
        <v>0</v>
      </c>
      <c r="O272" t="n">
        <v>0</v>
      </c>
      <c r="P272" t="n">
        <v>0</v>
      </c>
      <c r="Q272" t="n">
        <v>0</v>
      </c>
      <c r="R272" s="2" t="inlineStr"/>
    </row>
    <row r="273" ht="15" customHeight="1">
      <c r="A273" t="inlineStr">
        <is>
          <t>A 7322-2023</t>
        </is>
      </c>
      <c r="B273" s="1" t="n">
        <v>44970</v>
      </c>
      <c r="C273" s="1" t="n">
        <v>46029</v>
      </c>
      <c r="D273" t="inlineStr">
        <is>
          <t>SÖDERMANLANDS LÄN</t>
        </is>
      </c>
      <c r="E273" t="inlineStr">
        <is>
          <t>KATRINEHOLM</t>
        </is>
      </c>
      <c r="G273" t="n">
        <v>2.1</v>
      </c>
      <c r="H273" t="n">
        <v>0</v>
      </c>
      <c r="I273" t="n">
        <v>0</v>
      </c>
      <c r="J273" t="n">
        <v>0</v>
      </c>
      <c r="K273" t="n">
        <v>0</v>
      </c>
      <c r="L273" t="n">
        <v>0</v>
      </c>
      <c r="M273" t="n">
        <v>0</v>
      </c>
      <c r="N273" t="n">
        <v>0</v>
      </c>
      <c r="O273" t="n">
        <v>0</v>
      </c>
      <c r="P273" t="n">
        <v>0</v>
      </c>
      <c r="Q273" t="n">
        <v>0</v>
      </c>
      <c r="R273" s="2" t="inlineStr"/>
    </row>
    <row r="274" ht="15" customHeight="1">
      <c r="A274" t="inlineStr">
        <is>
          <t>A 2093-2025</t>
        </is>
      </c>
      <c r="B274" s="1" t="n">
        <v>45672</v>
      </c>
      <c r="C274" s="1" t="n">
        <v>46029</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27886-2024</t>
        </is>
      </c>
      <c r="B275" s="1" t="n">
        <v>45475</v>
      </c>
      <c r="C275" s="1" t="n">
        <v>46029</v>
      </c>
      <c r="D275" t="inlineStr">
        <is>
          <t>SÖDERMANLANDS LÄN</t>
        </is>
      </c>
      <c r="E275" t="inlineStr">
        <is>
          <t>KATRINEHOLM</t>
        </is>
      </c>
      <c r="G275" t="n">
        <v>10.3</v>
      </c>
      <c r="H275" t="n">
        <v>0</v>
      </c>
      <c r="I275" t="n">
        <v>0</v>
      </c>
      <c r="J275" t="n">
        <v>0</v>
      </c>
      <c r="K275" t="n">
        <v>0</v>
      </c>
      <c r="L275" t="n">
        <v>0</v>
      </c>
      <c r="M275" t="n">
        <v>0</v>
      </c>
      <c r="N275" t="n">
        <v>0</v>
      </c>
      <c r="O275" t="n">
        <v>0</v>
      </c>
      <c r="P275" t="n">
        <v>0</v>
      </c>
      <c r="Q275" t="n">
        <v>0</v>
      </c>
      <c r="R275" s="2" t="inlineStr"/>
    </row>
    <row r="276" ht="15" customHeight="1">
      <c r="A276" t="inlineStr">
        <is>
          <t>A 28427-2024</t>
        </is>
      </c>
      <c r="B276" s="1" t="n">
        <v>45477.64910879629</v>
      </c>
      <c r="C276" s="1" t="n">
        <v>46029</v>
      </c>
      <c r="D276" t="inlineStr">
        <is>
          <t>SÖDERMANLANDS LÄN</t>
        </is>
      </c>
      <c r="E276" t="inlineStr">
        <is>
          <t>KATRINEHOLM</t>
        </is>
      </c>
      <c r="G276" t="n">
        <v>5.9</v>
      </c>
      <c r="H276" t="n">
        <v>0</v>
      </c>
      <c r="I276" t="n">
        <v>0</v>
      </c>
      <c r="J276" t="n">
        <v>0</v>
      </c>
      <c r="K276" t="n">
        <v>0</v>
      </c>
      <c r="L276" t="n">
        <v>0</v>
      </c>
      <c r="M276" t="n">
        <v>0</v>
      </c>
      <c r="N276" t="n">
        <v>0</v>
      </c>
      <c r="O276" t="n">
        <v>0</v>
      </c>
      <c r="P276" t="n">
        <v>0</v>
      </c>
      <c r="Q276" t="n">
        <v>0</v>
      </c>
      <c r="R276" s="2" t="inlineStr"/>
    </row>
    <row r="277" ht="15" customHeight="1">
      <c r="A277" t="inlineStr">
        <is>
          <t>A 24717-2025</t>
        </is>
      </c>
      <c r="B277" s="1" t="n">
        <v>45799.27168981481</v>
      </c>
      <c r="C277" s="1" t="n">
        <v>46029</v>
      </c>
      <c r="D277" t="inlineStr">
        <is>
          <t>SÖDERMANLANDS LÄN</t>
        </is>
      </c>
      <c r="E277" t="inlineStr">
        <is>
          <t>KATRINEHOLM</t>
        </is>
      </c>
      <c r="G277" t="n">
        <v>24.5</v>
      </c>
      <c r="H277" t="n">
        <v>0</v>
      </c>
      <c r="I277" t="n">
        <v>0</v>
      </c>
      <c r="J277" t="n">
        <v>0</v>
      </c>
      <c r="K277" t="n">
        <v>0</v>
      </c>
      <c r="L277" t="n">
        <v>0</v>
      </c>
      <c r="M277" t="n">
        <v>0</v>
      </c>
      <c r="N277" t="n">
        <v>0</v>
      </c>
      <c r="O277" t="n">
        <v>0</v>
      </c>
      <c r="P277" t="n">
        <v>0</v>
      </c>
      <c r="Q277" t="n">
        <v>0</v>
      </c>
      <c r="R277" s="2" t="inlineStr"/>
    </row>
    <row r="278" ht="15" customHeight="1">
      <c r="A278" t="inlineStr">
        <is>
          <t>A 53999-2023</t>
        </is>
      </c>
      <c r="B278" s="1" t="n">
        <v>45231</v>
      </c>
      <c r="C278" s="1" t="n">
        <v>46029</v>
      </c>
      <c r="D278" t="inlineStr">
        <is>
          <t>SÖDERMANLANDS LÄN</t>
        </is>
      </c>
      <c r="E278" t="inlineStr">
        <is>
          <t>KATRINEHOLM</t>
        </is>
      </c>
      <c r="G278" t="n">
        <v>5.4</v>
      </c>
      <c r="H278" t="n">
        <v>0</v>
      </c>
      <c r="I278" t="n">
        <v>0</v>
      </c>
      <c r="J278" t="n">
        <v>0</v>
      </c>
      <c r="K278" t="n">
        <v>0</v>
      </c>
      <c r="L278" t="n">
        <v>0</v>
      </c>
      <c r="M278" t="n">
        <v>0</v>
      </c>
      <c r="N278" t="n">
        <v>0</v>
      </c>
      <c r="O278" t="n">
        <v>0</v>
      </c>
      <c r="P278" t="n">
        <v>0</v>
      </c>
      <c r="Q278" t="n">
        <v>0</v>
      </c>
      <c r="R278" s="2" t="inlineStr"/>
    </row>
    <row r="279" ht="15" customHeight="1">
      <c r="A279" t="inlineStr">
        <is>
          <t>A 24719-2025</t>
        </is>
      </c>
      <c r="B279" s="1" t="n">
        <v>45799</v>
      </c>
      <c r="C279" s="1" t="n">
        <v>46029</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25363-2023</t>
        </is>
      </c>
      <c r="B280" s="1" t="n">
        <v>45088.83840277778</v>
      </c>
      <c r="C280" s="1" t="n">
        <v>46029</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6722-2022</t>
        </is>
      </c>
      <c r="B281" s="1" t="n">
        <v>44602</v>
      </c>
      <c r="C281" s="1" t="n">
        <v>46029</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6763-2022</t>
        </is>
      </c>
      <c r="B282" s="1" t="n">
        <v>44602</v>
      </c>
      <c r="C282" s="1" t="n">
        <v>46029</v>
      </c>
      <c r="D282" t="inlineStr">
        <is>
          <t>SÖDERMANLANDS LÄN</t>
        </is>
      </c>
      <c r="E282" t="inlineStr">
        <is>
          <t>KATRINEHOLM</t>
        </is>
      </c>
      <c r="G282" t="n">
        <v>6.7</v>
      </c>
      <c r="H282" t="n">
        <v>0</v>
      </c>
      <c r="I282" t="n">
        <v>0</v>
      </c>
      <c r="J282" t="n">
        <v>0</v>
      </c>
      <c r="K282" t="n">
        <v>0</v>
      </c>
      <c r="L282" t="n">
        <v>0</v>
      </c>
      <c r="M282" t="n">
        <v>0</v>
      </c>
      <c r="N282" t="n">
        <v>0</v>
      </c>
      <c r="O282" t="n">
        <v>0</v>
      </c>
      <c r="P282" t="n">
        <v>0</v>
      </c>
      <c r="Q282" t="n">
        <v>0</v>
      </c>
      <c r="R282" s="2" t="inlineStr"/>
    </row>
    <row r="283" ht="15" customHeight="1">
      <c r="A283" t="inlineStr">
        <is>
          <t>A 38708-2025</t>
        </is>
      </c>
      <c r="B283" s="1" t="n">
        <v>45885</v>
      </c>
      <c r="C283" s="1" t="n">
        <v>46029</v>
      </c>
      <c r="D283" t="inlineStr">
        <is>
          <t>SÖDERMANLANDS LÄN</t>
        </is>
      </c>
      <c r="E283" t="inlineStr">
        <is>
          <t>KATRINEHOLM</t>
        </is>
      </c>
      <c r="G283" t="n">
        <v>1.9</v>
      </c>
      <c r="H283" t="n">
        <v>0</v>
      </c>
      <c r="I283" t="n">
        <v>0</v>
      </c>
      <c r="J283" t="n">
        <v>0</v>
      </c>
      <c r="K283" t="n">
        <v>0</v>
      </c>
      <c r="L283" t="n">
        <v>0</v>
      </c>
      <c r="M283" t="n">
        <v>0</v>
      </c>
      <c r="N283" t="n">
        <v>0</v>
      </c>
      <c r="O283" t="n">
        <v>0</v>
      </c>
      <c r="P283" t="n">
        <v>0</v>
      </c>
      <c r="Q283" t="n">
        <v>0</v>
      </c>
      <c r="R283" s="2" t="inlineStr"/>
    </row>
    <row r="284" ht="15" customHeight="1">
      <c r="A284" t="inlineStr">
        <is>
          <t>A 5790-2022</t>
        </is>
      </c>
      <c r="B284" s="1" t="n">
        <v>44596.55368055555</v>
      </c>
      <c r="C284" s="1" t="n">
        <v>46029</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46029</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29397-2024</t>
        </is>
      </c>
      <c r="B286" s="1" t="n">
        <v>45483</v>
      </c>
      <c r="C286" s="1" t="n">
        <v>46029</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25786-2025</t>
        </is>
      </c>
      <c r="B287" s="1" t="n">
        <v>45804.37456018518</v>
      </c>
      <c r="C287" s="1" t="n">
        <v>46029</v>
      </c>
      <c r="D287" t="inlineStr">
        <is>
          <t>SÖDERMANLANDS LÄN</t>
        </is>
      </c>
      <c r="E287" t="inlineStr">
        <is>
          <t>KATRINEHOLM</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33278-2024</t>
        </is>
      </c>
      <c r="B288" s="1" t="n">
        <v>45518</v>
      </c>
      <c r="C288" s="1" t="n">
        <v>46029</v>
      </c>
      <c r="D288" t="inlineStr">
        <is>
          <t>SÖDERMANLANDS LÄN</t>
        </is>
      </c>
      <c r="E288" t="inlineStr">
        <is>
          <t>KATRINEHOLM</t>
        </is>
      </c>
      <c r="G288" t="n">
        <v>2.1</v>
      </c>
      <c r="H288" t="n">
        <v>0</v>
      </c>
      <c r="I288" t="n">
        <v>0</v>
      </c>
      <c r="J288" t="n">
        <v>0</v>
      </c>
      <c r="K288" t="n">
        <v>0</v>
      </c>
      <c r="L288" t="n">
        <v>0</v>
      </c>
      <c r="M288" t="n">
        <v>0</v>
      </c>
      <c r="N288" t="n">
        <v>0</v>
      </c>
      <c r="O288" t="n">
        <v>0</v>
      </c>
      <c r="P288" t="n">
        <v>0</v>
      </c>
      <c r="Q288" t="n">
        <v>0</v>
      </c>
      <c r="R288" s="2" t="inlineStr"/>
    </row>
    <row r="289" ht="15" customHeight="1">
      <c r="A289" t="inlineStr">
        <is>
          <t>A 26154-2025</t>
        </is>
      </c>
      <c r="B289" s="1" t="n">
        <v>45805.43341435185</v>
      </c>
      <c r="C289" s="1" t="n">
        <v>46029</v>
      </c>
      <c r="D289" t="inlineStr">
        <is>
          <t>SÖDERMANLANDS LÄN</t>
        </is>
      </c>
      <c r="E289" t="inlineStr">
        <is>
          <t>KATRINEHOLM</t>
        </is>
      </c>
      <c r="G289" t="n">
        <v>4.5</v>
      </c>
      <c r="H289" t="n">
        <v>0</v>
      </c>
      <c r="I289" t="n">
        <v>0</v>
      </c>
      <c r="J289" t="n">
        <v>0</v>
      </c>
      <c r="K289" t="n">
        <v>0</v>
      </c>
      <c r="L289" t="n">
        <v>0</v>
      </c>
      <c r="M289" t="n">
        <v>0</v>
      </c>
      <c r="N289" t="n">
        <v>0</v>
      </c>
      <c r="O289" t="n">
        <v>0</v>
      </c>
      <c r="P289" t="n">
        <v>0</v>
      </c>
      <c r="Q289" t="n">
        <v>0</v>
      </c>
      <c r="R289" s="2" t="inlineStr"/>
    </row>
    <row r="290" ht="15" customHeight="1">
      <c r="A290" t="inlineStr">
        <is>
          <t>A 26156-2025</t>
        </is>
      </c>
      <c r="B290" s="1" t="n">
        <v>45805.43864583333</v>
      </c>
      <c r="C290" s="1" t="n">
        <v>46029</v>
      </c>
      <c r="D290" t="inlineStr">
        <is>
          <t>SÖDERMANLANDS LÄN</t>
        </is>
      </c>
      <c r="E290" t="inlineStr">
        <is>
          <t>KATRINEHOLM</t>
        </is>
      </c>
      <c r="G290" t="n">
        <v>4.1</v>
      </c>
      <c r="H290" t="n">
        <v>0</v>
      </c>
      <c r="I290" t="n">
        <v>0</v>
      </c>
      <c r="J290" t="n">
        <v>0</v>
      </c>
      <c r="K290" t="n">
        <v>0</v>
      </c>
      <c r="L290" t="n">
        <v>0</v>
      </c>
      <c r="M290" t="n">
        <v>0</v>
      </c>
      <c r="N290" t="n">
        <v>0</v>
      </c>
      <c r="O290" t="n">
        <v>0</v>
      </c>
      <c r="P290" t="n">
        <v>0</v>
      </c>
      <c r="Q290" t="n">
        <v>0</v>
      </c>
      <c r="R290" s="2" t="inlineStr"/>
    </row>
    <row r="291" ht="15" customHeight="1">
      <c r="A291" t="inlineStr">
        <is>
          <t>A 9714-2024</t>
        </is>
      </c>
      <c r="B291" s="1" t="n">
        <v>45362</v>
      </c>
      <c r="C291" s="1" t="n">
        <v>46029</v>
      </c>
      <c r="D291" t="inlineStr">
        <is>
          <t>SÖDERMANLANDS LÄN</t>
        </is>
      </c>
      <c r="E291" t="inlineStr">
        <is>
          <t>KATRINEHOLM</t>
        </is>
      </c>
      <c r="G291" t="n">
        <v>4</v>
      </c>
      <c r="H291" t="n">
        <v>0</v>
      </c>
      <c r="I291" t="n">
        <v>0</v>
      </c>
      <c r="J291" t="n">
        <v>0</v>
      </c>
      <c r="K291" t="n">
        <v>0</v>
      </c>
      <c r="L291" t="n">
        <v>0</v>
      </c>
      <c r="M291" t="n">
        <v>0</v>
      </c>
      <c r="N291" t="n">
        <v>0</v>
      </c>
      <c r="O291" t="n">
        <v>0</v>
      </c>
      <c r="P291" t="n">
        <v>0</v>
      </c>
      <c r="Q291" t="n">
        <v>0</v>
      </c>
      <c r="R291" s="2" t="inlineStr"/>
    </row>
    <row r="292" ht="15" customHeight="1">
      <c r="A292" t="inlineStr">
        <is>
          <t>A 24619-2024</t>
        </is>
      </c>
      <c r="B292" s="1" t="n">
        <v>45460</v>
      </c>
      <c r="C292" s="1" t="n">
        <v>46029</v>
      </c>
      <c r="D292" t="inlineStr">
        <is>
          <t>SÖDERMANLANDS LÄN</t>
        </is>
      </c>
      <c r="E292" t="inlineStr">
        <is>
          <t>KATRINEHOLM</t>
        </is>
      </c>
      <c r="G292" t="n">
        <v>4.7</v>
      </c>
      <c r="H292" t="n">
        <v>0</v>
      </c>
      <c r="I292" t="n">
        <v>0</v>
      </c>
      <c r="J292" t="n">
        <v>0</v>
      </c>
      <c r="K292" t="n">
        <v>0</v>
      </c>
      <c r="L292" t="n">
        <v>0</v>
      </c>
      <c r="M292" t="n">
        <v>0</v>
      </c>
      <c r="N292" t="n">
        <v>0</v>
      </c>
      <c r="O292" t="n">
        <v>0</v>
      </c>
      <c r="P292" t="n">
        <v>0</v>
      </c>
      <c r="Q292" t="n">
        <v>0</v>
      </c>
      <c r="R292" s="2" t="inlineStr"/>
    </row>
    <row r="293" ht="15" customHeight="1">
      <c r="A293" t="inlineStr">
        <is>
          <t>A 9699-2024</t>
        </is>
      </c>
      <c r="B293" s="1" t="n">
        <v>45362</v>
      </c>
      <c r="C293" s="1" t="n">
        <v>46029</v>
      </c>
      <c r="D293" t="inlineStr">
        <is>
          <t>SÖDERMANLANDS LÄN</t>
        </is>
      </c>
      <c r="E293" t="inlineStr">
        <is>
          <t>KATRINEHOLM</t>
        </is>
      </c>
      <c r="G293" t="n">
        <v>7.7</v>
      </c>
      <c r="H293" t="n">
        <v>0</v>
      </c>
      <c r="I293" t="n">
        <v>0</v>
      </c>
      <c r="J293" t="n">
        <v>0</v>
      </c>
      <c r="K293" t="n">
        <v>0</v>
      </c>
      <c r="L293" t="n">
        <v>0</v>
      </c>
      <c r="M293" t="n">
        <v>0</v>
      </c>
      <c r="N293" t="n">
        <v>0</v>
      </c>
      <c r="O293" t="n">
        <v>0</v>
      </c>
      <c r="P293" t="n">
        <v>0</v>
      </c>
      <c r="Q293" t="n">
        <v>0</v>
      </c>
      <c r="R293" s="2" t="inlineStr"/>
    </row>
    <row r="294" ht="15" customHeight="1">
      <c r="A294" t="inlineStr">
        <is>
          <t>A 59474-2021</t>
        </is>
      </c>
      <c r="B294" s="1" t="n">
        <v>44491</v>
      </c>
      <c r="C294" s="1" t="n">
        <v>46029</v>
      </c>
      <c r="D294" t="inlineStr">
        <is>
          <t>SÖDERMANLANDS LÄN</t>
        </is>
      </c>
      <c r="E294" t="inlineStr">
        <is>
          <t>KATRINEHOLM</t>
        </is>
      </c>
      <c r="G294" t="n">
        <v>2.7</v>
      </c>
      <c r="H294" t="n">
        <v>0</v>
      </c>
      <c r="I294" t="n">
        <v>0</v>
      </c>
      <c r="J294" t="n">
        <v>0</v>
      </c>
      <c r="K294" t="n">
        <v>0</v>
      </c>
      <c r="L294" t="n">
        <v>0</v>
      </c>
      <c r="M294" t="n">
        <v>0</v>
      </c>
      <c r="N294" t="n">
        <v>0</v>
      </c>
      <c r="O294" t="n">
        <v>0</v>
      </c>
      <c r="P294" t="n">
        <v>0</v>
      </c>
      <c r="Q294" t="n">
        <v>0</v>
      </c>
      <c r="R294" s="2" t="inlineStr"/>
    </row>
    <row r="295" ht="15" customHeight="1">
      <c r="A295" t="inlineStr">
        <is>
          <t>A 14239-2024</t>
        </is>
      </c>
      <c r="B295" s="1" t="n">
        <v>45393</v>
      </c>
      <c r="C295" s="1" t="n">
        <v>46029</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14248-2024</t>
        </is>
      </c>
      <c r="B296" s="1" t="n">
        <v>45393</v>
      </c>
      <c r="C296" s="1" t="n">
        <v>46029</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11635-2023</t>
        </is>
      </c>
      <c r="B297" s="1" t="n">
        <v>44994</v>
      </c>
      <c r="C297" s="1" t="n">
        <v>46029</v>
      </c>
      <c r="D297" t="inlineStr">
        <is>
          <t>SÖDERMANLANDS LÄN</t>
        </is>
      </c>
      <c r="E297" t="inlineStr">
        <is>
          <t>KATRINEHOLM</t>
        </is>
      </c>
      <c r="G297" t="n">
        <v>4.3</v>
      </c>
      <c r="H297" t="n">
        <v>0</v>
      </c>
      <c r="I297" t="n">
        <v>0</v>
      </c>
      <c r="J297" t="n">
        <v>0</v>
      </c>
      <c r="K297" t="n">
        <v>0</v>
      </c>
      <c r="L297" t="n">
        <v>0</v>
      </c>
      <c r="M297" t="n">
        <v>0</v>
      </c>
      <c r="N297" t="n">
        <v>0</v>
      </c>
      <c r="O297" t="n">
        <v>0</v>
      </c>
      <c r="P297" t="n">
        <v>0</v>
      </c>
      <c r="Q297" t="n">
        <v>0</v>
      </c>
      <c r="R297" s="2" t="inlineStr"/>
    </row>
    <row r="298" ht="15" customHeight="1">
      <c r="A298" t="inlineStr">
        <is>
          <t>A 10932-2023</t>
        </is>
      </c>
      <c r="B298" s="1" t="n">
        <v>44985</v>
      </c>
      <c r="C298" s="1" t="n">
        <v>46029</v>
      </c>
      <c r="D298" t="inlineStr">
        <is>
          <t>SÖDERMANLANDS LÄN</t>
        </is>
      </c>
      <c r="E298" t="inlineStr">
        <is>
          <t>KATRINEHOLM</t>
        </is>
      </c>
      <c r="G298" t="n">
        <v>1.8</v>
      </c>
      <c r="H298" t="n">
        <v>0</v>
      </c>
      <c r="I298" t="n">
        <v>0</v>
      </c>
      <c r="J298" t="n">
        <v>0</v>
      </c>
      <c r="K298" t="n">
        <v>0</v>
      </c>
      <c r="L298" t="n">
        <v>0</v>
      </c>
      <c r="M298" t="n">
        <v>0</v>
      </c>
      <c r="N298" t="n">
        <v>0</v>
      </c>
      <c r="O298" t="n">
        <v>0</v>
      </c>
      <c r="P298" t="n">
        <v>0</v>
      </c>
      <c r="Q298" t="n">
        <v>0</v>
      </c>
      <c r="R298" s="2" t="inlineStr"/>
    </row>
    <row r="299" ht="15" customHeight="1">
      <c r="A299" t="inlineStr">
        <is>
          <t>A 6087-2022</t>
        </is>
      </c>
      <c r="B299" s="1" t="n">
        <v>44599.61034722222</v>
      </c>
      <c r="C299" s="1" t="n">
        <v>46029</v>
      </c>
      <c r="D299" t="inlineStr">
        <is>
          <t>SÖDERMANLANDS LÄN</t>
        </is>
      </c>
      <c r="E299" t="inlineStr">
        <is>
          <t>KATRINEHOLM</t>
        </is>
      </c>
      <c r="G299" t="n">
        <v>0.8</v>
      </c>
      <c r="H299" t="n">
        <v>0</v>
      </c>
      <c r="I299" t="n">
        <v>0</v>
      </c>
      <c r="J299" t="n">
        <v>0</v>
      </c>
      <c r="K299" t="n">
        <v>0</v>
      </c>
      <c r="L299" t="n">
        <v>0</v>
      </c>
      <c r="M299" t="n">
        <v>0</v>
      </c>
      <c r="N299" t="n">
        <v>0</v>
      </c>
      <c r="O299" t="n">
        <v>0</v>
      </c>
      <c r="P299" t="n">
        <v>0</v>
      </c>
      <c r="Q299" t="n">
        <v>0</v>
      </c>
      <c r="R299" s="2" t="inlineStr"/>
    </row>
    <row r="300" ht="15" customHeight="1">
      <c r="A300" t="inlineStr">
        <is>
          <t>A 8957-2024</t>
        </is>
      </c>
      <c r="B300" s="1" t="n">
        <v>45357.45089120371</v>
      </c>
      <c r="C300" s="1" t="n">
        <v>46029</v>
      </c>
      <c r="D300" t="inlineStr">
        <is>
          <t>SÖDERMANLANDS LÄN</t>
        </is>
      </c>
      <c r="E300" t="inlineStr">
        <is>
          <t>KATRINEHOLM</t>
        </is>
      </c>
      <c r="G300" t="n">
        <v>3.6</v>
      </c>
      <c r="H300" t="n">
        <v>0</v>
      </c>
      <c r="I300" t="n">
        <v>0</v>
      </c>
      <c r="J300" t="n">
        <v>0</v>
      </c>
      <c r="K300" t="n">
        <v>0</v>
      </c>
      <c r="L300" t="n">
        <v>0</v>
      </c>
      <c r="M300" t="n">
        <v>0</v>
      </c>
      <c r="N300" t="n">
        <v>0</v>
      </c>
      <c r="O300" t="n">
        <v>0</v>
      </c>
      <c r="P300" t="n">
        <v>0</v>
      </c>
      <c r="Q300" t="n">
        <v>0</v>
      </c>
      <c r="R300" s="2" t="inlineStr"/>
    </row>
    <row r="301" ht="15" customHeight="1">
      <c r="A301" t="inlineStr">
        <is>
          <t>A 39645-2025</t>
        </is>
      </c>
      <c r="B301" s="1" t="n">
        <v>45890</v>
      </c>
      <c r="C301" s="1" t="n">
        <v>46029</v>
      </c>
      <c r="D301" t="inlineStr">
        <is>
          <t>SÖDERMANLANDS LÄN</t>
        </is>
      </c>
      <c r="E301" t="inlineStr">
        <is>
          <t>KATRINEHOLM</t>
        </is>
      </c>
      <c r="G301" t="n">
        <v>0.2</v>
      </c>
      <c r="H301" t="n">
        <v>0</v>
      </c>
      <c r="I301" t="n">
        <v>0</v>
      </c>
      <c r="J301" t="n">
        <v>0</v>
      </c>
      <c r="K301" t="n">
        <v>0</v>
      </c>
      <c r="L301" t="n">
        <v>0</v>
      </c>
      <c r="M301" t="n">
        <v>0</v>
      </c>
      <c r="N301" t="n">
        <v>0</v>
      </c>
      <c r="O301" t="n">
        <v>0</v>
      </c>
      <c r="P301" t="n">
        <v>0</v>
      </c>
      <c r="Q301" t="n">
        <v>0</v>
      </c>
      <c r="R301" s="2" t="inlineStr"/>
    </row>
    <row r="302" ht="15" customHeight="1">
      <c r="A302" t="inlineStr">
        <is>
          <t>A 42896-2024</t>
        </is>
      </c>
      <c r="B302" s="1" t="n">
        <v>45566.82973379629</v>
      </c>
      <c r="C302" s="1" t="n">
        <v>46029</v>
      </c>
      <c r="D302" t="inlineStr">
        <is>
          <t>SÖDERMANLANDS LÄN</t>
        </is>
      </c>
      <c r="E302" t="inlineStr">
        <is>
          <t>KATRINEHOLM</t>
        </is>
      </c>
      <c r="G302" t="n">
        <v>4.3</v>
      </c>
      <c r="H302" t="n">
        <v>0</v>
      </c>
      <c r="I302" t="n">
        <v>0</v>
      </c>
      <c r="J302" t="n">
        <v>0</v>
      </c>
      <c r="K302" t="n">
        <v>0</v>
      </c>
      <c r="L302" t="n">
        <v>0</v>
      </c>
      <c r="M302" t="n">
        <v>0</v>
      </c>
      <c r="N302" t="n">
        <v>0</v>
      </c>
      <c r="O302" t="n">
        <v>0</v>
      </c>
      <c r="P302" t="n">
        <v>0</v>
      </c>
      <c r="Q302" t="n">
        <v>0</v>
      </c>
      <c r="R302" s="2" t="inlineStr"/>
    </row>
    <row r="303" ht="15" customHeight="1">
      <c r="A303" t="inlineStr">
        <is>
          <t>A 7747-2024</t>
        </is>
      </c>
      <c r="B303" s="1" t="n">
        <v>45348</v>
      </c>
      <c r="C303" s="1" t="n">
        <v>46029</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7753-2024</t>
        </is>
      </c>
      <c r="B304" s="1" t="n">
        <v>45348</v>
      </c>
      <c r="C304" s="1" t="n">
        <v>46029</v>
      </c>
      <c r="D304" t="inlineStr">
        <is>
          <t>SÖDERMANLANDS LÄN</t>
        </is>
      </c>
      <c r="E304" t="inlineStr">
        <is>
          <t>KATRINEHOLM</t>
        </is>
      </c>
      <c r="G304" t="n">
        <v>13.4</v>
      </c>
      <c r="H304" t="n">
        <v>0</v>
      </c>
      <c r="I304" t="n">
        <v>0</v>
      </c>
      <c r="J304" t="n">
        <v>0</v>
      </c>
      <c r="K304" t="n">
        <v>0</v>
      </c>
      <c r="L304" t="n">
        <v>0</v>
      </c>
      <c r="M304" t="n">
        <v>0</v>
      </c>
      <c r="N304" t="n">
        <v>0</v>
      </c>
      <c r="O304" t="n">
        <v>0</v>
      </c>
      <c r="P304" t="n">
        <v>0</v>
      </c>
      <c r="Q304" t="n">
        <v>0</v>
      </c>
      <c r="R304" s="2" t="inlineStr"/>
    </row>
    <row r="305" ht="15" customHeight="1">
      <c r="A305" t="inlineStr">
        <is>
          <t>A 39663-2025</t>
        </is>
      </c>
      <c r="B305" s="1" t="n">
        <v>45890</v>
      </c>
      <c r="C305" s="1" t="n">
        <v>46029</v>
      </c>
      <c r="D305" t="inlineStr">
        <is>
          <t>SÖDERMANLANDS LÄN</t>
        </is>
      </c>
      <c r="E305" t="inlineStr">
        <is>
          <t>KATRINEHOLM</t>
        </is>
      </c>
      <c r="G305" t="n">
        <v>0.5</v>
      </c>
      <c r="H305" t="n">
        <v>0</v>
      </c>
      <c r="I305" t="n">
        <v>0</v>
      </c>
      <c r="J305" t="n">
        <v>0</v>
      </c>
      <c r="K305" t="n">
        <v>0</v>
      </c>
      <c r="L305" t="n">
        <v>0</v>
      </c>
      <c r="M305" t="n">
        <v>0</v>
      </c>
      <c r="N305" t="n">
        <v>0</v>
      </c>
      <c r="O305" t="n">
        <v>0</v>
      </c>
      <c r="P305" t="n">
        <v>0</v>
      </c>
      <c r="Q305" t="n">
        <v>0</v>
      </c>
      <c r="R305" s="2" t="inlineStr"/>
    </row>
    <row r="306" ht="15" customHeight="1">
      <c r="A306" t="inlineStr">
        <is>
          <t>A 39668-2025</t>
        </is>
      </c>
      <c r="B306" s="1" t="n">
        <v>45890</v>
      </c>
      <c r="C306" s="1" t="n">
        <v>46029</v>
      </c>
      <c r="D306" t="inlineStr">
        <is>
          <t>SÖDERMANLANDS LÄN</t>
        </is>
      </c>
      <c r="E306" t="inlineStr">
        <is>
          <t>KATRINEHOLM</t>
        </is>
      </c>
      <c r="G306" t="n">
        <v>2.9</v>
      </c>
      <c r="H306" t="n">
        <v>0</v>
      </c>
      <c r="I306" t="n">
        <v>0</v>
      </c>
      <c r="J306" t="n">
        <v>0</v>
      </c>
      <c r="K306" t="n">
        <v>0</v>
      </c>
      <c r="L306" t="n">
        <v>0</v>
      </c>
      <c r="M306" t="n">
        <v>0</v>
      </c>
      <c r="N306" t="n">
        <v>0</v>
      </c>
      <c r="O306" t="n">
        <v>0</v>
      </c>
      <c r="P306" t="n">
        <v>0</v>
      </c>
      <c r="Q306" t="n">
        <v>0</v>
      </c>
      <c r="R306" s="2" t="inlineStr"/>
    </row>
    <row r="307" ht="15" customHeight="1">
      <c r="A307" t="inlineStr">
        <is>
          <t>A 5935-2023</t>
        </is>
      </c>
      <c r="B307" s="1" t="n">
        <v>44963</v>
      </c>
      <c r="C307" s="1" t="n">
        <v>46029</v>
      </c>
      <c r="D307" t="inlineStr">
        <is>
          <t>SÖDERMANLANDS LÄN</t>
        </is>
      </c>
      <c r="E307" t="inlineStr">
        <is>
          <t>KATRINEHOLM</t>
        </is>
      </c>
      <c r="G307" t="n">
        <v>1.5</v>
      </c>
      <c r="H307" t="n">
        <v>0</v>
      </c>
      <c r="I307" t="n">
        <v>0</v>
      </c>
      <c r="J307" t="n">
        <v>0</v>
      </c>
      <c r="K307" t="n">
        <v>0</v>
      </c>
      <c r="L307" t="n">
        <v>0</v>
      </c>
      <c r="M307" t="n">
        <v>0</v>
      </c>
      <c r="N307" t="n">
        <v>0</v>
      </c>
      <c r="O307" t="n">
        <v>0</v>
      </c>
      <c r="P307" t="n">
        <v>0</v>
      </c>
      <c r="Q307" t="n">
        <v>0</v>
      </c>
      <c r="R307" s="2" t="inlineStr"/>
    </row>
    <row r="308" ht="15" customHeight="1">
      <c r="A308" t="inlineStr">
        <is>
          <t>A 10732-2022</t>
        </is>
      </c>
      <c r="B308" s="1" t="n">
        <v>44627.34033564815</v>
      </c>
      <c r="C308" s="1" t="n">
        <v>46029</v>
      </c>
      <c r="D308" t="inlineStr">
        <is>
          <t>SÖDERMANLANDS LÄN</t>
        </is>
      </c>
      <c r="E308" t="inlineStr">
        <is>
          <t>KATRINEHOLM</t>
        </is>
      </c>
      <c r="G308" t="n">
        <v>2.4</v>
      </c>
      <c r="H308" t="n">
        <v>0</v>
      </c>
      <c r="I308" t="n">
        <v>0</v>
      </c>
      <c r="J308" t="n">
        <v>0</v>
      </c>
      <c r="K308" t="n">
        <v>0</v>
      </c>
      <c r="L308" t="n">
        <v>0</v>
      </c>
      <c r="M308" t="n">
        <v>0</v>
      </c>
      <c r="N308" t="n">
        <v>0</v>
      </c>
      <c r="O308" t="n">
        <v>0</v>
      </c>
      <c r="P308" t="n">
        <v>0</v>
      </c>
      <c r="Q308" t="n">
        <v>0</v>
      </c>
      <c r="R308" s="2" t="inlineStr"/>
    </row>
    <row r="309" ht="15" customHeight="1">
      <c r="A309" t="inlineStr">
        <is>
          <t>A 27534-2025</t>
        </is>
      </c>
      <c r="B309" s="1" t="n">
        <v>45813</v>
      </c>
      <c r="C309" s="1" t="n">
        <v>46029</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27552-2025</t>
        </is>
      </c>
      <c r="B310" s="1" t="n">
        <v>45813</v>
      </c>
      <c r="C310" s="1" t="n">
        <v>46029</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27636-2025</t>
        </is>
      </c>
      <c r="B311" s="1" t="n">
        <v>45813.57603009259</v>
      </c>
      <c r="C311" s="1" t="n">
        <v>46029</v>
      </c>
      <c r="D311" t="inlineStr">
        <is>
          <t>SÖDERMANLANDS LÄN</t>
        </is>
      </c>
      <c r="E311" t="inlineStr">
        <is>
          <t>KATRINEHOLM</t>
        </is>
      </c>
      <c r="G311" t="n">
        <v>0.6</v>
      </c>
      <c r="H311" t="n">
        <v>0</v>
      </c>
      <c r="I311" t="n">
        <v>0</v>
      </c>
      <c r="J311" t="n">
        <v>0</v>
      </c>
      <c r="K311" t="n">
        <v>0</v>
      </c>
      <c r="L311" t="n">
        <v>0</v>
      </c>
      <c r="M311" t="n">
        <v>0</v>
      </c>
      <c r="N311" t="n">
        <v>0</v>
      </c>
      <c r="O311" t="n">
        <v>0</v>
      </c>
      <c r="P311" t="n">
        <v>0</v>
      </c>
      <c r="Q311" t="n">
        <v>0</v>
      </c>
      <c r="R311" s="2" t="inlineStr"/>
    </row>
    <row r="312" ht="15" customHeight="1">
      <c r="A312" t="inlineStr">
        <is>
          <t>A 3939-2022</t>
        </is>
      </c>
      <c r="B312" s="1" t="n">
        <v>44587</v>
      </c>
      <c r="C312" s="1" t="n">
        <v>46029</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56074-2022</t>
        </is>
      </c>
      <c r="B313" s="1" t="n">
        <v>44889</v>
      </c>
      <c r="C313" s="1" t="n">
        <v>46029</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c r="T313">
        <f>HYPERLINK("https://klasma.github.io/Logging_0483/kartor/A 56074-2022 karta.png", "A 56074-2022")</f>
        <v/>
      </c>
      <c r="V313">
        <f>HYPERLINK("https://klasma.github.io/Logging_0483/klagomål/A 56074-2022 FSC-klagomål.docx", "A 56074-2022")</f>
        <v/>
      </c>
      <c r="W313">
        <f>HYPERLINK("https://klasma.github.io/Logging_0483/klagomålsmail/A 56074-2022 FSC-klagomål mail.docx", "A 56074-2022")</f>
        <v/>
      </c>
      <c r="X313">
        <f>HYPERLINK("https://klasma.github.io/Logging_0483/tillsyn/A 56074-2022 tillsynsbegäran.docx", "A 56074-2022")</f>
        <v/>
      </c>
      <c r="Y313">
        <f>HYPERLINK("https://klasma.github.io/Logging_0483/tillsynsmail/A 56074-2022 tillsynsbegäran mail.docx", "A 56074-2022")</f>
        <v/>
      </c>
    </row>
    <row r="314" ht="15" customHeight="1">
      <c r="A314" t="inlineStr">
        <is>
          <t>A 24600-2025</t>
        </is>
      </c>
      <c r="B314" s="1" t="n">
        <v>45798.56348379629</v>
      </c>
      <c r="C314" s="1" t="n">
        <v>46029</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61915-2021</t>
        </is>
      </c>
      <c r="B315" s="1" t="n">
        <v>44502.36780092592</v>
      </c>
      <c r="C315" s="1" t="n">
        <v>46029</v>
      </c>
      <c r="D315" t="inlineStr">
        <is>
          <t>SÖDERMANLANDS LÄN</t>
        </is>
      </c>
      <c r="E315" t="inlineStr">
        <is>
          <t>KATRINEHOLM</t>
        </is>
      </c>
      <c r="G315" t="n">
        <v>2.6</v>
      </c>
      <c r="H315" t="n">
        <v>0</v>
      </c>
      <c r="I315" t="n">
        <v>0</v>
      </c>
      <c r="J315" t="n">
        <v>0</v>
      </c>
      <c r="K315" t="n">
        <v>0</v>
      </c>
      <c r="L315" t="n">
        <v>0</v>
      </c>
      <c r="M315" t="n">
        <v>0</v>
      </c>
      <c r="N315" t="n">
        <v>0</v>
      </c>
      <c r="O315" t="n">
        <v>0</v>
      </c>
      <c r="P315" t="n">
        <v>0</v>
      </c>
      <c r="Q315" t="n">
        <v>0</v>
      </c>
      <c r="R315" s="2" t="inlineStr"/>
    </row>
    <row r="316" ht="15" customHeight="1">
      <c r="A316" t="inlineStr">
        <is>
          <t>A 39737-2025</t>
        </is>
      </c>
      <c r="B316" s="1" t="n">
        <v>45891</v>
      </c>
      <c r="C316" s="1" t="n">
        <v>46029</v>
      </c>
      <c r="D316" t="inlineStr">
        <is>
          <t>SÖDERMANLANDS LÄN</t>
        </is>
      </c>
      <c r="E316" t="inlineStr">
        <is>
          <t>KATRINEHOLM</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35608-2024</t>
        </is>
      </c>
      <c r="B317" s="1" t="n">
        <v>45531</v>
      </c>
      <c r="C317" s="1" t="n">
        <v>46029</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39847-2025</t>
        </is>
      </c>
      <c r="B318" s="1" t="n">
        <v>45891.58381944444</v>
      </c>
      <c r="C318" s="1" t="n">
        <v>46029</v>
      </c>
      <c r="D318" t="inlineStr">
        <is>
          <t>SÖDERMANLANDS LÄN</t>
        </is>
      </c>
      <c r="E318" t="inlineStr">
        <is>
          <t>KATRINEHOLM</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12633-2022</t>
        </is>
      </c>
      <c r="B319" s="1" t="n">
        <v>44638</v>
      </c>
      <c r="C319" s="1" t="n">
        <v>46029</v>
      </c>
      <c r="D319" t="inlineStr">
        <is>
          <t>SÖDERMANLANDS LÄN</t>
        </is>
      </c>
      <c r="E319" t="inlineStr">
        <is>
          <t>KATRINEHOLM</t>
        </is>
      </c>
      <c r="G319" t="n">
        <v>6.4</v>
      </c>
      <c r="H319" t="n">
        <v>0</v>
      </c>
      <c r="I319" t="n">
        <v>0</v>
      </c>
      <c r="J319" t="n">
        <v>0</v>
      </c>
      <c r="K319" t="n">
        <v>0</v>
      </c>
      <c r="L319" t="n">
        <v>0</v>
      </c>
      <c r="M319" t="n">
        <v>0</v>
      </c>
      <c r="N319" t="n">
        <v>0</v>
      </c>
      <c r="O319" t="n">
        <v>0</v>
      </c>
      <c r="P319" t="n">
        <v>0</v>
      </c>
      <c r="Q319" t="n">
        <v>0</v>
      </c>
      <c r="R319" s="2" t="inlineStr"/>
    </row>
    <row r="320" ht="15" customHeight="1">
      <c r="A320" t="inlineStr">
        <is>
          <t>A 8917-2024</t>
        </is>
      </c>
      <c r="B320" s="1" t="n">
        <v>45357.37618055556</v>
      </c>
      <c r="C320" s="1" t="n">
        <v>46029</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4656-2023</t>
        </is>
      </c>
      <c r="B321" s="1" t="n">
        <v>44957</v>
      </c>
      <c r="C321" s="1" t="n">
        <v>46029</v>
      </c>
      <c r="D321" t="inlineStr">
        <is>
          <t>SÖDERMANLANDS LÄN</t>
        </is>
      </c>
      <c r="E321" t="inlineStr">
        <is>
          <t>KATRINEHOLM</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59093-2024</t>
        </is>
      </c>
      <c r="B322" s="1" t="n">
        <v>45636</v>
      </c>
      <c r="C322" s="1" t="n">
        <v>46029</v>
      </c>
      <c r="D322" t="inlineStr">
        <is>
          <t>SÖDERMANLANDS LÄN</t>
        </is>
      </c>
      <c r="E322" t="inlineStr">
        <is>
          <t>KATRINEHOLM</t>
        </is>
      </c>
      <c r="G322" t="n">
        <v>2.8</v>
      </c>
      <c r="H322" t="n">
        <v>0</v>
      </c>
      <c r="I322" t="n">
        <v>0</v>
      </c>
      <c r="J322" t="n">
        <v>0</v>
      </c>
      <c r="K322" t="n">
        <v>0</v>
      </c>
      <c r="L322" t="n">
        <v>0</v>
      </c>
      <c r="M322" t="n">
        <v>0</v>
      </c>
      <c r="N322" t="n">
        <v>0</v>
      </c>
      <c r="O322" t="n">
        <v>0</v>
      </c>
      <c r="P322" t="n">
        <v>0</v>
      </c>
      <c r="Q322" t="n">
        <v>0</v>
      </c>
      <c r="R322" s="2" t="inlineStr"/>
    </row>
    <row r="323" ht="15" customHeight="1">
      <c r="A323" t="inlineStr">
        <is>
          <t>A 29189-2025</t>
        </is>
      </c>
      <c r="B323" s="1" t="n">
        <v>45822</v>
      </c>
      <c r="C323" s="1" t="n">
        <v>46029</v>
      </c>
      <c r="D323" t="inlineStr">
        <is>
          <t>SÖDERMANLANDS LÄN</t>
        </is>
      </c>
      <c r="E323" t="inlineStr">
        <is>
          <t>KATRINEHOLM</t>
        </is>
      </c>
      <c r="G323" t="n">
        <v>3.5</v>
      </c>
      <c r="H323" t="n">
        <v>0</v>
      </c>
      <c r="I323" t="n">
        <v>0</v>
      </c>
      <c r="J323" t="n">
        <v>0</v>
      </c>
      <c r="K323" t="n">
        <v>0</v>
      </c>
      <c r="L323" t="n">
        <v>0</v>
      </c>
      <c r="M323" t="n">
        <v>0</v>
      </c>
      <c r="N323" t="n">
        <v>0</v>
      </c>
      <c r="O323" t="n">
        <v>0</v>
      </c>
      <c r="P323" t="n">
        <v>0</v>
      </c>
      <c r="Q323" t="n">
        <v>0</v>
      </c>
      <c r="R323" s="2" t="inlineStr"/>
    </row>
    <row r="324" ht="15" customHeight="1">
      <c r="A324" t="inlineStr">
        <is>
          <t>A 38872-2024</t>
        </is>
      </c>
      <c r="B324" s="1" t="n">
        <v>45547</v>
      </c>
      <c r="C324" s="1" t="n">
        <v>46029</v>
      </c>
      <c r="D324" t="inlineStr">
        <is>
          <t>SÖDERMANLANDS LÄN</t>
        </is>
      </c>
      <c r="E324" t="inlineStr">
        <is>
          <t>KATRINEHOLM</t>
        </is>
      </c>
      <c r="G324" t="n">
        <v>5.7</v>
      </c>
      <c r="H324" t="n">
        <v>0</v>
      </c>
      <c r="I324" t="n">
        <v>0</v>
      </c>
      <c r="J324" t="n">
        <v>0</v>
      </c>
      <c r="K324" t="n">
        <v>0</v>
      </c>
      <c r="L324" t="n">
        <v>0</v>
      </c>
      <c r="M324" t="n">
        <v>0</v>
      </c>
      <c r="N324" t="n">
        <v>0</v>
      </c>
      <c r="O324" t="n">
        <v>0</v>
      </c>
      <c r="P324" t="n">
        <v>0</v>
      </c>
      <c r="Q324" t="n">
        <v>0</v>
      </c>
      <c r="R324" s="2" t="inlineStr"/>
    </row>
    <row r="325" ht="15" customHeight="1">
      <c r="A325" t="inlineStr">
        <is>
          <t>A 30050-2025</t>
        </is>
      </c>
      <c r="B325" s="1" t="n">
        <v>45826.59151620371</v>
      </c>
      <c r="C325" s="1" t="n">
        <v>46029</v>
      </c>
      <c r="D325" t="inlineStr">
        <is>
          <t>SÖDERMANLANDS LÄN</t>
        </is>
      </c>
      <c r="E325" t="inlineStr">
        <is>
          <t>KATRINEHOLM</t>
        </is>
      </c>
      <c r="G325" t="n">
        <v>7.9</v>
      </c>
      <c r="H325" t="n">
        <v>0</v>
      </c>
      <c r="I325" t="n">
        <v>0</v>
      </c>
      <c r="J325" t="n">
        <v>0</v>
      </c>
      <c r="K325" t="n">
        <v>0</v>
      </c>
      <c r="L325" t="n">
        <v>0</v>
      </c>
      <c r="M325" t="n">
        <v>0</v>
      </c>
      <c r="N325" t="n">
        <v>0</v>
      </c>
      <c r="O325" t="n">
        <v>0</v>
      </c>
      <c r="P325" t="n">
        <v>0</v>
      </c>
      <c r="Q325" t="n">
        <v>0</v>
      </c>
      <c r="R325" s="2" t="inlineStr"/>
    </row>
    <row r="326" ht="15" customHeight="1">
      <c r="A326" t="inlineStr">
        <is>
          <t>A 30070-2025</t>
        </is>
      </c>
      <c r="B326" s="1" t="n">
        <v>45826.63324074074</v>
      </c>
      <c r="C326" s="1" t="n">
        <v>46029</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30287-2025</t>
        </is>
      </c>
      <c r="B327" s="1" t="n">
        <v>45827</v>
      </c>
      <c r="C327" s="1" t="n">
        <v>46029</v>
      </c>
      <c r="D327" t="inlineStr">
        <is>
          <t>SÖDERMANLANDS LÄN</t>
        </is>
      </c>
      <c r="E327" t="inlineStr">
        <is>
          <t>KATRINEHOLM</t>
        </is>
      </c>
      <c r="G327" t="n">
        <v>10.2</v>
      </c>
      <c r="H327" t="n">
        <v>0</v>
      </c>
      <c r="I327" t="n">
        <v>0</v>
      </c>
      <c r="J327" t="n">
        <v>0</v>
      </c>
      <c r="K327" t="n">
        <v>0</v>
      </c>
      <c r="L327" t="n">
        <v>0</v>
      </c>
      <c r="M327" t="n">
        <v>0</v>
      </c>
      <c r="N327" t="n">
        <v>0</v>
      </c>
      <c r="O327" t="n">
        <v>0</v>
      </c>
      <c r="P327" t="n">
        <v>0</v>
      </c>
      <c r="Q327" t="n">
        <v>0</v>
      </c>
      <c r="R327" s="2" t="inlineStr"/>
    </row>
    <row r="328" ht="15" customHeight="1">
      <c r="A328" t="inlineStr">
        <is>
          <t>A 30350-2025</t>
        </is>
      </c>
      <c r="B328" s="1" t="n">
        <v>45827.53319444445</v>
      </c>
      <c r="C328" s="1" t="n">
        <v>46029</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9932-2023</t>
        </is>
      </c>
      <c r="B329" s="1" t="n">
        <v>44985.46709490741</v>
      </c>
      <c r="C329" s="1" t="n">
        <v>46029</v>
      </c>
      <c r="D329" t="inlineStr">
        <is>
          <t>SÖDERMANLANDS LÄN</t>
        </is>
      </c>
      <c r="E329" t="inlineStr">
        <is>
          <t>KATRINEHOLM</t>
        </is>
      </c>
      <c r="G329" t="n">
        <v>0.3</v>
      </c>
      <c r="H329" t="n">
        <v>0</v>
      </c>
      <c r="I329" t="n">
        <v>0</v>
      </c>
      <c r="J329" t="n">
        <v>0</v>
      </c>
      <c r="K329" t="n">
        <v>0</v>
      </c>
      <c r="L329" t="n">
        <v>0</v>
      </c>
      <c r="M329" t="n">
        <v>0</v>
      </c>
      <c r="N329" t="n">
        <v>0</v>
      </c>
      <c r="O329" t="n">
        <v>0</v>
      </c>
      <c r="P329" t="n">
        <v>0</v>
      </c>
      <c r="Q329" t="n">
        <v>0</v>
      </c>
      <c r="R329" s="2" t="inlineStr"/>
    </row>
    <row r="330" ht="15" customHeight="1">
      <c r="A330" t="inlineStr">
        <is>
          <t>A 30352-2025</t>
        </is>
      </c>
      <c r="B330" s="1" t="n">
        <v>45827</v>
      </c>
      <c r="C330" s="1" t="n">
        <v>46029</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30386-2025</t>
        </is>
      </c>
      <c r="B331" s="1" t="n">
        <v>45827</v>
      </c>
      <c r="C331" s="1" t="n">
        <v>46029</v>
      </c>
      <c r="D331" t="inlineStr">
        <is>
          <t>SÖDERMANLANDS LÄN</t>
        </is>
      </c>
      <c r="E331" t="inlineStr">
        <is>
          <t>KATRINEHOLM</t>
        </is>
      </c>
      <c r="G331" t="n">
        <v>5.6</v>
      </c>
      <c r="H331" t="n">
        <v>0</v>
      </c>
      <c r="I331" t="n">
        <v>0</v>
      </c>
      <c r="J331" t="n">
        <v>0</v>
      </c>
      <c r="K331" t="n">
        <v>0</v>
      </c>
      <c r="L331" t="n">
        <v>0</v>
      </c>
      <c r="M331" t="n">
        <v>0</v>
      </c>
      <c r="N331" t="n">
        <v>0</v>
      </c>
      <c r="O331" t="n">
        <v>0</v>
      </c>
      <c r="P331" t="n">
        <v>0</v>
      </c>
      <c r="Q331" t="n">
        <v>0</v>
      </c>
      <c r="R331" s="2" t="inlineStr"/>
    </row>
    <row r="332" ht="15" customHeight="1">
      <c r="A332" t="inlineStr">
        <is>
          <t>A 30402-2025</t>
        </is>
      </c>
      <c r="B332" s="1" t="n">
        <v>45827</v>
      </c>
      <c r="C332" s="1" t="n">
        <v>46029</v>
      </c>
      <c r="D332" t="inlineStr">
        <is>
          <t>SÖDERMANLANDS LÄN</t>
        </is>
      </c>
      <c r="E332" t="inlineStr">
        <is>
          <t>KATRINEHOLM</t>
        </is>
      </c>
      <c r="G332" t="n">
        <v>7.1</v>
      </c>
      <c r="H332" t="n">
        <v>0</v>
      </c>
      <c r="I332" t="n">
        <v>0</v>
      </c>
      <c r="J332" t="n">
        <v>0</v>
      </c>
      <c r="K332" t="n">
        <v>0</v>
      </c>
      <c r="L332" t="n">
        <v>0</v>
      </c>
      <c r="M332" t="n">
        <v>0</v>
      </c>
      <c r="N332" t="n">
        <v>0</v>
      </c>
      <c r="O332" t="n">
        <v>0</v>
      </c>
      <c r="P332" t="n">
        <v>0</v>
      </c>
      <c r="Q332" t="n">
        <v>0</v>
      </c>
      <c r="R332" s="2" t="inlineStr"/>
    </row>
    <row r="333" ht="15" customHeight="1">
      <c r="A333" t="inlineStr">
        <is>
          <t>A 9192-2023</t>
        </is>
      </c>
      <c r="B333" s="1" t="n">
        <v>44980</v>
      </c>
      <c r="C333" s="1" t="n">
        <v>46029</v>
      </c>
      <c r="D333" t="inlineStr">
        <is>
          <t>SÖDERMANLANDS LÄN</t>
        </is>
      </c>
      <c r="E333" t="inlineStr">
        <is>
          <t>KATRINEHOLM</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15399-2022</t>
        </is>
      </c>
      <c r="B334" s="1" t="n">
        <v>44659</v>
      </c>
      <c r="C334" s="1" t="n">
        <v>46029</v>
      </c>
      <c r="D334" t="inlineStr">
        <is>
          <t>SÖDERMANLANDS LÄN</t>
        </is>
      </c>
      <c r="E334" t="inlineStr">
        <is>
          <t>KATRINEHOLM</t>
        </is>
      </c>
      <c r="G334" t="n">
        <v>5.6</v>
      </c>
      <c r="H334" t="n">
        <v>0</v>
      </c>
      <c r="I334" t="n">
        <v>0</v>
      </c>
      <c r="J334" t="n">
        <v>0</v>
      </c>
      <c r="K334" t="n">
        <v>0</v>
      </c>
      <c r="L334" t="n">
        <v>0</v>
      </c>
      <c r="M334" t="n">
        <v>0</v>
      </c>
      <c r="N334" t="n">
        <v>0</v>
      </c>
      <c r="O334" t="n">
        <v>0</v>
      </c>
      <c r="P334" t="n">
        <v>0</v>
      </c>
      <c r="Q334" t="n">
        <v>0</v>
      </c>
      <c r="R334" s="2" t="inlineStr"/>
    </row>
    <row r="335" ht="15" customHeight="1">
      <c r="A335" t="inlineStr">
        <is>
          <t>A 11872-2023</t>
        </is>
      </c>
      <c r="B335" s="1" t="n">
        <v>44995</v>
      </c>
      <c r="C335" s="1" t="n">
        <v>46029</v>
      </c>
      <c r="D335" t="inlineStr">
        <is>
          <t>SÖDERMANLANDS LÄN</t>
        </is>
      </c>
      <c r="E335" t="inlineStr">
        <is>
          <t>KATRINEHOLM</t>
        </is>
      </c>
      <c r="F335" t="inlineStr">
        <is>
          <t>Kommuner</t>
        </is>
      </c>
      <c r="G335" t="n">
        <v>0.9</v>
      </c>
      <c r="H335" t="n">
        <v>0</v>
      </c>
      <c r="I335" t="n">
        <v>0</v>
      </c>
      <c r="J335" t="n">
        <v>0</v>
      </c>
      <c r="K335" t="n">
        <v>0</v>
      </c>
      <c r="L335" t="n">
        <v>0</v>
      </c>
      <c r="M335" t="n">
        <v>0</v>
      </c>
      <c r="N335" t="n">
        <v>0</v>
      </c>
      <c r="O335" t="n">
        <v>0</v>
      </c>
      <c r="P335" t="n">
        <v>0</v>
      </c>
      <c r="Q335" t="n">
        <v>0</v>
      </c>
      <c r="R335" s="2" t="inlineStr"/>
    </row>
    <row r="336" ht="15" customHeight="1">
      <c r="A336" t="inlineStr">
        <is>
          <t>A 49092-2024</t>
        </is>
      </c>
      <c r="B336" s="1" t="n">
        <v>45594.63619212963</v>
      </c>
      <c r="C336" s="1" t="n">
        <v>46029</v>
      </c>
      <c r="D336" t="inlineStr">
        <is>
          <t>SÖDERMANLANDS LÄN</t>
        </is>
      </c>
      <c r="E336" t="inlineStr">
        <is>
          <t>KATRINEHOLM</t>
        </is>
      </c>
      <c r="F336" t="inlineStr">
        <is>
          <t>Övriga Aktiebolag</t>
        </is>
      </c>
      <c r="G336" t="n">
        <v>0.4</v>
      </c>
      <c r="H336" t="n">
        <v>0</v>
      </c>
      <c r="I336" t="n">
        <v>0</v>
      </c>
      <c r="J336" t="n">
        <v>0</v>
      </c>
      <c r="K336" t="n">
        <v>0</v>
      </c>
      <c r="L336" t="n">
        <v>0</v>
      </c>
      <c r="M336" t="n">
        <v>0</v>
      </c>
      <c r="N336" t="n">
        <v>0</v>
      </c>
      <c r="O336" t="n">
        <v>0</v>
      </c>
      <c r="P336" t="n">
        <v>0</v>
      </c>
      <c r="Q336" t="n">
        <v>0</v>
      </c>
      <c r="R336" s="2" t="inlineStr"/>
    </row>
    <row r="337" ht="15" customHeight="1">
      <c r="A337" t="inlineStr">
        <is>
          <t>A 49095-2024</t>
        </is>
      </c>
      <c r="B337" s="1" t="n">
        <v>45594.63828703704</v>
      </c>
      <c r="C337" s="1" t="n">
        <v>46029</v>
      </c>
      <c r="D337" t="inlineStr">
        <is>
          <t>SÖDERMANLANDS LÄN</t>
        </is>
      </c>
      <c r="E337" t="inlineStr">
        <is>
          <t>KATRINEHOLM</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7254-2021</t>
        </is>
      </c>
      <c r="B338" s="1" t="n">
        <v>44238</v>
      </c>
      <c r="C338" s="1" t="n">
        <v>46029</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41074-2025</t>
        </is>
      </c>
      <c r="B339" s="1" t="n">
        <v>45898</v>
      </c>
      <c r="C339" s="1" t="n">
        <v>46029</v>
      </c>
      <c r="D339" t="inlineStr">
        <is>
          <t>SÖDERMANLANDS LÄN</t>
        </is>
      </c>
      <c r="E339" t="inlineStr">
        <is>
          <t>KATRINEHOLM</t>
        </is>
      </c>
      <c r="F339" t="inlineStr">
        <is>
          <t>Allmännings- och besparingsskogar</t>
        </is>
      </c>
      <c r="G339" t="n">
        <v>4.8</v>
      </c>
      <c r="H339" t="n">
        <v>0</v>
      </c>
      <c r="I339" t="n">
        <v>0</v>
      </c>
      <c r="J339" t="n">
        <v>0</v>
      </c>
      <c r="K339" t="n">
        <v>0</v>
      </c>
      <c r="L339" t="n">
        <v>0</v>
      </c>
      <c r="M339" t="n">
        <v>0</v>
      </c>
      <c r="N339" t="n">
        <v>0</v>
      </c>
      <c r="O339" t="n">
        <v>0</v>
      </c>
      <c r="P339" t="n">
        <v>0</v>
      </c>
      <c r="Q339" t="n">
        <v>0</v>
      </c>
      <c r="R339" s="2" t="inlineStr"/>
    </row>
    <row r="340" ht="15" customHeight="1">
      <c r="A340" t="inlineStr">
        <is>
          <t>A 36-2023</t>
        </is>
      </c>
      <c r="B340" s="1" t="n">
        <v>44928.36578703704</v>
      </c>
      <c r="C340" s="1" t="n">
        <v>46029</v>
      </c>
      <c r="D340" t="inlineStr">
        <is>
          <t>SÖDERMANLANDS LÄN</t>
        </is>
      </c>
      <c r="E340" t="inlineStr">
        <is>
          <t>KATRINEHOLM</t>
        </is>
      </c>
      <c r="G340" t="n">
        <v>3.7</v>
      </c>
      <c r="H340" t="n">
        <v>0</v>
      </c>
      <c r="I340" t="n">
        <v>0</v>
      </c>
      <c r="J340" t="n">
        <v>0</v>
      </c>
      <c r="K340" t="n">
        <v>0</v>
      </c>
      <c r="L340" t="n">
        <v>0</v>
      </c>
      <c r="M340" t="n">
        <v>0</v>
      </c>
      <c r="N340" t="n">
        <v>0</v>
      </c>
      <c r="O340" t="n">
        <v>0</v>
      </c>
      <c r="P340" t="n">
        <v>0</v>
      </c>
      <c r="Q340" t="n">
        <v>0</v>
      </c>
      <c r="R340" s="2" t="inlineStr"/>
    </row>
    <row r="341" ht="15" customHeight="1">
      <c r="A341" t="inlineStr">
        <is>
          <t>A 10341-2022</t>
        </is>
      </c>
      <c r="B341" s="1" t="n">
        <v>44623</v>
      </c>
      <c r="C341" s="1" t="n">
        <v>46029</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31376-2025</t>
        </is>
      </c>
      <c r="B342" s="1" t="n">
        <v>45833</v>
      </c>
      <c r="C342" s="1" t="n">
        <v>46029</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12835-2024</t>
        </is>
      </c>
      <c r="B343" s="1" t="n">
        <v>45384</v>
      </c>
      <c r="C343" s="1" t="n">
        <v>46029</v>
      </c>
      <c r="D343" t="inlineStr">
        <is>
          <t>SÖDERMANLANDS LÄN</t>
        </is>
      </c>
      <c r="E343" t="inlineStr">
        <is>
          <t>KATRINEHOLM</t>
        </is>
      </c>
      <c r="F343" t="inlineStr">
        <is>
          <t>Allmännings- och besparingsskogar</t>
        </is>
      </c>
      <c r="G343" t="n">
        <v>0.5</v>
      </c>
      <c r="H343" t="n">
        <v>0</v>
      </c>
      <c r="I343" t="n">
        <v>0</v>
      </c>
      <c r="J343" t="n">
        <v>0</v>
      </c>
      <c r="K343" t="n">
        <v>0</v>
      </c>
      <c r="L343" t="n">
        <v>0</v>
      </c>
      <c r="M343" t="n">
        <v>0</v>
      </c>
      <c r="N343" t="n">
        <v>0</v>
      </c>
      <c r="O343" t="n">
        <v>0</v>
      </c>
      <c r="P343" t="n">
        <v>0</v>
      </c>
      <c r="Q343" t="n">
        <v>0</v>
      </c>
      <c r="R343" s="2" t="inlineStr"/>
    </row>
    <row r="344" ht="15" customHeight="1">
      <c r="A344" t="inlineStr">
        <is>
          <t>A 25716-2022</t>
        </is>
      </c>
      <c r="B344" s="1" t="n">
        <v>44733.39600694444</v>
      </c>
      <c r="C344" s="1" t="n">
        <v>46029</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41498-2025</t>
        </is>
      </c>
      <c r="B345" s="1" t="n">
        <v>45901.49755787037</v>
      </c>
      <c r="C345" s="1" t="n">
        <v>46029</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6807-2023</t>
        </is>
      </c>
      <c r="B346" s="1" t="n">
        <v>44964</v>
      </c>
      <c r="C346" s="1" t="n">
        <v>46029</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9668-2023</t>
        </is>
      </c>
      <c r="B347" s="1" t="n">
        <v>44984.41238425926</v>
      </c>
      <c r="C347" s="1" t="n">
        <v>46029</v>
      </c>
      <c r="D347" t="inlineStr">
        <is>
          <t>SÖDERMANLANDS LÄN</t>
        </is>
      </c>
      <c r="E347" t="inlineStr">
        <is>
          <t>KATRINEHOLM</t>
        </is>
      </c>
      <c r="G347" t="n">
        <v>4.8</v>
      </c>
      <c r="H347" t="n">
        <v>0</v>
      </c>
      <c r="I347" t="n">
        <v>0</v>
      </c>
      <c r="J347" t="n">
        <v>0</v>
      </c>
      <c r="K347" t="n">
        <v>0</v>
      </c>
      <c r="L347" t="n">
        <v>0</v>
      </c>
      <c r="M347" t="n">
        <v>0</v>
      </c>
      <c r="N347" t="n">
        <v>0</v>
      </c>
      <c r="O347" t="n">
        <v>0</v>
      </c>
      <c r="P347" t="n">
        <v>0</v>
      </c>
      <c r="Q347" t="n">
        <v>0</v>
      </c>
      <c r="R347" s="2" t="inlineStr"/>
    </row>
    <row r="348" ht="15" customHeight="1">
      <c r="A348" t="inlineStr">
        <is>
          <t>A 31392-2025</t>
        </is>
      </c>
      <c r="B348" s="1" t="n">
        <v>45833</v>
      </c>
      <c r="C348" s="1" t="n">
        <v>46029</v>
      </c>
      <c r="D348" t="inlineStr">
        <is>
          <t>SÖDERMANLANDS LÄN</t>
        </is>
      </c>
      <c r="E348" t="inlineStr">
        <is>
          <t>KATRINEHOLM</t>
        </is>
      </c>
      <c r="G348" t="n">
        <v>5</v>
      </c>
      <c r="H348" t="n">
        <v>0</v>
      </c>
      <c r="I348" t="n">
        <v>0</v>
      </c>
      <c r="J348" t="n">
        <v>0</v>
      </c>
      <c r="K348" t="n">
        <v>0</v>
      </c>
      <c r="L348" t="n">
        <v>0</v>
      </c>
      <c r="M348" t="n">
        <v>0</v>
      </c>
      <c r="N348" t="n">
        <v>0</v>
      </c>
      <c r="O348" t="n">
        <v>0</v>
      </c>
      <c r="P348" t="n">
        <v>0</v>
      </c>
      <c r="Q348" t="n">
        <v>0</v>
      </c>
      <c r="R348" s="2" t="inlineStr"/>
    </row>
    <row r="349" ht="15" customHeight="1">
      <c r="A349" t="inlineStr">
        <is>
          <t>A 9044-2022</t>
        </is>
      </c>
      <c r="B349" s="1" t="n">
        <v>44602</v>
      </c>
      <c r="C349" s="1" t="n">
        <v>46029</v>
      </c>
      <c r="D349" t="inlineStr">
        <is>
          <t>SÖDERMANLANDS LÄN</t>
        </is>
      </c>
      <c r="E349" t="inlineStr">
        <is>
          <t>KATRINEHOLM</t>
        </is>
      </c>
      <c r="G349" t="n">
        <v>5.8</v>
      </c>
      <c r="H349" t="n">
        <v>0</v>
      </c>
      <c r="I349" t="n">
        <v>0</v>
      </c>
      <c r="J349" t="n">
        <v>0</v>
      </c>
      <c r="K349" t="n">
        <v>0</v>
      </c>
      <c r="L349" t="n">
        <v>0</v>
      </c>
      <c r="M349" t="n">
        <v>0</v>
      </c>
      <c r="N349" t="n">
        <v>0</v>
      </c>
      <c r="O349" t="n">
        <v>0</v>
      </c>
      <c r="P349" t="n">
        <v>0</v>
      </c>
      <c r="Q349" t="n">
        <v>0</v>
      </c>
      <c r="R349" s="2" t="inlineStr"/>
    </row>
    <row r="350" ht="15" customHeight="1">
      <c r="A350" t="inlineStr">
        <is>
          <t>A 31386-2025</t>
        </is>
      </c>
      <c r="B350" s="1" t="n">
        <v>45833.45259259259</v>
      </c>
      <c r="C350" s="1" t="n">
        <v>46029</v>
      </c>
      <c r="D350" t="inlineStr">
        <is>
          <t>SÖDERMANLANDS LÄN</t>
        </is>
      </c>
      <c r="E350" t="inlineStr">
        <is>
          <t>KATRINEHOLM</t>
        </is>
      </c>
      <c r="F350" t="inlineStr">
        <is>
          <t>Övriga Aktiebolag</t>
        </is>
      </c>
      <c r="G350" t="n">
        <v>2.2</v>
      </c>
      <c r="H350" t="n">
        <v>0</v>
      </c>
      <c r="I350" t="n">
        <v>0</v>
      </c>
      <c r="J350" t="n">
        <v>0</v>
      </c>
      <c r="K350" t="n">
        <v>0</v>
      </c>
      <c r="L350" t="n">
        <v>0</v>
      </c>
      <c r="M350" t="n">
        <v>0</v>
      </c>
      <c r="N350" t="n">
        <v>0</v>
      </c>
      <c r="O350" t="n">
        <v>0</v>
      </c>
      <c r="P350" t="n">
        <v>0</v>
      </c>
      <c r="Q350" t="n">
        <v>0</v>
      </c>
      <c r="R350" s="2" t="inlineStr"/>
    </row>
    <row r="351" ht="15" customHeight="1">
      <c r="A351" t="inlineStr">
        <is>
          <t>A 49341-2024</t>
        </is>
      </c>
      <c r="B351" s="1" t="n">
        <v>45595</v>
      </c>
      <c r="C351" s="1" t="n">
        <v>46029</v>
      </c>
      <c r="D351" t="inlineStr">
        <is>
          <t>SÖDERMANLANDS LÄN</t>
        </is>
      </c>
      <c r="E351" t="inlineStr">
        <is>
          <t>KATRINEHOLM</t>
        </is>
      </c>
      <c r="G351" t="n">
        <v>10</v>
      </c>
      <c r="H351" t="n">
        <v>0</v>
      </c>
      <c r="I351" t="n">
        <v>0</v>
      </c>
      <c r="J351" t="n">
        <v>0</v>
      </c>
      <c r="K351" t="n">
        <v>0</v>
      </c>
      <c r="L351" t="n">
        <v>0</v>
      </c>
      <c r="M351" t="n">
        <v>0</v>
      </c>
      <c r="N351" t="n">
        <v>0</v>
      </c>
      <c r="O351" t="n">
        <v>0</v>
      </c>
      <c r="P351" t="n">
        <v>0</v>
      </c>
      <c r="Q351" t="n">
        <v>0</v>
      </c>
      <c r="R351" s="2" t="inlineStr"/>
    </row>
    <row r="352" ht="15" customHeight="1">
      <c r="A352" t="inlineStr">
        <is>
          <t>A 31990-2025</t>
        </is>
      </c>
      <c r="B352" s="1" t="n">
        <v>45835.36697916667</v>
      </c>
      <c r="C352" s="1" t="n">
        <v>46029</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41633-2025</t>
        </is>
      </c>
      <c r="B353" s="1" t="n">
        <v>45901</v>
      </c>
      <c r="C353" s="1" t="n">
        <v>46029</v>
      </c>
      <c r="D353" t="inlineStr">
        <is>
          <t>SÖDERMANLANDS LÄN</t>
        </is>
      </c>
      <c r="E353" t="inlineStr">
        <is>
          <t>KATRINEHOLM</t>
        </is>
      </c>
      <c r="G353" t="n">
        <v>2.1</v>
      </c>
      <c r="H353" t="n">
        <v>0</v>
      </c>
      <c r="I353" t="n">
        <v>0</v>
      </c>
      <c r="J353" t="n">
        <v>0</v>
      </c>
      <c r="K353" t="n">
        <v>0</v>
      </c>
      <c r="L353" t="n">
        <v>0</v>
      </c>
      <c r="M353" t="n">
        <v>0</v>
      </c>
      <c r="N353" t="n">
        <v>0</v>
      </c>
      <c r="O353" t="n">
        <v>0</v>
      </c>
      <c r="P353" t="n">
        <v>0</v>
      </c>
      <c r="Q353" t="n">
        <v>0</v>
      </c>
      <c r="R353" s="2" t="inlineStr"/>
    </row>
    <row r="354" ht="15" customHeight="1">
      <c r="A354" t="inlineStr">
        <is>
          <t>A 41632-2025</t>
        </is>
      </c>
      <c r="B354" s="1" t="n">
        <v>45901</v>
      </c>
      <c r="C354" s="1" t="n">
        <v>46029</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41648-2025</t>
        </is>
      </c>
      <c r="B355" s="1" t="n">
        <v>45902.32601851852</v>
      </c>
      <c r="C355" s="1" t="n">
        <v>46029</v>
      </c>
      <c r="D355" t="inlineStr">
        <is>
          <t>SÖDERMANLANDS LÄN</t>
        </is>
      </c>
      <c r="E355" t="inlineStr">
        <is>
          <t>KATRINEHOLM</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48091-2024</t>
        </is>
      </c>
      <c r="B356" s="1" t="n">
        <v>45590</v>
      </c>
      <c r="C356" s="1" t="n">
        <v>46029</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24097-2022</t>
        </is>
      </c>
      <c r="B357" s="1" t="n">
        <v>44725.39371527778</v>
      </c>
      <c r="C357" s="1" t="n">
        <v>46029</v>
      </c>
      <c r="D357" t="inlineStr">
        <is>
          <t>SÖDERMANLANDS LÄN</t>
        </is>
      </c>
      <c r="E357" t="inlineStr">
        <is>
          <t>KATRINEHOLM</t>
        </is>
      </c>
      <c r="G357" t="n">
        <v>6.5</v>
      </c>
      <c r="H357" t="n">
        <v>0</v>
      </c>
      <c r="I357" t="n">
        <v>0</v>
      </c>
      <c r="J357" t="n">
        <v>0</v>
      </c>
      <c r="K357" t="n">
        <v>0</v>
      </c>
      <c r="L357" t="n">
        <v>0</v>
      </c>
      <c r="M357" t="n">
        <v>0</v>
      </c>
      <c r="N357" t="n">
        <v>0</v>
      </c>
      <c r="O357" t="n">
        <v>0</v>
      </c>
      <c r="P357" t="n">
        <v>0</v>
      </c>
      <c r="Q357" t="n">
        <v>0</v>
      </c>
      <c r="R357" s="2" t="inlineStr"/>
    </row>
    <row r="358" ht="15" customHeight="1">
      <c r="A358" t="inlineStr">
        <is>
          <t>A 46670-2021</t>
        </is>
      </c>
      <c r="B358" s="1" t="n">
        <v>44445</v>
      </c>
      <c r="C358" s="1" t="n">
        <v>46029</v>
      </c>
      <c r="D358" t="inlineStr">
        <is>
          <t>SÖDERMANLANDS LÄN</t>
        </is>
      </c>
      <c r="E358" t="inlineStr">
        <is>
          <t>KATRINEHOLM</t>
        </is>
      </c>
      <c r="G358" t="n">
        <v>4.4</v>
      </c>
      <c r="H358" t="n">
        <v>0</v>
      </c>
      <c r="I358" t="n">
        <v>0</v>
      </c>
      <c r="J358" t="n">
        <v>0</v>
      </c>
      <c r="K358" t="n">
        <v>0</v>
      </c>
      <c r="L358" t="n">
        <v>0</v>
      </c>
      <c r="M358" t="n">
        <v>0</v>
      </c>
      <c r="N358" t="n">
        <v>0</v>
      </c>
      <c r="O358" t="n">
        <v>0</v>
      </c>
      <c r="P358" t="n">
        <v>0</v>
      </c>
      <c r="Q358" t="n">
        <v>0</v>
      </c>
      <c r="R358" s="2" t="inlineStr"/>
    </row>
    <row r="359" ht="15" customHeight="1">
      <c r="A359" t="inlineStr">
        <is>
          <t>A 41793-2025</t>
        </is>
      </c>
      <c r="B359" s="1" t="n">
        <v>45902</v>
      </c>
      <c r="C359" s="1" t="n">
        <v>46029</v>
      </c>
      <c r="D359" t="inlineStr">
        <is>
          <t>SÖDERMANLANDS LÄN</t>
        </is>
      </c>
      <c r="E359" t="inlineStr">
        <is>
          <t>KATRINEHOLM</t>
        </is>
      </c>
      <c r="G359" t="n">
        <v>1.1</v>
      </c>
      <c r="H359" t="n">
        <v>0</v>
      </c>
      <c r="I359" t="n">
        <v>0</v>
      </c>
      <c r="J359" t="n">
        <v>0</v>
      </c>
      <c r="K359" t="n">
        <v>0</v>
      </c>
      <c r="L359" t="n">
        <v>0</v>
      </c>
      <c r="M359" t="n">
        <v>0</v>
      </c>
      <c r="N359" t="n">
        <v>0</v>
      </c>
      <c r="O359" t="n">
        <v>0</v>
      </c>
      <c r="P359" t="n">
        <v>0</v>
      </c>
      <c r="Q359" t="n">
        <v>0</v>
      </c>
      <c r="R359" s="2" t="inlineStr"/>
    </row>
    <row r="360" ht="15" customHeight="1">
      <c r="A360" t="inlineStr">
        <is>
          <t>A 62954-2023</t>
        </is>
      </c>
      <c r="B360" s="1" t="n">
        <v>45272.55362268518</v>
      </c>
      <c r="C360" s="1" t="n">
        <v>46029</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33090-2025</t>
        </is>
      </c>
      <c r="B361" s="1" t="n">
        <v>45840.46840277778</v>
      </c>
      <c r="C361" s="1" t="n">
        <v>46029</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33084-2025</t>
        </is>
      </c>
      <c r="B362" s="1" t="n">
        <v>45840.46559027778</v>
      </c>
      <c r="C362" s="1" t="n">
        <v>46029</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58651-2023</t>
        </is>
      </c>
      <c r="B363" s="1" t="n">
        <v>45247</v>
      </c>
      <c r="C363" s="1" t="n">
        <v>46029</v>
      </c>
      <c r="D363" t="inlineStr">
        <is>
          <t>SÖDERMANLANDS LÄN</t>
        </is>
      </c>
      <c r="E363" t="inlineStr">
        <is>
          <t>KATRINEHOLM</t>
        </is>
      </c>
      <c r="G363" t="n">
        <v>2.7</v>
      </c>
      <c r="H363" t="n">
        <v>0</v>
      </c>
      <c r="I363" t="n">
        <v>0</v>
      </c>
      <c r="J363" t="n">
        <v>0</v>
      </c>
      <c r="K363" t="n">
        <v>0</v>
      </c>
      <c r="L363" t="n">
        <v>0</v>
      </c>
      <c r="M363" t="n">
        <v>0</v>
      </c>
      <c r="N363" t="n">
        <v>0</v>
      </c>
      <c r="O363" t="n">
        <v>0</v>
      </c>
      <c r="P363" t="n">
        <v>0</v>
      </c>
      <c r="Q363" t="n">
        <v>0</v>
      </c>
      <c r="R363" s="2" t="inlineStr"/>
    </row>
    <row r="364" ht="15" customHeight="1">
      <c r="A364" t="inlineStr">
        <is>
          <t>A 12238-2021</t>
        </is>
      </c>
      <c r="B364" s="1" t="n">
        <v>44266</v>
      </c>
      <c r="C364" s="1" t="n">
        <v>46029</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33577-2025</t>
        </is>
      </c>
      <c r="B365" s="1" t="n">
        <v>45841.59056712963</v>
      </c>
      <c r="C365" s="1" t="n">
        <v>46029</v>
      </c>
      <c r="D365" t="inlineStr">
        <is>
          <t>SÖDERMANLANDS LÄN</t>
        </is>
      </c>
      <c r="E365" t="inlineStr">
        <is>
          <t>KATRINEHOLM</t>
        </is>
      </c>
      <c r="F365" t="inlineStr">
        <is>
          <t>Holmen skog AB</t>
        </is>
      </c>
      <c r="G365" t="n">
        <v>0.3</v>
      </c>
      <c r="H365" t="n">
        <v>0</v>
      </c>
      <c r="I365" t="n">
        <v>0</v>
      </c>
      <c r="J365" t="n">
        <v>0</v>
      </c>
      <c r="K365" t="n">
        <v>0</v>
      </c>
      <c r="L365" t="n">
        <v>0</v>
      </c>
      <c r="M365" t="n">
        <v>0</v>
      </c>
      <c r="N365" t="n">
        <v>0</v>
      </c>
      <c r="O365" t="n">
        <v>0</v>
      </c>
      <c r="P365" t="n">
        <v>0</v>
      </c>
      <c r="Q365" t="n">
        <v>0</v>
      </c>
      <c r="R365" s="2" t="inlineStr"/>
    </row>
    <row r="366" ht="15" customHeight="1">
      <c r="A366" t="inlineStr">
        <is>
          <t>A 33812-2025</t>
        </is>
      </c>
      <c r="B366" s="1" t="n">
        <v>45842</v>
      </c>
      <c r="C366" s="1" t="n">
        <v>46029</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33815-2025</t>
        </is>
      </c>
      <c r="B367" s="1" t="n">
        <v>45842</v>
      </c>
      <c r="C367" s="1" t="n">
        <v>46029</v>
      </c>
      <c r="D367" t="inlineStr">
        <is>
          <t>SÖDERMANLANDS LÄN</t>
        </is>
      </c>
      <c r="E367" t="inlineStr">
        <is>
          <t>KATRINEHOLM</t>
        </is>
      </c>
      <c r="G367" t="n">
        <v>3.4</v>
      </c>
      <c r="H367" t="n">
        <v>0</v>
      </c>
      <c r="I367" t="n">
        <v>0</v>
      </c>
      <c r="J367" t="n">
        <v>0</v>
      </c>
      <c r="K367" t="n">
        <v>0</v>
      </c>
      <c r="L367" t="n">
        <v>0</v>
      </c>
      <c r="M367" t="n">
        <v>0</v>
      </c>
      <c r="N367" t="n">
        <v>0</v>
      </c>
      <c r="O367" t="n">
        <v>0</v>
      </c>
      <c r="P367" t="n">
        <v>0</v>
      </c>
      <c r="Q367" t="n">
        <v>0</v>
      </c>
      <c r="R367" s="2" t="inlineStr"/>
    </row>
    <row r="368" ht="15" customHeight="1">
      <c r="A368" t="inlineStr">
        <is>
          <t>A 6446-2022</t>
        </is>
      </c>
      <c r="B368" s="1" t="n">
        <v>44600</v>
      </c>
      <c r="C368" s="1" t="n">
        <v>46029</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6762-2025</t>
        </is>
      </c>
      <c r="B369" s="1" t="n">
        <v>45700</v>
      </c>
      <c r="C369" s="1" t="n">
        <v>46029</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20213-2025</t>
        </is>
      </c>
      <c r="B370" s="1" t="n">
        <v>45772.63453703704</v>
      </c>
      <c r="C370" s="1" t="n">
        <v>46029</v>
      </c>
      <c r="D370" t="inlineStr">
        <is>
          <t>SÖDERMANLANDS LÄN</t>
        </is>
      </c>
      <c r="E370" t="inlineStr">
        <is>
          <t>KATRINEHOLM</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51923-2023</t>
        </is>
      </c>
      <c r="B371" s="1" t="n">
        <v>45223</v>
      </c>
      <c r="C371" s="1" t="n">
        <v>46029</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42686-2025</t>
        </is>
      </c>
      <c r="B372" s="1" t="n">
        <v>45908.35550925926</v>
      </c>
      <c r="C372" s="1" t="n">
        <v>46029</v>
      </c>
      <c r="D372" t="inlineStr">
        <is>
          <t>SÖDERMANLANDS LÄN</t>
        </is>
      </c>
      <c r="E372" t="inlineStr">
        <is>
          <t>KATRINEHOLM</t>
        </is>
      </c>
      <c r="G372" t="n">
        <v>0.9</v>
      </c>
      <c r="H372" t="n">
        <v>0</v>
      </c>
      <c r="I372" t="n">
        <v>0</v>
      </c>
      <c r="J372" t="n">
        <v>0</v>
      </c>
      <c r="K372" t="n">
        <v>0</v>
      </c>
      <c r="L372" t="n">
        <v>0</v>
      </c>
      <c r="M372" t="n">
        <v>0</v>
      </c>
      <c r="N372" t="n">
        <v>0</v>
      </c>
      <c r="O372" t="n">
        <v>0</v>
      </c>
      <c r="P372" t="n">
        <v>0</v>
      </c>
      <c r="Q372" t="n">
        <v>0</v>
      </c>
      <c r="R372" s="2" t="inlineStr"/>
    </row>
    <row r="373" ht="15" customHeight="1">
      <c r="A373" t="inlineStr">
        <is>
          <t>A 18386-2025</t>
        </is>
      </c>
      <c r="B373" s="1" t="n">
        <v>45762</v>
      </c>
      <c r="C373" s="1" t="n">
        <v>46029</v>
      </c>
      <c r="D373" t="inlineStr">
        <is>
          <t>SÖDERMANLANDS LÄN</t>
        </is>
      </c>
      <c r="E373" t="inlineStr">
        <is>
          <t>KATRINEHOLM</t>
        </is>
      </c>
      <c r="G373" t="n">
        <v>0.5</v>
      </c>
      <c r="H373" t="n">
        <v>0</v>
      </c>
      <c r="I373" t="n">
        <v>0</v>
      </c>
      <c r="J373" t="n">
        <v>0</v>
      </c>
      <c r="K373" t="n">
        <v>0</v>
      </c>
      <c r="L373" t="n">
        <v>0</v>
      </c>
      <c r="M373" t="n">
        <v>0</v>
      </c>
      <c r="N373" t="n">
        <v>0</v>
      </c>
      <c r="O373" t="n">
        <v>0</v>
      </c>
      <c r="P373" t="n">
        <v>0</v>
      </c>
      <c r="Q373" t="n">
        <v>0</v>
      </c>
      <c r="R373" s="2" t="inlineStr"/>
    </row>
    <row r="374" ht="15" customHeight="1">
      <c r="A374" t="inlineStr">
        <is>
          <t>A 42799-2025</t>
        </is>
      </c>
      <c r="B374" s="1" t="n">
        <v>45907</v>
      </c>
      <c r="C374" s="1" t="n">
        <v>46029</v>
      </c>
      <c r="D374" t="inlineStr">
        <is>
          <t>SÖDERMANLANDS LÄN</t>
        </is>
      </c>
      <c r="E374" t="inlineStr">
        <is>
          <t>KATRINEHOLM</t>
        </is>
      </c>
      <c r="G374" t="n">
        <v>3.9</v>
      </c>
      <c r="H374" t="n">
        <v>0</v>
      </c>
      <c r="I374" t="n">
        <v>0</v>
      </c>
      <c r="J374" t="n">
        <v>0</v>
      </c>
      <c r="K374" t="n">
        <v>0</v>
      </c>
      <c r="L374" t="n">
        <v>0</v>
      </c>
      <c r="M374" t="n">
        <v>0</v>
      </c>
      <c r="N374" t="n">
        <v>0</v>
      </c>
      <c r="O374" t="n">
        <v>0</v>
      </c>
      <c r="P374" t="n">
        <v>0</v>
      </c>
      <c r="Q374" t="n">
        <v>0</v>
      </c>
      <c r="R374" s="2" t="inlineStr"/>
    </row>
    <row r="375" ht="15" customHeight="1">
      <c r="A375" t="inlineStr">
        <is>
          <t>A 3125-2024</t>
        </is>
      </c>
      <c r="B375" s="1" t="n">
        <v>45316</v>
      </c>
      <c r="C375" s="1" t="n">
        <v>46029</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35183-2022</t>
        </is>
      </c>
      <c r="B376" s="1" t="n">
        <v>44797</v>
      </c>
      <c r="C376" s="1" t="n">
        <v>46029</v>
      </c>
      <c r="D376" t="inlineStr">
        <is>
          <t>SÖDERMANLANDS LÄN</t>
        </is>
      </c>
      <c r="E376" t="inlineStr">
        <is>
          <t>KATRINEHOLM</t>
        </is>
      </c>
      <c r="G376" t="n">
        <v>4.6</v>
      </c>
      <c r="H376" t="n">
        <v>0</v>
      </c>
      <c r="I376" t="n">
        <v>0</v>
      </c>
      <c r="J376" t="n">
        <v>0</v>
      </c>
      <c r="K376" t="n">
        <v>0</v>
      </c>
      <c r="L376" t="n">
        <v>0</v>
      </c>
      <c r="M376" t="n">
        <v>0</v>
      </c>
      <c r="N376" t="n">
        <v>0</v>
      </c>
      <c r="O376" t="n">
        <v>0</v>
      </c>
      <c r="P376" t="n">
        <v>0</v>
      </c>
      <c r="Q376" t="n">
        <v>0</v>
      </c>
      <c r="R376" s="2" t="inlineStr"/>
    </row>
    <row r="377" ht="15" customHeight="1">
      <c r="A377" t="inlineStr">
        <is>
          <t>A 35156-2025</t>
        </is>
      </c>
      <c r="B377" s="1" t="n">
        <v>45852</v>
      </c>
      <c r="C377" s="1" t="n">
        <v>46029</v>
      </c>
      <c r="D377" t="inlineStr">
        <is>
          <t>SÖDERMANLANDS LÄN</t>
        </is>
      </c>
      <c r="E377" t="inlineStr">
        <is>
          <t>KATRINEHOLM</t>
        </is>
      </c>
      <c r="G377" t="n">
        <v>5.7</v>
      </c>
      <c r="H377" t="n">
        <v>0</v>
      </c>
      <c r="I377" t="n">
        <v>0</v>
      </c>
      <c r="J377" t="n">
        <v>0</v>
      </c>
      <c r="K377" t="n">
        <v>0</v>
      </c>
      <c r="L377" t="n">
        <v>0</v>
      </c>
      <c r="M377" t="n">
        <v>0</v>
      </c>
      <c r="N377" t="n">
        <v>0</v>
      </c>
      <c r="O377" t="n">
        <v>0</v>
      </c>
      <c r="P377" t="n">
        <v>0</v>
      </c>
      <c r="Q377" t="n">
        <v>0</v>
      </c>
      <c r="R377" s="2" t="inlineStr"/>
    </row>
    <row r="378" ht="15" customHeight="1">
      <c r="A378" t="inlineStr">
        <is>
          <t>A 35152-2025</t>
        </is>
      </c>
      <c r="B378" s="1" t="n">
        <v>45852</v>
      </c>
      <c r="C378" s="1" t="n">
        <v>46029</v>
      </c>
      <c r="D378" t="inlineStr">
        <is>
          <t>SÖDERMANLANDS LÄN</t>
        </is>
      </c>
      <c r="E378" t="inlineStr">
        <is>
          <t>KATRINEHOLM</t>
        </is>
      </c>
      <c r="G378" t="n">
        <v>4.6</v>
      </c>
      <c r="H378" t="n">
        <v>0</v>
      </c>
      <c r="I378" t="n">
        <v>0</v>
      </c>
      <c r="J378" t="n">
        <v>0</v>
      </c>
      <c r="K378" t="n">
        <v>0</v>
      </c>
      <c r="L378" t="n">
        <v>0</v>
      </c>
      <c r="M378" t="n">
        <v>0</v>
      </c>
      <c r="N378" t="n">
        <v>0</v>
      </c>
      <c r="O378" t="n">
        <v>0</v>
      </c>
      <c r="P378" t="n">
        <v>0</v>
      </c>
      <c r="Q378" t="n">
        <v>0</v>
      </c>
      <c r="R378" s="2" t="inlineStr"/>
    </row>
    <row r="379" ht="15" customHeight="1">
      <c r="A379" t="inlineStr">
        <is>
          <t>A 35165-2025</t>
        </is>
      </c>
      <c r="B379" s="1" t="n">
        <v>45852.72320601852</v>
      </c>
      <c r="C379" s="1" t="n">
        <v>46029</v>
      </c>
      <c r="D379" t="inlineStr">
        <is>
          <t>SÖDERMANLANDS LÄN</t>
        </is>
      </c>
      <c r="E379" t="inlineStr">
        <is>
          <t>KATRINEHOLM</t>
        </is>
      </c>
      <c r="F379" t="inlineStr">
        <is>
          <t>Övriga Aktiebolag</t>
        </is>
      </c>
      <c r="G379" t="n">
        <v>20.7</v>
      </c>
      <c r="H379" t="n">
        <v>0</v>
      </c>
      <c r="I379" t="n">
        <v>0</v>
      </c>
      <c r="J379" t="n">
        <v>0</v>
      </c>
      <c r="K379" t="n">
        <v>0</v>
      </c>
      <c r="L379" t="n">
        <v>0</v>
      </c>
      <c r="M379" t="n">
        <v>0</v>
      </c>
      <c r="N379" t="n">
        <v>0</v>
      </c>
      <c r="O379" t="n">
        <v>0</v>
      </c>
      <c r="P379" t="n">
        <v>0</v>
      </c>
      <c r="Q379" t="n">
        <v>0</v>
      </c>
      <c r="R379" s="2" t="inlineStr"/>
    </row>
    <row r="380" ht="15" customHeight="1">
      <c r="A380" t="inlineStr">
        <is>
          <t>A 42474-2025</t>
        </is>
      </c>
      <c r="B380" s="1" t="n">
        <v>45905.46659722222</v>
      </c>
      <c r="C380" s="1" t="n">
        <v>46029</v>
      </c>
      <c r="D380" t="inlineStr">
        <is>
          <t>SÖDERMANLANDS LÄN</t>
        </is>
      </c>
      <c r="E380" t="inlineStr">
        <is>
          <t>KATRINEHOLM</t>
        </is>
      </c>
      <c r="G380" t="n">
        <v>4</v>
      </c>
      <c r="H380" t="n">
        <v>0</v>
      </c>
      <c r="I380" t="n">
        <v>0</v>
      </c>
      <c r="J380" t="n">
        <v>0</v>
      </c>
      <c r="K380" t="n">
        <v>0</v>
      </c>
      <c r="L380" t="n">
        <v>0</v>
      </c>
      <c r="M380" t="n">
        <v>0</v>
      </c>
      <c r="N380" t="n">
        <v>0</v>
      </c>
      <c r="O380" t="n">
        <v>0</v>
      </c>
      <c r="P380" t="n">
        <v>0</v>
      </c>
      <c r="Q380" t="n">
        <v>0</v>
      </c>
      <c r="R380" s="2" t="inlineStr"/>
    </row>
    <row r="381" ht="15" customHeight="1">
      <c r="A381" t="inlineStr">
        <is>
          <t>A 35149-2025</t>
        </is>
      </c>
      <c r="B381" s="1" t="n">
        <v>45852</v>
      </c>
      <c r="C381" s="1" t="n">
        <v>46029</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35161-2025</t>
        </is>
      </c>
      <c r="B382" s="1" t="n">
        <v>45852.70716435185</v>
      </c>
      <c r="C382" s="1" t="n">
        <v>46029</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42519-2024</t>
        </is>
      </c>
      <c r="B383" s="1" t="n">
        <v>45565</v>
      </c>
      <c r="C383" s="1" t="n">
        <v>46029</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35084-2025</t>
        </is>
      </c>
      <c r="B384" s="1" t="n">
        <v>45852</v>
      </c>
      <c r="C384" s="1" t="n">
        <v>46029</v>
      </c>
      <c r="D384" t="inlineStr">
        <is>
          <t>SÖDERMANLANDS LÄN</t>
        </is>
      </c>
      <c r="E384" t="inlineStr">
        <is>
          <t>KATRINEHOLM</t>
        </is>
      </c>
      <c r="G384" t="n">
        <v>3.2</v>
      </c>
      <c r="H384" t="n">
        <v>0</v>
      </c>
      <c r="I384" t="n">
        <v>0</v>
      </c>
      <c r="J384" t="n">
        <v>0</v>
      </c>
      <c r="K384" t="n">
        <v>0</v>
      </c>
      <c r="L384" t="n">
        <v>0</v>
      </c>
      <c r="M384" t="n">
        <v>0</v>
      </c>
      <c r="N384" t="n">
        <v>0</v>
      </c>
      <c r="O384" t="n">
        <v>0</v>
      </c>
      <c r="P384" t="n">
        <v>0</v>
      </c>
      <c r="Q384" t="n">
        <v>0</v>
      </c>
      <c r="R384" s="2" t="inlineStr"/>
    </row>
    <row r="385" ht="15" customHeight="1">
      <c r="A385" t="inlineStr">
        <is>
          <t>A 35145-2025</t>
        </is>
      </c>
      <c r="B385" s="1" t="n">
        <v>45852</v>
      </c>
      <c r="C385" s="1" t="n">
        <v>46029</v>
      </c>
      <c r="D385" t="inlineStr">
        <is>
          <t>SÖDERMANLANDS LÄN</t>
        </is>
      </c>
      <c r="E385" t="inlineStr">
        <is>
          <t>KATRINEHOLM</t>
        </is>
      </c>
      <c r="G385" t="n">
        <v>3.1</v>
      </c>
      <c r="H385" t="n">
        <v>0</v>
      </c>
      <c r="I385" t="n">
        <v>0</v>
      </c>
      <c r="J385" t="n">
        <v>0</v>
      </c>
      <c r="K385" t="n">
        <v>0</v>
      </c>
      <c r="L385" t="n">
        <v>0</v>
      </c>
      <c r="M385" t="n">
        <v>0</v>
      </c>
      <c r="N385" t="n">
        <v>0</v>
      </c>
      <c r="O385" t="n">
        <v>0</v>
      </c>
      <c r="P385" t="n">
        <v>0</v>
      </c>
      <c r="Q385" t="n">
        <v>0</v>
      </c>
      <c r="R385" s="2" t="inlineStr"/>
    </row>
    <row r="386" ht="15" customHeight="1">
      <c r="A386" t="inlineStr">
        <is>
          <t>A 34439-2025</t>
        </is>
      </c>
      <c r="B386" s="1" t="n">
        <v>45845</v>
      </c>
      <c r="C386" s="1" t="n">
        <v>46029</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20826-2022</t>
        </is>
      </c>
      <c r="B387" s="1" t="n">
        <v>44701.44754629629</v>
      </c>
      <c r="C387" s="1" t="n">
        <v>46029</v>
      </c>
      <c r="D387" t="inlineStr">
        <is>
          <t>SÖDERMANLANDS LÄN</t>
        </is>
      </c>
      <c r="E387" t="inlineStr">
        <is>
          <t>KATRINEHOLM</t>
        </is>
      </c>
      <c r="G387" t="n">
        <v>6.8</v>
      </c>
      <c r="H387" t="n">
        <v>0</v>
      </c>
      <c r="I387" t="n">
        <v>0</v>
      </c>
      <c r="J387" t="n">
        <v>0</v>
      </c>
      <c r="K387" t="n">
        <v>0</v>
      </c>
      <c r="L387" t="n">
        <v>0</v>
      </c>
      <c r="M387" t="n">
        <v>0</v>
      </c>
      <c r="N387" t="n">
        <v>0</v>
      </c>
      <c r="O387" t="n">
        <v>0</v>
      </c>
      <c r="P387" t="n">
        <v>0</v>
      </c>
      <c r="Q387" t="n">
        <v>0</v>
      </c>
      <c r="R387" s="2" t="inlineStr"/>
    </row>
    <row r="388" ht="15" customHeight="1">
      <c r="A388" t="inlineStr">
        <is>
          <t>A 20846-2022</t>
        </is>
      </c>
      <c r="B388" s="1" t="n">
        <v>44701.4744212963</v>
      </c>
      <c r="C388" s="1" t="n">
        <v>46029</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35157-2025</t>
        </is>
      </c>
      <c r="B389" s="1" t="n">
        <v>45852</v>
      </c>
      <c r="C389" s="1" t="n">
        <v>46029</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35158-2025</t>
        </is>
      </c>
      <c r="B390" s="1" t="n">
        <v>45852</v>
      </c>
      <c r="C390" s="1" t="n">
        <v>46029</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49078-2024</t>
        </is>
      </c>
      <c r="B391" s="1" t="n">
        <v>45594.62556712963</v>
      </c>
      <c r="C391" s="1" t="n">
        <v>46029</v>
      </c>
      <c r="D391" t="inlineStr">
        <is>
          <t>SÖDERMANLANDS LÄN</t>
        </is>
      </c>
      <c r="E391" t="inlineStr">
        <is>
          <t>KATRINEHOLM</t>
        </is>
      </c>
      <c r="F391" t="inlineStr">
        <is>
          <t>Övriga Aktiebolag</t>
        </is>
      </c>
      <c r="G391" t="n">
        <v>0.4</v>
      </c>
      <c r="H391" t="n">
        <v>0</v>
      </c>
      <c r="I391" t="n">
        <v>0</v>
      </c>
      <c r="J391" t="n">
        <v>0</v>
      </c>
      <c r="K391" t="n">
        <v>0</v>
      </c>
      <c r="L391" t="n">
        <v>0</v>
      </c>
      <c r="M391" t="n">
        <v>0</v>
      </c>
      <c r="N391" t="n">
        <v>0</v>
      </c>
      <c r="O391" t="n">
        <v>0</v>
      </c>
      <c r="P391" t="n">
        <v>0</v>
      </c>
      <c r="Q391" t="n">
        <v>0</v>
      </c>
      <c r="R391" s="2" t="inlineStr"/>
    </row>
    <row r="392" ht="15" customHeight="1">
      <c r="A392" t="inlineStr">
        <is>
          <t>A 51440-2024</t>
        </is>
      </c>
      <c r="B392" s="1" t="n">
        <v>45604</v>
      </c>
      <c r="C392" s="1" t="n">
        <v>46029</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47879-2023</t>
        </is>
      </c>
      <c r="B393" s="1" t="n">
        <v>45204</v>
      </c>
      <c r="C393" s="1" t="n">
        <v>46029</v>
      </c>
      <c r="D393" t="inlineStr">
        <is>
          <t>SÖDERMANLANDS LÄN</t>
        </is>
      </c>
      <c r="E393" t="inlineStr">
        <is>
          <t>KATRINEHOLM</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12975-2022</t>
        </is>
      </c>
      <c r="B394" s="1" t="n">
        <v>44643</v>
      </c>
      <c r="C394" s="1" t="n">
        <v>46029</v>
      </c>
      <c r="D394" t="inlineStr">
        <is>
          <t>SÖDERMANLANDS LÄN</t>
        </is>
      </c>
      <c r="E394" t="inlineStr">
        <is>
          <t>KATRINEHOLM</t>
        </is>
      </c>
      <c r="G394" t="n">
        <v>2.4</v>
      </c>
      <c r="H394" t="n">
        <v>0</v>
      </c>
      <c r="I394" t="n">
        <v>0</v>
      </c>
      <c r="J394" t="n">
        <v>0</v>
      </c>
      <c r="K394" t="n">
        <v>0</v>
      </c>
      <c r="L394" t="n">
        <v>0</v>
      </c>
      <c r="M394" t="n">
        <v>0</v>
      </c>
      <c r="N394" t="n">
        <v>0</v>
      </c>
      <c r="O394" t="n">
        <v>0</v>
      </c>
      <c r="P394" t="n">
        <v>0</v>
      </c>
      <c r="Q394" t="n">
        <v>0</v>
      </c>
      <c r="R394" s="2" t="inlineStr"/>
    </row>
    <row r="395" ht="15" customHeight="1">
      <c r="A395" t="inlineStr">
        <is>
          <t>A 51260-2021</t>
        </is>
      </c>
      <c r="B395" s="1" t="n">
        <v>44461</v>
      </c>
      <c r="C395" s="1" t="n">
        <v>46029</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53843-2023</t>
        </is>
      </c>
      <c r="B396" s="1" t="n">
        <v>45230</v>
      </c>
      <c r="C396" s="1" t="n">
        <v>46029</v>
      </c>
      <c r="D396" t="inlineStr">
        <is>
          <t>SÖDERMANLANDS LÄN</t>
        </is>
      </c>
      <c r="E396" t="inlineStr">
        <is>
          <t>KATRINEHOLM</t>
        </is>
      </c>
      <c r="G396" t="n">
        <v>14.2</v>
      </c>
      <c r="H396" t="n">
        <v>0</v>
      </c>
      <c r="I396" t="n">
        <v>0</v>
      </c>
      <c r="J396" t="n">
        <v>0</v>
      </c>
      <c r="K396" t="n">
        <v>0</v>
      </c>
      <c r="L396" t="n">
        <v>0</v>
      </c>
      <c r="M396" t="n">
        <v>0</v>
      </c>
      <c r="N396" t="n">
        <v>0</v>
      </c>
      <c r="O396" t="n">
        <v>0</v>
      </c>
      <c r="P396" t="n">
        <v>0</v>
      </c>
      <c r="Q396" t="n">
        <v>0</v>
      </c>
      <c r="R396" s="2" t="inlineStr"/>
    </row>
    <row r="397" ht="15" customHeight="1">
      <c r="A397" t="inlineStr">
        <is>
          <t>A 34176-2025</t>
        </is>
      </c>
      <c r="B397" s="1" t="n">
        <v>45845</v>
      </c>
      <c r="C397" s="1" t="n">
        <v>46029</v>
      </c>
      <c r="D397" t="inlineStr">
        <is>
          <t>SÖDERMANLANDS LÄN</t>
        </is>
      </c>
      <c r="E397" t="inlineStr">
        <is>
          <t>KATRINEHOLM</t>
        </is>
      </c>
      <c r="G397" t="n">
        <v>0.5</v>
      </c>
      <c r="H397" t="n">
        <v>0</v>
      </c>
      <c r="I397" t="n">
        <v>0</v>
      </c>
      <c r="J397" t="n">
        <v>0</v>
      </c>
      <c r="K397" t="n">
        <v>0</v>
      </c>
      <c r="L397" t="n">
        <v>0</v>
      </c>
      <c r="M397" t="n">
        <v>0</v>
      </c>
      <c r="N397" t="n">
        <v>0</v>
      </c>
      <c r="O397" t="n">
        <v>0</v>
      </c>
      <c r="P397" t="n">
        <v>0</v>
      </c>
      <c r="Q397" t="n">
        <v>0</v>
      </c>
      <c r="R397" s="2" t="inlineStr"/>
    </row>
    <row r="398" ht="15" customHeight="1">
      <c r="A398" t="inlineStr">
        <is>
          <t>A 48763-2024</t>
        </is>
      </c>
      <c r="B398" s="1" t="n">
        <v>45593.60288194445</v>
      </c>
      <c r="C398" s="1" t="n">
        <v>46029</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14478-2023</t>
        </is>
      </c>
      <c r="B399" s="1" t="n">
        <v>45012.66421296296</v>
      </c>
      <c r="C399" s="1" t="n">
        <v>46029</v>
      </c>
      <c r="D399" t="inlineStr">
        <is>
          <t>SÖDERMANLANDS LÄN</t>
        </is>
      </c>
      <c r="E399" t="inlineStr">
        <is>
          <t>KATRINEHOLM</t>
        </is>
      </c>
      <c r="G399" t="n">
        <v>3.9</v>
      </c>
      <c r="H399" t="n">
        <v>0</v>
      </c>
      <c r="I399" t="n">
        <v>0</v>
      </c>
      <c r="J399" t="n">
        <v>0</v>
      </c>
      <c r="K399" t="n">
        <v>0</v>
      </c>
      <c r="L399" t="n">
        <v>0</v>
      </c>
      <c r="M399" t="n">
        <v>0</v>
      </c>
      <c r="N399" t="n">
        <v>0</v>
      </c>
      <c r="O399" t="n">
        <v>0</v>
      </c>
      <c r="P399" t="n">
        <v>0</v>
      </c>
      <c r="Q399" t="n">
        <v>0</v>
      </c>
      <c r="R399" s="2" t="inlineStr"/>
    </row>
    <row r="400" ht="15" customHeight="1">
      <c r="A400" t="inlineStr">
        <is>
          <t>A 20921-2023</t>
        </is>
      </c>
      <c r="B400" s="1" t="n">
        <v>45061</v>
      </c>
      <c r="C400" s="1" t="n">
        <v>46029</v>
      </c>
      <c r="D400" t="inlineStr">
        <is>
          <t>SÖDERMANLANDS LÄN</t>
        </is>
      </c>
      <c r="E400" t="inlineStr">
        <is>
          <t>KATRINEHOLM</t>
        </is>
      </c>
      <c r="G400" t="n">
        <v>8.9</v>
      </c>
      <c r="H400" t="n">
        <v>0</v>
      </c>
      <c r="I400" t="n">
        <v>0</v>
      </c>
      <c r="J400" t="n">
        <v>0</v>
      </c>
      <c r="K400" t="n">
        <v>0</v>
      </c>
      <c r="L400" t="n">
        <v>0</v>
      </c>
      <c r="M400" t="n">
        <v>0</v>
      </c>
      <c r="N400" t="n">
        <v>0</v>
      </c>
      <c r="O400" t="n">
        <v>0</v>
      </c>
      <c r="P400" t="n">
        <v>0</v>
      </c>
      <c r="Q400" t="n">
        <v>0</v>
      </c>
      <c r="R400" s="2" t="inlineStr"/>
    </row>
    <row r="401" ht="15" customHeight="1">
      <c r="A401" t="inlineStr">
        <is>
          <t>A 12930-2023</t>
        </is>
      </c>
      <c r="B401" s="1" t="n">
        <v>45001</v>
      </c>
      <c r="C401" s="1" t="n">
        <v>46029</v>
      </c>
      <c r="D401" t="inlineStr">
        <is>
          <t>SÖDERMANLANDS LÄN</t>
        </is>
      </c>
      <c r="E401" t="inlineStr">
        <is>
          <t>KATRINEHOLM</t>
        </is>
      </c>
      <c r="G401" t="n">
        <v>0.7</v>
      </c>
      <c r="H401" t="n">
        <v>0</v>
      </c>
      <c r="I401" t="n">
        <v>0</v>
      </c>
      <c r="J401" t="n">
        <v>0</v>
      </c>
      <c r="K401" t="n">
        <v>0</v>
      </c>
      <c r="L401" t="n">
        <v>0</v>
      </c>
      <c r="M401" t="n">
        <v>0</v>
      </c>
      <c r="N401" t="n">
        <v>0</v>
      </c>
      <c r="O401" t="n">
        <v>0</v>
      </c>
      <c r="P401" t="n">
        <v>0</v>
      </c>
      <c r="Q401" t="n">
        <v>0</v>
      </c>
      <c r="R401" s="2" t="inlineStr"/>
    </row>
    <row r="402" ht="15" customHeight="1">
      <c r="A402" t="inlineStr">
        <is>
          <t>A 12938-2023</t>
        </is>
      </c>
      <c r="B402" s="1" t="n">
        <v>45001</v>
      </c>
      <c r="C402" s="1" t="n">
        <v>46029</v>
      </c>
      <c r="D402" t="inlineStr">
        <is>
          <t>SÖDERMANLANDS LÄN</t>
        </is>
      </c>
      <c r="E402" t="inlineStr">
        <is>
          <t>KATRINEHOLM</t>
        </is>
      </c>
      <c r="G402" t="n">
        <v>0.4</v>
      </c>
      <c r="H402" t="n">
        <v>0</v>
      </c>
      <c r="I402" t="n">
        <v>0</v>
      </c>
      <c r="J402" t="n">
        <v>0</v>
      </c>
      <c r="K402" t="n">
        <v>0</v>
      </c>
      <c r="L402" t="n">
        <v>0</v>
      </c>
      <c r="M402" t="n">
        <v>0</v>
      </c>
      <c r="N402" t="n">
        <v>0</v>
      </c>
      <c r="O402" t="n">
        <v>0</v>
      </c>
      <c r="P402" t="n">
        <v>0</v>
      </c>
      <c r="Q402" t="n">
        <v>0</v>
      </c>
      <c r="R402" s="2" t="inlineStr"/>
    </row>
    <row r="403" ht="15" customHeight="1">
      <c r="A403" t="inlineStr">
        <is>
          <t>A 12559-2023</t>
        </is>
      </c>
      <c r="B403" s="1" t="n">
        <v>45000.36373842593</v>
      </c>
      <c r="C403" s="1" t="n">
        <v>46029</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7704-2023</t>
        </is>
      </c>
      <c r="B404" s="1" t="n">
        <v>44968</v>
      </c>
      <c r="C404" s="1" t="n">
        <v>46029</v>
      </c>
      <c r="D404" t="inlineStr">
        <is>
          <t>SÖDERMANLANDS LÄN</t>
        </is>
      </c>
      <c r="E404" t="inlineStr">
        <is>
          <t>KATRINEHOLM</t>
        </is>
      </c>
      <c r="G404" t="n">
        <v>7.3</v>
      </c>
      <c r="H404" t="n">
        <v>0</v>
      </c>
      <c r="I404" t="n">
        <v>0</v>
      </c>
      <c r="J404" t="n">
        <v>0</v>
      </c>
      <c r="K404" t="n">
        <v>0</v>
      </c>
      <c r="L404" t="n">
        <v>0</v>
      </c>
      <c r="M404" t="n">
        <v>0</v>
      </c>
      <c r="N404" t="n">
        <v>0</v>
      </c>
      <c r="O404" t="n">
        <v>0</v>
      </c>
      <c r="P404" t="n">
        <v>0</v>
      </c>
      <c r="Q404" t="n">
        <v>0</v>
      </c>
      <c r="R404" s="2" t="inlineStr"/>
    </row>
    <row r="405" ht="15" customHeight="1">
      <c r="A405" t="inlineStr">
        <is>
          <t>A 49122-2024</t>
        </is>
      </c>
      <c r="B405" s="1" t="n">
        <v>45594</v>
      </c>
      <c r="C405" s="1" t="n">
        <v>46029</v>
      </c>
      <c r="D405" t="inlineStr">
        <is>
          <t>SÖDERMANLANDS LÄN</t>
        </is>
      </c>
      <c r="E405" t="inlineStr">
        <is>
          <t>KATRINEHOLM</t>
        </is>
      </c>
      <c r="G405" t="n">
        <v>19.4</v>
      </c>
      <c r="H405" t="n">
        <v>0</v>
      </c>
      <c r="I405" t="n">
        <v>0</v>
      </c>
      <c r="J405" t="n">
        <v>0</v>
      </c>
      <c r="K405" t="n">
        <v>0</v>
      </c>
      <c r="L405" t="n">
        <v>0</v>
      </c>
      <c r="M405" t="n">
        <v>0</v>
      </c>
      <c r="N405" t="n">
        <v>0</v>
      </c>
      <c r="O405" t="n">
        <v>0</v>
      </c>
      <c r="P405" t="n">
        <v>0</v>
      </c>
      <c r="Q405" t="n">
        <v>0</v>
      </c>
      <c r="R405" s="2" t="inlineStr"/>
    </row>
    <row r="406" ht="15" customHeight="1">
      <c r="A406" t="inlineStr">
        <is>
          <t>A 12937-2023</t>
        </is>
      </c>
      <c r="B406" s="1" t="n">
        <v>45001</v>
      </c>
      <c r="C406" s="1" t="n">
        <v>46029</v>
      </c>
      <c r="D406" t="inlineStr">
        <is>
          <t>SÖDERMANLANDS LÄN</t>
        </is>
      </c>
      <c r="E406" t="inlineStr">
        <is>
          <t>KATRINEHOLM</t>
        </is>
      </c>
      <c r="G406" t="n">
        <v>0.9</v>
      </c>
      <c r="H406" t="n">
        <v>0</v>
      </c>
      <c r="I406" t="n">
        <v>0</v>
      </c>
      <c r="J406" t="n">
        <v>0</v>
      </c>
      <c r="K406" t="n">
        <v>0</v>
      </c>
      <c r="L406" t="n">
        <v>0</v>
      </c>
      <c r="M406" t="n">
        <v>0</v>
      </c>
      <c r="N406" t="n">
        <v>0</v>
      </c>
      <c r="O406" t="n">
        <v>0</v>
      </c>
      <c r="P406" t="n">
        <v>0</v>
      </c>
      <c r="Q406" t="n">
        <v>0</v>
      </c>
      <c r="R406" s="2" t="inlineStr"/>
    </row>
    <row r="407" ht="15" customHeight="1">
      <c r="A407" t="inlineStr">
        <is>
          <t>A 11127-2023</t>
        </is>
      </c>
      <c r="B407" s="1" t="n">
        <v>44987</v>
      </c>
      <c r="C407" s="1" t="n">
        <v>46029</v>
      </c>
      <c r="D407" t="inlineStr">
        <is>
          <t>SÖDERMANLANDS LÄN</t>
        </is>
      </c>
      <c r="E407" t="inlineStr">
        <is>
          <t>KATRINEHOLM</t>
        </is>
      </c>
      <c r="G407" t="n">
        <v>4.3</v>
      </c>
      <c r="H407" t="n">
        <v>0</v>
      </c>
      <c r="I407" t="n">
        <v>0</v>
      </c>
      <c r="J407" t="n">
        <v>0</v>
      </c>
      <c r="K407" t="n">
        <v>0</v>
      </c>
      <c r="L407" t="n">
        <v>0</v>
      </c>
      <c r="M407" t="n">
        <v>0</v>
      </c>
      <c r="N407" t="n">
        <v>0</v>
      </c>
      <c r="O407" t="n">
        <v>0</v>
      </c>
      <c r="P407" t="n">
        <v>0</v>
      </c>
      <c r="Q407" t="n">
        <v>0</v>
      </c>
      <c r="R407" s="2" t="inlineStr"/>
    </row>
    <row r="408" ht="15" customHeight="1">
      <c r="A408" t="inlineStr">
        <is>
          <t>A 44024-2021</t>
        </is>
      </c>
      <c r="B408" s="1" t="n">
        <v>44434</v>
      </c>
      <c r="C408" s="1" t="n">
        <v>46029</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27345-2023</t>
        </is>
      </c>
      <c r="B409" s="1" t="n">
        <v>45096</v>
      </c>
      <c r="C409" s="1" t="n">
        <v>46029</v>
      </c>
      <c r="D409" t="inlineStr">
        <is>
          <t>SÖDERMANLANDS LÄN</t>
        </is>
      </c>
      <c r="E409" t="inlineStr">
        <is>
          <t>KATRINEHOLM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1151-2025</t>
        </is>
      </c>
      <c r="B410" s="1" t="n">
        <v>45666</v>
      </c>
      <c r="C410" s="1" t="n">
        <v>46029</v>
      </c>
      <c r="D410" t="inlineStr">
        <is>
          <t>SÖDERMANLANDS LÄN</t>
        </is>
      </c>
      <c r="E410" t="inlineStr">
        <is>
          <t>KATRINEHOLM</t>
        </is>
      </c>
      <c r="G410" t="n">
        <v>1.9</v>
      </c>
      <c r="H410" t="n">
        <v>0</v>
      </c>
      <c r="I410" t="n">
        <v>0</v>
      </c>
      <c r="J410" t="n">
        <v>0</v>
      </c>
      <c r="K410" t="n">
        <v>0</v>
      </c>
      <c r="L410" t="n">
        <v>0</v>
      </c>
      <c r="M410" t="n">
        <v>0</v>
      </c>
      <c r="N410" t="n">
        <v>0</v>
      </c>
      <c r="O410" t="n">
        <v>0</v>
      </c>
      <c r="P410" t="n">
        <v>0</v>
      </c>
      <c r="Q410" t="n">
        <v>0</v>
      </c>
      <c r="R410" s="2" t="inlineStr"/>
    </row>
    <row r="411" ht="15" customHeight="1">
      <c r="A411" t="inlineStr">
        <is>
          <t>A 6808-2023</t>
        </is>
      </c>
      <c r="B411" s="1" t="n">
        <v>44964</v>
      </c>
      <c r="C411" s="1" t="n">
        <v>46029</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36590-2025</t>
        </is>
      </c>
      <c r="B412" s="1" t="n">
        <v>45870</v>
      </c>
      <c r="C412" s="1" t="n">
        <v>46029</v>
      </c>
      <c r="D412" t="inlineStr">
        <is>
          <t>SÖDERMANLANDS LÄN</t>
        </is>
      </c>
      <c r="E412" t="inlineStr">
        <is>
          <t>KATRINEHOLM</t>
        </is>
      </c>
      <c r="G412" t="n">
        <v>2</v>
      </c>
      <c r="H412" t="n">
        <v>0</v>
      </c>
      <c r="I412" t="n">
        <v>0</v>
      </c>
      <c r="J412" t="n">
        <v>0</v>
      </c>
      <c r="K412" t="n">
        <v>0</v>
      </c>
      <c r="L412" t="n">
        <v>0</v>
      </c>
      <c r="M412" t="n">
        <v>0</v>
      </c>
      <c r="N412" t="n">
        <v>0</v>
      </c>
      <c r="O412" t="n">
        <v>0</v>
      </c>
      <c r="P412" t="n">
        <v>0</v>
      </c>
      <c r="Q412" t="n">
        <v>0</v>
      </c>
      <c r="R412" s="2" t="inlineStr"/>
    </row>
    <row r="413" ht="15" customHeight="1">
      <c r="A413" t="inlineStr">
        <is>
          <t>A 26684-2025</t>
        </is>
      </c>
      <c r="B413" s="1" t="n">
        <v>45810</v>
      </c>
      <c r="C413" s="1" t="n">
        <v>46029</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61394-2024</t>
        </is>
      </c>
      <c r="B414" s="1" t="n">
        <v>45646.42061342593</v>
      </c>
      <c r="C414" s="1" t="n">
        <v>46029</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12227-2025</t>
        </is>
      </c>
      <c r="B415" s="1" t="n">
        <v>45729.56836805555</v>
      </c>
      <c r="C415" s="1" t="n">
        <v>46029</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18339-2023</t>
        </is>
      </c>
      <c r="B416" s="1" t="n">
        <v>45041</v>
      </c>
      <c r="C416" s="1" t="n">
        <v>46029</v>
      </c>
      <c r="D416" t="inlineStr">
        <is>
          <t>SÖDERMANLANDS LÄN</t>
        </is>
      </c>
      <c r="E416" t="inlineStr">
        <is>
          <t>KATRINEHOLM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58522-2024</t>
        </is>
      </c>
      <c r="B417" s="1" t="n">
        <v>45635.43770833333</v>
      </c>
      <c r="C417" s="1" t="n">
        <v>46029</v>
      </c>
      <c r="D417" t="inlineStr">
        <is>
          <t>SÖDERMANLANDS LÄN</t>
        </is>
      </c>
      <c r="E417" t="inlineStr">
        <is>
          <t>KATRINEHOLM</t>
        </is>
      </c>
      <c r="G417" t="n">
        <v>2</v>
      </c>
      <c r="H417" t="n">
        <v>0</v>
      </c>
      <c r="I417" t="n">
        <v>0</v>
      </c>
      <c r="J417" t="n">
        <v>0</v>
      </c>
      <c r="K417" t="n">
        <v>0</v>
      </c>
      <c r="L417" t="n">
        <v>0</v>
      </c>
      <c r="M417" t="n">
        <v>0</v>
      </c>
      <c r="N417" t="n">
        <v>0</v>
      </c>
      <c r="O417" t="n">
        <v>0</v>
      </c>
      <c r="P417" t="n">
        <v>0</v>
      </c>
      <c r="Q417" t="n">
        <v>0</v>
      </c>
      <c r="R417" s="2" t="inlineStr"/>
    </row>
    <row r="418" ht="15" customHeight="1">
      <c r="A418" t="inlineStr">
        <is>
          <t>A 50021-2023</t>
        </is>
      </c>
      <c r="B418" s="1" t="n">
        <v>45215</v>
      </c>
      <c r="C418" s="1" t="n">
        <v>46029</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37043-2025</t>
        </is>
      </c>
      <c r="B419" s="1" t="n">
        <v>45875.3396412037</v>
      </c>
      <c r="C419" s="1" t="n">
        <v>46029</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44071-2025</t>
        </is>
      </c>
      <c r="B420" s="1" t="n">
        <v>45915</v>
      </c>
      <c r="C420" s="1" t="n">
        <v>46029</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47889-2023</t>
        </is>
      </c>
      <c r="B421" s="1" t="n">
        <v>45204</v>
      </c>
      <c r="C421" s="1" t="n">
        <v>46029</v>
      </c>
      <c r="D421" t="inlineStr">
        <is>
          <t>SÖDERMANLANDS LÄN</t>
        </is>
      </c>
      <c r="E421" t="inlineStr">
        <is>
          <t>KATRINEHOLM</t>
        </is>
      </c>
      <c r="G421" t="n">
        <v>2.1</v>
      </c>
      <c r="H421" t="n">
        <v>0</v>
      </c>
      <c r="I421" t="n">
        <v>0</v>
      </c>
      <c r="J421" t="n">
        <v>0</v>
      </c>
      <c r="K421" t="n">
        <v>0</v>
      </c>
      <c r="L421" t="n">
        <v>0</v>
      </c>
      <c r="M421" t="n">
        <v>0</v>
      </c>
      <c r="N421" t="n">
        <v>0</v>
      </c>
      <c r="O421" t="n">
        <v>0</v>
      </c>
      <c r="P421" t="n">
        <v>0</v>
      </c>
      <c r="Q421" t="n">
        <v>0</v>
      </c>
      <c r="R421" s="2" t="inlineStr"/>
    </row>
    <row r="422" ht="15" customHeight="1">
      <c r="A422" t="inlineStr">
        <is>
          <t>A 43975-2025</t>
        </is>
      </c>
      <c r="B422" s="1" t="n">
        <v>45915.41148148148</v>
      </c>
      <c r="C422" s="1" t="n">
        <v>46029</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34732-2022</t>
        </is>
      </c>
      <c r="B423" s="1" t="n">
        <v>44795</v>
      </c>
      <c r="C423" s="1" t="n">
        <v>46029</v>
      </c>
      <c r="D423" t="inlineStr">
        <is>
          <t>SÖDERMANLANDS LÄN</t>
        </is>
      </c>
      <c r="E423" t="inlineStr">
        <is>
          <t>KATRINEHOLM</t>
        </is>
      </c>
      <c r="G423" t="n">
        <v>3</v>
      </c>
      <c r="H423" t="n">
        <v>0</v>
      </c>
      <c r="I423" t="n">
        <v>0</v>
      </c>
      <c r="J423" t="n">
        <v>0</v>
      </c>
      <c r="K423" t="n">
        <v>0</v>
      </c>
      <c r="L423" t="n">
        <v>0</v>
      </c>
      <c r="M423" t="n">
        <v>0</v>
      </c>
      <c r="N423" t="n">
        <v>0</v>
      </c>
      <c r="O423" t="n">
        <v>0</v>
      </c>
      <c r="P423" t="n">
        <v>0</v>
      </c>
      <c r="Q423" t="n">
        <v>0</v>
      </c>
      <c r="R423" s="2" t="inlineStr"/>
    </row>
    <row r="424" ht="15" customHeight="1">
      <c r="A424" t="inlineStr">
        <is>
          <t>A 11543-2025</t>
        </is>
      </c>
      <c r="B424" s="1" t="n">
        <v>45727.34248842593</v>
      </c>
      <c r="C424" s="1" t="n">
        <v>46029</v>
      </c>
      <c r="D424" t="inlineStr">
        <is>
          <t>SÖDERMANLANDS LÄN</t>
        </is>
      </c>
      <c r="E424" t="inlineStr">
        <is>
          <t>KATRINEHOLM</t>
        </is>
      </c>
      <c r="G424" t="n">
        <v>3.6</v>
      </c>
      <c r="H424" t="n">
        <v>0</v>
      </c>
      <c r="I424" t="n">
        <v>0</v>
      </c>
      <c r="J424" t="n">
        <v>0</v>
      </c>
      <c r="K424" t="n">
        <v>0</v>
      </c>
      <c r="L424" t="n">
        <v>0</v>
      </c>
      <c r="M424" t="n">
        <v>0</v>
      </c>
      <c r="N424" t="n">
        <v>0</v>
      </c>
      <c r="O424" t="n">
        <v>0</v>
      </c>
      <c r="P424" t="n">
        <v>0</v>
      </c>
      <c r="Q424" t="n">
        <v>0</v>
      </c>
      <c r="R424" s="2" t="inlineStr"/>
    </row>
    <row r="425" ht="15" customHeight="1">
      <c r="A425" t="inlineStr">
        <is>
          <t>A 37827-2025</t>
        </is>
      </c>
      <c r="B425" s="1" t="n">
        <v>45881.40907407407</v>
      </c>
      <c r="C425" s="1" t="n">
        <v>46029</v>
      </c>
      <c r="D425" t="inlineStr">
        <is>
          <t>SÖDERMANLANDS LÄN</t>
        </is>
      </c>
      <c r="E425" t="inlineStr">
        <is>
          <t>KATRINEHOLM</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32166-2022</t>
        </is>
      </c>
      <c r="B426" s="1" t="n">
        <v>44781</v>
      </c>
      <c r="C426" s="1" t="n">
        <v>46029</v>
      </c>
      <c r="D426" t="inlineStr">
        <is>
          <t>SÖDERMANLANDS LÄN</t>
        </is>
      </c>
      <c r="E426" t="inlineStr">
        <is>
          <t>KATRINEHOLM</t>
        </is>
      </c>
      <c r="F426" t="inlineStr">
        <is>
          <t>Kommuner</t>
        </is>
      </c>
      <c r="G426" t="n">
        <v>0.5</v>
      </c>
      <c r="H426" t="n">
        <v>0</v>
      </c>
      <c r="I426" t="n">
        <v>0</v>
      </c>
      <c r="J426" t="n">
        <v>0</v>
      </c>
      <c r="K426" t="n">
        <v>0</v>
      </c>
      <c r="L426" t="n">
        <v>0</v>
      </c>
      <c r="M426" t="n">
        <v>0</v>
      </c>
      <c r="N426" t="n">
        <v>0</v>
      </c>
      <c r="O426" t="n">
        <v>0</v>
      </c>
      <c r="P426" t="n">
        <v>0</v>
      </c>
      <c r="Q426" t="n">
        <v>0</v>
      </c>
      <c r="R426" s="2" t="inlineStr"/>
    </row>
    <row r="427" ht="15" customHeight="1">
      <c r="A427" t="inlineStr">
        <is>
          <t>A 32169-2022</t>
        </is>
      </c>
      <c r="B427" s="1" t="n">
        <v>44781</v>
      </c>
      <c r="C427" s="1" t="n">
        <v>46029</v>
      </c>
      <c r="D427" t="inlineStr">
        <is>
          <t>SÖDERMANLANDS LÄN</t>
        </is>
      </c>
      <c r="E427" t="inlineStr">
        <is>
          <t>KATRINEHOLM</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35864-2023</t>
        </is>
      </c>
      <c r="B428" s="1" t="n">
        <v>45147</v>
      </c>
      <c r="C428" s="1" t="n">
        <v>46029</v>
      </c>
      <c r="D428" t="inlineStr">
        <is>
          <t>SÖDERMANLANDS LÄN</t>
        </is>
      </c>
      <c r="E428" t="inlineStr">
        <is>
          <t>KATRINEHOLM</t>
        </is>
      </c>
      <c r="F428" t="inlineStr">
        <is>
          <t>Övriga Aktiebolag</t>
        </is>
      </c>
      <c r="G428" t="n">
        <v>4.7</v>
      </c>
      <c r="H428" t="n">
        <v>0</v>
      </c>
      <c r="I428" t="n">
        <v>0</v>
      </c>
      <c r="J428" t="n">
        <v>0</v>
      </c>
      <c r="K428" t="n">
        <v>0</v>
      </c>
      <c r="L428" t="n">
        <v>0</v>
      </c>
      <c r="M428" t="n">
        <v>0</v>
      </c>
      <c r="N428" t="n">
        <v>0</v>
      </c>
      <c r="O428" t="n">
        <v>0</v>
      </c>
      <c r="P428" t="n">
        <v>0</v>
      </c>
      <c r="Q428" t="n">
        <v>0</v>
      </c>
      <c r="R428" s="2" t="inlineStr"/>
    </row>
    <row r="429" ht="15" customHeight="1">
      <c r="A429" t="inlineStr">
        <is>
          <t>A 44637-2023</t>
        </is>
      </c>
      <c r="B429" s="1" t="n">
        <v>45189</v>
      </c>
      <c r="C429" s="1" t="n">
        <v>46029</v>
      </c>
      <c r="D429" t="inlineStr">
        <is>
          <t>SÖDERMANLANDS LÄN</t>
        </is>
      </c>
      <c r="E429" t="inlineStr">
        <is>
          <t>KATRINEHOLM</t>
        </is>
      </c>
      <c r="G429" t="n">
        <v>5.1</v>
      </c>
      <c r="H429" t="n">
        <v>0</v>
      </c>
      <c r="I429" t="n">
        <v>0</v>
      </c>
      <c r="J429" t="n">
        <v>0</v>
      </c>
      <c r="K429" t="n">
        <v>0</v>
      </c>
      <c r="L429" t="n">
        <v>0</v>
      </c>
      <c r="M429" t="n">
        <v>0</v>
      </c>
      <c r="N429" t="n">
        <v>0</v>
      </c>
      <c r="O429" t="n">
        <v>0</v>
      </c>
      <c r="P429" t="n">
        <v>0</v>
      </c>
      <c r="Q429" t="n">
        <v>0</v>
      </c>
      <c r="R429" s="2" t="inlineStr"/>
    </row>
    <row r="430" ht="15" customHeight="1">
      <c r="A430" t="inlineStr">
        <is>
          <t>A 39055-2022</t>
        </is>
      </c>
      <c r="B430" s="1" t="n">
        <v>44817</v>
      </c>
      <c r="C430" s="1" t="n">
        <v>46029</v>
      </c>
      <c r="D430" t="inlineStr">
        <is>
          <t>SÖDERMANLANDS LÄN</t>
        </is>
      </c>
      <c r="E430" t="inlineStr">
        <is>
          <t>KATRINEHOLM</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46257-2021</t>
        </is>
      </c>
      <c r="B431" s="1" t="n">
        <v>44442</v>
      </c>
      <c r="C431" s="1" t="n">
        <v>46029</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46288-2025</t>
        </is>
      </c>
      <c r="B432" s="1" t="n">
        <v>45925.38545138889</v>
      </c>
      <c r="C432" s="1" t="n">
        <v>46029</v>
      </c>
      <c r="D432" t="inlineStr">
        <is>
          <t>SÖDERMANLANDS LÄN</t>
        </is>
      </c>
      <c r="E432" t="inlineStr">
        <is>
          <t>KATRINEHOLM</t>
        </is>
      </c>
      <c r="G432" t="n">
        <v>0.4</v>
      </c>
      <c r="H432" t="n">
        <v>0</v>
      </c>
      <c r="I432" t="n">
        <v>0</v>
      </c>
      <c r="J432" t="n">
        <v>0</v>
      </c>
      <c r="K432" t="n">
        <v>0</v>
      </c>
      <c r="L432" t="n">
        <v>0</v>
      </c>
      <c r="M432" t="n">
        <v>0</v>
      </c>
      <c r="N432" t="n">
        <v>0</v>
      </c>
      <c r="O432" t="n">
        <v>0</v>
      </c>
      <c r="P432" t="n">
        <v>0</v>
      </c>
      <c r="Q432" t="n">
        <v>0</v>
      </c>
      <c r="R432" s="2" t="inlineStr"/>
    </row>
    <row r="433" ht="15" customHeight="1">
      <c r="A433" t="inlineStr">
        <is>
          <t>A 52769-2023</t>
        </is>
      </c>
      <c r="B433" s="1" t="n">
        <v>45226</v>
      </c>
      <c r="C433" s="1" t="n">
        <v>46029</v>
      </c>
      <c r="D433" t="inlineStr">
        <is>
          <t>SÖDERMANLANDS LÄN</t>
        </is>
      </c>
      <c r="E433" t="inlineStr">
        <is>
          <t>KATRINEHOLM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4758-2025</t>
        </is>
      </c>
      <c r="B434" s="1" t="n">
        <v>45688</v>
      </c>
      <c r="C434" s="1" t="n">
        <v>46029</v>
      </c>
      <c r="D434" t="inlineStr">
        <is>
          <t>SÖDERMANLANDS LÄN</t>
        </is>
      </c>
      <c r="E434" t="inlineStr">
        <is>
          <t>KATRINEHOLM</t>
        </is>
      </c>
      <c r="G434" t="n">
        <v>2.3</v>
      </c>
      <c r="H434" t="n">
        <v>0</v>
      </c>
      <c r="I434" t="n">
        <v>0</v>
      </c>
      <c r="J434" t="n">
        <v>0</v>
      </c>
      <c r="K434" t="n">
        <v>0</v>
      </c>
      <c r="L434" t="n">
        <v>0</v>
      </c>
      <c r="M434" t="n">
        <v>0</v>
      </c>
      <c r="N434" t="n">
        <v>0</v>
      </c>
      <c r="O434" t="n">
        <v>0</v>
      </c>
      <c r="P434" t="n">
        <v>0</v>
      </c>
      <c r="Q434" t="n">
        <v>0</v>
      </c>
      <c r="R434" s="2" t="inlineStr"/>
    </row>
    <row r="435" ht="15" customHeight="1">
      <c r="A435" t="inlineStr">
        <is>
          <t>A 27852-2023</t>
        </is>
      </c>
      <c r="B435" s="1" t="n">
        <v>45098</v>
      </c>
      <c r="C435" s="1" t="n">
        <v>46029</v>
      </c>
      <c r="D435" t="inlineStr">
        <is>
          <t>SÖDERMANLANDS LÄN</t>
        </is>
      </c>
      <c r="E435" t="inlineStr">
        <is>
          <t>KATRINEHOLM</t>
        </is>
      </c>
      <c r="G435" t="n">
        <v>7.4</v>
      </c>
      <c r="H435" t="n">
        <v>0</v>
      </c>
      <c r="I435" t="n">
        <v>0</v>
      </c>
      <c r="J435" t="n">
        <v>0</v>
      </c>
      <c r="K435" t="n">
        <v>0</v>
      </c>
      <c r="L435" t="n">
        <v>0</v>
      </c>
      <c r="M435" t="n">
        <v>0</v>
      </c>
      <c r="N435" t="n">
        <v>0</v>
      </c>
      <c r="O435" t="n">
        <v>0</v>
      </c>
      <c r="P435" t="n">
        <v>0</v>
      </c>
      <c r="Q435" t="n">
        <v>0</v>
      </c>
      <c r="R435" s="2" t="inlineStr"/>
    </row>
    <row r="436" ht="15" customHeight="1">
      <c r="A436" t="inlineStr">
        <is>
          <t>A 54873-2025</t>
        </is>
      </c>
      <c r="B436" s="1" t="n">
        <v>45967.30731481482</v>
      </c>
      <c r="C436" s="1" t="n">
        <v>46029</v>
      </c>
      <c r="D436" t="inlineStr">
        <is>
          <t>SÖDERMANLANDS LÄN</t>
        </is>
      </c>
      <c r="E436" t="inlineStr">
        <is>
          <t>KATRINEHOLM</t>
        </is>
      </c>
      <c r="G436" t="n">
        <v>2.7</v>
      </c>
      <c r="H436" t="n">
        <v>0</v>
      </c>
      <c r="I436" t="n">
        <v>0</v>
      </c>
      <c r="J436" t="n">
        <v>0</v>
      </c>
      <c r="K436" t="n">
        <v>0</v>
      </c>
      <c r="L436" t="n">
        <v>0</v>
      </c>
      <c r="M436" t="n">
        <v>0</v>
      </c>
      <c r="N436" t="n">
        <v>0</v>
      </c>
      <c r="O436" t="n">
        <v>0</v>
      </c>
      <c r="P436" t="n">
        <v>0</v>
      </c>
      <c r="Q436" t="n">
        <v>0</v>
      </c>
      <c r="R436" s="2" t="inlineStr"/>
    </row>
    <row r="437" ht="15" customHeight="1">
      <c r="A437" t="inlineStr">
        <is>
          <t>A 28304-2024</t>
        </is>
      </c>
      <c r="B437" s="1" t="n">
        <v>45477</v>
      </c>
      <c r="C437" s="1" t="n">
        <v>46029</v>
      </c>
      <c r="D437" t="inlineStr">
        <is>
          <t>SÖDERMANLANDS LÄN</t>
        </is>
      </c>
      <c r="E437" t="inlineStr">
        <is>
          <t>KATRINEHOLM</t>
        </is>
      </c>
      <c r="G437" t="n">
        <v>3.8</v>
      </c>
      <c r="H437" t="n">
        <v>0</v>
      </c>
      <c r="I437" t="n">
        <v>0</v>
      </c>
      <c r="J437" t="n">
        <v>0</v>
      </c>
      <c r="K437" t="n">
        <v>0</v>
      </c>
      <c r="L437" t="n">
        <v>0</v>
      </c>
      <c r="M437" t="n">
        <v>0</v>
      </c>
      <c r="N437" t="n">
        <v>0</v>
      </c>
      <c r="O437" t="n">
        <v>0</v>
      </c>
      <c r="P437" t="n">
        <v>0</v>
      </c>
      <c r="Q437" t="n">
        <v>0</v>
      </c>
      <c r="R437" s="2" t="inlineStr"/>
    </row>
    <row r="438" ht="15" customHeight="1">
      <c r="A438" t="inlineStr">
        <is>
          <t>A 61911-2021</t>
        </is>
      </c>
      <c r="B438" s="1" t="n">
        <v>44502.35746527778</v>
      </c>
      <c r="C438" s="1" t="n">
        <v>46029</v>
      </c>
      <c r="D438" t="inlineStr">
        <is>
          <t>SÖDERMANLANDS LÄN</t>
        </is>
      </c>
      <c r="E438" t="inlineStr">
        <is>
          <t>KATRINEHOLM</t>
        </is>
      </c>
      <c r="G438" t="n">
        <v>3.8</v>
      </c>
      <c r="H438" t="n">
        <v>0</v>
      </c>
      <c r="I438" t="n">
        <v>0</v>
      </c>
      <c r="J438" t="n">
        <v>0</v>
      </c>
      <c r="K438" t="n">
        <v>0</v>
      </c>
      <c r="L438" t="n">
        <v>0</v>
      </c>
      <c r="M438" t="n">
        <v>0</v>
      </c>
      <c r="N438" t="n">
        <v>0</v>
      </c>
      <c r="O438" t="n">
        <v>0</v>
      </c>
      <c r="P438" t="n">
        <v>0</v>
      </c>
      <c r="Q438" t="n">
        <v>0</v>
      </c>
      <c r="R438" s="2" t="inlineStr"/>
    </row>
    <row r="439" ht="15" customHeight="1">
      <c r="A439" t="inlineStr">
        <is>
          <t>A 42945-2023</t>
        </is>
      </c>
      <c r="B439" s="1" t="n">
        <v>45182.5793287037</v>
      </c>
      <c r="C439" s="1" t="n">
        <v>46029</v>
      </c>
      <c r="D439" t="inlineStr">
        <is>
          <t>SÖDERMANLANDS LÄN</t>
        </is>
      </c>
      <c r="E439" t="inlineStr">
        <is>
          <t>KATRINEHOLM</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42962-2023</t>
        </is>
      </c>
      <c r="B440" s="1" t="n">
        <v>45182</v>
      </c>
      <c r="C440" s="1" t="n">
        <v>46029</v>
      </c>
      <c r="D440" t="inlineStr">
        <is>
          <t>SÖDERMANLANDS LÄN</t>
        </is>
      </c>
      <c r="E440" t="inlineStr">
        <is>
          <t>KATRINEHOLM</t>
        </is>
      </c>
      <c r="F440" t="inlineStr">
        <is>
          <t>Övriga Aktiebolag</t>
        </is>
      </c>
      <c r="G440" t="n">
        <v>10.6</v>
      </c>
      <c r="H440" t="n">
        <v>0</v>
      </c>
      <c r="I440" t="n">
        <v>0</v>
      </c>
      <c r="J440" t="n">
        <v>0</v>
      </c>
      <c r="K440" t="n">
        <v>0</v>
      </c>
      <c r="L440" t="n">
        <v>0</v>
      </c>
      <c r="M440" t="n">
        <v>0</v>
      </c>
      <c r="N440" t="n">
        <v>0</v>
      </c>
      <c r="O440" t="n">
        <v>0</v>
      </c>
      <c r="P440" t="n">
        <v>0</v>
      </c>
      <c r="Q440" t="n">
        <v>0</v>
      </c>
      <c r="R440" s="2" t="inlineStr"/>
    </row>
    <row r="441" ht="15" customHeight="1">
      <c r="A441" t="inlineStr">
        <is>
          <t>A 44915-2022</t>
        </is>
      </c>
      <c r="B441" s="1" t="n">
        <v>44840</v>
      </c>
      <c r="C441" s="1" t="n">
        <v>46029</v>
      </c>
      <c r="D441" t="inlineStr">
        <is>
          <t>SÖDERMANLANDS LÄN</t>
        </is>
      </c>
      <c r="E441" t="inlineStr">
        <is>
          <t>KATRINEHOLM</t>
        </is>
      </c>
      <c r="G441" t="n">
        <v>6.3</v>
      </c>
      <c r="H441" t="n">
        <v>0</v>
      </c>
      <c r="I441" t="n">
        <v>0</v>
      </c>
      <c r="J441" t="n">
        <v>0</v>
      </c>
      <c r="K441" t="n">
        <v>0</v>
      </c>
      <c r="L441" t="n">
        <v>0</v>
      </c>
      <c r="M441" t="n">
        <v>0</v>
      </c>
      <c r="N441" t="n">
        <v>0</v>
      </c>
      <c r="O441" t="n">
        <v>0</v>
      </c>
      <c r="P441" t="n">
        <v>0</v>
      </c>
      <c r="Q441" t="n">
        <v>0</v>
      </c>
      <c r="R441" s="2" t="inlineStr"/>
    </row>
    <row r="442" ht="15" customHeight="1">
      <c r="A442" t="inlineStr">
        <is>
          <t>A 46524-2025</t>
        </is>
      </c>
      <c r="B442" s="1" t="n">
        <v>45926</v>
      </c>
      <c r="C442" s="1" t="n">
        <v>46029</v>
      </c>
      <c r="D442" t="inlineStr">
        <is>
          <t>SÖDERMANLANDS LÄN</t>
        </is>
      </c>
      <c r="E442" t="inlineStr">
        <is>
          <t>KATRINEHOLM</t>
        </is>
      </c>
      <c r="G442" t="n">
        <v>5.7</v>
      </c>
      <c r="H442" t="n">
        <v>0</v>
      </c>
      <c r="I442" t="n">
        <v>0</v>
      </c>
      <c r="J442" t="n">
        <v>0</v>
      </c>
      <c r="K442" t="n">
        <v>0</v>
      </c>
      <c r="L442" t="n">
        <v>0</v>
      </c>
      <c r="M442" t="n">
        <v>0</v>
      </c>
      <c r="N442" t="n">
        <v>0</v>
      </c>
      <c r="O442" t="n">
        <v>0</v>
      </c>
      <c r="P442" t="n">
        <v>0</v>
      </c>
      <c r="Q442" t="n">
        <v>0</v>
      </c>
      <c r="R442" s="2" t="inlineStr"/>
    </row>
    <row r="443" ht="15" customHeight="1">
      <c r="A443" t="inlineStr">
        <is>
          <t>A 5953-2021</t>
        </is>
      </c>
      <c r="B443" s="1" t="n">
        <v>44231</v>
      </c>
      <c r="C443" s="1" t="n">
        <v>46029</v>
      </c>
      <c r="D443" t="inlineStr">
        <is>
          <t>SÖDERMANLANDS LÄN</t>
        </is>
      </c>
      <c r="E443" t="inlineStr">
        <is>
          <t>KATRINEHOLM</t>
        </is>
      </c>
      <c r="G443" t="n">
        <v>3.1</v>
      </c>
      <c r="H443" t="n">
        <v>0</v>
      </c>
      <c r="I443" t="n">
        <v>0</v>
      </c>
      <c r="J443" t="n">
        <v>0</v>
      </c>
      <c r="K443" t="n">
        <v>0</v>
      </c>
      <c r="L443" t="n">
        <v>0</v>
      </c>
      <c r="M443" t="n">
        <v>0</v>
      </c>
      <c r="N443" t="n">
        <v>0</v>
      </c>
      <c r="O443" t="n">
        <v>0</v>
      </c>
      <c r="P443" t="n">
        <v>0</v>
      </c>
      <c r="Q443" t="n">
        <v>0</v>
      </c>
      <c r="R443" s="2" t="inlineStr"/>
    </row>
    <row r="444" ht="15" customHeight="1">
      <c r="A444" t="inlineStr">
        <is>
          <t>A 48097-2023</t>
        </is>
      </c>
      <c r="B444" s="1" t="n">
        <v>45205.31987268518</v>
      </c>
      <c r="C444" s="1" t="n">
        <v>46029</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45793-2022</t>
        </is>
      </c>
      <c r="B445" s="1" t="n">
        <v>44844</v>
      </c>
      <c r="C445" s="1" t="n">
        <v>46029</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40393-2022</t>
        </is>
      </c>
      <c r="B446" s="1" t="n">
        <v>44823</v>
      </c>
      <c r="C446" s="1" t="n">
        <v>46029</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48685-2022</t>
        </is>
      </c>
      <c r="B447" s="1" t="n">
        <v>44859</v>
      </c>
      <c r="C447" s="1" t="n">
        <v>46029</v>
      </c>
      <c r="D447" t="inlineStr">
        <is>
          <t>SÖDERMANLANDS LÄN</t>
        </is>
      </c>
      <c r="E447" t="inlineStr">
        <is>
          <t>KATRINEHOLM</t>
        </is>
      </c>
      <c r="G447" t="n">
        <v>0.5</v>
      </c>
      <c r="H447" t="n">
        <v>0</v>
      </c>
      <c r="I447" t="n">
        <v>0</v>
      </c>
      <c r="J447" t="n">
        <v>0</v>
      </c>
      <c r="K447" t="n">
        <v>0</v>
      </c>
      <c r="L447" t="n">
        <v>0</v>
      </c>
      <c r="M447" t="n">
        <v>0</v>
      </c>
      <c r="N447" t="n">
        <v>0</v>
      </c>
      <c r="O447" t="n">
        <v>0</v>
      </c>
      <c r="P447" t="n">
        <v>0</v>
      </c>
      <c r="Q447" t="n">
        <v>0</v>
      </c>
      <c r="R447" s="2" t="inlineStr"/>
    </row>
    <row r="448" ht="15" customHeight="1">
      <c r="A448" t="inlineStr">
        <is>
          <t>A 36133-2021</t>
        </is>
      </c>
      <c r="B448" s="1" t="n">
        <v>44386</v>
      </c>
      <c r="C448" s="1" t="n">
        <v>46029</v>
      </c>
      <c r="D448" t="inlineStr">
        <is>
          <t>SÖDERMANLANDS LÄN</t>
        </is>
      </c>
      <c r="E448" t="inlineStr">
        <is>
          <t>KATRINEHOLM</t>
        </is>
      </c>
      <c r="F448" t="inlineStr">
        <is>
          <t>Övriga Aktiebolag</t>
        </is>
      </c>
      <c r="G448" t="n">
        <v>8.9</v>
      </c>
      <c r="H448" t="n">
        <v>0</v>
      </c>
      <c r="I448" t="n">
        <v>0</v>
      </c>
      <c r="J448" t="n">
        <v>0</v>
      </c>
      <c r="K448" t="n">
        <v>0</v>
      </c>
      <c r="L448" t="n">
        <v>0</v>
      </c>
      <c r="M448" t="n">
        <v>0</v>
      </c>
      <c r="N448" t="n">
        <v>0</v>
      </c>
      <c r="O448" t="n">
        <v>0</v>
      </c>
      <c r="P448" t="n">
        <v>0</v>
      </c>
      <c r="Q448" t="n">
        <v>0</v>
      </c>
      <c r="R448" s="2" t="inlineStr"/>
    </row>
    <row r="449" ht="15" customHeight="1">
      <c r="A449" t="inlineStr">
        <is>
          <t>A 49700-2022</t>
        </is>
      </c>
      <c r="B449" s="1" t="n">
        <v>44862</v>
      </c>
      <c r="C449" s="1" t="n">
        <v>46029</v>
      </c>
      <c r="D449" t="inlineStr">
        <is>
          <t>SÖDERMANLANDS LÄN</t>
        </is>
      </c>
      <c r="E449" t="inlineStr">
        <is>
          <t>KATRINEHOLM</t>
        </is>
      </c>
      <c r="G449" t="n">
        <v>19.5</v>
      </c>
      <c r="H449" t="n">
        <v>0</v>
      </c>
      <c r="I449" t="n">
        <v>0</v>
      </c>
      <c r="J449" t="n">
        <v>0</v>
      </c>
      <c r="K449" t="n">
        <v>0</v>
      </c>
      <c r="L449" t="n">
        <v>0</v>
      </c>
      <c r="M449" t="n">
        <v>0</v>
      </c>
      <c r="N449" t="n">
        <v>0</v>
      </c>
      <c r="O449" t="n">
        <v>0</v>
      </c>
      <c r="P449" t="n">
        <v>0</v>
      </c>
      <c r="Q449" t="n">
        <v>0</v>
      </c>
      <c r="R449" s="2" t="inlineStr"/>
    </row>
    <row r="450" ht="15" customHeight="1">
      <c r="A450" t="inlineStr">
        <is>
          <t>A 30276-2023</t>
        </is>
      </c>
      <c r="B450" s="1" t="n">
        <v>45110</v>
      </c>
      <c r="C450" s="1" t="n">
        <v>46029</v>
      </c>
      <c r="D450" t="inlineStr">
        <is>
          <t>SÖDERMANLANDS LÄN</t>
        </is>
      </c>
      <c r="E450" t="inlineStr">
        <is>
          <t>KATRINEHOLM</t>
        </is>
      </c>
      <c r="G450" t="n">
        <v>2.3</v>
      </c>
      <c r="H450" t="n">
        <v>0</v>
      </c>
      <c r="I450" t="n">
        <v>0</v>
      </c>
      <c r="J450" t="n">
        <v>0</v>
      </c>
      <c r="K450" t="n">
        <v>0</v>
      </c>
      <c r="L450" t="n">
        <v>0</v>
      </c>
      <c r="M450" t="n">
        <v>0</v>
      </c>
      <c r="N450" t="n">
        <v>0</v>
      </c>
      <c r="O450" t="n">
        <v>0</v>
      </c>
      <c r="P450" t="n">
        <v>0</v>
      </c>
      <c r="Q450" t="n">
        <v>0</v>
      </c>
      <c r="R450" s="2" t="inlineStr"/>
    </row>
    <row r="451" ht="15" customHeight="1">
      <c r="A451" t="inlineStr">
        <is>
          <t>A 57265-2022</t>
        </is>
      </c>
      <c r="B451" s="1" t="n">
        <v>44895</v>
      </c>
      <c r="C451" s="1" t="n">
        <v>46029</v>
      </c>
      <c r="D451" t="inlineStr">
        <is>
          <t>SÖDERMANLANDS LÄN</t>
        </is>
      </c>
      <c r="E451" t="inlineStr">
        <is>
          <t>KATRINEHOLM</t>
        </is>
      </c>
      <c r="G451" t="n">
        <v>2</v>
      </c>
      <c r="H451" t="n">
        <v>0</v>
      </c>
      <c r="I451" t="n">
        <v>0</v>
      </c>
      <c r="J451" t="n">
        <v>0</v>
      </c>
      <c r="K451" t="n">
        <v>0</v>
      </c>
      <c r="L451" t="n">
        <v>0</v>
      </c>
      <c r="M451" t="n">
        <v>0</v>
      </c>
      <c r="N451" t="n">
        <v>0</v>
      </c>
      <c r="O451" t="n">
        <v>0</v>
      </c>
      <c r="P451" t="n">
        <v>0</v>
      </c>
      <c r="Q451" t="n">
        <v>0</v>
      </c>
      <c r="R451" s="2" t="inlineStr"/>
    </row>
    <row r="452" ht="15" customHeight="1">
      <c r="A452" t="inlineStr">
        <is>
          <t>A 50316-2023</t>
        </is>
      </c>
      <c r="B452" s="1" t="n">
        <v>45209</v>
      </c>
      <c r="C452" s="1" t="n">
        <v>46029</v>
      </c>
      <c r="D452" t="inlineStr">
        <is>
          <t>SÖDERMANLANDS LÄN</t>
        </is>
      </c>
      <c r="E452" t="inlineStr">
        <is>
          <t>KATRINEHOLM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46029</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60160-2022</t>
        </is>
      </c>
      <c r="B454" s="1" t="n">
        <v>44909</v>
      </c>
      <c r="C454" s="1" t="n">
        <v>46029</v>
      </c>
      <c r="D454" t="inlineStr">
        <is>
          <t>SÖDERMANLANDS LÄN</t>
        </is>
      </c>
      <c r="E454" t="inlineStr">
        <is>
          <t>KATRINEHOLM</t>
        </is>
      </c>
      <c r="F454" t="inlineStr">
        <is>
          <t>Allmännings- och besparingsskogar</t>
        </is>
      </c>
      <c r="G454" t="n">
        <v>2</v>
      </c>
      <c r="H454" t="n">
        <v>0</v>
      </c>
      <c r="I454" t="n">
        <v>0</v>
      </c>
      <c r="J454" t="n">
        <v>0</v>
      </c>
      <c r="K454" t="n">
        <v>0</v>
      </c>
      <c r="L454" t="n">
        <v>0</v>
      </c>
      <c r="M454" t="n">
        <v>0</v>
      </c>
      <c r="N454" t="n">
        <v>0</v>
      </c>
      <c r="O454" t="n">
        <v>0</v>
      </c>
      <c r="P454" t="n">
        <v>0</v>
      </c>
      <c r="Q454" t="n">
        <v>0</v>
      </c>
      <c r="R454" s="2" t="inlineStr"/>
    </row>
    <row r="455" ht="15" customHeight="1">
      <c r="A455" t="inlineStr">
        <is>
          <t>A 19442-2023</t>
        </is>
      </c>
      <c r="B455" s="1" t="n">
        <v>45050</v>
      </c>
      <c r="C455" s="1" t="n">
        <v>46029</v>
      </c>
      <c r="D455" t="inlineStr">
        <is>
          <t>SÖDERMANLANDS LÄN</t>
        </is>
      </c>
      <c r="E455" t="inlineStr">
        <is>
          <t>KATRINEHOLM</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50840-2022</t>
        </is>
      </c>
      <c r="B456" s="1" t="n">
        <v>44862</v>
      </c>
      <c r="C456" s="1" t="n">
        <v>46029</v>
      </c>
      <c r="D456" t="inlineStr">
        <is>
          <t>SÖDERMANLANDS LÄN</t>
        </is>
      </c>
      <c r="E456" t="inlineStr">
        <is>
          <t>KATRINEHOLM</t>
        </is>
      </c>
      <c r="G456" t="n">
        <v>4.2</v>
      </c>
      <c r="H456" t="n">
        <v>0</v>
      </c>
      <c r="I456" t="n">
        <v>0</v>
      </c>
      <c r="J456" t="n">
        <v>0</v>
      </c>
      <c r="K456" t="n">
        <v>0</v>
      </c>
      <c r="L456" t="n">
        <v>0</v>
      </c>
      <c r="M456" t="n">
        <v>0</v>
      </c>
      <c r="N456" t="n">
        <v>0</v>
      </c>
      <c r="O456" t="n">
        <v>0</v>
      </c>
      <c r="P456" t="n">
        <v>0</v>
      </c>
      <c r="Q456" t="n">
        <v>0</v>
      </c>
      <c r="R456" s="2" t="inlineStr"/>
    </row>
    <row r="457" ht="15" customHeight="1">
      <c r="A457" t="inlineStr">
        <is>
          <t>A 3060-2022</t>
        </is>
      </c>
      <c r="B457" s="1" t="n">
        <v>44582.40109953703</v>
      </c>
      <c r="C457" s="1" t="n">
        <v>46029</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6611-2023</t>
        </is>
      </c>
      <c r="B458" s="1" t="n">
        <v>44963</v>
      </c>
      <c r="C458" s="1" t="n">
        <v>46029</v>
      </c>
      <c r="D458" t="inlineStr">
        <is>
          <t>SÖDERMANLANDS LÄN</t>
        </is>
      </c>
      <c r="E458" t="inlineStr">
        <is>
          <t>KATRINEHOLM</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50804-2023</t>
        </is>
      </c>
      <c r="B459" s="1" t="n">
        <v>45211</v>
      </c>
      <c r="C459" s="1" t="n">
        <v>46029</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20533-2023</t>
        </is>
      </c>
      <c r="B460" s="1" t="n">
        <v>45057</v>
      </c>
      <c r="C460" s="1" t="n">
        <v>46029</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c r="T460">
        <f>HYPERLINK("https://klasma.github.io/Logging_0483/kartor/A 20533-2023 karta.png", "A 20533-2023")</f>
        <v/>
      </c>
      <c r="V460">
        <f>HYPERLINK("https://klasma.github.io/Logging_0483/klagomål/A 20533-2023 FSC-klagomål.docx", "A 20533-2023")</f>
        <v/>
      </c>
      <c r="W460">
        <f>HYPERLINK("https://klasma.github.io/Logging_0483/klagomålsmail/A 20533-2023 FSC-klagomål mail.docx", "A 20533-2023")</f>
        <v/>
      </c>
      <c r="X460">
        <f>HYPERLINK("https://klasma.github.io/Logging_0483/tillsyn/A 20533-2023 tillsynsbegäran.docx", "A 20533-2023")</f>
        <v/>
      </c>
      <c r="Y460">
        <f>HYPERLINK("https://klasma.github.io/Logging_0483/tillsynsmail/A 20533-2023 tillsynsbegäran mail.docx", "A 20533-2023")</f>
        <v/>
      </c>
      <c r="Z460">
        <f>HYPERLINK("https://klasma.github.io/Logging_0483/fåglar/A 20533-2023 prioriterade fågelarter.docx", "A 20533-2023")</f>
        <v/>
      </c>
    </row>
    <row r="461" ht="15" customHeight="1">
      <c r="A461" t="inlineStr">
        <is>
          <t>A 43499-2021</t>
        </is>
      </c>
      <c r="B461" s="1" t="n">
        <v>44433</v>
      </c>
      <c r="C461" s="1" t="n">
        <v>46029</v>
      </c>
      <c r="D461" t="inlineStr">
        <is>
          <t>SÖDERMANLANDS LÄN</t>
        </is>
      </c>
      <c r="E461" t="inlineStr">
        <is>
          <t>KATRINEHOLM</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53996-2023</t>
        </is>
      </c>
      <c r="B462" s="1" t="n">
        <v>45231</v>
      </c>
      <c r="C462" s="1" t="n">
        <v>46029</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33790-2024</t>
        </is>
      </c>
      <c r="B463" s="1" t="n">
        <v>45520.59179398148</v>
      </c>
      <c r="C463" s="1" t="n">
        <v>46029</v>
      </c>
      <c r="D463" t="inlineStr">
        <is>
          <t>SÖDERMANLANDS LÄN</t>
        </is>
      </c>
      <c r="E463" t="inlineStr">
        <is>
          <t>KATRINEHOLM</t>
        </is>
      </c>
      <c r="G463" t="n">
        <v>14</v>
      </c>
      <c r="H463" t="n">
        <v>0</v>
      </c>
      <c r="I463" t="n">
        <v>0</v>
      </c>
      <c r="J463" t="n">
        <v>0</v>
      </c>
      <c r="K463" t="n">
        <v>0</v>
      </c>
      <c r="L463" t="n">
        <v>0</v>
      </c>
      <c r="M463" t="n">
        <v>0</v>
      </c>
      <c r="N463" t="n">
        <v>0</v>
      </c>
      <c r="O463" t="n">
        <v>0</v>
      </c>
      <c r="P463" t="n">
        <v>0</v>
      </c>
      <c r="Q463" t="n">
        <v>0</v>
      </c>
      <c r="R463" s="2" t="inlineStr"/>
    </row>
    <row r="464" ht="15" customHeight="1">
      <c r="A464" t="inlineStr">
        <is>
          <t>A 49743-2025</t>
        </is>
      </c>
      <c r="B464" s="1" t="n">
        <v>45940</v>
      </c>
      <c r="C464" s="1" t="n">
        <v>46029</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47456-2022</t>
        </is>
      </c>
      <c r="B465" s="1" t="n">
        <v>44852</v>
      </c>
      <c r="C465" s="1" t="n">
        <v>46029</v>
      </c>
      <c r="D465" t="inlineStr">
        <is>
          <t>SÖDERMANLANDS LÄN</t>
        </is>
      </c>
      <c r="E465" t="inlineStr">
        <is>
          <t>KATRINEHOLM</t>
        </is>
      </c>
      <c r="G465" t="n">
        <v>3.7</v>
      </c>
      <c r="H465" t="n">
        <v>0</v>
      </c>
      <c r="I465" t="n">
        <v>0</v>
      </c>
      <c r="J465" t="n">
        <v>0</v>
      </c>
      <c r="K465" t="n">
        <v>0</v>
      </c>
      <c r="L465" t="n">
        <v>0</v>
      </c>
      <c r="M465" t="n">
        <v>0</v>
      </c>
      <c r="N465" t="n">
        <v>0</v>
      </c>
      <c r="O465" t="n">
        <v>0</v>
      </c>
      <c r="P465" t="n">
        <v>0</v>
      </c>
      <c r="Q465" t="n">
        <v>0</v>
      </c>
      <c r="R465" s="2" t="inlineStr"/>
    </row>
    <row r="466" ht="15" customHeight="1">
      <c r="A466" t="inlineStr">
        <is>
          <t>A 23347-2023</t>
        </is>
      </c>
      <c r="B466" s="1" t="n">
        <v>45076</v>
      </c>
      <c r="C466" s="1" t="n">
        <v>46029</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74354-2021</t>
        </is>
      </c>
      <c r="B467" s="1" t="n">
        <v>44559.57041666667</v>
      </c>
      <c r="C467" s="1" t="n">
        <v>46029</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52348-2021</t>
        </is>
      </c>
      <c r="B468" s="1" t="n">
        <v>44464.49756944444</v>
      </c>
      <c r="C468" s="1" t="n">
        <v>46029</v>
      </c>
      <c r="D468" t="inlineStr">
        <is>
          <t>SÖDERMANLANDS LÄN</t>
        </is>
      </c>
      <c r="E468" t="inlineStr">
        <is>
          <t>KATRINEHOLM</t>
        </is>
      </c>
      <c r="G468" t="n">
        <v>1.5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46029</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45438-2021</t>
        </is>
      </c>
      <c r="B470" s="1" t="n">
        <v>44440</v>
      </c>
      <c r="C470" s="1" t="n">
        <v>46029</v>
      </c>
      <c r="D470" t="inlineStr">
        <is>
          <t>SÖDERMANLANDS LÄN</t>
        </is>
      </c>
      <c r="E470" t="inlineStr">
        <is>
          <t>KATRINEHOLM</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50061-2022</t>
        </is>
      </c>
      <c r="B471" s="1" t="n">
        <v>44865</v>
      </c>
      <c r="C471" s="1" t="n">
        <v>46029</v>
      </c>
      <c r="D471" t="inlineStr">
        <is>
          <t>SÖDERMANLANDS LÄN</t>
        </is>
      </c>
      <c r="E471" t="inlineStr">
        <is>
          <t>KATRINEHOLM</t>
        </is>
      </c>
      <c r="G471" t="n">
        <v>4.9</v>
      </c>
      <c r="H471" t="n">
        <v>0</v>
      </c>
      <c r="I471" t="n">
        <v>0</v>
      </c>
      <c r="J471" t="n">
        <v>0</v>
      </c>
      <c r="K471" t="n">
        <v>0</v>
      </c>
      <c r="L471" t="n">
        <v>0</v>
      </c>
      <c r="M471" t="n">
        <v>0</v>
      </c>
      <c r="N471" t="n">
        <v>0</v>
      </c>
      <c r="O471" t="n">
        <v>0</v>
      </c>
      <c r="P471" t="n">
        <v>0</v>
      </c>
      <c r="Q471" t="n">
        <v>0</v>
      </c>
      <c r="R471" s="2" t="inlineStr"/>
    </row>
    <row r="472" ht="15" customHeight="1">
      <c r="A472" t="inlineStr">
        <is>
          <t>A 10446-2024</t>
        </is>
      </c>
      <c r="B472" s="1" t="n">
        <v>45366</v>
      </c>
      <c r="C472" s="1" t="n">
        <v>46029</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53860-2021</t>
        </is>
      </c>
      <c r="B473" s="1" t="n">
        <v>44467</v>
      </c>
      <c r="C473" s="1" t="n">
        <v>46029</v>
      </c>
      <c r="D473" t="inlineStr">
        <is>
          <t>SÖDERMANLANDS LÄN</t>
        </is>
      </c>
      <c r="E473" t="inlineStr">
        <is>
          <t>KATRINEHOLM</t>
        </is>
      </c>
      <c r="G473" t="n">
        <v>1.3</v>
      </c>
      <c r="H473" t="n">
        <v>0</v>
      </c>
      <c r="I473" t="n">
        <v>0</v>
      </c>
      <c r="J473" t="n">
        <v>0</v>
      </c>
      <c r="K473" t="n">
        <v>0</v>
      </c>
      <c r="L473" t="n">
        <v>0</v>
      </c>
      <c r="M473" t="n">
        <v>0</v>
      </c>
      <c r="N473" t="n">
        <v>0</v>
      </c>
      <c r="O473" t="n">
        <v>0</v>
      </c>
      <c r="P473" t="n">
        <v>0</v>
      </c>
      <c r="Q473" t="n">
        <v>0</v>
      </c>
      <c r="R473" s="2" t="inlineStr"/>
    </row>
    <row r="474" ht="15" customHeight="1">
      <c r="A474" t="inlineStr">
        <is>
          <t>A 23842-2023</t>
        </is>
      </c>
      <c r="B474" s="1" t="n">
        <v>45075</v>
      </c>
      <c r="C474" s="1" t="n">
        <v>46029</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50934-2025</t>
        </is>
      </c>
      <c r="B475" s="1" t="n">
        <v>45946.69195601852</v>
      </c>
      <c r="C475" s="1" t="n">
        <v>46029</v>
      </c>
      <c r="D475" t="inlineStr">
        <is>
          <t>SÖDERMANLANDS LÄN</t>
        </is>
      </c>
      <c r="E475" t="inlineStr">
        <is>
          <t>KATRINEHOLM</t>
        </is>
      </c>
      <c r="G475" t="n">
        <v>2</v>
      </c>
      <c r="H475" t="n">
        <v>0</v>
      </c>
      <c r="I475" t="n">
        <v>0</v>
      </c>
      <c r="J475" t="n">
        <v>0</v>
      </c>
      <c r="K475" t="n">
        <v>0</v>
      </c>
      <c r="L475" t="n">
        <v>0</v>
      </c>
      <c r="M475" t="n">
        <v>0</v>
      </c>
      <c r="N475" t="n">
        <v>0</v>
      </c>
      <c r="O475" t="n">
        <v>0</v>
      </c>
      <c r="P475" t="n">
        <v>0</v>
      </c>
      <c r="Q475" t="n">
        <v>0</v>
      </c>
      <c r="R475" s="2" t="inlineStr"/>
    </row>
    <row r="476" ht="15" customHeight="1">
      <c r="A476" t="inlineStr">
        <is>
          <t>A 34263-2023</t>
        </is>
      </c>
      <c r="B476" s="1" t="n">
        <v>45138.60248842592</v>
      </c>
      <c r="C476" s="1" t="n">
        <v>46029</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46899-2022</t>
        </is>
      </c>
      <c r="B477" s="1" t="n">
        <v>44848</v>
      </c>
      <c r="C477" s="1" t="n">
        <v>46029</v>
      </c>
      <c r="D477" t="inlineStr">
        <is>
          <t>SÖDERMANLANDS LÄN</t>
        </is>
      </c>
      <c r="E477" t="inlineStr">
        <is>
          <t>KATRINEHOLM</t>
        </is>
      </c>
      <c r="G477" t="n">
        <v>2</v>
      </c>
      <c r="H477" t="n">
        <v>0</v>
      </c>
      <c r="I477" t="n">
        <v>0</v>
      </c>
      <c r="J477" t="n">
        <v>0</v>
      </c>
      <c r="K477" t="n">
        <v>0</v>
      </c>
      <c r="L477" t="n">
        <v>0</v>
      </c>
      <c r="M477" t="n">
        <v>0</v>
      </c>
      <c r="N477" t="n">
        <v>0</v>
      </c>
      <c r="O477" t="n">
        <v>0</v>
      </c>
      <c r="P477" t="n">
        <v>0</v>
      </c>
      <c r="Q477" t="n">
        <v>0</v>
      </c>
      <c r="R477" s="2" t="inlineStr"/>
    </row>
    <row r="478" ht="15" customHeight="1">
      <c r="A478" t="inlineStr">
        <is>
          <t>A 55296-2022</t>
        </is>
      </c>
      <c r="B478" s="1" t="n">
        <v>44887</v>
      </c>
      <c r="C478" s="1" t="n">
        <v>46029</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57524-2021</t>
        </is>
      </c>
      <c r="B479" s="1" t="n">
        <v>44483</v>
      </c>
      <c r="C479" s="1" t="n">
        <v>46029</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931-2023</t>
        </is>
      </c>
      <c r="B480" s="1" t="n">
        <v>44932.74261574074</v>
      </c>
      <c r="C480" s="1" t="n">
        <v>46029</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55171-2023</t>
        </is>
      </c>
      <c r="B481" s="1" t="n">
        <v>45231</v>
      </c>
      <c r="C481" s="1" t="n">
        <v>46029</v>
      </c>
      <c r="D481" t="inlineStr">
        <is>
          <t>SÖDERMANLANDS LÄN</t>
        </is>
      </c>
      <c r="E481" t="inlineStr">
        <is>
          <t>KATRINEHOLM</t>
        </is>
      </c>
      <c r="G481" t="n">
        <v>4.2</v>
      </c>
      <c r="H481" t="n">
        <v>0</v>
      </c>
      <c r="I481" t="n">
        <v>0</v>
      </c>
      <c r="J481" t="n">
        <v>0</v>
      </c>
      <c r="K481" t="n">
        <v>0</v>
      </c>
      <c r="L481" t="n">
        <v>0</v>
      </c>
      <c r="M481" t="n">
        <v>0</v>
      </c>
      <c r="N481" t="n">
        <v>0</v>
      </c>
      <c r="O481" t="n">
        <v>0</v>
      </c>
      <c r="P481" t="n">
        <v>0</v>
      </c>
      <c r="Q481" t="n">
        <v>0</v>
      </c>
      <c r="R481" s="2" t="inlineStr"/>
    </row>
    <row r="482" ht="15" customHeight="1">
      <c r="A482" t="inlineStr">
        <is>
          <t>A 53393-2023</t>
        </is>
      </c>
      <c r="B482" s="1" t="n">
        <v>45229</v>
      </c>
      <c r="C482" s="1" t="n">
        <v>46029</v>
      </c>
      <c r="D482" t="inlineStr">
        <is>
          <t>SÖDERMANLANDS LÄN</t>
        </is>
      </c>
      <c r="E482" t="inlineStr">
        <is>
          <t>KATRINEHOLM</t>
        </is>
      </c>
      <c r="F482" t="inlineStr">
        <is>
          <t>Kyrkan</t>
        </is>
      </c>
      <c r="G482" t="n">
        <v>5.6</v>
      </c>
      <c r="H482" t="n">
        <v>0</v>
      </c>
      <c r="I482" t="n">
        <v>0</v>
      </c>
      <c r="J482" t="n">
        <v>0</v>
      </c>
      <c r="K482" t="n">
        <v>0</v>
      </c>
      <c r="L482" t="n">
        <v>0</v>
      </c>
      <c r="M482" t="n">
        <v>0</v>
      </c>
      <c r="N482" t="n">
        <v>0</v>
      </c>
      <c r="O482" t="n">
        <v>0</v>
      </c>
      <c r="P482" t="n">
        <v>0</v>
      </c>
      <c r="Q482" t="n">
        <v>0</v>
      </c>
      <c r="R482" s="2" t="inlineStr"/>
    </row>
    <row r="483" ht="15" customHeight="1">
      <c r="A483" t="inlineStr">
        <is>
          <t>A 51367-2025</t>
        </is>
      </c>
      <c r="B483" s="1" t="n">
        <v>45950.44700231482</v>
      </c>
      <c r="C483" s="1" t="n">
        <v>46029</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23031-2024</t>
        </is>
      </c>
      <c r="B484" s="1" t="n">
        <v>45450.38120370371</v>
      </c>
      <c r="C484" s="1" t="n">
        <v>46029</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22506-2023</t>
        </is>
      </c>
      <c r="B485" s="1" t="n">
        <v>45071.37393518518</v>
      </c>
      <c r="C485" s="1" t="n">
        <v>46029</v>
      </c>
      <c r="D485" t="inlineStr">
        <is>
          <t>SÖDERMANLANDS LÄN</t>
        </is>
      </c>
      <c r="E485" t="inlineStr">
        <is>
          <t>KATRINEHOLM</t>
        </is>
      </c>
      <c r="F485" t="inlineStr">
        <is>
          <t>Kyrkan</t>
        </is>
      </c>
      <c r="G485" t="n">
        <v>5.9</v>
      </c>
      <c r="H485" t="n">
        <v>0</v>
      </c>
      <c r="I485" t="n">
        <v>0</v>
      </c>
      <c r="J485" t="n">
        <v>0</v>
      </c>
      <c r="K485" t="n">
        <v>0</v>
      </c>
      <c r="L485" t="n">
        <v>0</v>
      </c>
      <c r="M485" t="n">
        <v>0</v>
      </c>
      <c r="N485" t="n">
        <v>0</v>
      </c>
      <c r="O485" t="n">
        <v>0</v>
      </c>
      <c r="P485" t="n">
        <v>0</v>
      </c>
      <c r="Q485" t="n">
        <v>0</v>
      </c>
      <c r="R485" s="2" t="inlineStr"/>
    </row>
    <row r="486" ht="15" customHeight="1">
      <c r="A486" t="inlineStr">
        <is>
          <t>A 12888-2025</t>
        </is>
      </c>
      <c r="B486" s="1" t="n">
        <v>45733</v>
      </c>
      <c r="C486" s="1" t="n">
        <v>46029</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22345-2023</t>
        </is>
      </c>
      <c r="B487" s="1" t="n">
        <v>45070</v>
      </c>
      <c r="C487" s="1" t="n">
        <v>46029</v>
      </c>
      <c r="D487" t="inlineStr">
        <is>
          <t>SÖDERMANLANDS LÄN</t>
        </is>
      </c>
      <c r="E487" t="inlineStr">
        <is>
          <t>KATRINEHOLM</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48877-2022</t>
        </is>
      </c>
      <c r="B488" s="1" t="n">
        <v>44859</v>
      </c>
      <c r="C488" s="1" t="n">
        <v>46029</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19868-2022</t>
        </is>
      </c>
      <c r="B489" s="1" t="n">
        <v>44696</v>
      </c>
      <c r="C489" s="1" t="n">
        <v>46029</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63188-2021</t>
        </is>
      </c>
      <c r="B490" s="1" t="n">
        <v>44507.56865740741</v>
      </c>
      <c r="C490" s="1" t="n">
        <v>46029</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29843-2023</t>
        </is>
      </c>
      <c r="B491" s="1" t="n">
        <v>45107</v>
      </c>
      <c r="C491" s="1" t="n">
        <v>46029</v>
      </c>
      <c r="D491" t="inlineStr">
        <is>
          <t>SÖDERMANLANDS LÄN</t>
        </is>
      </c>
      <c r="E491" t="inlineStr">
        <is>
          <t>KATRINEHOLM</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59967-2025</t>
        </is>
      </c>
      <c r="B492" s="1" t="n">
        <v>45993.48525462963</v>
      </c>
      <c r="C492" s="1" t="n">
        <v>46029</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5834-2025</t>
        </is>
      </c>
      <c r="B493" s="1" t="n">
        <v>45694</v>
      </c>
      <c r="C493" s="1" t="n">
        <v>46029</v>
      </c>
      <c r="D493" t="inlineStr">
        <is>
          <t>SÖDERMANLANDS LÄN</t>
        </is>
      </c>
      <c r="E493" t="inlineStr">
        <is>
          <t>KATRINEHOLM</t>
        </is>
      </c>
      <c r="G493" t="n">
        <v>3.3</v>
      </c>
      <c r="H493" t="n">
        <v>0</v>
      </c>
      <c r="I493" t="n">
        <v>0</v>
      </c>
      <c r="J493" t="n">
        <v>0</v>
      </c>
      <c r="K493" t="n">
        <v>0</v>
      </c>
      <c r="L493" t="n">
        <v>0</v>
      </c>
      <c r="M493" t="n">
        <v>0</v>
      </c>
      <c r="N493" t="n">
        <v>0</v>
      </c>
      <c r="O493" t="n">
        <v>0</v>
      </c>
      <c r="P493" t="n">
        <v>0</v>
      </c>
      <c r="Q493" t="n">
        <v>0</v>
      </c>
      <c r="R493" s="2" t="inlineStr"/>
    </row>
    <row r="494" ht="15" customHeight="1">
      <c r="A494" t="inlineStr">
        <is>
          <t>A 51780-2025</t>
        </is>
      </c>
      <c r="B494" s="1" t="n">
        <v>45951.65725694445</v>
      </c>
      <c r="C494" s="1" t="n">
        <v>46029</v>
      </c>
      <c r="D494" t="inlineStr">
        <is>
          <t>SÖDERMANLANDS LÄN</t>
        </is>
      </c>
      <c r="E494" t="inlineStr">
        <is>
          <t>KATRINEHOLM</t>
        </is>
      </c>
      <c r="F494" t="inlineStr">
        <is>
          <t>Allmännings- och besparingsskogar</t>
        </is>
      </c>
      <c r="G494" t="n">
        <v>1.3</v>
      </c>
      <c r="H494" t="n">
        <v>0</v>
      </c>
      <c r="I494" t="n">
        <v>0</v>
      </c>
      <c r="J494" t="n">
        <v>0</v>
      </c>
      <c r="K494" t="n">
        <v>0</v>
      </c>
      <c r="L494" t="n">
        <v>0</v>
      </c>
      <c r="M494" t="n">
        <v>0</v>
      </c>
      <c r="N494" t="n">
        <v>0</v>
      </c>
      <c r="O494" t="n">
        <v>0</v>
      </c>
      <c r="P494" t="n">
        <v>0</v>
      </c>
      <c r="Q494" t="n">
        <v>0</v>
      </c>
      <c r="R494" s="2" t="inlineStr"/>
    </row>
    <row r="495" ht="15" customHeight="1">
      <c r="A495" t="inlineStr">
        <is>
          <t>A 34981-2023</t>
        </is>
      </c>
      <c r="B495" s="1" t="n">
        <v>45142</v>
      </c>
      <c r="C495" s="1" t="n">
        <v>46029</v>
      </c>
      <c r="D495" t="inlineStr">
        <is>
          <t>SÖDERMANLANDS LÄN</t>
        </is>
      </c>
      <c r="E495" t="inlineStr">
        <is>
          <t>KATRINEHOLM</t>
        </is>
      </c>
      <c r="G495" t="n">
        <v>10</v>
      </c>
      <c r="H495" t="n">
        <v>0</v>
      </c>
      <c r="I495" t="n">
        <v>0</v>
      </c>
      <c r="J495" t="n">
        <v>0</v>
      </c>
      <c r="K495" t="n">
        <v>0</v>
      </c>
      <c r="L495" t="n">
        <v>0</v>
      </c>
      <c r="M495" t="n">
        <v>0</v>
      </c>
      <c r="N495" t="n">
        <v>0</v>
      </c>
      <c r="O495" t="n">
        <v>0</v>
      </c>
      <c r="P495" t="n">
        <v>0</v>
      </c>
      <c r="Q495" t="n">
        <v>0</v>
      </c>
      <c r="R495" s="2" t="inlineStr"/>
    </row>
    <row r="496" ht="15" customHeight="1">
      <c r="A496" t="inlineStr">
        <is>
          <t>A 73412-2021</t>
        </is>
      </c>
      <c r="B496" s="1" t="n">
        <v>44551</v>
      </c>
      <c r="C496" s="1" t="n">
        <v>46029</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53750-2022</t>
        </is>
      </c>
      <c r="B497" s="1" t="n">
        <v>44875</v>
      </c>
      <c r="C497" s="1" t="n">
        <v>46029</v>
      </c>
      <c r="D497" t="inlineStr">
        <is>
          <t>SÖDERMANLANDS LÄN</t>
        </is>
      </c>
      <c r="E497" t="inlineStr">
        <is>
          <t>KATRINEHOLM</t>
        </is>
      </c>
      <c r="F497" t="inlineStr">
        <is>
          <t>Övriga Aktiebolag</t>
        </is>
      </c>
      <c r="G497" t="n">
        <v>12.6</v>
      </c>
      <c r="H497" t="n">
        <v>0</v>
      </c>
      <c r="I497" t="n">
        <v>0</v>
      </c>
      <c r="J497" t="n">
        <v>0</v>
      </c>
      <c r="K497" t="n">
        <v>0</v>
      </c>
      <c r="L497" t="n">
        <v>0</v>
      </c>
      <c r="M497" t="n">
        <v>0</v>
      </c>
      <c r="N497" t="n">
        <v>0</v>
      </c>
      <c r="O497" t="n">
        <v>0</v>
      </c>
      <c r="P497" t="n">
        <v>0</v>
      </c>
      <c r="Q497" t="n">
        <v>0</v>
      </c>
      <c r="R497" s="2" t="inlineStr"/>
    </row>
    <row r="498" ht="15" customHeight="1">
      <c r="A498" t="inlineStr">
        <is>
          <t>A 14245-2024</t>
        </is>
      </c>
      <c r="B498" s="1" t="n">
        <v>45393</v>
      </c>
      <c r="C498" s="1" t="n">
        <v>46029</v>
      </c>
      <c r="D498" t="inlineStr">
        <is>
          <t>SÖDERMANLANDS LÄN</t>
        </is>
      </c>
      <c r="E498" t="inlineStr">
        <is>
          <t>KATRINEHOLM</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11104-2023</t>
        </is>
      </c>
      <c r="B499" s="1" t="n">
        <v>44992</v>
      </c>
      <c r="C499" s="1" t="n">
        <v>46029</v>
      </c>
      <c r="D499" t="inlineStr">
        <is>
          <t>SÖDERMANLANDS LÄN</t>
        </is>
      </c>
      <c r="E499" t="inlineStr">
        <is>
          <t>KATRINEHOLM</t>
        </is>
      </c>
      <c r="F499" t="inlineStr">
        <is>
          <t>Allmännings- och besparingsskogar</t>
        </is>
      </c>
      <c r="G499" t="n">
        <v>7.8</v>
      </c>
      <c r="H499" t="n">
        <v>0</v>
      </c>
      <c r="I499" t="n">
        <v>0</v>
      </c>
      <c r="J499" t="n">
        <v>0</v>
      </c>
      <c r="K499" t="n">
        <v>0</v>
      </c>
      <c r="L499" t="n">
        <v>0</v>
      </c>
      <c r="M499" t="n">
        <v>0</v>
      </c>
      <c r="N499" t="n">
        <v>0</v>
      </c>
      <c r="O499" t="n">
        <v>0</v>
      </c>
      <c r="P499" t="n">
        <v>0</v>
      </c>
      <c r="Q499" t="n">
        <v>0</v>
      </c>
      <c r="R499" s="2" t="inlineStr"/>
    </row>
    <row r="500" ht="15" customHeight="1">
      <c r="A500" t="inlineStr">
        <is>
          <t>A 4387-2024</t>
        </is>
      </c>
      <c r="B500" s="1" t="n">
        <v>45327.35068287037</v>
      </c>
      <c r="C500" s="1" t="n">
        <v>46029</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4872-2024</t>
        </is>
      </c>
      <c r="B501" s="1" t="n">
        <v>45329</v>
      </c>
      <c r="C501" s="1" t="n">
        <v>46029</v>
      </c>
      <c r="D501" t="inlineStr">
        <is>
          <t>SÖDERMANLANDS LÄN</t>
        </is>
      </c>
      <c r="E501" t="inlineStr">
        <is>
          <t>KATRINEHOLM</t>
        </is>
      </c>
      <c r="G501" t="n">
        <v>0.5</v>
      </c>
      <c r="H501" t="n">
        <v>0</v>
      </c>
      <c r="I501" t="n">
        <v>0</v>
      </c>
      <c r="J501" t="n">
        <v>0</v>
      </c>
      <c r="K501" t="n">
        <v>0</v>
      </c>
      <c r="L501" t="n">
        <v>0</v>
      </c>
      <c r="M501" t="n">
        <v>0</v>
      </c>
      <c r="N501" t="n">
        <v>0</v>
      </c>
      <c r="O501" t="n">
        <v>0</v>
      </c>
      <c r="P501" t="n">
        <v>0</v>
      </c>
      <c r="Q501" t="n">
        <v>0</v>
      </c>
      <c r="R501" s="2" t="inlineStr"/>
    </row>
    <row r="502" ht="15" customHeight="1">
      <c r="A502" t="inlineStr">
        <is>
          <t>A 51774-2025</t>
        </is>
      </c>
      <c r="B502" s="1" t="n">
        <v>45951.65359953704</v>
      </c>
      <c r="C502" s="1" t="n">
        <v>46029</v>
      </c>
      <c r="D502" t="inlineStr">
        <is>
          <t>SÖDERMANLANDS LÄN</t>
        </is>
      </c>
      <c r="E502" t="inlineStr">
        <is>
          <t>KATRINEHOLM</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51783-2025</t>
        </is>
      </c>
      <c r="B503" s="1" t="n">
        <v>45951.67546296296</v>
      </c>
      <c r="C503" s="1" t="n">
        <v>46029</v>
      </c>
      <c r="D503" t="inlineStr">
        <is>
          <t>SÖDERMANLANDS LÄN</t>
        </is>
      </c>
      <c r="E503" t="inlineStr">
        <is>
          <t>KATRINEHOLM</t>
        </is>
      </c>
      <c r="F503" t="inlineStr">
        <is>
          <t>Allmännings- och besparingsskogar</t>
        </is>
      </c>
      <c r="G503" t="n">
        <v>5.8</v>
      </c>
      <c r="H503" t="n">
        <v>0</v>
      </c>
      <c r="I503" t="n">
        <v>0</v>
      </c>
      <c r="J503" t="n">
        <v>0</v>
      </c>
      <c r="K503" t="n">
        <v>0</v>
      </c>
      <c r="L503" t="n">
        <v>0</v>
      </c>
      <c r="M503" t="n">
        <v>0</v>
      </c>
      <c r="N503" t="n">
        <v>0</v>
      </c>
      <c r="O503" t="n">
        <v>0</v>
      </c>
      <c r="P503" t="n">
        <v>0</v>
      </c>
      <c r="Q503" t="n">
        <v>0</v>
      </c>
      <c r="R503" s="2" t="inlineStr"/>
    </row>
    <row r="504" ht="15" customHeight="1">
      <c r="A504" t="inlineStr">
        <is>
          <t>A 29702-2021</t>
        </is>
      </c>
      <c r="B504" s="1" t="n">
        <v>44362</v>
      </c>
      <c r="C504" s="1" t="n">
        <v>46029</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3986-2024</t>
        </is>
      </c>
      <c r="B505" s="1" t="n">
        <v>45322</v>
      </c>
      <c r="C505" s="1" t="n">
        <v>46029</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10996-2022</t>
        </is>
      </c>
      <c r="B506" s="1" t="n">
        <v>44628</v>
      </c>
      <c r="C506" s="1" t="n">
        <v>46029</v>
      </c>
      <c r="D506" t="inlineStr">
        <is>
          <t>SÖDERMANLANDS LÄN</t>
        </is>
      </c>
      <c r="E506" t="inlineStr">
        <is>
          <t>KATRINEHOLM</t>
        </is>
      </c>
      <c r="G506" t="n">
        <v>0.3</v>
      </c>
      <c r="H506" t="n">
        <v>0</v>
      </c>
      <c r="I506" t="n">
        <v>0</v>
      </c>
      <c r="J506" t="n">
        <v>0</v>
      </c>
      <c r="K506" t="n">
        <v>0</v>
      </c>
      <c r="L506" t="n">
        <v>0</v>
      </c>
      <c r="M506" t="n">
        <v>0</v>
      </c>
      <c r="N506" t="n">
        <v>0</v>
      </c>
      <c r="O506" t="n">
        <v>0</v>
      </c>
      <c r="P506" t="n">
        <v>0</v>
      </c>
      <c r="Q506" t="n">
        <v>0</v>
      </c>
      <c r="R506" s="2" t="inlineStr"/>
    </row>
    <row r="507" ht="15" customHeight="1">
      <c r="A507" t="inlineStr">
        <is>
          <t>A 42451-2023</t>
        </is>
      </c>
      <c r="B507" s="1" t="n">
        <v>45180</v>
      </c>
      <c r="C507" s="1" t="n">
        <v>46029</v>
      </c>
      <c r="D507" t="inlineStr">
        <is>
          <t>SÖDERMANLANDS LÄN</t>
        </is>
      </c>
      <c r="E507" t="inlineStr">
        <is>
          <t>KATRINEHOLM</t>
        </is>
      </c>
      <c r="G507" t="n">
        <v>3.8</v>
      </c>
      <c r="H507" t="n">
        <v>0</v>
      </c>
      <c r="I507" t="n">
        <v>0</v>
      </c>
      <c r="J507" t="n">
        <v>0</v>
      </c>
      <c r="K507" t="n">
        <v>0</v>
      </c>
      <c r="L507" t="n">
        <v>0</v>
      </c>
      <c r="M507" t="n">
        <v>0</v>
      </c>
      <c r="N507" t="n">
        <v>0</v>
      </c>
      <c r="O507" t="n">
        <v>0</v>
      </c>
      <c r="P507" t="n">
        <v>0</v>
      </c>
      <c r="Q507" t="n">
        <v>0</v>
      </c>
      <c r="R507" s="2" t="inlineStr"/>
    </row>
    <row r="508" ht="15" customHeight="1">
      <c r="A508" t="inlineStr">
        <is>
          <t>A 13113-2023</t>
        </is>
      </c>
      <c r="B508" s="1" t="n">
        <v>45002</v>
      </c>
      <c r="C508" s="1" t="n">
        <v>46029</v>
      </c>
      <c r="D508" t="inlineStr">
        <is>
          <t>SÖDERMANLANDS LÄN</t>
        </is>
      </c>
      <c r="E508" t="inlineStr">
        <is>
          <t>KATRINEHOLM</t>
        </is>
      </c>
      <c r="F508" t="inlineStr">
        <is>
          <t>Allmännings- och besparingsskogar</t>
        </is>
      </c>
      <c r="G508" t="n">
        <v>3.6</v>
      </c>
      <c r="H508" t="n">
        <v>0</v>
      </c>
      <c r="I508" t="n">
        <v>0</v>
      </c>
      <c r="J508" t="n">
        <v>0</v>
      </c>
      <c r="K508" t="n">
        <v>0</v>
      </c>
      <c r="L508" t="n">
        <v>0</v>
      </c>
      <c r="M508" t="n">
        <v>0</v>
      </c>
      <c r="N508" t="n">
        <v>0</v>
      </c>
      <c r="O508" t="n">
        <v>0</v>
      </c>
      <c r="P508" t="n">
        <v>0</v>
      </c>
      <c r="Q508" t="n">
        <v>0</v>
      </c>
      <c r="R508" s="2" t="inlineStr"/>
    </row>
    <row r="509" ht="15" customHeight="1">
      <c r="A509" t="inlineStr">
        <is>
          <t>A 6606-2022</t>
        </is>
      </c>
      <c r="B509" s="1" t="n">
        <v>44601</v>
      </c>
      <c r="C509" s="1" t="n">
        <v>46029</v>
      </c>
      <c r="D509" t="inlineStr">
        <is>
          <t>SÖDERMANLANDS LÄN</t>
        </is>
      </c>
      <c r="E509" t="inlineStr">
        <is>
          <t>KATRINEHOLM</t>
        </is>
      </c>
      <c r="G509" t="n">
        <v>1.6</v>
      </c>
      <c r="H509" t="n">
        <v>0</v>
      </c>
      <c r="I509" t="n">
        <v>0</v>
      </c>
      <c r="J509" t="n">
        <v>0</v>
      </c>
      <c r="K509" t="n">
        <v>0</v>
      </c>
      <c r="L509" t="n">
        <v>0</v>
      </c>
      <c r="M509" t="n">
        <v>0</v>
      </c>
      <c r="N509" t="n">
        <v>0</v>
      </c>
      <c r="O509" t="n">
        <v>0</v>
      </c>
      <c r="P509" t="n">
        <v>0</v>
      </c>
      <c r="Q509" t="n">
        <v>0</v>
      </c>
      <c r="R509" s="2" t="inlineStr"/>
    </row>
    <row r="510" ht="15" customHeight="1">
      <c r="A510" t="inlineStr">
        <is>
          <t>A 52242-2025</t>
        </is>
      </c>
      <c r="B510" s="1" t="n">
        <v>45953.46886574074</v>
      </c>
      <c r="C510" s="1" t="n">
        <v>46029</v>
      </c>
      <c r="D510" t="inlineStr">
        <is>
          <t>SÖDERMANLANDS LÄN</t>
        </is>
      </c>
      <c r="E510" t="inlineStr">
        <is>
          <t>KATRINEHOLM</t>
        </is>
      </c>
      <c r="G510" t="n">
        <v>5.3</v>
      </c>
      <c r="H510" t="n">
        <v>0</v>
      </c>
      <c r="I510" t="n">
        <v>0</v>
      </c>
      <c r="J510" t="n">
        <v>0</v>
      </c>
      <c r="K510" t="n">
        <v>0</v>
      </c>
      <c r="L510" t="n">
        <v>0</v>
      </c>
      <c r="M510" t="n">
        <v>0</v>
      </c>
      <c r="N510" t="n">
        <v>0</v>
      </c>
      <c r="O510" t="n">
        <v>0</v>
      </c>
      <c r="P510" t="n">
        <v>0</v>
      </c>
      <c r="Q510" t="n">
        <v>0</v>
      </c>
      <c r="R510" s="2" t="inlineStr"/>
    </row>
    <row r="511" ht="15" customHeight="1">
      <c r="A511" t="inlineStr">
        <is>
          <t>A 27646-2023</t>
        </is>
      </c>
      <c r="B511" s="1" t="n">
        <v>45097</v>
      </c>
      <c r="C511" s="1" t="n">
        <v>46029</v>
      </c>
      <c r="D511" t="inlineStr">
        <is>
          <t>SÖDERMANLANDS LÄN</t>
        </is>
      </c>
      <c r="E511" t="inlineStr">
        <is>
          <t>KATRINEHOLM</t>
        </is>
      </c>
      <c r="G511" t="n">
        <v>2.4</v>
      </c>
      <c r="H511" t="n">
        <v>0</v>
      </c>
      <c r="I511" t="n">
        <v>0</v>
      </c>
      <c r="J511" t="n">
        <v>0</v>
      </c>
      <c r="K511" t="n">
        <v>0</v>
      </c>
      <c r="L511" t="n">
        <v>0</v>
      </c>
      <c r="M511" t="n">
        <v>0</v>
      </c>
      <c r="N511" t="n">
        <v>0</v>
      </c>
      <c r="O511" t="n">
        <v>0</v>
      </c>
      <c r="P511" t="n">
        <v>0</v>
      </c>
      <c r="Q511" t="n">
        <v>0</v>
      </c>
      <c r="R511" s="2" t="inlineStr"/>
    </row>
    <row r="512" ht="15" customHeight="1">
      <c r="A512" t="inlineStr">
        <is>
          <t>A 60678-2025</t>
        </is>
      </c>
      <c r="B512" s="1" t="n">
        <v>45996.56251157408</v>
      </c>
      <c r="C512" s="1" t="n">
        <v>46029</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15235-2023</t>
        </is>
      </c>
      <c r="B513" s="1" t="n">
        <v>45019</v>
      </c>
      <c r="C513" s="1" t="n">
        <v>46029</v>
      </c>
      <c r="D513" t="inlineStr">
        <is>
          <t>SÖDERMANLANDS LÄN</t>
        </is>
      </c>
      <c r="E513" t="inlineStr">
        <is>
          <t>KATRINEHOLM</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52239-2025</t>
        </is>
      </c>
      <c r="B514" s="1" t="n">
        <v>45953.46193287037</v>
      </c>
      <c r="C514" s="1" t="n">
        <v>46029</v>
      </c>
      <c r="D514" t="inlineStr">
        <is>
          <t>SÖDERMANLANDS LÄN</t>
        </is>
      </c>
      <c r="E514" t="inlineStr">
        <is>
          <t>KATRINEHOLM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52244-2025</t>
        </is>
      </c>
      <c r="B515" s="1" t="n">
        <v>45953</v>
      </c>
      <c r="C515" s="1" t="n">
        <v>46029</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25433-2024</t>
        </is>
      </c>
      <c r="B516" s="1" t="n">
        <v>45463</v>
      </c>
      <c r="C516" s="1" t="n">
        <v>46029</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22304-2024</t>
        </is>
      </c>
      <c r="B517" s="1" t="n">
        <v>45446.56626157407</v>
      </c>
      <c r="C517" s="1" t="n">
        <v>46029</v>
      </c>
      <c r="D517" t="inlineStr">
        <is>
          <t>SÖDERMANLANDS LÄN</t>
        </is>
      </c>
      <c r="E517" t="inlineStr">
        <is>
          <t>KATRINEHOLM</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14224-2024</t>
        </is>
      </c>
      <c r="B518" s="1" t="n">
        <v>45393</v>
      </c>
      <c r="C518" s="1" t="n">
        <v>46029</v>
      </c>
      <c r="D518" t="inlineStr">
        <is>
          <t>SÖDERMANLANDS LÄN</t>
        </is>
      </c>
      <c r="E518" t="inlineStr">
        <is>
          <t>KATRINEHOLM</t>
        </is>
      </c>
      <c r="F518" t="inlineStr">
        <is>
          <t>Sveaskog</t>
        </is>
      </c>
      <c r="G518" t="n">
        <v>7.6</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46029</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36366-2023</t>
        </is>
      </c>
      <c r="B520" s="1" t="n">
        <v>45152</v>
      </c>
      <c r="C520" s="1" t="n">
        <v>46029</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36021-2023</t>
        </is>
      </c>
      <c r="B521" s="1" t="n">
        <v>45148</v>
      </c>
      <c r="C521" s="1" t="n">
        <v>46029</v>
      </c>
      <c r="D521" t="inlineStr">
        <is>
          <t>SÖDERMANLANDS LÄN</t>
        </is>
      </c>
      <c r="E521" t="inlineStr">
        <is>
          <t>KATRINEHOLM</t>
        </is>
      </c>
      <c r="G521" t="n">
        <v>1.8</v>
      </c>
      <c r="H521" t="n">
        <v>0</v>
      </c>
      <c r="I521" t="n">
        <v>0</v>
      </c>
      <c r="J521" t="n">
        <v>0</v>
      </c>
      <c r="K521" t="n">
        <v>0</v>
      </c>
      <c r="L521" t="n">
        <v>0</v>
      </c>
      <c r="M521" t="n">
        <v>0</v>
      </c>
      <c r="N521" t="n">
        <v>0</v>
      </c>
      <c r="O521" t="n">
        <v>0</v>
      </c>
      <c r="P521" t="n">
        <v>0</v>
      </c>
      <c r="Q521" t="n">
        <v>0</v>
      </c>
      <c r="R521" s="2" t="inlineStr"/>
    </row>
    <row r="522" ht="15" customHeight="1">
      <c r="A522" t="inlineStr">
        <is>
          <t>A 61121-2025</t>
        </is>
      </c>
      <c r="B522" s="1" t="n">
        <v>46000.46746527778</v>
      </c>
      <c r="C522" s="1" t="n">
        <v>46029</v>
      </c>
      <c r="D522" t="inlineStr">
        <is>
          <t>SÖDERMANLANDS LÄN</t>
        </is>
      </c>
      <c r="E522" t="inlineStr">
        <is>
          <t>KATRINEHOLM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28597-2024</t>
        </is>
      </c>
      <c r="B523" s="1" t="n">
        <v>45478</v>
      </c>
      <c r="C523" s="1" t="n">
        <v>46029</v>
      </c>
      <c r="D523" t="inlineStr">
        <is>
          <t>SÖDERMANLANDS LÄN</t>
        </is>
      </c>
      <c r="E523" t="inlineStr">
        <is>
          <t>KATRINEHOLM</t>
        </is>
      </c>
      <c r="G523" t="n">
        <v>1.8</v>
      </c>
      <c r="H523" t="n">
        <v>0</v>
      </c>
      <c r="I523" t="n">
        <v>0</v>
      </c>
      <c r="J523" t="n">
        <v>0</v>
      </c>
      <c r="K523" t="n">
        <v>0</v>
      </c>
      <c r="L523" t="n">
        <v>0</v>
      </c>
      <c r="M523" t="n">
        <v>0</v>
      </c>
      <c r="N523" t="n">
        <v>0</v>
      </c>
      <c r="O523" t="n">
        <v>0</v>
      </c>
      <c r="P523" t="n">
        <v>0</v>
      </c>
      <c r="Q523" t="n">
        <v>0</v>
      </c>
      <c r="R523" s="2" t="inlineStr"/>
    </row>
    <row r="524" ht="15" customHeight="1">
      <c r="A524" t="inlineStr">
        <is>
          <t>A 61066-2025</t>
        </is>
      </c>
      <c r="B524" s="1" t="n">
        <v>46000.37695601852</v>
      </c>
      <c r="C524" s="1" t="n">
        <v>46029</v>
      </c>
      <c r="D524" t="inlineStr">
        <is>
          <t>SÖDERMANLANDS LÄN</t>
        </is>
      </c>
      <c r="E524" t="inlineStr">
        <is>
          <t>KATRINEHOLM</t>
        </is>
      </c>
      <c r="F524" t="inlineStr">
        <is>
          <t>Kyrkan</t>
        </is>
      </c>
      <c r="G524" t="n">
        <v>5</v>
      </c>
      <c r="H524" t="n">
        <v>0</v>
      </c>
      <c r="I524" t="n">
        <v>0</v>
      </c>
      <c r="J524" t="n">
        <v>0</v>
      </c>
      <c r="K524" t="n">
        <v>0</v>
      </c>
      <c r="L524" t="n">
        <v>0</v>
      </c>
      <c r="M524" t="n">
        <v>0</v>
      </c>
      <c r="N524" t="n">
        <v>0</v>
      </c>
      <c r="O524" t="n">
        <v>0</v>
      </c>
      <c r="P524" t="n">
        <v>0</v>
      </c>
      <c r="Q524" t="n">
        <v>0</v>
      </c>
      <c r="R524" s="2" t="inlineStr"/>
    </row>
    <row r="525" ht="15" customHeight="1">
      <c r="A525" t="inlineStr">
        <is>
          <t>A 52744-2025</t>
        </is>
      </c>
      <c r="B525" s="1" t="n">
        <v>45957.38387731482</v>
      </c>
      <c r="C525" s="1" t="n">
        <v>46029</v>
      </c>
      <c r="D525" t="inlineStr">
        <is>
          <t>SÖDERMANLANDS LÄN</t>
        </is>
      </c>
      <c r="E525" t="inlineStr">
        <is>
          <t>KATRINEHOLM</t>
        </is>
      </c>
      <c r="G525" t="n">
        <v>4</v>
      </c>
      <c r="H525" t="n">
        <v>0</v>
      </c>
      <c r="I525" t="n">
        <v>0</v>
      </c>
      <c r="J525" t="n">
        <v>0</v>
      </c>
      <c r="K525" t="n">
        <v>0</v>
      </c>
      <c r="L525" t="n">
        <v>0</v>
      </c>
      <c r="M525" t="n">
        <v>0</v>
      </c>
      <c r="N525" t="n">
        <v>0</v>
      </c>
      <c r="O525" t="n">
        <v>0</v>
      </c>
      <c r="P525" t="n">
        <v>0</v>
      </c>
      <c r="Q525" t="n">
        <v>0</v>
      </c>
      <c r="R525" s="2" t="inlineStr"/>
    </row>
    <row r="526" ht="15" customHeight="1">
      <c r="A526" t="inlineStr">
        <is>
          <t>A 29198-2023</t>
        </is>
      </c>
      <c r="B526" s="1" t="n">
        <v>45105</v>
      </c>
      <c r="C526" s="1" t="n">
        <v>46029</v>
      </c>
      <c r="D526" t="inlineStr">
        <is>
          <t>SÖDERMANLANDS LÄN</t>
        </is>
      </c>
      <c r="E526" t="inlineStr">
        <is>
          <t>KATRINEHOLM</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9992-2022</t>
        </is>
      </c>
      <c r="B527" s="1" t="n">
        <v>44621</v>
      </c>
      <c r="C527" s="1" t="n">
        <v>46029</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41267-2023</t>
        </is>
      </c>
      <c r="B528" s="1" t="n">
        <v>45174</v>
      </c>
      <c r="C528" s="1" t="n">
        <v>46029</v>
      </c>
      <c r="D528" t="inlineStr">
        <is>
          <t>SÖDERMANLANDS LÄN</t>
        </is>
      </c>
      <c r="E528" t="inlineStr">
        <is>
          <t>KATRINEHOLM</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4650-2024</t>
        </is>
      </c>
      <c r="B529" s="1" t="n">
        <v>45328</v>
      </c>
      <c r="C529" s="1" t="n">
        <v>46029</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4652-2024</t>
        </is>
      </c>
      <c r="B530" s="1" t="n">
        <v>45328</v>
      </c>
      <c r="C530" s="1" t="n">
        <v>46029</v>
      </c>
      <c r="D530" t="inlineStr">
        <is>
          <t>SÖDERMANLANDS LÄN</t>
        </is>
      </c>
      <c r="E530" t="inlineStr">
        <is>
          <t>KATRINEHOLM</t>
        </is>
      </c>
      <c r="F530" t="inlineStr">
        <is>
          <t>Övriga Aktiebolag</t>
        </is>
      </c>
      <c r="G530" t="n">
        <v>6.1</v>
      </c>
      <c r="H530" t="n">
        <v>0</v>
      </c>
      <c r="I530" t="n">
        <v>0</v>
      </c>
      <c r="J530" t="n">
        <v>0</v>
      </c>
      <c r="K530" t="n">
        <v>0</v>
      </c>
      <c r="L530" t="n">
        <v>0</v>
      </c>
      <c r="M530" t="n">
        <v>0</v>
      </c>
      <c r="N530" t="n">
        <v>0</v>
      </c>
      <c r="O530" t="n">
        <v>0</v>
      </c>
      <c r="P530" t="n">
        <v>0</v>
      </c>
      <c r="Q530" t="n">
        <v>0</v>
      </c>
      <c r="R530" s="2" t="inlineStr"/>
    </row>
    <row r="531" ht="15" customHeight="1">
      <c r="A531" t="inlineStr">
        <is>
          <t>A 29008-2024</t>
        </is>
      </c>
      <c r="B531" s="1" t="n">
        <v>45481</v>
      </c>
      <c r="C531" s="1" t="n">
        <v>46029</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9936-2023</t>
        </is>
      </c>
      <c r="B532" s="1" t="n">
        <v>44985.47086805556</v>
      </c>
      <c r="C532" s="1" t="n">
        <v>46029</v>
      </c>
      <c r="D532" t="inlineStr">
        <is>
          <t>SÖDERMANLANDS LÄN</t>
        </is>
      </c>
      <c r="E532" t="inlineStr">
        <is>
          <t>KATRINEHOLM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61721-2025</t>
        </is>
      </c>
      <c r="B533" s="1" t="n">
        <v>46002.57778935185</v>
      </c>
      <c r="C533" s="1" t="n">
        <v>46029</v>
      </c>
      <c r="D533" t="inlineStr">
        <is>
          <t>SÖDERMANLANDS LÄN</t>
        </is>
      </c>
      <c r="E533" t="inlineStr">
        <is>
          <t>KATRINEHOLM</t>
        </is>
      </c>
      <c r="G533" t="n">
        <v>4.5</v>
      </c>
      <c r="H533" t="n">
        <v>0</v>
      </c>
      <c r="I533" t="n">
        <v>0</v>
      </c>
      <c r="J533" t="n">
        <v>0</v>
      </c>
      <c r="K533" t="n">
        <v>0</v>
      </c>
      <c r="L533" t="n">
        <v>0</v>
      </c>
      <c r="M533" t="n">
        <v>0</v>
      </c>
      <c r="N533" t="n">
        <v>0</v>
      </c>
      <c r="O533" t="n">
        <v>0</v>
      </c>
      <c r="P533" t="n">
        <v>0</v>
      </c>
      <c r="Q533" t="n">
        <v>0</v>
      </c>
      <c r="R533" s="2" t="inlineStr"/>
    </row>
    <row r="534" ht="15" customHeight="1">
      <c r="A534" t="inlineStr">
        <is>
          <t>A 53338-2025</t>
        </is>
      </c>
      <c r="B534" s="1" t="n">
        <v>45959.40447916667</v>
      </c>
      <c r="C534" s="1" t="n">
        <v>46029</v>
      </c>
      <c r="D534" t="inlineStr">
        <is>
          <t>SÖDERMANLANDS LÄN</t>
        </is>
      </c>
      <c r="E534" t="inlineStr">
        <is>
          <t>KATRINEHOLM</t>
        </is>
      </c>
      <c r="G534" t="n">
        <v>2.9</v>
      </c>
      <c r="H534" t="n">
        <v>0</v>
      </c>
      <c r="I534" t="n">
        <v>0</v>
      </c>
      <c r="J534" t="n">
        <v>0</v>
      </c>
      <c r="K534" t="n">
        <v>0</v>
      </c>
      <c r="L534" t="n">
        <v>0</v>
      </c>
      <c r="M534" t="n">
        <v>0</v>
      </c>
      <c r="N534" t="n">
        <v>0</v>
      </c>
      <c r="O534" t="n">
        <v>0</v>
      </c>
      <c r="P534" t="n">
        <v>0</v>
      </c>
      <c r="Q534" t="n">
        <v>0</v>
      </c>
      <c r="R534" s="2" t="inlineStr"/>
    </row>
    <row r="535" ht="15" customHeight="1">
      <c r="A535" t="inlineStr">
        <is>
          <t>A 4645-2024</t>
        </is>
      </c>
      <c r="B535" s="1" t="n">
        <v>45328</v>
      </c>
      <c r="C535" s="1" t="n">
        <v>46029</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33469-2025</t>
        </is>
      </c>
      <c r="B536" s="1" t="n">
        <v>45841.48686342593</v>
      </c>
      <c r="C536" s="1" t="n">
        <v>46029</v>
      </c>
      <c r="D536" t="inlineStr">
        <is>
          <t>SÖDERMANLANDS LÄN</t>
        </is>
      </c>
      <c r="E536" t="inlineStr">
        <is>
          <t>KATRINEHOLM</t>
        </is>
      </c>
      <c r="G536" t="n">
        <v>2.1</v>
      </c>
      <c r="H536" t="n">
        <v>0</v>
      </c>
      <c r="I536" t="n">
        <v>0</v>
      </c>
      <c r="J536" t="n">
        <v>0</v>
      </c>
      <c r="K536" t="n">
        <v>0</v>
      </c>
      <c r="L536" t="n">
        <v>0</v>
      </c>
      <c r="M536" t="n">
        <v>0</v>
      </c>
      <c r="N536" t="n">
        <v>0</v>
      </c>
      <c r="O536" t="n">
        <v>0</v>
      </c>
      <c r="P536" t="n">
        <v>0</v>
      </c>
      <c r="Q536" t="n">
        <v>0</v>
      </c>
      <c r="R536" s="2" t="inlineStr"/>
    </row>
    <row r="537" ht="15" customHeight="1">
      <c r="A537" t="inlineStr">
        <is>
          <t>A 33129-2025</t>
        </is>
      </c>
      <c r="B537" s="1" t="n">
        <v>45840.50141203704</v>
      </c>
      <c r="C537" s="1" t="n">
        <v>46029</v>
      </c>
      <c r="D537" t="inlineStr">
        <is>
          <t>SÖDERMANLANDS LÄN</t>
        </is>
      </c>
      <c r="E537" t="inlineStr">
        <is>
          <t>KATRINEHOLM</t>
        </is>
      </c>
      <c r="G537" t="n">
        <v>2.6</v>
      </c>
      <c r="H537" t="n">
        <v>0</v>
      </c>
      <c r="I537" t="n">
        <v>0</v>
      </c>
      <c r="J537" t="n">
        <v>0</v>
      </c>
      <c r="K537" t="n">
        <v>0</v>
      </c>
      <c r="L537" t="n">
        <v>0</v>
      </c>
      <c r="M537" t="n">
        <v>0</v>
      </c>
      <c r="N537" t="n">
        <v>0</v>
      </c>
      <c r="O537" t="n">
        <v>0</v>
      </c>
      <c r="P537" t="n">
        <v>0</v>
      </c>
      <c r="Q537" t="n">
        <v>0</v>
      </c>
      <c r="R537" s="2" t="inlineStr"/>
    </row>
    <row r="538" ht="15" customHeight="1">
      <c r="A538" t="inlineStr">
        <is>
          <t>A 41548-2025</t>
        </is>
      </c>
      <c r="B538" s="1" t="n">
        <v>45901</v>
      </c>
      <c r="C538" s="1" t="n">
        <v>46029</v>
      </c>
      <c r="D538" t="inlineStr">
        <is>
          <t>SÖDERMANLANDS LÄN</t>
        </is>
      </c>
      <c r="E538" t="inlineStr">
        <is>
          <t>KATRINEHOLM</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33096-2025</t>
        </is>
      </c>
      <c r="B539" s="1" t="n">
        <v>45840.47563657408</v>
      </c>
      <c r="C539" s="1" t="n">
        <v>46029</v>
      </c>
      <c r="D539" t="inlineStr">
        <is>
          <t>SÖDERMANLANDS LÄN</t>
        </is>
      </c>
      <c r="E539" t="inlineStr">
        <is>
          <t>KATRINEHOLM</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36001-2024</t>
        </is>
      </c>
      <c r="B540" s="1" t="n">
        <v>45533.54609953704</v>
      </c>
      <c r="C540" s="1" t="n">
        <v>46029</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33077-2025</t>
        </is>
      </c>
      <c r="B541" s="1" t="n">
        <v>45840.45864583334</v>
      </c>
      <c r="C541" s="1" t="n">
        <v>46029</v>
      </c>
      <c r="D541" t="inlineStr">
        <is>
          <t>SÖDERMANLANDS LÄN</t>
        </is>
      </c>
      <c r="E541" t="inlineStr">
        <is>
          <t>KATRINEHOLM</t>
        </is>
      </c>
      <c r="G541" t="n">
        <v>7</v>
      </c>
      <c r="H541" t="n">
        <v>0</v>
      </c>
      <c r="I541" t="n">
        <v>0</v>
      </c>
      <c r="J541" t="n">
        <v>0</v>
      </c>
      <c r="K541" t="n">
        <v>0</v>
      </c>
      <c r="L541" t="n">
        <v>0</v>
      </c>
      <c r="M541" t="n">
        <v>0</v>
      </c>
      <c r="N541" t="n">
        <v>0</v>
      </c>
      <c r="O541" t="n">
        <v>0</v>
      </c>
      <c r="P541" t="n">
        <v>0</v>
      </c>
      <c r="Q541" t="n">
        <v>0</v>
      </c>
      <c r="R541" s="2" t="inlineStr"/>
    </row>
    <row r="542" ht="15" customHeight="1">
      <c r="A542" t="inlineStr">
        <is>
          <t>A 33101-2025</t>
        </is>
      </c>
      <c r="B542" s="1" t="n">
        <v>45840.47953703703</v>
      </c>
      <c r="C542" s="1" t="n">
        <v>46029</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54359-2025</t>
        </is>
      </c>
      <c r="B543" s="1" t="n">
        <v>45964</v>
      </c>
      <c r="C543" s="1" t="n">
        <v>46029</v>
      </c>
      <c r="D543" t="inlineStr">
        <is>
          <t>SÖDERMANLANDS LÄN</t>
        </is>
      </c>
      <c r="E543" t="inlineStr">
        <is>
          <t>KATRINEHOLM</t>
        </is>
      </c>
      <c r="G543" t="n">
        <v>2.5</v>
      </c>
      <c r="H543" t="n">
        <v>0</v>
      </c>
      <c r="I543" t="n">
        <v>0</v>
      </c>
      <c r="J543" t="n">
        <v>0</v>
      </c>
      <c r="K543" t="n">
        <v>0</v>
      </c>
      <c r="L543" t="n">
        <v>0</v>
      </c>
      <c r="M543" t="n">
        <v>0</v>
      </c>
      <c r="N543" t="n">
        <v>0</v>
      </c>
      <c r="O543" t="n">
        <v>0</v>
      </c>
      <c r="P543" t="n">
        <v>0</v>
      </c>
      <c r="Q543" t="n">
        <v>0</v>
      </c>
      <c r="R543" s="2" t="inlineStr"/>
    </row>
    <row r="544" ht="15" customHeight="1">
      <c r="A544" t="inlineStr">
        <is>
          <t>A 54395-2025</t>
        </is>
      </c>
      <c r="B544" s="1" t="n">
        <v>45964</v>
      </c>
      <c r="C544" s="1" t="n">
        <v>46029</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36832-2023</t>
        </is>
      </c>
      <c r="B545" s="1" t="n">
        <v>45153</v>
      </c>
      <c r="C545" s="1" t="n">
        <v>46029</v>
      </c>
      <c r="D545" t="inlineStr">
        <is>
          <t>SÖDERMANLANDS LÄN</t>
        </is>
      </c>
      <c r="E545" t="inlineStr">
        <is>
          <t>KATRINEHOLM</t>
        </is>
      </c>
      <c r="F545" t="inlineStr">
        <is>
          <t>Övriga Aktiebolag</t>
        </is>
      </c>
      <c r="G545" t="n">
        <v>9</v>
      </c>
      <c r="H545" t="n">
        <v>0</v>
      </c>
      <c r="I545" t="n">
        <v>0</v>
      </c>
      <c r="J545" t="n">
        <v>0</v>
      </c>
      <c r="K545" t="n">
        <v>0</v>
      </c>
      <c r="L545" t="n">
        <v>0</v>
      </c>
      <c r="M545" t="n">
        <v>0</v>
      </c>
      <c r="N545" t="n">
        <v>0</v>
      </c>
      <c r="O545" t="n">
        <v>0</v>
      </c>
      <c r="P545" t="n">
        <v>0</v>
      </c>
      <c r="Q545" t="n">
        <v>0</v>
      </c>
      <c r="R545" s="2" t="inlineStr"/>
    </row>
    <row r="546" ht="15" customHeight="1">
      <c r="A546" t="inlineStr">
        <is>
          <t>A 28931-2024</t>
        </is>
      </c>
      <c r="B546" s="1" t="n">
        <v>45479</v>
      </c>
      <c r="C546" s="1" t="n">
        <v>46029</v>
      </c>
      <c r="D546" t="inlineStr">
        <is>
          <t>SÖDERMANLANDS LÄN</t>
        </is>
      </c>
      <c r="E546" t="inlineStr">
        <is>
          <t>KATRINEHOLM</t>
        </is>
      </c>
      <c r="G546" t="n">
        <v>7.4</v>
      </c>
      <c r="H546" t="n">
        <v>0</v>
      </c>
      <c r="I546" t="n">
        <v>0</v>
      </c>
      <c r="J546" t="n">
        <v>0</v>
      </c>
      <c r="K546" t="n">
        <v>0</v>
      </c>
      <c r="L546" t="n">
        <v>0</v>
      </c>
      <c r="M546" t="n">
        <v>0</v>
      </c>
      <c r="N546" t="n">
        <v>0</v>
      </c>
      <c r="O546" t="n">
        <v>0</v>
      </c>
      <c r="P546" t="n">
        <v>0</v>
      </c>
      <c r="Q546" t="n">
        <v>0</v>
      </c>
      <c r="R546" s="2" t="inlineStr"/>
    </row>
    <row r="547" ht="15" customHeight="1">
      <c r="A547" t="inlineStr">
        <is>
          <t>A 6810-2023</t>
        </is>
      </c>
      <c r="B547" s="1" t="n">
        <v>44964</v>
      </c>
      <c r="C547" s="1" t="n">
        <v>46029</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32944-2023</t>
        </is>
      </c>
      <c r="B548" s="1" t="n">
        <v>45125</v>
      </c>
      <c r="C548" s="1" t="n">
        <v>46029</v>
      </c>
      <c r="D548" t="inlineStr">
        <is>
          <t>SÖDERMANLANDS LÄN</t>
        </is>
      </c>
      <c r="E548" t="inlineStr">
        <is>
          <t>KATRINEHOLM</t>
        </is>
      </c>
      <c r="G548" t="n">
        <v>1.7</v>
      </c>
      <c r="H548" t="n">
        <v>0</v>
      </c>
      <c r="I548" t="n">
        <v>0</v>
      </c>
      <c r="J548" t="n">
        <v>0</v>
      </c>
      <c r="K548" t="n">
        <v>0</v>
      </c>
      <c r="L548" t="n">
        <v>0</v>
      </c>
      <c r="M548" t="n">
        <v>0</v>
      </c>
      <c r="N548" t="n">
        <v>0</v>
      </c>
      <c r="O548" t="n">
        <v>0</v>
      </c>
      <c r="P548" t="n">
        <v>0</v>
      </c>
      <c r="Q548" t="n">
        <v>0</v>
      </c>
      <c r="R548" s="2" t="inlineStr"/>
    </row>
    <row r="549" ht="15" customHeight="1">
      <c r="A549" t="inlineStr">
        <is>
          <t>A 29977-2023</t>
        </is>
      </c>
      <c r="B549" s="1" t="n">
        <v>45108</v>
      </c>
      <c r="C549" s="1" t="n">
        <v>46029</v>
      </c>
      <c r="D549" t="inlineStr">
        <is>
          <t>SÖDERMANLANDS LÄN</t>
        </is>
      </c>
      <c r="E549" t="inlineStr">
        <is>
          <t>KATRINEHOLM</t>
        </is>
      </c>
      <c r="G549" t="n">
        <v>2.4</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44596.54990740741</v>
      </c>
      <c r="C550" s="1" t="n">
        <v>46029</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20803-2024</t>
        </is>
      </c>
      <c r="B551" s="1" t="n">
        <v>45438</v>
      </c>
      <c r="C551" s="1" t="n">
        <v>46029</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5795-2022</t>
        </is>
      </c>
      <c r="B552" s="1" t="n">
        <v>44596</v>
      </c>
      <c r="C552" s="1" t="n">
        <v>46029</v>
      </c>
      <c r="D552" t="inlineStr">
        <is>
          <t>SÖDERMANLANDS LÄN</t>
        </is>
      </c>
      <c r="E552" t="inlineStr">
        <is>
          <t>KATRINEHOLM</t>
        </is>
      </c>
      <c r="G552" t="n">
        <v>8.1</v>
      </c>
      <c r="H552" t="n">
        <v>0</v>
      </c>
      <c r="I552" t="n">
        <v>0</v>
      </c>
      <c r="J552" t="n">
        <v>0</v>
      </c>
      <c r="K552" t="n">
        <v>0</v>
      </c>
      <c r="L552" t="n">
        <v>0</v>
      </c>
      <c r="M552" t="n">
        <v>0</v>
      </c>
      <c r="N552" t="n">
        <v>0</v>
      </c>
      <c r="O552" t="n">
        <v>0</v>
      </c>
      <c r="P552" t="n">
        <v>0</v>
      </c>
      <c r="Q552" t="n">
        <v>0</v>
      </c>
      <c r="R552" s="2" t="inlineStr"/>
    </row>
    <row r="553" ht="15" customHeight="1">
      <c r="A553" t="inlineStr">
        <is>
          <t>A 3075-2022</t>
        </is>
      </c>
      <c r="B553" s="1" t="n">
        <v>44582</v>
      </c>
      <c r="C553" s="1" t="n">
        <v>46029</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73409-2021</t>
        </is>
      </c>
      <c r="B554" s="1" t="n">
        <v>44551</v>
      </c>
      <c r="C554" s="1" t="n">
        <v>46029</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73415-2021</t>
        </is>
      </c>
      <c r="B555" s="1" t="n">
        <v>44551</v>
      </c>
      <c r="C555" s="1" t="n">
        <v>46029</v>
      </c>
      <c r="D555" t="inlineStr">
        <is>
          <t>SÖDERMANLANDS LÄN</t>
        </is>
      </c>
      <c r="E555" t="inlineStr">
        <is>
          <t>KATRINEHOLM</t>
        </is>
      </c>
      <c r="G555" t="n">
        <v>3.2</v>
      </c>
      <c r="H555" t="n">
        <v>0</v>
      </c>
      <c r="I555" t="n">
        <v>0</v>
      </c>
      <c r="J555" t="n">
        <v>0</v>
      </c>
      <c r="K555" t="n">
        <v>0</v>
      </c>
      <c r="L555" t="n">
        <v>0</v>
      </c>
      <c r="M555" t="n">
        <v>0</v>
      </c>
      <c r="N555" t="n">
        <v>0</v>
      </c>
      <c r="O555" t="n">
        <v>0</v>
      </c>
      <c r="P555" t="n">
        <v>0</v>
      </c>
      <c r="Q555" t="n">
        <v>0</v>
      </c>
      <c r="R555" s="2" t="inlineStr"/>
    </row>
    <row r="556" ht="15" customHeight="1">
      <c r="A556" t="inlineStr">
        <is>
          <t>A 55029-2025</t>
        </is>
      </c>
      <c r="B556" s="1" t="n">
        <v>45967.63784722222</v>
      </c>
      <c r="C556" s="1" t="n">
        <v>46029</v>
      </c>
      <c r="D556" t="inlineStr">
        <is>
          <t>SÖDERMANLANDS LÄN</t>
        </is>
      </c>
      <c r="E556" t="inlineStr">
        <is>
          <t>KATRINEHOLM</t>
        </is>
      </c>
      <c r="G556" t="n">
        <v>10.1</v>
      </c>
      <c r="H556" t="n">
        <v>0</v>
      </c>
      <c r="I556" t="n">
        <v>0</v>
      </c>
      <c r="J556" t="n">
        <v>0</v>
      </c>
      <c r="K556" t="n">
        <v>0</v>
      </c>
      <c r="L556" t="n">
        <v>0</v>
      </c>
      <c r="M556" t="n">
        <v>0</v>
      </c>
      <c r="N556" t="n">
        <v>0</v>
      </c>
      <c r="O556" t="n">
        <v>0</v>
      </c>
      <c r="P556" t="n">
        <v>0</v>
      </c>
      <c r="Q556" t="n">
        <v>0</v>
      </c>
      <c r="R556" s="2" t="inlineStr"/>
    </row>
    <row r="557" ht="15" customHeight="1">
      <c r="A557" t="inlineStr">
        <is>
          <t>A 8087-2022</t>
        </is>
      </c>
      <c r="B557" s="1" t="n">
        <v>44609.53502314815</v>
      </c>
      <c r="C557" s="1" t="n">
        <v>46029</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50935-2023</t>
        </is>
      </c>
      <c r="B558" s="1" t="n">
        <v>45211</v>
      </c>
      <c r="C558" s="1" t="n">
        <v>46029</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54999-2025</t>
        </is>
      </c>
      <c r="B559" s="1" t="n">
        <v>45967.59880787037</v>
      </c>
      <c r="C559" s="1" t="n">
        <v>46029</v>
      </c>
      <c r="D559" t="inlineStr">
        <is>
          <t>SÖDERMANLANDS LÄN</t>
        </is>
      </c>
      <c r="E559" t="inlineStr">
        <is>
          <t>KATRINEHOLM</t>
        </is>
      </c>
      <c r="G559" t="n">
        <v>8.5</v>
      </c>
      <c r="H559" t="n">
        <v>0</v>
      </c>
      <c r="I559" t="n">
        <v>0</v>
      </c>
      <c r="J559" t="n">
        <v>0</v>
      </c>
      <c r="K559" t="n">
        <v>0</v>
      </c>
      <c r="L559" t="n">
        <v>0</v>
      </c>
      <c r="M559" t="n">
        <v>0</v>
      </c>
      <c r="N559" t="n">
        <v>0</v>
      </c>
      <c r="O559" t="n">
        <v>0</v>
      </c>
      <c r="P559" t="n">
        <v>0</v>
      </c>
      <c r="Q559" t="n">
        <v>0</v>
      </c>
      <c r="R559" s="2" t="inlineStr"/>
    </row>
    <row r="560" ht="15" customHeight="1">
      <c r="A560" t="inlineStr">
        <is>
          <t>A 6298-2024</t>
        </is>
      </c>
      <c r="B560" s="1" t="n">
        <v>45338.34245370371</v>
      </c>
      <c r="C560" s="1" t="n">
        <v>46029</v>
      </c>
      <c r="D560" t="inlineStr">
        <is>
          <t>SÖDERMANLANDS LÄN</t>
        </is>
      </c>
      <c r="E560" t="inlineStr">
        <is>
          <t>KATRINEHOLM</t>
        </is>
      </c>
      <c r="G560" t="n">
        <v>1.4</v>
      </c>
      <c r="H560" t="n">
        <v>0</v>
      </c>
      <c r="I560" t="n">
        <v>0</v>
      </c>
      <c r="J560" t="n">
        <v>0</v>
      </c>
      <c r="K560" t="n">
        <v>0</v>
      </c>
      <c r="L560" t="n">
        <v>0</v>
      </c>
      <c r="M560" t="n">
        <v>0</v>
      </c>
      <c r="N560" t="n">
        <v>0</v>
      </c>
      <c r="O560" t="n">
        <v>0</v>
      </c>
      <c r="P560" t="n">
        <v>0</v>
      </c>
      <c r="Q560" t="n">
        <v>0</v>
      </c>
      <c r="R560" s="2" t="inlineStr"/>
    </row>
    <row r="561" ht="15" customHeight="1">
      <c r="A561" t="inlineStr">
        <is>
          <t>A 33001-2024</t>
        </is>
      </c>
      <c r="B561" s="1" t="n">
        <v>45517</v>
      </c>
      <c r="C561" s="1" t="n">
        <v>46029</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58175-2024</t>
        </is>
      </c>
      <c r="B562" s="1" t="n">
        <v>45632.46648148148</v>
      </c>
      <c r="C562" s="1" t="n">
        <v>46029</v>
      </c>
      <c r="D562" t="inlineStr">
        <is>
          <t>SÖDERMANLANDS LÄN</t>
        </is>
      </c>
      <c r="E562" t="inlineStr">
        <is>
          <t>KATRINEHOLM</t>
        </is>
      </c>
      <c r="G562" t="n">
        <v>1.3</v>
      </c>
      <c r="H562" t="n">
        <v>0</v>
      </c>
      <c r="I562" t="n">
        <v>0</v>
      </c>
      <c r="J562" t="n">
        <v>0</v>
      </c>
      <c r="K562" t="n">
        <v>0</v>
      </c>
      <c r="L562" t="n">
        <v>0</v>
      </c>
      <c r="M562" t="n">
        <v>0</v>
      </c>
      <c r="N562" t="n">
        <v>0</v>
      </c>
      <c r="O562" t="n">
        <v>0</v>
      </c>
      <c r="P562" t="n">
        <v>0</v>
      </c>
      <c r="Q562" t="n">
        <v>0</v>
      </c>
      <c r="R562" s="2" t="inlineStr"/>
    </row>
    <row r="563" ht="15" customHeight="1">
      <c r="A563" t="inlineStr">
        <is>
          <t>A 53715-2023</t>
        </is>
      </c>
      <c r="B563" s="1" t="n">
        <v>45230</v>
      </c>
      <c r="C563" s="1" t="n">
        <v>46029</v>
      </c>
      <c r="D563" t="inlineStr">
        <is>
          <t>SÖDERMANLANDS LÄN</t>
        </is>
      </c>
      <c r="E563" t="inlineStr">
        <is>
          <t>KATRINEHOLM</t>
        </is>
      </c>
      <c r="F563" t="inlineStr">
        <is>
          <t>Allmännings- och besparingsskogar</t>
        </is>
      </c>
      <c r="G563" t="n">
        <v>5.6</v>
      </c>
      <c r="H563" t="n">
        <v>0</v>
      </c>
      <c r="I563" t="n">
        <v>0</v>
      </c>
      <c r="J563" t="n">
        <v>0</v>
      </c>
      <c r="K563" t="n">
        <v>0</v>
      </c>
      <c r="L563" t="n">
        <v>0</v>
      </c>
      <c r="M563" t="n">
        <v>0</v>
      </c>
      <c r="N563" t="n">
        <v>0</v>
      </c>
      <c r="O563" t="n">
        <v>0</v>
      </c>
      <c r="P563" t="n">
        <v>0</v>
      </c>
      <c r="Q563" t="n">
        <v>0</v>
      </c>
      <c r="R563" s="2" t="inlineStr"/>
    </row>
    <row r="564" ht="15" customHeight="1">
      <c r="A564" t="inlineStr">
        <is>
          <t>A 23705-2023</t>
        </is>
      </c>
      <c r="B564" s="1" t="n">
        <v>45077</v>
      </c>
      <c r="C564" s="1" t="n">
        <v>46029</v>
      </c>
      <c r="D564" t="inlineStr">
        <is>
          <t>SÖDERMANLANDS LÄN</t>
        </is>
      </c>
      <c r="E564" t="inlineStr">
        <is>
          <t>KATRINEHOLM</t>
        </is>
      </c>
      <c r="F564" t="inlineStr">
        <is>
          <t>Kyrkan</t>
        </is>
      </c>
      <c r="G564" t="n">
        <v>11.9</v>
      </c>
      <c r="H564" t="n">
        <v>0</v>
      </c>
      <c r="I564" t="n">
        <v>0</v>
      </c>
      <c r="J564" t="n">
        <v>0</v>
      </c>
      <c r="K564" t="n">
        <v>0</v>
      </c>
      <c r="L564" t="n">
        <v>0</v>
      </c>
      <c r="M564" t="n">
        <v>0</v>
      </c>
      <c r="N564" t="n">
        <v>0</v>
      </c>
      <c r="O564" t="n">
        <v>0</v>
      </c>
      <c r="P564" t="n">
        <v>0</v>
      </c>
      <c r="Q564" t="n">
        <v>0</v>
      </c>
      <c r="R564" s="2" t="inlineStr"/>
    </row>
    <row r="565" ht="15" customHeight="1">
      <c r="A565" t="inlineStr">
        <is>
          <t>A 39120-2023</t>
        </is>
      </c>
      <c r="B565" s="1" t="n">
        <v>45165</v>
      </c>
      <c r="C565" s="1" t="n">
        <v>46029</v>
      </c>
      <c r="D565" t="inlineStr">
        <is>
          <t>SÖDERMANLANDS LÄN</t>
        </is>
      </c>
      <c r="E565" t="inlineStr">
        <is>
          <t>KATRINEHOLM</t>
        </is>
      </c>
      <c r="G565" t="n">
        <v>4.4</v>
      </c>
      <c r="H565" t="n">
        <v>0</v>
      </c>
      <c r="I565" t="n">
        <v>0</v>
      </c>
      <c r="J565" t="n">
        <v>0</v>
      </c>
      <c r="K565" t="n">
        <v>0</v>
      </c>
      <c r="L565" t="n">
        <v>0</v>
      </c>
      <c r="M565" t="n">
        <v>0</v>
      </c>
      <c r="N565" t="n">
        <v>0</v>
      </c>
      <c r="O565" t="n">
        <v>0</v>
      </c>
      <c r="P565" t="n">
        <v>0</v>
      </c>
      <c r="Q565" t="n">
        <v>0</v>
      </c>
      <c r="R565" s="2" t="inlineStr"/>
    </row>
    <row r="566" ht="15" customHeight="1">
      <c r="A566" t="inlineStr">
        <is>
          <t>A 55829-2025</t>
        </is>
      </c>
      <c r="B566" s="1" t="n">
        <v>45972.79274305556</v>
      </c>
      <c r="C566" s="1" t="n">
        <v>46029</v>
      </c>
      <c r="D566" t="inlineStr">
        <is>
          <t>SÖDERMANLANDS LÄN</t>
        </is>
      </c>
      <c r="E566" t="inlineStr">
        <is>
          <t>KATRINEHOLM</t>
        </is>
      </c>
      <c r="G566" t="n">
        <v>3.2</v>
      </c>
      <c r="H566" t="n">
        <v>0</v>
      </c>
      <c r="I566" t="n">
        <v>0</v>
      </c>
      <c r="J566" t="n">
        <v>0</v>
      </c>
      <c r="K566" t="n">
        <v>0</v>
      </c>
      <c r="L566" t="n">
        <v>0</v>
      </c>
      <c r="M566" t="n">
        <v>0</v>
      </c>
      <c r="N566" t="n">
        <v>0</v>
      </c>
      <c r="O566" t="n">
        <v>0</v>
      </c>
      <c r="P566" t="n">
        <v>0</v>
      </c>
      <c r="Q566" t="n">
        <v>0</v>
      </c>
      <c r="R566" s="2" t="inlineStr"/>
    </row>
    <row r="567" ht="15" customHeight="1">
      <c r="A567" t="inlineStr">
        <is>
          <t>A 55832-2025</t>
        </is>
      </c>
      <c r="B567" s="1" t="n">
        <v>45972.81768518518</v>
      </c>
      <c r="C567" s="1" t="n">
        <v>46029</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51397-2023</t>
        </is>
      </c>
      <c r="B568" s="1" t="n">
        <v>45214</v>
      </c>
      <c r="C568" s="1" t="n">
        <v>46029</v>
      </c>
      <c r="D568" t="inlineStr">
        <is>
          <t>SÖDERMANLANDS LÄN</t>
        </is>
      </c>
      <c r="E568" t="inlineStr">
        <is>
          <t>KATRINEHOLM</t>
        </is>
      </c>
      <c r="G568" t="n">
        <v>4.9</v>
      </c>
      <c r="H568" t="n">
        <v>0</v>
      </c>
      <c r="I568" t="n">
        <v>0</v>
      </c>
      <c r="J568" t="n">
        <v>0</v>
      </c>
      <c r="K568" t="n">
        <v>0</v>
      </c>
      <c r="L568" t="n">
        <v>0</v>
      </c>
      <c r="M568" t="n">
        <v>0</v>
      </c>
      <c r="N568" t="n">
        <v>0</v>
      </c>
      <c r="O568" t="n">
        <v>0</v>
      </c>
      <c r="P568" t="n">
        <v>0</v>
      </c>
      <c r="Q568" t="n">
        <v>0</v>
      </c>
      <c r="R568" s="2" t="inlineStr"/>
    </row>
    <row r="569" ht="15" customHeight="1">
      <c r="A569" t="inlineStr">
        <is>
          <t>A 19452-2023</t>
        </is>
      </c>
      <c r="B569" s="1" t="n">
        <v>45050</v>
      </c>
      <c r="C569" s="1" t="n">
        <v>46029</v>
      </c>
      <c r="D569" t="inlineStr">
        <is>
          <t>SÖDERMANLANDS LÄN</t>
        </is>
      </c>
      <c r="E569" t="inlineStr">
        <is>
          <t>KATRINEHOLM</t>
        </is>
      </c>
      <c r="F569" t="inlineStr">
        <is>
          <t>Holmen skog AB</t>
        </is>
      </c>
      <c r="G569" t="n">
        <v>4.7</v>
      </c>
      <c r="H569" t="n">
        <v>0</v>
      </c>
      <c r="I569" t="n">
        <v>0</v>
      </c>
      <c r="J569" t="n">
        <v>0</v>
      </c>
      <c r="K569" t="n">
        <v>0</v>
      </c>
      <c r="L569" t="n">
        <v>0</v>
      </c>
      <c r="M569" t="n">
        <v>0</v>
      </c>
      <c r="N569" t="n">
        <v>0</v>
      </c>
      <c r="O569" t="n">
        <v>0</v>
      </c>
      <c r="P569" t="n">
        <v>0</v>
      </c>
      <c r="Q569" t="n">
        <v>0</v>
      </c>
      <c r="R569" s="2" t="inlineStr"/>
    </row>
    <row r="570" ht="15" customHeight="1">
      <c r="A570" t="inlineStr">
        <is>
          <t>A 55831-2025</t>
        </is>
      </c>
      <c r="B570" s="1" t="n">
        <v>45972.81034722222</v>
      </c>
      <c r="C570" s="1" t="n">
        <v>46029</v>
      </c>
      <c r="D570" t="inlineStr">
        <is>
          <t>SÖDERMANLANDS LÄN</t>
        </is>
      </c>
      <c r="E570" t="inlineStr">
        <is>
          <t>KATRINEHOLM</t>
        </is>
      </c>
      <c r="G570" t="n">
        <v>6.2</v>
      </c>
      <c r="H570" t="n">
        <v>0</v>
      </c>
      <c r="I570" t="n">
        <v>0</v>
      </c>
      <c r="J570" t="n">
        <v>0</v>
      </c>
      <c r="K570" t="n">
        <v>0</v>
      </c>
      <c r="L570" t="n">
        <v>0</v>
      </c>
      <c r="M570" t="n">
        <v>0</v>
      </c>
      <c r="N570" t="n">
        <v>0</v>
      </c>
      <c r="O570" t="n">
        <v>0</v>
      </c>
      <c r="P570" t="n">
        <v>0</v>
      </c>
      <c r="Q570" t="n">
        <v>0</v>
      </c>
      <c r="R570" s="2" t="inlineStr"/>
    </row>
    <row r="571" ht="15" customHeight="1">
      <c r="A571" t="inlineStr">
        <is>
          <t>A 56330-2025</t>
        </is>
      </c>
      <c r="B571" s="1" t="n">
        <v>45974.64094907408</v>
      </c>
      <c r="C571" s="1" t="n">
        <v>46029</v>
      </c>
      <c r="D571" t="inlineStr">
        <is>
          <t>SÖDERMANLANDS LÄN</t>
        </is>
      </c>
      <c r="E571" t="inlineStr">
        <is>
          <t>KATRINEHOLM</t>
        </is>
      </c>
      <c r="G571" t="n">
        <v>1.6</v>
      </c>
      <c r="H571" t="n">
        <v>0</v>
      </c>
      <c r="I571" t="n">
        <v>0</v>
      </c>
      <c r="J571" t="n">
        <v>0</v>
      </c>
      <c r="K571" t="n">
        <v>0</v>
      </c>
      <c r="L571" t="n">
        <v>0</v>
      </c>
      <c r="M571" t="n">
        <v>0</v>
      </c>
      <c r="N571" t="n">
        <v>0</v>
      </c>
      <c r="O571" t="n">
        <v>0</v>
      </c>
      <c r="P571" t="n">
        <v>0</v>
      </c>
      <c r="Q571" t="n">
        <v>0</v>
      </c>
      <c r="R571" s="2" t="inlineStr"/>
    </row>
    <row r="572" ht="15" customHeight="1">
      <c r="A572" t="inlineStr">
        <is>
          <t>A 52658-2023</t>
        </is>
      </c>
      <c r="B572" s="1" t="n">
        <v>45225</v>
      </c>
      <c r="C572" s="1" t="n">
        <v>46029</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56597-2025</t>
        </is>
      </c>
      <c r="B573" s="1" t="n">
        <v>45975.57271990741</v>
      </c>
      <c r="C573" s="1" t="n">
        <v>46029</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5320-2025</t>
        </is>
      </c>
      <c r="B574" s="1" t="n">
        <v>45692</v>
      </c>
      <c r="C574" s="1" t="n">
        <v>46029</v>
      </c>
      <c r="D574" t="inlineStr">
        <is>
          <t>SÖDERMANLANDS LÄN</t>
        </is>
      </c>
      <c r="E574" t="inlineStr">
        <is>
          <t>KATRINEHOLM</t>
        </is>
      </c>
      <c r="F574" t="inlineStr">
        <is>
          <t>Kommuner</t>
        </is>
      </c>
      <c r="G574" t="n">
        <v>0.9</v>
      </c>
      <c r="H574" t="n">
        <v>0</v>
      </c>
      <c r="I574" t="n">
        <v>0</v>
      </c>
      <c r="J574" t="n">
        <v>0</v>
      </c>
      <c r="K574" t="n">
        <v>0</v>
      </c>
      <c r="L574" t="n">
        <v>0</v>
      </c>
      <c r="M574" t="n">
        <v>0</v>
      </c>
      <c r="N574" t="n">
        <v>0</v>
      </c>
      <c r="O574" t="n">
        <v>0</v>
      </c>
      <c r="P574" t="n">
        <v>0</v>
      </c>
      <c r="Q574" t="n">
        <v>0</v>
      </c>
      <c r="R574" s="2" t="inlineStr"/>
    </row>
    <row r="575" ht="15" customHeight="1">
      <c r="A575" t="inlineStr">
        <is>
          <t>A 2606-2025</t>
        </is>
      </c>
      <c r="B575" s="1" t="n">
        <v>45674</v>
      </c>
      <c r="C575" s="1" t="n">
        <v>46029</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39748-2022</t>
        </is>
      </c>
      <c r="B576" s="1" t="n">
        <v>44817</v>
      </c>
      <c r="C576" s="1" t="n">
        <v>46029</v>
      </c>
      <c r="D576" t="inlineStr">
        <is>
          <t>SÖDERMANLANDS LÄN</t>
        </is>
      </c>
      <c r="E576" t="inlineStr">
        <is>
          <t>KATRINEHOLM</t>
        </is>
      </c>
      <c r="G576" t="n">
        <v>10.2</v>
      </c>
      <c r="H576" t="n">
        <v>0</v>
      </c>
      <c r="I576" t="n">
        <v>0</v>
      </c>
      <c r="J576" t="n">
        <v>0</v>
      </c>
      <c r="K576" t="n">
        <v>0</v>
      </c>
      <c r="L576" t="n">
        <v>0</v>
      </c>
      <c r="M576" t="n">
        <v>0</v>
      </c>
      <c r="N576" t="n">
        <v>0</v>
      </c>
      <c r="O576" t="n">
        <v>0</v>
      </c>
      <c r="P576" t="n">
        <v>0</v>
      </c>
      <c r="Q576" t="n">
        <v>0</v>
      </c>
      <c r="R576" s="2" t="inlineStr"/>
    </row>
    <row r="577" ht="15" customHeight="1">
      <c r="A577" t="inlineStr">
        <is>
          <t>A 34731-2023</t>
        </is>
      </c>
      <c r="B577" s="1" t="n">
        <v>45141</v>
      </c>
      <c r="C577" s="1" t="n">
        <v>46029</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34739-2023</t>
        </is>
      </c>
      <c r="B578" s="1" t="n">
        <v>45141</v>
      </c>
      <c r="C578" s="1" t="n">
        <v>46029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20480-2022</t>
        </is>
      </c>
      <c r="B579" s="1" t="n">
        <v>44699</v>
      </c>
      <c r="C579" s="1" t="n">
        <v>46029</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50017-2023</t>
        </is>
      </c>
      <c r="B580" s="1" t="n">
        <v>45215</v>
      </c>
      <c r="C580" s="1" t="n">
        <v>46029</v>
      </c>
      <c r="D580" t="inlineStr">
        <is>
          <t>SÖDERMANLANDS LÄN</t>
        </is>
      </c>
      <c r="E580" t="inlineStr">
        <is>
          <t>KATRINEHOLM</t>
        </is>
      </c>
      <c r="G580" t="n">
        <v>0.9</v>
      </c>
      <c r="H580" t="n">
        <v>0</v>
      </c>
      <c r="I580" t="n">
        <v>0</v>
      </c>
      <c r="J580" t="n">
        <v>0</v>
      </c>
      <c r="K580" t="n">
        <v>0</v>
      </c>
      <c r="L580" t="n">
        <v>0</v>
      </c>
      <c r="M580" t="n">
        <v>0</v>
      </c>
      <c r="N580" t="n">
        <v>0</v>
      </c>
      <c r="O580" t="n">
        <v>0</v>
      </c>
      <c r="P580" t="n">
        <v>0</v>
      </c>
      <c r="Q580" t="n">
        <v>0</v>
      </c>
      <c r="R580" s="2" t="inlineStr"/>
    </row>
    <row r="581" ht="15" customHeight="1">
      <c r="A581" t="inlineStr">
        <is>
          <t>A 50018-2023</t>
        </is>
      </c>
      <c r="B581" s="1" t="n">
        <v>45215</v>
      </c>
      <c r="C581" s="1" t="n">
        <v>46029</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63947-2025</t>
        </is>
      </c>
      <c r="B582" s="1" t="n">
        <v>46010</v>
      </c>
      <c r="C582" s="1" t="n">
        <v>46029</v>
      </c>
      <c r="D582" t="inlineStr">
        <is>
          <t>SÖDERMANLANDS LÄN</t>
        </is>
      </c>
      <c r="E582" t="inlineStr">
        <is>
          <t>KATRINEHOLM</t>
        </is>
      </c>
      <c r="F582" t="inlineStr">
        <is>
          <t>Allmännings- och besparingsskogar</t>
        </is>
      </c>
      <c r="G582" t="n">
        <v>4.8</v>
      </c>
      <c r="H582" t="n">
        <v>0</v>
      </c>
      <c r="I582" t="n">
        <v>0</v>
      </c>
      <c r="J582" t="n">
        <v>0</v>
      </c>
      <c r="K582" t="n">
        <v>0</v>
      </c>
      <c r="L582" t="n">
        <v>0</v>
      </c>
      <c r="M582" t="n">
        <v>0</v>
      </c>
      <c r="N582" t="n">
        <v>0</v>
      </c>
      <c r="O582" t="n">
        <v>0</v>
      </c>
      <c r="P582" t="n">
        <v>0</v>
      </c>
      <c r="Q582" t="n">
        <v>0</v>
      </c>
      <c r="R582" s="2" t="inlineStr"/>
    </row>
    <row r="583" ht="15" customHeight="1">
      <c r="A583" t="inlineStr">
        <is>
          <t>A 63949-2025</t>
        </is>
      </c>
      <c r="B583" s="1" t="n">
        <v>46010</v>
      </c>
      <c r="C583" s="1" t="n">
        <v>46029</v>
      </c>
      <c r="D583" t="inlineStr">
        <is>
          <t>SÖDERMANLANDS LÄN</t>
        </is>
      </c>
      <c r="E583" t="inlineStr">
        <is>
          <t>KATRINEHOLM</t>
        </is>
      </c>
      <c r="F583" t="inlineStr">
        <is>
          <t>Allmännings- och besparingsskogar</t>
        </is>
      </c>
      <c r="G583" t="n">
        <v>5.1</v>
      </c>
      <c r="H583" t="n">
        <v>0</v>
      </c>
      <c r="I583" t="n">
        <v>0</v>
      </c>
      <c r="J583" t="n">
        <v>0</v>
      </c>
      <c r="K583" t="n">
        <v>0</v>
      </c>
      <c r="L583" t="n">
        <v>0</v>
      </c>
      <c r="M583" t="n">
        <v>0</v>
      </c>
      <c r="N583" t="n">
        <v>0</v>
      </c>
      <c r="O583" t="n">
        <v>0</v>
      </c>
      <c r="P583" t="n">
        <v>0</v>
      </c>
      <c r="Q583" t="n">
        <v>0</v>
      </c>
      <c r="R583" s="2" t="inlineStr"/>
    </row>
    <row r="584" ht="15" customHeight="1">
      <c r="A584" t="inlineStr">
        <is>
          <t>A 28508-2023</t>
        </is>
      </c>
      <c r="B584" s="1" t="n">
        <v>45103.46788194445</v>
      </c>
      <c r="C584" s="1" t="n">
        <v>46029</v>
      </c>
      <c r="D584" t="inlineStr">
        <is>
          <t>SÖDERMANLANDS LÄN</t>
        </is>
      </c>
      <c r="E584" t="inlineStr">
        <is>
          <t>KATRINEHOLM</t>
        </is>
      </c>
      <c r="F584" t="inlineStr">
        <is>
          <t>Kyrkan</t>
        </is>
      </c>
      <c r="G584" t="n">
        <v>20.5</v>
      </c>
      <c r="H584" t="n">
        <v>0</v>
      </c>
      <c r="I584" t="n">
        <v>0</v>
      </c>
      <c r="J584" t="n">
        <v>0</v>
      </c>
      <c r="K584" t="n">
        <v>0</v>
      </c>
      <c r="L584" t="n">
        <v>0</v>
      </c>
      <c r="M584" t="n">
        <v>0</v>
      </c>
      <c r="N584" t="n">
        <v>0</v>
      </c>
      <c r="O584" t="n">
        <v>0</v>
      </c>
      <c r="P584" t="n">
        <v>0</v>
      </c>
      <c r="Q584" t="n">
        <v>0</v>
      </c>
      <c r="R584" s="2" t="inlineStr"/>
    </row>
    <row r="585" ht="15" customHeight="1">
      <c r="A585" t="inlineStr">
        <is>
          <t>A 63948-2025</t>
        </is>
      </c>
      <c r="B585" s="1" t="n">
        <v>46010</v>
      </c>
      <c r="C585" s="1" t="n">
        <v>46029</v>
      </c>
      <c r="D585" t="inlineStr">
        <is>
          <t>SÖDERMANLANDS LÄN</t>
        </is>
      </c>
      <c r="E585" t="inlineStr">
        <is>
          <t>KATRINEHOLM</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46075-2023</t>
        </is>
      </c>
      <c r="B586" s="1" t="n">
        <v>45196</v>
      </c>
      <c r="C586" s="1" t="n">
        <v>46029</v>
      </c>
      <c r="D586" t="inlineStr">
        <is>
          <t>SÖDERMANLANDS LÄN</t>
        </is>
      </c>
      <c r="E586" t="inlineStr">
        <is>
          <t>KATRINEHOLM</t>
        </is>
      </c>
      <c r="F586" t="inlineStr">
        <is>
          <t>Övriga Aktiebolag</t>
        </is>
      </c>
      <c r="G586" t="n">
        <v>9.5</v>
      </c>
      <c r="H586" t="n">
        <v>0</v>
      </c>
      <c r="I586" t="n">
        <v>0</v>
      </c>
      <c r="J586" t="n">
        <v>0</v>
      </c>
      <c r="K586" t="n">
        <v>0</v>
      </c>
      <c r="L586" t="n">
        <v>0</v>
      </c>
      <c r="M586" t="n">
        <v>0</v>
      </c>
      <c r="N586" t="n">
        <v>0</v>
      </c>
      <c r="O586" t="n">
        <v>0</v>
      </c>
      <c r="P586" t="n">
        <v>0</v>
      </c>
      <c r="Q586" t="n">
        <v>0</v>
      </c>
      <c r="R586" s="2" t="inlineStr"/>
    </row>
    <row r="587" ht="15" customHeight="1">
      <c r="A587" t="inlineStr">
        <is>
          <t>A 25823-2023</t>
        </is>
      </c>
      <c r="B587" s="1" t="n">
        <v>45090.55078703703</v>
      </c>
      <c r="C587" s="1" t="n">
        <v>46029</v>
      </c>
      <c r="D587" t="inlineStr">
        <is>
          <t>SÖDERMANLANDS LÄN</t>
        </is>
      </c>
      <c r="E587" t="inlineStr">
        <is>
          <t>KATRINEHOLM</t>
        </is>
      </c>
      <c r="F587" t="inlineStr">
        <is>
          <t>Kyrkan</t>
        </is>
      </c>
      <c r="G587" t="n">
        <v>10.2</v>
      </c>
      <c r="H587" t="n">
        <v>0</v>
      </c>
      <c r="I587" t="n">
        <v>0</v>
      </c>
      <c r="J587" t="n">
        <v>0</v>
      </c>
      <c r="K587" t="n">
        <v>0</v>
      </c>
      <c r="L587" t="n">
        <v>0</v>
      </c>
      <c r="M587" t="n">
        <v>0</v>
      </c>
      <c r="N587" t="n">
        <v>0</v>
      </c>
      <c r="O587" t="n">
        <v>0</v>
      </c>
      <c r="P587" t="n">
        <v>0</v>
      </c>
      <c r="Q587" t="n">
        <v>0</v>
      </c>
      <c r="R587" s="2" t="inlineStr"/>
    </row>
    <row r="588" ht="15" customHeight="1">
      <c r="A588" t="inlineStr">
        <is>
          <t>A 63945-2025</t>
        </is>
      </c>
      <c r="B588" s="1" t="n">
        <v>46010</v>
      </c>
      <c r="C588" s="1" t="n">
        <v>46029</v>
      </c>
      <c r="D588" t="inlineStr">
        <is>
          <t>SÖDERMANLANDS LÄN</t>
        </is>
      </c>
      <c r="E588" t="inlineStr">
        <is>
          <t>KATRINEHOLM</t>
        </is>
      </c>
      <c r="F588" t="inlineStr">
        <is>
          <t>Allmännings- och besparingsskogar</t>
        </is>
      </c>
      <c r="G588" t="n">
        <v>1.2</v>
      </c>
      <c r="H588" t="n">
        <v>0</v>
      </c>
      <c r="I588" t="n">
        <v>0</v>
      </c>
      <c r="J588" t="n">
        <v>0</v>
      </c>
      <c r="K588" t="n">
        <v>0</v>
      </c>
      <c r="L588" t="n">
        <v>0</v>
      </c>
      <c r="M588" t="n">
        <v>0</v>
      </c>
      <c r="N588" t="n">
        <v>0</v>
      </c>
      <c r="O588" t="n">
        <v>0</v>
      </c>
      <c r="P588" t="n">
        <v>0</v>
      </c>
      <c r="Q588" t="n">
        <v>0</v>
      </c>
      <c r="R588" s="2" t="inlineStr"/>
    </row>
    <row r="589" ht="15" customHeight="1">
      <c r="A589" t="inlineStr">
        <is>
          <t>A 17360-2022</t>
        </is>
      </c>
      <c r="B589" s="1" t="n">
        <v>44678</v>
      </c>
      <c r="C589" s="1" t="n">
        <v>46029</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63895-2025</t>
        </is>
      </c>
      <c r="B590" s="1" t="n">
        <v>46020</v>
      </c>
      <c r="C590" s="1" t="n">
        <v>46029</v>
      </c>
      <c r="D590" t="inlineStr">
        <is>
          <t>SÖDERMANLANDS LÄN</t>
        </is>
      </c>
      <c r="E590" t="inlineStr">
        <is>
          <t>KATRINEHOLM</t>
        </is>
      </c>
      <c r="G590" t="n">
        <v>1.5</v>
      </c>
      <c r="H590" t="n">
        <v>0</v>
      </c>
      <c r="I590" t="n">
        <v>0</v>
      </c>
      <c r="J590" t="n">
        <v>0</v>
      </c>
      <c r="K590" t="n">
        <v>0</v>
      </c>
      <c r="L590" t="n">
        <v>0</v>
      </c>
      <c r="M590" t="n">
        <v>0</v>
      </c>
      <c r="N590" t="n">
        <v>0</v>
      </c>
      <c r="O590" t="n">
        <v>0</v>
      </c>
      <c r="P590" t="n">
        <v>0</v>
      </c>
      <c r="Q590" t="n">
        <v>0</v>
      </c>
      <c r="R590" s="2" t="inlineStr"/>
    </row>
    <row r="591" ht="15" customHeight="1">
      <c r="A591" t="inlineStr">
        <is>
          <t>A 57323-2025</t>
        </is>
      </c>
      <c r="B591" s="1" t="n">
        <v>45980.32501157407</v>
      </c>
      <c r="C591" s="1" t="n">
        <v>46029</v>
      </c>
      <c r="D591" t="inlineStr">
        <is>
          <t>SÖDERMANLANDS LÄN</t>
        </is>
      </c>
      <c r="E591" t="inlineStr">
        <is>
          <t>KATRINEHOLM</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22295-2024</t>
        </is>
      </c>
      <c r="B592" s="1" t="n">
        <v>45446.56141203704</v>
      </c>
      <c r="C592" s="1" t="n">
        <v>46029</v>
      </c>
      <c r="D592" t="inlineStr">
        <is>
          <t>SÖDERMANLANDS LÄN</t>
        </is>
      </c>
      <c r="E592" t="inlineStr">
        <is>
          <t>KATRINEHOLM</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46700-2023</t>
        </is>
      </c>
      <c r="B593" s="1" t="n">
        <v>45194</v>
      </c>
      <c r="C593" s="1" t="n">
        <v>46029</v>
      </c>
      <c r="D593" t="inlineStr">
        <is>
          <t>SÖDERMANLANDS LÄN</t>
        </is>
      </c>
      <c r="E593" t="inlineStr">
        <is>
          <t>KATRINEHOLM</t>
        </is>
      </c>
      <c r="G593" t="n">
        <v>3</v>
      </c>
      <c r="H593" t="n">
        <v>0</v>
      </c>
      <c r="I593" t="n">
        <v>0</v>
      </c>
      <c r="J593" t="n">
        <v>0</v>
      </c>
      <c r="K593" t="n">
        <v>0</v>
      </c>
      <c r="L593" t="n">
        <v>0</v>
      </c>
      <c r="M593" t="n">
        <v>0</v>
      </c>
      <c r="N593" t="n">
        <v>0</v>
      </c>
      <c r="O593" t="n">
        <v>0</v>
      </c>
      <c r="P593" t="n">
        <v>0</v>
      </c>
      <c r="Q593" t="n">
        <v>0</v>
      </c>
      <c r="R593" s="2" t="inlineStr"/>
    </row>
    <row r="594" ht="15" customHeight="1">
      <c r="A594" t="inlineStr">
        <is>
          <t>A 55590-2023</t>
        </is>
      </c>
      <c r="B594" s="1" t="n">
        <v>45238</v>
      </c>
      <c r="C594" s="1" t="n">
        <v>46029</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57975-2025</t>
        </is>
      </c>
      <c r="B595" s="1" t="n">
        <v>45981</v>
      </c>
      <c r="C595" s="1" t="n">
        <v>46029</v>
      </c>
      <c r="D595" t="inlineStr">
        <is>
          <t>SÖDERMANLANDS LÄN</t>
        </is>
      </c>
      <c r="E595" t="inlineStr">
        <is>
          <t>KATRINEHOLM</t>
        </is>
      </c>
      <c r="G595" t="n">
        <v>3.1</v>
      </c>
      <c r="H595" t="n">
        <v>0</v>
      </c>
      <c r="I595" t="n">
        <v>0</v>
      </c>
      <c r="J595" t="n">
        <v>0</v>
      </c>
      <c r="K595" t="n">
        <v>0</v>
      </c>
      <c r="L595" t="n">
        <v>0</v>
      </c>
      <c r="M595" t="n">
        <v>0</v>
      </c>
      <c r="N595" t="n">
        <v>0</v>
      </c>
      <c r="O595" t="n">
        <v>0</v>
      </c>
      <c r="P595" t="n">
        <v>0</v>
      </c>
      <c r="Q595" t="n">
        <v>0</v>
      </c>
      <c r="R595" s="2" t="inlineStr"/>
    </row>
    <row r="596" ht="15" customHeight="1">
      <c r="A596" t="inlineStr">
        <is>
          <t>A 15898-2022</t>
        </is>
      </c>
      <c r="B596" s="1" t="n">
        <v>44664.55688657407</v>
      </c>
      <c r="C596" s="1" t="n">
        <v>46029</v>
      </c>
      <c r="D596" t="inlineStr">
        <is>
          <t>SÖDERMANLANDS LÄN</t>
        </is>
      </c>
      <c r="E596" t="inlineStr">
        <is>
          <t>KATRINEHOLM</t>
        </is>
      </c>
      <c r="G596" t="n">
        <v>6.5</v>
      </c>
      <c r="H596" t="n">
        <v>0</v>
      </c>
      <c r="I596" t="n">
        <v>0</v>
      </c>
      <c r="J596" t="n">
        <v>0</v>
      </c>
      <c r="K596" t="n">
        <v>0</v>
      </c>
      <c r="L596" t="n">
        <v>0</v>
      </c>
      <c r="M596" t="n">
        <v>0</v>
      </c>
      <c r="N596" t="n">
        <v>0</v>
      </c>
      <c r="O596" t="n">
        <v>0</v>
      </c>
      <c r="P596" t="n">
        <v>0</v>
      </c>
      <c r="Q596" t="n">
        <v>0</v>
      </c>
      <c r="R596" s="2" t="inlineStr"/>
    </row>
    <row r="597" ht="15" customHeight="1">
      <c r="A597" t="inlineStr">
        <is>
          <t>A 15910-2022</t>
        </is>
      </c>
      <c r="B597" s="1" t="n">
        <v>44664</v>
      </c>
      <c r="C597" s="1" t="n">
        <v>46029</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32818-2023</t>
        </is>
      </c>
      <c r="B598" s="1" t="n">
        <v>45124.55633101852</v>
      </c>
      <c r="C598" s="1" t="n">
        <v>46029</v>
      </c>
      <c r="D598" t="inlineStr">
        <is>
          <t>SÖDERMANLANDS LÄN</t>
        </is>
      </c>
      <c r="E598" t="inlineStr">
        <is>
          <t>KATRINEHOLM</t>
        </is>
      </c>
      <c r="G598" t="n">
        <v>3.4</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46029</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22272-2022</t>
        </is>
      </c>
      <c r="B600" s="1" t="n">
        <v>44712</v>
      </c>
      <c r="C600" s="1" t="n">
        <v>46029</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27334-2023</t>
        </is>
      </c>
      <c r="B601" s="1" t="n">
        <v>45096</v>
      </c>
      <c r="C601" s="1" t="n">
        <v>46029</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40186-2023</t>
        </is>
      </c>
      <c r="B602" s="1" t="n">
        <v>45169</v>
      </c>
      <c r="C602" s="1" t="n">
        <v>46029</v>
      </c>
      <c r="D602" t="inlineStr">
        <is>
          <t>SÖDERMANLANDS LÄN</t>
        </is>
      </c>
      <c r="E602" t="inlineStr">
        <is>
          <t>KATRINEHOLM</t>
        </is>
      </c>
      <c r="G602" t="n">
        <v>2.1</v>
      </c>
      <c r="H602" t="n">
        <v>0</v>
      </c>
      <c r="I602" t="n">
        <v>0</v>
      </c>
      <c r="J602" t="n">
        <v>0</v>
      </c>
      <c r="K602" t="n">
        <v>0</v>
      </c>
      <c r="L602" t="n">
        <v>0</v>
      </c>
      <c r="M602" t="n">
        <v>0</v>
      </c>
      <c r="N602" t="n">
        <v>0</v>
      </c>
      <c r="O602" t="n">
        <v>0</v>
      </c>
      <c r="P602" t="n">
        <v>0</v>
      </c>
      <c r="Q602" t="n">
        <v>0</v>
      </c>
      <c r="R602" s="2" t="inlineStr"/>
    </row>
    <row r="603" ht="15" customHeight="1">
      <c r="A603" t="inlineStr">
        <is>
          <t>A 47886-2023</t>
        </is>
      </c>
      <c r="B603" s="1" t="n">
        <v>45204</v>
      </c>
      <c r="C603" s="1" t="n">
        <v>46029</v>
      </c>
      <c r="D603" t="inlineStr">
        <is>
          <t>SÖDERMANLANDS LÄN</t>
        </is>
      </c>
      <c r="E603" t="inlineStr">
        <is>
          <t>KATRINEHOLM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36562-2023</t>
        </is>
      </c>
      <c r="B604" s="1" t="n">
        <v>45153</v>
      </c>
      <c r="C604" s="1" t="n">
        <v>46029</v>
      </c>
      <c r="D604" t="inlineStr">
        <is>
          <t>SÖDERMANLANDS LÄN</t>
        </is>
      </c>
      <c r="E604" t="inlineStr">
        <is>
          <t>KATRINEHOLM</t>
        </is>
      </c>
      <c r="G604" t="n">
        <v>5.8</v>
      </c>
      <c r="H604" t="n">
        <v>0</v>
      </c>
      <c r="I604" t="n">
        <v>0</v>
      </c>
      <c r="J604" t="n">
        <v>0</v>
      </c>
      <c r="K604" t="n">
        <v>0</v>
      </c>
      <c r="L604" t="n">
        <v>0</v>
      </c>
      <c r="M604" t="n">
        <v>0</v>
      </c>
      <c r="N604" t="n">
        <v>0</v>
      </c>
      <c r="O604" t="n">
        <v>0</v>
      </c>
      <c r="P604" t="n">
        <v>0</v>
      </c>
      <c r="Q604" t="n">
        <v>0</v>
      </c>
      <c r="R604" s="2" t="inlineStr"/>
    </row>
    <row r="605" ht="15" customHeight="1">
      <c r="A605" t="inlineStr">
        <is>
          <t>A 34539-2022</t>
        </is>
      </c>
      <c r="B605" s="1" t="n">
        <v>44793.50563657407</v>
      </c>
      <c r="C605" s="1" t="n">
        <v>46029</v>
      </c>
      <c r="D605" t="inlineStr">
        <is>
          <t>SÖDERMANLANDS LÄN</t>
        </is>
      </c>
      <c r="E605" t="inlineStr">
        <is>
          <t>KATRINEHOLM</t>
        </is>
      </c>
      <c r="G605" t="n">
        <v>1</v>
      </c>
      <c r="H605" t="n">
        <v>0</v>
      </c>
      <c r="I605" t="n">
        <v>0</v>
      </c>
      <c r="J605" t="n">
        <v>0</v>
      </c>
      <c r="K605" t="n">
        <v>0</v>
      </c>
      <c r="L605" t="n">
        <v>0</v>
      </c>
      <c r="M605" t="n">
        <v>0</v>
      </c>
      <c r="N605" t="n">
        <v>0</v>
      </c>
      <c r="O605" t="n">
        <v>0</v>
      </c>
      <c r="P605" t="n">
        <v>0</v>
      </c>
      <c r="Q605" t="n">
        <v>0</v>
      </c>
      <c r="R605" s="2" t="inlineStr"/>
    </row>
    <row r="606" ht="15" customHeight="1">
      <c r="A606" t="inlineStr">
        <is>
          <t>A 41205-2021</t>
        </is>
      </c>
      <c r="B606" s="1" t="n">
        <v>44424.38577546296</v>
      </c>
      <c r="C606" s="1" t="n">
        <v>46029</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24748-2024</t>
        </is>
      </c>
      <c r="B607" s="1" t="n">
        <v>45460.66567129629</v>
      </c>
      <c r="C607" s="1" t="n">
        <v>46029</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2298-2021</t>
        </is>
      </c>
      <c r="B608" s="1" t="n">
        <v>44212</v>
      </c>
      <c r="C608" s="1" t="n">
        <v>46029</v>
      </c>
      <c r="D608" t="inlineStr">
        <is>
          <t>SÖDERMANLANDS LÄN</t>
        </is>
      </c>
      <c r="E608" t="inlineStr">
        <is>
          <t>KATRINEHOLM</t>
        </is>
      </c>
      <c r="G608" t="n">
        <v>3.4</v>
      </c>
      <c r="H608" t="n">
        <v>0</v>
      </c>
      <c r="I608" t="n">
        <v>0</v>
      </c>
      <c r="J608" t="n">
        <v>0</v>
      </c>
      <c r="K608" t="n">
        <v>0</v>
      </c>
      <c r="L608" t="n">
        <v>0</v>
      </c>
      <c r="M608" t="n">
        <v>0</v>
      </c>
      <c r="N608" t="n">
        <v>0</v>
      </c>
      <c r="O608" t="n">
        <v>0</v>
      </c>
      <c r="P608" t="n">
        <v>0</v>
      </c>
      <c r="Q608" t="n">
        <v>0</v>
      </c>
      <c r="R608" s="2" t="inlineStr"/>
    </row>
    <row r="609" ht="15" customHeight="1">
      <c r="A609" t="inlineStr">
        <is>
          <t>A 40402-2022</t>
        </is>
      </c>
      <c r="B609" s="1" t="n">
        <v>44823.44353009259</v>
      </c>
      <c r="C609" s="1" t="n">
        <v>46029</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17792-2025</t>
        </is>
      </c>
      <c r="B610" s="1" t="n">
        <v>45758</v>
      </c>
      <c r="C610" s="1" t="n">
        <v>46029</v>
      </c>
      <c r="D610" t="inlineStr">
        <is>
          <t>SÖDERMANLANDS LÄN</t>
        </is>
      </c>
      <c r="E610" t="inlineStr">
        <is>
          <t>KATRINEHOLM</t>
        </is>
      </c>
      <c r="G610" t="n">
        <v>4.2</v>
      </c>
      <c r="H610" t="n">
        <v>0</v>
      </c>
      <c r="I610" t="n">
        <v>0</v>
      </c>
      <c r="J610" t="n">
        <v>0</v>
      </c>
      <c r="K610" t="n">
        <v>0</v>
      </c>
      <c r="L610" t="n">
        <v>0</v>
      </c>
      <c r="M610" t="n">
        <v>0</v>
      </c>
      <c r="N610" t="n">
        <v>0</v>
      </c>
      <c r="O610" t="n">
        <v>0</v>
      </c>
      <c r="P610" t="n">
        <v>0</v>
      </c>
      <c r="Q610" t="n">
        <v>0</v>
      </c>
      <c r="R610" s="2" t="inlineStr"/>
    </row>
    <row r="611" ht="15" customHeight="1">
      <c r="A611" t="inlineStr">
        <is>
          <t>A 17820-2025</t>
        </is>
      </c>
      <c r="B611" s="1" t="n">
        <v>45758</v>
      </c>
      <c r="C611" s="1" t="n">
        <v>46029</v>
      </c>
      <c r="D611" t="inlineStr">
        <is>
          <t>SÖDERMANLANDS LÄN</t>
        </is>
      </c>
      <c r="E611" t="inlineStr">
        <is>
          <t>KATRINEHOLM</t>
        </is>
      </c>
      <c r="G611" t="n">
        <v>5.9</v>
      </c>
      <c r="H611" t="n">
        <v>0</v>
      </c>
      <c r="I611" t="n">
        <v>0</v>
      </c>
      <c r="J611" t="n">
        <v>0</v>
      </c>
      <c r="K611" t="n">
        <v>0</v>
      </c>
      <c r="L611" t="n">
        <v>0</v>
      </c>
      <c r="M611" t="n">
        <v>0</v>
      </c>
      <c r="N611" t="n">
        <v>0</v>
      </c>
      <c r="O611" t="n">
        <v>0</v>
      </c>
      <c r="P611" t="n">
        <v>0</v>
      </c>
      <c r="Q611" t="n">
        <v>0</v>
      </c>
      <c r="R611" s="2" t="inlineStr"/>
    </row>
    <row r="612" ht="15" customHeight="1">
      <c r="A612" t="inlineStr">
        <is>
          <t>A 30387-2022</t>
        </is>
      </c>
      <c r="B612" s="1" t="n">
        <v>44760</v>
      </c>
      <c r="C612" s="1" t="n">
        <v>46029</v>
      </c>
      <c r="D612" t="inlineStr">
        <is>
          <t>SÖDERMANLANDS LÄN</t>
        </is>
      </c>
      <c r="E612" t="inlineStr">
        <is>
          <t>KATRINEHOLM</t>
        </is>
      </c>
      <c r="G612" t="n">
        <v>1.9</v>
      </c>
      <c r="H612" t="n">
        <v>0</v>
      </c>
      <c r="I612" t="n">
        <v>0</v>
      </c>
      <c r="J612" t="n">
        <v>0</v>
      </c>
      <c r="K612" t="n">
        <v>0</v>
      </c>
      <c r="L612" t="n">
        <v>0</v>
      </c>
      <c r="M612" t="n">
        <v>0</v>
      </c>
      <c r="N612" t="n">
        <v>0</v>
      </c>
      <c r="O612" t="n">
        <v>0</v>
      </c>
      <c r="P612" t="n">
        <v>0</v>
      </c>
      <c r="Q612" t="n">
        <v>0</v>
      </c>
      <c r="R612" s="2" t="inlineStr"/>
    </row>
    <row r="613" ht="15" customHeight="1">
      <c r="A613" t="inlineStr">
        <is>
          <t>A 39052-2023</t>
        </is>
      </c>
      <c r="B613" s="1" t="n">
        <v>45163</v>
      </c>
      <c r="C613" s="1" t="n">
        <v>46029</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8922-2024</t>
        </is>
      </c>
      <c r="B614" s="1" t="n">
        <v>45357.38601851852</v>
      </c>
      <c r="C614" s="1" t="n">
        <v>46029</v>
      </c>
      <c r="D614" t="inlineStr">
        <is>
          <t>SÖDERMANLANDS LÄN</t>
        </is>
      </c>
      <c r="E614" t="inlineStr">
        <is>
          <t>KATRINEHOLM</t>
        </is>
      </c>
      <c r="G614" t="n">
        <v>2.2</v>
      </c>
      <c r="H614" t="n">
        <v>0</v>
      </c>
      <c r="I614" t="n">
        <v>0</v>
      </c>
      <c r="J614" t="n">
        <v>0</v>
      </c>
      <c r="K614" t="n">
        <v>0</v>
      </c>
      <c r="L614" t="n">
        <v>0</v>
      </c>
      <c r="M614" t="n">
        <v>0</v>
      </c>
      <c r="N614" t="n">
        <v>0</v>
      </c>
      <c r="O614" t="n">
        <v>0</v>
      </c>
      <c r="P614" t="n">
        <v>0</v>
      </c>
      <c r="Q614" t="n">
        <v>0</v>
      </c>
      <c r="R614" s="2" t="inlineStr"/>
    </row>
    <row r="615" ht="15" customHeight="1">
      <c r="A615" t="inlineStr">
        <is>
          <t>A 48160-2022</t>
        </is>
      </c>
      <c r="B615" s="1" t="n">
        <v>44853</v>
      </c>
      <c r="C615" s="1" t="n">
        <v>46029</v>
      </c>
      <c r="D615" t="inlineStr">
        <is>
          <t>SÖDERMANLANDS LÄN</t>
        </is>
      </c>
      <c r="E615" t="inlineStr">
        <is>
          <t>KATRINEHOLM</t>
        </is>
      </c>
      <c r="F615" t="inlineStr">
        <is>
          <t>Övriga statliga verk och myndigheter</t>
        </is>
      </c>
      <c r="G615" t="n">
        <v>2.2</v>
      </c>
      <c r="H615" t="n">
        <v>0</v>
      </c>
      <c r="I615" t="n">
        <v>0</v>
      </c>
      <c r="J615" t="n">
        <v>0</v>
      </c>
      <c r="K615" t="n">
        <v>0</v>
      </c>
      <c r="L615" t="n">
        <v>0</v>
      </c>
      <c r="M615" t="n">
        <v>0</v>
      </c>
      <c r="N615" t="n">
        <v>0</v>
      </c>
      <c r="O615" t="n">
        <v>0</v>
      </c>
      <c r="P615" t="n">
        <v>0</v>
      </c>
      <c r="Q615" t="n">
        <v>0</v>
      </c>
      <c r="R615" s="2" t="inlineStr"/>
    </row>
    <row r="616" ht="15" customHeight="1">
      <c r="A616" t="inlineStr">
        <is>
          <t>A 28317-2024</t>
        </is>
      </c>
      <c r="B616" s="1" t="n">
        <v>45477</v>
      </c>
      <c r="C616" s="1" t="n">
        <v>46029</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66393-2021</t>
        </is>
      </c>
      <c r="B617" s="1" t="n">
        <v>44518</v>
      </c>
      <c r="C617" s="1" t="n">
        <v>46029</v>
      </c>
      <c r="D617" t="inlineStr">
        <is>
          <t>SÖDERMANLANDS LÄN</t>
        </is>
      </c>
      <c r="E617" t="inlineStr">
        <is>
          <t>KATRINEHOLM</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47134-2022</t>
        </is>
      </c>
      <c r="B618" s="1" t="n">
        <v>44851</v>
      </c>
      <c r="C618" s="1" t="n">
        <v>46029</v>
      </c>
      <c r="D618" t="inlineStr">
        <is>
          <t>SÖDERMANLANDS LÄN</t>
        </is>
      </c>
      <c r="E618" t="inlineStr">
        <is>
          <t>KATRINEHOLM</t>
        </is>
      </c>
      <c r="F618" t="inlineStr">
        <is>
          <t>Övriga statliga verk och myndigheter</t>
        </is>
      </c>
      <c r="G618" t="n">
        <v>1.5</v>
      </c>
      <c r="H618" t="n">
        <v>0</v>
      </c>
      <c r="I618" t="n">
        <v>0</v>
      </c>
      <c r="J618" t="n">
        <v>0</v>
      </c>
      <c r="K618" t="n">
        <v>0</v>
      </c>
      <c r="L618" t="n">
        <v>0</v>
      </c>
      <c r="M618" t="n">
        <v>0</v>
      </c>
      <c r="N618" t="n">
        <v>0</v>
      </c>
      <c r="O618" t="n">
        <v>0</v>
      </c>
      <c r="P618" t="n">
        <v>0</v>
      </c>
      <c r="Q618" t="n">
        <v>0</v>
      </c>
      <c r="R618" s="2" t="inlineStr"/>
    </row>
    <row r="619" ht="15" customHeight="1">
      <c r="A619" t="inlineStr">
        <is>
          <t>A 1143-2024</t>
        </is>
      </c>
      <c r="B619" s="1" t="n">
        <v>45302</v>
      </c>
      <c r="C619" s="1" t="n">
        <v>46029</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3982-2024</t>
        </is>
      </c>
      <c r="B620" s="1" t="n">
        <v>45322</v>
      </c>
      <c r="C620" s="1" t="n">
        <v>46029</v>
      </c>
      <c r="D620" t="inlineStr">
        <is>
          <t>SÖDERMANLANDS LÄN</t>
        </is>
      </c>
      <c r="E620" t="inlineStr">
        <is>
          <t>KATRINEHOLM</t>
        </is>
      </c>
      <c r="G620" t="n">
        <v>3.7</v>
      </c>
      <c r="H620" t="n">
        <v>0</v>
      </c>
      <c r="I620" t="n">
        <v>0</v>
      </c>
      <c r="J620" t="n">
        <v>0</v>
      </c>
      <c r="K620" t="n">
        <v>0</v>
      </c>
      <c r="L620" t="n">
        <v>0</v>
      </c>
      <c r="M620" t="n">
        <v>0</v>
      </c>
      <c r="N620" t="n">
        <v>0</v>
      </c>
      <c r="O620" t="n">
        <v>0</v>
      </c>
      <c r="P620" t="n">
        <v>0</v>
      </c>
      <c r="Q620" t="n">
        <v>0</v>
      </c>
      <c r="R620" s="2" t="inlineStr"/>
    </row>
    <row r="621" ht="15" customHeight="1">
      <c r="A621" t="inlineStr">
        <is>
          <t>A 57263-2022</t>
        </is>
      </c>
      <c r="B621" s="1" t="n">
        <v>44895</v>
      </c>
      <c r="C621" s="1" t="n">
        <v>46029</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28431-2024</t>
        </is>
      </c>
      <c r="B622" s="1" t="n">
        <v>45477.65216435185</v>
      </c>
      <c r="C622" s="1" t="n">
        <v>46029</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62418-2023</t>
        </is>
      </c>
      <c r="B623" s="1" t="n">
        <v>45268</v>
      </c>
      <c r="C623" s="1" t="n">
        <v>46029</v>
      </c>
      <c r="D623" t="inlineStr">
        <is>
          <t>SÖDERMANLANDS LÄN</t>
        </is>
      </c>
      <c r="E623" t="inlineStr">
        <is>
          <t>KATRINEHOLM</t>
        </is>
      </c>
      <c r="G623" t="n">
        <v>3</v>
      </c>
      <c r="H623" t="n">
        <v>0</v>
      </c>
      <c r="I623" t="n">
        <v>0</v>
      </c>
      <c r="J623" t="n">
        <v>0</v>
      </c>
      <c r="K623" t="n">
        <v>0</v>
      </c>
      <c r="L623" t="n">
        <v>0</v>
      </c>
      <c r="M623" t="n">
        <v>0</v>
      </c>
      <c r="N623" t="n">
        <v>0</v>
      </c>
      <c r="O623" t="n">
        <v>0</v>
      </c>
      <c r="P623" t="n">
        <v>0</v>
      </c>
      <c r="Q623" t="n">
        <v>0</v>
      </c>
      <c r="R623" s="2" t="inlineStr"/>
    </row>
    <row r="624" ht="15" customHeight="1">
      <c r="A624" t="inlineStr">
        <is>
          <t>A 45142-2021</t>
        </is>
      </c>
      <c r="B624" s="1" t="n">
        <v>44439</v>
      </c>
      <c r="C624" s="1" t="n">
        <v>46029</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7191-2023</t>
        </is>
      </c>
      <c r="B625" s="1" t="n">
        <v>44965</v>
      </c>
      <c r="C625" s="1" t="n">
        <v>46029</v>
      </c>
      <c r="D625" t="inlineStr">
        <is>
          <t>SÖDERMANLANDS LÄN</t>
        </is>
      </c>
      <c r="E625" t="inlineStr">
        <is>
          <t>KATRINEHOLM</t>
        </is>
      </c>
      <c r="G625" t="n">
        <v>14.1</v>
      </c>
      <c r="H625" t="n">
        <v>0</v>
      </c>
      <c r="I625" t="n">
        <v>0</v>
      </c>
      <c r="J625" t="n">
        <v>0</v>
      </c>
      <c r="K625" t="n">
        <v>0</v>
      </c>
      <c r="L625" t="n">
        <v>0</v>
      </c>
      <c r="M625" t="n">
        <v>0</v>
      </c>
      <c r="N625" t="n">
        <v>0</v>
      </c>
      <c r="O625" t="n">
        <v>0</v>
      </c>
      <c r="P625" t="n">
        <v>0</v>
      </c>
      <c r="Q625" t="n">
        <v>0</v>
      </c>
      <c r="R625" s="2" t="inlineStr"/>
    </row>
    <row r="626" ht="15" customHeight="1">
      <c r="A626" t="inlineStr">
        <is>
          <t>A 66540-2021</t>
        </is>
      </c>
      <c r="B626" s="1" t="n">
        <v>44519</v>
      </c>
      <c r="C626" s="1" t="n">
        <v>46029</v>
      </c>
      <c r="D626" t="inlineStr">
        <is>
          <t>SÖDERMANLANDS LÄN</t>
        </is>
      </c>
      <c r="E626" t="inlineStr">
        <is>
          <t>KATRINEHOLM</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8394-2024</t>
        </is>
      </c>
      <c r="B627" s="1" t="n">
        <v>45352</v>
      </c>
      <c r="C627" s="1" t="n">
        <v>46029</v>
      </c>
      <c r="D627" t="inlineStr">
        <is>
          <t>SÖDERMANLANDS LÄN</t>
        </is>
      </c>
      <c r="E627" t="inlineStr">
        <is>
          <t>KATRINEHOLM</t>
        </is>
      </c>
      <c r="G627" t="n">
        <v>4</v>
      </c>
      <c r="H627" t="n">
        <v>0</v>
      </c>
      <c r="I627" t="n">
        <v>0</v>
      </c>
      <c r="J627" t="n">
        <v>0</v>
      </c>
      <c r="K627" t="n">
        <v>0</v>
      </c>
      <c r="L627" t="n">
        <v>0</v>
      </c>
      <c r="M627" t="n">
        <v>0</v>
      </c>
      <c r="N627" t="n">
        <v>0</v>
      </c>
      <c r="O627" t="n">
        <v>0</v>
      </c>
      <c r="P627" t="n">
        <v>0</v>
      </c>
      <c r="Q627" t="n">
        <v>0</v>
      </c>
      <c r="R627" s="2" t="inlineStr"/>
    </row>
    <row r="628" ht="15" customHeight="1">
      <c r="A628" t="inlineStr">
        <is>
          <t>A 13658-2023</t>
        </is>
      </c>
      <c r="B628" s="1" t="n">
        <v>45006</v>
      </c>
      <c r="C628" s="1" t="n">
        <v>46029</v>
      </c>
      <c r="D628" t="inlineStr">
        <is>
          <t>SÖDERMANLANDS LÄN</t>
        </is>
      </c>
      <c r="E628" t="inlineStr">
        <is>
          <t>KATRINEHOLM</t>
        </is>
      </c>
      <c r="F628" t="inlineStr">
        <is>
          <t>Kyrkan</t>
        </is>
      </c>
      <c r="G628" t="n">
        <v>24.3</v>
      </c>
      <c r="H628" t="n">
        <v>0</v>
      </c>
      <c r="I628" t="n">
        <v>0</v>
      </c>
      <c r="J628" t="n">
        <v>0</v>
      </c>
      <c r="K628" t="n">
        <v>0</v>
      </c>
      <c r="L628" t="n">
        <v>0</v>
      </c>
      <c r="M628" t="n">
        <v>0</v>
      </c>
      <c r="N628" t="n">
        <v>0</v>
      </c>
      <c r="O628" t="n">
        <v>0</v>
      </c>
      <c r="P628" t="n">
        <v>0</v>
      </c>
      <c r="Q628" t="n">
        <v>0</v>
      </c>
      <c r="R628" s="2" t="inlineStr"/>
    </row>
    <row r="629" ht="15" customHeight="1">
      <c r="A629" t="inlineStr">
        <is>
          <t>A 61385-2023</t>
        </is>
      </c>
      <c r="B629" s="1" t="n">
        <v>45264.64241898148</v>
      </c>
      <c r="C629" s="1" t="n">
        <v>46029</v>
      </c>
      <c r="D629" t="inlineStr">
        <is>
          <t>SÖDERMANLANDS LÄN</t>
        </is>
      </c>
      <c r="E629" t="inlineStr">
        <is>
          <t>KATRINEHOLM</t>
        </is>
      </c>
      <c r="G629" t="n">
        <v>0.4</v>
      </c>
      <c r="H629" t="n">
        <v>0</v>
      </c>
      <c r="I629" t="n">
        <v>0</v>
      </c>
      <c r="J629" t="n">
        <v>0</v>
      </c>
      <c r="K629" t="n">
        <v>0</v>
      </c>
      <c r="L629" t="n">
        <v>0</v>
      </c>
      <c r="M629" t="n">
        <v>0</v>
      </c>
      <c r="N629" t="n">
        <v>0</v>
      </c>
      <c r="O629" t="n">
        <v>0</v>
      </c>
      <c r="P629" t="n">
        <v>0</v>
      </c>
      <c r="Q629" t="n">
        <v>0</v>
      </c>
      <c r="R629" s="2" t="inlineStr"/>
    </row>
    <row r="630" ht="15" customHeight="1">
      <c r="A630" t="inlineStr">
        <is>
          <t>A 55825-2022</t>
        </is>
      </c>
      <c r="B630" s="1" t="n">
        <v>44886</v>
      </c>
      <c r="C630" s="1" t="n">
        <v>46029</v>
      </c>
      <c r="D630" t="inlineStr">
        <is>
          <t>SÖDERMANLANDS LÄN</t>
        </is>
      </c>
      <c r="E630" t="inlineStr">
        <is>
          <t>KATRINEHOLM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55856-2022</t>
        </is>
      </c>
      <c r="B631" s="1" t="n">
        <v>44888</v>
      </c>
      <c r="C631" s="1" t="n">
        <v>46029</v>
      </c>
      <c r="D631" t="inlineStr">
        <is>
          <t>SÖDERMANLANDS LÄN</t>
        </is>
      </c>
      <c r="E631" t="inlineStr">
        <is>
          <t>KATRINEHOLM</t>
        </is>
      </c>
      <c r="G631" t="n">
        <v>5.6</v>
      </c>
      <c r="H631" t="n">
        <v>0</v>
      </c>
      <c r="I631" t="n">
        <v>0</v>
      </c>
      <c r="J631" t="n">
        <v>0</v>
      </c>
      <c r="K631" t="n">
        <v>0</v>
      </c>
      <c r="L631" t="n">
        <v>0</v>
      </c>
      <c r="M631" t="n">
        <v>0</v>
      </c>
      <c r="N631" t="n">
        <v>0</v>
      </c>
      <c r="O631" t="n">
        <v>0</v>
      </c>
      <c r="P631" t="n">
        <v>0</v>
      </c>
      <c r="Q631" t="n">
        <v>0</v>
      </c>
      <c r="R631" s="2" t="inlineStr"/>
    </row>
    <row r="632" ht="15" customHeight="1">
      <c r="A632" t="inlineStr">
        <is>
          <t>A 43513-2023</t>
        </is>
      </c>
      <c r="B632" s="1" t="n">
        <v>45184</v>
      </c>
      <c r="C632" s="1" t="n">
        <v>46029</v>
      </c>
      <c r="D632" t="inlineStr">
        <is>
          <t>SÖDERMANLANDS LÄN</t>
        </is>
      </c>
      <c r="E632" t="inlineStr">
        <is>
          <t>KATRINEHOLM</t>
        </is>
      </c>
      <c r="G632" t="n">
        <v>3.8</v>
      </c>
      <c r="H632" t="n">
        <v>0</v>
      </c>
      <c r="I632" t="n">
        <v>0</v>
      </c>
      <c r="J632" t="n">
        <v>0</v>
      </c>
      <c r="K632" t="n">
        <v>0</v>
      </c>
      <c r="L632" t="n">
        <v>0</v>
      </c>
      <c r="M632" t="n">
        <v>0</v>
      </c>
      <c r="N632" t="n">
        <v>0</v>
      </c>
      <c r="O632" t="n">
        <v>0</v>
      </c>
      <c r="P632" t="n">
        <v>0</v>
      </c>
      <c r="Q632" t="n">
        <v>0</v>
      </c>
      <c r="R632" s="2" t="inlineStr"/>
    </row>
    <row r="633" ht="15" customHeight="1">
      <c r="A633" t="inlineStr">
        <is>
          <t>A 8951-2024</t>
        </is>
      </c>
      <c r="B633" s="1" t="n">
        <v>45357.44695601852</v>
      </c>
      <c r="C633" s="1" t="n">
        <v>46029</v>
      </c>
      <c r="D633" t="inlineStr">
        <is>
          <t>SÖDERMANLANDS LÄN</t>
        </is>
      </c>
      <c r="E633" t="inlineStr">
        <is>
          <t>KATRINEHOLM</t>
        </is>
      </c>
      <c r="G633" t="n">
        <v>3.3</v>
      </c>
      <c r="H633" t="n">
        <v>0</v>
      </c>
      <c r="I633" t="n">
        <v>0</v>
      </c>
      <c r="J633" t="n">
        <v>0</v>
      </c>
      <c r="K633" t="n">
        <v>0</v>
      </c>
      <c r="L633" t="n">
        <v>0</v>
      </c>
      <c r="M633" t="n">
        <v>0</v>
      </c>
      <c r="N633" t="n">
        <v>0</v>
      </c>
      <c r="O633" t="n">
        <v>0</v>
      </c>
      <c r="P633" t="n">
        <v>0</v>
      </c>
      <c r="Q633" t="n">
        <v>0</v>
      </c>
      <c r="R633" s="2" t="inlineStr"/>
    </row>
    <row r="634" ht="15" customHeight="1">
      <c r="A634" t="inlineStr">
        <is>
          <t>A 8955-2024</t>
        </is>
      </c>
      <c r="B634" s="1" t="n">
        <v>45357.44873842593</v>
      </c>
      <c r="C634" s="1" t="n">
        <v>46029</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15945-2024</t>
        </is>
      </c>
      <c r="B635" s="1" t="n">
        <v>45405.48912037037</v>
      </c>
      <c r="C635" s="1" t="n">
        <v>46029</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4655-2024</t>
        </is>
      </c>
      <c r="B636" s="1" t="n">
        <v>45328</v>
      </c>
      <c r="C636" s="1" t="n">
        <v>46029</v>
      </c>
      <c r="D636" t="inlineStr">
        <is>
          <t>SÖDERMANLANDS LÄN</t>
        </is>
      </c>
      <c r="E636" t="inlineStr">
        <is>
          <t>KATRINEHOLM</t>
        </is>
      </c>
      <c r="G636" t="n">
        <v>17.7</v>
      </c>
      <c r="H636" t="n">
        <v>0</v>
      </c>
      <c r="I636" t="n">
        <v>0</v>
      </c>
      <c r="J636" t="n">
        <v>0</v>
      </c>
      <c r="K636" t="n">
        <v>0</v>
      </c>
      <c r="L636" t="n">
        <v>0</v>
      </c>
      <c r="M636" t="n">
        <v>0</v>
      </c>
      <c r="N636" t="n">
        <v>0</v>
      </c>
      <c r="O636" t="n">
        <v>0</v>
      </c>
      <c r="P636" t="n">
        <v>0</v>
      </c>
      <c r="Q636" t="n">
        <v>0</v>
      </c>
      <c r="R636" s="2" t="inlineStr"/>
    </row>
    <row r="637" ht="15" customHeight="1">
      <c r="A637" t="inlineStr">
        <is>
          <t>A 53387-2023</t>
        </is>
      </c>
      <c r="B637" s="1" t="n">
        <v>45229</v>
      </c>
      <c r="C637" s="1" t="n">
        <v>46029</v>
      </c>
      <c r="D637" t="inlineStr">
        <is>
          <t>SÖDERMANLANDS LÄN</t>
        </is>
      </c>
      <c r="E637" t="inlineStr">
        <is>
          <t>KATRINEHOLM</t>
        </is>
      </c>
      <c r="F637" t="inlineStr">
        <is>
          <t>Kyrkan</t>
        </is>
      </c>
      <c r="G637" t="n">
        <v>7.4</v>
      </c>
      <c r="H637" t="n">
        <v>0</v>
      </c>
      <c r="I637" t="n">
        <v>0</v>
      </c>
      <c r="J637" t="n">
        <v>0</v>
      </c>
      <c r="K637" t="n">
        <v>0</v>
      </c>
      <c r="L637" t="n">
        <v>0</v>
      </c>
      <c r="M637" t="n">
        <v>0</v>
      </c>
      <c r="N637" t="n">
        <v>0</v>
      </c>
      <c r="O637" t="n">
        <v>0</v>
      </c>
      <c r="P637" t="n">
        <v>0</v>
      </c>
      <c r="Q637" t="n">
        <v>0</v>
      </c>
      <c r="R637" s="2" t="inlineStr"/>
    </row>
    <row r="638" ht="15" customHeight="1">
      <c r="A638" t="inlineStr">
        <is>
          <t>A 42590-2022</t>
        </is>
      </c>
      <c r="B638" s="1" t="n">
        <v>44831</v>
      </c>
      <c r="C638" s="1" t="n">
        <v>46029</v>
      </c>
      <c r="D638" t="inlineStr">
        <is>
          <t>SÖDERMANLANDS LÄN</t>
        </is>
      </c>
      <c r="E638" t="inlineStr">
        <is>
          <t>KATRINEHOLM</t>
        </is>
      </c>
      <c r="G638" t="n">
        <v>1.7</v>
      </c>
      <c r="H638" t="n">
        <v>0</v>
      </c>
      <c r="I638" t="n">
        <v>0</v>
      </c>
      <c r="J638" t="n">
        <v>0</v>
      </c>
      <c r="K638" t="n">
        <v>0</v>
      </c>
      <c r="L638" t="n">
        <v>0</v>
      </c>
      <c r="M638" t="n">
        <v>0</v>
      </c>
      <c r="N638" t="n">
        <v>0</v>
      </c>
      <c r="O638" t="n">
        <v>0</v>
      </c>
      <c r="P638" t="n">
        <v>0</v>
      </c>
      <c r="Q638" t="n">
        <v>0</v>
      </c>
      <c r="R638" s="2" t="inlineStr"/>
    </row>
    <row r="639" ht="15" customHeight="1">
      <c r="A639" t="inlineStr">
        <is>
          <t>A 38883-2024</t>
        </is>
      </c>
      <c r="B639" s="1" t="n">
        <v>45547</v>
      </c>
      <c r="C639" s="1" t="n">
        <v>46029</v>
      </c>
      <c r="D639" t="inlineStr">
        <is>
          <t>SÖDERMANLANDS LÄN</t>
        </is>
      </c>
      <c r="E639" t="inlineStr">
        <is>
          <t>KATRINEHOLM</t>
        </is>
      </c>
      <c r="G639" t="n">
        <v>3.1</v>
      </c>
      <c r="H639" t="n">
        <v>0</v>
      </c>
      <c r="I639" t="n">
        <v>0</v>
      </c>
      <c r="J639" t="n">
        <v>0</v>
      </c>
      <c r="K639" t="n">
        <v>0</v>
      </c>
      <c r="L639" t="n">
        <v>0</v>
      </c>
      <c r="M639" t="n">
        <v>0</v>
      </c>
      <c r="N639" t="n">
        <v>0</v>
      </c>
      <c r="O639" t="n">
        <v>0</v>
      </c>
      <c r="P639" t="n">
        <v>0</v>
      </c>
      <c r="Q639" t="n">
        <v>0</v>
      </c>
      <c r="R639" s="2" t="inlineStr"/>
    </row>
    <row r="640" ht="15" customHeight="1">
      <c r="A640" t="inlineStr">
        <is>
          <t>A 4667-2024</t>
        </is>
      </c>
      <c r="B640" s="1" t="n">
        <v>45328.47</v>
      </c>
      <c r="C640" s="1" t="n">
        <v>46029</v>
      </c>
      <c r="D640" t="inlineStr">
        <is>
          <t>SÖDERMANLANDS LÄN</t>
        </is>
      </c>
      <c r="E640" t="inlineStr">
        <is>
          <t>KATRINEHOLM</t>
        </is>
      </c>
      <c r="F640" t="inlineStr">
        <is>
          <t>Övriga Aktiebolag</t>
        </is>
      </c>
      <c r="G640" t="n">
        <v>10.2</v>
      </c>
      <c r="H640" t="n">
        <v>0</v>
      </c>
      <c r="I640" t="n">
        <v>0</v>
      </c>
      <c r="J640" t="n">
        <v>0</v>
      </c>
      <c r="K640" t="n">
        <v>0</v>
      </c>
      <c r="L640" t="n">
        <v>0</v>
      </c>
      <c r="M640" t="n">
        <v>0</v>
      </c>
      <c r="N640" t="n">
        <v>0</v>
      </c>
      <c r="O640" t="n">
        <v>0</v>
      </c>
      <c r="P640" t="n">
        <v>0</v>
      </c>
      <c r="Q640" t="n">
        <v>0</v>
      </c>
      <c r="R640" s="2" t="inlineStr"/>
    </row>
    <row r="641" ht="15" customHeight="1">
      <c r="A641" t="inlineStr">
        <is>
          <t>A 39704-2023</t>
        </is>
      </c>
      <c r="B641" s="1" t="n">
        <v>45167</v>
      </c>
      <c r="C641" s="1" t="n">
        <v>46029</v>
      </c>
      <c r="D641" t="inlineStr">
        <is>
          <t>SÖDERMANLANDS LÄN</t>
        </is>
      </c>
      <c r="E641" t="inlineStr">
        <is>
          <t>KATRINEHOLM</t>
        </is>
      </c>
      <c r="F641" t="inlineStr">
        <is>
          <t>Övriga Aktiebolag</t>
        </is>
      </c>
      <c r="G641" t="n">
        <v>3.4</v>
      </c>
      <c r="H641" t="n">
        <v>0</v>
      </c>
      <c r="I641" t="n">
        <v>0</v>
      </c>
      <c r="J641" t="n">
        <v>0</v>
      </c>
      <c r="K641" t="n">
        <v>0</v>
      </c>
      <c r="L641" t="n">
        <v>0</v>
      </c>
      <c r="M641" t="n">
        <v>0</v>
      </c>
      <c r="N641" t="n">
        <v>0</v>
      </c>
      <c r="O641" t="n">
        <v>0</v>
      </c>
      <c r="P641" t="n">
        <v>0</v>
      </c>
      <c r="Q641" t="n">
        <v>0</v>
      </c>
      <c r="R641" s="2" t="inlineStr"/>
    </row>
    <row r="642" ht="15" customHeight="1">
      <c r="A642" t="inlineStr">
        <is>
          <t>A 16087-2023</t>
        </is>
      </c>
      <c r="B642" s="1" t="n">
        <v>45026</v>
      </c>
      <c r="C642" s="1" t="n">
        <v>46029</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28652-2024</t>
        </is>
      </c>
      <c r="B643" s="1" t="n">
        <v>45478</v>
      </c>
      <c r="C643" s="1" t="n">
        <v>46029</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42791-2023</t>
        </is>
      </c>
      <c r="B644" s="1" t="n">
        <v>45181.92876157408</v>
      </c>
      <c r="C644" s="1" t="n">
        <v>46029</v>
      </c>
      <c r="D644" t="inlineStr">
        <is>
          <t>SÖDERMANLANDS LÄN</t>
        </is>
      </c>
      <c r="E644" t="inlineStr">
        <is>
          <t>KATRINEHOLM</t>
        </is>
      </c>
      <c r="G644" t="n">
        <v>4.1</v>
      </c>
      <c r="H644" t="n">
        <v>0</v>
      </c>
      <c r="I644" t="n">
        <v>0</v>
      </c>
      <c r="J644" t="n">
        <v>0</v>
      </c>
      <c r="K644" t="n">
        <v>0</v>
      </c>
      <c r="L644" t="n">
        <v>0</v>
      </c>
      <c r="M644" t="n">
        <v>0</v>
      </c>
      <c r="N644" t="n">
        <v>0</v>
      </c>
      <c r="O644" t="n">
        <v>0</v>
      </c>
      <c r="P644" t="n">
        <v>0</v>
      </c>
      <c r="Q644" t="n">
        <v>0</v>
      </c>
      <c r="R644" s="2" t="inlineStr"/>
    </row>
    <row r="645" ht="15" customHeight="1">
      <c r="A645" t="inlineStr">
        <is>
          <t>A 42792-2023</t>
        </is>
      </c>
      <c r="B645" s="1" t="n">
        <v>45181.95491898148</v>
      </c>
      <c r="C645" s="1" t="n">
        <v>46029</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31740-2022</t>
        </is>
      </c>
      <c r="B646" s="1" t="n">
        <v>44776</v>
      </c>
      <c r="C646" s="1" t="n">
        <v>46029</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4679-2023</t>
        </is>
      </c>
      <c r="B647" s="1" t="n">
        <v>44957.44885416667</v>
      </c>
      <c r="C647" s="1" t="n">
        <v>46029</v>
      </c>
      <c r="D647" t="inlineStr">
        <is>
          <t>SÖDERMANLANDS LÄN</t>
        </is>
      </c>
      <c r="E647" t="inlineStr">
        <is>
          <t>KATRINEHOLM</t>
        </is>
      </c>
      <c r="G647" t="n">
        <v>5.3</v>
      </c>
      <c r="H647" t="n">
        <v>0</v>
      </c>
      <c r="I647" t="n">
        <v>0</v>
      </c>
      <c r="J647" t="n">
        <v>0</v>
      </c>
      <c r="K647" t="n">
        <v>0</v>
      </c>
      <c r="L647" t="n">
        <v>0</v>
      </c>
      <c r="M647" t="n">
        <v>0</v>
      </c>
      <c r="N647" t="n">
        <v>0</v>
      </c>
      <c r="O647" t="n">
        <v>0</v>
      </c>
      <c r="P647" t="n">
        <v>0</v>
      </c>
      <c r="Q647" t="n">
        <v>0</v>
      </c>
      <c r="R647" s="2" t="inlineStr"/>
    </row>
    <row r="648" ht="15" customHeight="1">
      <c r="A648" t="inlineStr">
        <is>
          <t>A 6087-2021</t>
        </is>
      </c>
      <c r="B648" s="1" t="n">
        <v>44232</v>
      </c>
      <c r="C648" s="1" t="n">
        <v>46029</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48528-2021</t>
        </is>
      </c>
      <c r="B649" s="1" t="n">
        <v>44449</v>
      </c>
      <c r="C649" s="1" t="n">
        <v>46029</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48398-2022</t>
        </is>
      </c>
      <c r="B650" s="1" t="n">
        <v>44858.60809027778</v>
      </c>
      <c r="C650" s="1" t="n">
        <v>46029</v>
      </c>
      <c r="D650" t="inlineStr">
        <is>
          <t>SÖDERMANLANDS LÄN</t>
        </is>
      </c>
      <c r="E650" t="inlineStr">
        <is>
          <t>KATRINEHOLM</t>
        </is>
      </c>
      <c r="G650" t="n">
        <v>1.9</v>
      </c>
      <c r="H650" t="n">
        <v>0</v>
      </c>
      <c r="I650" t="n">
        <v>0</v>
      </c>
      <c r="J650" t="n">
        <v>0</v>
      </c>
      <c r="K650" t="n">
        <v>0</v>
      </c>
      <c r="L650" t="n">
        <v>0</v>
      </c>
      <c r="M650" t="n">
        <v>0</v>
      </c>
      <c r="N650" t="n">
        <v>0</v>
      </c>
      <c r="O650" t="n">
        <v>0</v>
      </c>
      <c r="P650" t="n">
        <v>0</v>
      </c>
      <c r="Q650" t="n">
        <v>0</v>
      </c>
      <c r="R650" s="2" t="inlineStr"/>
    </row>
    <row r="651" ht="15" customHeight="1">
      <c r="A651" t="inlineStr">
        <is>
          <t>A 6753-2022</t>
        </is>
      </c>
      <c r="B651" s="1" t="n">
        <v>44602</v>
      </c>
      <c r="C651" s="1" t="n">
        <v>46029</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15184-2023</t>
        </is>
      </c>
      <c r="B652" s="1" t="n">
        <v>45016</v>
      </c>
      <c r="C652" s="1" t="n">
        <v>46029</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38826-2021</t>
        </is>
      </c>
      <c r="B653" s="1" t="n">
        <v>44411</v>
      </c>
      <c r="C653" s="1" t="n">
        <v>46029</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2297-2021</t>
        </is>
      </c>
      <c r="B654" s="1" t="n">
        <v>44212</v>
      </c>
      <c r="C654" s="1" t="n">
        <v>46029</v>
      </c>
      <c r="D654" t="inlineStr">
        <is>
          <t>SÖDERMANLANDS LÄN</t>
        </is>
      </c>
      <c r="E654" t="inlineStr">
        <is>
          <t>KATRINEHOLM</t>
        </is>
      </c>
      <c r="G654" t="n">
        <v>14.4</v>
      </c>
      <c r="H654" t="n">
        <v>0</v>
      </c>
      <c r="I654" t="n">
        <v>0</v>
      </c>
      <c r="J654" t="n">
        <v>0</v>
      </c>
      <c r="K654" t="n">
        <v>0</v>
      </c>
      <c r="L654" t="n">
        <v>0</v>
      </c>
      <c r="M654" t="n">
        <v>0</v>
      </c>
      <c r="N654" t="n">
        <v>0</v>
      </c>
      <c r="O654" t="n">
        <v>0</v>
      </c>
      <c r="P654" t="n">
        <v>0</v>
      </c>
      <c r="Q654" t="n">
        <v>0</v>
      </c>
      <c r="R654" s="2" t="inlineStr"/>
    </row>
    <row r="655" ht="15" customHeight="1">
      <c r="A655" t="inlineStr">
        <is>
          <t>A 9388-2021</t>
        </is>
      </c>
      <c r="B655" s="1" t="n">
        <v>44250</v>
      </c>
      <c r="C655" s="1" t="n">
        <v>46029</v>
      </c>
      <c r="D655" t="inlineStr">
        <is>
          <t>SÖDERMANLANDS LÄN</t>
        </is>
      </c>
      <c r="E655" t="inlineStr">
        <is>
          <t>KATRINEHOLM</t>
        </is>
      </c>
      <c r="G655" t="n">
        <v>5.4</v>
      </c>
      <c r="H655" t="n">
        <v>0</v>
      </c>
      <c r="I655" t="n">
        <v>0</v>
      </c>
      <c r="J655" t="n">
        <v>0</v>
      </c>
      <c r="K655" t="n">
        <v>0</v>
      </c>
      <c r="L655" t="n">
        <v>0</v>
      </c>
      <c r="M655" t="n">
        <v>0</v>
      </c>
      <c r="N655" t="n">
        <v>0</v>
      </c>
      <c r="O655" t="n">
        <v>0</v>
      </c>
      <c r="P655" t="n">
        <v>0</v>
      </c>
      <c r="Q655" t="n">
        <v>0</v>
      </c>
      <c r="R655" s="2" t="inlineStr"/>
    </row>
    <row r="656" ht="15" customHeight="1">
      <c r="A656" t="inlineStr">
        <is>
          <t>A 29830-2023</t>
        </is>
      </c>
      <c r="B656" s="1" t="n">
        <v>45107</v>
      </c>
      <c r="C656" s="1" t="n">
        <v>46029</v>
      </c>
      <c r="D656" t="inlineStr">
        <is>
          <t>SÖDERMANLANDS LÄN</t>
        </is>
      </c>
      <c r="E656" t="inlineStr">
        <is>
          <t>KATRINEHOLM</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19098-2022</t>
        </is>
      </c>
      <c r="B657" s="1" t="n">
        <v>44691.52616898148</v>
      </c>
      <c r="C657" s="1" t="n">
        <v>46029</v>
      </c>
      <c r="D657" t="inlineStr">
        <is>
          <t>SÖDERMANLANDS LÄN</t>
        </is>
      </c>
      <c r="E657" t="inlineStr">
        <is>
          <t>KATRINEHOLM</t>
        </is>
      </c>
      <c r="G657" t="n">
        <v>5.5</v>
      </c>
      <c r="H657" t="n">
        <v>0</v>
      </c>
      <c r="I657" t="n">
        <v>0</v>
      </c>
      <c r="J657" t="n">
        <v>0</v>
      </c>
      <c r="K657" t="n">
        <v>0</v>
      </c>
      <c r="L657" t="n">
        <v>0</v>
      </c>
      <c r="M657" t="n">
        <v>0</v>
      </c>
      <c r="N657" t="n">
        <v>0</v>
      </c>
      <c r="O657" t="n">
        <v>0</v>
      </c>
      <c r="P657" t="n">
        <v>0</v>
      </c>
      <c r="Q657" t="n">
        <v>0</v>
      </c>
      <c r="R657" s="2" t="inlineStr"/>
    </row>
    <row r="658" ht="15" customHeight="1">
      <c r="A658" t="inlineStr">
        <is>
          <t>A 6628-2022</t>
        </is>
      </c>
      <c r="B658" s="1" t="n">
        <v>44601.78850694445</v>
      </c>
      <c r="C658" s="1" t="n">
        <v>46029</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72984-2021</t>
        </is>
      </c>
      <c r="B659" s="1" t="n">
        <v>44549.74741898148</v>
      </c>
      <c r="C659" s="1" t="n">
        <v>46029</v>
      </c>
      <c r="D659" t="inlineStr">
        <is>
          <t>SÖDERMANLANDS LÄN</t>
        </is>
      </c>
      <c r="E659" t="inlineStr">
        <is>
          <t>KATRINEHOLM</t>
        </is>
      </c>
      <c r="G659" t="n">
        <v>4.9</v>
      </c>
      <c r="H659" t="n">
        <v>0</v>
      </c>
      <c r="I659" t="n">
        <v>0</v>
      </c>
      <c r="J659" t="n">
        <v>0</v>
      </c>
      <c r="K659" t="n">
        <v>0</v>
      </c>
      <c r="L659" t="n">
        <v>0</v>
      </c>
      <c r="M659" t="n">
        <v>0</v>
      </c>
      <c r="N659" t="n">
        <v>0</v>
      </c>
      <c r="O659" t="n">
        <v>0</v>
      </c>
      <c r="P659" t="n">
        <v>0</v>
      </c>
      <c r="Q659" t="n">
        <v>0</v>
      </c>
      <c r="R659" s="2" t="inlineStr"/>
    </row>
    <row r="660" ht="15" customHeight="1">
      <c r="A660" t="inlineStr">
        <is>
          <t>A 2325-2023</t>
        </is>
      </c>
      <c r="B660" s="1" t="n">
        <v>44942</v>
      </c>
      <c r="C660" s="1" t="n">
        <v>46029</v>
      </c>
      <c r="D660" t="inlineStr">
        <is>
          <t>SÖDERMANLANDS LÄN</t>
        </is>
      </c>
      <c r="E660" t="inlineStr">
        <is>
          <t>KATRINEHOLM</t>
        </is>
      </c>
      <c r="G660" t="n">
        <v>5.6</v>
      </c>
      <c r="H660" t="n">
        <v>0</v>
      </c>
      <c r="I660" t="n">
        <v>0</v>
      </c>
      <c r="J660" t="n">
        <v>0</v>
      </c>
      <c r="K660" t="n">
        <v>0</v>
      </c>
      <c r="L660" t="n">
        <v>0</v>
      </c>
      <c r="M660" t="n">
        <v>0</v>
      </c>
      <c r="N660" t="n">
        <v>0</v>
      </c>
      <c r="O660" t="n">
        <v>0</v>
      </c>
      <c r="P660" t="n">
        <v>0</v>
      </c>
      <c r="Q660" t="n">
        <v>0</v>
      </c>
      <c r="R660" s="2" t="inlineStr"/>
    </row>
    <row r="661" ht="15" customHeight="1">
      <c r="A661" t="inlineStr">
        <is>
          <t>A 46011-2021</t>
        </is>
      </c>
      <c r="B661" s="1" t="n">
        <v>44441.88092592593</v>
      </c>
      <c r="C661" s="1" t="n">
        <v>46029</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62140-2022</t>
        </is>
      </c>
      <c r="B662" s="1" t="n">
        <v>44922</v>
      </c>
      <c r="C662" s="1" t="n">
        <v>46029</v>
      </c>
      <c r="D662" t="inlineStr">
        <is>
          <t>SÖDERMANLANDS LÄN</t>
        </is>
      </c>
      <c r="E662" t="inlineStr">
        <is>
          <t>KATRINEHOLM</t>
        </is>
      </c>
      <c r="F662" t="inlineStr">
        <is>
          <t>Övriga Aktiebolag</t>
        </is>
      </c>
      <c r="G662" t="n">
        <v>2.4</v>
      </c>
      <c r="H662" t="n">
        <v>0</v>
      </c>
      <c r="I662" t="n">
        <v>0</v>
      </c>
      <c r="J662" t="n">
        <v>0</v>
      </c>
      <c r="K662" t="n">
        <v>0</v>
      </c>
      <c r="L662" t="n">
        <v>0</v>
      </c>
      <c r="M662" t="n">
        <v>0</v>
      </c>
      <c r="N662" t="n">
        <v>0</v>
      </c>
      <c r="O662" t="n">
        <v>0</v>
      </c>
      <c r="P662" t="n">
        <v>0</v>
      </c>
      <c r="Q662" t="n">
        <v>0</v>
      </c>
      <c r="R662" s="2" t="inlineStr"/>
    </row>
    <row r="663" ht="15" customHeight="1">
      <c r="A663" t="inlineStr">
        <is>
          <t>A 33934-2022</t>
        </is>
      </c>
      <c r="B663" s="1" t="n">
        <v>44790</v>
      </c>
      <c r="C663" s="1" t="n">
        <v>46029</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13171-2024</t>
        </is>
      </c>
      <c r="B664" s="1" t="n">
        <v>45386</v>
      </c>
      <c r="C664" s="1" t="n">
        <v>46029</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59384-2022</t>
        </is>
      </c>
      <c r="B665" s="1" t="n">
        <v>44905</v>
      </c>
      <c r="C665" s="1" t="n">
        <v>46029</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13086-2023</t>
        </is>
      </c>
      <c r="B666" s="1" t="n">
        <v>45002.42188657408</v>
      </c>
      <c r="C666" s="1" t="n">
        <v>46029</v>
      </c>
      <c r="D666" t="inlineStr">
        <is>
          <t>SÖDERMANLANDS LÄN</t>
        </is>
      </c>
      <c r="E666" t="inlineStr">
        <is>
          <t>KATRINEHOLM</t>
        </is>
      </c>
      <c r="G666" t="n">
        <v>2.2</v>
      </c>
      <c r="H666" t="n">
        <v>0</v>
      </c>
      <c r="I666" t="n">
        <v>0</v>
      </c>
      <c r="J666" t="n">
        <v>0</v>
      </c>
      <c r="K666" t="n">
        <v>0</v>
      </c>
      <c r="L666" t="n">
        <v>0</v>
      </c>
      <c r="M666" t="n">
        <v>0</v>
      </c>
      <c r="N666" t="n">
        <v>0</v>
      </c>
      <c r="O666" t="n">
        <v>0</v>
      </c>
      <c r="P666" t="n">
        <v>0</v>
      </c>
      <c r="Q666" t="n">
        <v>0</v>
      </c>
      <c r="R666" s="2" t="inlineStr"/>
    </row>
    <row r="667" ht="15" customHeight="1">
      <c r="A667" t="inlineStr">
        <is>
          <t>A 19670-2022</t>
        </is>
      </c>
      <c r="B667" s="1" t="n">
        <v>44694</v>
      </c>
      <c r="C667" s="1" t="n">
        <v>46029</v>
      </c>
      <c r="D667" t="inlineStr">
        <is>
          <t>SÖDERMANLANDS LÄN</t>
        </is>
      </c>
      <c r="E667" t="inlineStr">
        <is>
          <t>KATRINEHOLM</t>
        </is>
      </c>
      <c r="G667" t="n">
        <v>13.6</v>
      </c>
      <c r="H667" t="n">
        <v>0</v>
      </c>
      <c r="I667" t="n">
        <v>0</v>
      </c>
      <c r="J667" t="n">
        <v>0</v>
      </c>
      <c r="K667" t="n">
        <v>0</v>
      </c>
      <c r="L667" t="n">
        <v>0</v>
      </c>
      <c r="M667" t="n">
        <v>0</v>
      </c>
      <c r="N667" t="n">
        <v>0</v>
      </c>
      <c r="O667" t="n">
        <v>0</v>
      </c>
      <c r="P667" t="n">
        <v>0</v>
      </c>
      <c r="Q667" t="n">
        <v>0</v>
      </c>
      <c r="R667" s="2" t="inlineStr"/>
    </row>
    <row r="668" ht="15" customHeight="1">
      <c r="A668" t="inlineStr">
        <is>
          <t>A 19107-2022</t>
        </is>
      </c>
      <c r="B668" s="1" t="n">
        <v>44691.54077546296</v>
      </c>
      <c r="C668" s="1" t="n">
        <v>46029</v>
      </c>
      <c r="D668" t="inlineStr">
        <is>
          <t>SÖDERMANLANDS LÄN</t>
        </is>
      </c>
      <c r="E668" t="inlineStr">
        <is>
          <t>KATRINEHOLM</t>
        </is>
      </c>
      <c r="G668" t="n">
        <v>1</v>
      </c>
      <c r="H668" t="n">
        <v>0</v>
      </c>
      <c r="I668" t="n">
        <v>0</v>
      </c>
      <c r="J668" t="n">
        <v>0</v>
      </c>
      <c r="K668" t="n">
        <v>0</v>
      </c>
      <c r="L668" t="n">
        <v>0</v>
      </c>
      <c r="M668" t="n">
        <v>0</v>
      </c>
      <c r="N668" t="n">
        <v>0</v>
      </c>
      <c r="O668" t="n">
        <v>0</v>
      </c>
      <c r="P668" t="n">
        <v>0</v>
      </c>
      <c r="Q668" t="n">
        <v>0</v>
      </c>
      <c r="R668" s="2" t="inlineStr"/>
    </row>
    <row r="669" ht="15" customHeight="1">
      <c r="A669" t="inlineStr">
        <is>
          <t>A 30333-2023</t>
        </is>
      </c>
      <c r="B669" s="1" t="n">
        <v>45111</v>
      </c>
      <c r="C669" s="1" t="n">
        <v>46029</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6175-2023</t>
        </is>
      </c>
      <c r="B670" s="1" t="n">
        <v>44964</v>
      </c>
      <c r="C670" s="1" t="n">
        <v>46029</v>
      </c>
      <c r="D670" t="inlineStr">
        <is>
          <t>SÖDERMANLANDS LÄN</t>
        </is>
      </c>
      <c r="E670" t="inlineStr">
        <is>
          <t>KATRINEHOLM</t>
        </is>
      </c>
      <c r="G670" t="n">
        <v>11.2</v>
      </c>
      <c r="H670" t="n">
        <v>0</v>
      </c>
      <c r="I670" t="n">
        <v>0</v>
      </c>
      <c r="J670" t="n">
        <v>0</v>
      </c>
      <c r="K670" t="n">
        <v>0</v>
      </c>
      <c r="L670" t="n">
        <v>0</v>
      </c>
      <c r="M670" t="n">
        <v>0</v>
      </c>
      <c r="N670" t="n">
        <v>0</v>
      </c>
      <c r="O670" t="n">
        <v>0</v>
      </c>
      <c r="P670" t="n">
        <v>0</v>
      </c>
      <c r="Q670" t="n">
        <v>0</v>
      </c>
      <c r="R670" s="2" t="inlineStr"/>
    </row>
    <row r="671" ht="15" customHeight="1">
      <c r="A671" t="inlineStr">
        <is>
          <t>A 11875-2023</t>
        </is>
      </c>
      <c r="B671" s="1" t="n">
        <v>44995</v>
      </c>
      <c r="C671" s="1" t="n">
        <v>46029</v>
      </c>
      <c r="D671" t="inlineStr">
        <is>
          <t>SÖDERMANLANDS LÄN</t>
        </is>
      </c>
      <c r="E671" t="inlineStr">
        <is>
          <t>KATRINEHOLM</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6796-2022</t>
        </is>
      </c>
      <c r="B672" s="1" t="n">
        <v>44602</v>
      </c>
      <c r="C672" s="1" t="n">
        <v>46029</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13612-2023</t>
        </is>
      </c>
      <c r="B673" s="1" t="n">
        <v>45006</v>
      </c>
      <c r="C673" s="1" t="n">
        <v>46029</v>
      </c>
      <c r="D673" t="inlineStr">
        <is>
          <t>SÖDERMANLANDS LÄN</t>
        </is>
      </c>
      <c r="E673" t="inlineStr">
        <is>
          <t>KATRINEHOLM</t>
        </is>
      </c>
      <c r="G673" t="n">
        <v>2.3</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46029</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8765-2023</t>
        </is>
      </c>
      <c r="B675" s="1" t="n">
        <v>44978.52131944444</v>
      </c>
      <c r="C675" s="1" t="n">
        <v>46029</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57154-2023</t>
        </is>
      </c>
      <c r="B676" s="1" t="n">
        <v>45245</v>
      </c>
      <c r="C676" s="1" t="n">
        <v>46029</v>
      </c>
      <c r="D676" t="inlineStr">
        <is>
          <t>SÖDERMANLANDS LÄN</t>
        </is>
      </c>
      <c r="E676" t="inlineStr">
        <is>
          <t>KATRINEHOLM</t>
        </is>
      </c>
      <c r="F676" t="inlineStr">
        <is>
          <t>Allmännings- och besparingsskogar</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21959-2022</t>
        </is>
      </c>
      <c r="B677" s="1" t="n">
        <v>44708</v>
      </c>
      <c r="C677" s="1" t="n">
        <v>46029</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51530-2023</t>
        </is>
      </c>
      <c r="B678" s="1" t="n">
        <v>45222</v>
      </c>
      <c r="C678" s="1" t="n">
        <v>46029</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23916-2023</t>
        </is>
      </c>
      <c r="B679" s="1" t="n">
        <v>45075</v>
      </c>
      <c r="C679" s="1" t="n">
        <v>46029</v>
      </c>
      <c r="D679" t="inlineStr">
        <is>
          <t>SÖDERMANLANDS LÄN</t>
        </is>
      </c>
      <c r="E679" t="inlineStr">
        <is>
          <t>KATRINEHOLM</t>
        </is>
      </c>
      <c r="G679" t="n">
        <v>8</v>
      </c>
      <c r="H679" t="n">
        <v>0</v>
      </c>
      <c r="I679" t="n">
        <v>0</v>
      </c>
      <c r="J679" t="n">
        <v>0</v>
      </c>
      <c r="K679" t="n">
        <v>0</v>
      </c>
      <c r="L679" t="n">
        <v>0</v>
      </c>
      <c r="M679" t="n">
        <v>0</v>
      </c>
      <c r="N679" t="n">
        <v>0</v>
      </c>
      <c r="O679" t="n">
        <v>0</v>
      </c>
      <c r="P679" t="n">
        <v>0</v>
      </c>
      <c r="Q679" t="n">
        <v>0</v>
      </c>
      <c r="R679" s="2" t="inlineStr"/>
    </row>
    <row r="680" ht="15" customHeight="1">
      <c r="A680" t="inlineStr">
        <is>
          <t>A 38879-2024</t>
        </is>
      </c>
      <c r="B680" s="1" t="n">
        <v>45547</v>
      </c>
      <c r="C680" s="1" t="n">
        <v>46029</v>
      </c>
      <c r="D680" t="inlineStr">
        <is>
          <t>SÖDERMANLANDS LÄN</t>
        </is>
      </c>
      <c r="E680" t="inlineStr">
        <is>
          <t>KATRINEHOLM</t>
        </is>
      </c>
      <c r="G680" t="n">
        <v>2.6</v>
      </c>
      <c r="H680" t="n">
        <v>0</v>
      </c>
      <c r="I680" t="n">
        <v>0</v>
      </c>
      <c r="J680" t="n">
        <v>0</v>
      </c>
      <c r="K680" t="n">
        <v>0</v>
      </c>
      <c r="L680" t="n">
        <v>0</v>
      </c>
      <c r="M680" t="n">
        <v>0</v>
      </c>
      <c r="N680" t="n">
        <v>0</v>
      </c>
      <c r="O680" t="n">
        <v>0</v>
      </c>
      <c r="P680" t="n">
        <v>0</v>
      </c>
      <c r="Q680" t="n">
        <v>0</v>
      </c>
      <c r="R680" s="2" t="inlineStr"/>
    </row>
    <row r="681" ht="15" customHeight="1">
      <c r="A681" t="inlineStr">
        <is>
          <t>A 9437-2022</t>
        </is>
      </c>
      <c r="B681" s="1" t="n">
        <v>44616.69246527777</v>
      </c>
      <c r="C681" s="1" t="n">
        <v>46029</v>
      </c>
      <c r="D681" t="inlineStr">
        <is>
          <t>SÖDERMANLANDS LÄN</t>
        </is>
      </c>
      <c r="E681" t="inlineStr">
        <is>
          <t>KATRINEHOLM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25362-2023</t>
        </is>
      </c>
      <c r="B682" s="1" t="n">
        <v>45088.83430555555</v>
      </c>
      <c r="C682" s="1" t="n">
        <v>46029</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4662-2023</t>
        </is>
      </c>
      <c r="B683" s="1" t="n">
        <v>44957</v>
      </c>
      <c r="C683" s="1" t="n">
        <v>46029</v>
      </c>
      <c r="D683" t="inlineStr">
        <is>
          <t>SÖDERMANLANDS LÄN</t>
        </is>
      </c>
      <c r="E683" t="inlineStr">
        <is>
          <t>KATRINEHOLM</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19685-2022</t>
        </is>
      </c>
      <c r="B684" s="1" t="n">
        <v>44694</v>
      </c>
      <c r="C684" s="1" t="n">
        <v>46029</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62419-2023</t>
        </is>
      </c>
      <c r="B685" s="1" t="n">
        <v>45268</v>
      </c>
      <c r="C685" s="1" t="n">
        <v>46029</v>
      </c>
      <c r="D685" t="inlineStr">
        <is>
          <t>SÖDERMANLANDS LÄN</t>
        </is>
      </c>
      <c r="E685" t="inlineStr">
        <is>
          <t>KATRINEHOLM</t>
        </is>
      </c>
      <c r="G685" t="n">
        <v>9</v>
      </c>
      <c r="H685" t="n">
        <v>0</v>
      </c>
      <c r="I685" t="n">
        <v>0</v>
      </c>
      <c r="J685" t="n">
        <v>0</v>
      </c>
      <c r="K685" t="n">
        <v>0</v>
      </c>
      <c r="L685" t="n">
        <v>0</v>
      </c>
      <c r="M685" t="n">
        <v>0</v>
      </c>
      <c r="N685" t="n">
        <v>0</v>
      </c>
      <c r="O685" t="n">
        <v>0</v>
      </c>
      <c r="P685" t="n">
        <v>0</v>
      </c>
      <c r="Q685" t="n">
        <v>0</v>
      </c>
      <c r="R685" s="2" t="inlineStr"/>
    </row>
    <row r="686" ht="15" customHeight="1">
      <c r="A686" t="inlineStr">
        <is>
          <t>A 39897-2023</t>
        </is>
      </c>
      <c r="B686" s="1" t="n">
        <v>45168</v>
      </c>
      <c r="C686" s="1" t="n">
        <v>46029</v>
      </c>
      <c r="D686" t="inlineStr">
        <is>
          <t>SÖDERMANLANDS LÄN</t>
        </is>
      </c>
      <c r="E686" t="inlineStr">
        <is>
          <t>KATRINEHOLM</t>
        </is>
      </c>
      <c r="G686" t="n">
        <v>15.6</v>
      </c>
      <c r="H686" t="n">
        <v>0</v>
      </c>
      <c r="I686" t="n">
        <v>0</v>
      </c>
      <c r="J686" t="n">
        <v>0</v>
      </c>
      <c r="K686" t="n">
        <v>0</v>
      </c>
      <c r="L686" t="n">
        <v>0</v>
      </c>
      <c r="M686" t="n">
        <v>0</v>
      </c>
      <c r="N686" t="n">
        <v>0</v>
      </c>
      <c r="O686" t="n">
        <v>0</v>
      </c>
      <c r="P686" t="n">
        <v>0</v>
      </c>
      <c r="Q686" t="n">
        <v>0</v>
      </c>
      <c r="R686" s="2" t="inlineStr"/>
    </row>
    <row r="687" ht="15" customHeight="1">
      <c r="A687" t="inlineStr">
        <is>
          <t>A 23207-2023</t>
        </is>
      </c>
      <c r="B687" s="1" t="n">
        <v>45071</v>
      </c>
      <c r="C687" s="1" t="n">
        <v>46029</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44830.47399305556</v>
      </c>
      <c r="C688" s="1" t="n">
        <v>46029</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8791-2023</t>
        </is>
      </c>
      <c r="B689" s="1" t="n">
        <v>44978</v>
      </c>
      <c r="C689" s="1" t="n">
        <v>46029</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48253-2022</t>
        </is>
      </c>
      <c r="B690" s="1" t="n">
        <v>44858</v>
      </c>
      <c r="C690" s="1" t="n">
        <v>46029</v>
      </c>
      <c r="D690" t="inlineStr">
        <is>
          <t>SÖDERMANLANDS LÄN</t>
        </is>
      </c>
      <c r="E690" t="inlineStr">
        <is>
          <t>KATRINEHOLM</t>
        </is>
      </c>
      <c r="G690" t="n">
        <v>4.7</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46029</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31719-2024</t>
        </is>
      </c>
      <c r="B692" s="1" t="n">
        <v>45509</v>
      </c>
      <c r="C692" s="1" t="n">
        <v>46029</v>
      </c>
      <c r="D692" t="inlineStr">
        <is>
          <t>SÖDERMANLANDS LÄN</t>
        </is>
      </c>
      <c r="E692" t="inlineStr">
        <is>
          <t>KATRINEHOLM</t>
        </is>
      </c>
      <c r="F692" t="inlineStr">
        <is>
          <t>Kyrkan</t>
        </is>
      </c>
      <c r="G692" t="n">
        <v>11.9</v>
      </c>
      <c r="H692" t="n">
        <v>0</v>
      </c>
      <c r="I692" t="n">
        <v>0</v>
      </c>
      <c r="J692" t="n">
        <v>0</v>
      </c>
      <c r="K692" t="n">
        <v>0</v>
      </c>
      <c r="L692" t="n">
        <v>0</v>
      </c>
      <c r="M692" t="n">
        <v>0</v>
      </c>
      <c r="N692" t="n">
        <v>0</v>
      </c>
      <c r="O692" t="n">
        <v>0</v>
      </c>
      <c r="P692" t="n">
        <v>0</v>
      </c>
      <c r="Q692" t="n">
        <v>0</v>
      </c>
      <c r="R692" s="2" t="inlineStr"/>
    </row>
    <row r="693" ht="15" customHeight="1">
      <c r="A693" t="inlineStr">
        <is>
          <t>A 13175-2024</t>
        </is>
      </c>
      <c r="B693" s="1" t="n">
        <v>45386</v>
      </c>
      <c r="C693" s="1" t="n">
        <v>46029</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40744-2022</t>
        </is>
      </c>
      <c r="B694" s="1" t="n">
        <v>44824.55655092592</v>
      </c>
      <c r="C694" s="1" t="n">
        <v>46029</v>
      </c>
      <c r="D694" t="inlineStr">
        <is>
          <t>SÖDERMANLANDS LÄN</t>
        </is>
      </c>
      <c r="E694" t="inlineStr">
        <is>
          <t>KATRINEHOLM</t>
        </is>
      </c>
      <c r="G694" t="n">
        <v>3.7</v>
      </c>
      <c r="H694" t="n">
        <v>0</v>
      </c>
      <c r="I694" t="n">
        <v>0</v>
      </c>
      <c r="J694" t="n">
        <v>0</v>
      </c>
      <c r="K694" t="n">
        <v>0</v>
      </c>
      <c r="L694" t="n">
        <v>0</v>
      </c>
      <c r="M694" t="n">
        <v>0</v>
      </c>
      <c r="N694" t="n">
        <v>0</v>
      </c>
      <c r="O694" t="n">
        <v>0</v>
      </c>
      <c r="P694" t="n">
        <v>0</v>
      </c>
      <c r="Q694" t="n">
        <v>0</v>
      </c>
      <c r="R694" s="2" t="inlineStr"/>
    </row>
    <row r="695" ht="15" customHeight="1">
      <c r="A695" t="inlineStr">
        <is>
          <t>A 8761-2023</t>
        </is>
      </c>
      <c r="B695" s="1" t="n">
        <v>44978.49685185185</v>
      </c>
      <c r="C695" s="1" t="n">
        <v>46029</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8778-2023</t>
        </is>
      </c>
      <c r="B696" s="1" t="n">
        <v>44978.5737037037</v>
      </c>
      <c r="C696" s="1" t="n">
        <v>46029</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8457-2023</t>
        </is>
      </c>
      <c r="B697" s="1" t="n">
        <v>44977</v>
      </c>
      <c r="C697" s="1" t="n">
        <v>46029</v>
      </c>
      <c r="D697" t="inlineStr">
        <is>
          <t>SÖDERMANLANDS LÄN</t>
        </is>
      </c>
      <c r="E697" t="inlineStr">
        <is>
          <t>KATRINEHOLM</t>
        </is>
      </c>
      <c r="F697" t="inlineStr">
        <is>
          <t>Allmännings- och besparingsskogar</t>
        </is>
      </c>
      <c r="G697" t="n">
        <v>16.1</v>
      </c>
      <c r="H697" t="n">
        <v>0</v>
      </c>
      <c r="I697" t="n">
        <v>0</v>
      </c>
      <c r="J697" t="n">
        <v>0</v>
      </c>
      <c r="K697" t="n">
        <v>0</v>
      </c>
      <c r="L697" t="n">
        <v>0</v>
      </c>
      <c r="M697" t="n">
        <v>0</v>
      </c>
      <c r="N697" t="n">
        <v>0</v>
      </c>
      <c r="O697" t="n">
        <v>0</v>
      </c>
      <c r="P697" t="n">
        <v>0</v>
      </c>
      <c r="Q697" t="n">
        <v>0</v>
      </c>
      <c r="R697" s="2" t="inlineStr"/>
    </row>
    <row r="698" ht="15" customHeight="1">
      <c r="A698" t="inlineStr">
        <is>
          <t>A 7056-2022</t>
        </is>
      </c>
      <c r="B698" s="1" t="n">
        <v>44603</v>
      </c>
      <c r="C698" s="1" t="n">
        <v>46029</v>
      </c>
      <c r="D698" t="inlineStr">
        <is>
          <t>SÖDERMANLANDS LÄN</t>
        </is>
      </c>
      <c r="E698" t="inlineStr">
        <is>
          <t>KATRINEHOLM</t>
        </is>
      </c>
      <c r="G698" t="n">
        <v>0.5</v>
      </c>
      <c r="H698" t="n">
        <v>0</v>
      </c>
      <c r="I698" t="n">
        <v>0</v>
      </c>
      <c r="J698" t="n">
        <v>0</v>
      </c>
      <c r="K698" t="n">
        <v>0</v>
      </c>
      <c r="L698" t="n">
        <v>0</v>
      </c>
      <c r="M698" t="n">
        <v>0</v>
      </c>
      <c r="N698" t="n">
        <v>0</v>
      </c>
      <c r="O698" t="n">
        <v>0</v>
      </c>
      <c r="P698" t="n">
        <v>0</v>
      </c>
      <c r="Q698" t="n">
        <v>0</v>
      </c>
      <c r="R698" s="2" t="inlineStr"/>
    </row>
    <row r="699" ht="15" customHeight="1">
      <c r="A699" t="inlineStr">
        <is>
          <t>A 32786-2022</t>
        </is>
      </c>
      <c r="B699" s="1" t="n">
        <v>44784</v>
      </c>
      <c r="C699" s="1" t="n">
        <v>46029</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7223-2022</t>
        </is>
      </c>
      <c r="B700" s="1" t="n">
        <v>44603</v>
      </c>
      <c r="C700" s="1" t="n">
        <v>46029</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7459-2022</t>
        </is>
      </c>
      <c r="B701" s="1" t="n">
        <v>44607.35009259259</v>
      </c>
      <c r="C701" s="1" t="n">
        <v>46029</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27375-2024</t>
        </is>
      </c>
      <c r="B702" s="1" t="n">
        <v>45473.87645833333</v>
      </c>
      <c r="C702" s="1" t="n">
        <v>46029</v>
      </c>
      <c r="D702" t="inlineStr">
        <is>
          <t>SÖDERMANLANDS LÄN</t>
        </is>
      </c>
      <c r="E702" t="inlineStr">
        <is>
          <t>KATRINEHOLM</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20768-2022</t>
        </is>
      </c>
      <c r="B703" s="1" t="n">
        <v>44701.36431712963</v>
      </c>
      <c r="C703" s="1" t="n">
        <v>46029</v>
      </c>
      <c r="D703" t="inlineStr">
        <is>
          <t>SÖDERMANLANDS LÄN</t>
        </is>
      </c>
      <c r="E703" t="inlineStr">
        <is>
          <t>KATRINEHOLM</t>
        </is>
      </c>
      <c r="G703" t="n">
        <v>3.5</v>
      </c>
      <c r="H703" t="n">
        <v>0</v>
      </c>
      <c r="I703" t="n">
        <v>0</v>
      </c>
      <c r="J703" t="n">
        <v>0</v>
      </c>
      <c r="K703" t="n">
        <v>0</v>
      </c>
      <c r="L703" t="n">
        <v>0</v>
      </c>
      <c r="M703" t="n">
        <v>0</v>
      </c>
      <c r="N703" t="n">
        <v>0</v>
      </c>
      <c r="O703" t="n">
        <v>0</v>
      </c>
      <c r="P703" t="n">
        <v>0</v>
      </c>
      <c r="Q703" t="n">
        <v>0</v>
      </c>
      <c r="R703" s="2" t="inlineStr"/>
    </row>
    <row r="704" ht="15" customHeight="1">
      <c r="A704" t="inlineStr">
        <is>
          <t>A 15284-2023</t>
        </is>
      </c>
      <c r="B704" s="1" t="n">
        <v>45019</v>
      </c>
      <c r="C704" s="1" t="n">
        <v>46029</v>
      </c>
      <c r="D704" t="inlineStr">
        <is>
          <t>SÖDERMANLANDS LÄN</t>
        </is>
      </c>
      <c r="E704" t="inlineStr">
        <is>
          <t>KATRINEHOLM</t>
        </is>
      </c>
      <c r="F704" t="inlineStr">
        <is>
          <t>Allmännings- och besparingsskogar</t>
        </is>
      </c>
      <c r="G704" t="n">
        <v>17.4</v>
      </c>
      <c r="H704" t="n">
        <v>0</v>
      </c>
      <c r="I704" t="n">
        <v>0</v>
      </c>
      <c r="J704" t="n">
        <v>0</v>
      </c>
      <c r="K704" t="n">
        <v>0</v>
      </c>
      <c r="L704" t="n">
        <v>0</v>
      </c>
      <c r="M704" t="n">
        <v>0</v>
      </c>
      <c r="N704" t="n">
        <v>0</v>
      </c>
      <c r="O704" t="n">
        <v>0</v>
      </c>
      <c r="P704" t="n">
        <v>0</v>
      </c>
      <c r="Q704" t="n">
        <v>0</v>
      </c>
      <c r="R704" s="2" t="inlineStr"/>
    </row>
    <row r="705" ht="15" customHeight="1">
      <c r="A705" t="inlineStr">
        <is>
          <t>A 51613-2022</t>
        </is>
      </c>
      <c r="B705" s="1" t="n">
        <v>44871</v>
      </c>
      <c r="C705" s="1" t="n">
        <v>46029</v>
      </c>
      <c r="D705" t="inlineStr">
        <is>
          <t>SÖDERMANLANDS LÄN</t>
        </is>
      </c>
      <c r="E705" t="inlineStr">
        <is>
          <t>KATRINEHOLM</t>
        </is>
      </c>
      <c r="G705" t="n">
        <v>3</v>
      </c>
      <c r="H705" t="n">
        <v>0</v>
      </c>
      <c r="I705" t="n">
        <v>0</v>
      </c>
      <c r="J705" t="n">
        <v>0</v>
      </c>
      <c r="K705" t="n">
        <v>0</v>
      </c>
      <c r="L705" t="n">
        <v>0</v>
      </c>
      <c r="M705" t="n">
        <v>0</v>
      </c>
      <c r="N705" t="n">
        <v>0</v>
      </c>
      <c r="O705" t="n">
        <v>0</v>
      </c>
      <c r="P705" t="n">
        <v>0</v>
      </c>
      <c r="Q705" t="n">
        <v>0</v>
      </c>
      <c r="R705" s="2" t="inlineStr"/>
    </row>
    <row r="706" ht="15" customHeight="1">
      <c r="A706" t="inlineStr">
        <is>
          <t>A 37834-2023</t>
        </is>
      </c>
      <c r="B706" s="1" t="n">
        <v>45160</v>
      </c>
      <c r="C706" s="1" t="n">
        <v>46029</v>
      </c>
      <c r="D706" t="inlineStr">
        <is>
          <t>SÖDERMANLANDS LÄN</t>
        </is>
      </c>
      <c r="E706" t="inlineStr">
        <is>
          <t>KATRINEHOLM</t>
        </is>
      </c>
      <c r="F706" t="inlineStr">
        <is>
          <t>Kyrkan</t>
        </is>
      </c>
      <c r="G706" t="n">
        <v>2.8</v>
      </c>
      <c r="H706" t="n">
        <v>0</v>
      </c>
      <c r="I706" t="n">
        <v>0</v>
      </c>
      <c r="J706" t="n">
        <v>0</v>
      </c>
      <c r="K706" t="n">
        <v>0</v>
      </c>
      <c r="L706" t="n">
        <v>0</v>
      </c>
      <c r="M706" t="n">
        <v>0</v>
      </c>
      <c r="N706" t="n">
        <v>0</v>
      </c>
      <c r="O706" t="n">
        <v>0</v>
      </c>
      <c r="P706" t="n">
        <v>0</v>
      </c>
      <c r="Q706" t="n">
        <v>0</v>
      </c>
      <c r="R706" s="2" t="inlineStr"/>
    </row>
    <row r="707" ht="15" customHeight="1">
      <c r="A707" t="inlineStr">
        <is>
          <t>A 8475-2023</t>
        </is>
      </c>
      <c r="B707" s="1" t="n">
        <v>44977</v>
      </c>
      <c r="C707" s="1" t="n">
        <v>46029</v>
      </c>
      <c r="D707" t="inlineStr">
        <is>
          <t>SÖDERMANLANDS LÄN</t>
        </is>
      </c>
      <c r="E707" t="inlineStr">
        <is>
          <t>KATRINEHOLM</t>
        </is>
      </c>
      <c r="F707" t="inlineStr">
        <is>
          <t>Allmännings- och besparingsskogar</t>
        </is>
      </c>
      <c r="G707" t="n">
        <v>8.1</v>
      </c>
      <c r="H707" t="n">
        <v>0</v>
      </c>
      <c r="I707" t="n">
        <v>0</v>
      </c>
      <c r="J707" t="n">
        <v>0</v>
      </c>
      <c r="K707" t="n">
        <v>0</v>
      </c>
      <c r="L707" t="n">
        <v>0</v>
      </c>
      <c r="M707" t="n">
        <v>0</v>
      </c>
      <c r="N707" t="n">
        <v>0</v>
      </c>
      <c r="O707" t="n">
        <v>0</v>
      </c>
      <c r="P707" t="n">
        <v>0</v>
      </c>
      <c r="Q707" t="n">
        <v>0</v>
      </c>
      <c r="R707" s="2" t="inlineStr"/>
    </row>
    <row r="708" ht="15" customHeight="1">
      <c r="A708" t="inlineStr">
        <is>
          <t>A 32890-2024</t>
        </is>
      </c>
      <c r="B708" s="1" t="n">
        <v>45516</v>
      </c>
      <c r="C708" s="1" t="n">
        <v>46029</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2320-2023</t>
        </is>
      </c>
      <c r="B709" s="1" t="n">
        <v>44942.58850694444</v>
      </c>
      <c r="C709" s="1" t="n">
        <v>46029</v>
      </c>
      <c r="D709" t="inlineStr">
        <is>
          <t>SÖDERMANLANDS LÄN</t>
        </is>
      </c>
      <c r="E709" t="inlineStr">
        <is>
          <t>KATRINEHOLM</t>
        </is>
      </c>
      <c r="G709" t="n">
        <v>1.9</v>
      </c>
      <c r="H709" t="n">
        <v>0</v>
      </c>
      <c r="I709" t="n">
        <v>0</v>
      </c>
      <c r="J709" t="n">
        <v>0</v>
      </c>
      <c r="K709" t="n">
        <v>0</v>
      </c>
      <c r="L709" t="n">
        <v>0</v>
      </c>
      <c r="M709" t="n">
        <v>0</v>
      </c>
      <c r="N709" t="n">
        <v>0</v>
      </c>
      <c r="O709" t="n">
        <v>0</v>
      </c>
      <c r="P709" t="n">
        <v>0</v>
      </c>
      <c r="Q709" t="n">
        <v>0</v>
      </c>
      <c r="R709" s="2" t="inlineStr"/>
    </row>
    <row r="710" ht="15" customHeight="1">
      <c r="A710" t="inlineStr">
        <is>
          <t>A 59898-2022</t>
        </is>
      </c>
      <c r="B710" s="1" t="n">
        <v>44908</v>
      </c>
      <c r="C710" s="1" t="n">
        <v>46029</v>
      </c>
      <c r="D710" t="inlineStr">
        <is>
          <t>SÖDERMANLANDS LÄN</t>
        </is>
      </c>
      <c r="E710" t="inlineStr">
        <is>
          <t>KATRINEHOLM</t>
        </is>
      </c>
      <c r="G710" t="n">
        <v>4.8</v>
      </c>
      <c r="H710" t="n">
        <v>0</v>
      </c>
      <c r="I710" t="n">
        <v>0</v>
      </c>
      <c r="J710" t="n">
        <v>0</v>
      </c>
      <c r="K710" t="n">
        <v>0</v>
      </c>
      <c r="L710" t="n">
        <v>0</v>
      </c>
      <c r="M710" t="n">
        <v>0</v>
      </c>
      <c r="N710" t="n">
        <v>0</v>
      </c>
      <c r="O710" t="n">
        <v>0</v>
      </c>
      <c r="P710" t="n">
        <v>0</v>
      </c>
      <c r="Q710" t="n">
        <v>0</v>
      </c>
      <c r="R710" s="2" t="inlineStr"/>
    </row>
    <row r="711" ht="15" customHeight="1">
      <c r="A711" t="inlineStr">
        <is>
          <t>A 20326-2023</t>
        </is>
      </c>
      <c r="B711" s="1" t="n">
        <v>45056.46821759259</v>
      </c>
      <c r="C711" s="1" t="n">
        <v>46029</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46029</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45246-2023</t>
        </is>
      </c>
      <c r="B713" s="1" t="n">
        <v>45191</v>
      </c>
      <c r="C713" s="1" t="n">
        <v>46029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2735-2025</t>
        </is>
      </c>
      <c r="B714" s="1" t="n">
        <v>45677</v>
      </c>
      <c r="C714" s="1" t="n">
        <v>46029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49914-2023</t>
        </is>
      </c>
      <c r="B715" s="1" t="n">
        <v>45214</v>
      </c>
      <c r="C715" s="1" t="n">
        <v>46029</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17335-2023</t>
        </is>
      </c>
      <c r="B716" s="1" t="n">
        <v>45033</v>
      </c>
      <c r="C716" s="1" t="n">
        <v>46029</v>
      </c>
      <c r="D716" t="inlineStr">
        <is>
          <t>SÖDERMANLANDS LÄN</t>
        </is>
      </c>
      <c r="E716" t="inlineStr">
        <is>
          <t>KATRINEHOLM</t>
        </is>
      </c>
      <c r="G716" t="n">
        <v>3.3</v>
      </c>
      <c r="H716" t="n">
        <v>0</v>
      </c>
      <c r="I716" t="n">
        <v>0</v>
      </c>
      <c r="J716" t="n">
        <v>0</v>
      </c>
      <c r="K716" t="n">
        <v>0</v>
      </c>
      <c r="L716" t="n">
        <v>0</v>
      </c>
      <c r="M716" t="n">
        <v>0</v>
      </c>
      <c r="N716" t="n">
        <v>0</v>
      </c>
      <c r="O716" t="n">
        <v>0</v>
      </c>
      <c r="P716" t="n">
        <v>0</v>
      </c>
      <c r="Q716" t="n">
        <v>0</v>
      </c>
      <c r="R716" s="2" t="inlineStr"/>
    </row>
    <row r="717" ht="15" customHeight="1">
      <c r="A717" t="inlineStr">
        <is>
          <t>A 16605-2025</t>
        </is>
      </c>
      <c r="B717" s="1" t="n">
        <v>45753.61614583333</v>
      </c>
      <c r="C717" s="1" t="n">
        <v>46029</v>
      </c>
      <c r="D717" t="inlineStr">
        <is>
          <t>SÖDERMANLANDS LÄN</t>
        </is>
      </c>
      <c r="E717" t="inlineStr">
        <is>
          <t>KATRINEHOLM</t>
        </is>
      </c>
      <c r="G717" t="n">
        <v>5.2</v>
      </c>
      <c r="H717" t="n">
        <v>0</v>
      </c>
      <c r="I717" t="n">
        <v>0</v>
      </c>
      <c r="J717" t="n">
        <v>0</v>
      </c>
      <c r="K717" t="n">
        <v>0</v>
      </c>
      <c r="L717" t="n">
        <v>0</v>
      </c>
      <c r="M717" t="n">
        <v>0</v>
      </c>
      <c r="N717" t="n">
        <v>0</v>
      </c>
      <c r="O717" t="n">
        <v>0</v>
      </c>
      <c r="P717" t="n">
        <v>0</v>
      </c>
      <c r="Q717" t="n">
        <v>0</v>
      </c>
      <c r="R717" s="2" t="inlineStr"/>
    </row>
    <row r="718" ht="15" customHeight="1">
      <c r="A718" t="inlineStr">
        <is>
          <t>A 33141-2023</t>
        </is>
      </c>
      <c r="B718" s="1" t="n">
        <v>45126.65491898148</v>
      </c>
      <c r="C718" s="1" t="n">
        <v>46029</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58528-2024</t>
        </is>
      </c>
      <c r="B719" s="1" t="n">
        <v>45635.44527777778</v>
      </c>
      <c r="C719" s="1" t="n">
        <v>46029</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9899-2023</t>
        </is>
      </c>
      <c r="B720" s="1" t="n">
        <v>44985</v>
      </c>
      <c r="C720" s="1" t="n">
        <v>46029</v>
      </c>
      <c r="D720" t="inlineStr">
        <is>
          <t>SÖDERMANLANDS LÄN</t>
        </is>
      </c>
      <c r="E720" t="inlineStr">
        <is>
          <t>KATRINEHOLM</t>
        </is>
      </c>
      <c r="F720" t="inlineStr">
        <is>
          <t>Allmännings- och besparingsskogar</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8288-2023</t>
        </is>
      </c>
      <c r="B721" s="1" t="n">
        <v>44974</v>
      </c>
      <c r="C721" s="1" t="n">
        <v>46029</v>
      </c>
      <c r="D721" t="inlineStr">
        <is>
          <t>SÖDERMANLANDS LÄN</t>
        </is>
      </c>
      <c r="E721" t="inlineStr">
        <is>
          <t>KATRINEHOLM</t>
        </is>
      </c>
      <c r="F721" t="inlineStr">
        <is>
          <t>Allmännings- och besparingsskogar</t>
        </is>
      </c>
      <c r="G721" t="n">
        <v>5.6</v>
      </c>
      <c r="H721" t="n">
        <v>0</v>
      </c>
      <c r="I721" t="n">
        <v>0</v>
      </c>
      <c r="J721" t="n">
        <v>0</v>
      </c>
      <c r="K721" t="n">
        <v>0</v>
      </c>
      <c r="L721" t="n">
        <v>0</v>
      </c>
      <c r="M721" t="n">
        <v>0</v>
      </c>
      <c r="N721" t="n">
        <v>0</v>
      </c>
      <c r="O721" t="n">
        <v>0</v>
      </c>
      <c r="P721" t="n">
        <v>0</v>
      </c>
      <c r="Q721" t="n">
        <v>0</v>
      </c>
      <c r="R721" s="2" t="inlineStr"/>
    </row>
    <row r="722" ht="15" customHeight="1">
      <c r="A722" t="inlineStr">
        <is>
          <t>A 3317-2023</t>
        </is>
      </c>
      <c r="B722" s="1" t="n">
        <v>44945</v>
      </c>
      <c r="C722" s="1" t="n">
        <v>46029</v>
      </c>
      <c r="D722" t="inlineStr">
        <is>
          <t>SÖDERMANLANDS LÄN</t>
        </is>
      </c>
      <c r="E722" t="inlineStr">
        <is>
          <t>KATRINEHOLM</t>
        </is>
      </c>
      <c r="G722" t="n">
        <v>3.2</v>
      </c>
      <c r="H722" t="n">
        <v>0</v>
      </c>
      <c r="I722" t="n">
        <v>0</v>
      </c>
      <c r="J722" t="n">
        <v>0</v>
      </c>
      <c r="K722" t="n">
        <v>0</v>
      </c>
      <c r="L722" t="n">
        <v>0</v>
      </c>
      <c r="M722" t="n">
        <v>0</v>
      </c>
      <c r="N722" t="n">
        <v>0</v>
      </c>
      <c r="O722" t="n">
        <v>0</v>
      </c>
      <c r="P722" t="n">
        <v>0</v>
      </c>
      <c r="Q722" t="n">
        <v>0</v>
      </c>
      <c r="R722" s="2" t="inlineStr"/>
    </row>
    <row r="723" ht="15" customHeight="1">
      <c r="A723" t="inlineStr">
        <is>
          <t>A 37185-2023</t>
        </is>
      </c>
      <c r="B723" s="1" t="n">
        <v>45154</v>
      </c>
      <c r="C723" s="1" t="n">
        <v>46029</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51848-2022</t>
        </is>
      </c>
      <c r="B724" s="1" t="n">
        <v>44872.57752314815</v>
      </c>
      <c r="C724" s="1" t="n">
        <v>46029</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49218-2023</t>
        </is>
      </c>
      <c r="B725" s="1" t="n">
        <v>45205</v>
      </c>
      <c r="C725" s="1" t="n">
        <v>46029</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55169-2022</t>
        </is>
      </c>
      <c r="B726" s="1" t="n">
        <v>44886</v>
      </c>
      <c r="C726" s="1" t="n">
        <v>46029</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1329-2025</t>
        </is>
      </c>
      <c r="B727" s="1" t="n">
        <v>45667</v>
      </c>
      <c r="C727" s="1" t="n">
        <v>46029</v>
      </c>
      <c r="D727" t="inlineStr">
        <is>
          <t>SÖDERMANLANDS LÄN</t>
        </is>
      </c>
      <c r="E727" t="inlineStr">
        <is>
          <t>KATRINEHOLM</t>
        </is>
      </c>
      <c r="G727" t="n">
        <v>2.7</v>
      </c>
      <c r="H727" t="n">
        <v>0</v>
      </c>
      <c r="I727" t="n">
        <v>0</v>
      </c>
      <c r="J727" t="n">
        <v>0</v>
      </c>
      <c r="K727" t="n">
        <v>0</v>
      </c>
      <c r="L727" t="n">
        <v>0</v>
      </c>
      <c r="M727" t="n">
        <v>0</v>
      </c>
      <c r="N727" t="n">
        <v>0</v>
      </c>
      <c r="O727" t="n">
        <v>0</v>
      </c>
      <c r="P727" t="n">
        <v>0</v>
      </c>
      <c r="Q727" t="n">
        <v>0</v>
      </c>
      <c r="R727" s="2" t="inlineStr"/>
    </row>
    <row r="728" ht="15" customHeight="1">
      <c r="A728" t="inlineStr">
        <is>
          <t>A 61398-2024</t>
        </is>
      </c>
      <c r="B728" s="1" t="n">
        <v>45646.42608796297</v>
      </c>
      <c r="C728" s="1" t="n">
        <v>46029</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24287-2024</t>
        </is>
      </c>
      <c r="B729" s="1" t="n">
        <v>45457</v>
      </c>
      <c r="C729" s="1" t="n">
        <v>46029</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8518-2023</t>
        </is>
      </c>
      <c r="B730" s="1" t="n">
        <v>44977</v>
      </c>
      <c r="C730" s="1" t="n">
        <v>46029</v>
      </c>
      <c r="D730" t="inlineStr">
        <is>
          <t>SÖDERMANLANDS LÄN</t>
        </is>
      </c>
      <c r="E730" t="inlineStr">
        <is>
          <t>KATRINEHOLM</t>
        </is>
      </c>
      <c r="F730" t="inlineStr">
        <is>
          <t>Allmännings- och besparingsskogar</t>
        </is>
      </c>
      <c r="G730" t="n">
        <v>35.3</v>
      </c>
      <c r="H730" t="n">
        <v>0</v>
      </c>
      <c r="I730" t="n">
        <v>0</v>
      </c>
      <c r="J730" t="n">
        <v>0</v>
      </c>
      <c r="K730" t="n">
        <v>0</v>
      </c>
      <c r="L730" t="n">
        <v>0</v>
      </c>
      <c r="M730" t="n">
        <v>0</v>
      </c>
      <c r="N730" t="n">
        <v>0</v>
      </c>
      <c r="O730" t="n">
        <v>0</v>
      </c>
      <c r="P730" t="n">
        <v>0</v>
      </c>
      <c r="Q730" t="n">
        <v>0</v>
      </c>
      <c r="R730" s="2" t="inlineStr"/>
    </row>
    <row r="731" ht="15" customHeight="1">
      <c r="A731" t="inlineStr">
        <is>
          <t>A 48030-2022</t>
        </is>
      </c>
      <c r="B731" s="1" t="n">
        <v>44855</v>
      </c>
      <c r="C731" s="1" t="n">
        <v>46029</v>
      </c>
      <c r="D731" t="inlineStr">
        <is>
          <t>SÖDERMANLANDS LÄN</t>
        </is>
      </c>
      <c r="E731" t="inlineStr">
        <is>
          <t>KATRINEHOLM</t>
        </is>
      </c>
      <c r="F731" t="inlineStr">
        <is>
          <t>Allmännings- och besparingsskogar</t>
        </is>
      </c>
      <c r="G731" t="n">
        <v>1.5</v>
      </c>
      <c r="H731" t="n">
        <v>0</v>
      </c>
      <c r="I731" t="n">
        <v>0</v>
      </c>
      <c r="J731" t="n">
        <v>0</v>
      </c>
      <c r="K731" t="n">
        <v>0</v>
      </c>
      <c r="L731" t="n">
        <v>0</v>
      </c>
      <c r="M731" t="n">
        <v>0</v>
      </c>
      <c r="N731" t="n">
        <v>0</v>
      </c>
      <c r="O731" t="n">
        <v>0</v>
      </c>
      <c r="P731" t="n">
        <v>0</v>
      </c>
      <c r="Q731" t="n">
        <v>0</v>
      </c>
      <c r="R731" s="2" t="inlineStr"/>
    </row>
    <row r="732" ht="15" customHeight="1">
      <c r="A732" t="inlineStr">
        <is>
          <t>A 948-2023</t>
        </is>
      </c>
      <c r="B732" s="1" t="n">
        <v>44934</v>
      </c>
      <c r="C732" s="1" t="n">
        <v>46029</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37542-2022</t>
        </is>
      </c>
      <c r="B733" s="1" t="n">
        <v>44809</v>
      </c>
      <c r="C733" s="1" t="n">
        <v>46029</v>
      </c>
      <c r="D733" t="inlineStr">
        <is>
          <t>SÖDERMANLANDS LÄN</t>
        </is>
      </c>
      <c r="E733" t="inlineStr">
        <is>
          <t>KATRINEHOLM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41229-2022</t>
        </is>
      </c>
      <c r="B734" s="1" t="n">
        <v>44825</v>
      </c>
      <c r="C734" s="1" t="n">
        <v>46029</v>
      </c>
      <c r="D734" t="inlineStr">
        <is>
          <t>SÖDERMANLANDS LÄN</t>
        </is>
      </c>
      <c r="E734" t="inlineStr">
        <is>
          <t>KATRINEHOLM</t>
        </is>
      </c>
      <c r="G734" t="n">
        <v>3.8</v>
      </c>
      <c r="H734" t="n">
        <v>0</v>
      </c>
      <c r="I734" t="n">
        <v>0</v>
      </c>
      <c r="J734" t="n">
        <v>0</v>
      </c>
      <c r="K734" t="n">
        <v>0</v>
      </c>
      <c r="L734" t="n">
        <v>0</v>
      </c>
      <c r="M734" t="n">
        <v>0</v>
      </c>
      <c r="N734" t="n">
        <v>0</v>
      </c>
      <c r="O734" t="n">
        <v>0</v>
      </c>
      <c r="P734" t="n">
        <v>0</v>
      </c>
      <c r="Q734" t="n">
        <v>0</v>
      </c>
      <c r="R734" s="2" t="inlineStr"/>
    </row>
    <row r="735" ht="15" customHeight="1">
      <c r="A735" t="inlineStr">
        <is>
          <t>A 64652-2023</t>
        </is>
      </c>
      <c r="B735" s="1" t="n">
        <v>45281</v>
      </c>
      <c r="C735" s="1" t="n">
        <v>46029</v>
      </c>
      <c r="D735" t="inlineStr">
        <is>
          <t>SÖDERMANLANDS LÄN</t>
        </is>
      </c>
      <c r="E735" t="inlineStr">
        <is>
          <t>KATRINEHOLM</t>
        </is>
      </c>
      <c r="F735" t="inlineStr">
        <is>
          <t>Övriga Aktiebolag</t>
        </is>
      </c>
      <c r="G735" t="n">
        <v>2.2</v>
      </c>
      <c r="H735" t="n">
        <v>0</v>
      </c>
      <c r="I735" t="n">
        <v>0</v>
      </c>
      <c r="J735" t="n">
        <v>0</v>
      </c>
      <c r="K735" t="n">
        <v>0</v>
      </c>
      <c r="L735" t="n">
        <v>0</v>
      </c>
      <c r="M735" t="n">
        <v>0</v>
      </c>
      <c r="N735" t="n">
        <v>0</v>
      </c>
      <c r="O735" t="n">
        <v>0</v>
      </c>
      <c r="P735" t="n">
        <v>0</v>
      </c>
      <c r="Q735" t="n">
        <v>0</v>
      </c>
      <c r="R735" s="2" t="inlineStr"/>
    </row>
    <row r="736" ht="15" customHeight="1">
      <c r="A736" t="inlineStr">
        <is>
          <t>A 51404-2023</t>
        </is>
      </c>
      <c r="B736" s="1" t="n">
        <v>45214</v>
      </c>
      <c r="C736" s="1" t="n">
        <v>46029</v>
      </c>
      <c r="D736" t="inlineStr">
        <is>
          <t>SÖDERMANLANDS LÄN</t>
        </is>
      </c>
      <c r="E736" t="inlineStr">
        <is>
          <t>KATRINEHOLM</t>
        </is>
      </c>
      <c r="G736" t="n">
        <v>9</v>
      </c>
      <c r="H736" t="n">
        <v>0</v>
      </c>
      <c r="I736" t="n">
        <v>0</v>
      </c>
      <c r="J736" t="n">
        <v>0</v>
      </c>
      <c r="K736" t="n">
        <v>0</v>
      </c>
      <c r="L736" t="n">
        <v>0</v>
      </c>
      <c r="M736" t="n">
        <v>0</v>
      </c>
      <c r="N736" t="n">
        <v>0</v>
      </c>
      <c r="O736" t="n">
        <v>0</v>
      </c>
      <c r="P736" t="n">
        <v>0</v>
      </c>
      <c r="Q736" t="n">
        <v>0</v>
      </c>
      <c r="R736" s="2" t="inlineStr"/>
    </row>
    <row r="737" ht="15" customHeight="1">
      <c r="A737" t="inlineStr">
        <is>
          <t>A 41946-2022</t>
        </is>
      </c>
      <c r="B737" s="1" t="n">
        <v>44830.38502314815</v>
      </c>
      <c r="C737" s="1" t="n">
        <v>46029</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3115-2024</t>
        </is>
      </c>
      <c r="B738" s="1" t="n">
        <v>45316.49630787037</v>
      </c>
      <c r="C738" s="1" t="n">
        <v>46029</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61431-2024</t>
        </is>
      </c>
      <c r="B739" s="1" t="n">
        <v>45646.45950231481</v>
      </c>
      <c r="C739" s="1" t="n">
        <v>46029</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44659-2023</t>
        </is>
      </c>
      <c r="B740" s="1" t="n">
        <v>45189</v>
      </c>
      <c r="C740" s="1" t="n">
        <v>46029</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51446-2023</t>
        </is>
      </c>
      <c r="B741" s="1" t="n">
        <v>45220.48068287037</v>
      </c>
      <c r="C741" s="1" t="n">
        <v>46029</v>
      </c>
      <c r="D741" t="inlineStr">
        <is>
          <t>SÖDERMANLANDS LÄN</t>
        </is>
      </c>
      <c r="E741" t="inlineStr">
        <is>
          <t>KATRINEHOLM</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27955-2023</t>
        </is>
      </c>
      <c r="B742" s="1" t="n">
        <v>45098</v>
      </c>
      <c r="C742" s="1" t="n">
        <v>46029</v>
      </c>
      <c r="D742" t="inlineStr">
        <is>
          <t>SÖDERMANLANDS LÄN</t>
        </is>
      </c>
      <c r="E742" t="inlineStr">
        <is>
          <t>KATRINEHOLM</t>
        </is>
      </c>
      <c r="G742" t="n">
        <v>5.9</v>
      </c>
      <c r="H742" t="n">
        <v>0</v>
      </c>
      <c r="I742" t="n">
        <v>0</v>
      </c>
      <c r="J742" t="n">
        <v>0</v>
      </c>
      <c r="K742" t="n">
        <v>0</v>
      </c>
      <c r="L742" t="n">
        <v>0</v>
      </c>
      <c r="M742" t="n">
        <v>0</v>
      </c>
      <c r="N742" t="n">
        <v>0</v>
      </c>
      <c r="O742" t="n">
        <v>0</v>
      </c>
      <c r="P742" t="n">
        <v>0</v>
      </c>
      <c r="Q742" t="n">
        <v>0</v>
      </c>
      <c r="R742" s="2" t="inlineStr"/>
    </row>
    <row r="743" ht="15" customHeight="1">
      <c r="A743" t="inlineStr">
        <is>
          <t>A 4669-2023</t>
        </is>
      </c>
      <c r="B743" s="1" t="n">
        <v>44957</v>
      </c>
      <c r="C743" s="1" t="n">
        <v>46029</v>
      </c>
      <c r="D743" t="inlineStr">
        <is>
          <t>SÖDERMANLANDS LÄN</t>
        </is>
      </c>
      <c r="E743" t="inlineStr">
        <is>
          <t>KATRINEHOLM</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4724-2023</t>
        </is>
      </c>
      <c r="B744" s="1" t="n">
        <v>44957</v>
      </c>
      <c r="C744" s="1" t="n">
        <v>46029</v>
      </c>
      <c r="D744" t="inlineStr">
        <is>
          <t>SÖDERMANLANDS LÄN</t>
        </is>
      </c>
      <c r="E744" t="inlineStr">
        <is>
          <t>KATRINEHOLM</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7197-2023</t>
        </is>
      </c>
      <c r="B745" s="1" t="n">
        <v>44965</v>
      </c>
      <c r="C745" s="1" t="n">
        <v>46029</v>
      </c>
      <c r="D745" t="inlineStr">
        <is>
          <t>SÖDERMANLANDS LÄN</t>
        </is>
      </c>
      <c r="E745" t="inlineStr">
        <is>
          <t>KATRINEHOLM</t>
        </is>
      </c>
      <c r="G745" t="n">
        <v>5.3</v>
      </c>
      <c r="H745" t="n">
        <v>0</v>
      </c>
      <c r="I745" t="n">
        <v>0</v>
      </c>
      <c r="J745" t="n">
        <v>0</v>
      </c>
      <c r="K745" t="n">
        <v>0</v>
      </c>
      <c r="L745" t="n">
        <v>0</v>
      </c>
      <c r="M745" t="n">
        <v>0</v>
      </c>
      <c r="N745" t="n">
        <v>0</v>
      </c>
      <c r="O745" t="n">
        <v>0</v>
      </c>
      <c r="P745" t="n">
        <v>0</v>
      </c>
      <c r="Q745" t="n">
        <v>0</v>
      </c>
      <c r="R745" s="2" t="inlineStr"/>
    </row>
    <row r="746" ht="15" customHeight="1">
      <c r="A746" t="inlineStr">
        <is>
          <t>A 6092-2025</t>
        </is>
      </c>
      <c r="B746" s="1" t="n">
        <v>45697</v>
      </c>
      <c r="C746" s="1" t="n">
        <v>46029</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5327-2025</t>
        </is>
      </c>
      <c r="B747" s="1" t="n">
        <v>45692</v>
      </c>
      <c r="C747" s="1" t="n">
        <v>46029</v>
      </c>
      <c r="D747" t="inlineStr">
        <is>
          <t>SÖDERMANLANDS LÄN</t>
        </is>
      </c>
      <c r="E747" t="inlineStr">
        <is>
          <t>KATRINEHOLM</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12929-2023</t>
        </is>
      </c>
      <c r="B748" s="1" t="n">
        <v>45001</v>
      </c>
      <c r="C748" s="1" t="n">
        <v>46029</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12932-2023</t>
        </is>
      </c>
      <c r="B749" s="1" t="n">
        <v>45001</v>
      </c>
      <c r="C749" s="1" t="n">
        <v>46029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50626-2024</t>
        </is>
      </c>
      <c r="B750" s="1" t="n">
        <v>45601</v>
      </c>
      <c r="C750" s="1" t="n">
        <v>46029</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7398-2024</t>
        </is>
      </c>
      <c r="B751" s="1" t="n">
        <v>45345</v>
      </c>
      <c r="C751" s="1" t="n">
        <v>46029</v>
      </c>
      <c r="D751" t="inlineStr">
        <is>
          <t>SÖDERMANLANDS LÄN</t>
        </is>
      </c>
      <c r="E751" t="inlineStr">
        <is>
          <t>KATRINEHOLM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14629-2023</t>
        </is>
      </c>
      <c r="B752" s="1" t="n">
        <v>45013</v>
      </c>
      <c r="C752" s="1" t="n">
        <v>46029</v>
      </c>
      <c r="D752" t="inlineStr">
        <is>
          <t>SÖDERMANLANDS LÄN</t>
        </is>
      </c>
      <c r="E752" t="inlineStr">
        <is>
          <t>KATRINEHOLM</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49116-2024</t>
        </is>
      </c>
      <c r="B753" s="1" t="n">
        <v>45594.6605787037</v>
      </c>
      <c r="C753" s="1" t="n">
        <v>46029</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2683-2025</t>
        </is>
      </c>
      <c r="B754" s="1" t="n">
        <v>45677</v>
      </c>
      <c r="C754" s="1" t="n">
        <v>46029</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61410-2024</t>
        </is>
      </c>
      <c r="B755" s="1" t="n">
        <v>45646.43950231482</v>
      </c>
      <c r="C755" s="1" t="n">
        <v>46029</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3315-2023</t>
        </is>
      </c>
      <c r="B756" s="1" t="n">
        <v>44945</v>
      </c>
      <c r="C756" s="1" t="n">
        <v>46029</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7867-2024</t>
        </is>
      </c>
      <c r="B757" s="1" t="n">
        <v>45350.32991898148</v>
      </c>
      <c r="C757" s="1" t="n">
        <v>46029</v>
      </c>
      <c r="D757" t="inlineStr">
        <is>
          <t>SÖDERMANLANDS LÄN</t>
        </is>
      </c>
      <c r="E757" t="inlineStr">
        <is>
          <t>KATRINEHOLM</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38869-2024</t>
        </is>
      </c>
      <c r="B758" s="1" t="n">
        <v>45547</v>
      </c>
      <c r="C758" s="1" t="n">
        <v>46029</v>
      </c>
      <c r="D758" t="inlineStr">
        <is>
          <t>SÖDERMANLANDS LÄN</t>
        </is>
      </c>
      <c r="E758" t="inlineStr">
        <is>
          <t>KATRINEHOLM</t>
        </is>
      </c>
      <c r="G758" t="n">
        <v>2.2</v>
      </c>
      <c r="H758" t="n">
        <v>0</v>
      </c>
      <c r="I758" t="n">
        <v>0</v>
      </c>
      <c r="J758" t="n">
        <v>0</v>
      </c>
      <c r="K758" t="n">
        <v>0</v>
      </c>
      <c r="L758" t="n">
        <v>0</v>
      </c>
      <c r="M758" t="n">
        <v>0</v>
      </c>
      <c r="N758" t="n">
        <v>0</v>
      </c>
      <c r="O758" t="n">
        <v>0</v>
      </c>
      <c r="P758" t="n">
        <v>0</v>
      </c>
      <c r="Q758" t="n">
        <v>0</v>
      </c>
      <c r="R758" s="2" t="inlineStr"/>
    </row>
    <row r="759" ht="15" customHeight="1">
      <c r="A759" t="inlineStr">
        <is>
          <t>A 39010-2021</t>
        </is>
      </c>
      <c r="B759" s="1" t="n">
        <v>44412</v>
      </c>
      <c r="C759" s="1" t="n">
        <v>46029</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46029</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46029</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23838-2021</t>
        </is>
      </c>
      <c r="B762" s="1" t="n">
        <v>44335</v>
      </c>
      <c r="C762" s="1" t="n">
        <v>46029</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32943-2024</t>
        </is>
      </c>
      <c r="B763" s="1" t="n">
        <v>45517</v>
      </c>
      <c r="C763" s="1" t="n">
        <v>46029</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46029</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46029</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24983-2024</t>
        </is>
      </c>
      <c r="B766" s="1" t="n">
        <v>45461</v>
      </c>
      <c r="C766" s="1" t="n">
        <v>46029</v>
      </c>
      <c r="D766" t="inlineStr">
        <is>
          <t>SÖDERMANLANDS LÄN</t>
        </is>
      </c>
      <c r="E766" t="inlineStr">
        <is>
          <t>KATRINEHOLM</t>
        </is>
      </c>
      <c r="G766" t="n">
        <v>2.6</v>
      </c>
      <c r="H766" t="n">
        <v>0</v>
      </c>
      <c r="I766" t="n">
        <v>0</v>
      </c>
      <c r="J766" t="n">
        <v>0</v>
      </c>
      <c r="K766" t="n">
        <v>0</v>
      </c>
      <c r="L766" t="n">
        <v>0</v>
      </c>
      <c r="M766" t="n">
        <v>0</v>
      </c>
      <c r="N766" t="n">
        <v>0</v>
      </c>
      <c r="O766" t="n">
        <v>0</v>
      </c>
      <c r="P766" t="n">
        <v>0</v>
      </c>
      <c r="Q766" t="n">
        <v>0</v>
      </c>
      <c r="R766" s="2" t="inlineStr"/>
    </row>
    <row r="767" ht="15" customHeight="1">
      <c r="A767" t="inlineStr">
        <is>
          <t>A 22476-2025</t>
        </is>
      </c>
      <c r="B767" s="1" t="n">
        <v>45786</v>
      </c>
      <c r="C767" s="1" t="n">
        <v>46029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46029</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46029</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c r="A770" t="inlineStr">
        <is>
          <t>A 24902-2024</t>
        </is>
      </c>
      <c r="B770" s="1" t="n">
        <v>45461</v>
      </c>
      <c r="C770" s="1" t="n">
        <v>46029</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2026-01-07T10:43:34Z</dcterms:created>
  <dcterms:modified xmlns:dcterms="http://purl.org/dc/terms/" xmlns:xsi="http://www.w3.org/2001/XMLSchema-instance" xsi:type="dcterms:W3CDTF">2026-01-07T10:43:35Z</dcterms:modified>
</cp:coreProperties>
</file>