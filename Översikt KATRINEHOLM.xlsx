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45990</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45990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45990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45990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45990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45990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45990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45990</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45990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45990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45990</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45990</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45990</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45990</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24718-2025</t>
        </is>
      </c>
      <c r="B24" s="1" t="n">
        <v>45799</v>
      </c>
      <c r="C24" s="1" t="n">
        <v>45990</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56897-2021</t>
        </is>
      </c>
      <c r="B25" s="1" t="n">
        <v>44481</v>
      </c>
      <c r="C25" s="1" t="n">
        <v>45990</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45990</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45990</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45990</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45990</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45990</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45990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45990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45990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45990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45990</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45990</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45990</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45990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45990</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27926-2025</t>
        </is>
      </c>
      <c r="B40" s="1" t="n">
        <v>45814</v>
      </c>
      <c r="C40" s="1" t="n">
        <v>45990</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42055-2025</t>
        </is>
      </c>
      <c r="B41" s="1" t="n">
        <v>45903</v>
      </c>
      <c r="C41" s="1" t="n">
        <v>45990</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7305-2024</t>
        </is>
      </c>
      <c r="B42" s="1" t="n">
        <v>45344</v>
      </c>
      <c r="C42" s="1" t="n">
        <v>45990</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45990</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12238-2023</t>
        </is>
      </c>
      <c r="B44" s="1" t="n">
        <v>44995</v>
      </c>
      <c r="C44" s="1" t="n">
        <v>45990</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45990</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35163-2025</t>
        </is>
      </c>
      <c r="B46" s="1" t="n">
        <v>45852.71136574074</v>
      </c>
      <c r="C46" s="1" t="n">
        <v>45990</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41980-2025</t>
        </is>
      </c>
      <c r="B47" s="1" t="n">
        <v>45903</v>
      </c>
      <c r="C47" s="1" t="n">
        <v>45990</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55700-2025</t>
        </is>
      </c>
      <c r="B48" s="1" t="n">
        <v>45972.45605324074</v>
      </c>
      <c r="C48" s="1" t="n">
        <v>45990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45990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45990</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48199-2025</t>
        </is>
      </c>
      <c r="B51" s="1" t="n">
        <v>45933.47856481482</v>
      </c>
      <c r="C51" s="1" t="n">
        <v>45990</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44413-2024</t>
        </is>
      </c>
      <c r="B52" s="1" t="n">
        <v>45573.77701388889</v>
      </c>
      <c r="C52" s="1" t="n">
        <v>45990</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45990</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45990</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45990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45990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45990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45990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45990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45990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45990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45990</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45990</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45990</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45990</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45990</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45990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45990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45990</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45990</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45990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45990</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45990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45990</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45990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45990</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45990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45990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45990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45990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45990</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45990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45990</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45990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11893-2021</t>
        </is>
      </c>
      <c r="B86" s="1" t="n">
        <v>44265</v>
      </c>
      <c r="C86" s="1" t="n">
        <v>45990</v>
      </c>
      <c r="D86" t="inlineStr">
        <is>
          <t>SÖDERMANLANDS LÄN</t>
        </is>
      </c>
      <c r="E86" t="inlineStr">
        <is>
          <t>KATRINEHOLM</t>
        </is>
      </c>
      <c r="G86" t="n">
        <v>7.1</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45990</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45990</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45990</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45990</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45990</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45990</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45990</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45990</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45990</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45990</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45990</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45990</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45990</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45990</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45990</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45990</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45990</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45990</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45990</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45990</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45990</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45990</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45990</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45990</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45990</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45990</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45990</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45990</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45990</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45990</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45990</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45990</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45990</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45990</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45990</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45990</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45990</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45990</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45990</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45990</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45990</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45990</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45990</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45990</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45990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45990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45990</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45990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45990</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45990</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45990</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45990</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45990</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45990</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45990</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45990</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45990</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45990</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45990</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45990</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45990</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45990</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45990</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45990</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45990</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45990</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45990</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45990</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45990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45990</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45990</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45990</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45990</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45990</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45990</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45990</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45990</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45990</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45990</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45990</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45990</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45990</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45990</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45990</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45990</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45990</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45990</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45990</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45990</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45990</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45990</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45990</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45990</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45990</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45990</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45990</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45990</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45990</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45990</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45990</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45990</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45990</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45990</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45990</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45990</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45990</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45990</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45990</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45990</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45990</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45990</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45990</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45990</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45990</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45990</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71129-2021</t>
        </is>
      </c>
      <c r="B202" s="1" t="n">
        <v>44539</v>
      </c>
      <c r="C202" s="1" t="n">
        <v>45990</v>
      </c>
      <c r="D202" t="inlineStr">
        <is>
          <t>SÖDERMANLANDS LÄN</t>
        </is>
      </c>
      <c r="E202" t="inlineStr">
        <is>
          <t>KATRINEHOLM</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45990</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45990</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50061-2022</t>
        </is>
      </c>
      <c r="B205" s="1" t="n">
        <v>44865</v>
      </c>
      <c r="C205" s="1" t="n">
        <v>45990</v>
      </c>
      <c r="D205" t="inlineStr">
        <is>
          <t>SÖDERMANLANDS LÄN</t>
        </is>
      </c>
      <c r="E205" t="inlineStr">
        <is>
          <t>KATRINEHOLM</t>
        </is>
      </c>
      <c r="G205" t="n">
        <v>4.9</v>
      </c>
      <c r="H205" t="n">
        <v>0</v>
      </c>
      <c r="I205" t="n">
        <v>0</v>
      </c>
      <c r="J205" t="n">
        <v>0</v>
      </c>
      <c r="K205" t="n">
        <v>0</v>
      </c>
      <c r="L205" t="n">
        <v>0</v>
      </c>
      <c r="M205" t="n">
        <v>0</v>
      </c>
      <c r="N205" t="n">
        <v>0</v>
      </c>
      <c r="O205" t="n">
        <v>0</v>
      </c>
      <c r="P205" t="n">
        <v>0</v>
      </c>
      <c r="Q205" t="n">
        <v>0</v>
      </c>
      <c r="R205" s="2" t="inlineStr"/>
    </row>
    <row r="206" ht="15" customHeight="1">
      <c r="A206" t="inlineStr">
        <is>
          <t>A 30333-2023</t>
        </is>
      </c>
      <c r="B206" s="1" t="n">
        <v>45111</v>
      </c>
      <c r="C206" s="1" t="n">
        <v>45990</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6628-2022</t>
        </is>
      </c>
      <c r="B207" s="1" t="n">
        <v>44601.78850694445</v>
      </c>
      <c r="C207" s="1" t="n">
        <v>45990</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10732-2022</t>
        </is>
      </c>
      <c r="B208" s="1" t="n">
        <v>44627.34033564815</v>
      </c>
      <c r="C208" s="1" t="n">
        <v>45990</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45990</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9699-2024</t>
        </is>
      </c>
      <c r="B210" s="1" t="n">
        <v>45362</v>
      </c>
      <c r="C210" s="1" t="n">
        <v>45990</v>
      </c>
      <c r="D210" t="inlineStr">
        <is>
          <t>SÖDERMANLANDS LÄN</t>
        </is>
      </c>
      <c r="E210" t="inlineStr">
        <is>
          <t>KATRINEHOLM</t>
        </is>
      </c>
      <c r="G210" t="n">
        <v>7.7</v>
      </c>
      <c r="H210" t="n">
        <v>0</v>
      </c>
      <c r="I210" t="n">
        <v>0</v>
      </c>
      <c r="J210" t="n">
        <v>0</v>
      </c>
      <c r="K210" t="n">
        <v>0</v>
      </c>
      <c r="L210" t="n">
        <v>0</v>
      </c>
      <c r="M210" t="n">
        <v>0</v>
      </c>
      <c r="N210" t="n">
        <v>0</v>
      </c>
      <c r="O210" t="n">
        <v>0</v>
      </c>
      <c r="P210" t="n">
        <v>0</v>
      </c>
      <c r="Q210" t="n">
        <v>0</v>
      </c>
      <c r="R210" s="2" t="inlineStr"/>
    </row>
    <row r="211" ht="15" customHeight="1">
      <c r="A211" t="inlineStr">
        <is>
          <t>A 39120-2023</t>
        </is>
      </c>
      <c r="B211" s="1" t="n">
        <v>45165</v>
      </c>
      <c r="C211" s="1" t="n">
        <v>45990</v>
      </c>
      <c r="D211" t="inlineStr">
        <is>
          <t>SÖDERMANLANDS LÄN</t>
        </is>
      </c>
      <c r="E211" t="inlineStr">
        <is>
          <t>KATRINEHOLM</t>
        </is>
      </c>
      <c r="G211" t="n">
        <v>4.4</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45990</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33001-2024</t>
        </is>
      </c>
      <c r="B213" s="1" t="n">
        <v>45517</v>
      </c>
      <c r="C213" s="1" t="n">
        <v>45990</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48259-2022</t>
        </is>
      </c>
      <c r="B214" s="1" t="n">
        <v>44858</v>
      </c>
      <c r="C214" s="1" t="n">
        <v>45990</v>
      </c>
      <c r="D214" t="inlineStr">
        <is>
          <t>SÖDERMANLANDS LÄN</t>
        </is>
      </c>
      <c r="E214" t="inlineStr">
        <is>
          <t>KATRINEHOLM</t>
        </is>
      </c>
      <c r="G214" t="n">
        <v>3.5</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45990</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29397-2024</t>
        </is>
      </c>
      <c r="B216" s="1" t="n">
        <v>45483</v>
      </c>
      <c r="C216" s="1" t="n">
        <v>45990</v>
      </c>
      <c r="D216" t="inlineStr">
        <is>
          <t>SÖDERMANLANDS LÄN</t>
        </is>
      </c>
      <c r="E216" t="inlineStr">
        <is>
          <t>KATRINEHOLM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45990</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45990</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45990</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45990</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45990</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7459-2022</t>
        </is>
      </c>
      <c r="B222" s="1" t="n">
        <v>44607.35009259259</v>
      </c>
      <c r="C222" s="1" t="n">
        <v>45990</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13658-2023</t>
        </is>
      </c>
      <c r="B223" s="1" t="n">
        <v>45006</v>
      </c>
      <c r="C223" s="1" t="n">
        <v>45990</v>
      </c>
      <c r="D223" t="inlineStr">
        <is>
          <t>SÖDERMANLANDS LÄN</t>
        </is>
      </c>
      <c r="E223" t="inlineStr">
        <is>
          <t>KATRINEHOLM</t>
        </is>
      </c>
      <c r="F223" t="inlineStr">
        <is>
          <t>Kyrkan</t>
        </is>
      </c>
      <c r="G223" t="n">
        <v>24.3</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45990</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45990</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45990</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45990</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32890-2024</t>
        </is>
      </c>
      <c r="B228" s="1" t="n">
        <v>45516</v>
      </c>
      <c r="C228" s="1" t="n">
        <v>45990</v>
      </c>
      <c r="D228" t="inlineStr">
        <is>
          <t>SÖDERMANLANDS LÄN</t>
        </is>
      </c>
      <c r="E228" t="inlineStr">
        <is>
          <t>KATRINEHOLM</t>
        </is>
      </c>
      <c r="G228" t="n">
        <v>2.6</v>
      </c>
      <c r="H228" t="n">
        <v>0</v>
      </c>
      <c r="I228" t="n">
        <v>0</v>
      </c>
      <c r="J228" t="n">
        <v>0</v>
      </c>
      <c r="K228" t="n">
        <v>0</v>
      </c>
      <c r="L228" t="n">
        <v>0</v>
      </c>
      <c r="M228" t="n">
        <v>0</v>
      </c>
      <c r="N228" t="n">
        <v>0</v>
      </c>
      <c r="O228" t="n">
        <v>0</v>
      </c>
      <c r="P228" t="n">
        <v>0</v>
      </c>
      <c r="Q228" t="n">
        <v>0</v>
      </c>
      <c r="R228" s="2" t="inlineStr"/>
    </row>
    <row r="229" ht="15" customHeight="1">
      <c r="A229" t="inlineStr">
        <is>
          <t>A 39704-2023</t>
        </is>
      </c>
      <c r="B229" s="1" t="n">
        <v>45167</v>
      </c>
      <c r="C229" s="1" t="n">
        <v>45990</v>
      </c>
      <c r="D229" t="inlineStr">
        <is>
          <t>SÖDERMANLANDS LÄN</t>
        </is>
      </c>
      <c r="E229" t="inlineStr">
        <is>
          <t>KATRINEHOLM</t>
        </is>
      </c>
      <c r="F229" t="inlineStr">
        <is>
          <t>Övriga Aktiebolag</t>
        </is>
      </c>
      <c r="G229" t="n">
        <v>3.4</v>
      </c>
      <c r="H229" t="n">
        <v>0</v>
      </c>
      <c r="I229" t="n">
        <v>0</v>
      </c>
      <c r="J229" t="n">
        <v>0</v>
      </c>
      <c r="K229" t="n">
        <v>0</v>
      </c>
      <c r="L229" t="n">
        <v>0</v>
      </c>
      <c r="M229" t="n">
        <v>0</v>
      </c>
      <c r="N229" t="n">
        <v>0</v>
      </c>
      <c r="O229" t="n">
        <v>0</v>
      </c>
      <c r="P229" t="n">
        <v>0</v>
      </c>
      <c r="Q229" t="n">
        <v>0</v>
      </c>
      <c r="R229" s="2" t="inlineStr"/>
    </row>
    <row r="230" ht="15" customHeight="1">
      <c r="A230" t="inlineStr">
        <is>
          <t>A 24287-2024</t>
        </is>
      </c>
      <c r="B230" s="1" t="n">
        <v>45457</v>
      </c>
      <c r="C230" s="1" t="n">
        <v>45990</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24748-2024</t>
        </is>
      </c>
      <c r="B231" s="1" t="n">
        <v>45460.66567129629</v>
      </c>
      <c r="C231" s="1" t="n">
        <v>45990</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15235-2023</t>
        </is>
      </c>
      <c r="B232" s="1" t="n">
        <v>45019</v>
      </c>
      <c r="C232" s="1" t="n">
        <v>45990</v>
      </c>
      <c r="D232" t="inlineStr">
        <is>
          <t>SÖDERMANLANDS LÄN</t>
        </is>
      </c>
      <c r="E232" t="inlineStr">
        <is>
          <t>KATRINEHOLM</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45793-2022</t>
        </is>
      </c>
      <c r="B233" s="1" t="n">
        <v>44844</v>
      </c>
      <c r="C233" s="1" t="n">
        <v>45990</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44915-2022</t>
        </is>
      </c>
      <c r="B234" s="1" t="n">
        <v>44840</v>
      </c>
      <c r="C234" s="1" t="n">
        <v>45990</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15184-2023</t>
        </is>
      </c>
      <c r="B235" s="1" t="n">
        <v>45016</v>
      </c>
      <c r="C235" s="1" t="n">
        <v>45990</v>
      </c>
      <c r="D235" t="inlineStr">
        <is>
          <t>SÖDERMANLANDS LÄN</t>
        </is>
      </c>
      <c r="E235" t="inlineStr">
        <is>
          <t>KATRINEHOLM</t>
        </is>
      </c>
      <c r="G235" t="n">
        <v>1.1</v>
      </c>
      <c r="H235" t="n">
        <v>0</v>
      </c>
      <c r="I235" t="n">
        <v>0</v>
      </c>
      <c r="J235" t="n">
        <v>0</v>
      </c>
      <c r="K235" t="n">
        <v>0</v>
      </c>
      <c r="L235" t="n">
        <v>0</v>
      </c>
      <c r="M235" t="n">
        <v>0</v>
      </c>
      <c r="N235" t="n">
        <v>0</v>
      </c>
      <c r="O235" t="n">
        <v>0</v>
      </c>
      <c r="P235" t="n">
        <v>0</v>
      </c>
      <c r="Q235" t="n">
        <v>0</v>
      </c>
      <c r="R235" s="2" t="inlineStr"/>
    </row>
    <row r="236" ht="15" customHeight="1">
      <c r="A236" t="inlineStr">
        <is>
          <t>A 45438-2021</t>
        </is>
      </c>
      <c r="B236" s="1" t="n">
        <v>44440</v>
      </c>
      <c r="C236" s="1" t="n">
        <v>45990</v>
      </c>
      <c r="D236" t="inlineStr">
        <is>
          <t>SÖDERMANLANDS LÄN</t>
        </is>
      </c>
      <c r="E236" t="inlineStr">
        <is>
          <t>KATRINEHOLM</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18386-2025</t>
        </is>
      </c>
      <c r="B237" s="1" t="n">
        <v>45762</v>
      </c>
      <c r="C237" s="1" t="n">
        <v>45990</v>
      </c>
      <c r="D237" t="inlineStr">
        <is>
          <t>SÖDERMANLANDS LÄN</t>
        </is>
      </c>
      <c r="E237" t="inlineStr">
        <is>
          <t>KATRINEHOLM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4387-2024</t>
        </is>
      </c>
      <c r="B238" s="1" t="n">
        <v>45327.35068287037</v>
      </c>
      <c r="C238" s="1" t="n">
        <v>45990</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14313-2024</t>
        </is>
      </c>
      <c r="B239" s="1" t="n">
        <v>45393</v>
      </c>
      <c r="C239" s="1" t="n">
        <v>45990</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12938-2023</t>
        </is>
      </c>
      <c r="B240" s="1" t="n">
        <v>45001</v>
      </c>
      <c r="C240" s="1" t="n">
        <v>45990</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8955-2024</t>
        </is>
      </c>
      <c r="B241" s="1" t="n">
        <v>45357.44873842593</v>
      </c>
      <c r="C241" s="1" t="n">
        <v>45990</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46569-2022</t>
        </is>
      </c>
      <c r="B242" s="1" t="n">
        <v>44847</v>
      </c>
      <c r="C242" s="1" t="n">
        <v>45990</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19098-2022</t>
        </is>
      </c>
      <c r="B243" s="1" t="n">
        <v>44691.52616898148</v>
      </c>
      <c r="C243" s="1" t="n">
        <v>45990</v>
      </c>
      <c r="D243" t="inlineStr">
        <is>
          <t>SÖDERMANLANDS LÄN</t>
        </is>
      </c>
      <c r="E243" t="inlineStr">
        <is>
          <t>KATRINEHOLM</t>
        </is>
      </c>
      <c r="G243" t="n">
        <v>5.5</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45990</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36001-2024</t>
        </is>
      </c>
      <c r="B245" s="1" t="n">
        <v>45533.54609953704</v>
      </c>
      <c r="C245" s="1" t="n">
        <v>45990</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36-2023</t>
        </is>
      </c>
      <c r="B246" s="1" t="n">
        <v>44928.36578703704</v>
      </c>
      <c r="C246" s="1" t="n">
        <v>45990</v>
      </c>
      <c r="D246" t="inlineStr">
        <is>
          <t>SÖDERMANLANDS LÄN</t>
        </is>
      </c>
      <c r="E246" t="inlineStr">
        <is>
          <t>KATRINEHOLM</t>
        </is>
      </c>
      <c r="G246" t="n">
        <v>3.7</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45990</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45990</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64657-2020</t>
        </is>
      </c>
      <c r="B249" s="1" t="n">
        <v>44169</v>
      </c>
      <c r="C249" s="1" t="n">
        <v>45990</v>
      </c>
      <c r="D249" t="inlineStr">
        <is>
          <t>SÖDERMANLANDS LÄN</t>
        </is>
      </c>
      <c r="E249" t="inlineStr">
        <is>
          <t>KATRINEHOLM</t>
        </is>
      </c>
      <c r="F249" t="inlineStr">
        <is>
          <t>Kyrkan</t>
        </is>
      </c>
      <c r="G249" t="n">
        <v>7.6</v>
      </c>
      <c r="H249" t="n">
        <v>0</v>
      </c>
      <c r="I249" t="n">
        <v>0</v>
      </c>
      <c r="J249" t="n">
        <v>0</v>
      </c>
      <c r="K249" t="n">
        <v>0</v>
      </c>
      <c r="L249" t="n">
        <v>0</v>
      </c>
      <c r="M249" t="n">
        <v>0</v>
      </c>
      <c r="N249" t="n">
        <v>0</v>
      </c>
      <c r="O249" t="n">
        <v>0</v>
      </c>
      <c r="P249" t="n">
        <v>0</v>
      </c>
      <c r="Q249" t="n">
        <v>0</v>
      </c>
      <c r="R249" s="2" t="inlineStr"/>
    </row>
    <row r="250" ht="15" customHeight="1">
      <c r="A250" t="inlineStr">
        <is>
          <t>A 2603-2025</t>
        </is>
      </c>
      <c r="B250" s="1" t="n">
        <v>45674</v>
      </c>
      <c r="C250" s="1" t="n">
        <v>45990</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45990</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45990</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7398-2024</t>
        </is>
      </c>
      <c r="B253" s="1" t="n">
        <v>45345</v>
      </c>
      <c r="C253" s="1" t="n">
        <v>45990</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45990</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61423-2024</t>
        </is>
      </c>
      <c r="B255" s="1" t="n">
        <v>45646.45209490741</v>
      </c>
      <c r="C255" s="1" t="n">
        <v>45990</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24605-2025</t>
        </is>
      </c>
      <c r="B256" s="1" t="n">
        <v>45798.57403935185</v>
      </c>
      <c r="C256" s="1" t="n">
        <v>45990</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53999-2023</t>
        </is>
      </c>
      <c r="B257" s="1" t="n">
        <v>45231</v>
      </c>
      <c r="C257" s="1" t="n">
        <v>45990</v>
      </c>
      <c r="D257" t="inlineStr">
        <is>
          <t>SÖDERMANLANDS LÄN</t>
        </is>
      </c>
      <c r="E257" t="inlineStr">
        <is>
          <t>KATRINEHOLM</t>
        </is>
      </c>
      <c r="G257" t="n">
        <v>5.4</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45990</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24566-2025</t>
        </is>
      </c>
      <c r="B259" s="1" t="n">
        <v>45798.46452546296</v>
      </c>
      <c r="C259" s="1" t="n">
        <v>45990</v>
      </c>
      <c r="D259" t="inlineStr">
        <is>
          <t>SÖDERMANLANDS LÄN</t>
        </is>
      </c>
      <c r="E259" t="inlineStr">
        <is>
          <t>KATRINEHOLM</t>
        </is>
      </c>
      <c r="G259" t="n">
        <v>6.3</v>
      </c>
      <c r="H259" t="n">
        <v>0</v>
      </c>
      <c r="I259" t="n">
        <v>0</v>
      </c>
      <c r="J259" t="n">
        <v>0</v>
      </c>
      <c r="K259" t="n">
        <v>0</v>
      </c>
      <c r="L259" t="n">
        <v>0</v>
      </c>
      <c r="M259" t="n">
        <v>0</v>
      </c>
      <c r="N259" t="n">
        <v>0</v>
      </c>
      <c r="O259" t="n">
        <v>0</v>
      </c>
      <c r="P259" t="n">
        <v>0</v>
      </c>
      <c r="Q259" t="n">
        <v>0</v>
      </c>
      <c r="R259" s="2" t="inlineStr"/>
    </row>
    <row r="260" ht="15" customHeight="1">
      <c r="A260" t="inlineStr">
        <is>
          <t>A 12930-2023</t>
        </is>
      </c>
      <c r="B260" s="1" t="n">
        <v>45001</v>
      </c>
      <c r="C260" s="1" t="n">
        <v>45990</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38308-2021</t>
        </is>
      </c>
      <c r="B261" s="1" t="n">
        <v>44406</v>
      </c>
      <c r="C261" s="1" t="n">
        <v>45990</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45990</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23031-2024</t>
        </is>
      </c>
      <c r="B263" s="1" t="n">
        <v>45450.38120370371</v>
      </c>
      <c r="C263" s="1" t="n">
        <v>45990</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24719-2025</t>
        </is>
      </c>
      <c r="B264" s="1" t="n">
        <v>45799</v>
      </c>
      <c r="C264" s="1" t="n">
        <v>45990</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24717-2025</t>
        </is>
      </c>
      <c r="B265" s="1" t="n">
        <v>45799.27168981481</v>
      </c>
      <c r="C265" s="1" t="n">
        <v>45990</v>
      </c>
      <c r="D265" t="inlineStr">
        <is>
          <t>SÖDERMANLANDS LÄN</t>
        </is>
      </c>
      <c r="E265" t="inlineStr">
        <is>
          <t>KATRINEHOLM</t>
        </is>
      </c>
      <c r="G265" t="n">
        <v>24.5</v>
      </c>
      <c r="H265" t="n">
        <v>0</v>
      </c>
      <c r="I265" t="n">
        <v>0</v>
      </c>
      <c r="J265" t="n">
        <v>0</v>
      </c>
      <c r="K265" t="n">
        <v>0</v>
      </c>
      <c r="L265" t="n">
        <v>0</v>
      </c>
      <c r="M265" t="n">
        <v>0</v>
      </c>
      <c r="N265" t="n">
        <v>0</v>
      </c>
      <c r="O265" t="n">
        <v>0</v>
      </c>
      <c r="P265" t="n">
        <v>0</v>
      </c>
      <c r="Q265" t="n">
        <v>0</v>
      </c>
      <c r="R265" s="2" t="inlineStr"/>
    </row>
    <row r="266" ht="15" customHeight="1">
      <c r="A266" t="inlineStr">
        <is>
          <t>A 15284-2023</t>
        </is>
      </c>
      <c r="B266" s="1" t="n">
        <v>45019</v>
      </c>
      <c r="C266" s="1" t="n">
        <v>45990</v>
      </c>
      <c r="D266" t="inlineStr">
        <is>
          <t>SÖDERMANLANDS LÄN</t>
        </is>
      </c>
      <c r="E266" t="inlineStr">
        <is>
          <t>KATRINEHOLM</t>
        </is>
      </c>
      <c r="F266" t="inlineStr">
        <is>
          <t>Allmännings- och besparingsskogar</t>
        </is>
      </c>
      <c r="G266" t="n">
        <v>17.4</v>
      </c>
      <c r="H266" t="n">
        <v>0</v>
      </c>
      <c r="I266" t="n">
        <v>0</v>
      </c>
      <c r="J266" t="n">
        <v>0</v>
      </c>
      <c r="K266" t="n">
        <v>0</v>
      </c>
      <c r="L266" t="n">
        <v>0</v>
      </c>
      <c r="M266" t="n">
        <v>0</v>
      </c>
      <c r="N266" t="n">
        <v>0</v>
      </c>
      <c r="O266" t="n">
        <v>0</v>
      </c>
      <c r="P266" t="n">
        <v>0</v>
      </c>
      <c r="Q266" t="n">
        <v>0</v>
      </c>
      <c r="R266" s="2" t="inlineStr"/>
    </row>
    <row r="267" ht="15" customHeight="1">
      <c r="A267" t="inlineStr">
        <is>
          <t>A 55856-2022</t>
        </is>
      </c>
      <c r="B267" s="1" t="n">
        <v>44888</v>
      </c>
      <c r="C267" s="1" t="n">
        <v>45990</v>
      </c>
      <c r="D267" t="inlineStr">
        <is>
          <t>SÖDERMANLANDS LÄN</t>
        </is>
      </c>
      <c r="E267" t="inlineStr">
        <is>
          <t>KATRINEHOLM</t>
        </is>
      </c>
      <c r="G267" t="n">
        <v>5.6</v>
      </c>
      <c r="H267" t="n">
        <v>0</v>
      </c>
      <c r="I267" t="n">
        <v>0</v>
      </c>
      <c r="J267" t="n">
        <v>0</v>
      </c>
      <c r="K267" t="n">
        <v>0</v>
      </c>
      <c r="L267" t="n">
        <v>0</v>
      </c>
      <c r="M267" t="n">
        <v>0</v>
      </c>
      <c r="N267" t="n">
        <v>0</v>
      </c>
      <c r="O267" t="n">
        <v>0</v>
      </c>
      <c r="P267" t="n">
        <v>0</v>
      </c>
      <c r="Q267" t="n">
        <v>0</v>
      </c>
      <c r="R267" s="2" t="inlineStr"/>
    </row>
    <row r="268" ht="15" customHeight="1">
      <c r="A268" t="inlineStr">
        <is>
          <t>A 37542-2022</t>
        </is>
      </c>
      <c r="B268" s="1" t="n">
        <v>44809</v>
      </c>
      <c r="C268" s="1" t="n">
        <v>45990</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45990</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45990</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45990</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25786-2025</t>
        </is>
      </c>
      <c r="B272" s="1" t="n">
        <v>45804.37456018518</v>
      </c>
      <c r="C272" s="1" t="n">
        <v>45990</v>
      </c>
      <c r="D272" t="inlineStr">
        <is>
          <t>SÖDERMANLANDS LÄN</t>
        </is>
      </c>
      <c r="E272" t="inlineStr">
        <is>
          <t>KATRINEHOLM</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26154-2025</t>
        </is>
      </c>
      <c r="B273" s="1" t="n">
        <v>45805.43341435185</v>
      </c>
      <c r="C273" s="1" t="n">
        <v>45990</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26156-2025</t>
        </is>
      </c>
      <c r="B274" s="1" t="n">
        <v>45805.43864583333</v>
      </c>
      <c r="C274" s="1" t="n">
        <v>45990</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39668-2025</t>
        </is>
      </c>
      <c r="B275" s="1" t="n">
        <v>45890</v>
      </c>
      <c r="C275" s="1" t="n">
        <v>45990</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41205-2021</t>
        </is>
      </c>
      <c r="B276" s="1" t="n">
        <v>44424.38577546296</v>
      </c>
      <c r="C276" s="1" t="n">
        <v>45990</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55296-2022</t>
        </is>
      </c>
      <c r="B277" s="1" t="n">
        <v>44887</v>
      </c>
      <c r="C277" s="1" t="n">
        <v>45990</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9932-2023</t>
        </is>
      </c>
      <c r="B278" s="1" t="n">
        <v>44985.46709490741</v>
      </c>
      <c r="C278" s="1" t="n">
        <v>45990</v>
      </c>
      <c r="D278" t="inlineStr">
        <is>
          <t>SÖDERMANLANDS LÄN</t>
        </is>
      </c>
      <c r="E278" t="inlineStr">
        <is>
          <t>KATRINEHOLM</t>
        </is>
      </c>
      <c r="G278" t="n">
        <v>0.3</v>
      </c>
      <c r="H278" t="n">
        <v>0</v>
      </c>
      <c r="I278" t="n">
        <v>0</v>
      </c>
      <c r="J278" t="n">
        <v>0</v>
      </c>
      <c r="K278" t="n">
        <v>0</v>
      </c>
      <c r="L278" t="n">
        <v>0</v>
      </c>
      <c r="M278" t="n">
        <v>0</v>
      </c>
      <c r="N278" t="n">
        <v>0</v>
      </c>
      <c r="O278" t="n">
        <v>0</v>
      </c>
      <c r="P278" t="n">
        <v>0</v>
      </c>
      <c r="Q278" t="n">
        <v>0</v>
      </c>
      <c r="R278" s="2" t="inlineStr"/>
    </row>
    <row r="279" ht="15" customHeight="1">
      <c r="A279" t="inlineStr">
        <is>
          <t>A 39737-2025</t>
        </is>
      </c>
      <c r="B279" s="1" t="n">
        <v>45891</v>
      </c>
      <c r="C279" s="1" t="n">
        <v>45990</v>
      </c>
      <c r="D279" t="inlineStr">
        <is>
          <t>SÖDERMANLANDS LÄN</t>
        </is>
      </c>
      <c r="E279" t="inlineStr">
        <is>
          <t>KATRINEHOLM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42590-2022</t>
        </is>
      </c>
      <c r="B280" s="1" t="n">
        <v>44831</v>
      </c>
      <c r="C280" s="1" t="n">
        <v>45990</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39847-2025</t>
        </is>
      </c>
      <c r="B281" s="1" t="n">
        <v>45891.58381944444</v>
      </c>
      <c r="C281" s="1" t="n">
        <v>45990</v>
      </c>
      <c r="D281" t="inlineStr">
        <is>
          <t>SÖDERMANLANDS LÄN</t>
        </is>
      </c>
      <c r="E281" t="inlineStr">
        <is>
          <t>KATRINEHOLM</t>
        </is>
      </c>
      <c r="F281" t="inlineStr">
        <is>
          <t>Holmen skog AB</t>
        </is>
      </c>
      <c r="G281" t="n">
        <v>2.5</v>
      </c>
      <c r="H281" t="n">
        <v>0</v>
      </c>
      <c r="I281" t="n">
        <v>0</v>
      </c>
      <c r="J281" t="n">
        <v>0</v>
      </c>
      <c r="K281" t="n">
        <v>0</v>
      </c>
      <c r="L281" t="n">
        <v>0</v>
      </c>
      <c r="M281" t="n">
        <v>0</v>
      </c>
      <c r="N281" t="n">
        <v>0</v>
      </c>
      <c r="O281" t="n">
        <v>0</v>
      </c>
      <c r="P281" t="n">
        <v>0</v>
      </c>
      <c r="Q281" t="n">
        <v>0</v>
      </c>
      <c r="R281" s="2" t="inlineStr"/>
    </row>
    <row r="282" ht="15" customHeight="1">
      <c r="A282" t="inlineStr">
        <is>
          <t>A 39663-2025</t>
        </is>
      </c>
      <c r="B282" s="1" t="n">
        <v>45890</v>
      </c>
      <c r="C282" s="1" t="n">
        <v>45990</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17360-2022</t>
        </is>
      </c>
      <c r="B283" s="1" t="n">
        <v>44678</v>
      </c>
      <c r="C283" s="1" t="n">
        <v>45990</v>
      </c>
      <c r="D283" t="inlineStr">
        <is>
          <t>SÖDERMANLANDS LÄN</t>
        </is>
      </c>
      <c r="E283" t="inlineStr">
        <is>
          <t>KATRINEHOLM</t>
        </is>
      </c>
      <c r="G283" t="n">
        <v>4.5</v>
      </c>
      <c r="H283" t="n">
        <v>0</v>
      </c>
      <c r="I283" t="n">
        <v>0</v>
      </c>
      <c r="J283" t="n">
        <v>0</v>
      </c>
      <c r="K283" t="n">
        <v>0</v>
      </c>
      <c r="L283" t="n">
        <v>0</v>
      </c>
      <c r="M283" t="n">
        <v>0</v>
      </c>
      <c r="N283" t="n">
        <v>0</v>
      </c>
      <c r="O283" t="n">
        <v>0</v>
      </c>
      <c r="P283" t="n">
        <v>0</v>
      </c>
      <c r="Q283" t="n">
        <v>0</v>
      </c>
      <c r="R283" s="2" t="inlineStr"/>
    </row>
    <row r="284" ht="15" customHeight="1">
      <c r="A284" t="inlineStr">
        <is>
          <t>A 39645-2025</t>
        </is>
      </c>
      <c r="B284" s="1" t="n">
        <v>45890</v>
      </c>
      <c r="C284" s="1" t="n">
        <v>45990</v>
      </c>
      <c r="D284" t="inlineStr">
        <is>
          <t>SÖDERMANLANDS LÄN</t>
        </is>
      </c>
      <c r="E284" t="inlineStr">
        <is>
          <t>KATRINEHOLM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48520-2023</t>
        </is>
      </c>
      <c r="B285" s="1" t="n">
        <v>45208</v>
      </c>
      <c r="C285" s="1" t="n">
        <v>45990</v>
      </c>
      <c r="D285" t="inlineStr">
        <is>
          <t>SÖDERMANLANDS LÄN</t>
        </is>
      </c>
      <c r="E285" t="inlineStr">
        <is>
          <t>KATRINEHOLM</t>
        </is>
      </c>
      <c r="G285" t="n">
        <v>1</v>
      </c>
      <c r="H285" t="n">
        <v>0</v>
      </c>
      <c r="I285" t="n">
        <v>0</v>
      </c>
      <c r="J285" t="n">
        <v>0</v>
      </c>
      <c r="K285" t="n">
        <v>0</v>
      </c>
      <c r="L285" t="n">
        <v>0</v>
      </c>
      <c r="M285" t="n">
        <v>0</v>
      </c>
      <c r="N285" t="n">
        <v>0</v>
      </c>
      <c r="O285" t="n">
        <v>0</v>
      </c>
      <c r="P285" t="n">
        <v>0</v>
      </c>
      <c r="Q285" t="n">
        <v>0</v>
      </c>
      <c r="R285" s="2" t="inlineStr"/>
    </row>
    <row r="286" ht="15" customHeight="1">
      <c r="A286" t="inlineStr">
        <is>
          <t>A 9693-2024</t>
        </is>
      </c>
      <c r="B286" s="1" t="n">
        <v>45362</v>
      </c>
      <c r="C286" s="1" t="n">
        <v>45990</v>
      </c>
      <c r="D286" t="inlineStr">
        <is>
          <t>SÖDERMANLANDS LÄN</t>
        </is>
      </c>
      <c r="E286" t="inlineStr">
        <is>
          <t>KATRINEHOLM</t>
        </is>
      </c>
      <c r="G286" t="n">
        <v>5.9</v>
      </c>
      <c r="H286" t="n">
        <v>0</v>
      </c>
      <c r="I286" t="n">
        <v>0</v>
      </c>
      <c r="J286" t="n">
        <v>0</v>
      </c>
      <c r="K286" t="n">
        <v>0</v>
      </c>
      <c r="L286" t="n">
        <v>0</v>
      </c>
      <c r="M286" t="n">
        <v>0</v>
      </c>
      <c r="N286" t="n">
        <v>0</v>
      </c>
      <c r="O286" t="n">
        <v>0</v>
      </c>
      <c r="P286" t="n">
        <v>0</v>
      </c>
      <c r="Q286" t="n">
        <v>0</v>
      </c>
      <c r="R286" s="2" t="inlineStr"/>
    </row>
    <row r="287" ht="15" customHeight="1">
      <c r="A287" t="inlineStr">
        <is>
          <t>A 32818-2023</t>
        </is>
      </c>
      <c r="B287" s="1" t="n">
        <v>45124.55633101852</v>
      </c>
      <c r="C287" s="1" t="n">
        <v>45990</v>
      </c>
      <c r="D287" t="inlineStr">
        <is>
          <t>SÖDERMANLANDS LÄN</t>
        </is>
      </c>
      <c r="E287" t="inlineStr">
        <is>
          <t>KATRINEHOLM</t>
        </is>
      </c>
      <c r="G287" t="n">
        <v>3.4</v>
      </c>
      <c r="H287" t="n">
        <v>0</v>
      </c>
      <c r="I287" t="n">
        <v>0</v>
      </c>
      <c r="J287" t="n">
        <v>0</v>
      </c>
      <c r="K287" t="n">
        <v>0</v>
      </c>
      <c r="L287" t="n">
        <v>0</v>
      </c>
      <c r="M287" t="n">
        <v>0</v>
      </c>
      <c r="N287" t="n">
        <v>0</v>
      </c>
      <c r="O287" t="n">
        <v>0</v>
      </c>
      <c r="P287" t="n">
        <v>0</v>
      </c>
      <c r="Q287" t="n">
        <v>0</v>
      </c>
      <c r="R287" s="2" t="inlineStr"/>
    </row>
    <row r="288" ht="15" customHeight="1">
      <c r="A288" t="inlineStr">
        <is>
          <t>A 35864-2023</t>
        </is>
      </c>
      <c r="B288" s="1" t="n">
        <v>45147</v>
      </c>
      <c r="C288" s="1" t="n">
        <v>45990</v>
      </c>
      <c r="D288" t="inlineStr">
        <is>
          <t>SÖDERMANLANDS LÄN</t>
        </is>
      </c>
      <c r="E288" t="inlineStr">
        <is>
          <t>KATRINEHOLM</t>
        </is>
      </c>
      <c r="F288" t="inlineStr">
        <is>
          <t>Övriga Aktiebolag</t>
        </is>
      </c>
      <c r="G288" t="n">
        <v>4.7</v>
      </c>
      <c r="H288" t="n">
        <v>0</v>
      </c>
      <c r="I288" t="n">
        <v>0</v>
      </c>
      <c r="J288" t="n">
        <v>0</v>
      </c>
      <c r="K288" t="n">
        <v>0</v>
      </c>
      <c r="L288" t="n">
        <v>0</v>
      </c>
      <c r="M288" t="n">
        <v>0</v>
      </c>
      <c r="N288" t="n">
        <v>0</v>
      </c>
      <c r="O288" t="n">
        <v>0</v>
      </c>
      <c r="P288" t="n">
        <v>0</v>
      </c>
      <c r="Q288" t="n">
        <v>0</v>
      </c>
      <c r="R288" s="2" t="inlineStr"/>
    </row>
    <row r="289" ht="15" customHeight="1">
      <c r="A289" t="inlineStr">
        <is>
          <t>A 27552-2025</t>
        </is>
      </c>
      <c r="B289" s="1" t="n">
        <v>45813</v>
      </c>
      <c r="C289" s="1" t="n">
        <v>45990</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27534-2025</t>
        </is>
      </c>
      <c r="B290" s="1" t="n">
        <v>45813</v>
      </c>
      <c r="C290" s="1" t="n">
        <v>45990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6810-2023</t>
        </is>
      </c>
      <c r="B291" s="1" t="n">
        <v>44964</v>
      </c>
      <c r="C291" s="1" t="n">
        <v>45990</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11635-2023</t>
        </is>
      </c>
      <c r="B292" s="1" t="n">
        <v>44994</v>
      </c>
      <c r="C292" s="1" t="n">
        <v>45990</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34732-2022</t>
        </is>
      </c>
      <c r="B293" s="1" t="n">
        <v>44795</v>
      </c>
      <c r="C293" s="1" t="n">
        <v>45990</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45990</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3982-2024</t>
        </is>
      </c>
      <c r="B295" s="1" t="n">
        <v>45322</v>
      </c>
      <c r="C295" s="1" t="n">
        <v>45990</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13086-2023</t>
        </is>
      </c>
      <c r="B296" s="1" t="n">
        <v>45002.42188657408</v>
      </c>
      <c r="C296" s="1" t="n">
        <v>45990</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41074-2025</t>
        </is>
      </c>
      <c r="B297" s="1" t="n">
        <v>45898</v>
      </c>
      <c r="C297" s="1" t="n">
        <v>45990</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24600-2025</t>
        </is>
      </c>
      <c r="B298" s="1" t="n">
        <v>45798.56348379629</v>
      </c>
      <c r="C298" s="1" t="n">
        <v>45990</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17820-2025</t>
        </is>
      </c>
      <c r="B299" s="1" t="n">
        <v>45758</v>
      </c>
      <c r="C299" s="1" t="n">
        <v>45990</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57154-2023</t>
        </is>
      </c>
      <c r="B300" s="1" t="n">
        <v>45245</v>
      </c>
      <c r="C300" s="1" t="n">
        <v>45990</v>
      </c>
      <c r="D300" t="inlineStr">
        <is>
          <t>SÖDERMANLANDS LÄN</t>
        </is>
      </c>
      <c r="E300" t="inlineStr">
        <is>
          <t>KATRINEHOLM</t>
        </is>
      </c>
      <c r="F300" t="inlineStr">
        <is>
          <t>Allmännings- och besparingsskogar</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41548-2025</t>
        </is>
      </c>
      <c r="B301" s="1" t="n">
        <v>45901</v>
      </c>
      <c r="C301" s="1" t="n">
        <v>45990</v>
      </c>
      <c r="D301" t="inlineStr">
        <is>
          <t>SÖDERMANLANDS LÄN</t>
        </is>
      </c>
      <c r="E301" t="inlineStr">
        <is>
          <t>KATRINEHOLM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41633-2025</t>
        </is>
      </c>
      <c r="B302" s="1" t="n">
        <v>45901</v>
      </c>
      <c r="C302" s="1" t="n">
        <v>45990</v>
      </c>
      <c r="D302" t="inlineStr">
        <is>
          <t>SÖDERMANLANDS LÄN</t>
        </is>
      </c>
      <c r="E302" t="inlineStr">
        <is>
          <t>KATRINEHOLM</t>
        </is>
      </c>
      <c r="G302" t="n">
        <v>2.1</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45990</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12633-2022</t>
        </is>
      </c>
      <c r="B304" s="1" t="n">
        <v>44638</v>
      </c>
      <c r="C304" s="1" t="n">
        <v>45990</v>
      </c>
      <c r="D304" t="inlineStr">
        <is>
          <t>SÖDERMANLANDS LÄN</t>
        </is>
      </c>
      <c r="E304" t="inlineStr">
        <is>
          <t>KATRINEHOLM</t>
        </is>
      </c>
      <c r="G304" t="n">
        <v>6.4</v>
      </c>
      <c r="H304" t="n">
        <v>0</v>
      </c>
      <c r="I304" t="n">
        <v>0</v>
      </c>
      <c r="J304" t="n">
        <v>0</v>
      </c>
      <c r="K304" t="n">
        <v>0</v>
      </c>
      <c r="L304" t="n">
        <v>0</v>
      </c>
      <c r="M304" t="n">
        <v>0</v>
      </c>
      <c r="N304" t="n">
        <v>0</v>
      </c>
      <c r="O304" t="n">
        <v>0</v>
      </c>
      <c r="P304" t="n">
        <v>0</v>
      </c>
      <c r="Q304" t="n">
        <v>0</v>
      </c>
      <c r="R304" s="2" t="inlineStr"/>
    </row>
    <row r="305" ht="15" customHeight="1">
      <c r="A305" t="inlineStr">
        <is>
          <t>A 41632-2025</t>
        </is>
      </c>
      <c r="B305" s="1" t="n">
        <v>45901</v>
      </c>
      <c r="C305" s="1" t="n">
        <v>45990</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30242-2023</t>
        </is>
      </c>
      <c r="B306" s="1" t="n">
        <v>45099</v>
      </c>
      <c r="C306" s="1" t="n">
        <v>45990</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41498-2025</t>
        </is>
      </c>
      <c r="B307" s="1" t="n">
        <v>45901.49755787037</v>
      </c>
      <c r="C307" s="1" t="n">
        <v>45990</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57265-2022</t>
        </is>
      </c>
      <c r="B308" s="1" t="n">
        <v>44895</v>
      </c>
      <c r="C308" s="1" t="n">
        <v>45990</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45990</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6298-2024</t>
        </is>
      </c>
      <c r="B310" s="1" t="n">
        <v>45338.34245370371</v>
      </c>
      <c r="C310" s="1" t="n">
        <v>45990</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45990</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45990</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29189-2025</t>
        </is>
      </c>
      <c r="B313" s="1" t="n">
        <v>45822</v>
      </c>
      <c r="C313" s="1" t="n">
        <v>45990</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48877-2022</t>
        </is>
      </c>
      <c r="B314" s="1" t="n">
        <v>44859</v>
      </c>
      <c r="C314" s="1" t="n">
        <v>45990</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42474-2025</t>
        </is>
      </c>
      <c r="B315" s="1" t="n">
        <v>45905.46659722222</v>
      </c>
      <c r="C315" s="1" t="n">
        <v>45990</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34539-2022</t>
        </is>
      </c>
      <c r="B316" s="1" t="n">
        <v>44793.50563657407</v>
      </c>
      <c r="C316" s="1" t="n">
        <v>45990</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3115-2024</t>
        </is>
      </c>
      <c r="B317" s="1" t="n">
        <v>45316.49630787037</v>
      </c>
      <c r="C317" s="1" t="n">
        <v>45990</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30287-2025</t>
        </is>
      </c>
      <c r="B318" s="1" t="n">
        <v>45827</v>
      </c>
      <c r="C318" s="1" t="n">
        <v>45990</v>
      </c>
      <c r="D318" t="inlineStr">
        <is>
          <t>SÖDERMANLANDS LÄN</t>
        </is>
      </c>
      <c r="E318" t="inlineStr">
        <is>
          <t>KATRINEHOLM</t>
        </is>
      </c>
      <c r="G318" t="n">
        <v>10.2</v>
      </c>
      <c r="H318" t="n">
        <v>0</v>
      </c>
      <c r="I318" t="n">
        <v>0</v>
      </c>
      <c r="J318" t="n">
        <v>0</v>
      </c>
      <c r="K318" t="n">
        <v>0</v>
      </c>
      <c r="L318" t="n">
        <v>0</v>
      </c>
      <c r="M318" t="n">
        <v>0</v>
      </c>
      <c r="N318" t="n">
        <v>0</v>
      </c>
      <c r="O318" t="n">
        <v>0</v>
      </c>
      <c r="P318" t="n">
        <v>0</v>
      </c>
      <c r="Q318" t="n">
        <v>0</v>
      </c>
      <c r="R318" s="2" t="inlineStr"/>
    </row>
    <row r="319" ht="15" customHeight="1">
      <c r="A319" t="inlineStr">
        <is>
          <t>A 30352-2025</t>
        </is>
      </c>
      <c r="B319" s="1" t="n">
        <v>45827</v>
      </c>
      <c r="C319" s="1" t="n">
        <v>45990</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30050-2025</t>
        </is>
      </c>
      <c r="B320" s="1" t="n">
        <v>45826.59151620371</v>
      </c>
      <c r="C320" s="1" t="n">
        <v>45990</v>
      </c>
      <c r="D320" t="inlineStr">
        <is>
          <t>SÖDERMANLANDS LÄN</t>
        </is>
      </c>
      <c r="E320" t="inlineStr">
        <is>
          <t>KATRINEHOLM</t>
        </is>
      </c>
      <c r="G320" t="n">
        <v>7.9</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45990</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30350-2025</t>
        </is>
      </c>
      <c r="B322" s="1" t="n">
        <v>45827.53319444445</v>
      </c>
      <c r="C322" s="1" t="n">
        <v>45990</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30386-2025</t>
        </is>
      </c>
      <c r="B323" s="1" t="n">
        <v>45827</v>
      </c>
      <c r="C323" s="1" t="n">
        <v>45990</v>
      </c>
      <c r="D323" t="inlineStr">
        <is>
          <t>SÖDERMANLANDS LÄN</t>
        </is>
      </c>
      <c r="E323" t="inlineStr">
        <is>
          <t>KATRINEHOLM</t>
        </is>
      </c>
      <c r="G323" t="n">
        <v>5.6</v>
      </c>
      <c r="H323" t="n">
        <v>0</v>
      </c>
      <c r="I323" t="n">
        <v>0</v>
      </c>
      <c r="J323" t="n">
        <v>0</v>
      </c>
      <c r="K323" t="n">
        <v>0</v>
      </c>
      <c r="L323" t="n">
        <v>0</v>
      </c>
      <c r="M323" t="n">
        <v>0</v>
      </c>
      <c r="N323" t="n">
        <v>0</v>
      </c>
      <c r="O323" t="n">
        <v>0</v>
      </c>
      <c r="P323" t="n">
        <v>0</v>
      </c>
      <c r="Q323" t="n">
        <v>0</v>
      </c>
      <c r="R323" s="2" t="inlineStr"/>
    </row>
    <row r="324" ht="15" customHeight="1">
      <c r="A324" t="inlineStr">
        <is>
          <t>A 30070-2025</t>
        </is>
      </c>
      <c r="B324" s="1" t="n">
        <v>45826.63324074074</v>
      </c>
      <c r="C324" s="1" t="n">
        <v>45990</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45990</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51367-2025</t>
        </is>
      </c>
      <c r="B326" s="1" t="n">
        <v>45950.44700231482</v>
      </c>
      <c r="C326" s="1" t="n">
        <v>45990</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42799-2025</t>
        </is>
      </c>
      <c r="B327" s="1" t="n">
        <v>45907</v>
      </c>
      <c r="C327" s="1" t="n">
        <v>45990</v>
      </c>
      <c r="D327" t="inlineStr">
        <is>
          <t>SÖDERMANLANDS LÄN</t>
        </is>
      </c>
      <c r="E327" t="inlineStr">
        <is>
          <t>KATRINEHOLM</t>
        </is>
      </c>
      <c r="G327" t="n">
        <v>3.9</v>
      </c>
      <c r="H327" t="n">
        <v>0</v>
      </c>
      <c r="I327" t="n">
        <v>0</v>
      </c>
      <c r="J327" t="n">
        <v>0</v>
      </c>
      <c r="K327" t="n">
        <v>0</v>
      </c>
      <c r="L327" t="n">
        <v>0</v>
      </c>
      <c r="M327" t="n">
        <v>0</v>
      </c>
      <c r="N327" t="n">
        <v>0</v>
      </c>
      <c r="O327" t="n">
        <v>0</v>
      </c>
      <c r="P327" t="n">
        <v>0</v>
      </c>
      <c r="Q327" t="n">
        <v>0</v>
      </c>
      <c r="R327" s="2" t="inlineStr"/>
    </row>
    <row r="328" ht="15" customHeight="1">
      <c r="A328" t="inlineStr">
        <is>
          <t>A 7223-2022</t>
        </is>
      </c>
      <c r="B328" s="1" t="n">
        <v>44603</v>
      </c>
      <c r="C328" s="1" t="n">
        <v>45990</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30402-2025</t>
        </is>
      </c>
      <c r="B329" s="1" t="n">
        <v>45827</v>
      </c>
      <c r="C329" s="1" t="n">
        <v>45990</v>
      </c>
      <c r="D329" t="inlineStr">
        <is>
          <t>SÖDERMANLANDS LÄN</t>
        </is>
      </c>
      <c r="E329" t="inlineStr">
        <is>
          <t>KATRINEHOLM</t>
        </is>
      </c>
      <c r="G329" t="n">
        <v>7.1</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45990</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51774-2025</t>
        </is>
      </c>
      <c r="B331" s="1" t="n">
        <v>45951.65359953704</v>
      </c>
      <c r="C331" s="1" t="n">
        <v>45990</v>
      </c>
      <c r="D331" t="inlineStr">
        <is>
          <t>SÖDERMANLANDS LÄN</t>
        </is>
      </c>
      <c r="E331" t="inlineStr">
        <is>
          <t>KATRINEHOLM</t>
        </is>
      </c>
      <c r="F331" t="inlineStr">
        <is>
          <t>Allmännings- och besparingsskogar</t>
        </is>
      </c>
      <c r="G331" t="n">
        <v>3.7</v>
      </c>
      <c r="H331" t="n">
        <v>0</v>
      </c>
      <c r="I331" t="n">
        <v>0</v>
      </c>
      <c r="J331" t="n">
        <v>0</v>
      </c>
      <c r="K331" t="n">
        <v>0</v>
      </c>
      <c r="L331" t="n">
        <v>0</v>
      </c>
      <c r="M331" t="n">
        <v>0</v>
      </c>
      <c r="N331" t="n">
        <v>0</v>
      </c>
      <c r="O331" t="n">
        <v>0</v>
      </c>
      <c r="P331" t="n">
        <v>0</v>
      </c>
      <c r="Q331" t="n">
        <v>0</v>
      </c>
      <c r="R331" s="2" t="inlineStr"/>
    </row>
    <row r="332" ht="15" customHeight="1">
      <c r="A332" t="inlineStr">
        <is>
          <t>A 51783-2025</t>
        </is>
      </c>
      <c r="B332" s="1" t="n">
        <v>45951.67546296296</v>
      </c>
      <c r="C332" s="1" t="n">
        <v>45990</v>
      </c>
      <c r="D332" t="inlineStr">
        <is>
          <t>SÖDERMANLANDS LÄN</t>
        </is>
      </c>
      <c r="E332" t="inlineStr">
        <is>
          <t>KATRINEHOLM</t>
        </is>
      </c>
      <c r="F332" t="inlineStr">
        <is>
          <t>Allmännings- och besparingsskogar</t>
        </is>
      </c>
      <c r="G332" t="n">
        <v>5.8</v>
      </c>
      <c r="H332" t="n">
        <v>0</v>
      </c>
      <c r="I332" t="n">
        <v>0</v>
      </c>
      <c r="J332" t="n">
        <v>0</v>
      </c>
      <c r="K332" t="n">
        <v>0</v>
      </c>
      <c r="L332" t="n">
        <v>0</v>
      </c>
      <c r="M332" t="n">
        <v>0</v>
      </c>
      <c r="N332" t="n">
        <v>0</v>
      </c>
      <c r="O332" t="n">
        <v>0</v>
      </c>
      <c r="P332" t="n">
        <v>0</v>
      </c>
      <c r="Q332" t="n">
        <v>0</v>
      </c>
      <c r="R332" s="2" t="inlineStr"/>
    </row>
    <row r="333" ht="15" customHeight="1">
      <c r="A333" t="inlineStr">
        <is>
          <t>A 51780-2025</t>
        </is>
      </c>
      <c r="B333" s="1" t="n">
        <v>45951.65725694445</v>
      </c>
      <c r="C333" s="1" t="n">
        <v>45990</v>
      </c>
      <c r="D333" t="inlineStr">
        <is>
          <t>SÖDERMANLANDS LÄN</t>
        </is>
      </c>
      <c r="E333" t="inlineStr">
        <is>
          <t>KATRINEHOLM</t>
        </is>
      </c>
      <c r="F333" t="inlineStr">
        <is>
          <t>Allmännings- och besparingsskogar</t>
        </is>
      </c>
      <c r="G333" t="n">
        <v>1.3</v>
      </c>
      <c r="H333" t="n">
        <v>0</v>
      </c>
      <c r="I333" t="n">
        <v>0</v>
      </c>
      <c r="J333" t="n">
        <v>0</v>
      </c>
      <c r="K333" t="n">
        <v>0</v>
      </c>
      <c r="L333" t="n">
        <v>0</v>
      </c>
      <c r="M333" t="n">
        <v>0</v>
      </c>
      <c r="N333" t="n">
        <v>0</v>
      </c>
      <c r="O333" t="n">
        <v>0</v>
      </c>
      <c r="P333" t="n">
        <v>0</v>
      </c>
      <c r="Q333" t="n">
        <v>0</v>
      </c>
      <c r="R333" s="2" t="inlineStr"/>
    </row>
    <row r="334" ht="15" customHeight="1">
      <c r="A334" t="inlineStr">
        <is>
          <t>A 28931-2024</t>
        </is>
      </c>
      <c r="B334" s="1" t="n">
        <v>45479</v>
      </c>
      <c r="C334" s="1" t="n">
        <v>45990</v>
      </c>
      <c r="D334" t="inlineStr">
        <is>
          <t>SÖDERMANLANDS LÄN</t>
        </is>
      </c>
      <c r="E334" t="inlineStr">
        <is>
          <t>KATRINEHOLM</t>
        </is>
      </c>
      <c r="G334" t="n">
        <v>7.4</v>
      </c>
      <c r="H334" t="n">
        <v>0</v>
      </c>
      <c r="I334" t="n">
        <v>0</v>
      </c>
      <c r="J334" t="n">
        <v>0</v>
      </c>
      <c r="K334" t="n">
        <v>0</v>
      </c>
      <c r="L334" t="n">
        <v>0</v>
      </c>
      <c r="M334" t="n">
        <v>0</v>
      </c>
      <c r="N334" t="n">
        <v>0</v>
      </c>
      <c r="O334" t="n">
        <v>0</v>
      </c>
      <c r="P334" t="n">
        <v>0</v>
      </c>
      <c r="Q334" t="n">
        <v>0</v>
      </c>
      <c r="R334" s="2" t="inlineStr"/>
    </row>
    <row r="335" ht="15" customHeight="1">
      <c r="A335" t="inlineStr">
        <is>
          <t>A 27646-2023</t>
        </is>
      </c>
      <c r="B335" s="1" t="n">
        <v>45097</v>
      </c>
      <c r="C335" s="1" t="n">
        <v>45990</v>
      </c>
      <c r="D335" t="inlineStr">
        <is>
          <t>SÖDERMANLANDS LÄN</t>
        </is>
      </c>
      <c r="E335" t="inlineStr">
        <is>
          <t>KATRINEHOLM</t>
        </is>
      </c>
      <c r="G335" t="n">
        <v>2.4</v>
      </c>
      <c r="H335" t="n">
        <v>0</v>
      </c>
      <c r="I335" t="n">
        <v>0</v>
      </c>
      <c r="J335" t="n">
        <v>0</v>
      </c>
      <c r="K335" t="n">
        <v>0</v>
      </c>
      <c r="L335" t="n">
        <v>0</v>
      </c>
      <c r="M335" t="n">
        <v>0</v>
      </c>
      <c r="N335" t="n">
        <v>0</v>
      </c>
      <c r="O335" t="n">
        <v>0</v>
      </c>
      <c r="P335" t="n">
        <v>0</v>
      </c>
      <c r="Q335" t="n">
        <v>0</v>
      </c>
      <c r="R335" s="2" t="inlineStr"/>
    </row>
    <row r="336" ht="15" customHeight="1">
      <c r="A336" t="inlineStr">
        <is>
          <t>A 50626-2024</t>
        </is>
      </c>
      <c r="B336" s="1" t="n">
        <v>45601</v>
      </c>
      <c r="C336" s="1" t="n">
        <v>45990</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35183-2022</t>
        </is>
      </c>
      <c r="B337" s="1" t="n">
        <v>44797</v>
      </c>
      <c r="C337" s="1" t="n">
        <v>45990</v>
      </c>
      <c r="D337" t="inlineStr">
        <is>
          <t>SÖDERMANLANDS LÄN</t>
        </is>
      </c>
      <c r="E337" t="inlineStr">
        <is>
          <t>KATRINEHOLM</t>
        </is>
      </c>
      <c r="G337" t="n">
        <v>4.6</v>
      </c>
      <c r="H337" t="n">
        <v>0</v>
      </c>
      <c r="I337" t="n">
        <v>0</v>
      </c>
      <c r="J337" t="n">
        <v>0</v>
      </c>
      <c r="K337" t="n">
        <v>0</v>
      </c>
      <c r="L337" t="n">
        <v>0</v>
      </c>
      <c r="M337" t="n">
        <v>0</v>
      </c>
      <c r="N337" t="n">
        <v>0</v>
      </c>
      <c r="O337" t="n">
        <v>0</v>
      </c>
      <c r="P337" t="n">
        <v>0</v>
      </c>
      <c r="Q337" t="n">
        <v>0</v>
      </c>
      <c r="R337" s="2" t="inlineStr"/>
    </row>
    <row r="338" ht="15" customHeight="1">
      <c r="A338" t="inlineStr">
        <is>
          <t>A 12888-2025</t>
        </is>
      </c>
      <c r="B338" s="1" t="n">
        <v>45733</v>
      </c>
      <c r="C338" s="1" t="n">
        <v>45990</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45990</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45990</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7197-2023</t>
        </is>
      </c>
      <c r="B341" s="1" t="n">
        <v>44965</v>
      </c>
      <c r="C341" s="1" t="n">
        <v>45990</v>
      </c>
      <c r="D341" t="inlineStr">
        <is>
          <t>SÖDERMANLANDS LÄN</t>
        </is>
      </c>
      <c r="E341" t="inlineStr">
        <is>
          <t>KATRINEHOLM</t>
        </is>
      </c>
      <c r="G341" t="n">
        <v>5.3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45990</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28394-2023</t>
        </is>
      </c>
      <c r="B343" s="1" t="n">
        <v>45100</v>
      </c>
      <c r="C343" s="1" t="n">
        <v>45990</v>
      </c>
      <c r="D343" t="inlineStr">
        <is>
          <t>SÖDERMANLANDS LÄN</t>
        </is>
      </c>
      <c r="E343" t="inlineStr">
        <is>
          <t>KATRINEHOLM</t>
        </is>
      </c>
      <c r="G343" t="n">
        <v>4.2</v>
      </c>
      <c r="H343" t="n">
        <v>0</v>
      </c>
      <c r="I343" t="n">
        <v>0</v>
      </c>
      <c r="J343" t="n">
        <v>0</v>
      </c>
      <c r="K343" t="n">
        <v>0</v>
      </c>
      <c r="L343" t="n">
        <v>0</v>
      </c>
      <c r="M343" t="n">
        <v>0</v>
      </c>
      <c r="N343" t="n">
        <v>0</v>
      </c>
      <c r="O343" t="n">
        <v>0</v>
      </c>
      <c r="P343" t="n">
        <v>0</v>
      </c>
      <c r="Q343" t="n">
        <v>0</v>
      </c>
      <c r="R343" s="2" t="inlineStr"/>
    </row>
    <row r="344" ht="15" customHeight="1">
      <c r="A344" t="inlineStr">
        <is>
          <t>A 42686-2025</t>
        </is>
      </c>
      <c r="B344" s="1" t="n">
        <v>45908.35550925926</v>
      </c>
      <c r="C344" s="1" t="n">
        <v>45990</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25362-2023</t>
        </is>
      </c>
      <c r="B345" s="1" t="n">
        <v>45088.83430555555</v>
      </c>
      <c r="C345" s="1" t="n">
        <v>45990</v>
      </c>
      <c r="D345" t="inlineStr">
        <is>
          <t>SÖDERMANLANDS LÄN</t>
        </is>
      </c>
      <c r="E345" t="inlineStr">
        <is>
          <t>KATRINEHOLM</t>
        </is>
      </c>
      <c r="G345" t="n">
        <v>1.5</v>
      </c>
      <c r="H345" t="n">
        <v>0</v>
      </c>
      <c r="I345" t="n">
        <v>0</v>
      </c>
      <c r="J345" t="n">
        <v>0</v>
      </c>
      <c r="K345" t="n">
        <v>0</v>
      </c>
      <c r="L345" t="n">
        <v>0</v>
      </c>
      <c r="M345" t="n">
        <v>0</v>
      </c>
      <c r="N345" t="n">
        <v>0</v>
      </c>
      <c r="O345" t="n">
        <v>0</v>
      </c>
      <c r="P345" t="n">
        <v>0</v>
      </c>
      <c r="Q345" t="n">
        <v>0</v>
      </c>
      <c r="R345" s="2" t="inlineStr"/>
    </row>
    <row r="346" ht="15" customHeight="1">
      <c r="A346" t="inlineStr">
        <is>
          <t>A 52239-2025</t>
        </is>
      </c>
      <c r="B346" s="1" t="n">
        <v>45953.46193287037</v>
      </c>
      <c r="C346" s="1" t="n">
        <v>45990</v>
      </c>
      <c r="D346" t="inlineStr">
        <is>
          <t>SÖDERMANLANDS LÄN</t>
        </is>
      </c>
      <c r="E346" t="inlineStr">
        <is>
          <t>KATRINEHOLM</t>
        </is>
      </c>
      <c r="G346" t="n">
        <v>0.7</v>
      </c>
      <c r="H346" t="n">
        <v>0</v>
      </c>
      <c r="I346" t="n">
        <v>0</v>
      </c>
      <c r="J346" t="n">
        <v>0</v>
      </c>
      <c r="K346" t="n">
        <v>0</v>
      </c>
      <c r="L346" t="n">
        <v>0</v>
      </c>
      <c r="M346" t="n">
        <v>0</v>
      </c>
      <c r="N346" t="n">
        <v>0</v>
      </c>
      <c r="O346" t="n">
        <v>0</v>
      </c>
      <c r="P346" t="n">
        <v>0</v>
      </c>
      <c r="Q346" t="n">
        <v>0</v>
      </c>
      <c r="R346" s="2" t="inlineStr"/>
    </row>
    <row r="347" ht="15" customHeight="1">
      <c r="A347" t="inlineStr">
        <is>
          <t>A 47456-2022</t>
        </is>
      </c>
      <c r="B347" s="1" t="n">
        <v>44852</v>
      </c>
      <c r="C347" s="1" t="n">
        <v>45990</v>
      </c>
      <c r="D347" t="inlineStr">
        <is>
          <t>SÖDERMANLANDS LÄN</t>
        </is>
      </c>
      <c r="E347" t="inlineStr">
        <is>
          <t>KATRINEHOLM</t>
        </is>
      </c>
      <c r="G347" t="n">
        <v>3.7</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45990</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49078-2024</t>
        </is>
      </c>
      <c r="B349" s="1" t="n">
        <v>45594.62556712963</v>
      </c>
      <c r="C349" s="1" t="n">
        <v>45990</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31990-2025</t>
        </is>
      </c>
      <c r="B350" s="1" t="n">
        <v>45835.36697916667</v>
      </c>
      <c r="C350" s="1" t="n">
        <v>45990</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35188-2022</t>
        </is>
      </c>
      <c r="B351" s="1" t="n">
        <v>44797</v>
      </c>
      <c r="C351" s="1" t="n">
        <v>45990</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5327-2025</t>
        </is>
      </c>
      <c r="B352" s="1" t="n">
        <v>45692</v>
      </c>
      <c r="C352" s="1" t="n">
        <v>45990</v>
      </c>
      <c r="D352" t="inlineStr">
        <is>
          <t>SÖDERMANLANDS LÄN</t>
        </is>
      </c>
      <c r="E352" t="inlineStr">
        <is>
          <t>KATRINEHOLM</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52242-2025</t>
        </is>
      </c>
      <c r="B353" s="1" t="n">
        <v>45953.46886574074</v>
      </c>
      <c r="C353" s="1" t="n">
        <v>45990</v>
      </c>
      <c r="D353" t="inlineStr">
        <is>
          <t>SÖDERMANLANDS LÄN</t>
        </is>
      </c>
      <c r="E353" t="inlineStr">
        <is>
          <t>KATRINEHOLM</t>
        </is>
      </c>
      <c r="G353" t="n">
        <v>5.3</v>
      </c>
      <c r="H353" t="n">
        <v>0</v>
      </c>
      <c r="I353" t="n">
        <v>0</v>
      </c>
      <c r="J353" t="n">
        <v>0</v>
      </c>
      <c r="K353" t="n">
        <v>0</v>
      </c>
      <c r="L353" t="n">
        <v>0</v>
      </c>
      <c r="M353" t="n">
        <v>0</v>
      </c>
      <c r="N353" t="n">
        <v>0</v>
      </c>
      <c r="O353" t="n">
        <v>0</v>
      </c>
      <c r="P353" t="n">
        <v>0</v>
      </c>
      <c r="Q353" t="n">
        <v>0</v>
      </c>
      <c r="R353" s="2" t="inlineStr"/>
    </row>
    <row r="354" ht="15" customHeight="1">
      <c r="A354" t="inlineStr">
        <is>
          <t>A 52744-2025</t>
        </is>
      </c>
      <c r="B354" s="1" t="n">
        <v>45957.38387731482</v>
      </c>
      <c r="C354" s="1" t="n">
        <v>45990</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6175-2023</t>
        </is>
      </c>
      <c r="B355" s="1" t="n">
        <v>44964</v>
      </c>
      <c r="C355" s="1" t="n">
        <v>45990</v>
      </c>
      <c r="D355" t="inlineStr">
        <is>
          <t>SÖDERMANLANDS LÄN</t>
        </is>
      </c>
      <c r="E355" t="inlineStr">
        <is>
          <t>KATRINEHOLM</t>
        </is>
      </c>
      <c r="G355" t="n">
        <v>11.2</v>
      </c>
      <c r="H355" t="n">
        <v>0</v>
      </c>
      <c r="I355" t="n">
        <v>0</v>
      </c>
      <c r="J355" t="n">
        <v>0</v>
      </c>
      <c r="K355" t="n">
        <v>0</v>
      </c>
      <c r="L355" t="n">
        <v>0</v>
      </c>
      <c r="M355" t="n">
        <v>0</v>
      </c>
      <c r="N355" t="n">
        <v>0</v>
      </c>
      <c r="O355" t="n">
        <v>0</v>
      </c>
      <c r="P355" t="n">
        <v>0</v>
      </c>
      <c r="Q355" t="n">
        <v>0</v>
      </c>
      <c r="R355" s="2" t="inlineStr"/>
    </row>
    <row r="356" ht="15" customHeight="1">
      <c r="A356" t="inlineStr">
        <is>
          <t>A 4655-2024</t>
        </is>
      </c>
      <c r="B356" s="1" t="n">
        <v>45328</v>
      </c>
      <c r="C356" s="1" t="n">
        <v>45990</v>
      </c>
      <c r="D356" t="inlineStr">
        <is>
          <t>SÖDERMANLANDS LÄN</t>
        </is>
      </c>
      <c r="E356" t="inlineStr">
        <is>
          <t>KATRINEHOLM</t>
        </is>
      </c>
      <c r="G356" t="n">
        <v>17.7</v>
      </c>
      <c r="H356" t="n">
        <v>0</v>
      </c>
      <c r="I356" t="n">
        <v>0</v>
      </c>
      <c r="J356" t="n">
        <v>0</v>
      </c>
      <c r="K356" t="n">
        <v>0</v>
      </c>
      <c r="L356" t="n">
        <v>0</v>
      </c>
      <c r="M356" t="n">
        <v>0</v>
      </c>
      <c r="N356" t="n">
        <v>0</v>
      </c>
      <c r="O356" t="n">
        <v>0</v>
      </c>
      <c r="P356" t="n">
        <v>0</v>
      </c>
      <c r="Q356" t="n">
        <v>0</v>
      </c>
      <c r="R356" s="2" t="inlineStr"/>
    </row>
    <row r="357" ht="15" customHeight="1">
      <c r="A357" t="inlineStr">
        <is>
          <t>A 33469-2025</t>
        </is>
      </c>
      <c r="B357" s="1" t="n">
        <v>45841.48686342593</v>
      </c>
      <c r="C357" s="1" t="n">
        <v>45990</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33084-2025</t>
        </is>
      </c>
      <c r="B358" s="1" t="n">
        <v>45840.46559027778</v>
      </c>
      <c r="C358" s="1" t="n">
        <v>45990</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33129-2025</t>
        </is>
      </c>
      <c r="B359" s="1" t="n">
        <v>45840.50141203704</v>
      </c>
      <c r="C359" s="1" t="n">
        <v>45990</v>
      </c>
      <c r="D359" t="inlineStr">
        <is>
          <t>SÖDERMANLANDS LÄN</t>
        </is>
      </c>
      <c r="E359" t="inlineStr">
        <is>
          <t>KATRINEHOLM</t>
        </is>
      </c>
      <c r="G359" t="n">
        <v>2.6</v>
      </c>
      <c r="H359" t="n">
        <v>0</v>
      </c>
      <c r="I359" t="n">
        <v>0</v>
      </c>
      <c r="J359" t="n">
        <v>0</v>
      </c>
      <c r="K359" t="n">
        <v>0</v>
      </c>
      <c r="L359" t="n">
        <v>0</v>
      </c>
      <c r="M359" t="n">
        <v>0</v>
      </c>
      <c r="N359" t="n">
        <v>0</v>
      </c>
      <c r="O359" t="n">
        <v>0</v>
      </c>
      <c r="P359" t="n">
        <v>0</v>
      </c>
      <c r="Q359" t="n">
        <v>0</v>
      </c>
      <c r="R359" s="2" t="inlineStr"/>
    </row>
    <row r="360" ht="15" customHeight="1">
      <c r="A360" t="inlineStr">
        <is>
          <t>A 33577-2025</t>
        </is>
      </c>
      <c r="B360" s="1" t="n">
        <v>45841.59056712963</v>
      </c>
      <c r="C360" s="1" t="n">
        <v>45990</v>
      </c>
      <c r="D360" t="inlineStr">
        <is>
          <t>SÖDERMANLANDS LÄN</t>
        </is>
      </c>
      <c r="E360" t="inlineStr">
        <is>
          <t>KATRINEHOLM</t>
        </is>
      </c>
      <c r="F360" t="inlineStr">
        <is>
          <t>Holmen skog AB</t>
        </is>
      </c>
      <c r="G360" t="n">
        <v>0.3</v>
      </c>
      <c r="H360" t="n">
        <v>0</v>
      </c>
      <c r="I360" t="n">
        <v>0</v>
      </c>
      <c r="J360" t="n">
        <v>0</v>
      </c>
      <c r="K360" t="n">
        <v>0</v>
      </c>
      <c r="L360" t="n">
        <v>0</v>
      </c>
      <c r="M360" t="n">
        <v>0</v>
      </c>
      <c r="N360" t="n">
        <v>0</v>
      </c>
      <c r="O360" t="n">
        <v>0</v>
      </c>
      <c r="P360" t="n">
        <v>0</v>
      </c>
      <c r="Q360" t="n">
        <v>0</v>
      </c>
      <c r="R360" s="2" t="inlineStr"/>
    </row>
    <row r="361" ht="15" customHeight="1">
      <c r="A361" t="inlineStr">
        <is>
          <t>A 33077-2025</t>
        </is>
      </c>
      <c r="B361" s="1" t="n">
        <v>45840.45864583334</v>
      </c>
      <c r="C361" s="1" t="n">
        <v>45990</v>
      </c>
      <c r="D361" t="inlineStr">
        <is>
          <t>SÖDERMANLANDS LÄN</t>
        </is>
      </c>
      <c r="E361" t="inlineStr">
        <is>
          <t>KATRINEHOLM</t>
        </is>
      </c>
      <c r="G361" t="n">
        <v>7</v>
      </c>
      <c r="H361" t="n">
        <v>0</v>
      </c>
      <c r="I361" t="n">
        <v>0</v>
      </c>
      <c r="J361" t="n">
        <v>0</v>
      </c>
      <c r="K361" t="n">
        <v>0</v>
      </c>
      <c r="L361" t="n">
        <v>0</v>
      </c>
      <c r="M361" t="n">
        <v>0</v>
      </c>
      <c r="N361" t="n">
        <v>0</v>
      </c>
      <c r="O361" t="n">
        <v>0</v>
      </c>
      <c r="P361" t="n">
        <v>0</v>
      </c>
      <c r="Q361" t="n">
        <v>0</v>
      </c>
      <c r="R361" s="2" t="inlineStr"/>
    </row>
    <row r="362" ht="15" customHeight="1">
      <c r="A362" t="inlineStr">
        <is>
          <t>A 50316-2023</t>
        </is>
      </c>
      <c r="B362" s="1" t="n">
        <v>45209</v>
      </c>
      <c r="C362" s="1" t="n">
        <v>45990</v>
      </c>
      <c r="D362" t="inlineStr">
        <is>
          <t>SÖDERMANLANDS LÄN</t>
        </is>
      </c>
      <c r="E362" t="inlineStr">
        <is>
          <t>KATRINEHOLM</t>
        </is>
      </c>
      <c r="G362" t="n">
        <v>1.9</v>
      </c>
      <c r="H362" t="n">
        <v>0</v>
      </c>
      <c r="I362" t="n">
        <v>0</v>
      </c>
      <c r="J362" t="n">
        <v>0</v>
      </c>
      <c r="K362" t="n">
        <v>0</v>
      </c>
      <c r="L362" t="n">
        <v>0</v>
      </c>
      <c r="M362" t="n">
        <v>0</v>
      </c>
      <c r="N362" t="n">
        <v>0</v>
      </c>
      <c r="O362" t="n">
        <v>0</v>
      </c>
      <c r="P362" t="n">
        <v>0</v>
      </c>
      <c r="Q362" t="n">
        <v>0</v>
      </c>
      <c r="R362" s="2" t="inlineStr"/>
    </row>
    <row r="363" ht="15" customHeight="1">
      <c r="A363" t="inlineStr">
        <is>
          <t>A 33090-2025</t>
        </is>
      </c>
      <c r="B363" s="1" t="n">
        <v>45840.46840277778</v>
      </c>
      <c r="C363" s="1" t="n">
        <v>45990</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33096-2025</t>
        </is>
      </c>
      <c r="B364" s="1" t="n">
        <v>45840.47563657408</v>
      </c>
      <c r="C364" s="1" t="n">
        <v>45990</v>
      </c>
      <c r="D364" t="inlineStr">
        <is>
          <t>SÖDERMANLANDS LÄN</t>
        </is>
      </c>
      <c r="E364" t="inlineStr">
        <is>
          <t>KATRINEHOLM</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33101-2025</t>
        </is>
      </c>
      <c r="B365" s="1" t="n">
        <v>45840.47953703703</v>
      </c>
      <c r="C365" s="1" t="n">
        <v>45990</v>
      </c>
      <c r="D365" t="inlineStr">
        <is>
          <t>SÖDERMANLANDS LÄN</t>
        </is>
      </c>
      <c r="E365" t="inlineStr">
        <is>
          <t>KATRINEHOLM</t>
        </is>
      </c>
      <c r="G365" t="n">
        <v>4.4</v>
      </c>
      <c r="H365" t="n">
        <v>0</v>
      </c>
      <c r="I365" t="n">
        <v>0</v>
      </c>
      <c r="J365" t="n">
        <v>0</v>
      </c>
      <c r="K365" t="n">
        <v>0</v>
      </c>
      <c r="L365" t="n">
        <v>0</v>
      </c>
      <c r="M365" t="n">
        <v>0</v>
      </c>
      <c r="N365" t="n">
        <v>0</v>
      </c>
      <c r="O365" t="n">
        <v>0</v>
      </c>
      <c r="P365" t="n">
        <v>0</v>
      </c>
      <c r="Q365" t="n">
        <v>0</v>
      </c>
      <c r="R365" s="2" t="inlineStr"/>
    </row>
    <row r="366" ht="15" customHeight="1">
      <c r="A366" t="inlineStr">
        <is>
          <t>A 51404-2023</t>
        </is>
      </c>
      <c r="B366" s="1" t="n">
        <v>45214</v>
      </c>
      <c r="C366" s="1" t="n">
        <v>45990</v>
      </c>
      <c r="D366" t="inlineStr">
        <is>
          <t>SÖDERMANLANDS LÄN</t>
        </is>
      </c>
      <c r="E366" t="inlineStr">
        <is>
          <t>KATRINEHOLM</t>
        </is>
      </c>
      <c r="G366" t="n">
        <v>9</v>
      </c>
      <c r="H366" t="n">
        <v>0</v>
      </c>
      <c r="I366" t="n">
        <v>0</v>
      </c>
      <c r="J366" t="n">
        <v>0</v>
      </c>
      <c r="K366" t="n">
        <v>0</v>
      </c>
      <c r="L366" t="n">
        <v>0</v>
      </c>
      <c r="M366" t="n">
        <v>0</v>
      </c>
      <c r="N366" t="n">
        <v>0</v>
      </c>
      <c r="O366" t="n">
        <v>0</v>
      </c>
      <c r="P366" t="n">
        <v>0</v>
      </c>
      <c r="Q366" t="n">
        <v>0</v>
      </c>
      <c r="R366" s="2" t="inlineStr"/>
    </row>
    <row r="367" ht="15" customHeight="1">
      <c r="A367" t="inlineStr">
        <is>
          <t>A 43975-2025</t>
        </is>
      </c>
      <c r="B367" s="1" t="n">
        <v>45915.41148148148</v>
      </c>
      <c r="C367" s="1" t="n">
        <v>45990</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33812-2025</t>
        </is>
      </c>
      <c r="B368" s="1" t="n">
        <v>45842</v>
      </c>
      <c r="C368" s="1" t="n">
        <v>45990</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15898-2022</t>
        </is>
      </c>
      <c r="B369" s="1" t="n">
        <v>44664.55688657407</v>
      </c>
      <c r="C369" s="1" t="n">
        <v>45990</v>
      </c>
      <c r="D369" t="inlineStr">
        <is>
          <t>SÖDERMANLANDS LÄN</t>
        </is>
      </c>
      <c r="E369" t="inlineStr">
        <is>
          <t>KATRINEHOLM</t>
        </is>
      </c>
      <c r="G369" t="n">
        <v>6.5</v>
      </c>
      <c r="H369" t="n">
        <v>0</v>
      </c>
      <c r="I369" t="n">
        <v>0</v>
      </c>
      <c r="J369" t="n">
        <v>0</v>
      </c>
      <c r="K369" t="n">
        <v>0</v>
      </c>
      <c r="L369" t="n">
        <v>0</v>
      </c>
      <c r="M369" t="n">
        <v>0</v>
      </c>
      <c r="N369" t="n">
        <v>0</v>
      </c>
      <c r="O369" t="n">
        <v>0</v>
      </c>
      <c r="P369" t="n">
        <v>0</v>
      </c>
      <c r="Q369" t="n">
        <v>0</v>
      </c>
      <c r="R369" s="2" t="inlineStr"/>
    </row>
    <row r="370" ht="15" customHeight="1">
      <c r="A370" t="inlineStr">
        <is>
          <t>A 15910-2022</t>
        </is>
      </c>
      <c r="B370" s="1" t="n">
        <v>44664</v>
      </c>
      <c r="C370" s="1" t="n">
        <v>45990</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64605-2023</t>
        </is>
      </c>
      <c r="B371" s="1" t="n">
        <v>45281</v>
      </c>
      <c r="C371" s="1" t="n">
        <v>45990</v>
      </c>
      <c r="D371" t="inlineStr">
        <is>
          <t>SÖDERMANLANDS LÄN</t>
        </is>
      </c>
      <c r="E371" t="inlineStr">
        <is>
          <t>KATRINEHOLM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64652-2023</t>
        </is>
      </c>
      <c r="B372" s="1" t="n">
        <v>45281</v>
      </c>
      <c r="C372" s="1" t="n">
        <v>45990</v>
      </c>
      <c r="D372" t="inlineStr">
        <is>
          <t>SÖDERMANLANDS LÄN</t>
        </is>
      </c>
      <c r="E372" t="inlineStr">
        <is>
          <t>KATRINEHOLM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45990</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44071-2025</t>
        </is>
      </c>
      <c r="B374" s="1" t="n">
        <v>45915</v>
      </c>
      <c r="C374" s="1" t="n">
        <v>45990</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33815-2025</t>
        </is>
      </c>
      <c r="B375" s="1" t="n">
        <v>45842</v>
      </c>
      <c r="C375" s="1" t="n">
        <v>45990</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20213-2025</t>
        </is>
      </c>
      <c r="B376" s="1" t="n">
        <v>45772.63453703704</v>
      </c>
      <c r="C376" s="1" t="n">
        <v>45990</v>
      </c>
      <c r="D376" t="inlineStr">
        <is>
          <t>SÖDERMANLANDS LÄN</t>
        </is>
      </c>
      <c r="E376" t="inlineStr">
        <is>
          <t>KATRINEHOLM</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29830-2023</t>
        </is>
      </c>
      <c r="B377" s="1" t="n">
        <v>45107</v>
      </c>
      <c r="C377" s="1" t="n">
        <v>45990</v>
      </c>
      <c r="D377" t="inlineStr">
        <is>
          <t>SÖDERMANLANDS LÄN</t>
        </is>
      </c>
      <c r="E377" t="inlineStr">
        <is>
          <t>KATRINEHOLM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28582-2024</t>
        </is>
      </c>
      <c r="B378" s="1" t="n">
        <v>45478.40751157407</v>
      </c>
      <c r="C378" s="1" t="n">
        <v>45990</v>
      </c>
      <c r="D378" t="inlineStr">
        <is>
          <t>SÖDERMANLANDS LÄN</t>
        </is>
      </c>
      <c r="E378" t="inlineStr">
        <is>
          <t>KATRINEHOLM</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29394-2024</t>
        </is>
      </c>
      <c r="B379" s="1" t="n">
        <v>45483</v>
      </c>
      <c r="C379" s="1" t="n">
        <v>45990</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46011-2021</t>
        </is>
      </c>
      <c r="B380" s="1" t="n">
        <v>44441.88092592593</v>
      </c>
      <c r="C380" s="1" t="n">
        <v>45990</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30387-2022</t>
        </is>
      </c>
      <c r="B381" s="1" t="n">
        <v>44760</v>
      </c>
      <c r="C381" s="1" t="n">
        <v>45990</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53338-2025</t>
        </is>
      </c>
      <c r="B382" s="1" t="n">
        <v>45959.40447916667</v>
      </c>
      <c r="C382" s="1" t="n">
        <v>45990</v>
      </c>
      <c r="D382" t="inlineStr">
        <is>
          <t>SÖDERMANLANDS LÄN</t>
        </is>
      </c>
      <c r="E382" t="inlineStr">
        <is>
          <t>KATRINEHOLM</t>
        </is>
      </c>
      <c r="G382" t="n">
        <v>2.9</v>
      </c>
      <c r="H382" t="n">
        <v>0</v>
      </c>
      <c r="I382" t="n">
        <v>0</v>
      </c>
      <c r="J382" t="n">
        <v>0</v>
      </c>
      <c r="K382" t="n">
        <v>0</v>
      </c>
      <c r="L382" t="n">
        <v>0</v>
      </c>
      <c r="M382" t="n">
        <v>0</v>
      </c>
      <c r="N382" t="n">
        <v>0</v>
      </c>
      <c r="O382" t="n">
        <v>0</v>
      </c>
      <c r="P382" t="n">
        <v>0</v>
      </c>
      <c r="Q382" t="n">
        <v>0</v>
      </c>
      <c r="R382" s="2" t="inlineStr"/>
    </row>
    <row r="383" ht="15" customHeight="1">
      <c r="A383" t="inlineStr">
        <is>
          <t>A 35156-2025</t>
        </is>
      </c>
      <c r="B383" s="1" t="n">
        <v>45852</v>
      </c>
      <c r="C383" s="1" t="n">
        <v>45990</v>
      </c>
      <c r="D383" t="inlineStr">
        <is>
          <t>SÖDERMANLANDS LÄN</t>
        </is>
      </c>
      <c r="E383" t="inlineStr">
        <is>
          <t>KATRINEHOLM</t>
        </is>
      </c>
      <c r="G383" t="n">
        <v>5.7</v>
      </c>
      <c r="H383" t="n">
        <v>0</v>
      </c>
      <c r="I383" t="n">
        <v>0</v>
      </c>
      <c r="J383" t="n">
        <v>0</v>
      </c>
      <c r="K383" t="n">
        <v>0</v>
      </c>
      <c r="L383" t="n">
        <v>0</v>
      </c>
      <c r="M383" t="n">
        <v>0</v>
      </c>
      <c r="N383" t="n">
        <v>0</v>
      </c>
      <c r="O383" t="n">
        <v>0</v>
      </c>
      <c r="P383" t="n">
        <v>0</v>
      </c>
      <c r="Q383" t="n">
        <v>0</v>
      </c>
      <c r="R383" s="2" t="inlineStr"/>
    </row>
    <row r="384" ht="15" customHeight="1">
      <c r="A384" t="inlineStr">
        <is>
          <t>A 35145-2025</t>
        </is>
      </c>
      <c r="B384" s="1" t="n">
        <v>45852</v>
      </c>
      <c r="C384" s="1" t="n">
        <v>45990</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35157-2025</t>
        </is>
      </c>
      <c r="B385" s="1" t="n">
        <v>45852</v>
      </c>
      <c r="C385" s="1" t="n">
        <v>45990</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61394-2024</t>
        </is>
      </c>
      <c r="B386" s="1" t="n">
        <v>45646.42061342593</v>
      </c>
      <c r="C386" s="1" t="n">
        <v>45990</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35084-2025</t>
        </is>
      </c>
      <c r="B387" s="1" t="n">
        <v>45852</v>
      </c>
      <c r="C387" s="1" t="n">
        <v>45990</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35149-2025</t>
        </is>
      </c>
      <c r="B388" s="1" t="n">
        <v>45852</v>
      </c>
      <c r="C388" s="1" t="n">
        <v>45990</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35161-2025</t>
        </is>
      </c>
      <c r="B389" s="1" t="n">
        <v>45852.70716435185</v>
      </c>
      <c r="C389" s="1" t="n">
        <v>45990</v>
      </c>
      <c r="D389" t="inlineStr">
        <is>
          <t>SÖDERMANLANDS LÄN</t>
        </is>
      </c>
      <c r="E389" t="inlineStr">
        <is>
          <t>KATRINEHOLM</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35152-2025</t>
        </is>
      </c>
      <c r="B390" s="1" t="n">
        <v>45852</v>
      </c>
      <c r="C390" s="1" t="n">
        <v>45990</v>
      </c>
      <c r="D390" t="inlineStr">
        <is>
          <t>SÖDERMANLANDS LÄN</t>
        </is>
      </c>
      <c r="E390" t="inlineStr">
        <is>
          <t>KATRINEHOLM</t>
        </is>
      </c>
      <c r="G390" t="n">
        <v>4.6</v>
      </c>
      <c r="H390" t="n">
        <v>0</v>
      </c>
      <c r="I390" t="n">
        <v>0</v>
      </c>
      <c r="J390" t="n">
        <v>0</v>
      </c>
      <c r="K390" t="n">
        <v>0</v>
      </c>
      <c r="L390" t="n">
        <v>0</v>
      </c>
      <c r="M390" t="n">
        <v>0</v>
      </c>
      <c r="N390" t="n">
        <v>0</v>
      </c>
      <c r="O390" t="n">
        <v>0</v>
      </c>
      <c r="P390" t="n">
        <v>0</v>
      </c>
      <c r="Q390" t="n">
        <v>0</v>
      </c>
      <c r="R390" s="2" t="inlineStr"/>
    </row>
    <row r="391" ht="15" customHeight="1">
      <c r="A391" t="inlineStr">
        <is>
          <t>A 35165-2025</t>
        </is>
      </c>
      <c r="B391" s="1" t="n">
        <v>45852.72320601852</v>
      </c>
      <c r="C391" s="1" t="n">
        <v>45990</v>
      </c>
      <c r="D391" t="inlineStr">
        <is>
          <t>SÖDERMANLANDS LÄN</t>
        </is>
      </c>
      <c r="E391" t="inlineStr">
        <is>
          <t>KATRINEHOLM</t>
        </is>
      </c>
      <c r="F391" t="inlineStr">
        <is>
          <t>Övriga Aktiebolag</t>
        </is>
      </c>
      <c r="G391" t="n">
        <v>20.7</v>
      </c>
      <c r="H391" t="n">
        <v>0</v>
      </c>
      <c r="I391" t="n">
        <v>0</v>
      </c>
      <c r="J391" t="n">
        <v>0</v>
      </c>
      <c r="K391" t="n">
        <v>0</v>
      </c>
      <c r="L391" t="n">
        <v>0</v>
      </c>
      <c r="M391" t="n">
        <v>0</v>
      </c>
      <c r="N391" t="n">
        <v>0</v>
      </c>
      <c r="O391" t="n">
        <v>0</v>
      </c>
      <c r="P391" t="n">
        <v>0</v>
      </c>
      <c r="Q391" t="n">
        <v>0</v>
      </c>
      <c r="R391" s="2" t="inlineStr"/>
    </row>
    <row r="392" ht="15" customHeight="1">
      <c r="A392" t="inlineStr">
        <is>
          <t>A 35158-2025</t>
        </is>
      </c>
      <c r="B392" s="1" t="n">
        <v>45852</v>
      </c>
      <c r="C392" s="1" t="n">
        <v>45990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931-2023</t>
        </is>
      </c>
      <c r="B393" s="1" t="n">
        <v>44932.74261574074</v>
      </c>
      <c r="C393" s="1" t="n">
        <v>45990</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45990</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38883-2024</t>
        </is>
      </c>
      <c r="B395" s="1" t="n">
        <v>45547</v>
      </c>
      <c r="C395" s="1" t="n">
        <v>45990</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6796-2022</t>
        </is>
      </c>
      <c r="B396" s="1" t="n">
        <v>44602</v>
      </c>
      <c r="C396" s="1" t="n">
        <v>45990</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52857-2021</t>
        </is>
      </c>
      <c r="B397" s="1" t="n">
        <v>44466</v>
      </c>
      <c r="C397" s="1" t="n">
        <v>45990</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42015-2022</t>
        </is>
      </c>
      <c r="B398" s="1" t="n">
        <v>44830.4649074074</v>
      </c>
      <c r="C398" s="1" t="n">
        <v>45990</v>
      </c>
      <c r="D398" t="inlineStr">
        <is>
          <t>SÖDERMANLANDS LÄN</t>
        </is>
      </c>
      <c r="E398" t="inlineStr">
        <is>
          <t>KATRINEHOLM</t>
        </is>
      </c>
      <c r="G398" t="n">
        <v>3.8</v>
      </c>
      <c r="H398" t="n">
        <v>0</v>
      </c>
      <c r="I398" t="n">
        <v>0</v>
      </c>
      <c r="J398" t="n">
        <v>0</v>
      </c>
      <c r="K398" t="n">
        <v>0</v>
      </c>
      <c r="L398" t="n">
        <v>0</v>
      </c>
      <c r="M398" t="n">
        <v>0</v>
      </c>
      <c r="N398" t="n">
        <v>0</v>
      </c>
      <c r="O398" t="n">
        <v>0</v>
      </c>
      <c r="P398" t="n">
        <v>0</v>
      </c>
      <c r="Q398" t="n">
        <v>0</v>
      </c>
      <c r="R398" s="2" t="inlineStr"/>
    </row>
    <row r="399" ht="15" customHeight="1">
      <c r="A399" t="inlineStr">
        <is>
          <t>A 42020-2022</t>
        </is>
      </c>
      <c r="B399" s="1" t="n">
        <v>44830.46849537037</v>
      </c>
      <c r="C399" s="1" t="n">
        <v>45990</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8394-2024</t>
        </is>
      </c>
      <c r="B400" s="1" t="n">
        <v>45352</v>
      </c>
      <c r="C400" s="1" t="n">
        <v>45990</v>
      </c>
      <c r="D400" t="inlineStr">
        <is>
          <t>SÖDERMANLANDS LÄN</t>
        </is>
      </c>
      <c r="E400" t="inlineStr">
        <is>
          <t>KATRINEHOLM</t>
        </is>
      </c>
      <c r="G400" t="n">
        <v>4</v>
      </c>
      <c r="H400" t="n">
        <v>0</v>
      </c>
      <c r="I400" t="n">
        <v>0</v>
      </c>
      <c r="J400" t="n">
        <v>0</v>
      </c>
      <c r="K400" t="n">
        <v>0</v>
      </c>
      <c r="L400" t="n">
        <v>0</v>
      </c>
      <c r="M400" t="n">
        <v>0</v>
      </c>
      <c r="N400" t="n">
        <v>0</v>
      </c>
      <c r="O400" t="n">
        <v>0</v>
      </c>
      <c r="P400" t="n">
        <v>0</v>
      </c>
      <c r="Q400" t="n">
        <v>0</v>
      </c>
      <c r="R400" s="2" t="inlineStr"/>
    </row>
    <row r="401" ht="15" customHeight="1">
      <c r="A401" t="inlineStr">
        <is>
          <t>A 14239-2024</t>
        </is>
      </c>
      <c r="B401" s="1" t="n">
        <v>45393</v>
      </c>
      <c r="C401" s="1" t="n">
        <v>45990</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14248-2024</t>
        </is>
      </c>
      <c r="B402" s="1" t="n">
        <v>45393</v>
      </c>
      <c r="C402" s="1" t="n">
        <v>45990</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25716-2022</t>
        </is>
      </c>
      <c r="B403" s="1" t="n">
        <v>44733.39600694444</v>
      </c>
      <c r="C403" s="1" t="n">
        <v>45990</v>
      </c>
      <c r="D403" t="inlineStr">
        <is>
          <t>SÖDERMANLANDS LÄN</t>
        </is>
      </c>
      <c r="E403" t="inlineStr">
        <is>
          <t>KATRINEHOLM</t>
        </is>
      </c>
      <c r="G403" t="n">
        <v>3.4</v>
      </c>
      <c r="H403" t="n">
        <v>0</v>
      </c>
      <c r="I403" t="n">
        <v>0</v>
      </c>
      <c r="J403" t="n">
        <v>0</v>
      </c>
      <c r="K403" t="n">
        <v>0</v>
      </c>
      <c r="L403" t="n">
        <v>0</v>
      </c>
      <c r="M403" t="n">
        <v>0</v>
      </c>
      <c r="N403" t="n">
        <v>0</v>
      </c>
      <c r="O403" t="n">
        <v>0</v>
      </c>
      <c r="P403" t="n">
        <v>0</v>
      </c>
      <c r="Q403" t="n">
        <v>0</v>
      </c>
      <c r="R403" s="2" t="inlineStr"/>
    </row>
    <row r="404" ht="15" customHeight="1">
      <c r="A404" t="inlineStr">
        <is>
          <t>A 23842-2023</t>
        </is>
      </c>
      <c r="B404" s="1" t="n">
        <v>45075</v>
      </c>
      <c r="C404" s="1" t="n">
        <v>45990</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46700-2023</t>
        </is>
      </c>
      <c r="B405" s="1" t="n">
        <v>45194</v>
      </c>
      <c r="C405" s="1" t="n">
        <v>45990</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34176-2025</t>
        </is>
      </c>
      <c r="B406" s="1" t="n">
        <v>45845</v>
      </c>
      <c r="C406" s="1" t="n">
        <v>45990</v>
      </c>
      <c r="D406" t="inlineStr">
        <is>
          <t>SÖDERMANLANDS LÄN</t>
        </is>
      </c>
      <c r="E406" t="inlineStr">
        <is>
          <t>KATRINEHOLM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54359-2025</t>
        </is>
      </c>
      <c r="B407" s="1" t="n">
        <v>45964</v>
      </c>
      <c r="C407" s="1" t="n">
        <v>45990</v>
      </c>
      <c r="D407" t="inlineStr">
        <is>
          <t>SÖDERMANLANDS LÄN</t>
        </is>
      </c>
      <c r="E407" t="inlineStr">
        <is>
          <t>KATRINEHOLM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52244-2025</t>
        </is>
      </c>
      <c r="B408" s="1" t="n">
        <v>45953</v>
      </c>
      <c r="C408" s="1" t="n">
        <v>45990</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45990</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50032-2022</t>
        </is>
      </c>
      <c r="B410" s="1" t="n">
        <v>44860</v>
      </c>
      <c r="C410" s="1" t="n">
        <v>45990</v>
      </c>
      <c r="D410" t="inlineStr">
        <is>
          <t>SÖDERMANLANDS LÄN</t>
        </is>
      </c>
      <c r="E410" t="inlineStr">
        <is>
          <t>KATRINEHOLM</t>
        </is>
      </c>
      <c r="G410" t="n">
        <v>7.5</v>
      </c>
      <c r="H410" t="n">
        <v>0</v>
      </c>
      <c r="I410" t="n">
        <v>0</v>
      </c>
      <c r="J410" t="n">
        <v>0</v>
      </c>
      <c r="K410" t="n">
        <v>0</v>
      </c>
      <c r="L410" t="n">
        <v>0</v>
      </c>
      <c r="M410" t="n">
        <v>0</v>
      </c>
      <c r="N410" t="n">
        <v>0</v>
      </c>
      <c r="O410" t="n">
        <v>0</v>
      </c>
      <c r="P410" t="n">
        <v>0</v>
      </c>
      <c r="Q410" t="n">
        <v>0</v>
      </c>
      <c r="R410" s="2" t="inlineStr"/>
    </row>
    <row r="411" ht="15" customHeight="1">
      <c r="A411" t="inlineStr">
        <is>
          <t>A 50804-2023</t>
        </is>
      </c>
      <c r="B411" s="1" t="n">
        <v>45211</v>
      </c>
      <c r="C411" s="1" t="n">
        <v>45990</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29502-2023</t>
        </is>
      </c>
      <c r="B412" s="1" t="n">
        <v>45106</v>
      </c>
      <c r="C412" s="1" t="n">
        <v>45990</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56074-2022</t>
        </is>
      </c>
      <c r="B413" s="1" t="n">
        <v>44889</v>
      </c>
      <c r="C413" s="1" t="n">
        <v>45990</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8922-2024</t>
        </is>
      </c>
      <c r="B414" s="1" t="n">
        <v>45357.38601851852</v>
      </c>
      <c r="C414" s="1" t="n">
        <v>45990</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45376-2022</t>
        </is>
      </c>
      <c r="B415" s="1" t="n">
        <v>44844</v>
      </c>
      <c r="C415" s="1" t="n">
        <v>45990</v>
      </c>
      <c r="D415" t="inlineStr">
        <is>
          <t>SÖDERMANLANDS LÄN</t>
        </is>
      </c>
      <c r="E415" t="inlineStr">
        <is>
          <t>KATRINEHOLM</t>
        </is>
      </c>
      <c r="G415" t="n">
        <v>4.7</v>
      </c>
      <c r="H415" t="n">
        <v>0</v>
      </c>
      <c r="I415" t="n">
        <v>0</v>
      </c>
      <c r="J415" t="n">
        <v>0</v>
      </c>
      <c r="K415" t="n">
        <v>0</v>
      </c>
      <c r="L415" t="n">
        <v>0</v>
      </c>
      <c r="M415" t="n">
        <v>0</v>
      </c>
      <c r="N415" t="n">
        <v>0</v>
      </c>
      <c r="O415" t="n">
        <v>0</v>
      </c>
      <c r="P415" t="n">
        <v>0</v>
      </c>
      <c r="Q415" t="n">
        <v>0</v>
      </c>
      <c r="R415" s="2" t="inlineStr"/>
    </row>
    <row r="416" ht="15" customHeight="1">
      <c r="A416" t="inlineStr">
        <is>
          <t>A 54395-2025</t>
        </is>
      </c>
      <c r="B416" s="1" t="n">
        <v>45964</v>
      </c>
      <c r="C416" s="1" t="n">
        <v>45990</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12227-2025</t>
        </is>
      </c>
      <c r="B417" s="1" t="n">
        <v>45729.56836805555</v>
      </c>
      <c r="C417" s="1" t="n">
        <v>45990</v>
      </c>
      <c r="D417" t="inlineStr">
        <is>
          <t>SÖDERMANLANDS LÄN</t>
        </is>
      </c>
      <c r="E417" t="inlineStr">
        <is>
          <t>KATRINEHOLM</t>
        </is>
      </c>
      <c r="G417" t="n">
        <v>7</v>
      </c>
      <c r="H417" t="n">
        <v>0</v>
      </c>
      <c r="I417" t="n">
        <v>0</v>
      </c>
      <c r="J417" t="n">
        <v>0</v>
      </c>
      <c r="K417" t="n">
        <v>0</v>
      </c>
      <c r="L417" t="n">
        <v>0</v>
      </c>
      <c r="M417" t="n">
        <v>0</v>
      </c>
      <c r="N417" t="n">
        <v>0</v>
      </c>
      <c r="O417" t="n">
        <v>0</v>
      </c>
      <c r="P417" t="n">
        <v>0</v>
      </c>
      <c r="Q417" t="n">
        <v>0</v>
      </c>
      <c r="R417" s="2" t="inlineStr"/>
    </row>
    <row r="418" ht="15" customHeight="1">
      <c r="A418" t="inlineStr">
        <is>
          <t>A 39748-2022</t>
        </is>
      </c>
      <c r="B418" s="1" t="n">
        <v>44817</v>
      </c>
      <c r="C418" s="1" t="n">
        <v>45990</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45990</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50021-2023</t>
        </is>
      </c>
      <c r="B420" s="1" t="n">
        <v>45215</v>
      </c>
      <c r="C420" s="1" t="n">
        <v>45990</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54999-2025</t>
        </is>
      </c>
      <c r="B421" s="1" t="n">
        <v>45967.59880787037</v>
      </c>
      <c r="C421" s="1" t="n">
        <v>45990</v>
      </c>
      <c r="D421" t="inlineStr">
        <is>
          <t>SÖDERMANLANDS LÄN</t>
        </is>
      </c>
      <c r="E421" t="inlineStr">
        <is>
          <t>KATRINEHOLM</t>
        </is>
      </c>
      <c r="G421" t="n">
        <v>8.5</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45990</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26684-2025</t>
        </is>
      </c>
      <c r="B423" s="1" t="n">
        <v>45810</v>
      </c>
      <c r="C423" s="1" t="n">
        <v>45990</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54873-2025</t>
        </is>
      </c>
      <c r="B424" s="1" t="n">
        <v>45967.30731481482</v>
      </c>
      <c r="C424" s="1" t="n">
        <v>45990</v>
      </c>
      <c r="D424" t="inlineStr">
        <is>
          <t>SÖDERMANLANDS LÄN</t>
        </is>
      </c>
      <c r="E424" t="inlineStr">
        <is>
          <t>KATRINEHOLM</t>
        </is>
      </c>
      <c r="G424" t="n">
        <v>2.7</v>
      </c>
      <c r="H424" t="n">
        <v>0</v>
      </c>
      <c r="I424" t="n">
        <v>0</v>
      </c>
      <c r="J424" t="n">
        <v>0</v>
      </c>
      <c r="K424" t="n">
        <v>0</v>
      </c>
      <c r="L424" t="n">
        <v>0</v>
      </c>
      <c r="M424" t="n">
        <v>0</v>
      </c>
      <c r="N424" t="n">
        <v>0</v>
      </c>
      <c r="O424" t="n">
        <v>0</v>
      </c>
      <c r="P424" t="n">
        <v>0</v>
      </c>
      <c r="Q424" t="n">
        <v>0</v>
      </c>
      <c r="R424" s="2" t="inlineStr"/>
    </row>
    <row r="425" ht="15" customHeight="1">
      <c r="A425" t="inlineStr">
        <is>
          <t>A 28431-2024</t>
        </is>
      </c>
      <c r="B425" s="1" t="n">
        <v>45477.65216435185</v>
      </c>
      <c r="C425" s="1" t="n">
        <v>45990</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37043-2025</t>
        </is>
      </c>
      <c r="B426" s="1" t="n">
        <v>45875.3396412037</v>
      </c>
      <c r="C426" s="1" t="n">
        <v>45990</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46288-2025</t>
        </is>
      </c>
      <c r="B427" s="1" t="n">
        <v>45925.38545138889</v>
      </c>
      <c r="C427" s="1" t="n">
        <v>45990</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34981-2023</t>
        </is>
      </c>
      <c r="B428" s="1" t="n">
        <v>45142</v>
      </c>
      <c r="C428" s="1" t="n">
        <v>45990</v>
      </c>
      <c r="D428" t="inlineStr">
        <is>
          <t>SÖDERMANLANDS LÄN</t>
        </is>
      </c>
      <c r="E428" t="inlineStr">
        <is>
          <t>KATRINEHOLM</t>
        </is>
      </c>
      <c r="G428" t="n">
        <v>10</v>
      </c>
      <c r="H428" t="n">
        <v>0</v>
      </c>
      <c r="I428" t="n">
        <v>0</v>
      </c>
      <c r="J428" t="n">
        <v>0</v>
      </c>
      <c r="K428" t="n">
        <v>0</v>
      </c>
      <c r="L428" t="n">
        <v>0</v>
      </c>
      <c r="M428" t="n">
        <v>0</v>
      </c>
      <c r="N428" t="n">
        <v>0</v>
      </c>
      <c r="O428" t="n">
        <v>0</v>
      </c>
      <c r="P428" t="n">
        <v>0</v>
      </c>
      <c r="Q428" t="n">
        <v>0</v>
      </c>
      <c r="R428" s="2" t="inlineStr"/>
    </row>
    <row r="429" ht="15" customHeight="1">
      <c r="A429" t="inlineStr">
        <is>
          <t>A 55029-2025</t>
        </is>
      </c>
      <c r="B429" s="1" t="n">
        <v>45967.63784722222</v>
      </c>
      <c r="C429" s="1" t="n">
        <v>45990</v>
      </c>
      <c r="D429" t="inlineStr">
        <is>
          <t>SÖDERMANLANDS LÄN</t>
        </is>
      </c>
      <c r="E429" t="inlineStr">
        <is>
          <t>KATRINEHOLM</t>
        </is>
      </c>
      <c r="G429" t="n">
        <v>10.1</v>
      </c>
      <c r="H429" t="n">
        <v>0</v>
      </c>
      <c r="I429" t="n">
        <v>0</v>
      </c>
      <c r="J429" t="n">
        <v>0</v>
      </c>
      <c r="K429" t="n">
        <v>0</v>
      </c>
      <c r="L429" t="n">
        <v>0</v>
      </c>
      <c r="M429" t="n">
        <v>0</v>
      </c>
      <c r="N429" t="n">
        <v>0</v>
      </c>
      <c r="O429" t="n">
        <v>0</v>
      </c>
      <c r="P429" t="n">
        <v>0</v>
      </c>
      <c r="Q429" t="n">
        <v>0</v>
      </c>
      <c r="R429" s="2" t="inlineStr"/>
    </row>
    <row r="430" ht="15" customHeight="1">
      <c r="A430" t="inlineStr">
        <is>
          <t>A 31740-2022</t>
        </is>
      </c>
      <c r="B430" s="1" t="n">
        <v>44776</v>
      </c>
      <c r="C430" s="1" t="n">
        <v>45990</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53750-2022</t>
        </is>
      </c>
      <c r="B431" s="1" t="n">
        <v>44875</v>
      </c>
      <c r="C431" s="1" t="n">
        <v>45990</v>
      </c>
      <c r="D431" t="inlineStr">
        <is>
          <t>SÖDERMANLANDS LÄN</t>
        </is>
      </c>
      <c r="E431" t="inlineStr">
        <is>
          <t>KATRINEHOLM</t>
        </is>
      </c>
      <c r="F431" t="inlineStr">
        <is>
          <t>Övriga Aktiebolag</t>
        </is>
      </c>
      <c r="G431" t="n">
        <v>12.6</v>
      </c>
      <c r="H431" t="n">
        <v>0</v>
      </c>
      <c r="I431" t="n">
        <v>0</v>
      </c>
      <c r="J431" t="n">
        <v>0</v>
      </c>
      <c r="K431" t="n">
        <v>0</v>
      </c>
      <c r="L431" t="n">
        <v>0</v>
      </c>
      <c r="M431" t="n">
        <v>0</v>
      </c>
      <c r="N431" t="n">
        <v>0</v>
      </c>
      <c r="O431" t="n">
        <v>0</v>
      </c>
      <c r="P431" t="n">
        <v>0</v>
      </c>
      <c r="Q431" t="n">
        <v>0</v>
      </c>
      <c r="R431" s="2" t="inlineStr"/>
    </row>
    <row r="432" ht="15" customHeight="1">
      <c r="A432" t="inlineStr">
        <is>
          <t>A 47886-2023</t>
        </is>
      </c>
      <c r="B432" s="1" t="n">
        <v>45204</v>
      </c>
      <c r="C432" s="1" t="n">
        <v>45990</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3125-2024</t>
        </is>
      </c>
      <c r="B433" s="1" t="n">
        <v>45316</v>
      </c>
      <c r="C433" s="1" t="n">
        <v>45990</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8087-2022</t>
        </is>
      </c>
      <c r="B434" s="1" t="n">
        <v>44609.53502314815</v>
      </c>
      <c r="C434" s="1" t="n">
        <v>45990</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45990</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27852-2023</t>
        </is>
      </c>
      <c r="B436" s="1" t="n">
        <v>45098</v>
      </c>
      <c r="C436" s="1" t="n">
        <v>45990</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1143-2024</t>
        </is>
      </c>
      <c r="B437" s="1" t="n">
        <v>45302</v>
      </c>
      <c r="C437" s="1" t="n">
        <v>45990</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3980-2024</t>
        </is>
      </c>
      <c r="B438" s="1" t="n">
        <v>45322</v>
      </c>
      <c r="C438" s="1" t="n">
        <v>45990</v>
      </c>
      <c r="D438" t="inlineStr">
        <is>
          <t>SÖDERMANLANDS LÄN</t>
        </is>
      </c>
      <c r="E438" t="inlineStr">
        <is>
          <t>KATRINEHOLM</t>
        </is>
      </c>
      <c r="G438" t="n">
        <v>0.4</v>
      </c>
      <c r="H438" t="n">
        <v>0</v>
      </c>
      <c r="I438" t="n">
        <v>0</v>
      </c>
      <c r="J438" t="n">
        <v>0</v>
      </c>
      <c r="K438" t="n">
        <v>0</v>
      </c>
      <c r="L438" t="n">
        <v>0</v>
      </c>
      <c r="M438" t="n">
        <v>0</v>
      </c>
      <c r="N438" t="n">
        <v>0</v>
      </c>
      <c r="O438" t="n">
        <v>0</v>
      </c>
      <c r="P438" t="n">
        <v>0</v>
      </c>
      <c r="Q438" t="n">
        <v>0</v>
      </c>
      <c r="R438" s="2" t="inlineStr"/>
    </row>
    <row r="439" ht="15" customHeight="1">
      <c r="A439" t="inlineStr">
        <is>
          <t>A 11543-2025</t>
        </is>
      </c>
      <c r="B439" s="1" t="n">
        <v>45727.34248842593</v>
      </c>
      <c r="C439" s="1" t="n">
        <v>45990</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35228-2025</t>
        </is>
      </c>
      <c r="B440" s="1" t="n">
        <v>45853</v>
      </c>
      <c r="C440" s="1" t="n">
        <v>45990</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17335-2023</t>
        </is>
      </c>
      <c r="B441" s="1" t="n">
        <v>45033</v>
      </c>
      <c r="C441" s="1" t="n">
        <v>45990</v>
      </c>
      <c r="D441" t="inlineStr">
        <is>
          <t>SÖDERMANLANDS LÄN</t>
        </is>
      </c>
      <c r="E441" t="inlineStr">
        <is>
          <t>KATRINEHOLM</t>
        </is>
      </c>
      <c r="G441" t="n">
        <v>3.3</v>
      </c>
      <c r="H441" t="n">
        <v>0</v>
      </c>
      <c r="I441" t="n">
        <v>0</v>
      </c>
      <c r="J441" t="n">
        <v>0</v>
      </c>
      <c r="K441" t="n">
        <v>0</v>
      </c>
      <c r="L441" t="n">
        <v>0</v>
      </c>
      <c r="M441" t="n">
        <v>0</v>
      </c>
      <c r="N441" t="n">
        <v>0</v>
      </c>
      <c r="O441" t="n">
        <v>0</v>
      </c>
      <c r="P441" t="n">
        <v>0</v>
      </c>
      <c r="Q441" t="n">
        <v>0</v>
      </c>
      <c r="R441" s="2" t="inlineStr"/>
    </row>
    <row r="442" ht="15" customHeight="1">
      <c r="A442" t="inlineStr">
        <is>
          <t>A 59898-2022</t>
        </is>
      </c>
      <c r="B442" s="1" t="n">
        <v>44908</v>
      </c>
      <c r="C442" s="1" t="n">
        <v>45990</v>
      </c>
      <c r="D442" t="inlineStr">
        <is>
          <t>SÖDERMANLANDS LÄN</t>
        </is>
      </c>
      <c r="E442" t="inlineStr">
        <is>
          <t>KATRINEHOLM</t>
        </is>
      </c>
      <c r="G442" t="n">
        <v>4.8</v>
      </c>
      <c r="H442" t="n">
        <v>0</v>
      </c>
      <c r="I442" t="n">
        <v>0</v>
      </c>
      <c r="J442" t="n">
        <v>0</v>
      </c>
      <c r="K442" t="n">
        <v>0</v>
      </c>
      <c r="L442" t="n">
        <v>0</v>
      </c>
      <c r="M442" t="n">
        <v>0</v>
      </c>
      <c r="N442" t="n">
        <v>0</v>
      </c>
      <c r="O442" t="n">
        <v>0</v>
      </c>
      <c r="P442" t="n">
        <v>0</v>
      </c>
      <c r="Q442" t="n">
        <v>0</v>
      </c>
      <c r="R442" s="2" t="inlineStr"/>
    </row>
    <row r="443" ht="15" customHeight="1">
      <c r="A443" t="inlineStr">
        <is>
          <t>A 46524-2025</t>
        </is>
      </c>
      <c r="B443" s="1" t="n">
        <v>45926</v>
      </c>
      <c r="C443" s="1" t="n">
        <v>45990</v>
      </c>
      <c r="D443" t="inlineStr">
        <is>
          <t>SÖDERMANLANDS LÄN</t>
        </is>
      </c>
      <c r="E443" t="inlineStr">
        <is>
          <t>KATRINEHOLM</t>
        </is>
      </c>
      <c r="G443" t="n">
        <v>5.7</v>
      </c>
      <c r="H443" t="n">
        <v>0</v>
      </c>
      <c r="I443" t="n">
        <v>0</v>
      </c>
      <c r="J443" t="n">
        <v>0</v>
      </c>
      <c r="K443" t="n">
        <v>0</v>
      </c>
      <c r="L443" t="n">
        <v>0</v>
      </c>
      <c r="M443" t="n">
        <v>0</v>
      </c>
      <c r="N443" t="n">
        <v>0</v>
      </c>
      <c r="O443" t="n">
        <v>0</v>
      </c>
      <c r="P443" t="n">
        <v>0</v>
      </c>
      <c r="Q443" t="n">
        <v>0</v>
      </c>
      <c r="R443" s="2" t="inlineStr"/>
    </row>
    <row r="444" ht="15" customHeight="1">
      <c r="A444" t="inlineStr">
        <is>
          <t>A 73412-2021</t>
        </is>
      </c>
      <c r="B444" s="1" t="n">
        <v>44551</v>
      </c>
      <c r="C444" s="1" t="n">
        <v>45990</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28995-2024</t>
        </is>
      </c>
      <c r="B445" s="1" t="n">
        <v>45481.49899305555</v>
      </c>
      <c r="C445" s="1" t="n">
        <v>45990</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28597-2024</t>
        </is>
      </c>
      <c r="B446" s="1" t="n">
        <v>45478</v>
      </c>
      <c r="C446" s="1" t="n">
        <v>45990</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64657-2020</t>
        </is>
      </c>
      <c r="B447" s="1" t="n">
        <v>44169</v>
      </c>
      <c r="C447" s="1" t="n">
        <v>45990</v>
      </c>
      <c r="D447" t="inlineStr">
        <is>
          <t>SÖDERMANLANDS LÄN</t>
        </is>
      </c>
      <c r="E447" t="inlineStr">
        <is>
          <t>KATRINEHOLM</t>
        </is>
      </c>
      <c r="F447" t="inlineStr">
        <is>
          <t>Kyrkan</t>
        </is>
      </c>
      <c r="G447" t="n">
        <v>7.6</v>
      </c>
      <c r="H447" t="n">
        <v>0</v>
      </c>
      <c r="I447" t="n">
        <v>0</v>
      </c>
      <c r="J447" t="n">
        <v>0</v>
      </c>
      <c r="K447" t="n">
        <v>0</v>
      </c>
      <c r="L447" t="n">
        <v>0</v>
      </c>
      <c r="M447" t="n">
        <v>0</v>
      </c>
      <c r="N447" t="n">
        <v>0</v>
      </c>
      <c r="O447" t="n">
        <v>0</v>
      </c>
      <c r="P447" t="n">
        <v>0</v>
      </c>
      <c r="Q447" t="n">
        <v>0</v>
      </c>
      <c r="R447" s="2" t="inlineStr"/>
    </row>
    <row r="448" ht="15" customHeight="1">
      <c r="A448" t="inlineStr">
        <is>
          <t>A 55831-2025</t>
        </is>
      </c>
      <c r="B448" s="1" t="n">
        <v>45972.81034722222</v>
      </c>
      <c r="C448" s="1" t="n">
        <v>45990</v>
      </c>
      <c r="D448" t="inlineStr">
        <is>
          <t>SÖDERMANLANDS LÄN</t>
        </is>
      </c>
      <c r="E448" t="inlineStr">
        <is>
          <t>KATRINEHOLM</t>
        </is>
      </c>
      <c r="G448" t="n">
        <v>6.2</v>
      </c>
      <c r="H448" t="n">
        <v>0</v>
      </c>
      <c r="I448" t="n">
        <v>0</v>
      </c>
      <c r="J448" t="n">
        <v>0</v>
      </c>
      <c r="K448" t="n">
        <v>0</v>
      </c>
      <c r="L448" t="n">
        <v>0</v>
      </c>
      <c r="M448" t="n">
        <v>0</v>
      </c>
      <c r="N448" t="n">
        <v>0</v>
      </c>
      <c r="O448" t="n">
        <v>0</v>
      </c>
      <c r="P448" t="n">
        <v>0</v>
      </c>
      <c r="Q448" t="n">
        <v>0</v>
      </c>
      <c r="R448" s="2" t="inlineStr"/>
    </row>
    <row r="449" ht="15" customHeight="1">
      <c r="A449" t="inlineStr">
        <is>
          <t>A 55832-2025</t>
        </is>
      </c>
      <c r="B449" s="1" t="n">
        <v>45972.81768518518</v>
      </c>
      <c r="C449" s="1" t="n">
        <v>45990</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41966-2023</t>
        </is>
      </c>
      <c r="B450" s="1" t="n">
        <v>45177</v>
      </c>
      <c r="C450" s="1" t="n">
        <v>45990</v>
      </c>
      <c r="D450" t="inlineStr">
        <is>
          <t>SÖDERMANLANDS LÄN</t>
        </is>
      </c>
      <c r="E450" t="inlineStr">
        <is>
          <t>KATRINEHOLM</t>
        </is>
      </c>
      <c r="G450" t="n">
        <v>36.9</v>
      </c>
      <c r="H450" t="n">
        <v>0</v>
      </c>
      <c r="I450" t="n">
        <v>0</v>
      </c>
      <c r="J450" t="n">
        <v>0</v>
      </c>
      <c r="K450" t="n">
        <v>0</v>
      </c>
      <c r="L450" t="n">
        <v>0</v>
      </c>
      <c r="M450" t="n">
        <v>0</v>
      </c>
      <c r="N450" t="n">
        <v>0</v>
      </c>
      <c r="O450" t="n">
        <v>0</v>
      </c>
      <c r="P450" t="n">
        <v>0</v>
      </c>
      <c r="Q450" t="n">
        <v>0</v>
      </c>
      <c r="R450" s="2" t="inlineStr"/>
    </row>
    <row r="451" ht="15" customHeight="1">
      <c r="A451" t="inlineStr">
        <is>
          <t>A 10446-2024</t>
        </is>
      </c>
      <c r="B451" s="1" t="n">
        <v>45366</v>
      </c>
      <c r="C451" s="1" t="n">
        <v>45990</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8761-2023</t>
        </is>
      </c>
      <c r="B452" s="1" t="n">
        <v>44978.49685185185</v>
      </c>
      <c r="C452" s="1" t="n">
        <v>45990</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8778-2023</t>
        </is>
      </c>
      <c r="B453" s="1" t="n">
        <v>44978.5737037037</v>
      </c>
      <c r="C453" s="1" t="n">
        <v>45990</v>
      </c>
      <c r="D453" t="inlineStr">
        <is>
          <t>SÖDERMANLANDS LÄN</t>
        </is>
      </c>
      <c r="E453" t="inlineStr">
        <is>
          <t>KATRINEHOLM</t>
        </is>
      </c>
      <c r="G453" t="n">
        <v>4.5</v>
      </c>
      <c r="H453" t="n">
        <v>0</v>
      </c>
      <c r="I453" t="n">
        <v>0</v>
      </c>
      <c r="J453" t="n">
        <v>0</v>
      </c>
      <c r="K453" t="n">
        <v>0</v>
      </c>
      <c r="L453" t="n">
        <v>0</v>
      </c>
      <c r="M453" t="n">
        <v>0</v>
      </c>
      <c r="N453" t="n">
        <v>0</v>
      </c>
      <c r="O453" t="n">
        <v>0</v>
      </c>
      <c r="P453" t="n">
        <v>0</v>
      </c>
      <c r="Q453" t="n">
        <v>0</v>
      </c>
      <c r="R453" s="2" t="inlineStr"/>
    </row>
    <row r="454" ht="15" customHeight="1">
      <c r="A454" t="inlineStr">
        <is>
          <t>A 63677-2020</t>
        </is>
      </c>
      <c r="B454" s="1" t="n">
        <v>44166</v>
      </c>
      <c r="C454" s="1" t="n">
        <v>45990</v>
      </c>
      <c r="D454" t="inlineStr">
        <is>
          <t>SÖDERMANLANDS LÄN</t>
        </is>
      </c>
      <c r="E454" t="inlineStr">
        <is>
          <t>KATRINEHOLM</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55829-2025</t>
        </is>
      </c>
      <c r="B455" s="1" t="n">
        <v>45972.79274305556</v>
      </c>
      <c r="C455" s="1" t="n">
        <v>45990</v>
      </c>
      <c r="D455" t="inlineStr">
        <is>
          <t>SÖDERMANLANDS LÄN</t>
        </is>
      </c>
      <c r="E455" t="inlineStr">
        <is>
          <t>KATRINEHOLM</t>
        </is>
      </c>
      <c r="G455" t="n">
        <v>3.2</v>
      </c>
      <c r="H455" t="n">
        <v>0</v>
      </c>
      <c r="I455" t="n">
        <v>0</v>
      </c>
      <c r="J455" t="n">
        <v>0</v>
      </c>
      <c r="K455" t="n">
        <v>0</v>
      </c>
      <c r="L455" t="n">
        <v>0</v>
      </c>
      <c r="M455" t="n">
        <v>0</v>
      </c>
      <c r="N455" t="n">
        <v>0</v>
      </c>
      <c r="O455" t="n">
        <v>0</v>
      </c>
      <c r="P455" t="n">
        <v>0</v>
      </c>
      <c r="Q455" t="n">
        <v>0</v>
      </c>
      <c r="R455" s="2" t="inlineStr"/>
    </row>
    <row r="456" ht="15" customHeight="1">
      <c r="A456" t="inlineStr">
        <is>
          <t>A 15399-2022</t>
        </is>
      </c>
      <c r="B456" s="1" t="n">
        <v>44659</v>
      </c>
      <c r="C456" s="1" t="n">
        <v>45990</v>
      </c>
      <c r="D456" t="inlineStr">
        <is>
          <t>SÖDERMANLANDS LÄN</t>
        </is>
      </c>
      <c r="E456" t="inlineStr">
        <is>
          <t>KATRINEHOLM</t>
        </is>
      </c>
      <c r="G456" t="n">
        <v>5.6</v>
      </c>
      <c r="H456" t="n">
        <v>0</v>
      </c>
      <c r="I456" t="n">
        <v>0</v>
      </c>
      <c r="J456" t="n">
        <v>0</v>
      </c>
      <c r="K456" t="n">
        <v>0</v>
      </c>
      <c r="L456" t="n">
        <v>0</v>
      </c>
      <c r="M456" t="n">
        <v>0</v>
      </c>
      <c r="N456" t="n">
        <v>0</v>
      </c>
      <c r="O456" t="n">
        <v>0</v>
      </c>
      <c r="P456" t="n">
        <v>0</v>
      </c>
      <c r="Q456" t="n">
        <v>0</v>
      </c>
      <c r="R456" s="2" t="inlineStr"/>
    </row>
    <row r="457" ht="15" customHeight="1">
      <c r="A457" t="inlineStr">
        <is>
          <t>A 49116-2024</t>
        </is>
      </c>
      <c r="B457" s="1" t="n">
        <v>45594.6605787037</v>
      </c>
      <c r="C457" s="1" t="n">
        <v>45990</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28427-2024</t>
        </is>
      </c>
      <c r="B458" s="1" t="n">
        <v>45477.64910879629</v>
      </c>
      <c r="C458" s="1" t="n">
        <v>45990</v>
      </c>
      <c r="D458" t="inlineStr">
        <is>
          <t>SÖDERMANLANDS LÄN</t>
        </is>
      </c>
      <c r="E458" t="inlineStr">
        <is>
          <t>KATRINEHOLM</t>
        </is>
      </c>
      <c r="G458" t="n">
        <v>5.9</v>
      </c>
      <c r="H458" t="n">
        <v>0</v>
      </c>
      <c r="I458" t="n">
        <v>0</v>
      </c>
      <c r="J458" t="n">
        <v>0</v>
      </c>
      <c r="K458" t="n">
        <v>0</v>
      </c>
      <c r="L458" t="n">
        <v>0</v>
      </c>
      <c r="M458" t="n">
        <v>0</v>
      </c>
      <c r="N458" t="n">
        <v>0</v>
      </c>
      <c r="O458" t="n">
        <v>0</v>
      </c>
      <c r="P458" t="n">
        <v>0</v>
      </c>
      <c r="Q458" t="n">
        <v>0</v>
      </c>
      <c r="R458" s="2" t="inlineStr"/>
    </row>
    <row r="459" ht="15" customHeight="1">
      <c r="A459" t="inlineStr">
        <is>
          <t>A 6753-2022</t>
        </is>
      </c>
      <c r="B459" s="1" t="n">
        <v>44602</v>
      </c>
      <c r="C459" s="1" t="n">
        <v>45990</v>
      </c>
      <c r="D459" t="inlineStr">
        <is>
          <t>SÖDERMANLANDS LÄN</t>
        </is>
      </c>
      <c r="E459" t="inlineStr">
        <is>
          <t>KATRINEHOLM</t>
        </is>
      </c>
      <c r="G459" t="n">
        <v>4.3</v>
      </c>
      <c r="H459" t="n">
        <v>0</v>
      </c>
      <c r="I459" t="n">
        <v>0</v>
      </c>
      <c r="J459" t="n">
        <v>0</v>
      </c>
      <c r="K459" t="n">
        <v>0</v>
      </c>
      <c r="L459" t="n">
        <v>0</v>
      </c>
      <c r="M459" t="n">
        <v>0</v>
      </c>
      <c r="N459" t="n">
        <v>0</v>
      </c>
      <c r="O459" t="n">
        <v>0</v>
      </c>
      <c r="P459" t="n">
        <v>0</v>
      </c>
      <c r="Q459" t="n">
        <v>0</v>
      </c>
      <c r="R459" s="2" t="inlineStr"/>
    </row>
    <row r="460" ht="15" customHeight="1">
      <c r="A460" t="inlineStr">
        <is>
          <t>A 6763-2022</t>
        </is>
      </c>
      <c r="B460" s="1" t="n">
        <v>44602</v>
      </c>
      <c r="C460" s="1" t="n">
        <v>45990</v>
      </c>
      <c r="D460" t="inlineStr">
        <is>
          <t>SÖDERMANLANDS LÄN</t>
        </is>
      </c>
      <c r="E460" t="inlineStr">
        <is>
          <t>KATRINEHOLM</t>
        </is>
      </c>
      <c r="G460" t="n">
        <v>6.7</v>
      </c>
      <c r="H460" t="n">
        <v>0</v>
      </c>
      <c r="I460" t="n">
        <v>0</v>
      </c>
      <c r="J460" t="n">
        <v>0</v>
      </c>
      <c r="K460" t="n">
        <v>0</v>
      </c>
      <c r="L460" t="n">
        <v>0</v>
      </c>
      <c r="M460" t="n">
        <v>0</v>
      </c>
      <c r="N460" t="n">
        <v>0</v>
      </c>
      <c r="O460" t="n">
        <v>0</v>
      </c>
      <c r="P460" t="n">
        <v>0</v>
      </c>
      <c r="Q460" t="n">
        <v>0</v>
      </c>
      <c r="R460" s="2" t="inlineStr"/>
    </row>
    <row r="461" ht="15" customHeight="1">
      <c r="A461" t="inlineStr">
        <is>
          <t>A 39068-2022</t>
        </is>
      </c>
      <c r="B461" s="1" t="n">
        <v>44816</v>
      </c>
      <c r="C461" s="1" t="n">
        <v>45990</v>
      </c>
      <c r="D461" t="inlineStr">
        <is>
          <t>SÖDERMANLANDS LÄN</t>
        </is>
      </c>
      <c r="E461" t="inlineStr">
        <is>
          <t>KATRINEHOLM</t>
        </is>
      </c>
      <c r="G461" t="n">
        <v>3.6</v>
      </c>
      <c r="H461" t="n">
        <v>0</v>
      </c>
      <c r="I461" t="n">
        <v>0</v>
      </c>
      <c r="J461" t="n">
        <v>0</v>
      </c>
      <c r="K461" t="n">
        <v>0</v>
      </c>
      <c r="L461" t="n">
        <v>0</v>
      </c>
      <c r="M461" t="n">
        <v>0</v>
      </c>
      <c r="N461" t="n">
        <v>0</v>
      </c>
      <c r="O461" t="n">
        <v>0</v>
      </c>
      <c r="P461" t="n">
        <v>0</v>
      </c>
      <c r="Q461" t="n">
        <v>0</v>
      </c>
      <c r="R461" s="2" t="inlineStr"/>
    </row>
    <row r="462" ht="15" customHeight="1">
      <c r="A462" t="inlineStr">
        <is>
          <t>A 66540-2021</t>
        </is>
      </c>
      <c r="B462" s="1" t="n">
        <v>44519</v>
      </c>
      <c r="C462" s="1" t="n">
        <v>45990</v>
      </c>
      <c r="D462" t="inlineStr">
        <is>
          <t>SÖDERMANLANDS LÄN</t>
        </is>
      </c>
      <c r="E462" t="inlineStr">
        <is>
          <t>KATRINEHOLM</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56330-2025</t>
        </is>
      </c>
      <c r="B463" s="1" t="n">
        <v>45974.64094907408</v>
      </c>
      <c r="C463" s="1" t="n">
        <v>45990</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56597-2025</t>
        </is>
      </c>
      <c r="B464" s="1" t="n">
        <v>45975.57271990741</v>
      </c>
      <c r="C464" s="1" t="n">
        <v>45990</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8288-2023</t>
        </is>
      </c>
      <c r="B465" s="1" t="n">
        <v>44974</v>
      </c>
      <c r="C465" s="1" t="n">
        <v>45990</v>
      </c>
      <c r="D465" t="inlineStr">
        <is>
          <t>SÖDERMANLANDS LÄN</t>
        </is>
      </c>
      <c r="E465" t="inlineStr">
        <is>
          <t>KATRINEHOLM</t>
        </is>
      </c>
      <c r="F465" t="inlineStr">
        <is>
          <t>Allmännings- och besparingsskogar</t>
        </is>
      </c>
      <c r="G465" t="n">
        <v>5.6</v>
      </c>
      <c r="H465" t="n">
        <v>0</v>
      </c>
      <c r="I465" t="n">
        <v>0</v>
      </c>
      <c r="J465" t="n">
        <v>0</v>
      </c>
      <c r="K465" t="n">
        <v>0</v>
      </c>
      <c r="L465" t="n">
        <v>0</v>
      </c>
      <c r="M465" t="n">
        <v>0</v>
      </c>
      <c r="N465" t="n">
        <v>0</v>
      </c>
      <c r="O465" t="n">
        <v>0</v>
      </c>
      <c r="P465" t="n">
        <v>0</v>
      </c>
      <c r="Q465" t="n">
        <v>0</v>
      </c>
      <c r="R465" s="2" t="inlineStr"/>
    </row>
    <row r="466" ht="15" customHeight="1">
      <c r="A466" t="inlineStr">
        <is>
          <t>A 45142-2021</t>
        </is>
      </c>
      <c r="B466" s="1" t="n">
        <v>44439</v>
      </c>
      <c r="C466" s="1" t="n">
        <v>45990</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5788-2022</t>
        </is>
      </c>
      <c r="B467" s="1" t="n">
        <v>44596.54990740741</v>
      </c>
      <c r="C467" s="1" t="n">
        <v>45990</v>
      </c>
      <c r="D467" t="inlineStr">
        <is>
          <t>SÖDERMANLANDS LÄN</t>
        </is>
      </c>
      <c r="E467" t="inlineStr">
        <is>
          <t>KATRINEHOLM</t>
        </is>
      </c>
      <c r="G467" t="n">
        <v>4.1</v>
      </c>
      <c r="H467" t="n">
        <v>0</v>
      </c>
      <c r="I467" t="n">
        <v>0</v>
      </c>
      <c r="J467" t="n">
        <v>0</v>
      </c>
      <c r="K467" t="n">
        <v>0</v>
      </c>
      <c r="L467" t="n">
        <v>0</v>
      </c>
      <c r="M467" t="n">
        <v>0</v>
      </c>
      <c r="N467" t="n">
        <v>0</v>
      </c>
      <c r="O467" t="n">
        <v>0</v>
      </c>
      <c r="P467" t="n">
        <v>0</v>
      </c>
      <c r="Q467" t="n">
        <v>0</v>
      </c>
      <c r="R467" s="2" t="inlineStr"/>
    </row>
    <row r="468" ht="15" customHeight="1">
      <c r="A468" t="inlineStr">
        <is>
          <t>A 5790-2022</t>
        </is>
      </c>
      <c r="B468" s="1" t="n">
        <v>44596.55368055555</v>
      </c>
      <c r="C468" s="1" t="n">
        <v>45990</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53387-2023</t>
        </is>
      </c>
      <c r="B469" s="1" t="n">
        <v>45229</v>
      </c>
      <c r="C469" s="1" t="n">
        <v>45990</v>
      </c>
      <c r="D469" t="inlineStr">
        <is>
          <t>SÖDERMANLANDS LÄN</t>
        </is>
      </c>
      <c r="E469" t="inlineStr">
        <is>
          <t>KATRINEHOLM</t>
        </is>
      </c>
      <c r="F469" t="inlineStr">
        <is>
          <t>Kyrkan</t>
        </is>
      </c>
      <c r="G469" t="n">
        <v>7.4</v>
      </c>
      <c r="H469" t="n">
        <v>0</v>
      </c>
      <c r="I469" t="n">
        <v>0</v>
      </c>
      <c r="J469" t="n">
        <v>0</v>
      </c>
      <c r="K469" t="n">
        <v>0</v>
      </c>
      <c r="L469" t="n">
        <v>0</v>
      </c>
      <c r="M469" t="n">
        <v>0</v>
      </c>
      <c r="N469" t="n">
        <v>0</v>
      </c>
      <c r="O469" t="n">
        <v>0</v>
      </c>
      <c r="P469" t="n">
        <v>0</v>
      </c>
      <c r="Q469" t="n">
        <v>0</v>
      </c>
      <c r="R469" s="2" t="inlineStr"/>
    </row>
    <row r="470" ht="15" customHeight="1">
      <c r="A470" t="inlineStr">
        <is>
          <t>A 55169-2022</t>
        </is>
      </c>
      <c r="B470" s="1" t="n">
        <v>44886</v>
      </c>
      <c r="C470" s="1" t="n">
        <v>45990</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13612-2023</t>
        </is>
      </c>
      <c r="B471" s="1" t="n">
        <v>45006</v>
      </c>
      <c r="C471" s="1" t="n">
        <v>45990</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20949-2021</t>
        </is>
      </c>
      <c r="B472" s="1" t="n">
        <v>44319</v>
      </c>
      <c r="C472" s="1" t="n">
        <v>45990</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7747-2024</t>
        </is>
      </c>
      <c r="B473" s="1" t="n">
        <v>45348</v>
      </c>
      <c r="C473" s="1" t="n">
        <v>45990</v>
      </c>
      <c r="D473" t="inlineStr">
        <is>
          <t>SÖDERMANLANDS LÄN</t>
        </is>
      </c>
      <c r="E473" t="inlineStr">
        <is>
          <t>KATRINEHOLM</t>
        </is>
      </c>
      <c r="G473" t="n">
        <v>1.1</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45990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45990</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48253-2022</t>
        </is>
      </c>
      <c r="B476" s="1" t="n">
        <v>44858</v>
      </c>
      <c r="C476" s="1" t="n">
        <v>45990</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45990</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45990</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45990</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45990</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7705-2021</t>
        </is>
      </c>
      <c r="B481" s="1" t="n">
        <v>44242</v>
      </c>
      <c r="C481" s="1" t="n">
        <v>45990</v>
      </c>
      <c r="D481" t="inlineStr">
        <is>
          <t>SÖDERMANLANDS LÄN</t>
        </is>
      </c>
      <c r="E481" t="inlineStr">
        <is>
          <t>KATRINEHOLM</t>
        </is>
      </c>
      <c r="F481" t="inlineStr">
        <is>
          <t>Allmännings- och besparingsskogar</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48398-2022</t>
        </is>
      </c>
      <c r="B482" s="1" t="n">
        <v>44858.60809027778</v>
      </c>
      <c r="C482" s="1" t="n">
        <v>45990</v>
      </c>
      <c r="D482" t="inlineStr">
        <is>
          <t>SÖDERMANLANDS LÄN</t>
        </is>
      </c>
      <c r="E482" t="inlineStr">
        <is>
          <t>KATRINEHOLM</t>
        </is>
      </c>
      <c r="G482" t="n">
        <v>1.9</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45990</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1329-2025</t>
        </is>
      </c>
      <c r="B484" s="1" t="n">
        <v>45667</v>
      </c>
      <c r="C484" s="1" t="n">
        <v>45990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65358-2020</t>
        </is>
      </c>
      <c r="B485" s="1" t="n">
        <v>44173</v>
      </c>
      <c r="C485" s="1" t="n">
        <v>45990</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45990</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45990</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45990</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45990</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46670-2021</t>
        </is>
      </c>
      <c r="B490" s="1" t="n">
        <v>44445</v>
      </c>
      <c r="C490" s="1" t="n">
        <v>45990</v>
      </c>
      <c r="D490" t="inlineStr">
        <is>
          <t>SÖDERMANLANDS LÄN</t>
        </is>
      </c>
      <c r="E490" t="inlineStr">
        <is>
          <t>KATRINEHOLM</t>
        </is>
      </c>
      <c r="G490" t="n">
        <v>4.4</v>
      </c>
      <c r="H490" t="n">
        <v>0</v>
      </c>
      <c r="I490" t="n">
        <v>0</v>
      </c>
      <c r="J490" t="n">
        <v>0</v>
      </c>
      <c r="K490" t="n">
        <v>0</v>
      </c>
      <c r="L490" t="n">
        <v>0</v>
      </c>
      <c r="M490" t="n">
        <v>0</v>
      </c>
      <c r="N490" t="n">
        <v>0</v>
      </c>
      <c r="O490" t="n">
        <v>0</v>
      </c>
      <c r="P490" t="n">
        <v>0</v>
      </c>
      <c r="Q490" t="n">
        <v>0</v>
      </c>
      <c r="R490" s="2" t="inlineStr"/>
    </row>
    <row r="491" ht="15" customHeight="1">
      <c r="A491" t="inlineStr">
        <is>
          <t>A 61911-2021</t>
        </is>
      </c>
      <c r="B491" s="1" t="n">
        <v>44502.35746527778</v>
      </c>
      <c r="C491" s="1" t="n">
        <v>45990</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43513-2023</t>
        </is>
      </c>
      <c r="B492" s="1" t="n">
        <v>45184</v>
      </c>
      <c r="C492" s="1" t="n">
        <v>45990</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2297-2021</t>
        </is>
      </c>
      <c r="B493" s="1" t="n">
        <v>44212</v>
      </c>
      <c r="C493" s="1" t="n">
        <v>45990</v>
      </c>
      <c r="D493" t="inlineStr">
        <is>
          <t>SÖDERMANLANDS LÄN</t>
        </is>
      </c>
      <c r="E493" t="inlineStr">
        <is>
          <t>KATRINEHOLM</t>
        </is>
      </c>
      <c r="G493" t="n">
        <v>14.4</v>
      </c>
      <c r="H493" t="n">
        <v>0</v>
      </c>
      <c r="I493" t="n">
        <v>0</v>
      </c>
      <c r="J493" t="n">
        <v>0</v>
      </c>
      <c r="K493" t="n">
        <v>0</v>
      </c>
      <c r="L493" t="n">
        <v>0</v>
      </c>
      <c r="M493" t="n">
        <v>0</v>
      </c>
      <c r="N493" t="n">
        <v>0</v>
      </c>
      <c r="O493" t="n">
        <v>0</v>
      </c>
      <c r="P493" t="n">
        <v>0</v>
      </c>
      <c r="Q493" t="n">
        <v>0</v>
      </c>
      <c r="R493" s="2" t="inlineStr"/>
    </row>
    <row r="494" ht="15" customHeight="1">
      <c r="A494" t="inlineStr">
        <is>
          <t>A 49122-2024</t>
        </is>
      </c>
      <c r="B494" s="1" t="n">
        <v>45594</v>
      </c>
      <c r="C494" s="1" t="n">
        <v>45990</v>
      </c>
      <c r="D494" t="inlineStr">
        <is>
          <t>SÖDERMANLANDS LÄN</t>
        </is>
      </c>
      <c r="E494" t="inlineStr">
        <is>
          <t>KATRINEHOLM</t>
        </is>
      </c>
      <c r="G494" t="n">
        <v>19.4</v>
      </c>
      <c r="H494" t="n">
        <v>0</v>
      </c>
      <c r="I494" t="n">
        <v>0</v>
      </c>
      <c r="J494" t="n">
        <v>0</v>
      </c>
      <c r="K494" t="n">
        <v>0</v>
      </c>
      <c r="L494" t="n">
        <v>0</v>
      </c>
      <c r="M494" t="n">
        <v>0</v>
      </c>
      <c r="N494" t="n">
        <v>0</v>
      </c>
      <c r="O494" t="n">
        <v>0</v>
      </c>
      <c r="P494" t="n">
        <v>0</v>
      </c>
      <c r="Q494" t="n">
        <v>0</v>
      </c>
      <c r="R494" s="2" t="inlineStr"/>
    </row>
    <row r="495" ht="15" customHeight="1">
      <c r="A495" t="inlineStr">
        <is>
          <t>A 8791-2023</t>
        </is>
      </c>
      <c r="B495" s="1" t="n">
        <v>44978</v>
      </c>
      <c r="C495" s="1" t="n">
        <v>45990</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55825-2022</t>
        </is>
      </c>
      <c r="B496" s="1" t="n">
        <v>44886</v>
      </c>
      <c r="C496" s="1" t="n">
        <v>45990</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62954-2023</t>
        </is>
      </c>
      <c r="B497" s="1" t="n">
        <v>45272.55362268518</v>
      </c>
      <c r="C497" s="1" t="n">
        <v>45990</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65485-2020</t>
        </is>
      </c>
      <c r="B498" s="1" t="n">
        <v>44173</v>
      </c>
      <c r="C498" s="1" t="n">
        <v>45990</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49743-2025</t>
        </is>
      </c>
      <c r="B499" s="1" t="n">
        <v>45940</v>
      </c>
      <c r="C499" s="1" t="n">
        <v>45990</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7191-2023</t>
        </is>
      </c>
      <c r="B500" s="1" t="n">
        <v>44965</v>
      </c>
      <c r="C500" s="1" t="n">
        <v>45990</v>
      </c>
      <c r="D500" t="inlineStr">
        <is>
          <t>SÖDERMANLANDS LÄN</t>
        </is>
      </c>
      <c r="E500" t="inlineStr">
        <is>
          <t>KATRINEHOLM</t>
        </is>
      </c>
      <c r="G500" t="n">
        <v>14.1</v>
      </c>
      <c r="H500" t="n">
        <v>0</v>
      </c>
      <c r="I500" t="n">
        <v>0</v>
      </c>
      <c r="J500" t="n">
        <v>0</v>
      </c>
      <c r="K500" t="n">
        <v>0</v>
      </c>
      <c r="L500" t="n">
        <v>0</v>
      </c>
      <c r="M500" t="n">
        <v>0</v>
      </c>
      <c r="N500" t="n">
        <v>0</v>
      </c>
      <c r="O500" t="n">
        <v>0</v>
      </c>
      <c r="P500" t="n">
        <v>0</v>
      </c>
      <c r="Q500" t="n">
        <v>0</v>
      </c>
      <c r="R500" s="2" t="inlineStr"/>
    </row>
    <row r="501" ht="15" customHeight="1">
      <c r="A501" t="inlineStr">
        <is>
          <t>A 37834-2023</t>
        </is>
      </c>
      <c r="B501" s="1" t="n">
        <v>45160</v>
      </c>
      <c r="C501" s="1" t="n">
        <v>45990</v>
      </c>
      <c r="D501" t="inlineStr">
        <is>
          <t>SÖDERMANLANDS LÄN</t>
        </is>
      </c>
      <c r="E501" t="inlineStr">
        <is>
          <t>KATRINEHOLM</t>
        </is>
      </c>
      <c r="F501" t="inlineStr">
        <is>
          <t>Kyrkan</t>
        </is>
      </c>
      <c r="G501" t="n">
        <v>2.8</v>
      </c>
      <c r="H501" t="n">
        <v>0</v>
      </c>
      <c r="I501" t="n">
        <v>0</v>
      </c>
      <c r="J501" t="n">
        <v>0</v>
      </c>
      <c r="K501" t="n">
        <v>0</v>
      </c>
      <c r="L501" t="n">
        <v>0</v>
      </c>
      <c r="M501" t="n">
        <v>0</v>
      </c>
      <c r="N501" t="n">
        <v>0</v>
      </c>
      <c r="O501" t="n">
        <v>0</v>
      </c>
      <c r="P501" t="n">
        <v>0</v>
      </c>
      <c r="Q501" t="n">
        <v>0</v>
      </c>
      <c r="R501" s="2" t="inlineStr"/>
    </row>
    <row r="502" ht="15" customHeight="1">
      <c r="A502" t="inlineStr">
        <is>
          <t>A 36210-2022</t>
        </is>
      </c>
      <c r="B502" s="1" t="n">
        <v>44803.47950231482</v>
      </c>
      <c r="C502" s="1" t="n">
        <v>45990</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19685-2022</t>
        </is>
      </c>
      <c r="B503" s="1" t="n">
        <v>44694</v>
      </c>
      <c r="C503" s="1" t="n">
        <v>45990</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45990</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14224-2024</t>
        </is>
      </c>
      <c r="B505" s="1" t="n">
        <v>45393</v>
      </c>
      <c r="C505" s="1" t="n">
        <v>45990</v>
      </c>
      <c r="D505" t="inlineStr">
        <is>
          <t>SÖDERMANLANDS LÄN</t>
        </is>
      </c>
      <c r="E505" t="inlineStr">
        <is>
          <t>KATRINEHOLM</t>
        </is>
      </c>
      <c r="F505" t="inlineStr">
        <is>
          <t>Sveaskog</t>
        </is>
      </c>
      <c r="G505" t="n">
        <v>7.6</v>
      </c>
      <c r="H505" t="n">
        <v>0</v>
      </c>
      <c r="I505" t="n">
        <v>0</v>
      </c>
      <c r="J505" t="n">
        <v>0</v>
      </c>
      <c r="K505" t="n">
        <v>0</v>
      </c>
      <c r="L505" t="n">
        <v>0</v>
      </c>
      <c r="M505" t="n">
        <v>0</v>
      </c>
      <c r="N505" t="n">
        <v>0</v>
      </c>
      <c r="O505" t="n">
        <v>0</v>
      </c>
      <c r="P505" t="n">
        <v>0</v>
      </c>
      <c r="Q505" t="n">
        <v>0</v>
      </c>
      <c r="R505" s="2" t="inlineStr"/>
    </row>
    <row r="506" ht="15" customHeight="1">
      <c r="A506" t="inlineStr">
        <is>
          <t>A 44989-2022</t>
        </is>
      </c>
      <c r="B506" s="1" t="n">
        <v>44840</v>
      </c>
      <c r="C506" s="1" t="n">
        <v>45990</v>
      </c>
      <c r="D506" t="inlineStr">
        <is>
          <t>SÖDERMANLANDS LÄN</t>
        </is>
      </c>
      <c r="E506" t="inlineStr">
        <is>
          <t>KATRINEHOLM</t>
        </is>
      </c>
      <c r="G506" t="n">
        <v>6</v>
      </c>
      <c r="H506" t="n">
        <v>0</v>
      </c>
      <c r="I506" t="n">
        <v>0</v>
      </c>
      <c r="J506" t="n">
        <v>0</v>
      </c>
      <c r="K506" t="n">
        <v>0</v>
      </c>
      <c r="L506" t="n">
        <v>0</v>
      </c>
      <c r="M506" t="n">
        <v>0</v>
      </c>
      <c r="N506" t="n">
        <v>0</v>
      </c>
      <c r="O506" t="n">
        <v>0</v>
      </c>
      <c r="P506" t="n">
        <v>0</v>
      </c>
      <c r="Q506" t="n">
        <v>0</v>
      </c>
      <c r="R506" s="2" t="inlineStr"/>
    </row>
    <row r="507" ht="15" customHeight="1">
      <c r="A507" t="inlineStr">
        <is>
          <t>A 57263-2022</t>
        </is>
      </c>
      <c r="B507" s="1" t="n">
        <v>44895</v>
      </c>
      <c r="C507" s="1" t="n">
        <v>45990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65077-2020</t>
        </is>
      </c>
      <c r="B508" s="1" t="n">
        <v>44172</v>
      </c>
      <c r="C508" s="1" t="n">
        <v>45990</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45990</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4679-2023</t>
        </is>
      </c>
      <c r="B510" s="1" t="n">
        <v>44957.44885416667</v>
      </c>
      <c r="C510" s="1" t="n">
        <v>45990</v>
      </c>
      <c r="D510" t="inlineStr">
        <is>
          <t>SÖDERMANLANDS LÄN</t>
        </is>
      </c>
      <c r="E510" t="inlineStr">
        <is>
          <t>KATRINEHOLM</t>
        </is>
      </c>
      <c r="G510" t="n">
        <v>5.3</v>
      </c>
      <c r="H510" t="n">
        <v>0</v>
      </c>
      <c r="I510" t="n">
        <v>0</v>
      </c>
      <c r="J510" t="n">
        <v>0</v>
      </c>
      <c r="K510" t="n">
        <v>0</v>
      </c>
      <c r="L510" t="n">
        <v>0</v>
      </c>
      <c r="M510" t="n">
        <v>0</v>
      </c>
      <c r="N510" t="n">
        <v>0</v>
      </c>
      <c r="O510" t="n">
        <v>0</v>
      </c>
      <c r="P510" t="n">
        <v>0</v>
      </c>
      <c r="Q510" t="n">
        <v>0</v>
      </c>
      <c r="R510" s="2" t="inlineStr"/>
    </row>
    <row r="511" ht="15" customHeight="1">
      <c r="A511" t="inlineStr">
        <is>
          <t>A 58684-2025</t>
        </is>
      </c>
      <c r="B511" s="1" t="n">
        <v>45986.56953703704</v>
      </c>
      <c r="C511" s="1" t="n">
        <v>45990</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2320-2023</t>
        </is>
      </c>
      <c r="B512" s="1" t="n">
        <v>44942.58850694444</v>
      </c>
      <c r="C512" s="1" t="n">
        <v>45990</v>
      </c>
      <c r="D512" t="inlineStr">
        <is>
          <t>SÖDERMANLANDS LÄN</t>
        </is>
      </c>
      <c r="E512" t="inlineStr">
        <is>
          <t>KATRINEHOLM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2325-2023</t>
        </is>
      </c>
      <c r="B513" s="1" t="n">
        <v>44942</v>
      </c>
      <c r="C513" s="1" t="n">
        <v>45990</v>
      </c>
      <c r="D513" t="inlineStr">
        <is>
          <t>SÖDERMANLANDS LÄN</t>
        </is>
      </c>
      <c r="E513" t="inlineStr">
        <is>
          <t>KATRINEHOLM</t>
        </is>
      </c>
      <c r="G513" t="n">
        <v>5.6</v>
      </c>
      <c r="H513" t="n">
        <v>0</v>
      </c>
      <c r="I513" t="n">
        <v>0</v>
      </c>
      <c r="J513" t="n">
        <v>0</v>
      </c>
      <c r="K513" t="n">
        <v>0</v>
      </c>
      <c r="L513" t="n">
        <v>0</v>
      </c>
      <c r="M513" t="n">
        <v>0</v>
      </c>
      <c r="N513" t="n">
        <v>0</v>
      </c>
      <c r="O513" t="n">
        <v>0</v>
      </c>
      <c r="P513" t="n">
        <v>0</v>
      </c>
      <c r="Q513" t="n">
        <v>0</v>
      </c>
      <c r="R513" s="2" t="inlineStr"/>
    </row>
    <row r="514" ht="15" customHeight="1">
      <c r="A514" t="inlineStr">
        <is>
          <t>A 55732-2023</t>
        </is>
      </c>
      <c r="B514" s="1" t="n">
        <v>45239</v>
      </c>
      <c r="C514" s="1" t="n">
        <v>45990</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17792-2025</t>
        </is>
      </c>
      <c r="B515" s="1" t="n">
        <v>45758</v>
      </c>
      <c r="C515" s="1" t="n">
        <v>45990</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58473-2021</t>
        </is>
      </c>
      <c r="B516" s="1" t="n">
        <v>44488</v>
      </c>
      <c r="C516" s="1" t="n">
        <v>45990</v>
      </c>
      <c r="D516" t="inlineStr">
        <is>
          <t>SÖDERMANLANDS LÄN</t>
        </is>
      </c>
      <c r="E516" t="inlineStr">
        <is>
          <t>KATRINEHOLM</t>
        </is>
      </c>
      <c r="G516" t="n">
        <v>0.5</v>
      </c>
      <c r="H516" t="n">
        <v>0</v>
      </c>
      <c r="I516" t="n">
        <v>0</v>
      </c>
      <c r="J516" t="n">
        <v>0</v>
      </c>
      <c r="K516" t="n">
        <v>0</v>
      </c>
      <c r="L516" t="n">
        <v>0</v>
      </c>
      <c r="M516" t="n">
        <v>0</v>
      </c>
      <c r="N516" t="n">
        <v>0</v>
      </c>
      <c r="O516" t="n">
        <v>0</v>
      </c>
      <c r="P516" t="n">
        <v>0</v>
      </c>
      <c r="Q516" t="n">
        <v>0</v>
      </c>
      <c r="R516" s="2" t="inlineStr"/>
    </row>
    <row r="517" ht="15" customHeight="1">
      <c r="A517" t="inlineStr">
        <is>
          <t>A 53860-2021</t>
        </is>
      </c>
      <c r="B517" s="1" t="n">
        <v>44467</v>
      </c>
      <c r="C517" s="1" t="n">
        <v>45990</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50934-2025</t>
        </is>
      </c>
      <c r="B518" s="1" t="n">
        <v>45946.69195601852</v>
      </c>
      <c r="C518" s="1" t="n">
        <v>45990</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20533-2023</t>
        </is>
      </c>
      <c r="B519" s="1" t="n">
        <v>45057</v>
      </c>
      <c r="C519" s="1" t="n">
        <v>45990</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c r="T519">
        <f>HYPERLINK("https://klasma.github.io/Logging_0483/kartor/A 20533-2023 karta.png", "A 20533-2023")</f>
        <v/>
      </c>
      <c r="V519">
        <f>HYPERLINK("https://klasma.github.io/Logging_0483/klagomål/A 20533-2023 FSC-klagomål.docx", "A 20533-2023")</f>
        <v/>
      </c>
      <c r="W519">
        <f>HYPERLINK("https://klasma.github.io/Logging_0483/klagomålsmail/A 20533-2023 FSC-klagomål mail.docx", "A 20533-2023")</f>
        <v/>
      </c>
      <c r="X519">
        <f>HYPERLINK("https://klasma.github.io/Logging_0483/tillsyn/A 20533-2023 tillsynsbegäran.docx", "A 20533-2023")</f>
        <v/>
      </c>
      <c r="Y519">
        <f>HYPERLINK("https://klasma.github.io/Logging_0483/tillsynsmail/A 20533-2023 tillsynsbegäran mail.docx", "A 20533-2023")</f>
        <v/>
      </c>
      <c r="Z519">
        <f>HYPERLINK("https://klasma.github.io/Logging_0483/fåglar/A 20533-2023 prioriterade fågelarter.docx", "A 20533-2023")</f>
        <v/>
      </c>
    </row>
    <row r="520" ht="15" customHeight="1">
      <c r="A520" t="inlineStr">
        <is>
          <t>A 29702-2021</t>
        </is>
      </c>
      <c r="B520" s="1" t="n">
        <v>44362</v>
      </c>
      <c r="C520" s="1" t="n">
        <v>45990</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4662-2023</t>
        </is>
      </c>
      <c r="B521" s="1" t="n">
        <v>44957</v>
      </c>
      <c r="C521" s="1" t="n">
        <v>45990</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22304-2024</t>
        </is>
      </c>
      <c r="B522" s="1" t="n">
        <v>45446.56626157407</v>
      </c>
      <c r="C522" s="1" t="n">
        <v>45990</v>
      </c>
      <c r="D522" t="inlineStr">
        <is>
          <t>SÖDERMANLANDS LÄN</t>
        </is>
      </c>
      <c r="E522" t="inlineStr">
        <is>
          <t>KATRINEHOLM</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13171-2024</t>
        </is>
      </c>
      <c r="B523" s="1" t="n">
        <v>45386</v>
      </c>
      <c r="C523" s="1" t="n">
        <v>45990</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33752-2023</t>
        </is>
      </c>
      <c r="B524" s="1" t="n">
        <v>45120</v>
      </c>
      <c r="C524" s="1" t="n">
        <v>45990</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28652-2024</t>
        </is>
      </c>
      <c r="B525" s="1" t="n">
        <v>45478</v>
      </c>
      <c r="C525" s="1" t="n">
        <v>45990</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45990</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9192-2023</t>
        </is>
      </c>
      <c r="B527" s="1" t="n">
        <v>44980</v>
      </c>
      <c r="C527" s="1" t="n">
        <v>45990</v>
      </c>
      <c r="D527" t="inlineStr">
        <is>
          <t>SÖDERMANLANDS LÄN</t>
        </is>
      </c>
      <c r="E527" t="inlineStr">
        <is>
          <t>KATRINEHOLM</t>
        </is>
      </c>
      <c r="F527" t="inlineStr">
        <is>
          <t>Övriga Aktiebolag</t>
        </is>
      </c>
      <c r="G527" t="n">
        <v>1.6</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44549.74741898148</v>
      </c>
      <c r="C528" s="1" t="n">
        <v>45990</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33712-2022</t>
        </is>
      </c>
      <c r="B529" s="1" t="n">
        <v>44789</v>
      </c>
      <c r="C529" s="1" t="n">
        <v>45990</v>
      </c>
      <c r="D529" t="inlineStr">
        <is>
          <t>SÖDERMANLANDS LÄN</t>
        </is>
      </c>
      <c r="E529" t="inlineStr">
        <is>
          <t>KATRINEHOLM</t>
        </is>
      </c>
      <c r="G529" t="n">
        <v>4.3</v>
      </c>
      <c r="H529" t="n">
        <v>0</v>
      </c>
      <c r="I529" t="n">
        <v>0</v>
      </c>
      <c r="J529" t="n">
        <v>0</v>
      </c>
      <c r="K529" t="n">
        <v>0</v>
      </c>
      <c r="L529" t="n">
        <v>0</v>
      </c>
      <c r="M529" t="n">
        <v>0</v>
      </c>
      <c r="N529" t="n">
        <v>0</v>
      </c>
      <c r="O529" t="n">
        <v>0</v>
      </c>
      <c r="P529" t="n">
        <v>0</v>
      </c>
      <c r="Q529" t="n">
        <v>0</v>
      </c>
      <c r="R529" s="2" t="inlineStr"/>
    </row>
    <row r="530" ht="15" customHeight="1">
      <c r="A530" t="inlineStr">
        <is>
          <t>A 33717-2022</t>
        </is>
      </c>
      <c r="B530" s="1" t="n">
        <v>44789</v>
      </c>
      <c r="C530" s="1" t="n">
        <v>45990</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51440-2024</t>
        </is>
      </c>
      <c r="B531" s="1" t="n">
        <v>45604</v>
      </c>
      <c r="C531" s="1" t="n">
        <v>45990</v>
      </c>
      <c r="D531" t="inlineStr">
        <is>
          <t>SÖDERMANLANDS LÄN</t>
        </is>
      </c>
      <c r="E531" t="inlineStr">
        <is>
          <t>KATRINEHOLM</t>
        </is>
      </c>
      <c r="G531" t="n">
        <v>4.7</v>
      </c>
      <c r="H531" t="n">
        <v>0</v>
      </c>
      <c r="I531" t="n">
        <v>0</v>
      </c>
      <c r="J531" t="n">
        <v>0</v>
      </c>
      <c r="K531" t="n">
        <v>0</v>
      </c>
      <c r="L531" t="n">
        <v>0</v>
      </c>
      <c r="M531" t="n">
        <v>0</v>
      </c>
      <c r="N531" t="n">
        <v>0</v>
      </c>
      <c r="O531" t="n">
        <v>0</v>
      </c>
      <c r="P531" t="n">
        <v>0</v>
      </c>
      <c r="Q531" t="n">
        <v>0</v>
      </c>
      <c r="R531" s="2" t="inlineStr"/>
    </row>
    <row r="532" ht="15" customHeight="1">
      <c r="A532" t="inlineStr">
        <is>
          <t>A 2298-2021</t>
        </is>
      </c>
      <c r="B532" s="1" t="n">
        <v>44212</v>
      </c>
      <c r="C532" s="1" t="n">
        <v>45990</v>
      </c>
      <c r="D532" t="inlineStr">
        <is>
          <t>SÖDERMANLANDS LÄN</t>
        </is>
      </c>
      <c r="E532" t="inlineStr">
        <is>
          <t>KATRINEHOLM</t>
        </is>
      </c>
      <c r="G532" t="n">
        <v>3.4</v>
      </c>
      <c r="H532" t="n">
        <v>0</v>
      </c>
      <c r="I532" t="n">
        <v>0</v>
      </c>
      <c r="J532" t="n">
        <v>0</v>
      </c>
      <c r="K532" t="n">
        <v>0</v>
      </c>
      <c r="L532" t="n">
        <v>0</v>
      </c>
      <c r="M532" t="n">
        <v>0</v>
      </c>
      <c r="N532" t="n">
        <v>0</v>
      </c>
      <c r="O532" t="n">
        <v>0</v>
      </c>
      <c r="P532" t="n">
        <v>0</v>
      </c>
      <c r="Q532" t="n">
        <v>0</v>
      </c>
      <c r="R532" s="2" t="inlineStr"/>
    </row>
    <row r="533" ht="15" customHeight="1">
      <c r="A533" t="inlineStr">
        <is>
          <t>A 51260-2021</t>
        </is>
      </c>
      <c r="B533" s="1" t="n">
        <v>44461</v>
      </c>
      <c r="C533" s="1" t="n">
        <v>45990</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38879-2024</t>
        </is>
      </c>
      <c r="B534" s="1" t="n">
        <v>45547</v>
      </c>
      <c r="C534" s="1" t="n">
        <v>45990</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42945-2023</t>
        </is>
      </c>
      <c r="B535" s="1" t="n">
        <v>45182.5793287037</v>
      </c>
      <c r="C535" s="1" t="n">
        <v>45990</v>
      </c>
      <c r="D535" t="inlineStr">
        <is>
          <t>SÖDERMANLANDS LÄN</t>
        </is>
      </c>
      <c r="E535" t="inlineStr">
        <is>
          <t>KATRINEHOLM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42962-2023</t>
        </is>
      </c>
      <c r="B536" s="1" t="n">
        <v>45182</v>
      </c>
      <c r="C536" s="1" t="n">
        <v>45990</v>
      </c>
      <c r="D536" t="inlineStr">
        <is>
          <t>SÖDERMANLANDS LÄN</t>
        </is>
      </c>
      <c r="E536" t="inlineStr">
        <is>
          <t>KATRINEHOLM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33538-2022</t>
        </is>
      </c>
      <c r="B537" s="1" t="n">
        <v>44789</v>
      </c>
      <c r="C537" s="1" t="n">
        <v>45990</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16605-2025</t>
        </is>
      </c>
      <c r="B538" s="1" t="n">
        <v>45753.61614583333</v>
      </c>
      <c r="C538" s="1" t="n">
        <v>45990</v>
      </c>
      <c r="D538" t="inlineStr">
        <is>
          <t>SÖDERMANLANDS LÄN</t>
        </is>
      </c>
      <c r="E538" t="inlineStr">
        <is>
          <t>KATRINEHOLM</t>
        </is>
      </c>
      <c r="G538" t="n">
        <v>5.2</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45990</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45990</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45990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64713-2023</t>
        </is>
      </c>
      <c r="B542" s="1" t="n">
        <v>45281</v>
      </c>
      <c r="C542" s="1" t="n">
        <v>45990</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28304-2024</t>
        </is>
      </c>
      <c r="B543" s="1" t="n">
        <v>45477</v>
      </c>
      <c r="C543" s="1" t="n">
        <v>45990</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8457-2023</t>
        </is>
      </c>
      <c r="B544" s="1" t="n">
        <v>44977</v>
      </c>
      <c r="C544" s="1" t="n">
        <v>45990</v>
      </c>
      <c r="D544" t="inlineStr">
        <is>
          <t>SÖDERMANLANDS LÄN</t>
        </is>
      </c>
      <c r="E544" t="inlineStr">
        <is>
          <t>KATRINEHOLM</t>
        </is>
      </c>
      <c r="F544" t="inlineStr">
        <is>
          <t>Allmännings- och besparingsskogar</t>
        </is>
      </c>
      <c r="G544" t="n">
        <v>16.1</v>
      </c>
      <c r="H544" t="n">
        <v>0</v>
      </c>
      <c r="I544" t="n">
        <v>0</v>
      </c>
      <c r="J544" t="n">
        <v>0</v>
      </c>
      <c r="K544" t="n">
        <v>0</v>
      </c>
      <c r="L544" t="n">
        <v>0</v>
      </c>
      <c r="M544" t="n">
        <v>0</v>
      </c>
      <c r="N544" t="n">
        <v>0</v>
      </c>
      <c r="O544" t="n">
        <v>0</v>
      </c>
      <c r="P544" t="n">
        <v>0</v>
      </c>
      <c r="Q544" t="n">
        <v>0</v>
      </c>
      <c r="R544" s="2" t="inlineStr"/>
    </row>
    <row r="545" ht="15" customHeight="1">
      <c r="A545" t="inlineStr">
        <is>
          <t>A 7322-2023</t>
        </is>
      </c>
      <c r="B545" s="1" t="n">
        <v>44970</v>
      </c>
      <c r="C545" s="1" t="n">
        <v>45990</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60160-2022</t>
        </is>
      </c>
      <c r="B546" s="1" t="n">
        <v>44909</v>
      </c>
      <c r="C546" s="1" t="n">
        <v>45990</v>
      </c>
      <c r="D546" t="inlineStr">
        <is>
          <t>SÖDERMANLANDS LÄN</t>
        </is>
      </c>
      <c r="E546" t="inlineStr">
        <is>
          <t>KATRINEHOLM</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12238-2021</t>
        </is>
      </c>
      <c r="B547" s="1" t="n">
        <v>44266</v>
      </c>
      <c r="C547" s="1" t="n">
        <v>45990</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48685-2022</t>
        </is>
      </c>
      <c r="B548" s="1" t="n">
        <v>44859</v>
      </c>
      <c r="C548" s="1" t="n">
        <v>45990</v>
      </c>
      <c r="D548" t="inlineStr">
        <is>
          <t>SÖDERMANLANDS LÄN</t>
        </is>
      </c>
      <c r="E548" t="inlineStr">
        <is>
          <t>KATRINEHOLM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42519-2024</t>
        </is>
      </c>
      <c r="B549" s="1" t="n">
        <v>45565</v>
      </c>
      <c r="C549" s="1" t="n">
        <v>45990</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43499-2021</t>
        </is>
      </c>
      <c r="B550" s="1" t="n">
        <v>44433</v>
      </c>
      <c r="C550" s="1" t="n">
        <v>45990</v>
      </c>
      <c r="D550" t="inlineStr">
        <is>
          <t>SÖDERMANLANDS LÄN</t>
        </is>
      </c>
      <c r="E550" t="inlineStr">
        <is>
          <t>KATRINEHOLM</t>
        </is>
      </c>
      <c r="F550" t="inlineStr">
        <is>
          <t>Övriga Aktiebolag</t>
        </is>
      </c>
      <c r="G550" t="n">
        <v>1.4</v>
      </c>
      <c r="H550" t="n">
        <v>0</v>
      </c>
      <c r="I550" t="n">
        <v>0</v>
      </c>
      <c r="J550" t="n">
        <v>0</v>
      </c>
      <c r="K550" t="n">
        <v>0</v>
      </c>
      <c r="L550" t="n">
        <v>0</v>
      </c>
      <c r="M550" t="n">
        <v>0</v>
      </c>
      <c r="N550" t="n">
        <v>0</v>
      </c>
      <c r="O550" t="n">
        <v>0</v>
      </c>
      <c r="P550" t="n">
        <v>0</v>
      </c>
      <c r="Q550" t="n">
        <v>0</v>
      </c>
      <c r="R550" s="2" t="inlineStr"/>
    </row>
    <row r="551" ht="15" customHeight="1">
      <c r="A551" t="inlineStr">
        <is>
          <t>A 32169-2022</t>
        </is>
      </c>
      <c r="B551" s="1" t="n">
        <v>44781</v>
      </c>
      <c r="C551" s="1" t="n">
        <v>45990</v>
      </c>
      <c r="D551" t="inlineStr">
        <is>
          <t>SÖDERMANLANDS LÄN</t>
        </is>
      </c>
      <c r="E551" t="inlineStr">
        <is>
          <t>KATRINEHOLM</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55122-2022</t>
        </is>
      </c>
      <c r="B552" s="1" t="n">
        <v>44886.65092592593</v>
      </c>
      <c r="C552" s="1" t="n">
        <v>45990</v>
      </c>
      <c r="D552" t="inlineStr">
        <is>
          <t>SÖDERMANLANDS LÄN</t>
        </is>
      </c>
      <c r="E552" t="inlineStr">
        <is>
          <t>KATRINEHOLM</t>
        </is>
      </c>
      <c r="G552" t="n">
        <v>6.5</v>
      </c>
      <c r="H552" t="n">
        <v>0</v>
      </c>
      <c r="I552" t="n">
        <v>0</v>
      </c>
      <c r="J552" t="n">
        <v>0</v>
      </c>
      <c r="K552" t="n">
        <v>0</v>
      </c>
      <c r="L552" t="n">
        <v>0</v>
      </c>
      <c r="M552" t="n">
        <v>0</v>
      </c>
      <c r="N552" t="n">
        <v>0</v>
      </c>
      <c r="O552" t="n">
        <v>0</v>
      </c>
      <c r="P552" t="n">
        <v>0</v>
      </c>
      <c r="Q552" t="n">
        <v>0</v>
      </c>
      <c r="R552" s="2" t="inlineStr"/>
    </row>
    <row r="553" ht="15" customHeight="1">
      <c r="A553" t="inlineStr">
        <is>
          <t>A 43964-2022</t>
        </is>
      </c>
      <c r="B553" s="1" t="n">
        <v>44837</v>
      </c>
      <c r="C553" s="1" t="n">
        <v>45990</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46075-2023</t>
        </is>
      </c>
      <c r="B554" s="1" t="n">
        <v>45196</v>
      </c>
      <c r="C554" s="1" t="n">
        <v>45990</v>
      </c>
      <c r="D554" t="inlineStr">
        <is>
          <t>SÖDERMANLANDS LÄN</t>
        </is>
      </c>
      <c r="E554" t="inlineStr">
        <is>
          <t>KATRINEHOLM</t>
        </is>
      </c>
      <c r="F554" t="inlineStr">
        <is>
          <t>Övriga Aktiebolag</t>
        </is>
      </c>
      <c r="G554" t="n">
        <v>9.5</v>
      </c>
      <c r="H554" t="n">
        <v>0</v>
      </c>
      <c r="I554" t="n">
        <v>0</v>
      </c>
      <c r="J554" t="n">
        <v>0</v>
      </c>
      <c r="K554" t="n">
        <v>0</v>
      </c>
      <c r="L554" t="n">
        <v>0</v>
      </c>
      <c r="M554" t="n">
        <v>0</v>
      </c>
      <c r="N554" t="n">
        <v>0</v>
      </c>
      <c r="O554" t="n">
        <v>0</v>
      </c>
      <c r="P554" t="n">
        <v>0</v>
      </c>
      <c r="Q554" t="n">
        <v>0</v>
      </c>
      <c r="R554" s="2" t="inlineStr"/>
    </row>
    <row r="555" ht="15" customHeight="1">
      <c r="A555" t="inlineStr">
        <is>
          <t>A 9992-2022</t>
        </is>
      </c>
      <c r="B555" s="1" t="n">
        <v>44621</v>
      </c>
      <c r="C555" s="1" t="n">
        <v>45990</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44659-2023</t>
        </is>
      </c>
      <c r="B556" s="1" t="n">
        <v>45189</v>
      </c>
      <c r="C556" s="1" t="n">
        <v>45990</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48682-2022</t>
        </is>
      </c>
      <c r="B557" s="1" t="n">
        <v>44859</v>
      </c>
      <c r="C557" s="1" t="n">
        <v>45990</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14629-2023</t>
        </is>
      </c>
      <c r="B558" s="1" t="n">
        <v>45013</v>
      </c>
      <c r="C558" s="1" t="n">
        <v>45990</v>
      </c>
      <c r="D558" t="inlineStr">
        <is>
          <t>SÖDERMANLANDS LÄN</t>
        </is>
      </c>
      <c r="E558" t="inlineStr">
        <is>
          <t>KATRINEHOLM</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57524-2021</t>
        </is>
      </c>
      <c r="B559" s="1" t="n">
        <v>44483</v>
      </c>
      <c r="C559" s="1" t="n">
        <v>45990</v>
      </c>
      <c r="D559" t="inlineStr">
        <is>
          <t>SÖDERMANLANDS LÄN</t>
        </is>
      </c>
      <c r="E559" t="inlineStr">
        <is>
          <t>KATRINEHOLM</t>
        </is>
      </c>
      <c r="G559" t="n">
        <v>0.4</v>
      </c>
      <c r="H559" t="n">
        <v>0</v>
      </c>
      <c r="I559" t="n">
        <v>0</v>
      </c>
      <c r="J559" t="n">
        <v>0</v>
      </c>
      <c r="K559" t="n">
        <v>0</v>
      </c>
      <c r="L559" t="n">
        <v>0</v>
      </c>
      <c r="M559" t="n">
        <v>0</v>
      </c>
      <c r="N559" t="n">
        <v>0</v>
      </c>
      <c r="O559" t="n">
        <v>0</v>
      </c>
      <c r="P559" t="n">
        <v>0</v>
      </c>
      <c r="Q559" t="n">
        <v>0</v>
      </c>
      <c r="R559" s="2" t="inlineStr"/>
    </row>
    <row r="560" ht="15" customHeight="1">
      <c r="A560" t="inlineStr">
        <is>
          <t>A 8917-2024</t>
        </is>
      </c>
      <c r="B560" s="1" t="n">
        <v>45357.37618055556</v>
      </c>
      <c r="C560" s="1" t="n">
        <v>45990</v>
      </c>
      <c r="D560" t="inlineStr">
        <is>
          <t>SÖDERMANLANDS LÄN</t>
        </is>
      </c>
      <c r="E560" t="inlineStr">
        <is>
          <t>KATRINEHOLM</t>
        </is>
      </c>
      <c r="G560" t="n">
        <v>3</v>
      </c>
      <c r="H560" t="n">
        <v>0</v>
      </c>
      <c r="I560" t="n">
        <v>0</v>
      </c>
      <c r="J560" t="n">
        <v>0</v>
      </c>
      <c r="K560" t="n">
        <v>0</v>
      </c>
      <c r="L560" t="n">
        <v>0</v>
      </c>
      <c r="M560" t="n">
        <v>0</v>
      </c>
      <c r="N560" t="n">
        <v>0</v>
      </c>
      <c r="O560" t="n">
        <v>0</v>
      </c>
      <c r="P560" t="n">
        <v>0</v>
      </c>
      <c r="Q560" t="n">
        <v>0</v>
      </c>
      <c r="R560" s="2" t="inlineStr"/>
    </row>
    <row r="561" ht="15" customHeight="1">
      <c r="A561" t="inlineStr">
        <is>
          <t>A 27345-2023</t>
        </is>
      </c>
      <c r="B561" s="1" t="n">
        <v>45096</v>
      </c>
      <c r="C561" s="1" t="n">
        <v>45990</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53996-2023</t>
        </is>
      </c>
      <c r="B562" s="1" t="n">
        <v>45231</v>
      </c>
      <c r="C562" s="1" t="n">
        <v>45990</v>
      </c>
      <c r="D562" t="inlineStr">
        <is>
          <t>SÖDERMANLANDS LÄN</t>
        </is>
      </c>
      <c r="E562" t="inlineStr">
        <is>
          <t>KATRINEHOLM</t>
        </is>
      </c>
      <c r="G562" t="n">
        <v>4.9</v>
      </c>
      <c r="H562" t="n">
        <v>0</v>
      </c>
      <c r="I562" t="n">
        <v>0</v>
      </c>
      <c r="J562" t="n">
        <v>0</v>
      </c>
      <c r="K562" t="n">
        <v>0</v>
      </c>
      <c r="L562" t="n">
        <v>0</v>
      </c>
      <c r="M562" t="n">
        <v>0</v>
      </c>
      <c r="N562" t="n">
        <v>0</v>
      </c>
      <c r="O562" t="n">
        <v>0</v>
      </c>
      <c r="P562" t="n">
        <v>0</v>
      </c>
      <c r="Q562" t="n">
        <v>0</v>
      </c>
      <c r="R562" s="2" t="inlineStr"/>
    </row>
    <row r="563" ht="15" customHeight="1">
      <c r="A563" t="inlineStr">
        <is>
          <t>A 11127-2023</t>
        </is>
      </c>
      <c r="B563" s="1" t="n">
        <v>44987</v>
      </c>
      <c r="C563" s="1" t="n">
        <v>45990</v>
      </c>
      <c r="D563" t="inlineStr">
        <is>
          <t>SÖDERMANLANDS LÄN</t>
        </is>
      </c>
      <c r="E563" t="inlineStr">
        <is>
          <t>KATRINEHOLM</t>
        </is>
      </c>
      <c r="G563" t="n">
        <v>4.3</v>
      </c>
      <c r="H563" t="n">
        <v>0</v>
      </c>
      <c r="I563" t="n">
        <v>0</v>
      </c>
      <c r="J563" t="n">
        <v>0</v>
      </c>
      <c r="K563" t="n">
        <v>0</v>
      </c>
      <c r="L563" t="n">
        <v>0</v>
      </c>
      <c r="M563" t="n">
        <v>0</v>
      </c>
      <c r="N563" t="n">
        <v>0</v>
      </c>
      <c r="O563" t="n">
        <v>0</v>
      </c>
      <c r="P563" t="n">
        <v>0</v>
      </c>
      <c r="Q563" t="n">
        <v>0</v>
      </c>
      <c r="R563" s="2" t="inlineStr"/>
    </row>
    <row r="564" ht="15" customHeight="1">
      <c r="A564" t="inlineStr">
        <is>
          <t>A 37185-2023</t>
        </is>
      </c>
      <c r="B564" s="1" t="n">
        <v>45154</v>
      </c>
      <c r="C564" s="1" t="n">
        <v>45990</v>
      </c>
      <c r="D564" t="inlineStr">
        <is>
          <t>SÖDERMANLANDS LÄN</t>
        </is>
      </c>
      <c r="E564" t="inlineStr">
        <is>
          <t>KATRINEHOLM</t>
        </is>
      </c>
      <c r="G564" t="n">
        <v>3</v>
      </c>
      <c r="H564" t="n">
        <v>0</v>
      </c>
      <c r="I564" t="n">
        <v>0</v>
      </c>
      <c r="J564" t="n">
        <v>0</v>
      </c>
      <c r="K564" t="n">
        <v>0</v>
      </c>
      <c r="L564" t="n">
        <v>0</v>
      </c>
      <c r="M564" t="n">
        <v>0</v>
      </c>
      <c r="N564" t="n">
        <v>0</v>
      </c>
      <c r="O564" t="n">
        <v>0</v>
      </c>
      <c r="P564" t="n">
        <v>0</v>
      </c>
      <c r="Q564" t="n">
        <v>0</v>
      </c>
      <c r="R564" s="2" t="inlineStr"/>
    </row>
    <row r="565" ht="15" customHeight="1">
      <c r="A565" t="inlineStr">
        <is>
          <t>A 24284-2024</t>
        </is>
      </c>
      <c r="B565" s="1" t="n">
        <v>45457</v>
      </c>
      <c r="C565" s="1" t="n">
        <v>45990</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45990</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50840-2022</t>
        </is>
      </c>
      <c r="B567" s="1" t="n">
        <v>44862</v>
      </c>
      <c r="C567" s="1" t="n">
        <v>45990</v>
      </c>
      <c r="D567" t="inlineStr">
        <is>
          <t>SÖDERMANLANDS LÄN</t>
        </is>
      </c>
      <c r="E567" t="inlineStr">
        <is>
          <t>KATRINEHOLM</t>
        </is>
      </c>
      <c r="G567" t="n">
        <v>4.2</v>
      </c>
      <c r="H567" t="n">
        <v>0</v>
      </c>
      <c r="I567" t="n">
        <v>0</v>
      </c>
      <c r="J567" t="n">
        <v>0</v>
      </c>
      <c r="K567" t="n">
        <v>0</v>
      </c>
      <c r="L567" t="n">
        <v>0</v>
      </c>
      <c r="M567" t="n">
        <v>0</v>
      </c>
      <c r="N567" t="n">
        <v>0</v>
      </c>
      <c r="O567" t="n">
        <v>0</v>
      </c>
      <c r="P567" t="n">
        <v>0</v>
      </c>
      <c r="Q567" t="n">
        <v>0</v>
      </c>
      <c r="R567" s="2" t="inlineStr"/>
    </row>
    <row r="568" ht="15" customHeight="1">
      <c r="A568" t="inlineStr">
        <is>
          <t>A 13113-2023</t>
        </is>
      </c>
      <c r="B568" s="1" t="n">
        <v>45002</v>
      </c>
      <c r="C568" s="1" t="n">
        <v>45990</v>
      </c>
      <c r="D568" t="inlineStr">
        <is>
          <t>SÖDERMANLANDS LÄN</t>
        </is>
      </c>
      <c r="E568" t="inlineStr">
        <is>
          <t>KATRINEHOLM</t>
        </is>
      </c>
      <c r="F568" t="inlineStr">
        <is>
          <t>Allmännings- och besparingsskogar</t>
        </is>
      </c>
      <c r="G568" t="n">
        <v>3.6</v>
      </c>
      <c r="H568" t="n">
        <v>0</v>
      </c>
      <c r="I568" t="n">
        <v>0</v>
      </c>
      <c r="J568" t="n">
        <v>0</v>
      </c>
      <c r="K568" t="n">
        <v>0</v>
      </c>
      <c r="L568" t="n">
        <v>0</v>
      </c>
      <c r="M568" t="n">
        <v>0</v>
      </c>
      <c r="N568" t="n">
        <v>0</v>
      </c>
      <c r="O568" t="n">
        <v>0</v>
      </c>
      <c r="P568" t="n">
        <v>0</v>
      </c>
      <c r="Q568" t="n">
        <v>0</v>
      </c>
      <c r="R568" s="2" t="inlineStr"/>
    </row>
    <row r="569" ht="15" customHeight="1">
      <c r="A569" t="inlineStr">
        <is>
          <t>A 14245-2024</t>
        </is>
      </c>
      <c r="B569" s="1" t="n">
        <v>45393</v>
      </c>
      <c r="C569" s="1" t="n">
        <v>45990</v>
      </c>
      <c r="D569" t="inlineStr">
        <is>
          <t>SÖDERMANLANDS LÄN</t>
        </is>
      </c>
      <c r="E569" t="inlineStr">
        <is>
          <t>KATRINEHOLM</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36832-2023</t>
        </is>
      </c>
      <c r="B570" s="1" t="n">
        <v>45153</v>
      </c>
      <c r="C570" s="1" t="n">
        <v>45990</v>
      </c>
      <c r="D570" t="inlineStr">
        <is>
          <t>SÖDERMANLANDS LÄN</t>
        </is>
      </c>
      <c r="E570" t="inlineStr">
        <is>
          <t>KATRINEHOLM</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39052-2023</t>
        </is>
      </c>
      <c r="B571" s="1" t="n">
        <v>45163</v>
      </c>
      <c r="C571" s="1" t="n">
        <v>45990</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41946-2022</t>
        </is>
      </c>
      <c r="B572" s="1" t="n">
        <v>44830.38502314815</v>
      </c>
      <c r="C572" s="1" t="n">
        <v>45990</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51613-2022</t>
        </is>
      </c>
      <c r="B573" s="1" t="n">
        <v>44871</v>
      </c>
      <c r="C573" s="1" t="n">
        <v>45990</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27886-2024</t>
        </is>
      </c>
      <c r="B574" s="1" t="n">
        <v>45475</v>
      </c>
      <c r="C574" s="1" t="n">
        <v>45990</v>
      </c>
      <c r="D574" t="inlineStr">
        <is>
          <t>SÖDERMANLANDS LÄN</t>
        </is>
      </c>
      <c r="E574" t="inlineStr">
        <is>
          <t>KATRINEHOLM</t>
        </is>
      </c>
      <c r="G574" t="n">
        <v>10.3</v>
      </c>
      <c r="H574" t="n">
        <v>0</v>
      </c>
      <c r="I574" t="n">
        <v>0</v>
      </c>
      <c r="J574" t="n">
        <v>0</v>
      </c>
      <c r="K574" t="n">
        <v>0</v>
      </c>
      <c r="L574" t="n">
        <v>0</v>
      </c>
      <c r="M574" t="n">
        <v>0</v>
      </c>
      <c r="N574" t="n">
        <v>0</v>
      </c>
      <c r="O574" t="n">
        <v>0</v>
      </c>
      <c r="P574" t="n">
        <v>0</v>
      </c>
      <c r="Q574" t="n">
        <v>0</v>
      </c>
      <c r="R574" s="2" t="inlineStr"/>
    </row>
    <row r="575" ht="15" customHeight="1">
      <c r="A575" t="inlineStr">
        <is>
          <t>A 19868-2022</t>
        </is>
      </c>
      <c r="B575" s="1" t="n">
        <v>44696</v>
      </c>
      <c r="C575" s="1" t="n">
        <v>45990</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58651-2023</t>
        </is>
      </c>
      <c r="B576" s="1" t="n">
        <v>45247</v>
      </c>
      <c r="C576" s="1" t="n">
        <v>45990</v>
      </c>
      <c r="D576" t="inlineStr">
        <is>
          <t>SÖDERMANLANDS LÄN</t>
        </is>
      </c>
      <c r="E576" t="inlineStr">
        <is>
          <t>KATRINEHOLM</t>
        </is>
      </c>
      <c r="G576" t="n">
        <v>2.7</v>
      </c>
      <c r="H576" t="n">
        <v>0</v>
      </c>
      <c r="I576" t="n">
        <v>0</v>
      </c>
      <c r="J576" t="n">
        <v>0</v>
      </c>
      <c r="K576" t="n">
        <v>0</v>
      </c>
      <c r="L576" t="n">
        <v>0</v>
      </c>
      <c r="M576" t="n">
        <v>0</v>
      </c>
      <c r="N576" t="n">
        <v>0</v>
      </c>
      <c r="O576" t="n">
        <v>0</v>
      </c>
      <c r="P576" t="n">
        <v>0</v>
      </c>
      <c r="Q576" t="n">
        <v>0</v>
      </c>
      <c r="R576" s="2" t="inlineStr"/>
    </row>
    <row r="577" ht="15" customHeight="1">
      <c r="A577" t="inlineStr">
        <is>
          <t>A 8765-2023</t>
        </is>
      </c>
      <c r="B577" s="1" t="n">
        <v>44978.52131944444</v>
      </c>
      <c r="C577" s="1" t="n">
        <v>45990</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28992-2024</t>
        </is>
      </c>
      <c r="B578" s="1" t="n">
        <v>45481.49289351852</v>
      </c>
      <c r="C578" s="1" t="n">
        <v>45990</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25433-2024</t>
        </is>
      </c>
      <c r="B579" s="1" t="n">
        <v>45463</v>
      </c>
      <c r="C579" s="1" t="n">
        <v>45990</v>
      </c>
      <c r="D579" t="inlineStr">
        <is>
          <t>SÖDERMANLANDS LÄN</t>
        </is>
      </c>
      <c r="E579" t="inlineStr">
        <is>
          <t>KATRINEHOLM</t>
        </is>
      </c>
      <c r="G579" t="n">
        <v>1.1</v>
      </c>
      <c r="H579" t="n">
        <v>0</v>
      </c>
      <c r="I579" t="n">
        <v>0</v>
      </c>
      <c r="J579" t="n">
        <v>0</v>
      </c>
      <c r="K579" t="n">
        <v>0</v>
      </c>
      <c r="L579" t="n">
        <v>0</v>
      </c>
      <c r="M579" t="n">
        <v>0</v>
      </c>
      <c r="N579" t="n">
        <v>0</v>
      </c>
      <c r="O579" t="n">
        <v>0</v>
      </c>
      <c r="P579" t="n">
        <v>0</v>
      </c>
      <c r="Q579" t="n">
        <v>0</v>
      </c>
      <c r="R579" s="2" t="inlineStr"/>
    </row>
    <row r="580" ht="15" customHeight="1">
      <c r="A580" t="inlineStr">
        <is>
          <t>A 42111-2022</t>
        </is>
      </c>
      <c r="B580" s="1" t="n">
        <v>44830</v>
      </c>
      <c r="C580" s="1" t="n">
        <v>45990</v>
      </c>
      <c r="D580" t="inlineStr">
        <is>
          <t>SÖDERMANLANDS LÄN</t>
        </is>
      </c>
      <c r="E580" t="inlineStr">
        <is>
          <t>KATRINEHOLM</t>
        </is>
      </c>
      <c r="G580" t="n">
        <v>2.5</v>
      </c>
      <c r="H580" t="n">
        <v>0</v>
      </c>
      <c r="I580" t="n">
        <v>0</v>
      </c>
      <c r="J580" t="n">
        <v>0</v>
      </c>
      <c r="K580" t="n">
        <v>0</v>
      </c>
      <c r="L580" t="n">
        <v>0</v>
      </c>
      <c r="M580" t="n">
        <v>0</v>
      </c>
      <c r="N580" t="n">
        <v>0</v>
      </c>
      <c r="O580" t="n">
        <v>0</v>
      </c>
      <c r="P580" t="n">
        <v>0</v>
      </c>
      <c r="Q580" t="n">
        <v>0</v>
      </c>
      <c r="R580" s="2" t="inlineStr"/>
    </row>
    <row r="581" ht="15" customHeight="1">
      <c r="A581" t="inlineStr">
        <is>
          <t>A 36021-2023</t>
        </is>
      </c>
      <c r="B581" s="1" t="n">
        <v>45148</v>
      </c>
      <c r="C581" s="1" t="n">
        <v>45990</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40402-2022</t>
        </is>
      </c>
      <c r="B582" s="1" t="n">
        <v>44823.44353009259</v>
      </c>
      <c r="C582" s="1" t="n">
        <v>45990</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45990</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45990</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58528-2024</t>
        </is>
      </c>
      <c r="B585" s="1" t="n">
        <v>45635.44527777778</v>
      </c>
      <c r="C585" s="1" t="n">
        <v>45990</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14478-2023</t>
        </is>
      </c>
      <c r="B586" s="1" t="n">
        <v>45012.66421296296</v>
      </c>
      <c r="C586" s="1" t="n">
        <v>45990</v>
      </c>
      <c r="D586" t="inlineStr">
        <is>
          <t>SÖDERMANLANDS LÄN</t>
        </is>
      </c>
      <c r="E586" t="inlineStr">
        <is>
          <t>KATRINEHOLM</t>
        </is>
      </c>
      <c r="G586" t="n">
        <v>3.9</v>
      </c>
      <c r="H586" t="n">
        <v>0</v>
      </c>
      <c r="I586" t="n">
        <v>0</v>
      </c>
      <c r="J586" t="n">
        <v>0</v>
      </c>
      <c r="K586" t="n">
        <v>0</v>
      </c>
      <c r="L586" t="n">
        <v>0</v>
      </c>
      <c r="M586" t="n">
        <v>0</v>
      </c>
      <c r="N586" t="n">
        <v>0</v>
      </c>
      <c r="O586" t="n">
        <v>0</v>
      </c>
      <c r="P586" t="n">
        <v>0</v>
      </c>
      <c r="Q586" t="n">
        <v>0</v>
      </c>
      <c r="R586" s="2" t="inlineStr"/>
    </row>
    <row r="587" ht="15" customHeight="1">
      <c r="A587" t="inlineStr">
        <is>
          <t>A 39055-2022</t>
        </is>
      </c>
      <c r="B587" s="1" t="n">
        <v>44817</v>
      </c>
      <c r="C587" s="1" t="n">
        <v>45990</v>
      </c>
      <c r="D587" t="inlineStr">
        <is>
          <t>SÖDERMANLANDS LÄN</t>
        </is>
      </c>
      <c r="E587" t="inlineStr">
        <is>
          <t>KATRINEHOLM</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7056-2022</t>
        </is>
      </c>
      <c r="B588" s="1" t="n">
        <v>44603</v>
      </c>
      <c r="C588" s="1" t="n">
        <v>45990</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12937-2023</t>
        </is>
      </c>
      <c r="B589" s="1" t="n">
        <v>45001</v>
      </c>
      <c r="C589" s="1" t="n">
        <v>45990</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42896-2024</t>
        </is>
      </c>
      <c r="B590" s="1" t="n">
        <v>45566.82973379629</v>
      </c>
      <c r="C590" s="1" t="n">
        <v>45990</v>
      </c>
      <c r="D590" t="inlineStr">
        <is>
          <t>SÖDERMANLANDS LÄN</t>
        </is>
      </c>
      <c r="E590" t="inlineStr">
        <is>
          <t>KATRINEHOLM</t>
        </is>
      </c>
      <c r="G590" t="n">
        <v>4.3</v>
      </c>
      <c r="H590" t="n">
        <v>0</v>
      </c>
      <c r="I590" t="n">
        <v>0</v>
      </c>
      <c r="J590" t="n">
        <v>0</v>
      </c>
      <c r="K590" t="n">
        <v>0</v>
      </c>
      <c r="L590" t="n">
        <v>0</v>
      </c>
      <c r="M590" t="n">
        <v>0</v>
      </c>
      <c r="N590" t="n">
        <v>0</v>
      </c>
      <c r="O590" t="n">
        <v>0</v>
      </c>
      <c r="P590" t="n">
        <v>0</v>
      </c>
      <c r="Q590" t="n">
        <v>0</v>
      </c>
      <c r="R590" s="2" t="inlineStr"/>
    </row>
    <row r="591" ht="15" customHeight="1">
      <c r="A591" t="inlineStr">
        <is>
          <t>A 29008-2024</t>
        </is>
      </c>
      <c r="B591" s="1" t="n">
        <v>45481</v>
      </c>
      <c r="C591" s="1" t="n">
        <v>45990</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62419-2023</t>
        </is>
      </c>
      <c r="B592" s="1" t="n">
        <v>45268</v>
      </c>
      <c r="C592" s="1" t="n">
        <v>45990</v>
      </c>
      <c r="D592" t="inlineStr">
        <is>
          <t>SÖDERMANLANDS LÄN</t>
        </is>
      </c>
      <c r="E592" t="inlineStr">
        <is>
          <t>KATRINEHOLM</t>
        </is>
      </c>
      <c r="G592" t="n">
        <v>9</v>
      </c>
      <c r="H592" t="n">
        <v>0</v>
      </c>
      <c r="I592" t="n">
        <v>0</v>
      </c>
      <c r="J592" t="n">
        <v>0</v>
      </c>
      <c r="K592" t="n">
        <v>0</v>
      </c>
      <c r="L592" t="n">
        <v>0</v>
      </c>
      <c r="M592" t="n">
        <v>0</v>
      </c>
      <c r="N592" t="n">
        <v>0</v>
      </c>
      <c r="O592" t="n">
        <v>0</v>
      </c>
      <c r="P592" t="n">
        <v>0</v>
      </c>
      <c r="Q592" t="n">
        <v>0</v>
      </c>
      <c r="R592" s="2" t="inlineStr"/>
    </row>
    <row r="593" ht="15" customHeight="1">
      <c r="A593" t="inlineStr">
        <is>
          <t>A 53722-2023</t>
        </is>
      </c>
      <c r="B593" s="1" t="n">
        <v>45230</v>
      </c>
      <c r="C593" s="1" t="n">
        <v>45990</v>
      </c>
      <c r="D593" t="inlineStr">
        <is>
          <t>SÖDERMANLANDS LÄN</t>
        </is>
      </c>
      <c r="E593" t="inlineStr">
        <is>
          <t>KATRINEHOLM</t>
        </is>
      </c>
      <c r="F593" t="inlineStr">
        <is>
          <t>Allmännings- och besparingsskogar</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38869-2024</t>
        </is>
      </c>
      <c r="B594" s="1" t="n">
        <v>45547</v>
      </c>
      <c r="C594" s="1" t="n">
        <v>45990</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20214-2025</t>
        </is>
      </c>
      <c r="B595" s="1" t="n">
        <v>45772.63540509259</v>
      </c>
      <c r="C595" s="1" t="n">
        <v>45990</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62140-2022</t>
        </is>
      </c>
      <c r="B596" s="1" t="n">
        <v>44922</v>
      </c>
      <c r="C596" s="1" t="n">
        <v>45990</v>
      </c>
      <c r="D596" t="inlineStr">
        <is>
          <t>SÖDERMANLANDS LÄN</t>
        </is>
      </c>
      <c r="E596" t="inlineStr">
        <is>
          <t>KATRINEHOLM</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27375-2024</t>
        </is>
      </c>
      <c r="B597" s="1" t="n">
        <v>45473.87645833333</v>
      </c>
      <c r="C597" s="1" t="n">
        <v>45990</v>
      </c>
      <c r="D597" t="inlineStr">
        <is>
          <t>SÖDERMANLANDS LÄN</t>
        </is>
      </c>
      <c r="E597" t="inlineStr">
        <is>
          <t>KATRINEHOLM</t>
        </is>
      </c>
      <c r="F597" t="inlineStr">
        <is>
          <t>Kommuner</t>
        </is>
      </c>
      <c r="G597" t="n">
        <v>1.9</v>
      </c>
      <c r="H597" t="n">
        <v>0</v>
      </c>
      <c r="I597" t="n">
        <v>0</v>
      </c>
      <c r="J597" t="n">
        <v>0</v>
      </c>
      <c r="K597" t="n">
        <v>0</v>
      </c>
      <c r="L597" t="n">
        <v>0</v>
      </c>
      <c r="M597" t="n">
        <v>0</v>
      </c>
      <c r="N597" t="n">
        <v>0</v>
      </c>
      <c r="O597" t="n">
        <v>0</v>
      </c>
      <c r="P597" t="n">
        <v>0</v>
      </c>
      <c r="Q597" t="n">
        <v>0</v>
      </c>
      <c r="R597" s="2" t="inlineStr"/>
    </row>
    <row r="598" ht="15" customHeight="1">
      <c r="A598" t="inlineStr">
        <is>
          <t>A 7867-2024</t>
        </is>
      </c>
      <c r="B598" s="1" t="n">
        <v>45350.32991898148</v>
      </c>
      <c r="C598" s="1" t="n">
        <v>45990</v>
      </c>
      <c r="D598" t="inlineStr">
        <is>
          <t>SÖDERMANLANDS LÄN</t>
        </is>
      </c>
      <c r="E598" t="inlineStr">
        <is>
          <t>KATRINEHOLM</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8957-2024</t>
        </is>
      </c>
      <c r="B599" s="1" t="n">
        <v>45357.45089120371</v>
      </c>
      <c r="C599" s="1" t="n">
        <v>45990</v>
      </c>
      <c r="D599" t="inlineStr">
        <is>
          <t>SÖDERMANLANDS LÄN</t>
        </is>
      </c>
      <c r="E599" t="inlineStr">
        <is>
          <t>KATRINEHOLM</t>
        </is>
      </c>
      <c r="G599" t="n">
        <v>3.6</v>
      </c>
      <c r="H599" t="n">
        <v>0</v>
      </c>
      <c r="I599" t="n">
        <v>0</v>
      </c>
      <c r="J599" t="n">
        <v>0</v>
      </c>
      <c r="K599" t="n">
        <v>0</v>
      </c>
      <c r="L599" t="n">
        <v>0</v>
      </c>
      <c r="M599" t="n">
        <v>0</v>
      </c>
      <c r="N599" t="n">
        <v>0</v>
      </c>
      <c r="O599" t="n">
        <v>0</v>
      </c>
      <c r="P599" t="n">
        <v>0</v>
      </c>
      <c r="Q599" t="n">
        <v>0</v>
      </c>
      <c r="R599" s="2" t="inlineStr"/>
    </row>
    <row r="600" ht="15" customHeight="1">
      <c r="A600" t="inlineStr">
        <is>
          <t>A 23341-2023</t>
        </is>
      </c>
      <c r="B600" s="1" t="n">
        <v>45076</v>
      </c>
      <c r="C600" s="1" t="n">
        <v>45990</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60677-2021</t>
        </is>
      </c>
      <c r="B601" s="1" t="n">
        <v>44495</v>
      </c>
      <c r="C601" s="1" t="n">
        <v>45990</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3986-2024</t>
        </is>
      </c>
      <c r="B602" s="1" t="n">
        <v>45322</v>
      </c>
      <c r="C602" s="1" t="n">
        <v>45990</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3939-2022</t>
        </is>
      </c>
      <c r="B603" s="1" t="n">
        <v>44587</v>
      </c>
      <c r="C603" s="1" t="n">
        <v>45990</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2683-2025</t>
        </is>
      </c>
      <c r="B604" s="1" t="n">
        <v>45677</v>
      </c>
      <c r="C604" s="1" t="n">
        <v>45990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3317-2023</t>
        </is>
      </c>
      <c r="B605" s="1" t="n">
        <v>44945</v>
      </c>
      <c r="C605" s="1" t="n">
        <v>45990</v>
      </c>
      <c r="D605" t="inlineStr">
        <is>
          <t>SÖDERMANLANDS LÄN</t>
        </is>
      </c>
      <c r="E605" t="inlineStr">
        <is>
          <t>KATRINEHOLM</t>
        </is>
      </c>
      <c r="G605" t="n">
        <v>3.2</v>
      </c>
      <c r="H605" t="n">
        <v>0</v>
      </c>
      <c r="I605" t="n">
        <v>0</v>
      </c>
      <c r="J605" t="n">
        <v>0</v>
      </c>
      <c r="K605" t="n">
        <v>0</v>
      </c>
      <c r="L605" t="n">
        <v>0</v>
      </c>
      <c r="M605" t="n">
        <v>0</v>
      </c>
      <c r="N605" t="n">
        <v>0</v>
      </c>
      <c r="O605" t="n">
        <v>0</v>
      </c>
      <c r="P605" t="n">
        <v>0</v>
      </c>
      <c r="Q605" t="n">
        <v>0</v>
      </c>
      <c r="R605" s="2" t="inlineStr"/>
    </row>
    <row r="606" ht="15" customHeight="1">
      <c r="A606" t="inlineStr">
        <is>
          <t>A 32944-2023</t>
        </is>
      </c>
      <c r="B606" s="1" t="n">
        <v>45125</v>
      </c>
      <c r="C606" s="1" t="n">
        <v>45990</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29198-2023</t>
        </is>
      </c>
      <c r="B607" s="1" t="n">
        <v>45105</v>
      </c>
      <c r="C607" s="1" t="n">
        <v>45990</v>
      </c>
      <c r="D607" t="inlineStr">
        <is>
          <t>SÖDERMANLANDS LÄN</t>
        </is>
      </c>
      <c r="E607" t="inlineStr">
        <is>
          <t>KATRINEHOLM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56661-2021</t>
        </is>
      </c>
      <c r="B608" s="1" t="n">
        <v>44481.24327546296</v>
      </c>
      <c r="C608" s="1" t="n">
        <v>45990</v>
      </c>
      <c r="D608" t="inlineStr">
        <is>
          <t>SÖDERMANLANDS LÄN</t>
        </is>
      </c>
      <c r="E608" t="inlineStr">
        <is>
          <t>KATRINEHOLM</t>
        </is>
      </c>
      <c r="G608" t="n">
        <v>5.8</v>
      </c>
      <c r="H608" t="n">
        <v>0</v>
      </c>
      <c r="I608" t="n">
        <v>0</v>
      </c>
      <c r="J608" t="n">
        <v>0</v>
      </c>
      <c r="K608" t="n">
        <v>0</v>
      </c>
      <c r="L608" t="n">
        <v>0</v>
      </c>
      <c r="M608" t="n">
        <v>0</v>
      </c>
      <c r="N608" t="n">
        <v>0</v>
      </c>
      <c r="O608" t="n">
        <v>0</v>
      </c>
      <c r="P608" t="n">
        <v>0</v>
      </c>
      <c r="Q608" t="n">
        <v>0</v>
      </c>
      <c r="R608" s="2" t="inlineStr"/>
    </row>
    <row r="609" ht="15" customHeight="1">
      <c r="A609" t="inlineStr">
        <is>
          <t>A 45246-2023</t>
        </is>
      </c>
      <c r="B609" s="1" t="n">
        <v>45191</v>
      </c>
      <c r="C609" s="1" t="n">
        <v>45990</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55171-2023</t>
        </is>
      </c>
      <c r="B610" s="1" t="n">
        <v>45231</v>
      </c>
      <c r="C610" s="1" t="n">
        <v>45990</v>
      </c>
      <c r="D610" t="inlineStr">
        <is>
          <t>SÖDERMANLANDS LÄN</t>
        </is>
      </c>
      <c r="E610" t="inlineStr">
        <is>
          <t>KATRINEHOLM</t>
        </is>
      </c>
      <c r="G610" t="n">
        <v>4.2</v>
      </c>
      <c r="H610" t="n">
        <v>0</v>
      </c>
      <c r="I610" t="n">
        <v>0</v>
      </c>
      <c r="J610" t="n">
        <v>0</v>
      </c>
      <c r="K610" t="n">
        <v>0</v>
      </c>
      <c r="L610" t="n">
        <v>0</v>
      </c>
      <c r="M610" t="n">
        <v>0</v>
      </c>
      <c r="N610" t="n">
        <v>0</v>
      </c>
      <c r="O610" t="n">
        <v>0</v>
      </c>
      <c r="P610" t="n">
        <v>0</v>
      </c>
      <c r="Q610" t="n">
        <v>0</v>
      </c>
      <c r="R610" s="2" t="inlineStr"/>
    </row>
    <row r="611" ht="15" customHeight="1">
      <c r="A611" t="inlineStr">
        <is>
          <t>A 27376-2024</t>
        </is>
      </c>
      <c r="B611" s="1" t="n">
        <v>45473.88313657408</v>
      </c>
      <c r="C611" s="1" t="n">
        <v>45990</v>
      </c>
      <c r="D611" t="inlineStr">
        <is>
          <t>SÖDERMANLANDS LÄN</t>
        </is>
      </c>
      <c r="E611" t="inlineStr">
        <is>
          <t>KATRINEHOLM</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48097-2023</t>
        </is>
      </c>
      <c r="B612" s="1" t="n">
        <v>45205.31987268518</v>
      </c>
      <c r="C612" s="1" t="n">
        <v>45990</v>
      </c>
      <c r="D612" t="inlineStr">
        <is>
          <t>SÖDERMANLANDS LÄN</t>
        </is>
      </c>
      <c r="E612" t="inlineStr">
        <is>
          <t>KATRINEHOLM</t>
        </is>
      </c>
      <c r="G612" t="n">
        <v>2.3</v>
      </c>
      <c r="H612" t="n">
        <v>0</v>
      </c>
      <c r="I612" t="n">
        <v>0</v>
      </c>
      <c r="J612" t="n">
        <v>0</v>
      </c>
      <c r="K612" t="n">
        <v>0</v>
      </c>
      <c r="L612" t="n">
        <v>0</v>
      </c>
      <c r="M612" t="n">
        <v>0</v>
      </c>
      <c r="N612" t="n">
        <v>0</v>
      </c>
      <c r="O612" t="n">
        <v>0</v>
      </c>
      <c r="P612" t="n">
        <v>0</v>
      </c>
      <c r="Q612" t="n">
        <v>0</v>
      </c>
      <c r="R612" s="2" t="inlineStr"/>
    </row>
    <row r="613" ht="15" customHeight="1">
      <c r="A613" t="inlineStr">
        <is>
          <t>A 7753-2024</t>
        </is>
      </c>
      <c r="B613" s="1" t="n">
        <v>45348</v>
      </c>
      <c r="C613" s="1" t="n">
        <v>45990</v>
      </c>
      <c r="D613" t="inlineStr">
        <is>
          <t>SÖDERMANLANDS LÄN</t>
        </is>
      </c>
      <c r="E613" t="inlineStr">
        <is>
          <t>KATRINEHOLM</t>
        </is>
      </c>
      <c r="G613" t="n">
        <v>13.4</v>
      </c>
      <c r="H613" t="n">
        <v>0</v>
      </c>
      <c r="I613" t="n">
        <v>0</v>
      </c>
      <c r="J613" t="n">
        <v>0</v>
      </c>
      <c r="K613" t="n">
        <v>0</v>
      </c>
      <c r="L613" t="n">
        <v>0</v>
      </c>
      <c r="M613" t="n">
        <v>0</v>
      </c>
      <c r="N613" t="n">
        <v>0</v>
      </c>
      <c r="O613" t="n">
        <v>0</v>
      </c>
      <c r="P613" t="n">
        <v>0</v>
      </c>
      <c r="Q613" t="n">
        <v>0</v>
      </c>
      <c r="R613" s="2" t="inlineStr"/>
    </row>
    <row r="614" ht="15" customHeight="1">
      <c r="A614" t="inlineStr">
        <is>
          <t>A 61915-2021</t>
        </is>
      </c>
      <c r="B614" s="1" t="n">
        <v>44502.36780092592</v>
      </c>
      <c r="C614" s="1" t="n">
        <v>45990</v>
      </c>
      <c r="D614" t="inlineStr">
        <is>
          <t>SÖDERMANLANDS LÄN</t>
        </is>
      </c>
      <c r="E614" t="inlineStr">
        <is>
          <t>KATRINEHOLM</t>
        </is>
      </c>
      <c r="G614" t="n">
        <v>2.6</v>
      </c>
      <c r="H614" t="n">
        <v>0</v>
      </c>
      <c r="I614" t="n">
        <v>0</v>
      </c>
      <c r="J614" t="n">
        <v>0</v>
      </c>
      <c r="K614" t="n">
        <v>0</v>
      </c>
      <c r="L614" t="n">
        <v>0</v>
      </c>
      <c r="M614" t="n">
        <v>0</v>
      </c>
      <c r="N614" t="n">
        <v>0</v>
      </c>
      <c r="O614" t="n">
        <v>0</v>
      </c>
      <c r="P614" t="n">
        <v>0</v>
      </c>
      <c r="Q614" t="n">
        <v>0</v>
      </c>
      <c r="R614" s="2" t="inlineStr"/>
    </row>
    <row r="615" ht="15" customHeight="1">
      <c r="A615" t="inlineStr">
        <is>
          <t>A 55795-2023</t>
        </is>
      </c>
      <c r="B615" s="1" t="n">
        <v>45239.54861111111</v>
      </c>
      <c r="C615" s="1" t="n">
        <v>45990</v>
      </c>
      <c r="D615" t="inlineStr">
        <is>
          <t>SÖDERMANLANDS LÄN</t>
        </is>
      </c>
      <c r="E615" t="inlineStr">
        <is>
          <t>KATRINEHOLM</t>
        </is>
      </c>
      <c r="G615" t="n">
        <v>7</v>
      </c>
      <c r="H615" t="n">
        <v>0</v>
      </c>
      <c r="I615" t="n">
        <v>0</v>
      </c>
      <c r="J615" t="n">
        <v>0</v>
      </c>
      <c r="K615" t="n">
        <v>0</v>
      </c>
      <c r="L615" t="n">
        <v>0</v>
      </c>
      <c r="M615" t="n">
        <v>0</v>
      </c>
      <c r="N615" t="n">
        <v>0</v>
      </c>
      <c r="O615" t="n">
        <v>0</v>
      </c>
      <c r="P615" t="n">
        <v>0</v>
      </c>
      <c r="Q615" t="n">
        <v>0</v>
      </c>
      <c r="R615" s="2" t="inlineStr"/>
    </row>
    <row r="616" ht="15" customHeight="1">
      <c r="A616" t="inlineStr">
        <is>
          <t>A 20768-2022</t>
        </is>
      </c>
      <c r="B616" s="1" t="n">
        <v>44701.36431712963</v>
      </c>
      <c r="C616" s="1" t="n">
        <v>45990</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55846-2022</t>
        </is>
      </c>
      <c r="B617" s="1" t="n">
        <v>44888</v>
      </c>
      <c r="C617" s="1" t="n">
        <v>45990</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19452-2023</t>
        </is>
      </c>
      <c r="B618" s="1" t="n">
        <v>45050</v>
      </c>
      <c r="C618" s="1" t="n">
        <v>45990</v>
      </c>
      <c r="D618" t="inlineStr">
        <is>
          <t>SÖDERMANLANDS LÄN</t>
        </is>
      </c>
      <c r="E618" t="inlineStr">
        <is>
          <t>KATRINEHOLM</t>
        </is>
      </c>
      <c r="F618" t="inlineStr">
        <is>
          <t>Holmen skog AB</t>
        </is>
      </c>
      <c r="G618" t="n">
        <v>4.7</v>
      </c>
      <c r="H618" t="n">
        <v>0</v>
      </c>
      <c r="I618" t="n">
        <v>0</v>
      </c>
      <c r="J618" t="n">
        <v>0</v>
      </c>
      <c r="K618" t="n">
        <v>0</v>
      </c>
      <c r="L618" t="n">
        <v>0</v>
      </c>
      <c r="M618" t="n">
        <v>0</v>
      </c>
      <c r="N618" t="n">
        <v>0</v>
      </c>
      <c r="O618" t="n">
        <v>0</v>
      </c>
      <c r="P618" t="n">
        <v>0</v>
      </c>
      <c r="Q618" t="n">
        <v>0</v>
      </c>
      <c r="R618" s="2" t="inlineStr"/>
    </row>
    <row r="619" ht="15" customHeight="1">
      <c r="A619" t="inlineStr">
        <is>
          <t>A 31719-2024</t>
        </is>
      </c>
      <c r="B619" s="1" t="n">
        <v>45509</v>
      </c>
      <c r="C619" s="1" t="n">
        <v>45990</v>
      </c>
      <c r="D619" t="inlineStr">
        <is>
          <t>SÖDERMANLANDS LÄN</t>
        </is>
      </c>
      <c r="E619" t="inlineStr">
        <is>
          <t>KATRINEHOLM</t>
        </is>
      </c>
      <c r="F619" t="inlineStr">
        <is>
          <t>Kyrkan</t>
        </is>
      </c>
      <c r="G619" t="n">
        <v>11.9</v>
      </c>
      <c r="H619" t="n">
        <v>0</v>
      </c>
      <c r="I619" t="n">
        <v>0</v>
      </c>
      <c r="J619" t="n">
        <v>0</v>
      </c>
      <c r="K619" t="n">
        <v>0</v>
      </c>
      <c r="L619" t="n">
        <v>0</v>
      </c>
      <c r="M619" t="n">
        <v>0</v>
      </c>
      <c r="N619" t="n">
        <v>0</v>
      </c>
      <c r="O619" t="n">
        <v>0</v>
      </c>
      <c r="P619" t="n">
        <v>0</v>
      </c>
      <c r="Q619" t="n">
        <v>0</v>
      </c>
      <c r="R619" s="2" t="inlineStr"/>
    </row>
    <row r="620" ht="15" customHeight="1">
      <c r="A620" t="inlineStr">
        <is>
          <t>A 43837-2022</t>
        </is>
      </c>
      <c r="B620" s="1" t="n">
        <v>44838</v>
      </c>
      <c r="C620" s="1" t="n">
        <v>45990</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51397-2023</t>
        </is>
      </c>
      <c r="B621" s="1" t="n">
        <v>45214</v>
      </c>
      <c r="C621" s="1" t="n">
        <v>45990</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19670-2022</t>
        </is>
      </c>
      <c r="B622" s="1" t="n">
        <v>44694</v>
      </c>
      <c r="C622" s="1" t="n">
        <v>45990</v>
      </c>
      <c r="D622" t="inlineStr">
        <is>
          <t>SÖDERMANLANDS LÄN</t>
        </is>
      </c>
      <c r="E622" t="inlineStr">
        <is>
          <t>KATRINEHOLM</t>
        </is>
      </c>
      <c r="G622" t="n">
        <v>13.6</v>
      </c>
      <c r="H622" t="n">
        <v>0</v>
      </c>
      <c r="I622" t="n">
        <v>0</v>
      </c>
      <c r="J622" t="n">
        <v>0</v>
      </c>
      <c r="K622" t="n">
        <v>0</v>
      </c>
      <c r="L622" t="n">
        <v>0</v>
      </c>
      <c r="M622" t="n">
        <v>0</v>
      </c>
      <c r="N622" t="n">
        <v>0</v>
      </c>
      <c r="O622" t="n">
        <v>0</v>
      </c>
      <c r="P622" t="n">
        <v>0</v>
      </c>
      <c r="Q622" t="n">
        <v>0</v>
      </c>
      <c r="R622" s="2" t="inlineStr"/>
    </row>
    <row r="623" ht="15" customHeight="1">
      <c r="A623" t="inlineStr">
        <is>
          <t>A 6606-2022</t>
        </is>
      </c>
      <c r="B623" s="1" t="n">
        <v>44601</v>
      </c>
      <c r="C623" s="1" t="n">
        <v>45990</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4122-2023</t>
        </is>
      </c>
      <c r="B624" s="1" t="n">
        <v>44952</v>
      </c>
      <c r="C624" s="1" t="n">
        <v>45990</v>
      </c>
      <c r="D624" t="inlineStr">
        <is>
          <t>SÖDERMANLANDS LÄN</t>
        </is>
      </c>
      <c r="E624" t="inlineStr">
        <is>
          <t>KATRINEHOLM</t>
        </is>
      </c>
      <c r="G624" t="n">
        <v>9</v>
      </c>
      <c r="H624" t="n">
        <v>0</v>
      </c>
      <c r="I624" t="n">
        <v>0</v>
      </c>
      <c r="J624" t="n">
        <v>0</v>
      </c>
      <c r="K624" t="n">
        <v>0</v>
      </c>
      <c r="L624" t="n">
        <v>0</v>
      </c>
      <c r="M624" t="n">
        <v>0</v>
      </c>
      <c r="N624" t="n">
        <v>0</v>
      </c>
      <c r="O624" t="n">
        <v>0</v>
      </c>
      <c r="P624" t="n">
        <v>0</v>
      </c>
      <c r="Q624" t="n">
        <v>0</v>
      </c>
      <c r="R624" s="2" t="inlineStr"/>
    </row>
    <row r="625" ht="15" customHeight="1">
      <c r="A625" t="inlineStr">
        <is>
          <t>A 23347-2023</t>
        </is>
      </c>
      <c r="B625" s="1" t="n">
        <v>45076</v>
      </c>
      <c r="C625" s="1" t="n">
        <v>45990</v>
      </c>
      <c r="D625" t="inlineStr">
        <is>
          <t>SÖDERMANLANDS LÄN</t>
        </is>
      </c>
      <c r="E625" t="inlineStr">
        <is>
          <t>KATRINEHOLM</t>
        </is>
      </c>
      <c r="G625" t="n">
        <v>4.3</v>
      </c>
      <c r="H625" t="n">
        <v>0</v>
      </c>
      <c r="I625" t="n">
        <v>0</v>
      </c>
      <c r="J625" t="n">
        <v>0</v>
      </c>
      <c r="K625" t="n">
        <v>0</v>
      </c>
      <c r="L625" t="n">
        <v>0</v>
      </c>
      <c r="M625" t="n">
        <v>0</v>
      </c>
      <c r="N625" t="n">
        <v>0</v>
      </c>
      <c r="O625" t="n">
        <v>0</v>
      </c>
      <c r="P625" t="n">
        <v>0</v>
      </c>
      <c r="Q625" t="n">
        <v>0</v>
      </c>
      <c r="R625" s="2" t="inlineStr"/>
    </row>
    <row r="626" ht="15" customHeight="1">
      <c r="A626" t="inlineStr">
        <is>
          <t>A 23916-2023</t>
        </is>
      </c>
      <c r="B626" s="1" t="n">
        <v>45075</v>
      </c>
      <c r="C626" s="1" t="n">
        <v>45990</v>
      </c>
      <c r="D626" t="inlineStr">
        <is>
          <t>SÖDERMANLANDS LÄN</t>
        </is>
      </c>
      <c r="E626" t="inlineStr">
        <is>
          <t>KATRINEHOLM</t>
        </is>
      </c>
      <c r="G626" t="n">
        <v>8</v>
      </c>
      <c r="H626" t="n">
        <v>0</v>
      </c>
      <c r="I626" t="n">
        <v>0</v>
      </c>
      <c r="J626" t="n">
        <v>0</v>
      </c>
      <c r="K626" t="n">
        <v>0</v>
      </c>
      <c r="L626" t="n">
        <v>0</v>
      </c>
      <c r="M626" t="n">
        <v>0</v>
      </c>
      <c r="N626" t="n">
        <v>0</v>
      </c>
      <c r="O626" t="n">
        <v>0</v>
      </c>
      <c r="P626" t="n">
        <v>0</v>
      </c>
      <c r="Q626" t="n">
        <v>0</v>
      </c>
      <c r="R626" s="2" t="inlineStr"/>
    </row>
    <row r="627" ht="15" customHeight="1">
      <c r="A627" t="inlineStr">
        <is>
          <t>A 33278-2024</t>
        </is>
      </c>
      <c r="B627" s="1" t="n">
        <v>45518</v>
      </c>
      <c r="C627" s="1" t="n">
        <v>45990</v>
      </c>
      <c r="D627" t="inlineStr">
        <is>
          <t>SÖDERMANLANDS LÄN</t>
        </is>
      </c>
      <c r="E627" t="inlineStr">
        <is>
          <t>KATRINEHOLM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40186-2023</t>
        </is>
      </c>
      <c r="B628" s="1" t="n">
        <v>45169</v>
      </c>
      <c r="C628" s="1" t="n">
        <v>45990</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49700-2022</t>
        </is>
      </c>
      <c r="B629" s="1" t="n">
        <v>44862</v>
      </c>
      <c r="C629" s="1" t="n">
        <v>45990</v>
      </c>
      <c r="D629" t="inlineStr">
        <is>
          <t>SÖDERMANLANDS LÄN</t>
        </is>
      </c>
      <c r="E629" t="inlineStr">
        <is>
          <t>KATRINEHOLM</t>
        </is>
      </c>
      <c r="G629" t="n">
        <v>19.5</v>
      </c>
      <c r="H629" t="n">
        <v>0</v>
      </c>
      <c r="I629" t="n">
        <v>0</v>
      </c>
      <c r="J629" t="n">
        <v>0</v>
      </c>
      <c r="K629" t="n">
        <v>0</v>
      </c>
      <c r="L629" t="n">
        <v>0</v>
      </c>
      <c r="M629" t="n">
        <v>0</v>
      </c>
      <c r="N629" t="n">
        <v>0</v>
      </c>
      <c r="O629" t="n">
        <v>0</v>
      </c>
      <c r="P629" t="n">
        <v>0</v>
      </c>
      <c r="Q629" t="n">
        <v>0</v>
      </c>
      <c r="R629" s="2" t="inlineStr"/>
    </row>
    <row r="630" ht="15" customHeight="1">
      <c r="A630" t="inlineStr">
        <is>
          <t>A 27955-2023</t>
        </is>
      </c>
      <c r="B630" s="1" t="n">
        <v>45098</v>
      </c>
      <c r="C630" s="1" t="n">
        <v>45990</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33141-2023</t>
        </is>
      </c>
      <c r="B631" s="1" t="n">
        <v>45126.65491898148</v>
      </c>
      <c r="C631" s="1" t="n">
        <v>45990</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46899-2022</t>
        </is>
      </c>
      <c r="B632" s="1" t="n">
        <v>44848</v>
      </c>
      <c r="C632" s="1" t="n">
        <v>45990</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9714-2024</t>
        </is>
      </c>
      <c r="B633" s="1" t="n">
        <v>45362</v>
      </c>
      <c r="C633" s="1" t="n">
        <v>45990</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39897-2023</t>
        </is>
      </c>
      <c r="B634" s="1" t="n">
        <v>45168</v>
      </c>
      <c r="C634" s="1" t="n">
        <v>45990</v>
      </c>
      <c r="D634" t="inlineStr">
        <is>
          <t>SÖDERMANLANDS LÄN</t>
        </is>
      </c>
      <c r="E634" t="inlineStr">
        <is>
          <t>KATRINEHOLM</t>
        </is>
      </c>
      <c r="G634" t="n">
        <v>15.6</v>
      </c>
      <c r="H634" t="n">
        <v>0</v>
      </c>
      <c r="I634" t="n">
        <v>0</v>
      </c>
      <c r="J634" t="n">
        <v>0</v>
      </c>
      <c r="K634" t="n">
        <v>0</v>
      </c>
      <c r="L634" t="n">
        <v>0</v>
      </c>
      <c r="M634" t="n">
        <v>0</v>
      </c>
      <c r="N634" t="n">
        <v>0</v>
      </c>
      <c r="O634" t="n">
        <v>0</v>
      </c>
      <c r="P634" t="n">
        <v>0</v>
      </c>
      <c r="Q634" t="n">
        <v>0</v>
      </c>
      <c r="R634" s="2" t="inlineStr"/>
    </row>
    <row r="635" ht="15" customHeight="1">
      <c r="A635" t="inlineStr">
        <is>
          <t>A 2735-2025</t>
        </is>
      </c>
      <c r="B635" s="1" t="n">
        <v>45677</v>
      </c>
      <c r="C635" s="1" t="n">
        <v>45990</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20326-2023</t>
        </is>
      </c>
      <c r="B636" s="1" t="n">
        <v>45056.46821759259</v>
      </c>
      <c r="C636" s="1" t="n">
        <v>45990</v>
      </c>
      <c r="D636" t="inlineStr">
        <is>
          <t>SÖDERMANLANDS LÄN</t>
        </is>
      </c>
      <c r="E636" t="inlineStr">
        <is>
          <t>KATRINEHOLM</t>
        </is>
      </c>
      <c r="G636" t="n">
        <v>0.9</v>
      </c>
      <c r="H636" t="n">
        <v>0</v>
      </c>
      <c r="I636" t="n">
        <v>0</v>
      </c>
      <c r="J636" t="n">
        <v>0</v>
      </c>
      <c r="K636" t="n">
        <v>0</v>
      </c>
      <c r="L636" t="n">
        <v>0</v>
      </c>
      <c r="M636" t="n">
        <v>0</v>
      </c>
      <c r="N636" t="n">
        <v>0</v>
      </c>
      <c r="O636" t="n">
        <v>0</v>
      </c>
      <c r="P636" t="n">
        <v>0</v>
      </c>
      <c r="Q636" t="n">
        <v>0</v>
      </c>
      <c r="R636" s="2" t="inlineStr"/>
    </row>
    <row r="637" ht="15" customHeight="1">
      <c r="A637" t="inlineStr">
        <is>
          <t>A 67337-2021</t>
        </is>
      </c>
      <c r="B637" s="1" t="n">
        <v>44523</v>
      </c>
      <c r="C637" s="1" t="n">
        <v>45990</v>
      </c>
      <c r="D637" t="inlineStr">
        <is>
          <t>SÖDERMANLANDS LÄN</t>
        </is>
      </c>
      <c r="E637" t="inlineStr">
        <is>
          <t>KATRINEHOLM</t>
        </is>
      </c>
      <c r="G637" t="n">
        <v>5.2</v>
      </c>
      <c r="H637" t="n">
        <v>0</v>
      </c>
      <c r="I637" t="n">
        <v>0</v>
      </c>
      <c r="J637" t="n">
        <v>0</v>
      </c>
      <c r="K637" t="n">
        <v>0</v>
      </c>
      <c r="L637" t="n">
        <v>0</v>
      </c>
      <c r="M637" t="n">
        <v>0</v>
      </c>
      <c r="N637" t="n">
        <v>0</v>
      </c>
      <c r="O637" t="n">
        <v>0</v>
      </c>
      <c r="P637" t="n">
        <v>0</v>
      </c>
      <c r="Q637" t="n">
        <v>0</v>
      </c>
      <c r="R637" s="2" t="inlineStr"/>
    </row>
    <row r="638" ht="15" customHeight="1">
      <c r="A638" t="inlineStr">
        <is>
          <t>A 9044-2022</t>
        </is>
      </c>
      <c r="B638" s="1" t="n">
        <v>44602</v>
      </c>
      <c r="C638" s="1" t="n">
        <v>45990</v>
      </c>
      <c r="D638" t="inlineStr">
        <is>
          <t>SÖDERMANLANDS LÄN</t>
        </is>
      </c>
      <c r="E638" t="inlineStr">
        <is>
          <t>KATRINEHOLM</t>
        </is>
      </c>
      <c r="G638" t="n">
        <v>5.8</v>
      </c>
      <c r="H638" t="n">
        <v>0</v>
      </c>
      <c r="I638" t="n">
        <v>0</v>
      </c>
      <c r="J638" t="n">
        <v>0</v>
      </c>
      <c r="K638" t="n">
        <v>0</v>
      </c>
      <c r="L638" t="n">
        <v>0</v>
      </c>
      <c r="M638" t="n">
        <v>0</v>
      </c>
      <c r="N638" t="n">
        <v>0</v>
      </c>
      <c r="O638" t="n">
        <v>0</v>
      </c>
      <c r="P638" t="n">
        <v>0</v>
      </c>
      <c r="Q638" t="n">
        <v>0</v>
      </c>
      <c r="R638" s="2" t="inlineStr"/>
    </row>
    <row r="639" ht="15" customHeight="1">
      <c r="A639" t="inlineStr">
        <is>
          <t>A 69117-2021</t>
        </is>
      </c>
      <c r="B639" s="1" t="n">
        <v>44530.82445601852</v>
      </c>
      <c r="C639" s="1" t="n">
        <v>45990</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12559-2023</t>
        </is>
      </c>
      <c r="B640" s="1" t="n">
        <v>45000.36373842593</v>
      </c>
      <c r="C640" s="1" t="n">
        <v>45990</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6722-2022</t>
        </is>
      </c>
      <c r="B641" s="1" t="n">
        <v>44602</v>
      </c>
      <c r="C641" s="1" t="n">
        <v>45990</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11872-2023</t>
        </is>
      </c>
      <c r="B642" s="1" t="n">
        <v>44995</v>
      </c>
      <c r="C642" s="1" t="n">
        <v>45990</v>
      </c>
      <c r="D642" t="inlineStr">
        <is>
          <t>SÖDERMANLANDS LÄN</t>
        </is>
      </c>
      <c r="E642" t="inlineStr">
        <is>
          <t>KATRINEHOLM</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51848-2022</t>
        </is>
      </c>
      <c r="B643" s="1" t="n">
        <v>44872.57752314815</v>
      </c>
      <c r="C643" s="1" t="n">
        <v>45990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16087-2023</t>
        </is>
      </c>
      <c r="B644" s="1" t="n">
        <v>45026</v>
      </c>
      <c r="C644" s="1" t="n">
        <v>45990</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21959-2022</t>
        </is>
      </c>
      <c r="B645" s="1" t="n">
        <v>44708</v>
      </c>
      <c r="C645" s="1" t="n">
        <v>45990</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42451-2023</t>
        </is>
      </c>
      <c r="B646" s="1" t="n">
        <v>45180</v>
      </c>
      <c r="C646" s="1" t="n">
        <v>45990</v>
      </c>
      <c r="D646" t="inlineStr">
        <is>
          <t>SÖDERMANLANDS LÄN</t>
        </is>
      </c>
      <c r="E646" t="inlineStr">
        <is>
          <t>KATRINEHOLM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22506-2023</t>
        </is>
      </c>
      <c r="B647" s="1" t="n">
        <v>45071.37393518518</v>
      </c>
      <c r="C647" s="1" t="n">
        <v>45990</v>
      </c>
      <c r="D647" t="inlineStr">
        <is>
          <t>SÖDERMANLANDS LÄN</t>
        </is>
      </c>
      <c r="E647" t="inlineStr">
        <is>
          <t>KATRINEHOLM</t>
        </is>
      </c>
      <c r="F647" t="inlineStr">
        <is>
          <t>Kyrkan</t>
        </is>
      </c>
      <c r="G647" t="n">
        <v>5.9</v>
      </c>
      <c r="H647" t="n">
        <v>0</v>
      </c>
      <c r="I647" t="n">
        <v>0</v>
      </c>
      <c r="J647" t="n">
        <v>0</v>
      </c>
      <c r="K647" t="n">
        <v>0</v>
      </c>
      <c r="L647" t="n">
        <v>0</v>
      </c>
      <c r="M647" t="n">
        <v>0</v>
      </c>
      <c r="N647" t="n">
        <v>0</v>
      </c>
      <c r="O647" t="n">
        <v>0</v>
      </c>
      <c r="P647" t="n">
        <v>0</v>
      </c>
      <c r="Q647" t="n">
        <v>0</v>
      </c>
      <c r="R647" s="2" t="inlineStr"/>
    </row>
    <row r="648" ht="15" customHeight="1">
      <c r="A648" t="inlineStr">
        <is>
          <t>A 26713-2024</t>
        </is>
      </c>
      <c r="B648" s="1" t="n">
        <v>45470</v>
      </c>
      <c r="C648" s="1" t="n">
        <v>45990</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1151-2025</t>
        </is>
      </c>
      <c r="B649" s="1" t="n">
        <v>45666</v>
      </c>
      <c r="C649" s="1" t="n">
        <v>45990</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45990</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45990</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45990</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45990</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45990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62418-2023</t>
        </is>
      </c>
      <c r="B655" s="1" t="n">
        <v>45268</v>
      </c>
      <c r="C655" s="1" t="n">
        <v>45990</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48091-2024</t>
        </is>
      </c>
      <c r="B656" s="1" t="n">
        <v>45590</v>
      </c>
      <c r="C656" s="1" t="n">
        <v>45990</v>
      </c>
      <c r="D656" t="inlineStr">
        <is>
          <t>SÖDERMANLANDS LÄN</t>
        </is>
      </c>
      <c r="E656" t="inlineStr">
        <is>
          <t>KATRINEHOLM</t>
        </is>
      </c>
      <c r="G656" t="n">
        <v>3.1</v>
      </c>
      <c r="H656" t="n">
        <v>0</v>
      </c>
      <c r="I656" t="n">
        <v>0</v>
      </c>
      <c r="J656" t="n">
        <v>0</v>
      </c>
      <c r="K656" t="n">
        <v>0</v>
      </c>
      <c r="L656" t="n">
        <v>0</v>
      </c>
      <c r="M656" t="n">
        <v>0</v>
      </c>
      <c r="N656" t="n">
        <v>0</v>
      </c>
      <c r="O656" t="n">
        <v>0</v>
      </c>
      <c r="P656" t="n">
        <v>0</v>
      </c>
      <c r="Q656" t="n">
        <v>0</v>
      </c>
      <c r="R656" s="2" t="inlineStr"/>
    </row>
    <row r="657" ht="15" customHeight="1">
      <c r="A657" t="inlineStr">
        <is>
          <t>A 48160-2022</t>
        </is>
      </c>
      <c r="B657" s="1" t="n">
        <v>44853</v>
      </c>
      <c r="C657" s="1" t="n">
        <v>45990</v>
      </c>
      <c r="D657" t="inlineStr">
        <is>
          <t>SÖDERMANLANDS LÄN</t>
        </is>
      </c>
      <c r="E657" t="inlineStr">
        <is>
          <t>KATRINEHOLM</t>
        </is>
      </c>
      <c r="F657" t="inlineStr">
        <is>
          <t>Övriga statliga verk och myndigheter</t>
        </is>
      </c>
      <c r="G657" t="n">
        <v>2.2</v>
      </c>
      <c r="H657" t="n">
        <v>0</v>
      </c>
      <c r="I657" t="n">
        <v>0</v>
      </c>
      <c r="J657" t="n">
        <v>0</v>
      </c>
      <c r="K657" t="n">
        <v>0</v>
      </c>
      <c r="L657" t="n">
        <v>0</v>
      </c>
      <c r="M657" t="n">
        <v>0</v>
      </c>
      <c r="N657" t="n">
        <v>0</v>
      </c>
      <c r="O657" t="n">
        <v>0</v>
      </c>
      <c r="P657" t="n">
        <v>0</v>
      </c>
      <c r="Q657" t="n">
        <v>0</v>
      </c>
      <c r="R657" s="2" t="inlineStr"/>
    </row>
    <row r="658" ht="15" customHeight="1">
      <c r="A658" t="inlineStr">
        <is>
          <t>A 18339-2023</t>
        </is>
      </c>
      <c r="B658" s="1" t="n">
        <v>45041</v>
      </c>
      <c r="C658" s="1" t="n">
        <v>45990</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20460-2025</t>
        </is>
      </c>
      <c r="B659" s="1" t="n">
        <v>45775.52854166667</v>
      </c>
      <c r="C659" s="1" t="n">
        <v>45990</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49092-2024</t>
        </is>
      </c>
      <c r="B660" s="1" t="n">
        <v>45594.63619212963</v>
      </c>
      <c r="C660" s="1" t="n">
        <v>45990</v>
      </c>
      <c r="D660" t="inlineStr">
        <is>
          <t>SÖDERMANLANDS LÄN</t>
        </is>
      </c>
      <c r="E660" t="inlineStr">
        <is>
          <t>KATRINEHOLM</t>
        </is>
      </c>
      <c r="F660" t="inlineStr">
        <is>
          <t>Övriga Aktiebolag</t>
        </is>
      </c>
      <c r="G660" t="n">
        <v>0.4</v>
      </c>
      <c r="H660" t="n">
        <v>0</v>
      </c>
      <c r="I660" t="n">
        <v>0</v>
      </c>
      <c r="J660" t="n">
        <v>0</v>
      </c>
      <c r="K660" t="n">
        <v>0</v>
      </c>
      <c r="L660" t="n">
        <v>0</v>
      </c>
      <c r="M660" t="n">
        <v>0</v>
      </c>
      <c r="N660" t="n">
        <v>0</v>
      </c>
      <c r="O660" t="n">
        <v>0</v>
      </c>
      <c r="P660" t="n">
        <v>0</v>
      </c>
      <c r="Q660" t="n">
        <v>0</v>
      </c>
      <c r="R660" s="2" t="inlineStr"/>
    </row>
    <row r="661" ht="15" customHeight="1">
      <c r="A661" t="inlineStr">
        <is>
          <t>A 49095-2024</t>
        </is>
      </c>
      <c r="B661" s="1" t="n">
        <v>45594.63828703704</v>
      </c>
      <c r="C661" s="1" t="n">
        <v>45990</v>
      </c>
      <c r="D661" t="inlineStr">
        <is>
          <t>SÖDERMANLANDS LÄN</t>
        </is>
      </c>
      <c r="E661" t="inlineStr">
        <is>
          <t>KATRINEHOLM</t>
        </is>
      </c>
      <c r="F661" t="inlineStr">
        <is>
          <t>Övriga Aktiebolag</t>
        </is>
      </c>
      <c r="G661" t="n">
        <v>0.4</v>
      </c>
      <c r="H661" t="n">
        <v>0</v>
      </c>
      <c r="I661" t="n">
        <v>0</v>
      </c>
      <c r="J661" t="n">
        <v>0</v>
      </c>
      <c r="K661" t="n">
        <v>0</v>
      </c>
      <c r="L661" t="n">
        <v>0</v>
      </c>
      <c r="M661" t="n">
        <v>0</v>
      </c>
      <c r="N661" t="n">
        <v>0</v>
      </c>
      <c r="O661" t="n">
        <v>0</v>
      </c>
      <c r="P661" t="n">
        <v>0</v>
      </c>
      <c r="Q661" t="n">
        <v>0</v>
      </c>
      <c r="R661" s="2" t="inlineStr"/>
    </row>
    <row r="662" ht="15" customHeight="1">
      <c r="A662" t="inlineStr">
        <is>
          <t>A 55172-2022</t>
        </is>
      </c>
      <c r="B662" s="1" t="n">
        <v>44886</v>
      </c>
      <c r="C662" s="1" t="n">
        <v>45990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50935-2023</t>
        </is>
      </c>
      <c r="B663" s="1" t="n">
        <v>45211</v>
      </c>
      <c r="C663" s="1" t="n">
        <v>45990</v>
      </c>
      <c r="D663" t="inlineStr">
        <is>
          <t>SÖDERMANLANDS LÄN</t>
        </is>
      </c>
      <c r="E663" t="inlineStr">
        <is>
          <t>KATRINEHOLM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24619-2024</t>
        </is>
      </c>
      <c r="B664" s="1" t="n">
        <v>45460</v>
      </c>
      <c r="C664" s="1" t="n">
        <v>45990</v>
      </c>
      <c r="D664" t="inlineStr">
        <is>
          <t>SÖDERMANLANDS LÄN</t>
        </is>
      </c>
      <c r="E664" t="inlineStr">
        <is>
          <t>KATRINEHOLM</t>
        </is>
      </c>
      <c r="G664" t="n">
        <v>4.7</v>
      </c>
      <c r="H664" t="n">
        <v>0</v>
      </c>
      <c r="I664" t="n">
        <v>0</v>
      </c>
      <c r="J664" t="n">
        <v>0</v>
      </c>
      <c r="K664" t="n">
        <v>0</v>
      </c>
      <c r="L664" t="n">
        <v>0</v>
      </c>
      <c r="M664" t="n">
        <v>0</v>
      </c>
      <c r="N664" t="n">
        <v>0</v>
      </c>
      <c r="O664" t="n">
        <v>0</v>
      </c>
      <c r="P664" t="n">
        <v>0</v>
      </c>
      <c r="Q664" t="n">
        <v>0</v>
      </c>
      <c r="R664" s="2" t="inlineStr"/>
    </row>
    <row r="665" ht="15" customHeight="1">
      <c r="A665" t="inlineStr">
        <is>
          <t>A 6087-2021</t>
        </is>
      </c>
      <c r="B665" s="1" t="n">
        <v>44232</v>
      </c>
      <c r="C665" s="1" t="n">
        <v>45990</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53843-2023</t>
        </is>
      </c>
      <c r="B666" s="1" t="n">
        <v>45230</v>
      </c>
      <c r="C666" s="1" t="n">
        <v>45990</v>
      </c>
      <c r="D666" t="inlineStr">
        <is>
          <t>SÖDERMANLANDS LÄN</t>
        </is>
      </c>
      <c r="E666" t="inlineStr">
        <is>
          <t>KATRINEHOLM</t>
        </is>
      </c>
      <c r="G666" t="n">
        <v>14.2</v>
      </c>
      <c r="H666" t="n">
        <v>0</v>
      </c>
      <c r="I666" t="n">
        <v>0</v>
      </c>
      <c r="J666" t="n">
        <v>0</v>
      </c>
      <c r="K666" t="n">
        <v>0</v>
      </c>
      <c r="L666" t="n">
        <v>0</v>
      </c>
      <c r="M666" t="n">
        <v>0</v>
      </c>
      <c r="N666" t="n">
        <v>0</v>
      </c>
      <c r="O666" t="n">
        <v>0</v>
      </c>
      <c r="P666" t="n">
        <v>0</v>
      </c>
      <c r="Q666" t="n">
        <v>0</v>
      </c>
      <c r="R666" s="2" t="inlineStr"/>
    </row>
    <row r="667" ht="15" customHeight="1">
      <c r="A667" t="inlineStr">
        <is>
          <t>A 7254-2021</t>
        </is>
      </c>
      <c r="B667" s="1" t="n">
        <v>44238</v>
      </c>
      <c r="C667" s="1" t="n">
        <v>45990</v>
      </c>
      <c r="D667" t="inlineStr">
        <is>
          <t>SÖDERMANLANDS LÄN</t>
        </is>
      </c>
      <c r="E667" t="inlineStr">
        <is>
          <t>KATRINEHOLM</t>
        </is>
      </c>
      <c r="G667" t="n">
        <v>3.6</v>
      </c>
      <c r="H667" t="n">
        <v>0</v>
      </c>
      <c r="I667" t="n">
        <v>0</v>
      </c>
      <c r="J667" t="n">
        <v>0</v>
      </c>
      <c r="K667" t="n">
        <v>0</v>
      </c>
      <c r="L667" t="n">
        <v>0</v>
      </c>
      <c r="M667" t="n">
        <v>0</v>
      </c>
      <c r="N667" t="n">
        <v>0</v>
      </c>
      <c r="O667" t="n">
        <v>0</v>
      </c>
      <c r="P667" t="n">
        <v>0</v>
      </c>
      <c r="Q667" t="n">
        <v>0</v>
      </c>
      <c r="R667" s="2" t="inlineStr"/>
    </row>
    <row r="668" ht="15" customHeight="1">
      <c r="A668" t="inlineStr">
        <is>
          <t>A 22295-2024</t>
        </is>
      </c>
      <c r="B668" s="1" t="n">
        <v>45446.56141203704</v>
      </c>
      <c r="C668" s="1" t="n">
        <v>45990</v>
      </c>
      <c r="D668" t="inlineStr">
        <is>
          <t>SÖDERMANLANDS LÄN</t>
        </is>
      </c>
      <c r="E668" t="inlineStr">
        <is>
          <t>KATRINEHOLM</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22272-2022</t>
        </is>
      </c>
      <c r="B669" s="1" t="n">
        <v>44712</v>
      </c>
      <c r="C669" s="1" t="n">
        <v>45990</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53715-2023</t>
        </is>
      </c>
      <c r="B670" s="1" t="n">
        <v>45230</v>
      </c>
      <c r="C670" s="1" t="n">
        <v>45990</v>
      </c>
      <c r="D670" t="inlineStr">
        <is>
          <t>SÖDERMANLANDS LÄN</t>
        </is>
      </c>
      <c r="E670" t="inlineStr">
        <is>
          <t>KATRINEHOLM</t>
        </is>
      </c>
      <c r="F670" t="inlineStr">
        <is>
          <t>Allmännings- och besparingsskogar</t>
        </is>
      </c>
      <c r="G670" t="n">
        <v>5.6</v>
      </c>
      <c r="H670" t="n">
        <v>0</v>
      </c>
      <c r="I670" t="n">
        <v>0</v>
      </c>
      <c r="J670" t="n">
        <v>0</v>
      </c>
      <c r="K670" t="n">
        <v>0</v>
      </c>
      <c r="L670" t="n">
        <v>0</v>
      </c>
      <c r="M670" t="n">
        <v>0</v>
      </c>
      <c r="N670" t="n">
        <v>0</v>
      </c>
      <c r="O670" t="n">
        <v>0</v>
      </c>
      <c r="P670" t="n">
        <v>0</v>
      </c>
      <c r="Q670" t="n">
        <v>0</v>
      </c>
      <c r="R670" s="2" t="inlineStr"/>
    </row>
    <row r="671" ht="15" customHeight="1">
      <c r="A671" t="inlineStr">
        <is>
          <t>A 58175-2024</t>
        </is>
      </c>
      <c r="B671" s="1" t="n">
        <v>45632.46648148148</v>
      </c>
      <c r="C671" s="1" t="n">
        <v>45990</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59474-2021</t>
        </is>
      </c>
      <c r="B672" s="1" t="n">
        <v>44491</v>
      </c>
      <c r="C672" s="1" t="n">
        <v>45990</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51923-2023</t>
        </is>
      </c>
      <c r="B673" s="1" t="n">
        <v>45223</v>
      </c>
      <c r="C673" s="1" t="n">
        <v>45990</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27875-2024</t>
        </is>
      </c>
      <c r="B674" s="1" t="n">
        <v>45475</v>
      </c>
      <c r="C674" s="1" t="n">
        <v>45990</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43088-2022</t>
        </is>
      </c>
      <c r="B675" s="1" t="n">
        <v>44833</v>
      </c>
      <c r="C675" s="1" t="n">
        <v>45990</v>
      </c>
      <c r="D675" t="inlineStr">
        <is>
          <t>SÖDERMANLANDS LÄN</t>
        </is>
      </c>
      <c r="E675" t="inlineStr">
        <is>
          <t>KATRINEHOLM</t>
        </is>
      </c>
      <c r="G675" t="n">
        <v>6.6</v>
      </c>
      <c r="H675" t="n">
        <v>0</v>
      </c>
      <c r="I675" t="n">
        <v>0</v>
      </c>
      <c r="J675" t="n">
        <v>0</v>
      </c>
      <c r="K675" t="n">
        <v>0</v>
      </c>
      <c r="L675" t="n">
        <v>0</v>
      </c>
      <c r="M675" t="n">
        <v>0</v>
      </c>
      <c r="N675" t="n">
        <v>0</v>
      </c>
      <c r="O675" t="n">
        <v>0</v>
      </c>
      <c r="P675" t="n">
        <v>0</v>
      </c>
      <c r="Q675" t="n">
        <v>0</v>
      </c>
      <c r="R675" s="2" t="inlineStr"/>
    </row>
    <row r="676" ht="15" customHeight="1">
      <c r="A676" t="inlineStr">
        <is>
          <t>A 52658-2023</t>
        </is>
      </c>
      <c r="B676" s="1" t="n">
        <v>45225</v>
      </c>
      <c r="C676" s="1" t="n">
        <v>45990</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61385-2023</t>
        </is>
      </c>
      <c r="B677" s="1" t="n">
        <v>45264.64241898148</v>
      </c>
      <c r="C677" s="1" t="n">
        <v>45990</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48030-2022</t>
        </is>
      </c>
      <c r="B678" s="1" t="n">
        <v>44855</v>
      </c>
      <c r="C678" s="1" t="n">
        <v>45990</v>
      </c>
      <c r="D678" t="inlineStr">
        <is>
          <t>SÖDERMANLANDS LÄN</t>
        </is>
      </c>
      <c r="E678" t="inlineStr">
        <is>
          <t>KATRINEHOLM</t>
        </is>
      </c>
      <c r="F678" t="inlineStr">
        <is>
          <t>Allmännings- och besparingsskogar</t>
        </is>
      </c>
      <c r="G678" t="n">
        <v>1.5</v>
      </c>
      <c r="H678" t="n">
        <v>0</v>
      </c>
      <c r="I678" t="n">
        <v>0</v>
      </c>
      <c r="J678" t="n">
        <v>0</v>
      </c>
      <c r="K678" t="n">
        <v>0</v>
      </c>
      <c r="L678" t="n">
        <v>0</v>
      </c>
      <c r="M678" t="n">
        <v>0</v>
      </c>
      <c r="N678" t="n">
        <v>0</v>
      </c>
      <c r="O678" t="n">
        <v>0</v>
      </c>
      <c r="P678" t="n">
        <v>0</v>
      </c>
      <c r="Q678" t="n">
        <v>0</v>
      </c>
      <c r="R678" s="2" t="inlineStr"/>
    </row>
    <row r="679" ht="15" customHeight="1">
      <c r="A679" t="inlineStr">
        <is>
          <t>A 10932-2023</t>
        </is>
      </c>
      <c r="B679" s="1" t="n">
        <v>44985</v>
      </c>
      <c r="C679" s="1" t="n">
        <v>45990</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36767-2022</t>
        </is>
      </c>
      <c r="B680" s="1" t="n">
        <v>44805</v>
      </c>
      <c r="C680" s="1" t="n">
        <v>45990</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5834-2025</t>
        </is>
      </c>
      <c r="B681" s="1" t="n">
        <v>45694</v>
      </c>
      <c r="C681" s="1" t="n">
        <v>45990</v>
      </c>
      <c r="D681" t="inlineStr">
        <is>
          <t>SÖDERMANLANDS LÄN</t>
        </is>
      </c>
      <c r="E681" t="inlineStr">
        <is>
          <t>KATRINEHOLM</t>
        </is>
      </c>
      <c r="G681" t="n">
        <v>3.3</v>
      </c>
      <c r="H681" t="n">
        <v>0</v>
      </c>
      <c r="I681" t="n">
        <v>0</v>
      </c>
      <c r="J681" t="n">
        <v>0</v>
      </c>
      <c r="K681" t="n">
        <v>0</v>
      </c>
      <c r="L681" t="n">
        <v>0</v>
      </c>
      <c r="M681" t="n">
        <v>0</v>
      </c>
      <c r="N681" t="n">
        <v>0</v>
      </c>
      <c r="O681" t="n">
        <v>0</v>
      </c>
      <c r="P681" t="n">
        <v>0</v>
      </c>
      <c r="Q681" t="n">
        <v>0</v>
      </c>
      <c r="R681" s="2" t="inlineStr"/>
    </row>
    <row r="682" ht="15" customHeight="1">
      <c r="A682" t="inlineStr">
        <is>
          <t>A 9899-2023</t>
        </is>
      </c>
      <c r="B682" s="1" t="n">
        <v>44985</v>
      </c>
      <c r="C682" s="1" t="n">
        <v>45990</v>
      </c>
      <c r="D682" t="inlineStr">
        <is>
          <t>SÖDERMANLANDS LÄN</t>
        </is>
      </c>
      <c r="E682" t="inlineStr">
        <is>
          <t>KATRINEHOLM</t>
        </is>
      </c>
      <c r="F682" t="inlineStr">
        <is>
          <t>Allmännings- och besparingsskogar</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34263-2023</t>
        </is>
      </c>
      <c r="B683" s="1" t="n">
        <v>45138.60248842592</v>
      </c>
      <c r="C683" s="1" t="n">
        <v>45990</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6092-2025</t>
        </is>
      </c>
      <c r="B684" s="1" t="n">
        <v>45697</v>
      </c>
      <c r="C684" s="1" t="n">
        <v>45990</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55863-2022</t>
        </is>
      </c>
      <c r="B685" s="1" t="n">
        <v>44888</v>
      </c>
      <c r="C685" s="1" t="n">
        <v>45990</v>
      </c>
      <c r="D685" t="inlineStr">
        <is>
          <t>SÖDERMANLANDS LÄN</t>
        </is>
      </c>
      <c r="E685" t="inlineStr">
        <is>
          <t>KATRINEHOLM</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55865-2022</t>
        </is>
      </c>
      <c r="B686" s="1" t="n">
        <v>44888</v>
      </c>
      <c r="C686" s="1" t="n">
        <v>45990</v>
      </c>
      <c r="D686" t="inlineStr">
        <is>
          <t>SÖDERMANLANDS LÄN</t>
        </is>
      </c>
      <c r="E686" t="inlineStr">
        <is>
          <t>KATRINEHOLM</t>
        </is>
      </c>
      <c r="G686" t="n">
        <v>9.1</v>
      </c>
      <c r="H686" t="n">
        <v>0</v>
      </c>
      <c r="I686" t="n">
        <v>0</v>
      </c>
      <c r="J686" t="n">
        <v>0</v>
      </c>
      <c r="K686" t="n">
        <v>0</v>
      </c>
      <c r="L686" t="n">
        <v>0</v>
      </c>
      <c r="M686" t="n">
        <v>0</v>
      </c>
      <c r="N686" t="n">
        <v>0</v>
      </c>
      <c r="O686" t="n">
        <v>0</v>
      </c>
      <c r="P686" t="n">
        <v>0</v>
      </c>
      <c r="Q686" t="n">
        <v>0</v>
      </c>
      <c r="R686" s="2" t="inlineStr"/>
    </row>
    <row r="687" ht="15" customHeight="1">
      <c r="A687" t="inlineStr">
        <is>
          <t>A 10341-2022</t>
        </is>
      </c>
      <c r="B687" s="1" t="n">
        <v>44623</v>
      </c>
      <c r="C687" s="1" t="n">
        <v>45990</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9437-2022</t>
        </is>
      </c>
      <c r="B688" s="1" t="n">
        <v>44616.69246527777</v>
      </c>
      <c r="C688" s="1" t="n">
        <v>45990</v>
      </c>
      <c r="D688" t="inlineStr">
        <is>
          <t>SÖDERMANLANDS LÄN</t>
        </is>
      </c>
      <c r="E688" t="inlineStr">
        <is>
          <t>KATRINEHOLM</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22345-2023</t>
        </is>
      </c>
      <c r="B689" s="1" t="n">
        <v>45070</v>
      </c>
      <c r="C689" s="1" t="n">
        <v>45990</v>
      </c>
      <c r="D689" t="inlineStr">
        <is>
          <t>SÖDERMANLANDS LÄN</t>
        </is>
      </c>
      <c r="E689" t="inlineStr">
        <is>
          <t>KATRINEHOLM</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48528-2021</t>
        </is>
      </c>
      <c r="B690" s="1" t="n">
        <v>44449</v>
      </c>
      <c r="C690" s="1" t="n">
        <v>45990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28675-2024</t>
        </is>
      </c>
      <c r="B691" s="1" t="n">
        <v>45478</v>
      </c>
      <c r="C691" s="1" t="n">
        <v>45990</v>
      </c>
      <c r="D691" t="inlineStr">
        <is>
          <t>SÖDERMANLANDS LÄN</t>
        </is>
      </c>
      <c r="E691" t="inlineStr">
        <is>
          <t>KATRINEHOLM</t>
        </is>
      </c>
      <c r="F691" t="inlineStr">
        <is>
          <t>Övriga Aktiebolag</t>
        </is>
      </c>
      <c r="G691" t="n">
        <v>3.5</v>
      </c>
      <c r="H691" t="n">
        <v>0</v>
      </c>
      <c r="I691" t="n">
        <v>0</v>
      </c>
      <c r="J691" t="n">
        <v>0</v>
      </c>
      <c r="K691" t="n">
        <v>0</v>
      </c>
      <c r="L691" t="n">
        <v>0</v>
      </c>
      <c r="M691" t="n">
        <v>0</v>
      </c>
      <c r="N691" t="n">
        <v>0</v>
      </c>
      <c r="O691" t="n">
        <v>0</v>
      </c>
      <c r="P691" t="n">
        <v>0</v>
      </c>
      <c r="Q691" t="n">
        <v>0</v>
      </c>
      <c r="R691" s="2" t="inlineStr"/>
    </row>
    <row r="692" ht="15" customHeight="1">
      <c r="A692" t="inlineStr">
        <is>
          <t>A 33790-2024</t>
        </is>
      </c>
      <c r="B692" s="1" t="n">
        <v>45520.59179398148</v>
      </c>
      <c r="C692" s="1" t="n">
        <v>45990</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41267-2023</t>
        </is>
      </c>
      <c r="B693" s="1" t="n">
        <v>45174</v>
      </c>
      <c r="C693" s="1" t="n">
        <v>45990</v>
      </c>
      <c r="D693" t="inlineStr">
        <is>
          <t>SÖDERMANLANDS LÄN</t>
        </is>
      </c>
      <c r="E693" t="inlineStr">
        <is>
          <t>KATRINEHOLM</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45990</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4758-2025</t>
        </is>
      </c>
      <c r="B695" s="1" t="n">
        <v>45688</v>
      </c>
      <c r="C695" s="1" t="n">
        <v>45990</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28317-2024</t>
        </is>
      </c>
      <c r="B696" s="1" t="n">
        <v>45477</v>
      </c>
      <c r="C696" s="1" t="n">
        <v>45990</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52348-2021</t>
        </is>
      </c>
      <c r="B697" s="1" t="n">
        <v>44464.49756944444</v>
      </c>
      <c r="C697" s="1" t="n">
        <v>45990</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5795-2022</t>
        </is>
      </c>
      <c r="B698" s="1" t="n">
        <v>44596</v>
      </c>
      <c r="C698" s="1" t="n">
        <v>45990</v>
      </c>
      <c r="D698" t="inlineStr">
        <is>
          <t>SÖDERMANLANDS LÄN</t>
        </is>
      </c>
      <c r="E698" t="inlineStr">
        <is>
          <t>KATRINEHOLM</t>
        </is>
      </c>
      <c r="G698" t="n">
        <v>8.1</v>
      </c>
      <c r="H698" t="n">
        <v>0</v>
      </c>
      <c r="I698" t="n">
        <v>0</v>
      </c>
      <c r="J698" t="n">
        <v>0</v>
      </c>
      <c r="K698" t="n">
        <v>0</v>
      </c>
      <c r="L698" t="n">
        <v>0</v>
      </c>
      <c r="M698" t="n">
        <v>0</v>
      </c>
      <c r="N698" t="n">
        <v>0</v>
      </c>
      <c r="O698" t="n">
        <v>0</v>
      </c>
      <c r="P698" t="n">
        <v>0</v>
      </c>
      <c r="Q698" t="n">
        <v>0</v>
      </c>
      <c r="R698" s="2" t="inlineStr"/>
    </row>
    <row r="699" ht="15" customHeight="1">
      <c r="A699" t="inlineStr">
        <is>
          <t>A 55590-2023</t>
        </is>
      </c>
      <c r="B699" s="1" t="n">
        <v>45238</v>
      </c>
      <c r="C699" s="1" t="n">
        <v>45990</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46257-2021</t>
        </is>
      </c>
      <c r="B700" s="1" t="n">
        <v>44442</v>
      </c>
      <c r="C700" s="1" t="n">
        <v>45990</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5320-2025</t>
        </is>
      </c>
      <c r="B701" s="1" t="n">
        <v>45692</v>
      </c>
      <c r="C701" s="1" t="n">
        <v>45990</v>
      </c>
      <c r="D701" t="inlineStr">
        <is>
          <t>SÖDERMANLANDS LÄN</t>
        </is>
      </c>
      <c r="E701" t="inlineStr">
        <is>
          <t>KATRINEHOLM</t>
        </is>
      </c>
      <c r="F701" t="inlineStr">
        <is>
          <t>Kommuner</t>
        </is>
      </c>
      <c r="G701" t="n">
        <v>0.9</v>
      </c>
      <c r="H701" t="n">
        <v>0</v>
      </c>
      <c r="I701" t="n">
        <v>0</v>
      </c>
      <c r="J701" t="n">
        <v>0</v>
      </c>
      <c r="K701" t="n">
        <v>0</v>
      </c>
      <c r="L701" t="n">
        <v>0</v>
      </c>
      <c r="M701" t="n">
        <v>0</v>
      </c>
      <c r="N701" t="n">
        <v>0</v>
      </c>
      <c r="O701" t="n">
        <v>0</v>
      </c>
      <c r="P701" t="n">
        <v>0</v>
      </c>
      <c r="Q701" t="n">
        <v>0</v>
      </c>
      <c r="R701" s="2" t="inlineStr"/>
    </row>
    <row r="702" ht="15" customHeight="1">
      <c r="A702" t="inlineStr">
        <is>
          <t>A 49914-2023</t>
        </is>
      </c>
      <c r="B702" s="1" t="n">
        <v>45214</v>
      </c>
      <c r="C702" s="1" t="n">
        <v>45990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44637-2023</t>
        </is>
      </c>
      <c r="B703" s="1" t="n">
        <v>45189</v>
      </c>
      <c r="C703" s="1" t="n">
        <v>45990</v>
      </c>
      <c r="D703" t="inlineStr">
        <is>
          <t>SÖDERMANLANDS LÄN</t>
        </is>
      </c>
      <c r="E703" t="inlineStr">
        <is>
          <t>KATRINEHOLM</t>
        </is>
      </c>
      <c r="G703" t="n">
        <v>5.1</v>
      </c>
      <c r="H703" t="n">
        <v>0</v>
      </c>
      <c r="I703" t="n">
        <v>0</v>
      </c>
      <c r="J703" t="n">
        <v>0</v>
      </c>
      <c r="K703" t="n">
        <v>0</v>
      </c>
      <c r="L703" t="n">
        <v>0</v>
      </c>
      <c r="M703" t="n">
        <v>0</v>
      </c>
      <c r="N703" t="n">
        <v>0</v>
      </c>
      <c r="O703" t="n">
        <v>0</v>
      </c>
      <c r="P703" t="n">
        <v>0</v>
      </c>
      <c r="Q703" t="n">
        <v>0</v>
      </c>
      <c r="R703" s="2" t="inlineStr"/>
    </row>
    <row r="704" ht="15" customHeight="1">
      <c r="A704" t="inlineStr">
        <is>
          <t>A 58522-2024</t>
        </is>
      </c>
      <c r="B704" s="1" t="n">
        <v>45635.43770833333</v>
      </c>
      <c r="C704" s="1" t="n">
        <v>45990</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20921-2023</t>
        </is>
      </c>
      <c r="B705" s="1" t="n">
        <v>45061</v>
      </c>
      <c r="C705" s="1" t="n">
        <v>45990</v>
      </c>
      <c r="D705" t="inlineStr">
        <is>
          <t>SÖDERMANLANDS LÄN</t>
        </is>
      </c>
      <c r="E705" t="inlineStr">
        <is>
          <t>KATRINEHOLM</t>
        </is>
      </c>
      <c r="G705" t="n">
        <v>8.9</v>
      </c>
      <c r="H705" t="n">
        <v>0</v>
      </c>
      <c r="I705" t="n">
        <v>0</v>
      </c>
      <c r="J705" t="n">
        <v>0</v>
      </c>
      <c r="K705" t="n">
        <v>0</v>
      </c>
      <c r="L705" t="n">
        <v>0</v>
      </c>
      <c r="M705" t="n">
        <v>0</v>
      </c>
      <c r="N705" t="n">
        <v>0</v>
      </c>
      <c r="O705" t="n">
        <v>0</v>
      </c>
      <c r="P705" t="n">
        <v>0</v>
      </c>
      <c r="Q705" t="n">
        <v>0</v>
      </c>
      <c r="R705" s="2" t="inlineStr"/>
    </row>
    <row r="706" ht="15" customHeight="1">
      <c r="A706" t="inlineStr">
        <is>
          <t>A 12929-2023</t>
        </is>
      </c>
      <c r="B706" s="1" t="n">
        <v>45001</v>
      </c>
      <c r="C706" s="1" t="n">
        <v>45990</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12932-2023</t>
        </is>
      </c>
      <c r="B707" s="1" t="n">
        <v>45001</v>
      </c>
      <c r="C707" s="1" t="n">
        <v>45990</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6446-2022</t>
        </is>
      </c>
      <c r="B708" s="1" t="n">
        <v>44600</v>
      </c>
      <c r="C708" s="1" t="n">
        <v>45990</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4724-2023</t>
        </is>
      </c>
      <c r="B709" s="1" t="n">
        <v>44957</v>
      </c>
      <c r="C709" s="1" t="n">
        <v>45990</v>
      </c>
      <c r="D709" t="inlineStr">
        <is>
          <t>SÖDERMANLANDS LÄN</t>
        </is>
      </c>
      <c r="E709" t="inlineStr">
        <is>
          <t>KATRINEHOLM</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61431-2024</t>
        </is>
      </c>
      <c r="B710" s="1" t="n">
        <v>45646.45950231481</v>
      </c>
      <c r="C710" s="1" t="n">
        <v>45990</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24097-2022</t>
        </is>
      </c>
      <c r="B711" s="1" t="n">
        <v>44725.39371527778</v>
      </c>
      <c r="C711" s="1" t="n">
        <v>45990</v>
      </c>
      <c r="D711" t="inlineStr">
        <is>
          <t>SÖDERMANLANDS LÄN</t>
        </is>
      </c>
      <c r="E711" t="inlineStr">
        <is>
          <t>KATRINEHOLM</t>
        </is>
      </c>
      <c r="G711" t="n">
        <v>6.5</v>
      </c>
      <c r="H711" t="n">
        <v>0</v>
      </c>
      <c r="I711" t="n">
        <v>0</v>
      </c>
      <c r="J711" t="n">
        <v>0</v>
      </c>
      <c r="K711" t="n">
        <v>0</v>
      </c>
      <c r="L711" t="n">
        <v>0</v>
      </c>
      <c r="M711" t="n">
        <v>0</v>
      </c>
      <c r="N711" t="n">
        <v>0</v>
      </c>
      <c r="O711" t="n">
        <v>0</v>
      </c>
      <c r="P711" t="n">
        <v>0</v>
      </c>
      <c r="Q711" t="n">
        <v>0</v>
      </c>
      <c r="R711" s="2" t="inlineStr"/>
    </row>
    <row r="712" ht="15" customHeight="1">
      <c r="A712" t="inlineStr">
        <is>
          <t>A 53393-2023</t>
        </is>
      </c>
      <c r="B712" s="1" t="n">
        <v>45229</v>
      </c>
      <c r="C712" s="1" t="n">
        <v>45990</v>
      </c>
      <c r="D712" t="inlineStr">
        <is>
          <t>SÖDERMANLANDS LÄN</t>
        </is>
      </c>
      <c r="E712" t="inlineStr">
        <is>
          <t>KATRINEHOLM</t>
        </is>
      </c>
      <c r="F712" t="inlineStr">
        <is>
          <t>Kyrkan</t>
        </is>
      </c>
      <c r="G712" t="n">
        <v>5.6</v>
      </c>
      <c r="H712" t="n">
        <v>0</v>
      </c>
      <c r="I712" t="n">
        <v>0</v>
      </c>
      <c r="J712" t="n">
        <v>0</v>
      </c>
      <c r="K712" t="n">
        <v>0</v>
      </c>
      <c r="L712" t="n">
        <v>0</v>
      </c>
      <c r="M712" t="n">
        <v>0</v>
      </c>
      <c r="N712" t="n">
        <v>0</v>
      </c>
      <c r="O712" t="n">
        <v>0</v>
      </c>
      <c r="P712" t="n">
        <v>0</v>
      </c>
      <c r="Q712" t="n">
        <v>0</v>
      </c>
      <c r="R712" s="2" t="inlineStr"/>
    </row>
    <row r="713" ht="15" customHeight="1">
      <c r="A713" t="inlineStr">
        <is>
          <t>A 40744-2022</t>
        </is>
      </c>
      <c r="B713" s="1" t="n">
        <v>44824.55655092592</v>
      </c>
      <c r="C713" s="1" t="n">
        <v>45990</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20803-2024</t>
        </is>
      </c>
      <c r="B714" s="1" t="n">
        <v>45438</v>
      </c>
      <c r="C714" s="1" t="n">
        <v>45990</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15392-2023</t>
        </is>
      </c>
      <c r="B715" s="1" t="n">
        <v>45016</v>
      </c>
      <c r="C715" s="1" t="n">
        <v>45990</v>
      </c>
      <c r="D715" t="inlineStr">
        <is>
          <t>SÖDERMANLANDS LÄN</t>
        </is>
      </c>
      <c r="E715" t="inlineStr">
        <is>
          <t>KATRINEHOLM</t>
        </is>
      </c>
      <c r="F715" t="inlineStr">
        <is>
          <t>Övriga Aktiebolag</t>
        </is>
      </c>
      <c r="G715" t="n">
        <v>2.7</v>
      </c>
      <c r="H715" t="n">
        <v>0</v>
      </c>
      <c r="I715" t="n">
        <v>0</v>
      </c>
      <c r="J715" t="n">
        <v>0</v>
      </c>
      <c r="K715" t="n">
        <v>0</v>
      </c>
      <c r="L715" t="n">
        <v>0</v>
      </c>
      <c r="M715" t="n">
        <v>0</v>
      </c>
      <c r="N715" t="n">
        <v>0</v>
      </c>
      <c r="O715" t="n">
        <v>0</v>
      </c>
      <c r="P715" t="n">
        <v>0</v>
      </c>
      <c r="Q715" t="n">
        <v>0</v>
      </c>
      <c r="R715" s="2" t="inlineStr"/>
    </row>
    <row r="716" ht="15" customHeight="1">
      <c r="A716" t="inlineStr">
        <is>
          <t>A 4645-2024</t>
        </is>
      </c>
      <c r="B716" s="1" t="n">
        <v>45328</v>
      </c>
      <c r="C716" s="1" t="n">
        <v>45990</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28508-2023</t>
        </is>
      </c>
      <c r="B717" s="1" t="n">
        <v>45103.46788194445</v>
      </c>
      <c r="C717" s="1" t="n">
        <v>45990</v>
      </c>
      <c r="D717" t="inlineStr">
        <is>
          <t>SÖDERMANLANDS LÄN</t>
        </is>
      </c>
      <c r="E717" t="inlineStr">
        <is>
          <t>KATRINEHOLM</t>
        </is>
      </c>
      <c r="F717" t="inlineStr">
        <is>
          <t>Kyrkan</t>
        </is>
      </c>
      <c r="G717" t="n">
        <v>20.5</v>
      </c>
      <c r="H717" t="n">
        <v>0</v>
      </c>
      <c r="I717" t="n">
        <v>0</v>
      </c>
      <c r="J717" t="n">
        <v>0</v>
      </c>
      <c r="K717" t="n">
        <v>0</v>
      </c>
      <c r="L717" t="n">
        <v>0</v>
      </c>
      <c r="M717" t="n">
        <v>0</v>
      </c>
      <c r="N717" t="n">
        <v>0</v>
      </c>
      <c r="O717" t="n">
        <v>0</v>
      </c>
      <c r="P717" t="n">
        <v>0</v>
      </c>
      <c r="Q717" t="n">
        <v>0</v>
      </c>
      <c r="R717" s="2" t="inlineStr"/>
    </row>
    <row r="718" ht="15" customHeight="1">
      <c r="A718" t="inlineStr">
        <is>
          <t>A 47889-2023</t>
        </is>
      </c>
      <c r="B718" s="1" t="n">
        <v>45204</v>
      </c>
      <c r="C718" s="1" t="n">
        <v>45990</v>
      </c>
      <c r="D718" t="inlineStr">
        <is>
          <t>SÖDERMANLANDS LÄN</t>
        </is>
      </c>
      <c r="E718" t="inlineStr">
        <is>
          <t>KATRINEHOLM</t>
        </is>
      </c>
      <c r="G718" t="n">
        <v>2.1</v>
      </c>
      <c r="H718" t="n">
        <v>0</v>
      </c>
      <c r="I718" t="n">
        <v>0</v>
      </c>
      <c r="J718" t="n">
        <v>0</v>
      </c>
      <c r="K718" t="n">
        <v>0</v>
      </c>
      <c r="L718" t="n">
        <v>0</v>
      </c>
      <c r="M718" t="n">
        <v>0</v>
      </c>
      <c r="N718" t="n">
        <v>0</v>
      </c>
      <c r="O718" t="n">
        <v>0</v>
      </c>
      <c r="P718" t="n">
        <v>0</v>
      </c>
      <c r="Q718" t="n">
        <v>0</v>
      </c>
      <c r="R718" s="2" t="inlineStr"/>
    </row>
    <row r="719" ht="15" customHeight="1">
      <c r="A719" t="inlineStr">
        <is>
          <t>A 12975-2022</t>
        </is>
      </c>
      <c r="B719" s="1" t="n">
        <v>44643</v>
      </c>
      <c r="C719" s="1" t="n">
        <v>45990</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9668-2023</t>
        </is>
      </c>
      <c r="B720" s="1" t="n">
        <v>44984.41238425926</v>
      </c>
      <c r="C720" s="1" t="n">
        <v>45990</v>
      </c>
      <c r="D720" t="inlineStr">
        <is>
          <t>SÖDERMANLANDS LÄN</t>
        </is>
      </c>
      <c r="E720" t="inlineStr">
        <is>
          <t>KATRINEHOLM</t>
        </is>
      </c>
      <c r="G720" t="n">
        <v>4.8</v>
      </c>
      <c r="H720" t="n">
        <v>0</v>
      </c>
      <c r="I720" t="n">
        <v>0</v>
      </c>
      <c r="J720" t="n">
        <v>0</v>
      </c>
      <c r="K720" t="n">
        <v>0</v>
      </c>
      <c r="L720" t="n">
        <v>0</v>
      </c>
      <c r="M720" t="n">
        <v>0</v>
      </c>
      <c r="N720" t="n">
        <v>0</v>
      </c>
      <c r="O720" t="n">
        <v>0</v>
      </c>
      <c r="P720" t="n">
        <v>0</v>
      </c>
      <c r="Q720" t="n">
        <v>0</v>
      </c>
      <c r="R720" s="2" t="inlineStr"/>
    </row>
    <row r="721" ht="15" customHeight="1">
      <c r="A721" t="inlineStr">
        <is>
          <t>A 29977-2023</t>
        </is>
      </c>
      <c r="B721" s="1" t="n">
        <v>45108</v>
      </c>
      <c r="C721" s="1" t="n">
        <v>45990</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4669-2023</t>
        </is>
      </c>
      <c r="B722" s="1" t="n">
        <v>44957</v>
      </c>
      <c r="C722" s="1" t="n">
        <v>45990</v>
      </c>
      <c r="D722" t="inlineStr">
        <is>
          <t>SÖDERMANLANDS LÄN</t>
        </is>
      </c>
      <c r="E722" t="inlineStr">
        <is>
          <t>KATRINEHOLM</t>
        </is>
      </c>
      <c r="F722" t="inlineStr">
        <is>
          <t>Holmen skog AB</t>
        </is>
      </c>
      <c r="G722" t="n">
        <v>2.2</v>
      </c>
      <c r="H722" t="n">
        <v>0</v>
      </c>
      <c r="I722" t="n">
        <v>0</v>
      </c>
      <c r="J722" t="n">
        <v>0</v>
      </c>
      <c r="K722" t="n">
        <v>0</v>
      </c>
      <c r="L722" t="n">
        <v>0</v>
      </c>
      <c r="M722" t="n">
        <v>0</v>
      </c>
      <c r="N722" t="n">
        <v>0</v>
      </c>
      <c r="O722" t="n">
        <v>0</v>
      </c>
      <c r="P722" t="n">
        <v>0</v>
      </c>
      <c r="Q722" t="n">
        <v>0</v>
      </c>
      <c r="R722" s="2" t="inlineStr"/>
    </row>
    <row r="723" ht="15" customHeight="1">
      <c r="A723" t="inlineStr">
        <is>
          <t>A 948-2023</t>
        </is>
      </c>
      <c r="B723" s="1" t="n">
        <v>44934</v>
      </c>
      <c r="C723" s="1" t="n">
        <v>45990</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6087-2022</t>
        </is>
      </c>
      <c r="B724" s="1" t="n">
        <v>44599.61034722222</v>
      </c>
      <c r="C724" s="1" t="n">
        <v>45990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45990</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12835-2024</t>
        </is>
      </c>
      <c r="B726" s="1" t="n">
        <v>45384</v>
      </c>
      <c r="C726" s="1" t="n">
        <v>45990</v>
      </c>
      <c r="D726" t="inlineStr">
        <is>
          <t>SÖDERMANLANDS LÄN</t>
        </is>
      </c>
      <c r="E726" t="inlineStr">
        <is>
          <t>KATRINEHOLM</t>
        </is>
      </c>
      <c r="F726" t="inlineStr">
        <is>
          <t>Allmännings- och besparingsskogar</t>
        </is>
      </c>
      <c r="G726" t="n">
        <v>0.5</v>
      </c>
      <c r="H726" t="n">
        <v>0</v>
      </c>
      <c r="I726" t="n">
        <v>0</v>
      </c>
      <c r="J726" t="n">
        <v>0</v>
      </c>
      <c r="K726" t="n">
        <v>0</v>
      </c>
      <c r="L726" t="n">
        <v>0</v>
      </c>
      <c r="M726" t="n">
        <v>0</v>
      </c>
      <c r="N726" t="n">
        <v>0</v>
      </c>
      <c r="O726" t="n">
        <v>0</v>
      </c>
      <c r="P726" t="n">
        <v>0</v>
      </c>
      <c r="Q726" t="n">
        <v>0</v>
      </c>
      <c r="R726" s="2" t="inlineStr"/>
    </row>
    <row r="727" ht="15" customHeight="1">
      <c r="A727" t="inlineStr">
        <is>
          <t>A 69600-2020</t>
        </is>
      </c>
      <c r="B727" s="1" t="n">
        <v>44195</v>
      </c>
      <c r="C727" s="1" t="n">
        <v>45990</v>
      </c>
      <c r="D727" t="inlineStr">
        <is>
          <t>SÖDERMANLANDS LÄN</t>
        </is>
      </c>
      <c r="E727" t="inlineStr">
        <is>
          <t>KATRINEHOLM</t>
        </is>
      </c>
      <c r="G727" t="n">
        <v>11.3</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45990</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45990</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45990</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45990</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45990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45990</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45990</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45990</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45990</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45990</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45990</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45990</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45990</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45990</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45990</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45990</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45990</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45990</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45990</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45990</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45990</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45990</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9388-2021</t>
        </is>
      </c>
      <c r="B750" s="1" t="n">
        <v>44250</v>
      </c>
      <c r="C750" s="1" t="n">
        <v>45990</v>
      </c>
      <c r="D750" t="inlineStr">
        <is>
          <t>SÖDERMANLANDS LÄN</t>
        </is>
      </c>
      <c r="E750" t="inlineStr">
        <is>
          <t>KATRINEHOLM</t>
        </is>
      </c>
      <c r="G750" t="n">
        <v>5.4</v>
      </c>
      <c r="H750" t="n">
        <v>0</v>
      </c>
      <c r="I750" t="n">
        <v>0</v>
      </c>
      <c r="J750" t="n">
        <v>0</v>
      </c>
      <c r="K750" t="n">
        <v>0</v>
      </c>
      <c r="L750" t="n">
        <v>0</v>
      </c>
      <c r="M750" t="n">
        <v>0</v>
      </c>
      <c r="N750" t="n">
        <v>0</v>
      </c>
      <c r="O750" t="n">
        <v>0</v>
      </c>
      <c r="P750" t="n">
        <v>0</v>
      </c>
      <c r="Q750" t="n">
        <v>0</v>
      </c>
      <c r="R750" s="2" t="inlineStr"/>
    </row>
    <row r="751" ht="15" customHeight="1">
      <c r="A751" t="inlineStr">
        <is>
          <t>A 13175-2024</t>
        </is>
      </c>
      <c r="B751" s="1" t="n">
        <v>45386</v>
      </c>
      <c r="C751" s="1" t="n">
        <v>45990</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26081-2024</t>
        </is>
      </c>
      <c r="B752" s="1" t="n">
        <v>45462</v>
      </c>
      <c r="C752" s="1" t="n">
        <v>45990</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4667-2024</t>
        </is>
      </c>
      <c r="B753" s="1" t="n">
        <v>45328.47</v>
      </c>
      <c r="C753" s="1" t="n">
        <v>45990</v>
      </c>
      <c r="D753" t="inlineStr">
        <is>
          <t>SÖDERMANLANDS LÄN</t>
        </is>
      </c>
      <c r="E753" t="inlineStr">
        <is>
          <t>KATRINEHOLM</t>
        </is>
      </c>
      <c r="F753" t="inlineStr">
        <is>
          <t>Övriga Aktiebolag</t>
        </is>
      </c>
      <c r="G753" t="n">
        <v>10.2</v>
      </c>
      <c r="H753" t="n">
        <v>0</v>
      </c>
      <c r="I753" t="n">
        <v>0</v>
      </c>
      <c r="J753" t="n">
        <v>0</v>
      </c>
      <c r="K753" t="n">
        <v>0</v>
      </c>
      <c r="L753" t="n">
        <v>0</v>
      </c>
      <c r="M753" t="n">
        <v>0</v>
      </c>
      <c r="N753" t="n">
        <v>0</v>
      </c>
      <c r="O753" t="n">
        <v>0</v>
      </c>
      <c r="P753" t="n">
        <v>0</v>
      </c>
      <c r="Q753" t="n">
        <v>0</v>
      </c>
      <c r="R753" s="2" t="inlineStr"/>
    </row>
    <row r="754" ht="15" customHeight="1">
      <c r="A754" t="inlineStr">
        <is>
          <t>A 5953-2021</t>
        </is>
      </c>
      <c r="B754" s="1" t="n">
        <v>44231</v>
      </c>
      <c r="C754" s="1" t="n">
        <v>45990</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45990</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45990</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45990</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45990</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45990</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45990</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45990</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45990</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45990</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45990</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45990</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45990</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45990</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45990</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45990</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45990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45990</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45990</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c r="A773" t="inlineStr">
        <is>
          <t>A 24902-2024</t>
        </is>
      </c>
      <c r="B773" s="1" t="n">
        <v>45461</v>
      </c>
      <c r="C773" s="1" t="n">
        <v>45990</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2025-11-29T10:24:30Z</dcterms:created>
  <dcterms:modified xmlns:dcterms="http://purl.org/dc/terms/" xmlns:xsi="http://www.w3.org/2001/XMLSchema-instance" xsi:type="dcterms:W3CDTF">2025-11-29T10:24:31Z</dcterms:modified>
</cp:coreProperties>
</file>