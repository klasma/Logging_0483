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46090</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46090</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46090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46090</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46090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46090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46090</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46090</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46090</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46090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46090</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46090</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46090</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46090</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46090</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46090</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46090</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46090</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46090</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46090</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46090</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46090</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46090</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46090</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46090</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46090</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46090</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46090</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46090</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44632-2023</t>
        </is>
      </c>
      <c r="B32" s="1" t="n">
        <v>45184</v>
      </c>
      <c r="C32" s="1" t="n">
        <v>46090</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46090</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28985-2022</t>
        </is>
      </c>
      <c r="B34" s="1" t="n">
        <v>44749</v>
      </c>
      <c r="C34" s="1" t="n">
        <v>46090</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46090</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42055-2025</t>
        </is>
      </c>
      <c r="B36" s="1" t="n">
        <v>45903</v>
      </c>
      <c r="C36" s="1" t="n">
        <v>46090</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27926-2025</t>
        </is>
      </c>
      <c r="B37" s="1" t="n">
        <v>45814</v>
      </c>
      <c r="C37" s="1" t="n">
        <v>46090</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7305-2024</t>
        </is>
      </c>
      <c r="B38" s="1" t="n">
        <v>45344</v>
      </c>
      <c r="C38" s="1" t="n">
        <v>46090</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46090</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41980-2025</t>
        </is>
      </c>
      <c r="B40" s="1" t="n">
        <v>45903</v>
      </c>
      <c r="C40" s="1" t="n">
        <v>46090</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12238-2023</t>
        </is>
      </c>
      <c r="B41" s="1" t="n">
        <v>44995</v>
      </c>
      <c r="C41" s="1" t="n">
        <v>46090</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48199-2025</t>
        </is>
      </c>
      <c r="B42" s="1" t="n">
        <v>45933.47856481482</v>
      </c>
      <c r="C42" s="1" t="n">
        <v>46090</v>
      </c>
      <c r="D42" t="inlineStr">
        <is>
          <t>SÖDERMANLANDS LÄN</t>
        </is>
      </c>
      <c r="E42" t="inlineStr">
        <is>
          <t>KATRINEHOLM</t>
        </is>
      </c>
      <c r="G42" t="n">
        <v>4.4</v>
      </c>
      <c r="H42" t="n">
        <v>1</v>
      </c>
      <c r="I42" t="n">
        <v>0</v>
      </c>
      <c r="J42" t="n">
        <v>0</v>
      </c>
      <c r="K42" t="n">
        <v>0</v>
      </c>
      <c r="L42" t="n">
        <v>0</v>
      </c>
      <c r="M42" t="n">
        <v>0</v>
      </c>
      <c r="N42" t="n">
        <v>0</v>
      </c>
      <c r="O42" t="n">
        <v>0</v>
      </c>
      <c r="P42" t="n">
        <v>0</v>
      </c>
      <c r="Q42" t="n">
        <v>1</v>
      </c>
      <c r="R42" s="2" t="inlineStr">
        <is>
          <t>Gröngöling</t>
        </is>
      </c>
      <c r="S42">
        <f>HYPERLINK("https://klasma.github.io/Logging_0483/artfynd/A 48199-2025 artfynd.xlsx", "A 48199-2025")</f>
        <v/>
      </c>
      <c r="T42">
        <f>HYPERLINK("https://klasma.github.io/Logging_0483/kartor/A 48199-2025 karta.png", "A 48199-2025")</f>
        <v/>
      </c>
      <c r="V42">
        <f>HYPERLINK("https://klasma.github.io/Logging_0483/klagomål/A 48199-2025 FSC-klagomål.docx", "A 48199-2025")</f>
        <v/>
      </c>
      <c r="W42">
        <f>HYPERLINK("https://klasma.github.io/Logging_0483/klagomålsmail/A 48199-2025 FSC-klagomål mail.docx", "A 48199-2025")</f>
        <v/>
      </c>
      <c r="X42">
        <f>HYPERLINK("https://klasma.github.io/Logging_0483/tillsyn/A 48199-2025 tillsynsbegäran.docx", "A 48199-2025")</f>
        <v/>
      </c>
      <c r="Y42">
        <f>HYPERLINK("https://klasma.github.io/Logging_0483/tillsynsmail/A 48199-2025 tillsynsbegäran mail.docx", "A 48199-2025")</f>
        <v/>
      </c>
      <c r="Z42">
        <f>HYPERLINK("https://klasma.github.io/Logging_0483/fåglar/A 48199-2025 prioriterade fågelarter.docx", "A 48199-2025")</f>
        <v/>
      </c>
    </row>
    <row r="43" ht="15" customHeight="1">
      <c r="A43" t="inlineStr">
        <is>
          <t>A 53990-2023</t>
        </is>
      </c>
      <c r="B43" s="1" t="n">
        <v>45231</v>
      </c>
      <c r="C43" s="1" t="n">
        <v>46090</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35163-2025</t>
        </is>
      </c>
      <c r="B44" s="1" t="n">
        <v>45852.71136574074</v>
      </c>
      <c r="C44" s="1" t="n">
        <v>46090</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11890-2023</t>
        </is>
      </c>
      <c r="B45" s="1" t="n">
        <v>44995</v>
      </c>
      <c r="C45" s="1" t="n">
        <v>46090</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33801-2023</t>
        </is>
      </c>
      <c r="B46" s="1" t="n">
        <v>45133</v>
      </c>
      <c r="C46" s="1" t="n">
        <v>46090</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1260-2026</t>
        </is>
      </c>
      <c r="B47" s="1" t="n">
        <v>46031.45652777778</v>
      </c>
      <c r="C47" s="1" t="n">
        <v>46090</v>
      </c>
      <c r="D47" t="inlineStr">
        <is>
          <t>SÖDERMANLANDS LÄN</t>
        </is>
      </c>
      <c r="E47" t="inlineStr">
        <is>
          <t>KATRINEHOLM</t>
        </is>
      </c>
      <c r="G47" t="n">
        <v>9.1</v>
      </c>
      <c r="H47" t="n">
        <v>1</v>
      </c>
      <c r="I47" t="n">
        <v>0</v>
      </c>
      <c r="J47" t="n">
        <v>1</v>
      </c>
      <c r="K47" t="n">
        <v>0</v>
      </c>
      <c r="L47" t="n">
        <v>0</v>
      </c>
      <c r="M47" t="n">
        <v>0</v>
      </c>
      <c r="N47" t="n">
        <v>0</v>
      </c>
      <c r="O47" t="n">
        <v>1</v>
      </c>
      <c r="P47" t="n">
        <v>0</v>
      </c>
      <c r="Q47" t="n">
        <v>1</v>
      </c>
      <c r="R47" s="2" t="inlineStr">
        <is>
          <t>Spillkråka</t>
        </is>
      </c>
      <c r="S47">
        <f>HYPERLINK("https://klasma.github.io/Logging_0483/artfynd/A 1260-2026 artfynd.xlsx", "A 1260-2026")</f>
        <v/>
      </c>
      <c r="T47">
        <f>HYPERLINK("https://klasma.github.io/Logging_0483/kartor/A 1260-2026 karta.png", "A 1260-2026")</f>
        <v/>
      </c>
      <c r="V47">
        <f>HYPERLINK("https://klasma.github.io/Logging_0483/klagomål/A 1260-2026 FSC-klagomål.docx", "A 1260-2026")</f>
        <v/>
      </c>
      <c r="W47">
        <f>HYPERLINK("https://klasma.github.io/Logging_0483/klagomålsmail/A 1260-2026 FSC-klagomål mail.docx", "A 1260-2026")</f>
        <v/>
      </c>
      <c r="X47">
        <f>HYPERLINK("https://klasma.github.io/Logging_0483/tillsyn/A 1260-2026 tillsynsbegäran.docx", "A 1260-2026")</f>
        <v/>
      </c>
      <c r="Y47">
        <f>HYPERLINK("https://klasma.github.io/Logging_0483/tillsynsmail/A 1260-2026 tillsynsbegäran mail.docx", "A 1260-2026")</f>
        <v/>
      </c>
      <c r="Z47">
        <f>HYPERLINK("https://klasma.github.io/Logging_0483/fåglar/A 1260-2026 prioriterade fågelarter.docx", "A 1260-2026")</f>
        <v/>
      </c>
    </row>
    <row r="48" ht="15" customHeight="1">
      <c r="A48" t="inlineStr">
        <is>
          <t>A 55700-2025</t>
        </is>
      </c>
      <c r="B48" s="1" t="n">
        <v>45972.45605324074</v>
      </c>
      <c r="C48" s="1" t="n">
        <v>46090</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44413-2024</t>
        </is>
      </c>
      <c r="B49" s="1" t="n">
        <v>45573.77701388889</v>
      </c>
      <c r="C49" s="1" t="n">
        <v>46090</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57519-2021</t>
        </is>
      </c>
      <c r="B50" s="1" t="n">
        <v>44483</v>
      </c>
      <c r="C50" s="1" t="n">
        <v>46090</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63946-2025</t>
        </is>
      </c>
      <c r="B51" s="1" t="n">
        <v>46010</v>
      </c>
      <c r="C51" s="1" t="n">
        <v>46090</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46090</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44486-2023</t>
        </is>
      </c>
      <c r="B53" s="1" t="n">
        <v>45183</v>
      </c>
      <c r="C53" s="1" t="n">
        <v>46090</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8917-2024</t>
        </is>
      </c>
      <c r="B54" s="1" t="n">
        <v>45357.37618055556</v>
      </c>
      <c r="C54" s="1" t="n">
        <v>46090</v>
      </c>
      <c r="D54" t="inlineStr">
        <is>
          <t>SÖDERMANLANDS LÄN</t>
        </is>
      </c>
      <c r="E54" t="inlineStr">
        <is>
          <t>KATRINEHOLM</t>
        </is>
      </c>
      <c r="G54" t="n">
        <v>3</v>
      </c>
      <c r="H54" t="n">
        <v>1</v>
      </c>
      <c r="I54" t="n">
        <v>0</v>
      </c>
      <c r="J54" t="n">
        <v>0</v>
      </c>
      <c r="K54" t="n">
        <v>0</v>
      </c>
      <c r="L54" t="n">
        <v>0</v>
      </c>
      <c r="M54" t="n">
        <v>0</v>
      </c>
      <c r="N54" t="n">
        <v>0</v>
      </c>
      <c r="O54" t="n">
        <v>0</v>
      </c>
      <c r="P54" t="n">
        <v>0</v>
      </c>
      <c r="Q54" t="n">
        <v>1</v>
      </c>
      <c r="R54" s="2" t="inlineStr">
        <is>
          <t>Gröngöling</t>
        </is>
      </c>
      <c r="S54">
        <f>HYPERLINK("https://klasma.github.io/Logging_0483/artfynd/A 8917-2024 artfynd.xlsx", "A 8917-2024")</f>
        <v/>
      </c>
      <c r="T54">
        <f>HYPERLINK("https://klasma.github.io/Logging_0483/kartor/A 8917-2024 karta.png", "A 8917-2024")</f>
        <v/>
      </c>
      <c r="V54">
        <f>HYPERLINK("https://klasma.github.io/Logging_0483/klagomål/A 8917-2024 FSC-klagomål.docx", "A 8917-2024")</f>
        <v/>
      </c>
      <c r="W54">
        <f>HYPERLINK("https://klasma.github.io/Logging_0483/klagomålsmail/A 8917-2024 FSC-klagomål mail.docx", "A 8917-2024")</f>
        <v/>
      </c>
      <c r="X54">
        <f>HYPERLINK("https://klasma.github.io/Logging_0483/tillsyn/A 8917-2024 tillsynsbegäran.docx", "A 8917-2024")</f>
        <v/>
      </c>
      <c r="Y54">
        <f>HYPERLINK("https://klasma.github.io/Logging_0483/tillsynsmail/A 8917-2024 tillsynsbegäran mail.docx", "A 8917-2024")</f>
        <v/>
      </c>
      <c r="Z54">
        <f>HYPERLINK("https://klasma.github.io/Logging_0483/fåglar/A 8917-2024 prioriterade fågelarter.docx", "A 8917-2024")</f>
        <v/>
      </c>
    </row>
    <row r="55" ht="15" customHeight="1">
      <c r="A55" t="inlineStr">
        <is>
          <t>A 6076-2022</t>
        </is>
      </c>
      <c r="B55" s="1" t="n">
        <v>44599</v>
      </c>
      <c r="C55" s="1" t="n">
        <v>46090</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46090</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46090</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46090</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46090</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46090</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46090</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46090</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46090</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46090</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46090</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46090</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46090</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46090</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46090</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46090</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46090</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46090</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46090</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46090</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46090</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46090</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46090</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46090</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46090</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46090</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46090</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46090</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46090</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46090</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46090</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46090</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46090</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46090</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46090</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46090</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46090</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46090</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46090</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46090</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46090</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46090</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46090</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46090</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46090</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46090</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46090</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46090</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46090</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46090</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46090</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46090</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46090</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46090</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46090</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46090</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46090</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46090</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46090</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11812-2021</t>
        </is>
      </c>
      <c r="B114" s="1" t="n">
        <v>44265</v>
      </c>
      <c r="C114" s="1" t="n">
        <v>46090</v>
      </c>
      <c r="D114" t="inlineStr">
        <is>
          <t>SÖDERMANLANDS LÄN</t>
        </is>
      </c>
      <c r="E114" t="inlineStr">
        <is>
          <t>KATRINEHOLM</t>
        </is>
      </c>
      <c r="G114" t="n">
        <v>3</v>
      </c>
      <c r="H114" t="n">
        <v>0</v>
      </c>
      <c r="I114" t="n">
        <v>0</v>
      </c>
      <c r="J114" t="n">
        <v>0</v>
      </c>
      <c r="K114" t="n">
        <v>0</v>
      </c>
      <c r="L114" t="n">
        <v>0</v>
      </c>
      <c r="M114" t="n">
        <v>0</v>
      </c>
      <c r="N114" t="n">
        <v>0</v>
      </c>
      <c r="O114" t="n">
        <v>0</v>
      </c>
      <c r="P114" t="n">
        <v>0</v>
      </c>
      <c r="Q114" t="n">
        <v>0</v>
      </c>
      <c r="R114" s="2" t="inlineStr"/>
    </row>
    <row r="115" ht="15" customHeight="1">
      <c r="A115" t="inlineStr">
        <is>
          <t>A 17710-2021</t>
        </is>
      </c>
      <c r="B115" s="1" t="n">
        <v>44299</v>
      </c>
      <c r="C115" s="1" t="n">
        <v>46090</v>
      </c>
      <c r="D115" t="inlineStr">
        <is>
          <t>SÖDERMANLANDS LÄN</t>
        </is>
      </c>
      <c r="E115" t="inlineStr">
        <is>
          <t>KATRINEHOLM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46090</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22197-2022</t>
        </is>
      </c>
      <c r="B117" s="1" t="n">
        <v>44712</v>
      </c>
      <c r="C117" s="1" t="n">
        <v>46090</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32632-2022</t>
        </is>
      </c>
      <c r="B118" s="1" t="n">
        <v>44783</v>
      </c>
      <c r="C118" s="1" t="n">
        <v>46090</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32639-2022</t>
        </is>
      </c>
      <c r="B119" s="1" t="n">
        <v>44783</v>
      </c>
      <c r="C119" s="1" t="n">
        <v>46090</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46090</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27298-2021</t>
        </is>
      </c>
      <c r="B121" s="1" t="n">
        <v>44351</v>
      </c>
      <c r="C121" s="1" t="n">
        <v>46090</v>
      </c>
      <c r="D121" t="inlineStr">
        <is>
          <t>SÖDERMANLANDS LÄN</t>
        </is>
      </c>
      <c r="E121" t="inlineStr">
        <is>
          <t>KATRINEHOLM</t>
        </is>
      </c>
      <c r="G121" t="n">
        <v>1.5</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46090</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46090</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11676-2021</t>
        </is>
      </c>
      <c r="B124" s="1" t="n">
        <v>44264</v>
      </c>
      <c r="C124" s="1" t="n">
        <v>46090</v>
      </c>
      <c r="D124" t="inlineStr">
        <is>
          <t>SÖDERMANLANDS LÄN</t>
        </is>
      </c>
      <c r="E124" t="inlineStr">
        <is>
          <t>KATRINEHOLM</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46090</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46090</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60475-2021</t>
        </is>
      </c>
      <c r="B127" s="1" t="n">
        <v>44495</v>
      </c>
      <c r="C127" s="1" t="n">
        <v>46090</v>
      </c>
      <c r="D127" t="inlineStr">
        <is>
          <t>SÖDERMANLANDS LÄN</t>
        </is>
      </c>
      <c r="E127" t="inlineStr">
        <is>
          <t>KATRINEHOLM</t>
        </is>
      </c>
      <c r="G127" t="n">
        <v>6.7</v>
      </c>
      <c r="H127" t="n">
        <v>0</v>
      </c>
      <c r="I127" t="n">
        <v>0</v>
      </c>
      <c r="J127" t="n">
        <v>0</v>
      </c>
      <c r="K127" t="n">
        <v>0</v>
      </c>
      <c r="L127" t="n">
        <v>0</v>
      </c>
      <c r="M127" t="n">
        <v>0</v>
      </c>
      <c r="N127" t="n">
        <v>0</v>
      </c>
      <c r="O127" t="n">
        <v>0</v>
      </c>
      <c r="P127" t="n">
        <v>0</v>
      </c>
      <c r="Q127" t="n">
        <v>0</v>
      </c>
      <c r="R127" s="2" t="inlineStr"/>
    </row>
    <row r="128" ht="15" customHeight="1">
      <c r="A128" t="inlineStr">
        <is>
          <t>A 60501-2021</t>
        </is>
      </c>
      <c r="B128" s="1" t="n">
        <v>44496</v>
      </c>
      <c r="C128" s="1" t="n">
        <v>46090</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73142-2021</t>
        </is>
      </c>
      <c r="B129" s="1" t="n">
        <v>44550</v>
      </c>
      <c r="C129" s="1" t="n">
        <v>46090</v>
      </c>
      <c r="D129" t="inlineStr">
        <is>
          <t>SÖDERMANLANDS LÄN</t>
        </is>
      </c>
      <c r="E129" t="inlineStr">
        <is>
          <t>KATRINEHOLM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46090</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55349-2021</t>
        </is>
      </c>
      <c r="B131" s="1" t="n">
        <v>44475</v>
      </c>
      <c r="C131" s="1" t="n">
        <v>46090</v>
      </c>
      <c r="D131" t="inlineStr">
        <is>
          <t>SÖDERMANLANDS LÄN</t>
        </is>
      </c>
      <c r="E131" t="inlineStr">
        <is>
          <t>KATRINEHOLM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39001-2021</t>
        </is>
      </c>
      <c r="B132" s="1" t="n">
        <v>44412</v>
      </c>
      <c r="C132" s="1" t="n">
        <v>46090</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41863-2021</t>
        </is>
      </c>
      <c r="B133" s="1" t="n">
        <v>44426</v>
      </c>
      <c r="C133" s="1" t="n">
        <v>46090</v>
      </c>
      <c r="D133" t="inlineStr">
        <is>
          <t>SÖDERMANLANDS LÄN</t>
        </is>
      </c>
      <c r="E133" t="inlineStr">
        <is>
          <t>KATRINEHOLM</t>
        </is>
      </c>
      <c r="G133" t="n">
        <v>0.3</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46090</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34794-2021</t>
        </is>
      </c>
      <c r="B135" s="1" t="n">
        <v>44383.23978009259</v>
      </c>
      <c r="C135" s="1" t="n">
        <v>46090</v>
      </c>
      <c r="D135" t="inlineStr">
        <is>
          <t>SÖDERMANLANDS LÄN</t>
        </is>
      </c>
      <c r="E135" t="inlineStr">
        <is>
          <t>KATRINEHOLM</t>
        </is>
      </c>
      <c r="G135" t="n">
        <v>4.1</v>
      </c>
      <c r="H135" t="n">
        <v>0</v>
      </c>
      <c r="I135" t="n">
        <v>0</v>
      </c>
      <c r="J135" t="n">
        <v>0</v>
      </c>
      <c r="K135" t="n">
        <v>0</v>
      </c>
      <c r="L135" t="n">
        <v>0</v>
      </c>
      <c r="M135" t="n">
        <v>0</v>
      </c>
      <c r="N135" t="n">
        <v>0</v>
      </c>
      <c r="O135" t="n">
        <v>0</v>
      </c>
      <c r="P135" t="n">
        <v>0</v>
      </c>
      <c r="Q135" t="n">
        <v>0</v>
      </c>
      <c r="R135" s="2" t="inlineStr"/>
    </row>
    <row r="136" ht="15" customHeight="1">
      <c r="A136" t="inlineStr">
        <is>
          <t>A 39527-2021</t>
        </is>
      </c>
      <c r="B136" s="1" t="n">
        <v>44415</v>
      </c>
      <c r="C136" s="1" t="n">
        <v>46090</v>
      </c>
      <c r="D136" t="inlineStr">
        <is>
          <t>SÖDERMANLANDS LÄN</t>
        </is>
      </c>
      <c r="E136" t="inlineStr">
        <is>
          <t>KATRINEHOLM</t>
        </is>
      </c>
      <c r="G136" t="n">
        <v>0.9</v>
      </c>
      <c r="H136" t="n">
        <v>0</v>
      </c>
      <c r="I136" t="n">
        <v>0</v>
      </c>
      <c r="J136" t="n">
        <v>0</v>
      </c>
      <c r="K136" t="n">
        <v>0</v>
      </c>
      <c r="L136" t="n">
        <v>0</v>
      </c>
      <c r="M136" t="n">
        <v>0</v>
      </c>
      <c r="N136" t="n">
        <v>0</v>
      </c>
      <c r="O136" t="n">
        <v>0</v>
      </c>
      <c r="P136" t="n">
        <v>0</v>
      </c>
      <c r="Q136" t="n">
        <v>0</v>
      </c>
      <c r="R136" s="2" t="inlineStr"/>
    </row>
    <row r="137" ht="15" customHeight="1">
      <c r="A137" t="inlineStr">
        <is>
          <t>A 912-2022</t>
        </is>
      </c>
      <c r="B137" s="1" t="n">
        <v>44571</v>
      </c>
      <c r="C137" s="1" t="n">
        <v>46090</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39546-2021</t>
        </is>
      </c>
      <c r="B138" s="1" t="n">
        <v>44416.40457175926</v>
      </c>
      <c r="C138" s="1" t="n">
        <v>46090</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46090</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6533-2022</t>
        </is>
      </c>
      <c r="B140" s="1" t="n">
        <v>44601</v>
      </c>
      <c r="C140" s="1" t="n">
        <v>46090</v>
      </c>
      <c r="D140" t="inlineStr">
        <is>
          <t>SÖDERMANLANDS LÄN</t>
        </is>
      </c>
      <c r="E140" t="inlineStr">
        <is>
          <t>KATRINEHOLM</t>
        </is>
      </c>
      <c r="G140" t="n">
        <v>0.4</v>
      </c>
      <c r="H140" t="n">
        <v>0</v>
      </c>
      <c r="I140" t="n">
        <v>0</v>
      </c>
      <c r="J140" t="n">
        <v>0</v>
      </c>
      <c r="K140" t="n">
        <v>0</v>
      </c>
      <c r="L140" t="n">
        <v>0</v>
      </c>
      <c r="M140" t="n">
        <v>0</v>
      </c>
      <c r="N140" t="n">
        <v>0</v>
      </c>
      <c r="O140" t="n">
        <v>0</v>
      </c>
      <c r="P140" t="n">
        <v>0</v>
      </c>
      <c r="Q140" t="n">
        <v>0</v>
      </c>
      <c r="R140" s="2" t="inlineStr"/>
    </row>
    <row r="141" ht="15" customHeight="1">
      <c r="A141" t="inlineStr">
        <is>
          <t>A 49677-2021</t>
        </is>
      </c>
      <c r="B141" s="1" t="n">
        <v>44455</v>
      </c>
      <c r="C141" s="1" t="n">
        <v>46090</v>
      </c>
      <c r="D141" t="inlineStr">
        <is>
          <t>SÖDERMANLANDS LÄN</t>
        </is>
      </c>
      <c r="E141" t="inlineStr">
        <is>
          <t>KATRINEHOLM</t>
        </is>
      </c>
      <c r="G141" t="n">
        <v>2.1</v>
      </c>
      <c r="H141" t="n">
        <v>0</v>
      </c>
      <c r="I141" t="n">
        <v>0</v>
      </c>
      <c r="J141" t="n">
        <v>0</v>
      </c>
      <c r="K141" t="n">
        <v>0</v>
      </c>
      <c r="L141" t="n">
        <v>0</v>
      </c>
      <c r="M141" t="n">
        <v>0</v>
      </c>
      <c r="N141" t="n">
        <v>0</v>
      </c>
      <c r="O141" t="n">
        <v>0</v>
      </c>
      <c r="P141" t="n">
        <v>0</v>
      </c>
      <c r="Q141" t="n">
        <v>0</v>
      </c>
      <c r="R141" s="2" t="inlineStr"/>
    </row>
    <row r="142" ht="15" customHeight="1">
      <c r="A142" t="inlineStr">
        <is>
          <t>A 49735-2021</t>
        </is>
      </c>
      <c r="B142" s="1" t="n">
        <v>44455</v>
      </c>
      <c r="C142" s="1" t="n">
        <v>46090</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46090</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7550-2022</t>
        </is>
      </c>
      <c r="B144" s="1" t="n">
        <v>44607</v>
      </c>
      <c r="C144" s="1" t="n">
        <v>46090</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46090</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25893-2022</t>
        </is>
      </c>
      <c r="B146" s="1" t="n">
        <v>44733.77543981482</v>
      </c>
      <c r="C146" s="1" t="n">
        <v>46090</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24199-2022</t>
        </is>
      </c>
      <c r="B147" s="1" t="n">
        <v>44725</v>
      </c>
      <c r="C147" s="1" t="n">
        <v>46090</v>
      </c>
      <c r="D147" t="inlineStr">
        <is>
          <t>SÖDERMANLANDS LÄN</t>
        </is>
      </c>
      <c r="E147" t="inlineStr">
        <is>
          <t>KATRINEHOLM</t>
        </is>
      </c>
      <c r="G147" t="n">
        <v>1.8</v>
      </c>
      <c r="H147" t="n">
        <v>0</v>
      </c>
      <c r="I147" t="n">
        <v>0</v>
      </c>
      <c r="J147" t="n">
        <v>0</v>
      </c>
      <c r="K147" t="n">
        <v>0</v>
      </c>
      <c r="L147" t="n">
        <v>0</v>
      </c>
      <c r="M147" t="n">
        <v>0</v>
      </c>
      <c r="N147" t="n">
        <v>0</v>
      </c>
      <c r="O147" t="n">
        <v>0</v>
      </c>
      <c r="P147" t="n">
        <v>0</v>
      </c>
      <c r="Q147" t="n">
        <v>0</v>
      </c>
      <c r="R147" s="2" t="inlineStr"/>
    </row>
    <row r="148" ht="15" customHeight="1">
      <c r="A148" t="inlineStr">
        <is>
          <t>A 38835-2021</t>
        </is>
      </c>
      <c r="B148" s="1" t="n">
        <v>44411</v>
      </c>
      <c r="C148" s="1" t="n">
        <v>46090</v>
      </c>
      <c r="D148" t="inlineStr">
        <is>
          <t>SÖDERMANLANDS LÄN</t>
        </is>
      </c>
      <c r="E148" t="inlineStr">
        <is>
          <t>KATRINEHOLM</t>
        </is>
      </c>
      <c r="G148" t="n">
        <v>10.2</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46090</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69429-2021</t>
        </is>
      </c>
      <c r="B150" s="1" t="n">
        <v>44531</v>
      </c>
      <c r="C150" s="1" t="n">
        <v>46090</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34625-2022</t>
        </is>
      </c>
      <c r="B151" s="1" t="n">
        <v>44795.44392361111</v>
      </c>
      <c r="C151" s="1" t="n">
        <v>46090</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41642-2022</t>
        </is>
      </c>
      <c r="B152" s="1" t="n">
        <v>44827</v>
      </c>
      <c r="C152" s="1" t="n">
        <v>46090</v>
      </c>
      <c r="D152" t="inlineStr">
        <is>
          <t>SÖDERMANLANDS LÄN</t>
        </is>
      </c>
      <c r="E152" t="inlineStr">
        <is>
          <t>KATRINEHOLM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52044-2021</t>
        </is>
      </c>
      <c r="B153" s="1" t="n">
        <v>44463</v>
      </c>
      <c r="C153" s="1" t="n">
        <v>46090</v>
      </c>
      <c r="D153" t="inlineStr">
        <is>
          <t>SÖDERMANLANDS LÄN</t>
        </is>
      </c>
      <c r="E153" t="inlineStr">
        <is>
          <t>KATRINEHOLM</t>
        </is>
      </c>
      <c r="G153" t="n">
        <v>1.1</v>
      </c>
      <c r="H153" t="n">
        <v>0</v>
      </c>
      <c r="I153" t="n">
        <v>0</v>
      </c>
      <c r="J153" t="n">
        <v>0</v>
      </c>
      <c r="K153" t="n">
        <v>0</v>
      </c>
      <c r="L153" t="n">
        <v>0</v>
      </c>
      <c r="M153" t="n">
        <v>0</v>
      </c>
      <c r="N153" t="n">
        <v>0</v>
      </c>
      <c r="O153" t="n">
        <v>0</v>
      </c>
      <c r="P153" t="n">
        <v>0</v>
      </c>
      <c r="Q153" t="n">
        <v>0</v>
      </c>
      <c r="R153" s="2" t="inlineStr"/>
    </row>
    <row r="154" ht="15" customHeight="1">
      <c r="A154" t="inlineStr">
        <is>
          <t>A 36964-2021</t>
        </is>
      </c>
      <c r="B154" s="1" t="n">
        <v>44393</v>
      </c>
      <c r="C154" s="1" t="n">
        <v>46090</v>
      </c>
      <c r="D154" t="inlineStr">
        <is>
          <t>SÖDERMANLANDS LÄN</t>
        </is>
      </c>
      <c r="E154" t="inlineStr">
        <is>
          <t>KATRINEHOLM</t>
        </is>
      </c>
      <c r="G154" t="n">
        <v>3.5</v>
      </c>
      <c r="H154" t="n">
        <v>0</v>
      </c>
      <c r="I154" t="n">
        <v>0</v>
      </c>
      <c r="J154" t="n">
        <v>0</v>
      </c>
      <c r="K154" t="n">
        <v>0</v>
      </c>
      <c r="L154" t="n">
        <v>0</v>
      </c>
      <c r="M154" t="n">
        <v>0</v>
      </c>
      <c r="N154" t="n">
        <v>0</v>
      </c>
      <c r="O154" t="n">
        <v>0</v>
      </c>
      <c r="P154" t="n">
        <v>0</v>
      </c>
      <c r="Q154" t="n">
        <v>0</v>
      </c>
      <c r="R154" s="2" t="inlineStr"/>
    </row>
    <row r="155" ht="15" customHeight="1">
      <c r="A155" t="inlineStr">
        <is>
          <t>A 30981-2022</t>
        </is>
      </c>
      <c r="B155" s="1" t="n">
        <v>44768</v>
      </c>
      <c r="C155" s="1" t="n">
        <v>46090</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53822-2023</t>
        </is>
      </c>
      <c r="B156" s="1" t="n">
        <v>45231.40846064815</v>
      </c>
      <c r="C156" s="1" t="n">
        <v>46090</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6789-2022</t>
        </is>
      </c>
      <c r="B157" s="1" t="n">
        <v>44602</v>
      </c>
      <c r="C157" s="1" t="n">
        <v>46090</v>
      </c>
      <c r="D157" t="inlineStr">
        <is>
          <t>SÖDERMANLANDS LÄN</t>
        </is>
      </c>
      <c r="E157" t="inlineStr">
        <is>
          <t>KATRINEHOLM</t>
        </is>
      </c>
      <c r="G157" t="n">
        <v>4.6</v>
      </c>
      <c r="H157" t="n">
        <v>0</v>
      </c>
      <c r="I157" t="n">
        <v>0</v>
      </c>
      <c r="J157" t="n">
        <v>0</v>
      </c>
      <c r="K157" t="n">
        <v>0</v>
      </c>
      <c r="L157" t="n">
        <v>0</v>
      </c>
      <c r="M157" t="n">
        <v>0</v>
      </c>
      <c r="N157" t="n">
        <v>0</v>
      </c>
      <c r="O157" t="n">
        <v>0</v>
      </c>
      <c r="P157" t="n">
        <v>0</v>
      </c>
      <c r="Q157" t="n">
        <v>0</v>
      </c>
      <c r="R157" s="2" t="inlineStr"/>
    </row>
    <row r="158" ht="15" customHeight="1">
      <c r="A158" t="inlineStr">
        <is>
          <t>A 21576-2022</t>
        </is>
      </c>
      <c r="B158" s="1" t="n">
        <v>44706</v>
      </c>
      <c r="C158" s="1" t="n">
        <v>46090</v>
      </c>
      <c r="D158" t="inlineStr">
        <is>
          <t>SÖDERMANLANDS LÄN</t>
        </is>
      </c>
      <c r="E158" t="inlineStr">
        <is>
          <t>KATRINEHOLM</t>
        </is>
      </c>
      <c r="G158" t="n">
        <v>4.2</v>
      </c>
      <c r="H158" t="n">
        <v>0</v>
      </c>
      <c r="I158" t="n">
        <v>0</v>
      </c>
      <c r="J158" t="n">
        <v>0</v>
      </c>
      <c r="K158" t="n">
        <v>0</v>
      </c>
      <c r="L158" t="n">
        <v>0</v>
      </c>
      <c r="M158" t="n">
        <v>0</v>
      </c>
      <c r="N158" t="n">
        <v>0</v>
      </c>
      <c r="O158" t="n">
        <v>0</v>
      </c>
      <c r="P158" t="n">
        <v>0</v>
      </c>
      <c r="Q158" t="n">
        <v>0</v>
      </c>
      <c r="R158" s="2" t="inlineStr"/>
    </row>
    <row r="159" ht="15" customHeight="1">
      <c r="A159" t="inlineStr">
        <is>
          <t>A 43967-2022</t>
        </is>
      </c>
      <c r="B159" s="1" t="n">
        <v>44837</v>
      </c>
      <c r="C159" s="1" t="n">
        <v>46090</v>
      </c>
      <c r="D159" t="inlineStr">
        <is>
          <t>SÖDERMANLANDS LÄN</t>
        </is>
      </c>
      <c r="E159" t="inlineStr">
        <is>
          <t>KATRINEHOLM</t>
        </is>
      </c>
      <c r="G159" t="n">
        <v>6.2</v>
      </c>
      <c r="H159" t="n">
        <v>0</v>
      </c>
      <c r="I159" t="n">
        <v>0</v>
      </c>
      <c r="J159" t="n">
        <v>0</v>
      </c>
      <c r="K159" t="n">
        <v>0</v>
      </c>
      <c r="L159" t="n">
        <v>0</v>
      </c>
      <c r="M159" t="n">
        <v>0</v>
      </c>
      <c r="N159" t="n">
        <v>0</v>
      </c>
      <c r="O159" t="n">
        <v>0</v>
      </c>
      <c r="P159" t="n">
        <v>0</v>
      </c>
      <c r="Q159" t="n">
        <v>0</v>
      </c>
      <c r="R159" s="2" t="inlineStr"/>
    </row>
    <row r="160" ht="15" customHeight="1">
      <c r="A160" t="inlineStr">
        <is>
          <t>A 44012-2022</t>
        </is>
      </c>
      <c r="B160" s="1" t="n">
        <v>44838</v>
      </c>
      <c r="C160" s="1" t="n">
        <v>46090</v>
      </c>
      <c r="D160" t="inlineStr">
        <is>
          <t>SÖDERMANLANDS LÄN</t>
        </is>
      </c>
      <c r="E160" t="inlineStr">
        <is>
          <t>KATRINEHOLM</t>
        </is>
      </c>
      <c r="G160" t="n">
        <v>0.4</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46090</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35088-2022</t>
        </is>
      </c>
      <c r="B162" s="1" t="n">
        <v>44797</v>
      </c>
      <c r="C162" s="1" t="n">
        <v>46090</v>
      </c>
      <c r="D162" t="inlineStr">
        <is>
          <t>SÖDERMANLANDS LÄN</t>
        </is>
      </c>
      <c r="E162" t="inlineStr">
        <is>
          <t>KATRINEHOLM</t>
        </is>
      </c>
      <c r="G162" t="n">
        <v>2.8</v>
      </c>
      <c r="H162" t="n">
        <v>0</v>
      </c>
      <c r="I162" t="n">
        <v>0</v>
      </c>
      <c r="J162" t="n">
        <v>0</v>
      </c>
      <c r="K162" t="n">
        <v>0</v>
      </c>
      <c r="L162" t="n">
        <v>0</v>
      </c>
      <c r="M162" t="n">
        <v>0</v>
      </c>
      <c r="N162" t="n">
        <v>0</v>
      </c>
      <c r="O162" t="n">
        <v>0</v>
      </c>
      <c r="P162" t="n">
        <v>0</v>
      </c>
      <c r="Q162" t="n">
        <v>0</v>
      </c>
      <c r="R162" s="2" t="inlineStr"/>
    </row>
    <row r="163" ht="15" customHeight="1">
      <c r="A163" t="inlineStr">
        <is>
          <t>A 24099-2022</t>
        </is>
      </c>
      <c r="B163" s="1" t="n">
        <v>44725</v>
      </c>
      <c r="C163" s="1" t="n">
        <v>46090</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31684-2021</t>
        </is>
      </c>
      <c r="B164" s="1" t="n">
        <v>44369</v>
      </c>
      <c r="C164" s="1" t="n">
        <v>46090</v>
      </c>
      <c r="D164" t="inlineStr">
        <is>
          <t>SÖDERMANLANDS LÄN</t>
        </is>
      </c>
      <c r="E164" t="inlineStr">
        <is>
          <t>KATRINEHOLM</t>
        </is>
      </c>
      <c r="G164" t="n">
        <v>3.4</v>
      </c>
      <c r="H164" t="n">
        <v>0</v>
      </c>
      <c r="I164" t="n">
        <v>0</v>
      </c>
      <c r="J164" t="n">
        <v>0</v>
      </c>
      <c r="K164" t="n">
        <v>0</v>
      </c>
      <c r="L164" t="n">
        <v>0</v>
      </c>
      <c r="M164" t="n">
        <v>0</v>
      </c>
      <c r="N164" t="n">
        <v>0</v>
      </c>
      <c r="O164" t="n">
        <v>0</v>
      </c>
      <c r="P164" t="n">
        <v>0</v>
      </c>
      <c r="Q164" t="n">
        <v>0</v>
      </c>
      <c r="R164" s="2" t="inlineStr"/>
    </row>
    <row r="165" ht="15" customHeight="1">
      <c r="A165" t="inlineStr">
        <is>
          <t>A 2877-2022</t>
        </is>
      </c>
      <c r="B165" s="1" t="n">
        <v>44581</v>
      </c>
      <c r="C165" s="1" t="n">
        <v>46090</v>
      </c>
      <c r="D165" t="inlineStr">
        <is>
          <t>SÖDERMANLANDS LÄN</t>
        </is>
      </c>
      <c r="E165" t="inlineStr">
        <is>
          <t>KATRINEHOLM</t>
        </is>
      </c>
      <c r="G165" t="n">
        <v>10.3</v>
      </c>
      <c r="H165" t="n">
        <v>0</v>
      </c>
      <c r="I165" t="n">
        <v>0</v>
      </c>
      <c r="J165" t="n">
        <v>0</v>
      </c>
      <c r="K165" t="n">
        <v>0</v>
      </c>
      <c r="L165" t="n">
        <v>0</v>
      </c>
      <c r="M165" t="n">
        <v>0</v>
      </c>
      <c r="N165" t="n">
        <v>0</v>
      </c>
      <c r="O165" t="n">
        <v>0</v>
      </c>
      <c r="P165" t="n">
        <v>0</v>
      </c>
      <c r="Q165" t="n">
        <v>0</v>
      </c>
      <c r="R165" s="2" t="inlineStr"/>
    </row>
    <row r="166" ht="15" customHeight="1">
      <c r="A166" t="inlineStr">
        <is>
          <t>A 60596-2021</t>
        </is>
      </c>
      <c r="B166" s="1" t="n">
        <v>44496.58033564815</v>
      </c>
      <c r="C166" s="1" t="n">
        <v>46090</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46090</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46090</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38607-2021</t>
        </is>
      </c>
      <c r="B169" s="1" t="n">
        <v>44409.41428240741</v>
      </c>
      <c r="C169" s="1" t="n">
        <v>46090</v>
      </c>
      <c r="D169" t="inlineStr">
        <is>
          <t>SÖDERMANLANDS LÄN</t>
        </is>
      </c>
      <c r="E169" t="inlineStr">
        <is>
          <t>KATRINEHOLM</t>
        </is>
      </c>
      <c r="G169" t="n">
        <v>2.9</v>
      </c>
      <c r="H169" t="n">
        <v>0</v>
      </c>
      <c r="I169" t="n">
        <v>0</v>
      </c>
      <c r="J169" t="n">
        <v>0</v>
      </c>
      <c r="K169" t="n">
        <v>0</v>
      </c>
      <c r="L169" t="n">
        <v>0</v>
      </c>
      <c r="M169" t="n">
        <v>0</v>
      </c>
      <c r="N169" t="n">
        <v>0</v>
      </c>
      <c r="O169" t="n">
        <v>0</v>
      </c>
      <c r="P169" t="n">
        <v>0</v>
      </c>
      <c r="Q169" t="n">
        <v>0</v>
      </c>
      <c r="R169" s="2" t="inlineStr"/>
    </row>
    <row r="170" ht="15" customHeight="1">
      <c r="A170" t="inlineStr">
        <is>
          <t>A 38606-2021</t>
        </is>
      </c>
      <c r="B170" s="1" t="n">
        <v>44409.40363425926</v>
      </c>
      <c r="C170" s="1" t="n">
        <v>46090</v>
      </c>
      <c r="D170" t="inlineStr">
        <is>
          <t>SÖDERMANLANDS LÄN</t>
        </is>
      </c>
      <c r="E170" t="inlineStr">
        <is>
          <t>KATRINEHOLM</t>
        </is>
      </c>
      <c r="G170" t="n">
        <v>2.2</v>
      </c>
      <c r="H170" t="n">
        <v>0</v>
      </c>
      <c r="I170" t="n">
        <v>0</v>
      </c>
      <c r="J170" t="n">
        <v>0</v>
      </c>
      <c r="K170" t="n">
        <v>0</v>
      </c>
      <c r="L170" t="n">
        <v>0</v>
      </c>
      <c r="M170" t="n">
        <v>0</v>
      </c>
      <c r="N170" t="n">
        <v>0</v>
      </c>
      <c r="O170" t="n">
        <v>0</v>
      </c>
      <c r="P170" t="n">
        <v>0</v>
      </c>
      <c r="Q170" t="n">
        <v>0</v>
      </c>
      <c r="R170" s="2" t="inlineStr"/>
    </row>
    <row r="171" ht="15" customHeight="1">
      <c r="A171" t="inlineStr">
        <is>
          <t>A 7189-2022</t>
        </is>
      </c>
      <c r="B171" s="1" t="n">
        <v>44605</v>
      </c>
      <c r="C171" s="1" t="n">
        <v>46090</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54698-2021</t>
        </is>
      </c>
      <c r="B172" s="1" t="n">
        <v>44473</v>
      </c>
      <c r="C172" s="1" t="n">
        <v>46090</v>
      </c>
      <c r="D172" t="inlineStr">
        <is>
          <t>SÖDERMANLANDS LÄN</t>
        </is>
      </c>
      <c r="E172" t="inlineStr">
        <is>
          <t>KATRINEHOLM</t>
        </is>
      </c>
      <c r="F172" t="inlineStr">
        <is>
          <t>Holmen skog AB</t>
        </is>
      </c>
      <c r="G172" t="n">
        <v>1.7</v>
      </c>
      <c r="H172" t="n">
        <v>0</v>
      </c>
      <c r="I172" t="n">
        <v>0</v>
      </c>
      <c r="J172" t="n">
        <v>0</v>
      </c>
      <c r="K172" t="n">
        <v>0</v>
      </c>
      <c r="L172" t="n">
        <v>0</v>
      </c>
      <c r="M172" t="n">
        <v>0</v>
      </c>
      <c r="N172" t="n">
        <v>0</v>
      </c>
      <c r="O172" t="n">
        <v>0</v>
      </c>
      <c r="P172" t="n">
        <v>0</v>
      </c>
      <c r="Q172" t="n">
        <v>0</v>
      </c>
      <c r="R172" s="2" t="inlineStr"/>
    </row>
    <row r="173" ht="15" customHeight="1">
      <c r="A173" t="inlineStr">
        <is>
          <t>A 12658-2022</t>
        </is>
      </c>
      <c r="B173" s="1" t="n">
        <v>44641</v>
      </c>
      <c r="C173" s="1" t="n">
        <v>46090</v>
      </c>
      <c r="D173" t="inlineStr">
        <is>
          <t>SÖDERMANLANDS LÄN</t>
        </is>
      </c>
      <c r="E173" t="inlineStr">
        <is>
          <t>KATRINEHOLM</t>
        </is>
      </c>
      <c r="G173" t="n">
        <v>1.4</v>
      </c>
      <c r="H173" t="n">
        <v>0</v>
      </c>
      <c r="I173" t="n">
        <v>0</v>
      </c>
      <c r="J173" t="n">
        <v>0</v>
      </c>
      <c r="K173" t="n">
        <v>0</v>
      </c>
      <c r="L173" t="n">
        <v>0</v>
      </c>
      <c r="M173" t="n">
        <v>0</v>
      </c>
      <c r="N173" t="n">
        <v>0</v>
      </c>
      <c r="O173" t="n">
        <v>0</v>
      </c>
      <c r="P173" t="n">
        <v>0</v>
      </c>
      <c r="Q173" t="n">
        <v>0</v>
      </c>
      <c r="R173" s="2" t="inlineStr"/>
    </row>
    <row r="174" ht="15" customHeight="1">
      <c r="A174" t="inlineStr">
        <is>
          <t>A 46412-2022</t>
        </is>
      </c>
      <c r="B174" s="1" t="n">
        <v>44848.42216435185</v>
      </c>
      <c r="C174" s="1" t="n">
        <v>46090</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56572-2021</t>
        </is>
      </c>
      <c r="B175" s="1" t="n">
        <v>44480</v>
      </c>
      <c r="C175" s="1" t="n">
        <v>46090</v>
      </c>
      <c r="D175" t="inlineStr">
        <is>
          <t>SÖDERMANLANDS LÄN</t>
        </is>
      </c>
      <c r="E175" t="inlineStr">
        <is>
          <t>KATRINEHOLM</t>
        </is>
      </c>
      <c r="F175" t="inlineStr">
        <is>
          <t>Holmen skog AB</t>
        </is>
      </c>
      <c r="G175" t="n">
        <v>0.5</v>
      </c>
      <c r="H175" t="n">
        <v>0</v>
      </c>
      <c r="I175" t="n">
        <v>0</v>
      </c>
      <c r="J175" t="n">
        <v>0</v>
      </c>
      <c r="K175" t="n">
        <v>0</v>
      </c>
      <c r="L175" t="n">
        <v>0</v>
      </c>
      <c r="M175" t="n">
        <v>0</v>
      </c>
      <c r="N175" t="n">
        <v>0</v>
      </c>
      <c r="O175" t="n">
        <v>0</v>
      </c>
      <c r="P175" t="n">
        <v>0</v>
      </c>
      <c r="Q175" t="n">
        <v>0</v>
      </c>
      <c r="R175" s="2" t="inlineStr"/>
    </row>
    <row r="176" ht="15" customHeight="1">
      <c r="A176" t="inlineStr">
        <is>
          <t>A 9419-2022</t>
        </is>
      </c>
      <c r="B176" s="1" t="n">
        <v>44616</v>
      </c>
      <c r="C176" s="1" t="n">
        <v>46090</v>
      </c>
      <c r="D176" t="inlineStr">
        <is>
          <t>SÖDERMANLANDS LÄN</t>
        </is>
      </c>
      <c r="E176" t="inlineStr">
        <is>
          <t>KATRINEHOLM</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51885-2022</t>
        </is>
      </c>
      <c r="B177" s="1" t="n">
        <v>44872.60384259259</v>
      </c>
      <c r="C177" s="1" t="n">
        <v>46090</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42735-2022</t>
        </is>
      </c>
      <c r="B178" s="1" t="n">
        <v>44832</v>
      </c>
      <c r="C178" s="1" t="n">
        <v>46090</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66801-2021</t>
        </is>
      </c>
      <c r="B179" s="1" t="n">
        <v>44522</v>
      </c>
      <c r="C179" s="1" t="n">
        <v>46090</v>
      </c>
      <c r="D179" t="inlineStr">
        <is>
          <t>SÖDERMANLANDS LÄN</t>
        </is>
      </c>
      <c r="E179" t="inlineStr">
        <is>
          <t>KATRINEHOLM</t>
        </is>
      </c>
      <c r="F179" t="inlineStr">
        <is>
          <t>Holmen skog AB</t>
        </is>
      </c>
      <c r="G179" t="n">
        <v>0.2</v>
      </c>
      <c r="H179" t="n">
        <v>0</v>
      </c>
      <c r="I179" t="n">
        <v>0</v>
      </c>
      <c r="J179" t="n">
        <v>0</v>
      </c>
      <c r="K179" t="n">
        <v>0</v>
      </c>
      <c r="L179" t="n">
        <v>0</v>
      </c>
      <c r="M179" t="n">
        <v>0</v>
      </c>
      <c r="N179" t="n">
        <v>0</v>
      </c>
      <c r="O179" t="n">
        <v>0</v>
      </c>
      <c r="P179" t="n">
        <v>0</v>
      </c>
      <c r="Q179" t="n">
        <v>0</v>
      </c>
      <c r="R179" s="2" t="inlineStr"/>
    </row>
    <row r="180" ht="15" customHeight="1">
      <c r="A180" t="inlineStr">
        <is>
          <t>A 45038-2022</t>
        </is>
      </c>
      <c r="B180" s="1" t="n">
        <v>44840</v>
      </c>
      <c r="C180" s="1" t="n">
        <v>46090</v>
      </c>
      <c r="D180" t="inlineStr">
        <is>
          <t>SÖDERMANLANDS LÄN</t>
        </is>
      </c>
      <c r="E180" t="inlineStr">
        <is>
          <t>KATRINEHOLM</t>
        </is>
      </c>
      <c r="G180" t="n">
        <v>3.6</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46090</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46090</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24098-2022</t>
        </is>
      </c>
      <c r="B183" s="1" t="n">
        <v>44725</v>
      </c>
      <c r="C183" s="1" t="n">
        <v>46090</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12068-2021</t>
        </is>
      </c>
      <c r="B184" s="1" t="n">
        <v>44266</v>
      </c>
      <c r="C184" s="1" t="n">
        <v>46090</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46090</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46090</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12760-2021</t>
        </is>
      </c>
      <c r="B187" s="1" t="n">
        <v>44270</v>
      </c>
      <c r="C187" s="1" t="n">
        <v>46090</v>
      </c>
      <c r="D187" t="inlineStr">
        <is>
          <t>SÖDERMANLANDS LÄN</t>
        </is>
      </c>
      <c r="E187" t="inlineStr">
        <is>
          <t>KATRINEHOLM</t>
        </is>
      </c>
      <c r="F187" t="inlineStr">
        <is>
          <t>Kyrkan</t>
        </is>
      </c>
      <c r="G187" t="n">
        <v>1.2</v>
      </c>
      <c r="H187" t="n">
        <v>0</v>
      </c>
      <c r="I187" t="n">
        <v>0</v>
      </c>
      <c r="J187" t="n">
        <v>0</v>
      </c>
      <c r="K187" t="n">
        <v>0</v>
      </c>
      <c r="L187" t="n">
        <v>0</v>
      </c>
      <c r="M187" t="n">
        <v>0</v>
      </c>
      <c r="N187" t="n">
        <v>0</v>
      </c>
      <c r="O187" t="n">
        <v>0</v>
      </c>
      <c r="P187" t="n">
        <v>0</v>
      </c>
      <c r="Q187" t="n">
        <v>0</v>
      </c>
      <c r="R187" s="2" t="inlineStr"/>
    </row>
    <row r="188" ht="15" customHeight="1">
      <c r="A188" t="inlineStr">
        <is>
          <t>A 71129-2021</t>
        </is>
      </c>
      <c r="B188" s="1" t="n">
        <v>44539</v>
      </c>
      <c r="C188" s="1" t="n">
        <v>46090</v>
      </c>
      <c r="D188" t="inlineStr">
        <is>
          <t>SÖDERMANLANDS LÄN</t>
        </is>
      </c>
      <c r="E188" t="inlineStr">
        <is>
          <t>KATRINEHOLM</t>
        </is>
      </c>
      <c r="F188" t="inlineStr">
        <is>
          <t>Holmen skog AB</t>
        </is>
      </c>
      <c r="G188" t="n">
        <v>1.3</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46090</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45147-2021</t>
        </is>
      </c>
      <c r="B190" s="1" t="n">
        <v>44439</v>
      </c>
      <c r="C190" s="1" t="n">
        <v>46090</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40749-2022</t>
        </is>
      </c>
      <c r="B191" s="1" t="n">
        <v>44824</v>
      </c>
      <c r="C191" s="1" t="n">
        <v>46090</v>
      </c>
      <c r="D191" t="inlineStr">
        <is>
          <t>SÖDERMANLANDS LÄN</t>
        </is>
      </c>
      <c r="E191" t="inlineStr">
        <is>
          <t>KATRINEHOLM</t>
        </is>
      </c>
      <c r="G191" t="n">
        <v>0.2</v>
      </c>
      <c r="H191" t="n">
        <v>0</v>
      </c>
      <c r="I191" t="n">
        <v>0</v>
      </c>
      <c r="J191" t="n">
        <v>0</v>
      </c>
      <c r="K191" t="n">
        <v>0</v>
      </c>
      <c r="L191" t="n">
        <v>0</v>
      </c>
      <c r="M191" t="n">
        <v>0</v>
      </c>
      <c r="N191" t="n">
        <v>0</v>
      </c>
      <c r="O191" t="n">
        <v>0</v>
      </c>
      <c r="P191" t="n">
        <v>0</v>
      </c>
      <c r="Q191" t="n">
        <v>0</v>
      </c>
      <c r="R191" s="2" t="inlineStr"/>
    </row>
    <row r="192" ht="15" customHeight="1">
      <c r="A192" t="inlineStr">
        <is>
          <t>A 39120-2023</t>
        </is>
      </c>
      <c r="B192" s="1" t="n">
        <v>45165</v>
      </c>
      <c r="C192" s="1" t="n">
        <v>46090</v>
      </c>
      <c r="D192" t="inlineStr">
        <is>
          <t>SÖDERMANLANDS LÄN</t>
        </is>
      </c>
      <c r="E192" t="inlineStr">
        <is>
          <t>KATRINEHOLM</t>
        </is>
      </c>
      <c r="G192" t="n">
        <v>4.4</v>
      </c>
      <c r="H192" t="n">
        <v>0</v>
      </c>
      <c r="I192" t="n">
        <v>0</v>
      </c>
      <c r="J192" t="n">
        <v>0</v>
      </c>
      <c r="K192" t="n">
        <v>0</v>
      </c>
      <c r="L192" t="n">
        <v>0</v>
      </c>
      <c r="M192" t="n">
        <v>0</v>
      </c>
      <c r="N192" t="n">
        <v>0</v>
      </c>
      <c r="O192" t="n">
        <v>0</v>
      </c>
      <c r="P192" t="n">
        <v>0</v>
      </c>
      <c r="Q192" t="n">
        <v>0</v>
      </c>
      <c r="R192" s="2" t="inlineStr"/>
    </row>
    <row r="193" ht="15" customHeight="1">
      <c r="A193" t="inlineStr">
        <is>
          <t>A 40393-2022</t>
        </is>
      </c>
      <c r="B193" s="1" t="n">
        <v>44823</v>
      </c>
      <c r="C193" s="1" t="n">
        <v>46090</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24287-2024</t>
        </is>
      </c>
      <c r="B194" s="1" t="n">
        <v>45457</v>
      </c>
      <c r="C194" s="1" t="n">
        <v>46090</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50061-2022</t>
        </is>
      </c>
      <c r="B195" s="1" t="n">
        <v>44865</v>
      </c>
      <c r="C195" s="1" t="n">
        <v>46090</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33934-2022</t>
        </is>
      </c>
      <c r="B196" s="1" t="n">
        <v>44790</v>
      </c>
      <c r="C196" s="1" t="n">
        <v>46090</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74354-2021</t>
        </is>
      </c>
      <c r="B197" s="1" t="n">
        <v>44559.57041666667</v>
      </c>
      <c r="C197" s="1" t="n">
        <v>46090</v>
      </c>
      <c r="D197" t="inlineStr">
        <is>
          <t>SÖDERMANLANDS LÄN</t>
        </is>
      </c>
      <c r="E197" t="inlineStr">
        <is>
          <t>KATRINEHOLM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10732-2022</t>
        </is>
      </c>
      <c r="B198" s="1" t="n">
        <v>44627.34033564815</v>
      </c>
      <c r="C198" s="1" t="n">
        <v>46090</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9699-2024</t>
        </is>
      </c>
      <c r="B199" s="1" t="n">
        <v>45362</v>
      </c>
      <c r="C199" s="1" t="n">
        <v>46090</v>
      </c>
      <c r="D199" t="inlineStr">
        <is>
          <t>SÖDERMANLANDS LÄN</t>
        </is>
      </c>
      <c r="E199" t="inlineStr">
        <is>
          <t>KATRINEHOLM</t>
        </is>
      </c>
      <c r="G199" t="n">
        <v>7.7</v>
      </c>
      <c r="H199" t="n">
        <v>0</v>
      </c>
      <c r="I199" t="n">
        <v>0</v>
      </c>
      <c r="J199" t="n">
        <v>0</v>
      </c>
      <c r="K199" t="n">
        <v>0</v>
      </c>
      <c r="L199" t="n">
        <v>0</v>
      </c>
      <c r="M199" t="n">
        <v>0</v>
      </c>
      <c r="N199" t="n">
        <v>0</v>
      </c>
      <c r="O199" t="n">
        <v>0</v>
      </c>
      <c r="P199" t="n">
        <v>0</v>
      </c>
      <c r="Q199" t="n">
        <v>0</v>
      </c>
      <c r="R199" s="2" t="inlineStr"/>
    </row>
    <row r="200" ht="15" customHeight="1">
      <c r="A200" t="inlineStr">
        <is>
          <t>A 33001-2024</t>
        </is>
      </c>
      <c r="B200" s="1" t="n">
        <v>45517</v>
      </c>
      <c r="C200" s="1" t="n">
        <v>46090</v>
      </c>
      <c r="D200" t="inlineStr">
        <is>
          <t>SÖDERMANLANDS LÄN</t>
        </is>
      </c>
      <c r="E200" t="inlineStr">
        <is>
          <t>KATRINEHOLM</t>
        </is>
      </c>
      <c r="G200" t="n">
        <v>1.5</v>
      </c>
      <c r="H200" t="n">
        <v>0</v>
      </c>
      <c r="I200" t="n">
        <v>0</v>
      </c>
      <c r="J200" t="n">
        <v>0</v>
      </c>
      <c r="K200" t="n">
        <v>0</v>
      </c>
      <c r="L200" t="n">
        <v>0</v>
      </c>
      <c r="M200" t="n">
        <v>0</v>
      </c>
      <c r="N200" t="n">
        <v>0</v>
      </c>
      <c r="O200" t="n">
        <v>0</v>
      </c>
      <c r="P200" t="n">
        <v>0</v>
      </c>
      <c r="Q200" t="n">
        <v>0</v>
      </c>
      <c r="R200" s="2" t="inlineStr"/>
    </row>
    <row r="201" ht="15" customHeight="1">
      <c r="A201" t="inlineStr">
        <is>
          <t>A 48259-2022</t>
        </is>
      </c>
      <c r="B201" s="1" t="n">
        <v>44858</v>
      </c>
      <c r="C201" s="1" t="n">
        <v>46090</v>
      </c>
      <c r="D201" t="inlineStr">
        <is>
          <t>SÖDERMANLANDS LÄN</t>
        </is>
      </c>
      <c r="E201" t="inlineStr">
        <is>
          <t>KATRINEHOLM</t>
        </is>
      </c>
      <c r="G201" t="n">
        <v>3.5</v>
      </c>
      <c r="H201" t="n">
        <v>0</v>
      </c>
      <c r="I201" t="n">
        <v>0</v>
      </c>
      <c r="J201" t="n">
        <v>0</v>
      </c>
      <c r="K201" t="n">
        <v>0</v>
      </c>
      <c r="L201" t="n">
        <v>0</v>
      </c>
      <c r="M201" t="n">
        <v>0</v>
      </c>
      <c r="N201" t="n">
        <v>0</v>
      </c>
      <c r="O201" t="n">
        <v>0</v>
      </c>
      <c r="P201" t="n">
        <v>0</v>
      </c>
      <c r="Q201" t="n">
        <v>0</v>
      </c>
      <c r="R201" s="2" t="inlineStr"/>
    </row>
    <row r="202" ht="15" customHeight="1">
      <c r="A202" t="inlineStr">
        <is>
          <t>A 55034-2021</t>
        </is>
      </c>
      <c r="B202" s="1" t="n">
        <v>44474</v>
      </c>
      <c r="C202" s="1" t="n">
        <v>46090</v>
      </c>
      <c r="D202" t="inlineStr">
        <is>
          <t>SÖDERMANLANDS LÄN</t>
        </is>
      </c>
      <c r="E202" t="inlineStr">
        <is>
          <t>KATRINEHOLM</t>
        </is>
      </c>
      <c r="G202" t="n">
        <v>5</v>
      </c>
      <c r="H202" t="n">
        <v>0</v>
      </c>
      <c r="I202" t="n">
        <v>0</v>
      </c>
      <c r="J202" t="n">
        <v>0</v>
      </c>
      <c r="K202" t="n">
        <v>0</v>
      </c>
      <c r="L202" t="n">
        <v>0</v>
      </c>
      <c r="M202" t="n">
        <v>0</v>
      </c>
      <c r="N202" t="n">
        <v>0</v>
      </c>
      <c r="O202" t="n">
        <v>0</v>
      </c>
      <c r="P202" t="n">
        <v>0</v>
      </c>
      <c r="Q202" t="n">
        <v>0</v>
      </c>
      <c r="R202" s="2" t="inlineStr"/>
    </row>
    <row r="203" ht="15" customHeight="1">
      <c r="A203" t="inlineStr">
        <is>
          <t>A 6807-2023</t>
        </is>
      </c>
      <c r="B203" s="1" t="n">
        <v>44964</v>
      </c>
      <c r="C203" s="1" t="n">
        <v>46090</v>
      </c>
      <c r="D203" t="inlineStr">
        <is>
          <t>SÖDERMANLANDS LÄN</t>
        </is>
      </c>
      <c r="E203" t="inlineStr">
        <is>
          <t>KATRINEHOLM</t>
        </is>
      </c>
      <c r="G203" t="n">
        <v>1.2</v>
      </c>
      <c r="H203" t="n">
        <v>0</v>
      </c>
      <c r="I203" t="n">
        <v>0</v>
      </c>
      <c r="J203" t="n">
        <v>0</v>
      </c>
      <c r="K203" t="n">
        <v>0</v>
      </c>
      <c r="L203" t="n">
        <v>0</v>
      </c>
      <c r="M203" t="n">
        <v>0</v>
      </c>
      <c r="N203" t="n">
        <v>0</v>
      </c>
      <c r="O203" t="n">
        <v>0</v>
      </c>
      <c r="P203" t="n">
        <v>0</v>
      </c>
      <c r="Q203" t="n">
        <v>0</v>
      </c>
      <c r="R203" s="2" t="inlineStr"/>
    </row>
    <row r="204" ht="15" customHeight="1">
      <c r="A204" t="inlineStr">
        <is>
          <t>A 29397-2024</t>
        </is>
      </c>
      <c r="B204" s="1" t="n">
        <v>45483</v>
      </c>
      <c r="C204" s="1" t="n">
        <v>46090</v>
      </c>
      <c r="D204" t="inlineStr">
        <is>
          <t>SÖDERMANLANDS LÄN</t>
        </is>
      </c>
      <c r="E204" t="inlineStr">
        <is>
          <t>KATRINEHOLM</t>
        </is>
      </c>
      <c r="G204" t="n">
        <v>3.4</v>
      </c>
      <c r="H204" t="n">
        <v>0</v>
      </c>
      <c r="I204" t="n">
        <v>0</v>
      </c>
      <c r="J204" t="n">
        <v>0</v>
      </c>
      <c r="K204" t="n">
        <v>0</v>
      </c>
      <c r="L204" t="n">
        <v>0</v>
      </c>
      <c r="M204" t="n">
        <v>0</v>
      </c>
      <c r="N204" t="n">
        <v>0</v>
      </c>
      <c r="O204" t="n">
        <v>0</v>
      </c>
      <c r="P204" t="n">
        <v>0</v>
      </c>
      <c r="Q204" t="n">
        <v>0</v>
      </c>
      <c r="R204" s="2" t="inlineStr"/>
    </row>
    <row r="205" ht="15" customHeight="1">
      <c r="A205" t="inlineStr">
        <is>
          <t>A 6091-2025</t>
        </is>
      </c>
      <c r="B205" s="1" t="n">
        <v>45697</v>
      </c>
      <c r="C205" s="1" t="n">
        <v>46090</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6093-2025</t>
        </is>
      </c>
      <c r="B206" s="1" t="n">
        <v>45697</v>
      </c>
      <c r="C206" s="1" t="n">
        <v>46090</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24179-2024</t>
        </is>
      </c>
      <c r="B207" s="1" t="n">
        <v>45456.83059027778</v>
      </c>
      <c r="C207" s="1" t="n">
        <v>46090</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46090</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30276-2023</t>
        </is>
      </c>
      <c r="B209" s="1" t="n">
        <v>45110</v>
      </c>
      <c r="C209" s="1" t="n">
        <v>46090</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46090</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30333-2023</t>
        </is>
      </c>
      <c r="B211" s="1" t="n">
        <v>45111</v>
      </c>
      <c r="C211" s="1" t="n">
        <v>46090</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6628-2022</t>
        </is>
      </c>
      <c r="B212" s="1" t="n">
        <v>44601.78850694445</v>
      </c>
      <c r="C212" s="1" t="n">
        <v>46090</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42791-2023</t>
        </is>
      </c>
      <c r="B213" s="1" t="n">
        <v>45181.92876157408</v>
      </c>
      <c r="C213" s="1" t="n">
        <v>46090</v>
      </c>
      <c r="D213" t="inlineStr">
        <is>
          <t>SÖDERMANLANDS LÄN</t>
        </is>
      </c>
      <c r="E213" t="inlineStr">
        <is>
          <t>KATRINEHOLM</t>
        </is>
      </c>
      <c r="G213" t="n">
        <v>4.1</v>
      </c>
      <c r="H213" t="n">
        <v>0</v>
      </c>
      <c r="I213" t="n">
        <v>0</v>
      </c>
      <c r="J213" t="n">
        <v>0</v>
      </c>
      <c r="K213" t="n">
        <v>0</v>
      </c>
      <c r="L213" t="n">
        <v>0</v>
      </c>
      <c r="M213" t="n">
        <v>0</v>
      </c>
      <c r="N213" t="n">
        <v>0</v>
      </c>
      <c r="O213" t="n">
        <v>0</v>
      </c>
      <c r="P213" t="n">
        <v>0</v>
      </c>
      <c r="Q213" t="n">
        <v>0</v>
      </c>
      <c r="R213" s="2" t="inlineStr"/>
    </row>
    <row r="214" ht="15" customHeight="1">
      <c r="A214" t="inlineStr">
        <is>
          <t>A 42792-2023</t>
        </is>
      </c>
      <c r="B214" s="1" t="n">
        <v>45181.95491898148</v>
      </c>
      <c r="C214" s="1" t="n">
        <v>46090</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32786-2022</t>
        </is>
      </c>
      <c r="B215" s="1" t="n">
        <v>44784</v>
      </c>
      <c r="C215" s="1" t="n">
        <v>46090</v>
      </c>
      <c r="D215" t="inlineStr">
        <is>
          <t>SÖDERMANLANDS LÄN</t>
        </is>
      </c>
      <c r="E215" t="inlineStr">
        <is>
          <t>KATRINEHOLM</t>
        </is>
      </c>
      <c r="G215" t="n">
        <v>7</v>
      </c>
      <c r="H215" t="n">
        <v>0</v>
      </c>
      <c r="I215" t="n">
        <v>0</v>
      </c>
      <c r="J215" t="n">
        <v>0</v>
      </c>
      <c r="K215" t="n">
        <v>0</v>
      </c>
      <c r="L215" t="n">
        <v>0</v>
      </c>
      <c r="M215" t="n">
        <v>0</v>
      </c>
      <c r="N215" t="n">
        <v>0</v>
      </c>
      <c r="O215" t="n">
        <v>0</v>
      </c>
      <c r="P215" t="n">
        <v>0</v>
      </c>
      <c r="Q215" t="n">
        <v>0</v>
      </c>
      <c r="R215" s="2" t="inlineStr"/>
    </row>
    <row r="216" ht="15" customHeight="1">
      <c r="A216" t="inlineStr">
        <is>
          <t>A 32890-2024</t>
        </is>
      </c>
      <c r="B216" s="1" t="n">
        <v>45516</v>
      </c>
      <c r="C216" s="1" t="n">
        <v>46090</v>
      </c>
      <c r="D216" t="inlineStr">
        <is>
          <t>SÖDERMANLANDS LÄN</t>
        </is>
      </c>
      <c r="E216" t="inlineStr">
        <is>
          <t>KATRINEHOLM</t>
        </is>
      </c>
      <c r="G216" t="n">
        <v>2.6</v>
      </c>
      <c r="H216" t="n">
        <v>0</v>
      </c>
      <c r="I216" t="n">
        <v>0</v>
      </c>
      <c r="J216" t="n">
        <v>0</v>
      </c>
      <c r="K216" t="n">
        <v>0</v>
      </c>
      <c r="L216" t="n">
        <v>0</v>
      </c>
      <c r="M216" t="n">
        <v>0</v>
      </c>
      <c r="N216" t="n">
        <v>0</v>
      </c>
      <c r="O216" t="n">
        <v>0</v>
      </c>
      <c r="P216" t="n">
        <v>0</v>
      </c>
      <c r="Q216" t="n">
        <v>0</v>
      </c>
      <c r="R216" s="2" t="inlineStr"/>
    </row>
    <row r="217" ht="15" customHeight="1">
      <c r="A217" t="inlineStr">
        <is>
          <t>A 42025-2022</t>
        </is>
      </c>
      <c r="B217" s="1" t="n">
        <v>44830.47399305556</v>
      </c>
      <c r="C217" s="1" t="n">
        <v>46090</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39704-2023</t>
        </is>
      </c>
      <c r="B218" s="1" t="n">
        <v>45167</v>
      </c>
      <c r="C218" s="1" t="n">
        <v>46090</v>
      </c>
      <c r="D218" t="inlineStr">
        <is>
          <t>SÖDERMANLANDS LÄN</t>
        </is>
      </c>
      <c r="E218" t="inlineStr">
        <is>
          <t>KATRINEHOLM</t>
        </is>
      </c>
      <c r="F218" t="inlineStr">
        <is>
          <t>Övriga Aktiebolag</t>
        </is>
      </c>
      <c r="G218" t="n">
        <v>3.4</v>
      </c>
      <c r="H218" t="n">
        <v>0</v>
      </c>
      <c r="I218" t="n">
        <v>0</v>
      </c>
      <c r="J218" t="n">
        <v>0</v>
      </c>
      <c r="K218" t="n">
        <v>0</v>
      </c>
      <c r="L218" t="n">
        <v>0</v>
      </c>
      <c r="M218" t="n">
        <v>0</v>
      </c>
      <c r="N218" t="n">
        <v>0</v>
      </c>
      <c r="O218" t="n">
        <v>0</v>
      </c>
      <c r="P218" t="n">
        <v>0</v>
      </c>
      <c r="Q218" t="n">
        <v>0</v>
      </c>
      <c r="R218" s="2" t="inlineStr"/>
    </row>
    <row r="219" ht="15" customHeight="1">
      <c r="A219" t="inlineStr">
        <is>
          <t>A 24748-2024</t>
        </is>
      </c>
      <c r="B219" s="1" t="n">
        <v>45460.66567129629</v>
      </c>
      <c r="C219" s="1" t="n">
        <v>46090</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15235-2023</t>
        </is>
      </c>
      <c r="B220" s="1" t="n">
        <v>45019</v>
      </c>
      <c r="C220" s="1" t="n">
        <v>46090</v>
      </c>
      <c r="D220" t="inlineStr">
        <is>
          <t>SÖDERMANLANDS LÄN</t>
        </is>
      </c>
      <c r="E220" t="inlineStr">
        <is>
          <t>KATRINEHOLM</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45793-2022</t>
        </is>
      </c>
      <c r="B221" s="1" t="n">
        <v>44844</v>
      </c>
      <c r="C221" s="1" t="n">
        <v>46090</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15184-2023</t>
        </is>
      </c>
      <c r="B222" s="1" t="n">
        <v>45016</v>
      </c>
      <c r="C222" s="1" t="n">
        <v>46090</v>
      </c>
      <c r="D222" t="inlineStr">
        <is>
          <t>SÖDERMANLANDS LÄN</t>
        </is>
      </c>
      <c r="E222" t="inlineStr">
        <is>
          <t>KATRINEHOLM</t>
        </is>
      </c>
      <c r="G222" t="n">
        <v>1.1</v>
      </c>
      <c r="H222" t="n">
        <v>0</v>
      </c>
      <c r="I222" t="n">
        <v>0</v>
      </c>
      <c r="J222" t="n">
        <v>0</v>
      </c>
      <c r="K222" t="n">
        <v>0</v>
      </c>
      <c r="L222" t="n">
        <v>0</v>
      </c>
      <c r="M222" t="n">
        <v>0</v>
      </c>
      <c r="N222" t="n">
        <v>0</v>
      </c>
      <c r="O222" t="n">
        <v>0</v>
      </c>
      <c r="P222" t="n">
        <v>0</v>
      </c>
      <c r="Q222" t="n">
        <v>0</v>
      </c>
      <c r="R222" s="2" t="inlineStr"/>
    </row>
    <row r="223" ht="15" customHeight="1">
      <c r="A223" t="inlineStr">
        <is>
          <t>A 44915-2022</t>
        </is>
      </c>
      <c r="B223" s="1" t="n">
        <v>44840</v>
      </c>
      <c r="C223" s="1" t="n">
        <v>46090</v>
      </c>
      <c r="D223" t="inlineStr">
        <is>
          <t>SÖDERMANLANDS LÄN</t>
        </is>
      </c>
      <c r="E223" t="inlineStr">
        <is>
          <t>KATRINEHOLM</t>
        </is>
      </c>
      <c r="G223" t="n">
        <v>6.3</v>
      </c>
      <c r="H223" t="n">
        <v>0</v>
      </c>
      <c r="I223" t="n">
        <v>0</v>
      </c>
      <c r="J223" t="n">
        <v>0</v>
      </c>
      <c r="K223" t="n">
        <v>0</v>
      </c>
      <c r="L223" t="n">
        <v>0</v>
      </c>
      <c r="M223" t="n">
        <v>0</v>
      </c>
      <c r="N223" t="n">
        <v>0</v>
      </c>
      <c r="O223" t="n">
        <v>0</v>
      </c>
      <c r="P223" t="n">
        <v>0</v>
      </c>
      <c r="Q223" t="n">
        <v>0</v>
      </c>
      <c r="R223" s="2" t="inlineStr"/>
    </row>
    <row r="224" ht="15" customHeight="1">
      <c r="A224" t="inlineStr">
        <is>
          <t>A 45438-2021</t>
        </is>
      </c>
      <c r="B224" s="1" t="n">
        <v>44440</v>
      </c>
      <c r="C224" s="1" t="n">
        <v>46090</v>
      </c>
      <c r="D224" t="inlineStr">
        <is>
          <t>SÖDERMANLANDS LÄN</t>
        </is>
      </c>
      <c r="E224" t="inlineStr">
        <is>
          <t>KATRINEHOLM</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18386-2025</t>
        </is>
      </c>
      <c r="B225" s="1" t="n">
        <v>45762</v>
      </c>
      <c r="C225" s="1" t="n">
        <v>46090</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4387-2024</t>
        </is>
      </c>
      <c r="B226" s="1" t="n">
        <v>45327.35068287037</v>
      </c>
      <c r="C226" s="1" t="n">
        <v>46090</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7398-2024</t>
        </is>
      </c>
      <c r="B227" s="1" t="n">
        <v>45345</v>
      </c>
      <c r="C227" s="1" t="n">
        <v>46090</v>
      </c>
      <c r="D227" t="inlineStr">
        <is>
          <t>SÖDERMANLANDS LÄN</t>
        </is>
      </c>
      <c r="E227" t="inlineStr">
        <is>
          <t>KATRINEHOLM</t>
        </is>
      </c>
      <c r="G227" t="n">
        <v>4.4</v>
      </c>
      <c r="H227" t="n">
        <v>0</v>
      </c>
      <c r="I227" t="n">
        <v>0</v>
      </c>
      <c r="J227" t="n">
        <v>0</v>
      </c>
      <c r="K227" t="n">
        <v>0</v>
      </c>
      <c r="L227" t="n">
        <v>0</v>
      </c>
      <c r="M227" t="n">
        <v>0</v>
      </c>
      <c r="N227" t="n">
        <v>0</v>
      </c>
      <c r="O227" t="n">
        <v>0</v>
      </c>
      <c r="P227" t="n">
        <v>0</v>
      </c>
      <c r="Q227" t="n">
        <v>0</v>
      </c>
      <c r="R227" s="2" t="inlineStr"/>
    </row>
    <row r="228" ht="15" customHeight="1">
      <c r="A228" t="inlineStr">
        <is>
          <t>A 14313-2024</t>
        </is>
      </c>
      <c r="B228" s="1" t="n">
        <v>45393</v>
      </c>
      <c r="C228" s="1" t="n">
        <v>46090</v>
      </c>
      <c r="D228" t="inlineStr">
        <is>
          <t>SÖDERMANLANDS LÄN</t>
        </is>
      </c>
      <c r="E228" t="inlineStr">
        <is>
          <t>KATRINEHOLM</t>
        </is>
      </c>
      <c r="G228" t="n">
        <v>3.1</v>
      </c>
      <c r="H228" t="n">
        <v>0</v>
      </c>
      <c r="I228" t="n">
        <v>0</v>
      </c>
      <c r="J228" t="n">
        <v>0</v>
      </c>
      <c r="K228" t="n">
        <v>0</v>
      </c>
      <c r="L228" t="n">
        <v>0</v>
      </c>
      <c r="M228" t="n">
        <v>0</v>
      </c>
      <c r="N228" t="n">
        <v>0</v>
      </c>
      <c r="O228" t="n">
        <v>0</v>
      </c>
      <c r="P228" t="n">
        <v>0</v>
      </c>
      <c r="Q228" t="n">
        <v>0</v>
      </c>
      <c r="R228" s="2" t="inlineStr"/>
    </row>
    <row r="229" ht="15" customHeight="1">
      <c r="A229" t="inlineStr">
        <is>
          <t>A 12938-2023</t>
        </is>
      </c>
      <c r="B229" s="1" t="n">
        <v>45001</v>
      </c>
      <c r="C229" s="1" t="n">
        <v>46090</v>
      </c>
      <c r="D229" t="inlineStr">
        <is>
          <t>SÖDERMANLANDS LÄN</t>
        </is>
      </c>
      <c r="E229" t="inlineStr">
        <is>
          <t>KATRINEHOLM</t>
        </is>
      </c>
      <c r="G229" t="n">
        <v>0.4</v>
      </c>
      <c r="H229" t="n">
        <v>0</v>
      </c>
      <c r="I229" t="n">
        <v>0</v>
      </c>
      <c r="J229" t="n">
        <v>0</v>
      </c>
      <c r="K229" t="n">
        <v>0</v>
      </c>
      <c r="L229" t="n">
        <v>0</v>
      </c>
      <c r="M229" t="n">
        <v>0</v>
      </c>
      <c r="N229" t="n">
        <v>0</v>
      </c>
      <c r="O229" t="n">
        <v>0</v>
      </c>
      <c r="P229" t="n">
        <v>0</v>
      </c>
      <c r="Q229" t="n">
        <v>0</v>
      </c>
      <c r="R229" s="2" t="inlineStr"/>
    </row>
    <row r="230" ht="15" customHeight="1">
      <c r="A230" t="inlineStr">
        <is>
          <t>A 8955-2024</t>
        </is>
      </c>
      <c r="B230" s="1" t="n">
        <v>45357.44873842593</v>
      </c>
      <c r="C230" s="1" t="n">
        <v>46090</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36001-2024</t>
        </is>
      </c>
      <c r="B231" s="1" t="n">
        <v>45533.54609953704</v>
      </c>
      <c r="C231" s="1" t="n">
        <v>46090</v>
      </c>
      <c r="D231" t="inlineStr">
        <is>
          <t>SÖDERMANLANDS LÄN</t>
        </is>
      </c>
      <c r="E231" t="inlineStr">
        <is>
          <t>KATRINEHOLM</t>
        </is>
      </c>
      <c r="G231" t="n">
        <v>1</v>
      </c>
      <c r="H231" t="n">
        <v>0</v>
      </c>
      <c r="I231" t="n">
        <v>0</v>
      </c>
      <c r="J231" t="n">
        <v>0</v>
      </c>
      <c r="K231" t="n">
        <v>0</v>
      </c>
      <c r="L231" t="n">
        <v>0</v>
      </c>
      <c r="M231" t="n">
        <v>0</v>
      </c>
      <c r="N231" t="n">
        <v>0</v>
      </c>
      <c r="O231" t="n">
        <v>0</v>
      </c>
      <c r="P231" t="n">
        <v>0</v>
      </c>
      <c r="Q231" t="n">
        <v>0</v>
      </c>
      <c r="R231" s="2" t="inlineStr"/>
    </row>
    <row r="232" ht="15" customHeight="1">
      <c r="A232" t="inlineStr">
        <is>
          <t>A 36-2023</t>
        </is>
      </c>
      <c r="B232" s="1" t="n">
        <v>44928.36578703704</v>
      </c>
      <c r="C232" s="1" t="n">
        <v>46090</v>
      </c>
      <c r="D232" t="inlineStr">
        <is>
          <t>SÖDERMANLANDS LÄN</t>
        </is>
      </c>
      <c r="E232" t="inlineStr">
        <is>
          <t>KATRINEHOLM</t>
        </is>
      </c>
      <c r="G232" t="n">
        <v>3.7</v>
      </c>
      <c r="H232" t="n">
        <v>0</v>
      </c>
      <c r="I232" t="n">
        <v>0</v>
      </c>
      <c r="J232" t="n">
        <v>0</v>
      </c>
      <c r="K232" t="n">
        <v>0</v>
      </c>
      <c r="L232" t="n">
        <v>0</v>
      </c>
      <c r="M232" t="n">
        <v>0</v>
      </c>
      <c r="N232" t="n">
        <v>0</v>
      </c>
      <c r="O232" t="n">
        <v>0</v>
      </c>
      <c r="P232" t="n">
        <v>0</v>
      </c>
      <c r="Q232" t="n">
        <v>0</v>
      </c>
      <c r="R232" s="2" t="inlineStr"/>
    </row>
    <row r="233" ht="15" customHeight="1">
      <c r="A233" t="inlineStr">
        <is>
          <t>A 24902-2024</t>
        </is>
      </c>
      <c r="B233" s="1" t="n">
        <v>45461</v>
      </c>
      <c r="C233" s="1" t="n">
        <v>46090</v>
      </c>
      <c r="D233" t="inlineStr">
        <is>
          <t>SÖDERMANLANDS LÄN</t>
        </is>
      </c>
      <c r="E233" t="inlineStr">
        <is>
          <t>KATRINEHOLM</t>
        </is>
      </c>
      <c r="G233" t="n">
        <v>3.5</v>
      </c>
      <c r="H233" t="n">
        <v>0</v>
      </c>
      <c r="I233" t="n">
        <v>0</v>
      </c>
      <c r="J233" t="n">
        <v>0</v>
      </c>
      <c r="K233" t="n">
        <v>0</v>
      </c>
      <c r="L233" t="n">
        <v>0</v>
      </c>
      <c r="M233" t="n">
        <v>0</v>
      </c>
      <c r="N233" t="n">
        <v>0</v>
      </c>
      <c r="O233" t="n">
        <v>0</v>
      </c>
      <c r="P233" t="n">
        <v>0</v>
      </c>
      <c r="Q233" t="n">
        <v>0</v>
      </c>
      <c r="R233" s="2" t="inlineStr"/>
    </row>
    <row r="234" ht="15" customHeight="1">
      <c r="A234" t="inlineStr">
        <is>
          <t>A 46569-2022</t>
        </is>
      </c>
      <c r="B234" s="1" t="n">
        <v>44847</v>
      </c>
      <c r="C234" s="1" t="n">
        <v>46090</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19098-2022</t>
        </is>
      </c>
      <c r="B235" s="1" t="n">
        <v>44691.52616898148</v>
      </c>
      <c r="C235" s="1" t="n">
        <v>46090</v>
      </c>
      <c r="D235" t="inlineStr">
        <is>
          <t>SÖDERMANLANDS LÄN</t>
        </is>
      </c>
      <c r="E235" t="inlineStr">
        <is>
          <t>KATRINEHOLM</t>
        </is>
      </c>
      <c r="G235" t="n">
        <v>5.5</v>
      </c>
      <c r="H235" t="n">
        <v>0</v>
      </c>
      <c r="I235" t="n">
        <v>0</v>
      </c>
      <c r="J235" t="n">
        <v>0</v>
      </c>
      <c r="K235" t="n">
        <v>0</v>
      </c>
      <c r="L235" t="n">
        <v>0</v>
      </c>
      <c r="M235" t="n">
        <v>0</v>
      </c>
      <c r="N235" t="n">
        <v>0</v>
      </c>
      <c r="O235" t="n">
        <v>0</v>
      </c>
      <c r="P235" t="n">
        <v>0</v>
      </c>
      <c r="Q235" t="n">
        <v>0</v>
      </c>
      <c r="R235" s="2" t="inlineStr"/>
    </row>
    <row r="236" ht="15" customHeight="1">
      <c r="A236" t="inlineStr">
        <is>
          <t>A 51530-2023</t>
        </is>
      </c>
      <c r="B236" s="1" t="n">
        <v>45222</v>
      </c>
      <c r="C236" s="1" t="n">
        <v>46090</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7513-2026</t>
        </is>
      </c>
      <c r="B237" s="1" t="n">
        <v>46059.59083333334</v>
      </c>
      <c r="C237" s="1" t="n">
        <v>46090</v>
      </c>
      <c r="D237" t="inlineStr">
        <is>
          <t>SÖDERMANLANDS LÄN</t>
        </is>
      </c>
      <c r="E237" t="inlineStr">
        <is>
          <t>KATRINEHOLM</t>
        </is>
      </c>
      <c r="F237" t="inlineStr">
        <is>
          <t>Övriga Aktiebolag</t>
        </is>
      </c>
      <c r="G237" t="n">
        <v>5</v>
      </c>
      <c r="H237" t="n">
        <v>0</v>
      </c>
      <c r="I237" t="n">
        <v>0</v>
      </c>
      <c r="J237" t="n">
        <v>0</v>
      </c>
      <c r="K237" t="n">
        <v>0</v>
      </c>
      <c r="L237" t="n">
        <v>0</v>
      </c>
      <c r="M237" t="n">
        <v>0</v>
      </c>
      <c r="N237" t="n">
        <v>0</v>
      </c>
      <c r="O237" t="n">
        <v>0</v>
      </c>
      <c r="P237" t="n">
        <v>0</v>
      </c>
      <c r="Q237" t="n">
        <v>0</v>
      </c>
      <c r="R237" s="2" t="inlineStr"/>
    </row>
    <row r="238" ht="15" customHeight="1">
      <c r="A238" t="inlineStr">
        <is>
          <t>A 3315-2023</t>
        </is>
      </c>
      <c r="B238" s="1" t="n">
        <v>44945</v>
      </c>
      <c r="C238" s="1" t="n">
        <v>46090</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46090</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2603-2025</t>
        </is>
      </c>
      <c r="B240" s="1" t="n">
        <v>45674</v>
      </c>
      <c r="C240" s="1" t="n">
        <v>46090</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61423-2024</t>
        </is>
      </c>
      <c r="B241" s="1" t="n">
        <v>45646.45209490741</v>
      </c>
      <c r="C241" s="1" t="n">
        <v>46090</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20826-2022</t>
        </is>
      </c>
      <c r="B242" s="1" t="n">
        <v>44701.44754629629</v>
      </c>
      <c r="C242" s="1" t="n">
        <v>46090</v>
      </c>
      <c r="D242" t="inlineStr">
        <is>
          <t>SÖDERMANLANDS LÄN</t>
        </is>
      </c>
      <c r="E242" t="inlineStr">
        <is>
          <t>KATRINEHOLM</t>
        </is>
      </c>
      <c r="G242" t="n">
        <v>6.8</v>
      </c>
      <c r="H242" t="n">
        <v>0</v>
      </c>
      <c r="I242" t="n">
        <v>0</v>
      </c>
      <c r="J242" t="n">
        <v>0</v>
      </c>
      <c r="K242" t="n">
        <v>0</v>
      </c>
      <c r="L242" t="n">
        <v>0</v>
      </c>
      <c r="M242" t="n">
        <v>0</v>
      </c>
      <c r="N242" t="n">
        <v>0</v>
      </c>
      <c r="O242" t="n">
        <v>0</v>
      </c>
      <c r="P242" t="n">
        <v>0</v>
      </c>
      <c r="Q242" t="n">
        <v>0</v>
      </c>
      <c r="R242" s="2" t="inlineStr"/>
    </row>
    <row r="243" ht="15" customHeight="1">
      <c r="A243" t="inlineStr">
        <is>
          <t>A 20846-2022</t>
        </is>
      </c>
      <c r="B243" s="1" t="n">
        <v>44701.4744212963</v>
      </c>
      <c r="C243" s="1" t="n">
        <v>46090</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24605-2025</t>
        </is>
      </c>
      <c r="B244" s="1" t="n">
        <v>45798.57403935185</v>
      </c>
      <c r="C244" s="1" t="n">
        <v>46090</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38708-2025</t>
        </is>
      </c>
      <c r="B245" s="1" t="n">
        <v>45885</v>
      </c>
      <c r="C245" s="1" t="n">
        <v>46090</v>
      </c>
      <c r="D245" t="inlineStr">
        <is>
          <t>SÖDERMANLANDS LÄN</t>
        </is>
      </c>
      <c r="E245" t="inlineStr">
        <is>
          <t>KATRINEHOLM</t>
        </is>
      </c>
      <c r="G245" t="n">
        <v>1.9</v>
      </c>
      <c r="H245" t="n">
        <v>0</v>
      </c>
      <c r="I245" t="n">
        <v>0</v>
      </c>
      <c r="J245" t="n">
        <v>0</v>
      </c>
      <c r="K245" t="n">
        <v>0</v>
      </c>
      <c r="L245" t="n">
        <v>0</v>
      </c>
      <c r="M245" t="n">
        <v>0</v>
      </c>
      <c r="N245" t="n">
        <v>0</v>
      </c>
      <c r="O245" t="n">
        <v>0</v>
      </c>
      <c r="P245" t="n">
        <v>0</v>
      </c>
      <c r="Q245" t="n">
        <v>0</v>
      </c>
      <c r="R245" s="2" t="inlineStr"/>
    </row>
    <row r="246" ht="15" customHeight="1">
      <c r="A246" t="inlineStr">
        <is>
          <t>A 53999-2023</t>
        </is>
      </c>
      <c r="B246" s="1" t="n">
        <v>45231</v>
      </c>
      <c r="C246" s="1" t="n">
        <v>46090</v>
      </c>
      <c r="D246" t="inlineStr">
        <is>
          <t>SÖDERMANLANDS LÄN</t>
        </is>
      </c>
      <c r="E246" t="inlineStr">
        <is>
          <t>KATRINEHOLM</t>
        </is>
      </c>
      <c r="G246" t="n">
        <v>5.4</v>
      </c>
      <c r="H246" t="n">
        <v>0</v>
      </c>
      <c r="I246" t="n">
        <v>0</v>
      </c>
      <c r="J246" t="n">
        <v>0</v>
      </c>
      <c r="K246" t="n">
        <v>0</v>
      </c>
      <c r="L246" t="n">
        <v>0</v>
      </c>
      <c r="M246" t="n">
        <v>0</v>
      </c>
      <c r="N246" t="n">
        <v>0</v>
      </c>
      <c r="O246" t="n">
        <v>0</v>
      </c>
      <c r="P246" t="n">
        <v>0</v>
      </c>
      <c r="Q246" t="n">
        <v>0</v>
      </c>
      <c r="R246" s="2" t="inlineStr"/>
    </row>
    <row r="247" ht="15" customHeight="1">
      <c r="A247" t="inlineStr">
        <is>
          <t>A 41727-2024</t>
        </is>
      </c>
      <c r="B247" s="1" t="n">
        <v>45560</v>
      </c>
      <c r="C247" s="1" t="n">
        <v>46090</v>
      </c>
      <c r="D247" t="inlineStr">
        <is>
          <t>SÖDERMANLANDS LÄN</t>
        </is>
      </c>
      <c r="E247" t="inlineStr">
        <is>
          <t>KATRINEHOLM</t>
        </is>
      </c>
      <c r="G247" t="n">
        <v>3.9</v>
      </c>
      <c r="H247" t="n">
        <v>0</v>
      </c>
      <c r="I247" t="n">
        <v>0</v>
      </c>
      <c r="J247" t="n">
        <v>0</v>
      </c>
      <c r="K247" t="n">
        <v>0</v>
      </c>
      <c r="L247" t="n">
        <v>0</v>
      </c>
      <c r="M247" t="n">
        <v>0</v>
      </c>
      <c r="N247" t="n">
        <v>0</v>
      </c>
      <c r="O247" t="n">
        <v>0</v>
      </c>
      <c r="P247" t="n">
        <v>0</v>
      </c>
      <c r="Q247" t="n">
        <v>0</v>
      </c>
      <c r="R247" s="2" t="inlineStr"/>
    </row>
    <row r="248" ht="15" customHeight="1">
      <c r="A248" t="inlineStr">
        <is>
          <t>A 17246-2024</t>
        </is>
      </c>
      <c r="B248" s="1" t="n">
        <v>45414</v>
      </c>
      <c r="C248" s="1" t="n">
        <v>46090</v>
      </c>
      <c r="D248" t="inlineStr">
        <is>
          <t>SÖDERMANLANDS LÄN</t>
        </is>
      </c>
      <c r="E248" t="inlineStr">
        <is>
          <t>KATRINEHOLM</t>
        </is>
      </c>
      <c r="F248" t="inlineStr">
        <is>
          <t>Allmännings- och besparingsskogar</t>
        </is>
      </c>
      <c r="G248" t="n">
        <v>13.7</v>
      </c>
      <c r="H248" t="n">
        <v>0</v>
      </c>
      <c r="I248" t="n">
        <v>0</v>
      </c>
      <c r="J248" t="n">
        <v>0</v>
      </c>
      <c r="K248" t="n">
        <v>0</v>
      </c>
      <c r="L248" t="n">
        <v>0</v>
      </c>
      <c r="M248" t="n">
        <v>0</v>
      </c>
      <c r="N248" t="n">
        <v>0</v>
      </c>
      <c r="O248" t="n">
        <v>0</v>
      </c>
      <c r="P248" t="n">
        <v>0</v>
      </c>
      <c r="Q248" t="n">
        <v>0</v>
      </c>
      <c r="R248" s="2" t="inlineStr"/>
    </row>
    <row r="249" ht="15" customHeight="1">
      <c r="A249" t="inlineStr">
        <is>
          <t>A 24566-2025</t>
        </is>
      </c>
      <c r="B249" s="1" t="n">
        <v>45798.46452546296</v>
      </c>
      <c r="C249" s="1" t="n">
        <v>46090</v>
      </c>
      <c r="D249" t="inlineStr">
        <is>
          <t>SÖDERMANLANDS LÄN</t>
        </is>
      </c>
      <c r="E249" t="inlineStr">
        <is>
          <t>KATRINEHOLM</t>
        </is>
      </c>
      <c r="G249" t="n">
        <v>6.3</v>
      </c>
      <c r="H249" t="n">
        <v>0</v>
      </c>
      <c r="I249" t="n">
        <v>0</v>
      </c>
      <c r="J249" t="n">
        <v>0</v>
      </c>
      <c r="K249" t="n">
        <v>0</v>
      </c>
      <c r="L249" t="n">
        <v>0</v>
      </c>
      <c r="M249" t="n">
        <v>0</v>
      </c>
      <c r="N249" t="n">
        <v>0</v>
      </c>
      <c r="O249" t="n">
        <v>0</v>
      </c>
      <c r="P249" t="n">
        <v>0</v>
      </c>
      <c r="Q249" t="n">
        <v>0</v>
      </c>
      <c r="R249" s="2" t="inlineStr"/>
    </row>
    <row r="250" ht="15" customHeight="1">
      <c r="A250" t="inlineStr">
        <is>
          <t>A 56086-2023</t>
        </is>
      </c>
      <c r="B250" s="1" t="n">
        <v>45240</v>
      </c>
      <c r="C250" s="1" t="n">
        <v>46090</v>
      </c>
      <c r="D250" t="inlineStr">
        <is>
          <t>SÖDERMANLANDS LÄN</t>
        </is>
      </c>
      <c r="E250" t="inlineStr">
        <is>
          <t>KATRINEHOLM</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24719-2025</t>
        </is>
      </c>
      <c r="B251" s="1" t="n">
        <v>45799</v>
      </c>
      <c r="C251" s="1" t="n">
        <v>46090</v>
      </c>
      <c r="D251" t="inlineStr">
        <is>
          <t>SÖDERMANLANDS LÄN</t>
        </is>
      </c>
      <c r="E251" t="inlineStr">
        <is>
          <t>KATRINEHOLM</t>
        </is>
      </c>
      <c r="G251" t="n">
        <v>1.8</v>
      </c>
      <c r="H251" t="n">
        <v>0</v>
      </c>
      <c r="I251" t="n">
        <v>0</v>
      </c>
      <c r="J251" t="n">
        <v>0</v>
      </c>
      <c r="K251" t="n">
        <v>0</v>
      </c>
      <c r="L251" t="n">
        <v>0</v>
      </c>
      <c r="M251" t="n">
        <v>0</v>
      </c>
      <c r="N251" t="n">
        <v>0</v>
      </c>
      <c r="O251" t="n">
        <v>0</v>
      </c>
      <c r="P251" t="n">
        <v>0</v>
      </c>
      <c r="Q251" t="n">
        <v>0</v>
      </c>
      <c r="R251" s="2" t="inlineStr"/>
    </row>
    <row r="252" ht="15" customHeight="1">
      <c r="A252" t="inlineStr">
        <is>
          <t>A 24717-2025</t>
        </is>
      </c>
      <c r="B252" s="1" t="n">
        <v>45799.27168981481</v>
      </c>
      <c r="C252" s="1" t="n">
        <v>46090</v>
      </c>
      <c r="D252" t="inlineStr">
        <is>
          <t>SÖDERMANLANDS LÄN</t>
        </is>
      </c>
      <c r="E252" t="inlineStr">
        <is>
          <t>KATRINEHOLM</t>
        </is>
      </c>
      <c r="G252" t="n">
        <v>24.5</v>
      </c>
      <c r="H252" t="n">
        <v>0</v>
      </c>
      <c r="I252" t="n">
        <v>0</v>
      </c>
      <c r="J252" t="n">
        <v>0</v>
      </c>
      <c r="K252" t="n">
        <v>0</v>
      </c>
      <c r="L252" t="n">
        <v>0</v>
      </c>
      <c r="M252" t="n">
        <v>0</v>
      </c>
      <c r="N252" t="n">
        <v>0</v>
      </c>
      <c r="O252" t="n">
        <v>0</v>
      </c>
      <c r="P252" t="n">
        <v>0</v>
      </c>
      <c r="Q252" t="n">
        <v>0</v>
      </c>
      <c r="R252" s="2" t="inlineStr"/>
    </row>
    <row r="253" ht="15" customHeight="1">
      <c r="A253" t="inlineStr">
        <is>
          <t>A 12930-2023</t>
        </is>
      </c>
      <c r="B253" s="1" t="n">
        <v>45001</v>
      </c>
      <c r="C253" s="1" t="n">
        <v>46090</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46090</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23031-2024</t>
        </is>
      </c>
      <c r="B255" s="1" t="n">
        <v>45450.38120370371</v>
      </c>
      <c r="C255" s="1" t="n">
        <v>46090</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15284-2023</t>
        </is>
      </c>
      <c r="B256" s="1" t="n">
        <v>45019</v>
      </c>
      <c r="C256" s="1" t="n">
        <v>46090</v>
      </c>
      <c r="D256" t="inlineStr">
        <is>
          <t>SÖDERMANLANDS LÄN</t>
        </is>
      </c>
      <c r="E256" t="inlineStr">
        <is>
          <t>KATRINEHOLM</t>
        </is>
      </c>
      <c r="F256" t="inlineStr">
        <is>
          <t>Allmännings- och besparingsskogar</t>
        </is>
      </c>
      <c r="G256" t="n">
        <v>17.4</v>
      </c>
      <c r="H256" t="n">
        <v>0</v>
      </c>
      <c r="I256" t="n">
        <v>0</v>
      </c>
      <c r="J256" t="n">
        <v>0</v>
      </c>
      <c r="K256" t="n">
        <v>0</v>
      </c>
      <c r="L256" t="n">
        <v>0</v>
      </c>
      <c r="M256" t="n">
        <v>0</v>
      </c>
      <c r="N256" t="n">
        <v>0</v>
      </c>
      <c r="O256" t="n">
        <v>0</v>
      </c>
      <c r="P256" t="n">
        <v>0</v>
      </c>
      <c r="Q256" t="n">
        <v>0</v>
      </c>
      <c r="R256" s="2" t="inlineStr"/>
    </row>
    <row r="257" ht="15" customHeight="1">
      <c r="A257" t="inlineStr">
        <is>
          <t>A 39668-2025</t>
        </is>
      </c>
      <c r="B257" s="1" t="n">
        <v>45890</v>
      </c>
      <c r="C257" s="1" t="n">
        <v>46090</v>
      </c>
      <c r="D257" t="inlineStr">
        <is>
          <t>SÖDERMANLANDS LÄN</t>
        </is>
      </c>
      <c r="E257" t="inlineStr">
        <is>
          <t>KATRINEHOLM</t>
        </is>
      </c>
      <c r="G257" t="n">
        <v>2.9</v>
      </c>
      <c r="H257" t="n">
        <v>0</v>
      </c>
      <c r="I257" t="n">
        <v>0</v>
      </c>
      <c r="J257" t="n">
        <v>0</v>
      </c>
      <c r="K257" t="n">
        <v>0</v>
      </c>
      <c r="L257" t="n">
        <v>0</v>
      </c>
      <c r="M257" t="n">
        <v>0</v>
      </c>
      <c r="N257" t="n">
        <v>0</v>
      </c>
      <c r="O257" t="n">
        <v>0</v>
      </c>
      <c r="P257" t="n">
        <v>0</v>
      </c>
      <c r="Q257" t="n">
        <v>0</v>
      </c>
      <c r="R257" s="2" t="inlineStr"/>
    </row>
    <row r="258" ht="15" customHeight="1">
      <c r="A258" t="inlineStr">
        <is>
          <t>A 55856-2022</t>
        </is>
      </c>
      <c r="B258" s="1" t="n">
        <v>44888</v>
      </c>
      <c r="C258" s="1" t="n">
        <v>46090</v>
      </c>
      <c r="D258" t="inlineStr">
        <is>
          <t>SÖDERMANLANDS LÄN</t>
        </is>
      </c>
      <c r="E258" t="inlineStr">
        <is>
          <t>KATRINEHOLM</t>
        </is>
      </c>
      <c r="G258" t="n">
        <v>5.6</v>
      </c>
      <c r="H258" t="n">
        <v>0</v>
      </c>
      <c r="I258" t="n">
        <v>0</v>
      </c>
      <c r="J258" t="n">
        <v>0</v>
      </c>
      <c r="K258" t="n">
        <v>0</v>
      </c>
      <c r="L258" t="n">
        <v>0</v>
      </c>
      <c r="M258" t="n">
        <v>0</v>
      </c>
      <c r="N258" t="n">
        <v>0</v>
      </c>
      <c r="O258" t="n">
        <v>0</v>
      </c>
      <c r="P258" t="n">
        <v>0</v>
      </c>
      <c r="Q258" t="n">
        <v>0</v>
      </c>
      <c r="R258" s="2" t="inlineStr"/>
    </row>
    <row r="259" ht="15" customHeight="1">
      <c r="A259" t="inlineStr">
        <is>
          <t>A 37542-2022</t>
        </is>
      </c>
      <c r="B259" s="1" t="n">
        <v>44809</v>
      </c>
      <c r="C259" s="1" t="n">
        <v>46090</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39737-2025</t>
        </is>
      </c>
      <c r="B260" s="1" t="n">
        <v>45891</v>
      </c>
      <c r="C260" s="1" t="n">
        <v>46090</v>
      </c>
      <c r="D260" t="inlineStr">
        <is>
          <t>SÖDERMANLANDS LÄN</t>
        </is>
      </c>
      <c r="E260" t="inlineStr">
        <is>
          <t>KATRINEHOLM</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34739-2023</t>
        </is>
      </c>
      <c r="B261" s="1" t="n">
        <v>45141</v>
      </c>
      <c r="C261" s="1" t="n">
        <v>46090</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46090</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46090</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36366-2023</t>
        </is>
      </c>
      <c r="B264" s="1" t="n">
        <v>45152</v>
      </c>
      <c r="C264" s="1" t="n">
        <v>46090</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39645-2025</t>
        </is>
      </c>
      <c r="B265" s="1" t="n">
        <v>45890</v>
      </c>
      <c r="C265" s="1" t="n">
        <v>46090</v>
      </c>
      <c r="D265" t="inlineStr">
        <is>
          <t>SÖDERMANLANDS LÄN</t>
        </is>
      </c>
      <c r="E265" t="inlineStr">
        <is>
          <t>KATRINEHOLM</t>
        </is>
      </c>
      <c r="G265" t="n">
        <v>0.2</v>
      </c>
      <c r="H265" t="n">
        <v>0</v>
      </c>
      <c r="I265" t="n">
        <v>0</v>
      </c>
      <c r="J265" t="n">
        <v>0</v>
      </c>
      <c r="K265" t="n">
        <v>0</v>
      </c>
      <c r="L265" t="n">
        <v>0</v>
      </c>
      <c r="M265" t="n">
        <v>0</v>
      </c>
      <c r="N265" t="n">
        <v>0</v>
      </c>
      <c r="O265" t="n">
        <v>0</v>
      </c>
      <c r="P265" t="n">
        <v>0</v>
      </c>
      <c r="Q265" t="n">
        <v>0</v>
      </c>
      <c r="R265" s="2" t="inlineStr"/>
    </row>
    <row r="266" ht="15" customHeight="1">
      <c r="A266" t="inlineStr">
        <is>
          <t>A 25786-2025</t>
        </is>
      </c>
      <c r="B266" s="1" t="n">
        <v>45804.37456018518</v>
      </c>
      <c r="C266" s="1" t="n">
        <v>46090</v>
      </c>
      <c r="D266" t="inlineStr">
        <is>
          <t>SÖDERMANLANDS LÄN</t>
        </is>
      </c>
      <c r="E266" t="inlineStr">
        <is>
          <t>KATRINEHOLM</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26154-2025</t>
        </is>
      </c>
      <c r="B267" s="1" t="n">
        <v>45805.43341435185</v>
      </c>
      <c r="C267" s="1" t="n">
        <v>46090</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26156-2025</t>
        </is>
      </c>
      <c r="B268" s="1" t="n">
        <v>45805.43864583333</v>
      </c>
      <c r="C268" s="1" t="n">
        <v>46090</v>
      </c>
      <c r="D268" t="inlineStr">
        <is>
          <t>SÖDERMANLANDS LÄN</t>
        </is>
      </c>
      <c r="E268" t="inlineStr">
        <is>
          <t>KATRINEHOLM</t>
        </is>
      </c>
      <c r="G268" t="n">
        <v>4.1</v>
      </c>
      <c r="H268" t="n">
        <v>0</v>
      </c>
      <c r="I268" t="n">
        <v>0</v>
      </c>
      <c r="J268" t="n">
        <v>0</v>
      </c>
      <c r="K268" t="n">
        <v>0</v>
      </c>
      <c r="L268" t="n">
        <v>0</v>
      </c>
      <c r="M268" t="n">
        <v>0</v>
      </c>
      <c r="N268" t="n">
        <v>0</v>
      </c>
      <c r="O268" t="n">
        <v>0</v>
      </c>
      <c r="P268" t="n">
        <v>0</v>
      </c>
      <c r="Q268" t="n">
        <v>0</v>
      </c>
      <c r="R268" s="2" t="inlineStr"/>
    </row>
    <row r="269" ht="15" customHeight="1">
      <c r="A269" t="inlineStr">
        <is>
          <t>A 41205-2021</t>
        </is>
      </c>
      <c r="B269" s="1" t="n">
        <v>44424.38577546296</v>
      </c>
      <c r="C269" s="1" t="n">
        <v>46090</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55296-2022</t>
        </is>
      </c>
      <c r="B270" s="1" t="n">
        <v>44887</v>
      </c>
      <c r="C270" s="1" t="n">
        <v>46090</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9932-2023</t>
        </is>
      </c>
      <c r="B271" s="1" t="n">
        <v>44985.46709490741</v>
      </c>
      <c r="C271" s="1" t="n">
        <v>46090</v>
      </c>
      <c r="D271" t="inlineStr">
        <is>
          <t>SÖDERMANLANDS LÄN</t>
        </is>
      </c>
      <c r="E271" t="inlineStr">
        <is>
          <t>KATRINEHOLM</t>
        </is>
      </c>
      <c r="G271" t="n">
        <v>0.3</v>
      </c>
      <c r="H271" t="n">
        <v>0</v>
      </c>
      <c r="I271" t="n">
        <v>0</v>
      </c>
      <c r="J271" t="n">
        <v>0</v>
      </c>
      <c r="K271" t="n">
        <v>0</v>
      </c>
      <c r="L271" t="n">
        <v>0</v>
      </c>
      <c r="M271" t="n">
        <v>0</v>
      </c>
      <c r="N271" t="n">
        <v>0</v>
      </c>
      <c r="O271" t="n">
        <v>0</v>
      </c>
      <c r="P271" t="n">
        <v>0</v>
      </c>
      <c r="Q271" t="n">
        <v>0</v>
      </c>
      <c r="R271" s="2" t="inlineStr"/>
    </row>
    <row r="272" ht="15" customHeight="1">
      <c r="A272" t="inlineStr">
        <is>
          <t>A 42590-2022</t>
        </is>
      </c>
      <c r="B272" s="1" t="n">
        <v>44831</v>
      </c>
      <c r="C272" s="1" t="n">
        <v>46090</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17360-2022</t>
        </is>
      </c>
      <c r="B273" s="1" t="n">
        <v>44678</v>
      </c>
      <c r="C273" s="1" t="n">
        <v>46090</v>
      </c>
      <c r="D273" t="inlineStr">
        <is>
          <t>SÖDERMANLANDS LÄN</t>
        </is>
      </c>
      <c r="E273" t="inlineStr">
        <is>
          <t>KATRINEHOLM</t>
        </is>
      </c>
      <c r="G273" t="n">
        <v>4.5</v>
      </c>
      <c r="H273" t="n">
        <v>0</v>
      </c>
      <c r="I273" t="n">
        <v>0</v>
      </c>
      <c r="J273" t="n">
        <v>0</v>
      </c>
      <c r="K273" t="n">
        <v>0</v>
      </c>
      <c r="L273" t="n">
        <v>0</v>
      </c>
      <c r="M273" t="n">
        <v>0</v>
      </c>
      <c r="N273" t="n">
        <v>0</v>
      </c>
      <c r="O273" t="n">
        <v>0</v>
      </c>
      <c r="P273" t="n">
        <v>0</v>
      </c>
      <c r="Q273" t="n">
        <v>0</v>
      </c>
      <c r="R273" s="2" t="inlineStr"/>
    </row>
    <row r="274" ht="15" customHeight="1">
      <c r="A274" t="inlineStr">
        <is>
          <t>A 41074-2025</t>
        </is>
      </c>
      <c r="B274" s="1" t="n">
        <v>45898</v>
      </c>
      <c r="C274" s="1" t="n">
        <v>46090</v>
      </c>
      <c r="D274" t="inlineStr">
        <is>
          <t>SÖDERMANLANDS LÄN</t>
        </is>
      </c>
      <c r="E274" t="inlineStr">
        <is>
          <t>KATRINEHOLM</t>
        </is>
      </c>
      <c r="F274" t="inlineStr">
        <is>
          <t>Allmännings- och besparingsskogar</t>
        </is>
      </c>
      <c r="G274" t="n">
        <v>4.8</v>
      </c>
      <c r="H274" t="n">
        <v>0</v>
      </c>
      <c r="I274" t="n">
        <v>0</v>
      </c>
      <c r="J274" t="n">
        <v>0</v>
      </c>
      <c r="K274" t="n">
        <v>0</v>
      </c>
      <c r="L274" t="n">
        <v>0</v>
      </c>
      <c r="M274" t="n">
        <v>0</v>
      </c>
      <c r="N274" t="n">
        <v>0</v>
      </c>
      <c r="O274" t="n">
        <v>0</v>
      </c>
      <c r="P274" t="n">
        <v>0</v>
      </c>
      <c r="Q274" t="n">
        <v>0</v>
      </c>
      <c r="R274" s="2" t="inlineStr"/>
    </row>
    <row r="275" ht="15" customHeight="1">
      <c r="A275" t="inlineStr">
        <is>
          <t>A 48520-2023</t>
        </is>
      </c>
      <c r="B275" s="1" t="n">
        <v>45208</v>
      </c>
      <c r="C275" s="1" t="n">
        <v>46090</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63895-2025</t>
        </is>
      </c>
      <c r="B276" s="1" t="n">
        <v>46020</v>
      </c>
      <c r="C276" s="1" t="n">
        <v>46090</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9693-2024</t>
        </is>
      </c>
      <c r="B277" s="1" t="n">
        <v>45362</v>
      </c>
      <c r="C277" s="1" t="n">
        <v>46090</v>
      </c>
      <c r="D277" t="inlineStr">
        <is>
          <t>SÖDERMANLANDS LÄN</t>
        </is>
      </c>
      <c r="E277" t="inlineStr">
        <is>
          <t>KATRINEHOLM</t>
        </is>
      </c>
      <c r="G277" t="n">
        <v>5.9</v>
      </c>
      <c r="H277" t="n">
        <v>0</v>
      </c>
      <c r="I277" t="n">
        <v>0</v>
      </c>
      <c r="J277" t="n">
        <v>0</v>
      </c>
      <c r="K277" t="n">
        <v>0</v>
      </c>
      <c r="L277" t="n">
        <v>0</v>
      </c>
      <c r="M277" t="n">
        <v>0</v>
      </c>
      <c r="N277" t="n">
        <v>0</v>
      </c>
      <c r="O277" t="n">
        <v>0</v>
      </c>
      <c r="P277" t="n">
        <v>0</v>
      </c>
      <c r="Q277" t="n">
        <v>0</v>
      </c>
      <c r="R277" s="2" t="inlineStr"/>
    </row>
    <row r="278" ht="15" customHeight="1">
      <c r="A278" t="inlineStr">
        <is>
          <t>A 32818-2023</t>
        </is>
      </c>
      <c r="B278" s="1" t="n">
        <v>45124.55633101852</v>
      </c>
      <c r="C278" s="1" t="n">
        <v>46090</v>
      </c>
      <c r="D278" t="inlineStr">
        <is>
          <t>SÖDERMANLANDS LÄN</t>
        </is>
      </c>
      <c r="E278" t="inlineStr">
        <is>
          <t>KATRINEHOLM</t>
        </is>
      </c>
      <c r="G278" t="n">
        <v>3.4</v>
      </c>
      <c r="H278" t="n">
        <v>0</v>
      </c>
      <c r="I278" t="n">
        <v>0</v>
      </c>
      <c r="J278" t="n">
        <v>0</v>
      </c>
      <c r="K278" t="n">
        <v>0</v>
      </c>
      <c r="L278" t="n">
        <v>0</v>
      </c>
      <c r="M278" t="n">
        <v>0</v>
      </c>
      <c r="N278" t="n">
        <v>0</v>
      </c>
      <c r="O278" t="n">
        <v>0</v>
      </c>
      <c r="P278" t="n">
        <v>0</v>
      </c>
      <c r="Q278" t="n">
        <v>0</v>
      </c>
      <c r="R278" s="2" t="inlineStr"/>
    </row>
    <row r="279" ht="15" customHeight="1">
      <c r="A279" t="inlineStr">
        <is>
          <t>A 41633-2025</t>
        </is>
      </c>
      <c r="B279" s="1" t="n">
        <v>45901</v>
      </c>
      <c r="C279" s="1" t="n">
        <v>46090</v>
      </c>
      <c r="D279" t="inlineStr">
        <is>
          <t>SÖDERMANLANDS LÄN</t>
        </is>
      </c>
      <c r="E279" t="inlineStr">
        <is>
          <t>KATRINEHOLM</t>
        </is>
      </c>
      <c r="G279" t="n">
        <v>2.1</v>
      </c>
      <c r="H279" t="n">
        <v>0</v>
      </c>
      <c r="I279" t="n">
        <v>0</v>
      </c>
      <c r="J279" t="n">
        <v>0</v>
      </c>
      <c r="K279" t="n">
        <v>0</v>
      </c>
      <c r="L279" t="n">
        <v>0</v>
      </c>
      <c r="M279" t="n">
        <v>0</v>
      </c>
      <c r="N279" t="n">
        <v>0</v>
      </c>
      <c r="O279" t="n">
        <v>0</v>
      </c>
      <c r="P279" t="n">
        <v>0</v>
      </c>
      <c r="Q279" t="n">
        <v>0</v>
      </c>
      <c r="R279" s="2" t="inlineStr"/>
    </row>
    <row r="280" ht="15" customHeight="1">
      <c r="A280" t="inlineStr">
        <is>
          <t>A 35864-2023</t>
        </is>
      </c>
      <c r="B280" s="1" t="n">
        <v>45147</v>
      </c>
      <c r="C280" s="1" t="n">
        <v>46090</v>
      </c>
      <c r="D280" t="inlineStr">
        <is>
          <t>SÖDERMANLANDS LÄN</t>
        </is>
      </c>
      <c r="E280" t="inlineStr">
        <is>
          <t>KATRINEHOLM</t>
        </is>
      </c>
      <c r="F280" t="inlineStr">
        <is>
          <t>Övriga Aktiebolag</t>
        </is>
      </c>
      <c r="G280" t="n">
        <v>4.7</v>
      </c>
      <c r="H280" t="n">
        <v>0</v>
      </c>
      <c r="I280" t="n">
        <v>0</v>
      </c>
      <c r="J280" t="n">
        <v>0</v>
      </c>
      <c r="K280" t="n">
        <v>0</v>
      </c>
      <c r="L280" t="n">
        <v>0</v>
      </c>
      <c r="M280" t="n">
        <v>0</v>
      </c>
      <c r="N280" t="n">
        <v>0</v>
      </c>
      <c r="O280" t="n">
        <v>0</v>
      </c>
      <c r="P280" t="n">
        <v>0</v>
      </c>
      <c r="Q280" t="n">
        <v>0</v>
      </c>
      <c r="R280" s="2" t="inlineStr"/>
    </row>
    <row r="281" ht="15" customHeight="1">
      <c r="A281" t="inlineStr">
        <is>
          <t>A 41632-2025</t>
        </is>
      </c>
      <c r="B281" s="1" t="n">
        <v>45901</v>
      </c>
      <c r="C281" s="1" t="n">
        <v>46090</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41498-2025</t>
        </is>
      </c>
      <c r="B282" s="1" t="n">
        <v>45901.49755787037</v>
      </c>
      <c r="C282" s="1" t="n">
        <v>46090</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27552-2025</t>
        </is>
      </c>
      <c r="B283" s="1" t="n">
        <v>45813</v>
      </c>
      <c r="C283" s="1" t="n">
        <v>46090</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27534-2025</t>
        </is>
      </c>
      <c r="B284" s="1" t="n">
        <v>45813</v>
      </c>
      <c r="C284" s="1" t="n">
        <v>46090</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46090</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49341-2024</t>
        </is>
      </c>
      <c r="B286" s="1" t="n">
        <v>45595</v>
      </c>
      <c r="C286" s="1" t="n">
        <v>46090</v>
      </c>
      <c r="D286" t="inlineStr">
        <is>
          <t>SÖDERMANLANDS LÄN</t>
        </is>
      </c>
      <c r="E286" t="inlineStr">
        <is>
          <t>KATRINEHOLM</t>
        </is>
      </c>
      <c r="G286" t="n">
        <v>10</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46090</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6810-2023</t>
        </is>
      </c>
      <c r="B288" s="1" t="n">
        <v>44964</v>
      </c>
      <c r="C288" s="1" t="n">
        <v>46090</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11635-2023</t>
        </is>
      </c>
      <c r="B289" s="1" t="n">
        <v>44994</v>
      </c>
      <c r="C289" s="1" t="n">
        <v>46090</v>
      </c>
      <c r="D289" t="inlineStr">
        <is>
          <t>SÖDERMANLANDS LÄN</t>
        </is>
      </c>
      <c r="E289" t="inlineStr">
        <is>
          <t>KATRINEHOLM</t>
        </is>
      </c>
      <c r="G289" t="n">
        <v>4.3</v>
      </c>
      <c r="H289" t="n">
        <v>0</v>
      </c>
      <c r="I289" t="n">
        <v>0</v>
      </c>
      <c r="J289" t="n">
        <v>0</v>
      </c>
      <c r="K289" t="n">
        <v>0</v>
      </c>
      <c r="L289" t="n">
        <v>0</v>
      </c>
      <c r="M289" t="n">
        <v>0</v>
      </c>
      <c r="N289" t="n">
        <v>0</v>
      </c>
      <c r="O289" t="n">
        <v>0</v>
      </c>
      <c r="P289" t="n">
        <v>0</v>
      </c>
      <c r="Q289" t="n">
        <v>0</v>
      </c>
      <c r="R289" s="2" t="inlineStr"/>
    </row>
    <row r="290" ht="15" customHeight="1">
      <c r="A290" t="inlineStr">
        <is>
          <t>A 34732-2022</t>
        </is>
      </c>
      <c r="B290" s="1" t="n">
        <v>44795</v>
      </c>
      <c r="C290" s="1" t="n">
        <v>46090</v>
      </c>
      <c r="D290" t="inlineStr">
        <is>
          <t>SÖDERMANLANDS LÄN</t>
        </is>
      </c>
      <c r="E290" t="inlineStr">
        <is>
          <t>KATRINEHOLM</t>
        </is>
      </c>
      <c r="G290" t="n">
        <v>3</v>
      </c>
      <c r="H290" t="n">
        <v>0</v>
      </c>
      <c r="I290" t="n">
        <v>0</v>
      </c>
      <c r="J290" t="n">
        <v>0</v>
      </c>
      <c r="K290" t="n">
        <v>0</v>
      </c>
      <c r="L290" t="n">
        <v>0</v>
      </c>
      <c r="M290" t="n">
        <v>0</v>
      </c>
      <c r="N290" t="n">
        <v>0</v>
      </c>
      <c r="O290" t="n">
        <v>0</v>
      </c>
      <c r="P290" t="n">
        <v>0</v>
      </c>
      <c r="Q290" t="n">
        <v>0</v>
      </c>
      <c r="R290" s="2" t="inlineStr"/>
    </row>
    <row r="291" ht="15" customHeight="1">
      <c r="A291" t="inlineStr">
        <is>
          <t>A 27636-2025</t>
        </is>
      </c>
      <c r="B291" s="1" t="n">
        <v>45813.57603009259</v>
      </c>
      <c r="C291" s="1" t="n">
        <v>46090</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3982-2024</t>
        </is>
      </c>
      <c r="B292" s="1" t="n">
        <v>45322</v>
      </c>
      <c r="C292" s="1" t="n">
        <v>46090</v>
      </c>
      <c r="D292" t="inlineStr">
        <is>
          <t>SÖDERMANLANDS LÄN</t>
        </is>
      </c>
      <c r="E292" t="inlineStr">
        <is>
          <t>KATRINEHOLM</t>
        </is>
      </c>
      <c r="G292" t="n">
        <v>3.7</v>
      </c>
      <c r="H292" t="n">
        <v>0</v>
      </c>
      <c r="I292" t="n">
        <v>0</v>
      </c>
      <c r="J292" t="n">
        <v>0</v>
      </c>
      <c r="K292" t="n">
        <v>0</v>
      </c>
      <c r="L292" t="n">
        <v>0</v>
      </c>
      <c r="M292" t="n">
        <v>0</v>
      </c>
      <c r="N292" t="n">
        <v>0</v>
      </c>
      <c r="O292" t="n">
        <v>0</v>
      </c>
      <c r="P292" t="n">
        <v>0</v>
      </c>
      <c r="Q292" t="n">
        <v>0</v>
      </c>
      <c r="R292" s="2" t="inlineStr"/>
    </row>
    <row r="293" ht="15" customHeight="1">
      <c r="A293" t="inlineStr">
        <is>
          <t>A 13086-2023</t>
        </is>
      </c>
      <c r="B293" s="1" t="n">
        <v>45002.42188657408</v>
      </c>
      <c r="C293" s="1" t="n">
        <v>46090</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42474-2025</t>
        </is>
      </c>
      <c r="B294" s="1" t="n">
        <v>45905.46659722222</v>
      </c>
      <c r="C294" s="1" t="n">
        <v>46090</v>
      </c>
      <c r="D294" t="inlineStr">
        <is>
          <t>SÖDERMANLANDS LÄN</t>
        </is>
      </c>
      <c r="E294" t="inlineStr">
        <is>
          <t>KATRINEHOLM</t>
        </is>
      </c>
      <c r="G294" t="n">
        <v>4</v>
      </c>
      <c r="H294" t="n">
        <v>0</v>
      </c>
      <c r="I294" t="n">
        <v>0</v>
      </c>
      <c r="J294" t="n">
        <v>0</v>
      </c>
      <c r="K294" t="n">
        <v>0</v>
      </c>
      <c r="L294" t="n">
        <v>0</v>
      </c>
      <c r="M294" t="n">
        <v>0</v>
      </c>
      <c r="N294" t="n">
        <v>0</v>
      </c>
      <c r="O294" t="n">
        <v>0</v>
      </c>
      <c r="P294" t="n">
        <v>0</v>
      </c>
      <c r="Q294" t="n">
        <v>0</v>
      </c>
      <c r="R294" s="2" t="inlineStr"/>
    </row>
    <row r="295" ht="15" customHeight="1">
      <c r="A295" t="inlineStr">
        <is>
          <t>A 24600-2025</t>
        </is>
      </c>
      <c r="B295" s="1" t="n">
        <v>45798.56348379629</v>
      </c>
      <c r="C295" s="1" t="n">
        <v>46090</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17820-2025</t>
        </is>
      </c>
      <c r="B296" s="1" t="n">
        <v>45758</v>
      </c>
      <c r="C296" s="1" t="n">
        <v>46090</v>
      </c>
      <c r="D296" t="inlineStr">
        <is>
          <t>SÖDERMANLANDS LÄN</t>
        </is>
      </c>
      <c r="E296" t="inlineStr">
        <is>
          <t>KATRINEHOLM</t>
        </is>
      </c>
      <c r="G296" t="n">
        <v>5.9</v>
      </c>
      <c r="H296" t="n">
        <v>0</v>
      </c>
      <c r="I296" t="n">
        <v>0</v>
      </c>
      <c r="J296" t="n">
        <v>0</v>
      </c>
      <c r="K296" t="n">
        <v>0</v>
      </c>
      <c r="L296" t="n">
        <v>0</v>
      </c>
      <c r="M296" t="n">
        <v>0</v>
      </c>
      <c r="N296" t="n">
        <v>0</v>
      </c>
      <c r="O296" t="n">
        <v>0</v>
      </c>
      <c r="P296" t="n">
        <v>0</v>
      </c>
      <c r="Q296" t="n">
        <v>0</v>
      </c>
      <c r="R296" s="2" t="inlineStr"/>
    </row>
    <row r="297" ht="15" customHeight="1">
      <c r="A297" t="inlineStr">
        <is>
          <t>A 57154-2023</t>
        </is>
      </c>
      <c r="B297" s="1" t="n">
        <v>45245</v>
      </c>
      <c r="C297" s="1" t="n">
        <v>46090</v>
      </c>
      <c r="D297" t="inlineStr">
        <is>
          <t>SÖDERMANLANDS LÄN</t>
        </is>
      </c>
      <c r="E297" t="inlineStr">
        <is>
          <t>KATRINEHOLM</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42799-2025</t>
        </is>
      </c>
      <c r="B298" s="1" t="n">
        <v>45907</v>
      </c>
      <c r="C298" s="1" t="n">
        <v>46090</v>
      </c>
      <c r="D298" t="inlineStr">
        <is>
          <t>SÖDERMANLANDS LÄN</t>
        </is>
      </c>
      <c r="E298" t="inlineStr">
        <is>
          <t>KATRINEHOLM</t>
        </is>
      </c>
      <c r="G298" t="n">
        <v>3.9</v>
      </c>
      <c r="H298" t="n">
        <v>0</v>
      </c>
      <c r="I298" t="n">
        <v>0</v>
      </c>
      <c r="J298" t="n">
        <v>0</v>
      </c>
      <c r="K298" t="n">
        <v>0</v>
      </c>
      <c r="L298" t="n">
        <v>0</v>
      </c>
      <c r="M298" t="n">
        <v>0</v>
      </c>
      <c r="N298" t="n">
        <v>0</v>
      </c>
      <c r="O298" t="n">
        <v>0</v>
      </c>
      <c r="P298" t="n">
        <v>0</v>
      </c>
      <c r="Q298" t="n">
        <v>0</v>
      </c>
      <c r="R298" s="2" t="inlineStr"/>
    </row>
    <row r="299" ht="15" customHeight="1">
      <c r="A299" t="inlineStr">
        <is>
          <t>A 35608-2024</t>
        </is>
      </c>
      <c r="B299" s="1" t="n">
        <v>45531</v>
      </c>
      <c r="C299" s="1" t="n">
        <v>46090</v>
      </c>
      <c r="D299" t="inlineStr">
        <is>
          <t>SÖDERMANLANDS LÄN</t>
        </is>
      </c>
      <c r="E299" t="inlineStr">
        <is>
          <t>KATRINEHOLM</t>
        </is>
      </c>
      <c r="G299" t="n">
        <v>2</v>
      </c>
      <c r="H299" t="n">
        <v>0</v>
      </c>
      <c r="I299" t="n">
        <v>0</v>
      </c>
      <c r="J299" t="n">
        <v>0</v>
      </c>
      <c r="K299" t="n">
        <v>0</v>
      </c>
      <c r="L299" t="n">
        <v>0</v>
      </c>
      <c r="M299" t="n">
        <v>0</v>
      </c>
      <c r="N299" t="n">
        <v>0</v>
      </c>
      <c r="O299" t="n">
        <v>0</v>
      </c>
      <c r="P299" t="n">
        <v>0</v>
      </c>
      <c r="Q299" t="n">
        <v>0</v>
      </c>
      <c r="R299" s="2" t="inlineStr"/>
    </row>
    <row r="300" ht="15" customHeight="1">
      <c r="A300" t="inlineStr">
        <is>
          <t>A 12633-2022</t>
        </is>
      </c>
      <c r="B300" s="1" t="n">
        <v>44638</v>
      </c>
      <c r="C300" s="1" t="n">
        <v>46090</v>
      </c>
      <c r="D300" t="inlineStr">
        <is>
          <t>SÖDERMANLANDS LÄN</t>
        </is>
      </c>
      <c r="E300" t="inlineStr">
        <is>
          <t>KATRINEHOLM</t>
        </is>
      </c>
      <c r="G300" t="n">
        <v>6.4</v>
      </c>
      <c r="H300" t="n">
        <v>0</v>
      </c>
      <c r="I300" t="n">
        <v>0</v>
      </c>
      <c r="J300" t="n">
        <v>0</v>
      </c>
      <c r="K300" t="n">
        <v>0</v>
      </c>
      <c r="L300" t="n">
        <v>0</v>
      </c>
      <c r="M300" t="n">
        <v>0</v>
      </c>
      <c r="N300" t="n">
        <v>0</v>
      </c>
      <c r="O300" t="n">
        <v>0</v>
      </c>
      <c r="P300" t="n">
        <v>0</v>
      </c>
      <c r="Q300" t="n">
        <v>0</v>
      </c>
      <c r="R300" s="2" t="inlineStr"/>
    </row>
    <row r="301" ht="15" customHeight="1">
      <c r="A301" t="inlineStr">
        <is>
          <t>A 30242-2023</t>
        </is>
      </c>
      <c r="B301" s="1" t="n">
        <v>45099</v>
      </c>
      <c r="C301" s="1" t="n">
        <v>46090</v>
      </c>
      <c r="D301" t="inlineStr">
        <is>
          <t>SÖDERMANLANDS LÄN</t>
        </is>
      </c>
      <c r="E301" t="inlineStr">
        <is>
          <t>KATRINEHOLM</t>
        </is>
      </c>
      <c r="G301" t="n">
        <v>3</v>
      </c>
      <c r="H301" t="n">
        <v>0</v>
      </c>
      <c r="I301" t="n">
        <v>0</v>
      </c>
      <c r="J301" t="n">
        <v>0</v>
      </c>
      <c r="K301" t="n">
        <v>0</v>
      </c>
      <c r="L301" t="n">
        <v>0</v>
      </c>
      <c r="M301" t="n">
        <v>0</v>
      </c>
      <c r="N301" t="n">
        <v>0</v>
      </c>
      <c r="O301" t="n">
        <v>0</v>
      </c>
      <c r="P301" t="n">
        <v>0</v>
      </c>
      <c r="Q301" t="n">
        <v>0</v>
      </c>
      <c r="R301" s="2" t="inlineStr"/>
    </row>
    <row r="302" ht="15" customHeight="1">
      <c r="A302" t="inlineStr">
        <is>
          <t>A 42686-2025</t>
        </is>
      </c>
      <c r="B302" s="1" t="n">
        <v>45908.35550925926</v>
      </c>
      <c r="C302" s="1" t="n">
        <v>46090</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57265-2022</t>
        </is>
      </c>
      <c r="B303" s="1" t="n">
        <v>44895</v>
      </c>
      <c r="C303" s="1" t="n">
        <v>46090</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6298-2024</t>
        </is>
      </c>
      <c r="B304" s="1" t="n">
        <v>45338.34245370371</v>
      </c>
      <c r="C304" s="1" t="n">
        <v>46090</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29189-2025</t>
        </is>
      </c>
      <c r="B305" s="1" t="n">
        <v>45822</v>
      </c>
      <c r="C305" s="1" t="n">
        <v>46090</v>
      </c>
      <c r="D305" t="inlineStr">
        <is>
          <t>SÖDERMANLANDS LÄN</t>
        </is>
      </c>
      <c r="E305" t="inlineStr">
        <is>
          <t>KATRINEHOLM</t>
        </is>
      </c>
      <c r="G305" t="n">
        <v>3.5</v>
      </c>
      <c r="H305" t="n">
        <v>0</v>
      </c>
      <c r="I305" t="n">
        <v>0</v>
      </c>
      <c r="J305" t="n">
        <v>0</v>
      </c>
      <c r="K305" t="n">
        <v>0</v>
      </c>
      <c r="L305" t="n">
        <v>0</v>
      </c>
      <c r="M305" t="n">
        <v>0</v>
      </c>
      <c r="N305" t="n">
        <v>0</v>
      </c>
      <c r="O305" t="n">
        <v>0</v>
      </c>
      <c r="P305" t="n">
        <v>0</v>
      </c>
      <c r="Q305" t="n">
        <v>0</v>
      </c>
      <c r="R305" s="2" t="inlineStr"/>
    </row>
    <row r="306" ht="15" customHeight="1">
      <c r="A306" t="inlineStr">
        <is>
          <t>A 48877-2022</t>
        </is>
      </c>
      <c r="B306" s="1" t="n">
        <v>44859</v>
      </c>
      <c r="C306" s="1" t="n">
        <v>46090</v>
      </c>
      <c r="D306" t="inlineStr">
        <is>
          <t>SÖDERMANLANDS LÄN</t>
        </is>
      </c>
      <c r="E306" t="inlineStr">
        <is>
          <t>KATRINEHOLM</t>
        </is>
      </c>
      <c r="G306" t="n">
        <v>1</v>
      </c>
      <c r="H306" t="n">
        <v>0</v>
      </c>
      <c r="I306" t="n">
        <v>0</v>
      </c>
      <c r="J306" t="n">
        <v>0</v>
      </c>
      <c r="K306" t="n">
        <v>0</v>
      </c>
      <c r="L306" t="n">
        <v>0</v>
      </c>
      <c r="M306" t="n">
        <v>0</v>
      </c>
      <c r="N306" t="n">
        <v>0</v>
      </c>
      <c r="O306" t="n">
        <v>0</v>
      </c>
      <c r="P306" t="n">
        <v>0</v>
      </c>
      <c r="Q306" t="n">
        <v>0</v>
      </c>
      <c r="R306" s="2" t="inlineStr"/>
    </row>
    <row r="307" ht="15" customHeight="1">
      <c r="A307" t="inlineStr">
        <is>
          <t>A 43975-2025</t>
        </is>
      </c>
      <c r="B307" s="1" t="n">
        <v>45915.41148148148</v>
      </c>
      <c r="C307" s="1" t="n">
        <v>46090</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34539-2022</t>
        </is>
      </c>
      <c r="B308" s="1" t="n">
        <v>44793.50563657407</v>
      </c>
      <c r="C308" s="1" t="n">
        <v>46090</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3115-2024</t>
        </is>
      </c>
      <c r="B309" s="1" t="n">
        <v>45316.49630787037</v>
      </c>
      <c r="C309" s="1" t="n">
        <v>46090</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44071-2025</t>
        </is>
      </c>
      <c r="B310" s="1" t="n">
        <v>45915</v>
      </c>
      <c r="C310" s="1" t="n">
        <v>46090</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23705-2023</t>
        </is>
      </c>
      <c r="B311" s="1" t="n">
        <v>45077</v>
      </c>
      <c r="C311" s="1" t="n">
        <v>46090</v>
      </c>
      <c r="D311" t="inlineStr">
        <is>
          <t>SÖDERMANLANDS LÄN</t>
        </is>
      </c>
      <c r="E311" t="inlineStr">
        <is>
          <t>KATRINEHOLM</t>
        </is>
      </c>
      <c r="F311" t="inlineStr">
        <is>
          <t>Kyrkan</t>
        </is>
      </c>
      <c r="G311" t="n">
        <v>11.9</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46090</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46090</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46090</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52769-2023</t>
        </is>
      </c>
      <c r="B315" s="1" t="n">
        <v>45226</v>
      </c>
      <c r="C315" s="1" t="n">
        <v>46090</v>
      </c>
      <c r="D315" t="inlineStr">
        <is>
          <t>SÖDERMANLANDS LÄN</t>
        </is>
      </c>
      <c r="E315" t="inlineStr">
        <is>
          <t>KATRINEHOLM</t>
        </is>
      </c>
      <c r="G315" t="n">
        <v>0.5</v>
      </c>
      <c r="H315" t="n">
        <v>0</v>
      </c>
      <c r="I315" t="n">
        <v>0</v>
      </c>
      <c r="J315" t="n">
        <v>0</v>
      </c>
      <c r="K315" t="n">
        <v>0</v>
      </c>
      <c r="L315" t="n">
        <v>0</v>
      </c>
      <c r="M315" t="n">
        <v>0</v>
      </c>
      <c r="N315" t="n">
        <v>0</v>
      </c>
      <c r="O315" t="n">
        <v>0</v>
      </c>
      <c r="P315" t="n">
        <v>0</v>
      </c>
      <c r="Q315" t="n">
        <v>0</v>
      </c>
      <c r="R315" s="2" t="inlineStr"/>
    </row>
    <row r="316" ht="15" customHeight="1">
      <c r="A316" t="inlineStr">
        <is>
          <t>A 30350-2025</t>
        </is>
      </c>
      <c r="B316" s="1" t="n">
        <v>45827.53319444445</v>
      </c>
      <c r="C316" s="1" t="n">
        <v>46090</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30386-2025</t>
        </is>
      </c>
      <c r="B317" s="1" t="n">
        <v>45827</v>
      </c>
      <c r="C317" s="1" t="n">
        <v>46090</v>
      </c>
      <c r="D317" t="inlineStr">
        <is>
          <t>SÖDERMANLANDS LÄN</t>
        </is>
      </c>
      <c r="E317" t="inlineStr">
        <is>
          <t>KATRINEHOLM</t>
        </is>
      </c>
      <c r="G317" t="n">
        <v>5.6</v>
      </c>
      <c r="H317" t="n">
        <v>0</v>
      </c>
      <c r="I317" t="n">
        <v>0</v>
      </c>
      <c r="J317" t="n">
        <v>0</v>
      </c>
      <c r="K317" t="n">
        <v>0</v>
      </c>
      <c r="L317" t="n">
        <v>0</v>
      </c>
      <c r="M317" t="n">
        <v>0</v>
      </c>
      <c r="N317" t="n">
        <v>0</v>
      </c>
      <c r="O317" t="n">
        <v>0</v>
      </c>
      <c r="P317" t="n">
        <v>0</v>
      </c>
      <c r="Q317" t="n">
        <v>0</v>
      </c>
      <c r="R317" s="2" t="inlineStr"/>
    </row>
    <row r="318" ht="15" customHeight="1">
      <c r="A318" t="inlineStr">
        <is>
          <t>A 7223-2022</t>
        </is>
      </c>
      <c r="B318" s="1" t="n">
        <v>44603</v>
      </c>
      <c r="C318" s="1" t="n">
        <v>46090</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30070-2025</t>
        </is>
      </c>
      <c r="B319" s="1" t="n">
        <v>45826.63324074074</v>
      </c>
      <c r="C319" s="1" t="n">
        <v>46090</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51446-2023</t>
        </is>
      </c>
      <c r="B320" s="1" t="n">
        <v>45220.48068287037</v>
      </c>
      <c r="C320" s="1" t="n">
        <v>46090</v>
      </c>
      <c r="D320" t="inlineStr">
        <is>
          <t>SÖDERMANLANDS LÄN</t>
        </is>
      </c>
      <c r="E320" t="inlineStr">
        <is>
          <t>KATRINEHOLM</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30402-2025</t>
        </is>
      </c>
      <c r="B321" s="1" t="n">
        <v>45827</v>
      </c>
      <c r="C321" s="1" t="n">
        <v>46090</v>
      </c>
      <c r="D321" t="inlineStr">
        <is>
          <t>SÖDERMANLANDS LÄN</t>
        </is>
      </c>
      <c r="E321" t="inlineStr">
        <is>
          <t>KATRINEHOLM</t>
        </is>
      </c>
      <c r="G321" t="n">
        <v>7.1</v>
      </c>
      <c r="H321" t="n">
        <v>0</v>
      </c>
      <c r="I321" t="n">
        <v>0</v>
      </c>
      <c r="J321" t="n">
        <v>0</v>
      </c>
      <c r="K321" t="n">
        <v>0</v>
      </c>
      <c r="L321" t="n">
        <v>0</v>
      </c>
      <c r="M321" t="n">
        <v>0</v>
      </c>
      <c r="N321" t="n">
        <v>0</v>
      </c>
      <c r="O321" t="n">
        <v>0</v>
      </c>
      <c r="P321" t="n">
        <v>0</v>
      </c>
      <c r="Q321" t="n">
        <v>0</v>
      </c>
      <c r="R321" s="2" t="inlineStr"/>
    </row>
    <row r="322" ht="15" customHeight="1">
      <c r="A322" t="inlineStr">
        <is>
          <t>A 28931-2024</t>
        </is>
      </c>
      <c r="B322" s="1" t="n">
        <v>45479</v>
      </c>
      <c r="C322" s="1" t="n">
        <v>46090</v>
      </c>
      <c r="D322" t="inlineStr">
        <is>
          <t>SÖDERMANLANDS LÄN</t>
        </is>
      </c>
      <c r="E322" t="inlineStr">
        <is>
          <t>KATRINEHOLM</t>
        </is>
      </c>
      <c r="G322" t="n">
        <v>7.4</v>
      </c>
      <c r="H322" t="n">
        <v>0</v>
      </c>
      <c r="I322" t="n">
        <v>0</v>
      </c>
      <c r="J322" t="n">
        <v>0</v>
      </c>
      <c r="K322" t="n">
        <v>0</v>
      </c>
      <c r="L322" t="n">
        <v>0</v>
      </c>
      <c r="M322" t="n">
        <v>0</v>
      </c>
      <c r="N322" t="n">
        <v>0</v>
      </c>
      <c r="O322" t="n">
        <v>0</v>
      </c>
      <c r="P322" t="n">
        <v>0</v>
      </c>
      <c r="Q322" t="n">
        <v>0</v>
      </c>
      <c r="R322" s="2" t="inlineStr"/>
    </row>
    <row r="323" ht="15" customHeight="1">
      <c r="A323" t="inlineStr">
        <is>
          <t>A 27646-2023</t>
        </is>
      </c>
      <c r="B323" s="1" t="n">
        <v>45097</v>
      </c>
      <c r="C323" s="1" t="n">
        <v>46090</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50626-2024</t>
        </is>
      </c>
      <c r="B324" s="1" t="n">
        <v>45601</v>
      </c>
      <c r="C324" s="1" t="n">
        <v>46090</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35183-2022</t>
        </is>
      </c>
      <c r="B325" s="1" t="n">
        <v>44797</v>
      </c>
      <c r="C325" s="1" t="n">
        <v>46090</v>
      </c>
      <c r="D325" t="inlineStr">
        <is>
          <t>SÖDERMANLANDS LÄN</t>
        </is>
      </c>
      <c r="E325" t="inlineStr">
        <is>
          <t>KATRINEHOLM</t>
        </is>
      </c>
      <c r="G325" t="n">
        <v>4.6</v>
      </c>
      <c r="H325" t="n">
        <v>0</v>
      </c>
      <c r="I325" t="n">
        <v>0</v>
      </c>
      <c r="J325" t="n">
        <v>0</v>
      </c>
      <c r="K325" t="n">
        <v>0</v>
      </c>
      <c r="L325" t="n">
        <v>0</v>
      </c>
      <c r="M325" t="n">
        <v>0</v>
      </c>
      <c r="N325" t="n">
        <v>0</v>
      </c>
      <c r="O325" t="n">
        <v>0</v>
      </c>
      <c r="P325" t="n">
        <v>0</v>
      </c>
      <c r="Q325" t="n">
        <v>0</v>
      </c>
      <c r="R325" s="2" t="inlineStr"/>
    </row>
    <row r="326" ht="15" customHeight="1">
      <c r="A326" t="inlineStr">
        <is>
          <t>A 12888-2025</t>
        </is>
      </c>
      <c r="B326" s="1" t="n">
        <v>45733</v>
      </c>
      <c r="C326" s="1" t="n">
        <v>46090</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7197-2023</t>
        </is>
      </c>
      <c r="B327" s="1" t="n">
        <v>44965</v>
      </c>
      <c r="C327" s="1" t="n">
        <v>46090</v>
      </c>
      <c r="D327" t="inlineStr">
        <is>
          <t>SÖDERMANLANDS LÄN</t>
        </is>
      </c>
      <c r="E327" t="inlineStr">
        <is>
          <t>KATRINEHOLM</t>
        </is>
      </c>
      <c r="G327" t="n">
        <v>5.3</v>
      </c>
      <c r="H327" t="n">
        <v>0</v>
      </c>
      <c r="I327" t="n">
        <v>0</v>
      </c>
      <c r="J327" t="n">
        <v>0</v>
      </c>
      <c r="K327" t="n">
        <v>0</v>
      </c>
      <c r="L327" t="n">
        <v>0</v>
      </c>
      <c r="M327" t="n">
        <v>0</v>
      </c>
      <c r="N327" t="n">
        <v>0</v>
      </c>
      <c r="O327" t="n">
        <v>0</v>
      </c>
      <c r="P327" t="n">
        <v>0</v>
      </c>
      <c r="Q327" t="n">
        <v>0</v>
      </c>
      <c r="R327" s="2" t="inlineStr"/>
    </row>
    <row r="328" ht="15" customHeight="1">
      <c r="A328" t="inlineStr">
        <is>
          <t>A 28394-2023</t>
        </is>
      </c>
      <c r="B328" s="1" t="n">
        <v>45100</v>
      </c>
      <c r="C328" s="1" t="n">
        <v>46090</v>
      </c>
      <c r="D328" t="inlineStr">
        <is>
          <t>SÖDERMANLANDS LÄN</t>
        </is>
      </c>
      <c r="E328" t="inlineStr">
        <is>
          <t>KATRINEHOLM</t>
        </is>
      </c>
      <c r="G328" t="n">
        <v>4.2</v>
      </c>
      <c r="H328" t="n">
        <v>0</v>
      </c>
      <c r="I328" t="n">
        <v>0</v>
      </c>
      <c r="J328" t="n">
        <v>0</v>
      </c>
      <c r="K328" t="n">
        <v>0</v>
      </c>
      <c r="L328" t="n">
        <v>0</v>
      </c>
      <c r="M328" t="n">
        <v>0</v>
      </c>
      <c r="N328" t="n">
        <v>0</v>
      </c>
      <c r="O328" t="n">
        <v>0</v>
      </c>
      <c r="P328" t="n">
        <v>0</v>
      </c>
      <c r="Q328" t="n">
        <v>0</v>
      </c>
      <c r="R328" s="2" t="inlineStr"/>
    </row>
    <row r="329" ht="15" customHeight="1">
      <c r="A329" t="inlineStr">
        <is>
          <t>A 31392-2025</t>
        </is>
      </c>
      <c r="B329" s="1" t="n">
        <v>45833</v>
      </c>
      <c r="C329" s="1" t="n">
        <v>46090</v>
      </c>
      <c r="D329" t="inlineStr">
        <is>
          <t>SÖDERMANLANDS LÄN</t>
        </is>
      </c>
      <c r="E329" t="inlineStr">
        <is>
          <t>KATRINEHOLM</t>
        </is>
      </c>
      <c r="G329" t="n">
        <v>5</v>
      </c>
      <c r="H329" t="n">
        <v>0</v>
      </c>
      <c r="I329" t="n">
        <v>0</v>
      </c>
      <c r="J329" t="n">
        <v>0</v>
      </c>
      <c r="K329" t="n">
        <v>0</v>
      </c>
      <c r="L329" t="n">
        <v>0</v>
      </c>
      <c r="M329" t="n">
        <v>0</v>
      </c>
      <c r="N329" t="n">
        <v>0</v>
      </c>
      <c r="O329" t="n">
        <v>0</v>
      </c>
      <c r="P329" t="n">
        <v>0</v>
      </c>
      <c r="Q329" t="n">
        <v>0</v>
      </c>
      <c r="R329" s="2" t="inlineStr"/>
    </row>
    <row r="330" ht="15" customHeight="1">
      <c r="A330" t="inlineStr">
        <is>
          <t>A 31376-2025</t>
        </is>
      </c>
      <c r="B330" s="1" t="n">
        <v>45833</v>
      </c>
      <c r="C330" s="1" t="n">
        <v>46090</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31386-2025</t>
        </is>
      </c>
      <c r="B331" s="1" t="n">
        <v>45833.45259259259</v>
      </c>
      <c r="C331" s="1" t="n">
        <v>46090</v>
      </c>
      <c r="D331" t="inlineStr">
        <is>
          <t>SÖDERMANLANDS LÄN</t>
        </is>
      </c>
      <c r="E331" t="inlineStr">
        <is>
          <t>KATRINEHOLM</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25362-2023</t>
        </is>
      </c>
      <c r="B332" s="1" t="n">
        <v>45088.83430555555</v>
      </c>
      <c r="C332" s="1" t="n">
        <v>46090</v>
      </c>
      <c r="D332" t="inlineStr">
        <is>
          <t>SÖDERMANLANDS LÄN</t>
        </is>
      </c>
      <c r="E332" t="inlineStr">
        <is>
          <t>KATRINEHOLM</t>
        </is>
      </c>
      <c r="G332" t="n">
        <v>1.5</v>
      </c>
      <c r="H332" t="n">
        <v>0</v>
      </c>
      <c r="I332" t="n">
        <v>0</v>
      </c>
      <c r="J332" t="n">
        <v>0</v>
      </c>
      <c r="K332" t="n">
        <v>0</v>
      </c>
      <c r="L332" t="n">
        <v>0</v>
      </c>
      <c r="M332" t="n">
        <v>0</v>
      </c>
      <c r="N332" t="n">
        <v>0</v>
      </c>
      <c r="O332" t="n">
        <v>0</v>
      </c>
      <c r="P332" t="n">
        <v>0</v>
      </c>
      <c r="Q332" t="n">
        <v>0</v>
      </c>
      <c r="R332" s="2" t="inlineStr"/>
    </row>
    <row r="333" ht="15" customHeight="1">
      <c r="A333" t="inlineStr">
        <is>
          <t>A 54873-2025</t>
        </is>
      </c>
      <c r="B333" s="1" t="n">
        <v>45967</v>
      </c>
      <c r="C333" s="1" t="n">
        <v>46090</v>
      </c>
      <c r="D333" t="inlineStr">
        <is>
          <t>SÖDERMANLANDS LÄN</t>
        </is>
      </c>
      <c r="E333" t="inlineStr">
        <is>
          <t>KATRINEHOLM</t>
        </is>
      </c>
      <c r="G333" t="n">
        <v>2.7</v>
      </c>
      <c r="H333" t="n">
        <v>0</v>
      </c>
      <c r="I333" t="n">
        <v>0</v>
      </c>
      <c r="J333" t="n">
        <v>0</v>
      </c>
      <c r="K333" t="n">
        <v>0</v>
      </c>
      <c r="L333" t="n">
        <v>0</v>
      </c>
      <c r="M333" t="n">
        <v>0</v>
      </c>
      <c r="N333" t="n">
        <v>0</v>
      </c>
      <c r="O333" t="n">
        <v>0</v>
      </c>
      <c r="P333" t="n">
        <v>0</v>
      </c>
      <c r="Q333" t="n">
        <v>0</v>
      </c>
      <c r="R333" s="2" t="inlineStr"/>
    </row>
    <row r="334" ht="15" customHeight="1">
      <c r="A334" t="inlineStr">
        <is>
          <t>A 47456-2022</t>
        </is>
      </c>
      <c r="B334" s="1" t="n">
        <v>44852</v>
      </c>
      <c r="C334" s="1" t="n">
        <v>46090</v>
      </c>
      <c r="D334" t="inlineStr">
        <is>
          <t>SÖDERMANLANDS LÄN</t>
        </is>
      </c>
      <c r="E334" t="inlineStr">
        <is>
          <t>KATRINEHOLM</t>
        </is>
      </c>
      <c r="G334" t="n">
        <v>3.7</v>
      </c>
      <c r="H334" t="n">
        <v>0</v>
      </c>
      <c r="I334" t="n">
        <v>0</v>
      </c>
      <c r="J334" t="n">
        <v>0</v>
      </c>
      <c r="K334" t="n">
        <v>0</v>
      </c>
      <c r="L334" t="n">
        <v>0</v>
      </c>
      <c r="M334" t="n">
        <v>0</v>
      </c>
      <c r="N334" t="n">
        <v>0</v>
      </c>
      <c r="O334" t="n">
        <v>0</v>
      </c>
      <c r="P334" t="n">
        <v>0</v>
      </c>
      <c r="Q334" t="n">
        <v>0</v>
      </c>
      <c r="R334" s="2" t="inlineStr"/>
    </row>
    <row r="335" ht="15" customHeight="1">
      <c r="A335" t="inlineStr">
        <is>
          <t>A 4656-2023</t>
        </is>
      </c>
      <c r="B335" s="1" t="n">
        <v>44957</v>
      </c>
      <c r="C335" s="1" t="n">
        <v>46090</v>
      </c>
      <c r="D335" t="inlineStr">
        <is>
          <t>SÖDERMANLANDS LÄN</t>
        </is>
      </c>
      <c r="E335" t="inlineStr">
        <is>
          <t>KATRINEHOLM</t>
        </is>
      </c>
      <c r="F335" t="inlineStr">
        <is>
          <t>Holmen skog AB</t>
        </is>
      </c>
      <c r="G335" t="n">
        <v>1.7</v>
      </c>
      <c r="H335" t="n">
        <v>0</v>
      </c>
      <c r="I335" t="n">
        <v>0</v>
      </c>
      <c r="J335" t="n">
        <v>0</v>
      </c>
      <c r="K335" t="n">
        <v>0</v>
      </c>
      <c r="L335" t="n">
        <v>0</v>
      </c>
      <c r="M335" t="n">
        <v>0</v>
      </c>
      <c r="N335" t="n">
        <v>0</v>
      </c>
      <c r="O335" t="n">
        <v>0</v>
      </c>
      <c r="P335" t="n">
        <v>0</v>
      </c>
      <c r="Q335" t="n">
        <v>0</v>
      </c>
      <c r="R335" s="2" t="inlineStr"/>
    </row>
    <row r="336" ht="15" customHeight="1">
      <c r="A336" t="inlineStr">
        <is>
          <t>A 46288-2025</t>
        </is>
      </c>
      <c r="B336" s="1" t="n">
        <v>45925.38545138889</v>
      </c>
      <c r="C336" s="1" t="n">
        <v>46090</v>
      </c>
      <c r="D336" t="inlineStr">
        <is>
          <t>SÖDERMANLANDS LÄN</t>
        </is>
      </c>
      <c r="E336" t="inlineStr">
        <is>
          <t>KATRINEHOLM</t>
        </is>
      </c>
      <c r="G336" t="n">
        <v>0.4</v>
      </c>
      <c r="H336" t="n">
        <v>0</v>
      </c>
      <c r="I336" t="n">
        <v>0</v>
      </c>
      <c r="J336" t="n">
        <v>0</v>
      </c>
      <c r="K336" t="n">
        <v>0</v>
      </c>
      <c r="L336" t="n">
        <v>0</v>
      </c>
      <c r="M336" t="n">
        <v>0</v>
      </c>
      <c r="N336" t="n">
        <v>0</v>
      </c>
      <c r="O336" t="n">
        <v>0</v>
      </c>
      <c r="P336" t="n">
        <v>0</v>
      </c>
      <c r="Q336" t="n">
        <v>0</v>
      </c>
      <c r="R336" s="2" t="inlineStr"/>
    </row>
    <row r="337" ht="15" customHeight="1">
      <c r="A337" t="inlineStr">
        <is>
          <t>A 49078-2024</t>
        </is>
      </c>
      <c r="B337" s="1" t="n">
        <v>45594.62556712963</v>
      </c>
      <c r="C337" s="1" t="n">
        <v>46090</v>
      </c>
      <c r="D337" t="inlineStr">
        <is>
          <t>SÖDERMANLANDS LÄN</t>
        </is>
      </c>
      <c r="E337" t="inlineStr">
        <is>
          <t>KATRINEHOLM</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35188-2022</t>
        </is>
      </c>
      <c r="B338" s="1" t="n">
        <v>44797</v>
      </c>
      <c r="C338" s="1" t="n">
        <v>46090</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5327-2025</t>
        </is>
      </c>
      <c r="B339" s="1" t="n">
        <v>45692</v>
      </c>
      <c r="C339" s="1" t="n">
        <v>46090</v>
      </c>
      <c r="D339" t="inlineStr">
        <is>
          <t>SÖDERMANLANDS LÄN</t>
        </is>
      </c>
      <c r="E339" t="inlineStr">
        <is>
          <t>KATRINEHOLM</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31990-2025</t>
        </is>
      </c>
      <c r="B340" s="1" t="n">
        <v>45835.36697916667</v>
      </c>
      <c r="C340" s="1" t="n">
        <v>46090</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6175-2023</t>
        </is>
      </c>
      <c r="B341" s="1" t="n">
        <v>44964</v>
      </c>
      <c r="C341" s="1" t="n">
        <v>46090</v>
      </c>
      <c r="D341" t="inlineStr">
        <is>
          <t>SÖDERMANLANDS LÄN</t>
        </is>
      </c>
      <c r="E341" t="inlineStr">
        <is>
          <t>KATRINEHOLM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4655-2024</t>
        </is>
      </c>
      <c r="B342" s="1" t="n">
        <v>45328</v>
      </c>
      <c r="C342" s="1" t="n">
        <v>46090</v>
      </c>
      <c r="D342" t="inlineStr">
        <is>
          <t>SÖDERMANLANDS LÄN</t>
        </is>
      </c>
      <c r="E342" t="inlineStr">
        <is>
          <t>KATRINEHOLM</t>
        </is>
      </c>
      <c r="G342" t="n">
        <v>17.7</v>
      </c>
      <c r="H342" t="n">
        <v>0</v>
      </c>
      <c r="I342" t="n">
        <v>0</v>
      </c>
      <c r="J342" t="n">
        <v>0</v>
      </c>
      <c r="K342" t="n">
        <v>0</v>
      </c>
      <c r="L342" t="n">
        <v>0</v>
      </c>
      <c r="M342" t="n">
        <v>0</v>
      </c>
      <c r="N342" t="n">
        <v>0</v>
      </c>
      <c r="O342" t="n">
        <v>0</v>
      </c>
      <c r="P342" t="n">
        <v>0</v>
      </c>
      <c r="Q342" t="n">
        <v>0</v>
      </c>
      <c r="R342" s="2" t="inlineStr"/>
    </row>
    <row r="343" ht="15" customHeight="1">
      <c r="A343" t="inlineStr">
        <is>
          <t>A 46524-2025</t>
        </is>
      </c>
      <c r="B343" s="1" t="n">
        <v>45926</v>
      </c>
      <c r="C343" s="1" t="n">
        <v>46090</v>
      </c>
      <c r="D343" t="inlineStr">
        <is>
          <t>SÖDERMANLANDS LÄN</t>
        </is>
      </c>
      <c r="E343" t="inlineStr">
        <is>
          <t>KATRINEHOLM</t>
        </is>
      </c>
      <c r="G343" t="n">
        <v>5.7</v>
      </c>
      <c r="H343" t="n">
        <v>0</v>
      </c>
      <c r="I343" t="n">
        <v>0</v>
      </c>
      <c r="J343" t="n">
        <v>0</v>
      </c>
      <c r="K343" t="n">
        <v>0</v>
      </c>
      <c r="L343" t="n">
        <v>0</v>
      </c>
      <c r="M343" t="n">
        <v>0</v>
      </c>
      <c r="N343" t="n">
        <v>0</v>
      </c>
      <c r="O343" t="n">
        <v>0</v>
      </c>
      <c r="P343" t="n">
        <v>0</v>
      </c>
      <c r="Q343" t="n">
        <v>0</v>
      </c>
      <c r="R343" s="2" t="inlineStr"/>
    </row>
    <row r="344" ht="15" customHeight="1">
      <c r="A344" t="inlineStr">
        <is>
          <t>A 50316-2023</t>
        </is>
      </c>
      <c r="B344" s="1" t="n">
        <v>45209</v>
      </c>
      <c r="C344" s="1" t="n">
        <v>46090</v>
      </c>
      <c r="D344" t="inlineStr">
        <is>
          <t>SÖDERMANLANDS LÄN</t>
        </is>
      </c>
      <c r="E344" t="inlineStr">
        <is>
          <t>KATRINEHOLM</t>
        </is>
      </c>
      <c r="G344" t="n">
        <v>1.9</v>
      </c>
      <c r="H344" t="n">
        <v>0</v>
      </c>
      <c r="I344" t="n">
        <v>0</v>
      </c>
      <c r="J344" t="n">
        <v>0</v>
      </c>
      <c r="K344" t="n">
        <v>0</v>
      </c>
      <c r="L344" t="n">
        <v>0</v>
      </c>
      <c r="M344" t="n">
        <v>0</v>
      </c>
      <c r="N344" t="n">
        <v>0</v>
      </c>
      <c r="O344" t="n">
        <v>0</v>
      </c>
      <c r="P344" t="n">
        <v>0</v>
      </c>
      <c r="Q344" t="n">
        <v>0</v>
      </c>
      <c r="R344" s="2" t="inlineStr"/>
    </row>
    <row r="345" ht="15" customHeight="1">
      <c r="A345" t="inlineStr">
        <is>
          <t>A 33084-2025</t>
        </is>
      </c>
      <c r="B345" s="1" t="n">
        <v>45840.46559027778</v>
      </c>
      <c r="C345" s="1" t="n">
        <v>46090</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46090</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51404-2023</t>
        </is>
      </c>
      <c r="B347" s="1" t="n">
        <v>45214</v>
      </c>
      <c r="C347" s="1" t="n">
        <v>46090</v>
      </c>
      <c r="D347" t="inlineStr">
        <is>
          <t>SÖDERMANLANDS LÄN</t>
        </is>
      </c>
      <c r="E347" t="inlineStr">
        <is>
          <t>KATRINEHOLM</t>
        </is>
      </c>
      <c r="G347" t="n">
        <v>9</v>
      </c>
      <c r="H347" t="n">
        <v>0</v>
      </c>
      <c r="I347" t="n">
        <v>0</v>
      </c>
      <c r="J347" t="n">
        <v>0</v>
      </c>
      <c r="K347" t="n">
        <v>0</v>
      </c>
      <c r="L347" t="n">
        <v>0</v>
      </c>
      <c r="M347" t="n">
        <v>0</v>
      </c>
      <c r="N347" t="n">
        <v>0</v>
      </c>
      <c r="O347" t="n">
        <v>0</v>
      </c>
      <c r="P347" t="n">
        <v>0</v>
      </c>
      <c r="Q347" t="n">
        <v>0</v>
      </c>
      <c r="R347" s="2" t="inlineStr"/>
    </row>
    <row r="348" ht="15" customHeight="1">
      <c r="A348" t="inlineStr">
        <is>
          <t>A 33090-2025</t>
        </is>
      </c>
      <c r="B348" s="1" t="n">
        <v>45840.46840277778</v>
      </c>
      <c r="C348" s="1" t="n">
        <v>46090</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33812-2025</t>
        </is>
      </c>
      <c r="B349" s="1" t="n">
        <v>45842</v>
      </c>
      <c r="C349" s="1" t="n">
        <v>46090</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15898-2022</t>
        </is>
      </c>
      <c r="B350" s="1" t="n">
        <v>44664.55688657407</v>
      </c>
      <c r="C350" s="1" t="n">
        <v>46090</v>
      </c>
      <c r="D350" t="inlineStr">
        <is>
          <t>SÖDERMANLANDS LÄN</t>
        </is>
      </c>
      <c r="E350" t="inlineStr">
        <is>
          <t>KATRINEHOLM</t>
        </is>
      </c>
      <c r="G350" t="n">
        <v>6.5</v>
      </c>
      <c r="H350" t="n">
        <v>0</v>
      </c>
      <c r="I350" t="n">
        <v>0</v>
      </c>
      <c r="J350" t="n">
        <v>0</v>
      </c>
      <c r="K350" t="n">
        <v>0</v>
      </c>
      <c r="L350" t="n">
        <v>0</v>
      </c>
      <c r="M350" t="n">
        <v>0</v>
      </c>
      <c r="N350" t="n">
        <v>0</v>
      </c>
      <c r="O350" t="n">
        <v>0</v>
      </c>
      <c r="P350" t="n">
        <v>0</v>
      </c>
      <c r="Q350" t="n">
        <v>0</v>
      </c>
      <c r="R350" s="2" t="inlineStr"/>
    </row>
    <row r="351" ht="15" customHeight="1">
      <c r="A351" t="inlineStr">
        <is>
          <t>A 15910-2022</t>
        </is>
      </c>
      <c r="B351" s="1" t="n">
        <v>44664</v>
      </c>
      <c r="C351" s="1" t="n">
        <v>46090</v>
      </c>
      <c r="D351" t="inlineStr">
        <is>
          <t>SÖDERMANLANDS LÄN</t>
        </is>
      </c>
      <c r="E351" t="inlineStr">
        <is>
          <t>KATRINEHOLM</t>
        </is>
      </c>
      <c r="G351" t="n">
        <v>5.6</v>
      </c>
      <c r="H351" t="n">
        <v>0</v>
      </c>
      <c r="I351" t="n">
        <v>0</v>
      </c>
      <c r="J351" t="n">
        <v>0</v>
      </c>
      <c r="K351" t="n">
        <v>0</v>
      </c>
      <c r="L351" t="n">
        <v>0</v>
      </c>
      <c r="M351" t="n">
        <v>0</v>
      </c>
      <c r="N351" t="n">
        <v>0</v>
      </c>
      <c r="O351" t="n">
        <v>0</v>
      </c>
      <c r="P351" t="n">
        <v>0</v>
      </c>
      <c r="Q351" t="n">
        <v>0</v>
      </c>
      <c r="R351" s="2" t="inlineStr"/>
    </row>
    <row r="352" ht="15" customHeight="1">
      <c r="A352" t="inlineStr">
        <is>
          <t>A 64605-2023</t>
        </is>
      </c>
      <c r="B352" s="1" t="n">
        <v>45281</v>
      </c>
      <c r="C352" s="1" t="n">
        <v>46090</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64652-2023</t>
        </is>
      </c>
      <c r="B353" s="1" t="n">
        <v>45281</v>
      </c>
      <c r="C353" s="1" t="n">
        <v>46090</v>
      </c>
      <c r="D353" t="inlineStr">
        <is>
          <t>SÖDERMANLANDS LÄN</t>
        </is>
      </c>
      <c r="E353" t="inlineStr">
        <is>
          <t>KATRINEHOLM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6762-2025</t>
        </is>
      </c>
      <c r="B354" s="1" t="n">
        <v>45700</v>
      </c>
      <c r="C354" s="1" t="n">
        <v>46090</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33815-2025</t>
        </is>
      </c>
      <c r="B355" s="1" t="n">
        <v>45842</v>
      </c>
      <c r="C355" s="1" t="n">
        <v>46090</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29830-2023</t>
        </is>
      </c>
      <c r="B356" s="1" t="n">
        <v>45107</v>
      </c>
      <c r="C356" s="1" t="n">
        <v>46090</v>
      </c>
      <c r="D356" t="inlineStr">
        <is>
          <t>SÖDERMANLANDS LÄN</t>
        </is>
      </c>
      <c r="E356" t="inlineStr">
        <is>
          <t>KATRINEHOLM</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20213-2025</t>
        </is>
      </c>
      <c r="B357" s="1" t="n">
        <v>45772.63453703704</v>
      </c>
      <c r="C357" s="1" t="n">
        <v>46090</v>
      </c>
      <c r="D357" t="inlineStr">
        <is>
          <t>SÖDERMANLANDS LÄN</t>
        </is>
      </c>
      <c r="E357" t="inlineStr">
        <is>
          <t>KATRINEHOLM</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28582-2024</t>
        </is>
      </c>
      <c r="B358" s="1" t="n">
        <v>45478.40751157407</v>
      </c>
      <c r="C358" s="1" t="n">
        <v>46090</v>
      </c>
      <c r="D358" t="inlineStr">
        <is>
          <t>SÖDERMANLANDS LÄN</t>
        </is>
      </c>
      <c r="E358" t="inlineStr">
        <is>
          <t>KATRINEHOLM</t>
        </is>
      </c>
      <c r="F358" t="inlineStr">
        <is>
          <t>Övriga Aktiebolag</t>
        </is>
      </c>
      <c r="G358" t="n">
        <v>4</v>
      </c>
      <c r="H358" t="n">
        <v>0</v>
      </c>
      <c r="I358" t="n">
        <v>0</v>
      </c>
      <c r="J358" t="n">
        <v>0</v>
      </c>
      <c r="K358" t="n">
        <v>0</v>
      </c>
      <c r="L358" t="n">
        <v>0</v>
      </c>
      <c r="M358" t="n">
        <v>0</v>
      </c>
      <c r="N358" t="n">
        <v>0</v>
      </c>
      <c r="O358" t="n">
        <v>0</v>
      </c>
      <c r="P358" t="n">
        <v>0</v>
      </c>
      <c r="Q358" t="n">
        <v>0</v>
      </c>
      <c r="R358" s="2" t="inlineStr"/>
    </row>
    <row r="359" ht="15" customHeight="1">
      <c r="A359" t="inlineStr">
        <is>
          <t>A 29394-2024</t>
        </is>
      </c>
      <c r="B359" s="1" t="n">
        <v>45483</v>
      </c>
      <c r="C359" s="1" t="n">
        <v>46090</v>
      </c>
      <c r="D359" t="inlineStr">
        <is>
          <t>SÖDERMANLANDS LÄN</t>
        </is>
      </c>
      <c r="E359" t="inlineStr">
        <is>
          <t>KATRINEHOLM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46011-2021</t>
        </is>
      </c>
      <c r="B360" s="1" t="n">
        <v>44441.88092592593</v>
      </c>
      <c r="C360" s="1" t="n">
        <v>46090</v>
      </c>
      <c r="D360" t="inlineStr">
        <is>
          <t>SÖDERMANLANDS LÄN</t>
        </is>
      </c>
      <c r="E360" t="inlineStr">
        <is>
          <t>KATRINEHOLM</t>
        </is>
      </c>
      <c r="G360" t="n">
        <v>4.7</v>
      </c>
      <c r="H360" t="n">
        <v>0</v>
      </c>
      <c r="I360" t="n">
        <v>0</v>
      </c>
      <c r="J360" t="n">
        <v>0</v>
      </c>
      <c r="K360" t="n">
        <v>0</v>
      </c>
      <c r="L360" t="n">
        <v>0</v>
      </c>
      <c r="M360" t="n">
        <v>0</v>
      </c>
      <c r="N360" t="n">
        <v>0</v>
      </c>
      <c r="O360" t="n">
        <v>0</v>
      </c>
      <c r="P360" t="n">
        <v>0</v>
      </c>
      <c r="Q360" t="n">
        <v>0</v>
      </c>
      <c r="R360" s="2" t="inlineStr"/>
    </row>
    <row r="361" ht="15" customHeight="1">
      <c r="A361" t="inlineStr">
        <is>
          <t>A 30387-2022</t>
        </is>
      </c>
      <c r="B361" s="1" t="n">
        <v>44760</v>
      </c>
      <c r="C361" s="1" t="n">
        <v>46090</v>
      </c>
      <c r="D361" t="inlineStr">
        <is>
          <t>SÖDERMANLANDS LÄN</t>
        </is>
      </c>
      <c r="E361" t="inlineStr">
        <is>
          <t>KATRINEHOLM</t>
        </is>
      </c>
      <c r="G361" t="n">
        <v>1.9</v>
      </c>
      <c r="H361" t="n">
        <v>0</v>
      </c>
      <c r="I361" t="n">
        <v>0</v>
      </c>
      <c r="J361" t="n">
        <v>0</v>
      </c>
      <c r="K361" t="n">
        <v>0</v>
      </c>
      <c r="L361" t="n">
        <v>0</v>
      </c>
      <c r="M361" t="n">
        <v>0</v>
      </c>
      <c r="N361" t="n">
        <v>0</v>
      </c>
      <c r="O361" t="n">
        <v>0</v>
      </c>
      <c r="P361" t="n">
        <v>0</v>
      </c>
      <c r="Q361" t="n">
        <v>0</v>
      </c>
      <c r="R361" s="2" t="inlineStr"/>
    </row>
    <row r="362" ht="15" customHeight="1">
      <c r="A362" t="inlineStr">
        <is>
          <t>A 61394-2024</t>
        </is>
      </c>
      <c r="B362" s="1" t="n">
        <v>45646.42061342593</v>
      </c>
      <c r="C362" s="1" t="n">
        <v>46090</v>
      </c>
      <c r="D362" t="inlineStr">
        <is>
          <t>SÖDERMANLANDS LÄN</t>
        </is>
      </c>
      <c r="E362" t="inlineStr">
        <is>
          <t>KATRINEHOLM</t>
        </is>
      </c>
      <c r="G362" t="n">
        <v>1.6</v>
      </c>
      <c r="H362" t="n">
        <v>0</v>
      </c>
      <c r="I362" t="n">
        <v>0</v>
      </c>
      <c r="J362" t="n">
        <v>0</v>
      </c>
      <c r="K362" t="n">
        <v>0</v>
      </c>
      <c r="L362" t="n">
        <v>0</v>
      </c>
      <c r="M362" t="n">
        <v>0</v>
      </c>
      <c r="N362" t="n">
        <v>0</v>
      </c>
      <c r="O362" t="n">
        <v>0</v>
      </c>
      <c r="P362" t="n">
        <v>0</v>
      </c>
      <c r="Q362" t="n">
        <v>0</v>
      </c>
      <c r="R362" s="2" t="inlineStr"/>
    </row>
    <row r="363" ht="15" customHeight="1">
      <c r="A363" t="inlineStr">
        <is>
          <t>A 931-2023</t>
        </is>
      </c>
      <c r="B363" s="1" t="n">
        <v>44932.74261574074</v>
      </c>
      <c r="C363" s="1" t="n">
        <v>46090</v>
      </c>
      <c r="D363" t="inlineStr">
        <is>
          <t>SÖDERMANLANDS LÄN</t>
        </is>
      </c>
      <c r="E363" t="inlineStr">
        <is>
          <t>KATRINEHOLM</t>
        </is>
      </c>
      <c r="G363" t="n">
        <v>4</v>
      </c>
      <c r="H363" t="n">
        <v>0</v>
      </c>
      <c r="I363" t="n">
        <v>0</v>
      </c>
      <c r="J363" t="n">
        <v>0</v>
      </c>
      <c r="K363" t="n">
        <v>0</v>
      </c>
      <c r="L363" t="n">
        <v>0</v>
      </c>
      <c r="M363" t="n">
        <v>0</v>
      </c>
      <c r="N363" t="n">
        <v>0</v>
      </c>
      <c r="O363" t="n">
        <v>0</v>
      </c>
      <c r="P363" t="n">
        <v>0</v>
      </c>
      <c r="Q363" t="n">
        <v>0</v>
      </c>
      <c r="R363" s="2" t="inlineStr"/>
    </row>
    <row r="364" ht="15" customHeight="1">
      <c r="A364" t="inlineStr">
        <is>
          <t>A 35156-2025</t>
        </is>
      </c>
      <c r="B364" s="1" t="n">
        <v>45852</v>
      </c>
      <c r="C364" s="1" t="n">
        <v>46090</v>
      </c>
      <c r="D364" t="inlineStr">
        <is>
          <t>SÖDERMANLANDS LÄN</t>
        </is>
      </c>
      <c r="E364" t="inlineStr">
        <is>
          <t>KATRINEHOLM</t>
        </is>
      </c>
      <c r="G364" t="n">
        <v>5.7</v>
      </c>
      <c r="H364" t="n">
        <v>0</v>
      </c>
      <c r="I364" t="n">
        <v>0</v>
      </c>
      <c r="J364" t="n">
        <v>0</v>
      </c>
      <c r="K364" t="n">
        <v>0</v>
      </c>
      <c r="L364" t="n">
        <v>0</v>
      </c>
      <c r="M364" t="n">
        <v>0</v>
      </c>
      <c r="N364" t="n">
        <v>0</v>
      </c>
      <c r="O364" t="n">
        <v>0</v>
      </c>
      <c r="P364" t="n">
        <v>0</v>
      </c>
      <c r="Q364" t="n">
        <v>0</v>
      </c>
      <c r="R364" s="2" t="inlineStr"/>
    </row>
    <row r="365" ht="15" customHeight="1">
      <c r="A365" t="inlineStr">
        <is>
          <t>A 35145-2025</t>
        </is>
      </c>
      <c r="B365" s="1" t="n">
        <v>45852</v>
      </c>
      <c r="C365" s="1" t="n">
        <v>46090</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35157-2025</t>
        </is>
      </c>
      <c r="B366" s="1" t="n">
        <v>45852</v>
      </c>
      <c r="C366" s="1" t="n">
        <v>46090</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35084-2025</t>
        </is>
      </c>
      <c r="B367" s="1" t="n">
        <v>45852</v>
      </c>
      <c r="C367" s="1" t="n">
        <v>46090</v>
      </c>
      <c r="D367" t="inlineStr">
        <is>
          <t>SÖDERMANLANDS LÄN</t>
        </is>
      </c>
      <c r="E367" t="inlineStr">
        <is>
          <t>KATRINEHOLM</t>
        </is>
      </c>
      <c r="G367" t="n">
        <v>3.2</v>
      </c>
      <c r="H367" t="n">
        <v>0</v>
      </c>
      <c r="I367" t="n">
        <v>0</v>
      </c>
      <c r="J367" t="n">
        <v>0</v>
      </c>
      <c r="K367" t="n">
        <v>0</v>
      </c>
      <c r="L367" t="n">
        <v>0</v>
      </c>
      <c r="M367" t="n">
        <v>0</v>
      </c>
      <c r="N367" t="n">
        <v>0</v>
      </c>
      <c r="O367" t="n">
        <v>0</v>
      </c>
      <c r="P367" t="n">
        <v>0</v>
      </c>
      <c r="Q367" t="n">
        <v>0</v>
      </c>
      <c r="R367" s="2" t="inlineStr"/>
    </row>
    <row r="368" ht="15" customHeight="1">
      <c r="A368" t="inlineStr">
        <is>
          <t>A 35149-2025</t>
        </is>
      </c>
      <c r="B368" s="1" t="n">
        <v>45852</v>
      </c>
      <c r="C368" s="1" t="n">
        <v>46090</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35161-2025</t>
        </is>
      </c>
      <c r="B369" s="1" t="n">
        <v>45852.70716435185</v>
      </c>
      <c r="C369" s="1" t="n">
        <v>46090</v>
      </c>
      <c r="D369" t="inlineStr">
        <is>
          <t>SÖDERMANLANDS LÄN</t>
        </is>
      </c>
      <c r="E369" t="inlineStr">
        <is>
          <t>KATRINEHOLM</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35152-2025</t>
        </is>
      </c>
      <c r="B370" s="1" t="n">
        <v>45852</v>
      </c>
      <c r="C370" s="1" t="n">
        <v>46090</v>
      </c>
      <c r="D370" t="inlineStr">
        <is>
          <t>SÖDERMANLANDS LÄN</t>
        </is>
      </c>
      <c r="E370" t="inlineStr">
        <is>
          <t>KATRINEHOLM</t>
        </is>
      </c>
      <c r="G370" t="n">
        <v>4.6</v>
      </c>
      <c r="H370" t="n">
        <v>0</v>
      </c>
      <c r="I370" t="n">
        <v>0</v>
      </c>
      <c r="J370" t="n">
        <v>0</v>
      </c>
      <c r="K370" t="n">
        <v>0</v>
      </c>
      <c r="L370" t="n">
        <v>0</v>
      </c>
      <c r="M370" t="n">
        <v>0</v>
      </c>
      <c r="N370" t="n">
        <v>0</v>
      </c>
      <c r="O370" t="n">
        <v>0</v>
      </c>
      <c r="P370" t="n">
        <v>0</v>
      </c>
      <c r="Q370" t="n">
        <v>0</v>
      </c>
      <c r="R370" s="2" t="inlineStr"/>
    </row>
    <row r="371" ht="15" customHeight="1">
      <c r="A371" t="inlineStr">
        <is>
          <t>A 35165-2025</t>
        </is>
      </c>
      <c r="B371" s="1" t="n">
        <v>45852.72320601852</v>
      </c>
      <c r="C371" s="1" t="n">
        <v>46090</v>
      </c>
      <c r="D371" t="inlineStr">
        <is>
          <t>SÖDERMANLANDS LÄN</t>
        </is>
      </c>
      <c r="E371" t="inlineStr">
        <is>
          <t>KATRINEHOLM</t>
        </is>
      </c>
      <c r="F371" t="inlineStr">
        <is>
          <t>Övriga Aktiebolag</t>
        </is>
      </c>
      <c r="G371" t="n">
        <v>20.7</v>
      </c>
      <c r="H371" t="n">
        <v>0</v>
      </c>
      <c r="I371" t="n">
        <v>0</v>
      </c>
      <c r="J371" t="n">
        <v>0</v>
      </c>
      <c r="K371" t="n">
        <v>0</v>
      </c>
      <c r="L371" t="n">
        <v>0</v>
      </c>
      <c r="M371" t="n">
        <v>0</v>
      </c>
      <c r="N371" t="n">
        <v>0</v>
      </c>
      <c r="O371" t="n">
        <v>0</v>
      </c>
      <c r="P371" t="n">
        <v>0</v>
      </c>
      <c r="Q371" t="n">
        <v>0</v>
      </c>
      <c r="R371" s="2" t="inlineStr"/>
    </row>
    <row r="372" ht="15" customHeight="1">
      <c r="A372" t="inlineStr">
        <is>
          <t>A 35158-2025</t>
        </is>
      </c>
      <c r="B372" s="1" t="n">
        <v>45852</v>
      </c>
      <c r="C372" s="1" t="n">
        <v>46090</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38883-2024</t>
        </is>
      </c>
      <c r="B373" s="1" t="n">
        <v>45547</v>
      </c>
      <c r="C373" s="1" t="n">
        <v>46090</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6796-2022</t>
        </is>
      </c>
      <c r="B374" s="1" t="n">
        <v>44602</v>
      </c>
      <c r="C374" s="1" t="n">
        <v>46090</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34439-2025</t>
        </is>
      </c>
      <c r="B375" s="1" t="n">
        <v>45845</v>
      </c>
      <c r="C375" s="1" t="n">
        <v>46090</v>
      </c>
      <c r="D375" t="inlineStr">
        <is>
          <t>SÖDERMANLANDS LÄN</t>
        </is>
      </c>
      <c r="E375" t="inlineStr">
        <is>
          <t>KATRINEHOLM</t>
        </is>
      </c>
      <c r="G375" t="n">
        <v>1.4</v>
      </c>
      <c r="H375" t="n">
        <v>0</v>
      </c>
      <c r="I375" t="n">
        <v>0</v>
      </c>
      <c r="J375" t="n">
        <v>0</v>
      </c>
      <c r="K375" t="n">
        <v>0</v>
      </c>
      <c r="L375" t="n">
        <v>0</v>
      </c>
      <c r="M375" t="n">
        <v>0</v>
      </c>
      <c r="N375" t="n">
        <v>0</v>
      </c>
      <c r="O375" t="n">
        <v>0</v>
      </c>
      <c r="P375" t="n">
        <v>0</v>
      </c>
      <c r="Q375" t="n">
        <v>0</v>
      </c>
      <c r="R375" s="2" t="inlineStr"/>
    </row>
    <row r="376" ht="15" customHeight="1">
      <c r="A376" t="inlineStr">
        <is>
          <t>A 52857-2021</t>
        </is>
      </c>
      <c r="B376" s="1" t="n">
        <v>44466</v>
      </c>
      <c r="C376" s="1" t="n">
        <v>46090</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42015-2022</t>
        </is>
      </c>
      <c r="B377" s="1" t="n">
        <v>44830.4649074074</v>
      </c>
      <c r="C377" s="1" t="n">
        <v>46090</v>
      </c>
      <c r="D377" t="inlineStr">
        <is>
          <t>SÖDERMANLANDS LÄN</t>
        </is>
      </c>
      <c r="E377" t="inlineStr">
        <is>
          <t>KATRINEHOLM</t>
        </is>
      </c>
      <c r="G377" t="n">
        <v>3.8</v>
      </c>
      <c r="H377" t="n">
        <v>0</v>
      </c>
      <c r="I377" t="n">
        <v>0</v>
      </c>
      <c r="J377" t="n">
        <v>0</v>
      </c>
      <c r="K377" t="n">
        <v>0</v>
      </c>
      <c r="L377" t="n">
        <v>0</v>
      </c>
      <c r="M377" t="n">
        <v>0</v>
      </c>
      <c r="N377" t="n">
        <v>0</v>
      </c>
      <c r="O377" t="n">
        <v>0</v>
      </c>
      <c r="P377" t="n">
        <v>0</v>
      </c>
      <c r="Q377" t="n">
        <v>0</v>
      </c>
      <c r="R377" s="2" t="inlineStr"/>
    </row>
    <row r="378" ht="15" customHeight="1">
      <c r="A378" t="inlineStr">
        <is>
          <t>A 42020-2022</t>
        </is>
      </c>
      <c r="B378" s="1" t="n">
        <v>44830.46849537037</v>
      </c>
      <c r="C378" s="1" t="n">
        <v>46090</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8394-2024</t>
        </is>
      </c>
      <c r="B379" s="1" t="n">
        <v>45352</v>
      </c>
      <c r="C379" s="1" t="n">
        <v>46090</v>
      </c>
      <c r="D379" t="inlineStr">
        <is>
          <t>SÖDERMANLANDS LÄN</t>
        </is>
      </c>
      <c r="E379" t="inlineStr">
        <is>
          <t>KATRINEHOLM</t>
        </is>
      </c>
      <c r="G379" t="n">
        <v>4</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46090</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46090</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25716-2022</t>
        </is>
      </c>
      <c r="B382" s="1" t="n">
        <v>44733.39600694444</v>
      </c>
      <c r="C382" s="1" t="n">
        <v>46090</v>
      </c>
      <c r="D382" t="inlineStr">
        <is>
          <t>SÖDERMANLANDS LÄN</t>
        </is>
      </c>
      <c r="E382" t="inlineStr">
        <is>
          <t>KATRINEHOLM</t>
        </is>
      </c>
      <c r="G382" t="n">
        <v>3.4</v>
      </c>
      <c r="H382" t="n">
        <v>0</v>
      </c>
      <c r="I382" t="n">
        <v>0</v>
      </c>
      <c r="J382" t="n">
        <v>0</v>
      </c>
      <c r="K382" t="n">
        <v>0</v>
      </c>
      <c r="L382" t="n">
        <v>0</v>
      </c>
      <c r="M382" t="n">
        <v>0</v>
      </c>
      <c r="N382" t="n">
        <v>0</v>
      </c>
      <c r="O382" t="n">
        <v>0</v>
      </c>
      <c r="P382" t="n">
        <v>0</v>
      </c>
      <c r="Q382" t="n">
        <v>0</v>
      </c>
      <c r="R382" s="2" t="inlineStr"/>
    </row>
    <row r="383" ht="15" customHeight="1">
      <c r="A383" t="inlineStr">
        <is>
          <t>A 23842-2023</t>
        </is>
      </c>
      <c r="B383" s="1" t="n">
        <v>45075</v>
      </c>
      <c r="C383" s="1" t="n">
        <v>46090</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46700-2023</t>
        </is>
      </c>
      <c r="B384" s="1" t="n">
        <v>45194</v>
      </c>
      <c r="C384" s="1" t="n">
        <v>46090</v>
      </c>
      <c r="D384" t="inlineStr">
        <is>
          <t>SÖDERMANLANDS LÄN</t>
        </is>
      </c>
      <c r="E384" t="inlineStr">
        <is>
          <t>KATRINEHOLM</t>
        </is>
      </c>
      <c r="G384" t="n">
        <v>3</v>
      </c>
      <c r="H384" t="n">
        <v>0</v>
      </c>
      <c r="I384" t="n">
        <v>0</v>
      </c>
      <c r="J384" t="n">
        <v>0</v>
      </c>
      <c r="K384" t="n">
        <v>0</v>
      </c>
      <c r="L384" t="n">
        <v>0</v>
      </c>
      <c r="M384" t="n">
        <v>0</v>
      </c>
      <c r="N384" t="n">
        <v>0</v>
      </c>
      <c r="O384" t="n">
        <v>0</v>
      </c>
      <c r="P384" t="n">
        <v>0</v>
      </c>
      <c r="Q384" t="n">
        <v>0</v>
      </c>
      <c r="R384" s="2" t="inlineStr"/>
    </row>
    <row r="385" ht="15" customHeight="1">
      <c r="A385" t="inlineStr">
        <is>
          <t>A 34176-2025</t>
        </is>
      </c>
      <c r="B385" s="1" t="n">
        <v>45845</v>
      </c>
      <c r="C385" s="1" t="n">
        <v>46090</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46090</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50032-2022</t>
        </is>
      </c>
      <c r="B387" s="1" t="n">
        <v>44860</v>
      </c>
      <c r="C387" s="1" t="n">
        <v>46090</v>
      </c>
      <c r="D387" t="inlineStr">
        <is>
          <t>SÖDERMANLANDS LÄN</t>
        </is>
      </c>
      <c r="E387" t="inlineStr">
        <is>
          <t>KATRINEHOLM</t>
        </is>
      </c>
      <c r="G387" t="n">
        <v>7.5</v>
      </c>
      <c r="H387" t="n">
        <v>0</v>
      </c>
      <c r="I387" t="n">
        <v>0</v>
      </c>
      <c r="J387" t="n">
        <v>0</v>
      </c>
      <c r="K387" t="n">
        <v>0</v>
      </c>
      <c r="L387" t="n">
        <v>0</v>
      </c>
      <c r="M387" t="n">
        <v>0</v>
      </c>
      <c r="N387" t="n">
        <v>0</v>
      </c>
      <c r="O387" t="n">
        <v>0</v>
      </c>
      <c r="P387" t="n">
        <v>0</v>
      </c>
      <c r="Q387" t="n">
        <v>0</v>
      </c>
      <c r="R387" s="2" t="inlineStr"/>
    </row>
    <row r="388" ht="15" customHeight="1">
      <c r="A388" t="inlineStr">
        <is>
          <t>A 44024-2021</t>
        </is>
      </c>
      <c r="B388" s="1" t="n">
        <v>44434</v>
      </c>
      <c r="C388" s="1" t="n">
        <v>46090</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50804-2023</t>
        </is>
      </c>
      <c r="B389" s="1" t="n">
        <v>45211</v>
      </c>
      <c r="C389" s="1" t="n">
        <v>46090</v>
      </c>
      <c r="D389" t="inlineStr">
        <is>
          <t>SÖDERMANLANDS LÄN</t>
        </is>
      </c>
      <c r="E389" t="inlineStr">
        <is>
          <t>KATRINEHOLM</t>
        </is>
      </c>
      <c r="G389" t="n">
        <v>4</v>
      </c>
      <c r="H389" t="n">
        <v>0</v>
      </c>
      <c r="I389" t="n">
        <v>0</v>
      </c>
      <c r="J389" t="n">
        <v>0</v>
      </c>
      <c r="K389" t="n">
        <v>0</v>
      </c>
      <c r="L389" t="n">
        <v>0</v>
      </c>
      <c r="M389" t="n">
        <v>0</v>
      </c>
      <c r="N389" t="n">
        <v>0</v>
      </c>
      <c r="O389" t="n">
        <v>0</v>
      </c>
      <c r="P389" t="n">
        <v>0</v>
      </c>
      <c r="Q389" t="n">
        <v>0</v>
      </c>
      <c r="R389" s="2" t="inlineStr"/>
    </row>
    <row r="390" ht="15" customHeight="1">
      <c r="A390" t="inlineStr">
        <is>
          <t>A 29502-2023</t>
        </is>
      </c>
      <c r="B390" s="1" t="n">
        <v>45106</v>
      </c>
      <c r="C390" s="1" t="n">
        <v>46090</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56074-2022</t>
        </is>
      </c>
      <c r="B391" s="1" t="n">
        <v>44889</v>
      </c>
      <c r="C391" s="1" t="n">
        <v>46090</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c r="T391">
        <f>HYPERLINK("https://klasma.github.io/Logging_0483/kartor/A 56074-2022 karta.png", "A 56074-2022")</f>
        <v/>
      </c>
      <c r="V391">
        <f>HYPERLINK("https://klasma.github.io/Logging_0483/klagomål/A 56074-2022 FSC-klagomål.docx", "A 56074-2022")</f>
        <v/>
      </c>
      <c r="W391">
        <f>HYPERLINK("https://klasma.github.io/Logging_0483/klagomålsmail/A 56074-2022 FSC-klagomål mail.docx", "A 56074-2022")</f>
        <v/>
      </c>
      <c r="X391">
        <f>HYPERLINK("https://klasma.github.io/Logging_0483/tillsyn/A 56074-2022 tillsynsbegäran.docx", "A 56074-2022")</f>
        <v/>
      </c>
      <c r="Y391">
        <f>HYPERLINK("https://klasma.github.io/Logging_0483/tillsynsmail/A 56074-2022 tillsynsbegäran mail.docx", "A 56074-2022")</f>
        <v/>
      </c>
    </row>
    <row r="392" ht="15" customHeight="1">
      <c r="A392" t="inlineStr">
        <is>
          <t>A 8922-2024</t>
        </is>
      </c>
      <c r="B392" s="1" t="n">
        <v>45357.38601851852</v>
      </c>
      <c r="C392" s="1" t="n">
        <v>46090</v>
      </c>
      <c r="D392" t="inlineStr">
        <is>
          <t>SÖDERMANLANDS LÄN</t>
        </is>
      </c>
      <c r="E392" t="inlineStr">
        <is>
          <t>KATRINEHOLM</t>
        </is>
      </c>
      <c r="G392" t="n">
        <v>2.2</v>
      </c>
      <c r="H392" t="n">
        <v>0</v>
      </c>
      <c r="I392" t="n">
        <v>0</v>
      </c>
      <c r="J392" t="n">
        <v>0</v>
      </c>
      <c r="K392" t="n">
        <v>0</v>
      </c>
      <c r="L392" t="n">
        <v>0</v>
      </c>
      <c r="M392" t="n">
        <v>0</v>
      </c>
      <c r="N392" t="n">
        <v>0</v>
      </c>
      <c r="O392" t="n">
        <v>0</v>
      </c>
      <c r="P392" t="n">
        <v>0</v>
      </c>
      <c r="Q392" t="n">
        <v>0</v>
      </c>
      <c r="R392" s="2" t="inlineStr"/>
    </row>
    <row r="393" ht="15" customHeight="1">
      <c r="A393" t="inlineStr">
        <is>
          <t>A 45376-2022</t>
        </is>
      </c>
      <c r="B393" s="1" t="n">
        <v>44844</v>
      </c>
      <c r="C393" s="1" t="n">
        <v>46090</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39748-2022</t>
        </is>
      </c>
      <c r="B394" s="1" t="n">
        <v>44817</v>
      </c>
      <c r="C394" s="1" t="n">
        <v>46090</v>
      </c>
      <c r="D394" t="inlineStr">
        <is>
          <t>SÖDERMANLANDS LÄN</t>
        </is>
      </c>
      <c r="E394" t="inlineStr">
        <is>
          <t>KATRINEHOLM</t>
        </is>
      </c>
      <c r="G394" t="n">
        <v>10.2</v>
      </c>
      <c r="H394" t="n">
        <v>0</v>
      </c>
      <c r="I394" t="n">
        <v>0</v>
      </c>
      <c r="J394" t="n">
        <v>0</v>
      </c>
      <c r="K394" t="n">
        <v>0</v>
      </c>
      <c r="L394" t="n">
        <v>0</v>
      </c>
      <c r="M394" t="n">
        <v>0</v>
      </c>
      <c r="N394" t="n">
        <v>0</v>
      </c>
      <c r="O394" t="n">
        <v>0</v>
      </c>
      <c r="P394" t="n">
        <v>0</v>
      </c>
      <c r="Q394" t="n">
        <v>0</v>
      </c>
      <c r="R394" s="2" t="inlineStr"/>
    </row>
    <row r="395" ht="15" customHeight="1">
      <c r="A395" t="inlineStr">
        <is>
          <t>A 12227-2025</t>
        </is>
      </c>
      <c r="B395" s="1" t="n">
        <v>45729.56836805555</v>
      </c>
      <c r="C395" s="1" t="n">
        <v>46090</v>
      </c>
      <c r="D395" t="inlineStr">
        <is>
          <t>SÖDERMANLANDS LÄN</t>
        </is>
      </c>
      <c r="E395" t="inlineStr">
        <is>
          <t>KATRINEHOLM</t>
        </is>
      </c>
      <c r="G395" t="n">
        <v>7</v>
      </c>
      <c r="H395" t="n">
        <v>0</v>
      </c>
      <c r="I395" t="n">
        <v>0</v>
      </c>
      <c r="J395" t="n">
        <v>0</v>
      </c>
      <c r="K395" t="n">
        <v>0</v>
      </c>
      <c r="L395" t="n">
        <v>0</v>
      </c>
      <c r="M395" t="n">
        <v>0</v>
      </c>
      <c r="N395" t="n">
        <v>0</v>
      </c>
      <c r="O395" t="n">
        <v>0</v>
      </c>
      <c r="P395" t="n">
        <v>0</v>
      </c>
      <c r="Q395" t="n">
        <v>0</v>
      </c>
      <c r="R395" s="2" t="inlineStr"/>
    </row>
    <row r="396" ht="15" customHeight="1">
      <c r="A396" t="inlineStr">
        <is>
          <t>A 50934-2025</t>
        </is>
      </c>
      <c r="B396" s="1" t="n">
        <v>45946.69195601852</v>
      </c>
      <c r="C396" s="1" t="n">
        <v>46090</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36590-2025</t>
        </is>
      </c>
      <c r="B397" s="1" t="n">
        <v>45870</v>
      </c>
      <c r="C397" s="1" t="n">
        <v>46090</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50021-2023</t>
        </is>
      </c>
      <c r="B398" s="1" t="n">
        <v>45215</v>
      </c>
      <c r="C398" s="1" t="n">
        <v>46090</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3090-2025</t>
        </is>
      </c>
      <c r="B399" s="1" t="n">
        <v>45678</v>
      </c>
      <c r="C399" s="1" t="n">
        <v>46090</v>
      </c>
      <c r="D399" t="inlineStr">
        <is>
          <t>SÖDERMANLANDS LÄN</t>
        </is>
      </c>
      <c r="E399" t="inlineStr">
        <is>
          <t>KATRINEHOLM</t>
        </is>
      </c>
      <c r="F399" t="inlineStr">
        <is>
          <t>Kyrkan</t>
        </is>
      </c>
      <c r="G399" t="n">
        <v>6.9</v>
      </c>
      <c r="H399" t="n">
        <v>0</v>
      </c>
      <c r="I399" t="n">
        <v>0</v>
      </c>
      <c r="J399" t="n">
        <v>0</v>
      </c>
      <c r="K399" t="n">
        <v>0</v>
      </c>
      <c r="L399" t="n">
        <v>0</v>
      </c>
      <c r="M399" t="n">
        <v>0</v>
      </c>
      <c r="N399" t="n">
        <v>0</v>
      </c>
      <c r="O399" t="n">
        <v>0</v>
      </c>
      <c r="P399" t="n">
        <v>0</v>
      </c>
      <c r="Q399" t="n">
        <v>0</v>
      </c>
      <c r="R399" s="2" t="inlineStr"/>
    </row>
    <row r="400" ht="15" customHeight="1">
      <c r="A400" t="inlineStr">
        <is>
          <t>A 28431-2024</t>
        </is>
      </c>
      <c r="B400" s="1" t="n">
        <v>45477.65216435185</v>
      </c>
      <c r="C400" s="1" t="n">
        <v>46090</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row>
    <row r="401" ht="15" customHeight="1">
      <c r="A401" t="inlineStr">
        <is>
          <t>A 51774-2025</t>
        </is>
      </c>
      <c r="B401" s="1" t="n">
        <v>45951.65359953704</v>
      </c>
      <c r="C401" s="1" t="n">
        <v>46090</v>
      </c>
      <c r="D401" t="inlineStr">
        <is>
          <t>SÖDERMANLANDS LÄN</t>
        </is>
      </c>
      <c r="E401" t="inlineStr">
        <is>
          <t>KATRINEHOLM</t>
        </is>
      </c>
      <c r="F401" t="inlineStr">
        <is>
          <t>Allmännings- och besparingsskogar</t>
        </is>
      </c>
      <c r="G401" t="n">
        <v>3.7</v>
      </c>
      <c r="H401" t="n">
        <v>0</v>
      </c>
      <c r="I401" t="n">
        <v>0</v>
      </c>
      <c r="J401" t="n">
        <v>0</v>
      </c>
      <c r="K401" t="n">
        <v>0</v>
      </c>
      <c r="L401" t="n">
        <v>0</v>
      </c>
      <c r="M401" t="n">
        <v>0</v>
      </c>
      <c r="N401" t="n">
        <v>0</v>
      </c>
      <c r="O401" t="n">
        <v>0</v>
      </c>
      <c r="P401" t="n">
        <v>0</v>
      </c>
      <c r="Q401" t="n">
        <v>0</v>
      </c>
      <c r="R401" s="2" t="inlineStr"/>
    </row>
    <row r="402" ht="15" customHeight="1">
      <c r="A402" t="inlineStr">
        <is>
          <t>A 51783-2025</t>
        </is>
      </c>
      <c r="B402" s="1" t="n">
        <v>45951.67546296296</v>
      </c>
      <c r="C402" s="1" t="n">
        <v>46090</v>
      </c>
      <c r="D402" t="inlineStr">
        <is>
          <t>SÖDERMANLANDS LÄN</t>
        </is>
      </c>
      <c r="E402" t="inlineStr">
        <is>
          <t>KATRINEHOLM</t>
        </is>
      </c>
      <c r="F402" t="inlineStr">
        <is>
          <t>Allmännings- och besparingsskogar</t>
        </is>
      </c>
      <c r="G402" t="n">
        <v>5.8</v>
      </c>
      <c r="H402" t="n">
        <v>0</v>
      </c>
      <c r="I402" t="n">
        <v>0</v>
      </c>
      <c r="J402" t="n">
        <v>0</v>
      </c>
      <c r="K402" t="n">
        <v>0</v>
      </c>
      <c r="L402" t="n">
        <v>0</v>
      </c>
      <c r="M402" t="n">
        <v>0</v>
      </c>
      <c r="N402" t="n">
        <v>0</v>
      </c>
      <c r="O402" t="n">
        <v>0</v>
      </c>
      <c r="P402" t="n">
        <v>0</v>
      </c>
      <c r="Q402" t="n">
        <v>0</v>
      </c>
      <c r="R402" s="2" t="inlineStr"/>
    </row>
    <row r="403" ht="15" customHeight="1">
      <c r="A403" t="inlineStr">
        <is>
          <t>A 26684-2025</t>
        </is>
      </c>
      <c r="B403" s="1" t="n">
        <v>45810</v>
      </c>
      <c r="C403" s="1" t="n">
        <v>46090</v>
      </c>
      <c r="D403" t="inlineStr">
        <is>
          <t>SÖDERMANLANDS LÄN</t>
        </is>
      </c>
      <c r="E403" t="inlineStr">
        <is>
          <t>KATRINEHOLM</t>
        </is>
      </c>
      <c r="G403" t="n">
        <v>1</v>
      </c>
      <c r="H403" t="n">
        <v>0</v>
      </c>
      <c r="I403" t="n">
        <v>0</v>
      </c>
      <c r="J403" t="n">
        <v>0</v>
      </c>
      <c r="K403" t="n">
        <v>0</v>
      </c>
      <c r="L403" t="n">
        <v>0</v>
      </c>
      <c r="M403" t="n">
        <v>0</v>
      </c>
      <c r="N403" t="n">
        <v>0</v>
      </c>
      <c r="O403" t="n">
        <v>0</v>
      </c>
      <c r="P403" t="n">
        <v>0</v>
      </c>
      <c r="Q403" t="n">
        <v>0</v>
      </c>
      <c r="R403" s="2" t="inlineStr"/>
    </row>
    <row r="404" ht="15" customHeight="1">
      <c r="A404" t="inlineStr">
        <is>
          <t>A 51367-2025</t>
        </is>
      </c>
      <c r="B404" s="1" t="n">
        <v>45950.44700231482</v>
      </c>
      <c r="C404" s="1" t="n">
        <v>46090</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37043-2025</t>
        </is>
      </c>
      <c r="B405" s="1" t="n">
        <v>45875.3396412037</v>
      </c>
      <c r="C405" s="1" t="n">
        <v>46090</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51780-2025</t>
        </is>
      </c>
      <c r="B406" s="1" t="n">
        <v>45951.65725694445</v>
      </c>
      <c r="C406" s="1" t="n">
        <v>46090</v>
      </c>
      <c r="D406" t="inlineStr">
        <is>
          <t>SÖDERMANLANDS LÄN</t>
        </is>
      </c>
      <c r="E406" t="inlineStr">
        <is>
          <t>KATRINEHOLM</t>
        </is>
      </c>
      <c r="F406" t="inlineStr">
        <is>
          <t>Allmännings- och besparingsskogar</t>
        </is>
      </c>
      <c r="G406" t="n">
        <v>1.3</v>
      </c>
      <c r="H406" t="n">
        <v>0</v>
      </c>
      <c r="I406" t="n">
        <v>0</v>
      </c>
      <c r="J406" t="n">
        <v>0</v>
      </c>
      <c r="K406" t="n">
        <v>0</v>
      </c>
      <c r="L406" t="n">
        <v>0</v>
      </c>
      <c r="M406" t="n">
        <v>0</v>
      </c>
      <c r="N406" t="n">
        <v>0</v>
      </c>
      <c r="O406" t="n">
        <v>0</v>
      </c>
      <c r="P406" t="n">
        <v>0</v>
      </c>
      <c r="Q406" t="n">
        <v>0</v>
      </c>
      <c r="R406" s="2" t="inlineStr"/>
    </row>
    <row r="407" ht="15" customHeight="1">
      <c r="A407" t="inlineStr">
        <is>
          <t>A 34981-2023</t>
        </is>
      </c>
      <c r="B407" s="1" t="n">
        <v>45142</v>
      </c>
      <c r="C407" s="1" t="n">
        <v>46090</v>
      </c>
      <c r="D407" t="inlineStr">
        <is>
          <t>SÖDERMANLANDS LÄN</t>
        </is>
      </c>
      <c r="E407" t="inlineStr">
        <is>
          <t>KATRINEHOLM</t>
        </is>
      </c>
      <c r="G407" t="n">
        <v>10</v>
      </c>
      <c r="H407" t="n">
        <v>0</v>
      </c>
      <c r="I407" t="n">
        <v>0</v>
      </c>
      <c r="J407" t="n">
        <v>0</v>
      </c>
      <c r="K407" t="n">
        <v>0</v>
      </c>
      <c r="L407" t="n">
        <v>0</v>
      </c>
      <c r="M407" t="n">
        <v>0</v>
      </c>
      <c r="N407" t="n">
        <v>0</v>
      </c>
      <c r="O407" t="n">
        <v>0</v>
      </c>
      <c r="P407" t="n">
        <v>0</v>
      </c>
      <c r="Q407" t="n">
        <v>0</v>
      </c>
      <c r="R407" s="2" t="inlineStr"/>
    </row>
    <row r="408" ht="15" customHeight="1">
      <c r="A408" t="inlineStr">
        <is>
          <t>A 52239-2025</t>
        </is>
      </c>
      <c r="B408" s="1" t="n">
        <v>45953.46193287037</v>
      </c>
      <c r="C408" s="1" t="n">
        <v>46090</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52242-2025</t>
        </is>
      </c>
      <c r="B409" s="1" t="n">
        <v>45953.46886574074</v>
      </c>
      <c r="C409" s="1" t="n">
        <v>46090</v>
      </c>
      <c r="D409" t="inlineStr">
        <is>
          <t>SÖDERMANLANDS LÄN</t>
        </is>
      </c>
      <c r="E409" t="inlineStr">
        <is>
          <t>KATRINEHOLM</t>
        </is>
      </c>
      <c r="G409" t="n">
        <v>5.3</v>
      </c>
      <c r="H409" t="n">
        <v>0</v>
      </c>
      <c r="I409" t="n">
        <v>0</v>
      </c>
      <c r="J409" t="n">
        <v>0</v>
      </c>
      <c r="K409" t="n">
        <v>0</v>
      </c>
      <c r="L409" t="n">
        <v>0</v>
      </c>
      <c r="M409" t="n">
        <v>0</v>
      </c>
      <c r="N409" t="n">
        <v>0</v>
      </c>
      <c r="O409" t="n">
        <v>0</v>
      </c>
      <c r="P409" t="n">
        <v>0</v>
      </c>
      <c r="Q409" t="n">
        <v>0</v>
      </c>
      <c r="R409" s="2" t="inlineStr"/>
    </row>
    <row r="410" ht="15" customHeight="1">
      <c r="A410" t="inlineStr">
        <is>
          <t>A 52244-2025</t>
        </is>
      </c>
      <c r="B410" s="1" t="n">
        <v>45953</v>
      </c>
      <c r="C410" s="1" t="n">
        <v>46090</v>
      </c>
      <c r="D410" t="inlineStr">
        <is>
          <t>SÖDERMANLANDS LÄN</t>
        </is>
      </c>
      <c r="E410" t="inlineStr">
        <is>
          <t>KATRINEHOLM</t>
        </is>
      </c>
      <c r="G410" t="n">
        <v>1.3</v>
      </c>
      <c r="H410" t="n">
        <v>0</v>
      </c>
      <c r="I410" t="n">
        <v>0</v>
      </c>
      <c r="J410" t="n">
        <v>0</v>
      </c>
      <c r="K410" t="n">
        <v>0</v>
      </c>
      <c r="L410" t="n">
        <v>0</v>
      </c>
      <c r="M410" t="n">
        <v>0</v>
      </c>
      <c r="N410" t="n">
        <v>0</v>
      </c>
      <c r="O410" t="n">
        <v>0</v>
      </c>
      <c r="P410" t="n">
        <v>0</v>
      </c>
      <c r="Q410" t="n">
        <v>0</v>
      </c>
      <c r="R410" s="2" t="inlineStr"/>
    </row>
    <row r="411" ht="15" customHeight="1">
      <c r="A411" t="inlineStr">
        <is>
          <t>A 31740-2022</t>
        </is>
      </c>
      <c r="B411" s="1" t="n">
        <v>44776</v>
      </c>
      <c r="C411" s="1" t="n">
        <v>46090</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53750-2022</t>
        </is>
      </c>
      <c r="B412" s="1" t="n">
        <v>44875</v>
      </c>
      <c r="C412" s="1" t="n">
        <v>46090</v>
      </c>
      <c r="D412" t="inlineStr">
        <is>
          <t>SÖDERMANLANDS LÄN</t>
        </is>
      </c>
      <c r="E412" t="inlineStr">
        <is>
          <t>KATRINEHOLM</t>
        </is>
      </c>
      <c r="F412" t="inlineStr">
        <is>
          <t>Övriga Aktiebolag</t>
        </is>
      </c>
      <c r="G412" t="n">
        <v>12.6</v>
      </c>
      <c r="H412" t="n">
        <v>0</v>
      </c>
      <c r="I412" t="n">
        <v>0</v>
      </c>
      <c r="J412" t="n">
        <v>0</v>
      </c>
      <c r="K412" t="n">
        <v>0</v>
      </c>
      <c r="L412" t="n">
        <v>0</v>
      </c>
      <c r="M412" t="n">
        <v>0</v>
      </c>
      <c r="N412" t="n">
        <v>0</v>
      </c>
      <c r="O412" t="n">
        <v>0</v>
      </c>
      <c r="P412" t="n">
        <v>0</v>
      </c>
      <c r="Q412" t="n">
        <v>0</v>
      </c>
      <c r="R412" s="2" t="inlineStr"/>
    </row>
    <row r="413" ht="15" customHeight="1">
      <c r="A413" t="inlineStr">
        <is>
          <t>A 47886-2023</t>
        </is>
      </c>
      <c r="B413" s="1" t="n">
        <v>45204</v>
      </c>
      <c r="C413" s="1" t="n">
        <v>46090</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3125-2024</t>
        </is>
      </c>
      <c r="B414" s="1" t="n">
        <v>45316</v>
      </c>
      <c r="C414" s="1" t="n">
        <v>46090</v>
      </c>
      <c r="D414" t="inlineStr">
        <is>
          <t>SÖDERMANLANDS LÄN</t>
        </is>
      </c>
      <c r="E414" t="inlineStr">
        <is>
          <t>KATRINEHOLM</t>
        </is>
      </c>
      <c r="G414" t="n">
        <v>3.4</v>
      </c>
      <c r="H414" t="n">
        <v>0</v>
      </c>
      <c r="I414" t="n">
        <v>0</v>
      </c>
      <c r="J414" t="n">
        <v>0</v>
      </c>
      <c r="K414" t="n">
        <v>0</v>
      </c>
      <c r="L414" t="n">
        <v>0</v>
      </c>
      <c r="M414" t="n">
        <v>0</v>
      </c>
      <c r="N414" t="n">
        <v>0</v>
      </c>
      <c r="O414" t="n">
        <v>0</v>
      </c>
      <c r="P414" t="n">
        <v>0</v>
      </c>
      <c r="Q414" t="n">
        <v>0</v>
      </c>
      <c r="R414" s="2" t="inlineStr"/>
    </row>
    <row r="415" ht="15" customHeight="1">
      <c r="A415" t="inlineStr">
        <is>
          <t>A 8087-2022</t>
        </is>
      </c>
      <c r="B415" s="1" t="n">
        <v>44609.53502314815</v>
      </c>
      <c r="C415" s="1" t="n">
        <v>46090</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27852-2023</t>
        </is>
      </c>
      <c r="B416" s="1" t="n">
        <v>45098</v>
      </c>
      <c r="C416" s="1" t="n">
        <v>46090</v>
      </c>
      <c r="D416" t="inlineStr">
        <is>
          <t>SÖDERMANLANDS LÄN</t>
        </is>
      </c>
      <c r="E416" t="inlineStr">
        <is>
          <t>KATRINEHOLM</t>
        </is>
      </c>
      <c r="G416" t="n">
        <v>7.4</v>
      </c>
      <c r="H416" t="n">
        <v>0</v>
      </c>
      <c r="I416" t="n">
        <v>0</v>
      </c>
      <c r="J416" t="n">
        <v>0</v>
      </c>
      <c r="K416" t="n">
        <v>0</v>
      </c>
      <c r="L416" t="n">
        <v>0</v>
      </c>
      <c r="M416" t="n">
        <v>0</v>
      </c>
      <c r="N416" t="n">
        <v>0</v>
      </c>
      <c r="O416" t="n">
        <v>0</v>
      </c>
      <c r="P416" t="n">
        <v>0</v>
      </c>
      <c r="Q416" t="n">
        <v>0</v>
      </c>
      <c r="R416" s="2" t="inlineStr"/>
    </row>
    <row r="417" ht="15" customHeight="1">
      <c r="A417" t="inlineStr">
        <is>
          <t>A 1143-2024</t>
        </is>
      </c>
      <c r="B417" s="1" t="n">
        <v>45302</v>
      </c>
      <c r="C417" s="1" t="n">
        <v>46090</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37827-2025</t>
        </is>
      </c>
      <c r="B418" s="1" t="n">
        <v>45881.40907407407</v>
      </c>
      <c r="C418" s="1" t="n">
        <v>46090</v>
      </c>
      <c r="D418" t="inlineStr">
        <is>
          <t>SÖDERMANLANDS LÄN</t>
        </is>
      </c>
      <c r="E418" t="inlineStr">
        <is>
          <t>KATRINEHOLM</t>
        </is>
      </c>
      <c r="F418" t="inlineStr">
        <is>
          <t>Övriga Aktiebolag</t>
        </is>
      </c>
      <c r="G418" t="n">
        <v>2</v>
      </c>
      <c r="H418" t="n">
        <v>0</v>
      </c>
      <c r="I418" t="n">
        <v>0</v>
      </c>
      <c r="J418" t="n">
        <v>0</v>
      </c>
      <c r="K418" t="n">
        <v>0</v>
      </c>
      <c r="L418" t="n">
        <v>0</v>
      </c>
      <c r="M418" t="n">
        <v>0</v>
      </c>
      <c r="N418" t="n">
        <v>0</v>
      </c>
      <c r="O418" t="n">
        <v>0</v>
      </c>
      <c r="P418" t="n">
        <v>0</v>
      </c>
      <c r="Q418" t="n">
        <v>0</v>
      </c>
      <c r="R418" s="2" t="inlineStr"/>
    </row>
    <row r="419" ht="15" customHeight="1">
      <c r="A419" t="inlineStr">
        <is>
          <t>A 52744-2025</t>
        </is>
      </c>
      <c r="B419" s="1" t="n">
        <v>45957.38387731482</v>
      </c>
      <c r="C419" s="1" t="n">
        <v>46090</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3980-2024</t>
        </is>
      </c>
      <c r="B420" s="1" t="n">
        <v>45322</v>
      </c>
      <c r="C420" s="1" t="n">
        <v>46090</v>
      </c>
      <c r="D420" t="inlineStr">
        <is>
          <t>SÖDERMANLANDS LÄN</t>
        </is>
      </c>
      <c r="E420" t="inlineStr">
        <is>
          <t>KATRINEHOLM</t>
        </is>
      </c>
      <c r="G420" t="n">
        <v>0.4</v>
      </c>
      <c r="H420" t="n">
        <v>0</v>
      </c>
      <c r="I420" t="n">
        <v>0</v>
      </c>
      <c r="J420" t="n">
        <v>0</v>
      </c>
      <c r="K420" t="n">
        <v>0</v>
      </c>
      <c r="L420" t="n">
        <v>0</v>
      </c>
      <c r="M420" t="n">
        <v>0</v>
      </c>
      <c r="N420" t="n">
        <v>0</v>
      </c>
      <c r="O420" t="n">
        <v>0</v>
      </c>
      <c r="P420" t="n">
        <v>0</v>
      </c>
      <c r="Q420" t="n">
        <v>0</v>
      </c>
      <c r="R420" s="2" t="inlineStr"/>
    </row>
    <row r="421" ht="15" customHeight="1">
      <c r="A421" t="inlineStr">
        <is>
          <t>A 11543-2025</t>
        </is>
      </c>
      <c r="B421" s="1" t="n">
        <v>45727.34248842593</v>
      </c>
      <c r="C421" s="1" t="n">
        <v>46090</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35228-2025</t>
        </is>
      </c>
      <c r="B422" s="1" t="n">
        <v>45853</v>
      </c>
      <c r="C422" s="1" t="n">
        <v>46090</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17335-2023</t>
        </is>
      </c>
      <c r="B423" s="1" t="n">
        <v>45033</v>
      </c>
      <c r="C423" s="1" t="n">
        <v>46090</v>
      </c>
      <c r="D423" t="inlineStr">
        <is>
          <t>SÖDERMANLANDS LÄN</t>
        </is>
      </c>
      <c r="E423" t="inlineStr">
        <is>
          <t>KATRINEHOLM</t>
        </is>
      </c>
      <c r="G423" t="n">
        <v>3.3</v>
      </c>
      <c r="H423" t="n">
        <v>0</v>
      </c>
      <c r="I423" t="n">
        <v>0</v>
      </c>
      <c r="J423" t="n">
        <v>0</v>
      </c>
      <c r="K423" t="n">
        <v>0</v>
      </c>
      <c r="L423" t="n">
        <v>0</v>
      </c>
      <c r="M423" t="n">
        <v>0</v>
      </c>
      <c r="N423" t="n">
        <v>0</v>
      </c>
      <c r="O423" t="n">
        <v>0</v>
      </c>
      <c r="P423" t="n">
        <v>0</v>
      </c>
      <c r="Q423" t="n">
        <v>0</v>
      </c>
      <c r="R423" s="2" t="inlineStr"/>
    </row>
    <row r="424" ht="15" customHeight="1">
      <c r="A424" t="inlineStr">
        <is>
          <t>A 59898-2022</t>
        </is>
      </c>
      <c r="B424" s="1" t="n">
        <v>44908</v>
      </c>
      <c r="C424" s="1" t="n">
        <v>46090</v>
      </c>
      <c r="D424" t="inlineStr">
        <is>
          <t>SÖDERMANLANDS LÄN</t>
        </is>
      </c>
      <c r="E424" t="inlineStr">
        <is>
          <t>KATRINEHOLM</t>
        </is>
      </c>
      <c r="G424" t="n">
        <v>4.8</v>
      </c>
      <c r="H424" t="n">
        <v>0</v>
      </c>
      <c r="I424" t="n">
        <v>0</v>
      </c>
      <c r="J424" t="n">
        <v>0</v>
      </c>
      <c r="K424" t="n">
        <v>0</v>
      </c>
      <c r="L424" t="n">
        <v>0</v>
      </c>
      <c r="M424" t="n">
        <v>0</v>
      </c>
      <c r="N424" t="n">
        <v>0</v>
      </c>
      <c r="O424" t="n">
        <v>0</v>
      </c>
      <c r="P424" t="n">
        <v>0</v>
      </c>
      <c r="Q424" t="n">
        <v>0</v>
      </c>
      <c r="R424" s="2" t="inlineStr"/>
    </row>
    <row r="425" ht="15" customHeight="1">
      <c r="A425" t="inlineStr">
        <is>
          <t>A 10086-2026</t>
        </is>
      </c>
      <c r="B425" s="1" t="n">
        <v>46073.68959490741</v>
      </c>
      <c r="C425" s="1" t="n">
        <v>46090</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1114-2026</t>
        </is>
      </c>
      <c r="B426" s="1" t="n">
        <v>46030.684375</v>
      </c>
      <c r="C426" s="1" t="n">
        <v>46090</v>
      </c>
      <c r="D426" t="inlineStr">
        <is>
          <t>SÖDERMANLANDS LÄN</t>
        </is>
      </c>
      <c r="E426" t="inlineStr">
        <is>
          <t>KATRINEHOLM</t>
        </is>
      </c>
      <c r="G426" t="n">
        <v>0.9</v>
      </c>
      <c r="H426" t="n">
        <v>0</v>
      </c>
      <c r="I426" t="n">
        <v>0</v>
      </c>
      <c r="J426" t="n">
        <v>0</v>
      </c>
      <c r="K426" t="n">
        <v>0</v>
      </c>
      <c r="L426" t="n">
        <v>0</v>
      </c>
      <c r="M426" t="n">
        <v>0</v>
      </c>
      <c r="N426" t="n">
        <v>0</v>
      </c>
      <c r="O426" t="n">
        <v>0</v>
      </c>
      <c r="P426" t="n">
        <v>0</v>
      </c>
      <c r="Q426" t="n">
        <v>0</v>
      </c>
      <c r="R426" s="2" t="inlineStr"/>
    </row>
    <row r="427" ht="15" customHeight="1">
      <c r="A427" t="inlineStr">
        <is>
          <t>A 53338-2025</t>
        </is>
      </c>
      <c r="B427" s="1" t="n">
        <v>45959.40447916667</v>
      </c>
      <c r="C427" s="1" t="n">
        <v>46090</v>
      </c>
      <c r="D427" t="inlineStr">
        <is>
          <t>SÖDERMANLANDS LÄN</t>
        </is>
      </c>
      <c r="E427" t="inlineStr">
        <is>
          <t>KATRINEHOLM</t>
        </is>
      </c>
      <c r="G427" t="n">
        <v>2.9</v>
      </c>
      <c r="H427" t="n">
        <v>0</v>
      </c>
      <c r="I427" t="n">
        <v>0</v>
      </c>
      <c r="J427" t="n">
        <v>0</v>
      </c>
      <c r="K427" t="n">
        <v>0</v>
      </c>
      <c r="L427" t="n">
        <v>0</v>
      </c>
      <c r="M427" t="n">
        <v>0</v>
      </c>
      <c r="N427" t="n">
        <v>0</v>
      </c>
      <c r="O427" t="n">
        <v>0</v>
      </c>
      <c r="P427" t="n">
        <v>0</v>
      </c>
      <c r="Q427" t="n">
        <v>0</v>
      </c>
      <c r="R427" s="2" t="inlineStr"/>
    </row>
    <row r="428" ht="15" customHeight="1">
      <c r="A428" t="inlineStr">
        <is>
          <t>A 10091-2026</t>
        </is>
      </c>
      <c r="B428" s="1" t="n">
        <v>46073.70451388889</v>
      </c>
      <c r="C428" s="1" t="n">
        <v>46090</v>
      </c>
      <c r="D428" t="inlineStr">
        <is>
          <t>SÖDERMANLANDS LÄN</t>
        </is>
      </c>
      <c r="E428" t="inlineStr">
        <is>
          <t>KATRINEHOLM</t>
        </is>
      </c>
      <c r="G428" t="n">
        <v>2.2</v>
      </c>
      <c r="H428" t="n">
        <v>0</v>
      </c>
      <c r="I428" t="n">
        <v>0</v>
      </c>
      <c r="J428" t="n">
        <v>0</v>
      </c>
      <c r="K428" t="n">
        <v>0</v>
      </c>
      <c r="L428" t="n">
        <v>0</v>
      </c>
      <c r="M428" t="n">
        <v>0</v>
      </c>
      <c r="N428" t="n">
        <v>0</v>
      </c>
      <c r="O428" t="n">
        <v>0</v>
      </c>
      <c r="P428" t="n">
        <v>0</v>
      </c>
      <c r="Q428" t="n">
        <v>0</v>
      </c>
      <c r="R428" s="2" t="inlineStr"/>
    </row>
    <row r="429" ht="15" customHeight="1">
      <c r="A429" t="inlineStr">
        <is>
          <t>A 73412-2021</t>
        </is>
      </c>
      <c r="B429" s="1" t="n">
        <v>44551</v>
      </c>
      <c r="C429" s="1" t="n">
        <v>46090</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28995-2024</t>
        </is>
      </c>
      <c r="B430" s="1" t="n">
        <v>45481.49899305555</v>
      </c>
      <c r="C430" s="1" t="n">
        <v>46090</v>
      </c>
      <c r="D430" t="inlineStr">
        <is>
          <t>SÖDERMANLANDS LÄN</t>
        </is>
      </c>
      <c r="E430" t="inlineStr">
        <is>
          <t>KATRINEHOLM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28597-2024</t>
        </is>
      </c>
      <c r="B431" s="1" t="n">
        <v>45478</v>
      </c>
      <c r="C431" s="1" t="n">
        <v>46090</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33469-2025</t>
        </is>
      </c>
      <c r="B432" s="1" t="n">
        <v>45841.48686342593</v>
      </c>
      <c r="C432" s="1" t="n">
        <v>46090</v>
      </c>
      <c r="D432" t="inlineStr">
        <is>
          <t>SÖDERMANLANDS LÄN</t>
        </is>
      </c>
      <c r="E432" t="inlineStr">
        <is>
          <t>KATRINEHOLM</t>
        </is>
      </c>
      <c r="G432" t="n">
        <v>2.1</v>
      </c>
      <c r="H432" t="n">
        <v>0</v>
      </c>
      <c r="I432" t="n">
        <v>0</v>
      </c>
      <c r="J432" t="n">
        <v>0</v>
      </c>
      <c r="K432" t="n">
        <v>0</v>
      </c>
      <c r="L432" t="n">
        <v>0</v>
      </c>
      <c r="M432" t="n">
        <v>0</v>
      </c>
      <c r="N432" t="n">
        <v>0</v>
      </c>
      <c r="O432" t="n">
        <v>0</v>
      </c>
      <c r="P432" t="n">
        <v>0</v>
      </c>
      <c r="Q432" t="n">
        <v>0</v>
      </c>
      <c r="R432" s="2" t="inlineStr"/>
    </row>
    <row r="433" ht="15" customHeight="1">
      <c r="A433" t="inlineStr">
        <is>
          <t>A 54395-2025</t>
        </is>
      </c>
      <c r="B433" s="1" t="n">
        <v>45964</v>
      </c>
      <c r="C433" s="1" t="n">
        <v>46090</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1112-2026</t>
        </is>
      </c>
      <c r="B434" s="1" t="n">
        <v>46030.68107638889</v>
      </c>
      <c r="C434" s="1" t="n">
        <v>46090</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46090</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46090</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54359-2025</t>
        </is>
      </c>
      <c r="B437" s="1" t="n">
        <v>45964</v>
      </c>
      <c r="C437" s="1" t="n">
        <v>46090</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46090</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33077-2025</t>
        </is>
      </c>
      <c r="B439" s="1" t="n">
        <v>45840.45864583334</v>
      </c>
      <c r="C439" s="1" t="n">
        <v>46090</v>
      </c>
      <c r="D439" t="inlineStr">
        <is>
          <t>SÖDERMANLANDS LÄN</t>
        </is>
      </c>
      <c r="E439" t="inlineStr">
        <is>
          <t>KATRINEHOLM</t>
        </is>
      </c>
      <c r="G439" t="n">
        <v>7</v>
      </c>
      <c r="H439" t="n">
        <v>0</v>
      </c>
      <c r="I439" t="n">
        <v>0</v>
      </c>
      <c r="J439" t="n">
        <v>0</v>
      </c>
      <c r="K439" t="n">
        <v>0</v>
      </c>
      <c r="L439" t="n">
        <v>0</v>
      </c>
      <c r="M439" t="n">
        <v>0</v>
      </c>
      <c r="N439" t="n">
        <v>0</v>
      </c>
      <c r="O439" t="n">
        <v>0</v>
      </c>
      <c r="P439" t="n">
        <v>0</v>
      </c>
      <c r="Q439" t="n">
        <v>0</v>
      </c>
      <c r="R439" s="2" t="inlineStr"/>
    </row>
    <row r="440" ht="15" customHeight="1">
      <c r="A440" t="inlineStr">
        <is>
          <t>A 33129-2025</t>
        </is>
      </c>
      <c r="B440" s="1" t="n">
        <v>45840.50141203704</v>
      </c>
      <c r="C440" s="1" t="n">
        <v>46090</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54999-2025</t>
        </is>
      </c>
      <c r="B441" s="1" t="n">
        <v>45967.59880787037</v>
      </c>
      <c r="C441" s="1" t="n">
        <v>46090</v>
      </c>
      <c r="D441" t="inlineStr">
        <is>
          <t>SÖDERMANLANDS LÄN</t>
        </is>
      </c>
      <c r="E441" t="inlineStr">
        <is>
          <t>KATRINEHOLM</t>
        </is>
      </c>
      <c r="G441" t="n">
        <v>8.5</v>
      </c>
      <c r="H441" t="n">
        <v>0</v>
      </c>
      <c r="I441" t="n">
        <v>0</v>
      </c>
      <c r="J441" t="n">
        <v>0</v>
      </c>
      <c r="K441" t="n">
        <v>0</v>
      </c>
      <c r="L441" t="n">
        <v>0</v>
      </c>
      <c r="M441" t="n">
        <v>0</v>
      </c>
      <c r="N441" t="n">
        <v>0</v>
      </c>
      <c r="O441" t="n">
        <v>0</v>
      </c>
      <c r="P441" t="n">
        <v>0</v>
      </c>
      <c r="Q441" t="n">
        <v>0</v>
      </c>
      <c r="R441" s="2" t="inlineStr"/>
    </row>
    <row r="442" ht="15" customHeight="1">
      <c r="A442" t="inlineStr">
        <is>
          <t>A 41966-2023</t>
        </is>
      </c>
      <c r="B442" s="1" t="n">
        <v>45177</v>
      </c>
      <c r="C442" s="1" t="n">
        <v>46090</v>
      </c>
      <c r="D442" t="inlineStr">
        <is>
          <t>SÖDERMANLANDS LÄN</t>
        </is>
      </c>
      <c r="E442" t="inlineStr">
        <is>
          <t>KATRINEHOLM</t>
        </is>
      </c>
      <c r="G442" t="n">
        <v>36.9</v>
      </c>
      <c r="H442" t="n">
        <v>0</v>
      </c>
      <c r="I442" t="n">
        <v>0</v>
      </c>
      <c r="J442" t="n">
        <v>0</v>
      </c>
      <c r="K442" t="n">
        <v>0</v>
      </c>
      <c r="L442" t="n">
        <v>0</v>
      </c>
      <c r="M442" t="n">
        <v>0</v>
      </c>
      <c r="N442" t="n">
        <v>0</v>
      </c>
      <c r="O442" t="n">
        <v>0</v>
      </c>
      <c r="P442" t="n">
        <v>0</v>
      </c>
      <c r="Q442" t="n">
        <v>0</v>
      </c>
      <c r="R442" s="2" t="inlineStr"/>
    </row>
    <row r="443" ht="15" customHeight="1">
      <c r="A443" t="inlineStr">
        <is>
          <t>A 10446-2024</t>
        </is>
      </c>
      <c r="B443" s="1" t="n">
        <v>45366</v>
      </c>
      <c r="C443" s="1" t="n">
        <v>46090</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8761-2023</t>
        </is>
      </c>
      <c r="B444" s="1" t="n">
        <v>44978.49685185185</v>
      </c>
      <c r="C444" s="1" t="n">
        <v>46090</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8778-2023</t>
        </is>
      </c>
      <c r="B445" s="1" t="n">
        <v>44978.5737037037</v>
      </c>
      <c r="C445" s="1" t="n">
        <v>46090</v>
      </c>
      <c r="D445" t="inlineStr">
        <is>
          <t>SÖDERMANLANDS LÄN</t>
        </is>
      </c>
      <c r="E445" t="inlineStr">
        <is>
          <t>KATRINEHOLM</t>
        </is>
      </c>
      <c r="G445" t="n">
        <v>4.5</v>
      </c>
      <c r="H445" t="n">
        <v>0</v>
      </c>
      <c r="I445" t="n">
        <v>0</v>
      </c>
      <c r="J445" t="n">
        <v>0</v>
      </c>
      <c r="K445" t="n">
        <v>0</v>
      </c>
      <c r="L445" t="n">
        <v>0</v>
      </c>
      <c r="M445" t="n">
        <v>0</v>
      </c>
      <c r="N445" t="n">
        <v>0</v>
      </c>
      <c r="O445" t="n">
        <v>0</v>
      </c>
      <c r="P445" t="n">
        <v>0</v>
      </c>
      <c r="Q445" t="n">
        <v>0</v>
      </c>
      <c r="R445" s="2" t="inlineStr"/>
    </row>
    <row r="446" ht="15" customHeight="1">
      <c r="A446" t="inlineStr">
        <is>
          <t>A 28427-2024</t>
        </is>
      </c>
      <c r="B446" s="1" t="n">
        <v>45477.64910879629</v>
      </c>
      <c r="C446" s="1" t="n">
        <v>46090</v>
      </c>
      <c r="D446" t="inlineStr">
        <is>
          <t>SÖDERMANLANDS LÄN</t>
        </is>
      </c>
      <c r="E446" t="inlineStr">
        <is>
          <t>KATRINEHOLM</t>
        </is>
      </c>
      <c r="G446" t="n">
        <v>5.9</v>
      </c>
      <c r="H446" t="n">
        <v>0</v>
      </c>
      <c r="I446" t="n">
        <v>0</v>
      </c>
      <c r="J446" t="n">
        <v>0</v>
      </c>
      <c r="K446" t="n">
        <v>0</v>
      </c>
      <c r="L446" t="n">
        <v>0</v>
      </c>
      <c r="M446" t="n">
        <v>0</v>
      </c>
      <c r="N446" t="n">
        <v>0</v>
      </c>
      <c r="O446" t="n">
        <v>0</v>
      </c>
      <c r="P446" t="n">
        <v>0</v>
      </c>
      <c r="Q446" t="n">
        <v>0</v>
      </c>
      <c r="R446" s="2" t="inlineStr"/>
    </row>
    <row r="447" ht="15" customHeight="1">
      <c r="A447" t="inlineStr">
        <is>
          <t>A 1098-2026</t>
        </is>
      </c>
      <c r="B447" s="1" t="n">
        <v>46030.66519675926</v>
      </c>
      <c r="C447" s="1" t="n">
        <v>46090</v>
      </c>
      <c r="D447" t="inlineStr">
        <is>
          <t>SÖDERMANLANDS LÄN</t>
        </is>
      </c>
      <c r="E447" t="inlineStr">
        <is>
          <t>KATRINEHOLM</t>
        </is>
      </c>
      <c r="G447" t="n">
        <v>3.4</v>
      </c>
      <c r="H447" t="n">
        <v>0</v>
      </c>
      <c r="I447" t="n">
        <v>0</v>
      </c>
      <c r="J447" t="n">
        <v>0</v>
      </c>
      <c r="K447" t="n">
        <v>0</v>
      </c>
      <c r="L447" t="n">
        <v>0</v>
      </c>
      <c r="M447" t="n">
        <v>0</v>
      </c>
      <c r="N447" t="n">
        <v>0</v>
      </c>
      <c r="O447" t="n">
        <v>0</v>
      </c>
      <c r="P447" t="n">
        <v>0</v>
      </c>
      <c r="Q447" t="n">
        <v>0</v>
      </c>
      <c r="R447" s="2" t="inlineStr"/>
    </row>
    <row r="448" ht="15" customHeight="1">
      <c r="A448" t="inlineStr">
        <is>
          <t>A 15399-2022</t>
        </is>
      </c>
      <c r="B448" s="1" t="n">
        <v>44659</v>
      </c>
      <c r="C448" s="1" t="n">
        <v>46090</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1106-2026</t>
        </is>
      </c>
      <c r="B449" s="1" t="n">
        <v>46030.67123842592</v>
      </c>
      <c r="C449" s="1" t="n">
        <v>46090</v>
      </c>
      <c r="D449" t="inlineStr">
        <is>
          <t>SÖDERMANLANDS LÄN</t>
        </is>
      </c>
      <c r="E449" t="inlineStr">
        <is>
          <t>KATRINEHOLM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49116-2024</t>
        </is>
      </c>
      <c r="B450" s="1" t="n">
        <v>45594.6605787037</v>
      </c>
      <c r="C450" s="1" t="n">
        <v>46090</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55029-2025</t>
        </is>
      </c>
      <c r="B451" s="1" t="n">
        <v>45967.63784722222</v>
      </c>
      <c r="C451" s="1" t="n">
        <v>46090</v>
      </c>
      <c r="D451" t="inlineStr">
        <is>
          <t>SÖDERMANLANDS LÄN</t>
        </is>
      </c>
      <c r="E451" t="inlineStr">
        <is>
          <t>KATRINEHOLM</t>
        </is>
      </c>
      <c r="G451" t="n">
        <v>10.1</v>
      </c>
      <c r="H451" t="n">
        <v>0</v>
      </c>
      <c r="I451" t="n">
        <v>0</v>
      </c>
      <c r="J451" t="n">
        <v>0</v>
      </c>
      <c r="K451" t="n">
        <v>0</v>
      </c>
      <c r="L451" t="n">
        <v>0</v>
      </c>
      <c r="M451" t="n">
        <v>0</v>
      </c>
      <c r="N451" t="n">
        <v>0</v>
      </c>
      <c r="O451" t="n">
        <v>0</v>
      </c>
      <c r="P451" t="n">
        <v>0</v>
      </c>
      <c r="Q451" t="n">
        <v>0</v>
      </c>
      <c r="R451" s="2" t="inlineStr"/>
    </row>
    <row r="452" ht="15" customHeight="1">
      <c r="A452" t="inlineStr">
        <is>
          <t>A 6753-2022</t>
        </is>
      </c>
      <c r="B452" s="1" t="n">
        <v>44602</v>
      </c>
      <c r="C452" s="1" t="n">
        <v>46090</v>
      </c>
      <c r="D452" t="inlineStr">
        <is>
          <t>SÖDERMANLANDS LÄN</t>
        </is>
      </c>
      <c r="E452" t="inlineStr">
        <is>
          <t>KATRINEHOLM</t>
        </is>
      </c>
      <c r="G452" t="n">
        <v>4.3</v>
      </c>
      <c r="H452" t="n">
        <v>0</v>
      </c>
      <c r="I452" t="n">
        <v>0</v>
      </c>
      <c r="J452" t="n">
        <v>0</v>
      </c>
      <c r="K452" t="n">
        <v>0</v>
      </c>
      <c r="L452" t="n">
        <v>0</v>
      </c>
      <c r="M452" t="n">
        <v>0</v>
      </c>
      <c r="N452" t="n">
        <v>0</v>
      </c>
      <c r="O452" t="n">
        <v>0</v>
      </c>
      <c r="P452" t="n">
        <v>0</v>
      </c>
      <c r="Q452" t="n">
        <v>0</v>
      </c>
      <c r="R452" s="2" t="inlineStr"/>
    </row>
    <row r="453" ht="15" customHeight="1">
      <c r="A453" t="inlineStr">
        <is>
          <t>A 6763-2022</t>
        </is>
      </c>
      <c r="B453" s="1" t="n">
        <v>44602</v>
      </c>
      <c r="C453" s="1" t="n">
        <v>46090</v>
      </c>
      <c r="D453" t="inlineStr">
        <is>
          <t>SÖDERMANLANDS LÄN</t>
        </is>
      </c>
      <c r="E453" t="inlineStr">
        <is>
          <t>KATRINEHOLM</t>
        </is>
      </c>
      <c r="G453" t="n">
        <v>6.7</v>
      </c>
      <c r="H453" t="n">
        <v>0</v>
      </c>
      <c r="I453" t="n">
        <v>0</v>
      </c>
      <c r="J453" t="n">
        <v>0</v>
      </c>
      <c r="K453" t="n">
        <v>0</v>
      </c>
      <c r="L453" t="n">
        <v>0</v>
      </c>
      <c r="M453" t="n">
        <v>0</v>
      </c>
      <c r="N453" t="n">
        <v>0</v>
      </c>
      <c r="O453" t="n">
        <v>0</v>
      </c>
      <c r="P453" t="n">
        <v>0</v>
      </c>
      <c r="Q453" t="n">
        <v>0</v>
      </c>
      <c r="R453" s="2" t="inlineStr"/>
    </row>
    <row r="454" ht="15" customHeight="1">
      <c r="A454" t="inlineStr">
        <is>
          <t>A 39068-2022</t>
        </is>
      </c>
      <c r="B454" s="1" t="n">
        <v>44816</v>
      </c>
      <c r="C454" s="1" t="n">
        <v>46090</v>
      </c>
      <c r="D454" t="inlineStr">
        <is>
          <t>SÖDERMANLANDS LÄN</t>
        </is>
      </c>
      <c r="E454" t="inlineStr">
        <is>
          <t>KATRINEHOLM</t>
        </is>
      </c>
      <c r="G454" t="n">
        <v>3.6</v>
      </c>
      <c r="H454" t="n">
        <v>0</v>
      </c>
      <c r="I454" t="n">
        <v>0</v>
      </c>
      <c r="J454" t="n">
        <v>0</v>
      </c>
      <c r="K454" t="n">
        <v>0</v>
      </c>
      <c r="L454" t="n">
        <v>0</v>
      </c>
      <c r="M454" t="n">
        <v>0</v>
      </c>
      <c r="N454" t="n">
        <v>0</v>
      </c>
      <c r="O454" t="n">
        <v>0</v>
      </c>
      <c r="P454" t="n">
        <v>0</v>
      </c>
      <c r="Q454" t="n">
        <v>0</v>
      </c>
      <c r="R454" s="2" t="inlineStr"/>
    </row>
    <row r="455" ht="15" customHeight="1">
      <c r="A455" t="inlineStr">
        <is>
          <t>A 66540-2021</t>
        </is>
      </c>
      <c r="B455" s="1" t="n">
        <v>44519</v>
      </c>
      <c r="C455" s="1" t="n">
        <v>46090</v>
      </c>
      <c r="D455" t="inlineStr">
        <is>
          <t>SÖDERMANLANDS LÄN</t>
        </is>
      </c>
      <c r="E455" t="inlineStr">
        <is>
          <t>KATRINEHOLM</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55829-2025</t>
        </is>
      </c>
      <c r="B456" s="1" t="n">
        <v>45972.79274305556</v>
      </c>
      <c r="C456" s="1" t="n">
        <v>46090</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55832-2025</t>
        </is>
      </c>
      <c r="B457" s="1" t="n">
        <v>45972.81768518518</v>
      </c>
      <c r="C457" s="1" t="n">
        <v>46090</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55831-2025</t>
        </is>
      </c>
      <c r="B458" s="1" t="n">
        <v>45972.81034722222</v>
      </c>
      <c r="C458" s="1" t="n">
        <v>46090</v>
      </c>
      <c r="D458" t="inlineStr">
        <is>
          <t>SÖDERMANLANDS LÄN</t>
        </is>
      </c>
      <c r="E458" t="inlineStr">
        <is>
          <t>KATRINEHOLM</t>
        </is>
      </c>
      <c r="G458" t="n">
        <v>6.2</v>
      </c>
      <c r="H458" t="n">
        <v>0</v>
      </c>
      <c r="I458" t="n">
        <v>0</v>
      </c>
      <c r="J458" t="n">
        <v>0</v>
      </c>
      <c r="K458" t="n">
        <v>0</v>
      </c>
      <c r="L458" t="n">
        <v>0</v>
      </c>
      <c r="M458" t="n">
        <v>0</v>
      </c>
      <c r="N458" t="n">
        <v>0</v>
      </c>
      <c r="O458" t="n">
        <v>0</v>
      </c>
      <c r="P458" t="n">
        <v>0</v>
      </c>
      <c r="Q458" t="n">
        <v>0</v>
      </c>
      <c r="R458" s="2" t="inlineStr"/>
    </row>
    <row r="459" ht="15" customHeight="1">
      <c r="A459" t="inlineStr">
        <is>
          <t>A 56330-2025</t>
        </is>
      </c>
      <c r="B459" s="1" t="n">
        <v>45974.64094907408</v>
      </c>
      <c r="C459" s="1" t="n">
        <v>46090</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56597-2025</t>
        </is>
      </c>
      <c r="B460" s="1" t="n">
        <v>45975.57271990741</v>
      </c>
      <c r="C460" s="1" t="n">
        <v>46090</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8288-2023</t>
        </is>
      </c>
      <c r="B461" s="1" t="n">
        <v>44974</v>
      </c>
      <c r="C461" s="1" t="n">
        <v>46090</v>
      </c>
      <c r="D461" t="inlineStr">
        <is>
          <t>SÖDERMANLANDS LÄN</t>
        </is>
      </c>
      <c r="E461" t="inlineStr">
        <is>
          <t>KATRINEHOLM</t>
        </is>
      </c>
      <c r="F461" t="inlineStr">
        <is>
          <t>Allmännings- och besparingsskogar</t>
        </is>
      </c>
      <c r="G461" t="n">
        <v>5.6</v>
      </c>
      <c r="H461" t="n">
        <v>0</v>
      </c>
      <c r="I461" t="n">
        <v>0</v>
      </c>
      <c r="J461" t="n">
        <v>0</v>
      </c>
      <c r="K461" t="n">
        <v>0</v>
      </c>
      <c r="L461" t="n">
        <v>0</v>
      </c>
      <c r="M461" t="n">
        <v>0</v>
      </c>
      <c r="N461" t="n">
        <v>0</v>
      </c>
      <c r="O461" t="n">
        <v>0</v>
      </c>
      <c r="P461" t="n">
        <v>0</v>
      </c>
      <c r="Q461" t="n">
        <v>0</v>
      </c>
      <c r="R461" s="2" t="inlineStr"/>
    </row>
    <row r="462" ht="15" customHeight="1">
      <c r="A462" t="inlineStr">
        <is>
          <t>A 45142-2021</t>
        </is>
      </c>
      <c r="B462" s="1" t="n">
        <v>44439</v>
      </c>
      <c r="C462" s="1" t="n">
        <v>46090</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5788-2022</t>
        </is>
      </c>
      <c r="B463" s="1" t="n">
        <v>44596.54990740741</v>
      </c>
      <c r="C463" s="1" t="n">
        <v>46090</v>
      </c>
      <c r="D463" t="inlineStr">
        <is>
          <t>SÖDERMANLANDS LÄN</t>
        </is>
      </c>
      <c r="E463" t="inlineStr">
        <is>
          <t>KATRINEHOLM</t>
        </is>
      </c>
      <c r="G463" t="n">
        <v>4.1</v>
      </c>
      <c r="H463" t="n">
        <v>0</v>
      </c>
      <c r="I463" t="n">
        <v>0</v>
      </c>
      <c r="J463" t="n">
        <v>0</v>
      </c>
      <c r="K463" t="n">
        <v>0</v>
      </c>
      <c r="L463" t="n">
        <v>0</v>
      </c>
      <c r="M463" t="n">
        <v>0</v>
      </c>
      <c r="N463" t="n">
        <v>0</v>
      </c>
      <c r="O463" t="n">
        <v>0</v>
      </c>
      <c r="P463" t="n">
        <v>0</v>
      </c>
      <c r="Q463" t="n">
        <v>0</v>
      </c>
      <c r="R463" s="2" t="inlineStr"/>
    </row>
    <row r="464" ht="15" customHeight="1">
      <c r="A464" t="inlineStr">
        <is>
          <t>A 5790-2022</t>
        </is>
      </c>
      <c r="B464" s="1" t="n">
        <v>44596.55368055555</v>
      </c>
      <c r="C464" s="1" t="n">
        <v>46090</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53387-2023</t>
        </is>
      </c>
      <c r="B465" s="1" t="n">
        <v>45229</v>
      </c>
      <c r="C465" s="1" t="n">
        <v>46090</v>
      </c>
      <c r="D465" t="inlineStr">
        <is>
          <t>SÖDERMANLANDS LÄN</t>
        </is>
      </c>
      <c r="E465" t="inlineStr">
        <is>
          <t>KATRINEHOLM</t>
        </is>
      </c>
      <c r="F465" t="inlineStr">
        <is>
          <t>Kyrkan</t>
        </is>
      </c>
      <c r="G465" t="n">
        <v>7.4</v>
      </c>
      <c r="H465" t="n">
        <v>0</v>
      </c>
      <c r="I465" t="n">
        <v>0</v>
      </c>
      <c r="J465" t="n">
        <v>0</v>
      </c>
      <c r="K465" t="n">
        <v>0</v>
      </c>
      <c r="L465" t="n">
        <v>0</v>
      </c>
      <c r="M465" t="n">
        <v>0</v>
      </c>
      <c r="N465" t="n">
        <v>0</v>
      </c>
      <c r="O465" t="n">
        <v>0</v>
      </c>
      <c r="P465" t="n">
        <v>0</v>
      </c>
      <c r="Q465" t="n">
        <v>0</v>
      </c>
      <c r="R465" s="2" t="inlineStr"/>
    </row>
    <row r="466" ht="15" customHeight="1">
      <c r="A466" t="inlineStr">
        <is>
          <t>A 55169-2022</t>
        </is>
      </c>
      <c r="B466" s="1" t="n">
        <v>44886</v>
      </c>
      <c r="C466" s="1" t="n">
        <v>46090</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13612-2023</t>
        </is>
      </c>
      <c r="B467" s="1" t="n">
        <v>45006</v>
      </c>
      <c r="C467" s="1" t="n">
        <v>46090</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1668-2026</t>
        </is>
      </c>
      <c r="B468" s="1" t="n">
        <v>46034.55986111111</v>
      </c>
      <c r="C468" s="1" t="n">
        <v>46090</v>
      </c>
      <c r="D468" t="inlineStr">
        <is>
          <t>SÖDERMANLANDS LÄN</t>
        </is>
      </c>
      <c r="E468" t="inlineStr">
        <is>
          <t>KATRINEHOLM</t>
        </is>
      </c>
      <c r="G468" t="n">
        <v>4.1</v>
      </c>
      <c r="H468" t="n">
        <v>0</v>
      </c>
      <c r="I468" t="n">
        <v>0</v>
      </c>
      <c r="J468" t="n">
        <v>0</v>
      </c>
      <c r="K468" t="n">
        <v>0</v>
      </c>
      <c r="L468" t="n">
        <v>0</v>
      </c>
      <c r="M468" t="n">
        <v>0</v>
      </c>
      <c r="N468" t="n">
        <v>0</v>
      </c>
      <c r="O468" t="n">
        <v>0</v>
      </c>
      <c r="P468" t="n">
        <v>0</v>
      </c>
      <c r="Q468" t="n">
        <v>0</v>
      </c>
      <c r="R468" s="2" t="inlineStr"/>
    </row>
    <row r="469" ht="15" customHeight="1">
      <c r="A469" t="inlineStr">
        <is>
          <t>A 20949-2021</t>
        </is>
      </c>
      <c r="B469" s="1" t="n">
        <v>44319</v>
      </c>
      <c r="C469" s="1" t="n">
        <v>46090</v>
      </c>
      <c r="D469" t="inlineStr">
        <is>
          <t>SÖDERMANLANDS LÄN</t>
        </is>
      </c>
      <c r="E469" t="inlineStr">
        <is>
          <t>KATRINEHOLM</t>
        </is>
      </c>
      <c r="G469" t="n">
        <v>0.9</v>
      </c>
      <c r="H469" t="n">
        <v>0</v>
      </c>
      <c r="I469" t="n">
        <v>0</v>
      </c>
      <c r="J469" t="n">
        <v>0</v>
      </c>
      <c r="K469" t="n">
        <v>0</v>
      </c>
      <c r="L469" t="n">
        <v>0</v>
      </c>
      <c r="M469" t="n">
        <v>0</v>
      </c>
      <c r="N469" t="n">
        <v>0</v>
      </c>
      <c r="O469" t="n">
        <v>0</v>
      </c>
      <c r="P469" t="n">
        <v>0</v>
      </c>
      <c r="Q469" t="n">
        <v>0</v>
      </c>
      <c r="R469" s="2" t="inlineStr"/>
    </row>
    <row r="470" ht="15" customHeight="1">
      <c r="A470" t="inlineStr">
        <is>
          <t>A 7747-2024</t>
        </is>
      </c>
      <c r="B470" s="1" t="n">
        <v>45348</v>
      </c>
      <c r="C470" s="1" t="n">
        <v>46090</v>
      </c>
      <c r="D470" t="inlineStr">
        <is>
          <t>SÖDERMANLANDS LÄN</t>
        </is>
      </c>
      <c r="E470" t="inlineStr">
        <is>
          <t>KATRINEHOLM</t>
        </is>
      </c>
      <c r="G470" t="n">
        <v>1.1</v>
      </c>
      <c r="H470" t="n">
        <v>0</v>
      </c>
      <c r="I470" t="n">
        <v>0</v>
      </c>
      <c r="J470" t="n">
        <v>0</v>
      </c>
      <c r="K470" t="n">
        <v>0</v>
      </c>
      <c r="L470" t="n">
        <v>0</v>
      </c>
      <c r="M470" t="n">
        <v>0</v>
      </c>
      <c r="N470" t="n">
        <v>0</v>
      </c>
      <c r="O470" t="n">
        <v>0</v>
      </c>
      <c r="P470" t="n">
        <v>0</v>
      </c>
      <c r="Q470" t="n">
        <v>0</v>
      </c>
      <c r="R470" s="2" t="inlineStr"/>
    </row>
    <row r="471" ht="15" customHeight="1">
      <c r="A471" t="inlineStr">
        <is>
          <t>A 4650-2024</t>
        </is>
      </c>
      <c r="B471" s="1" t="n">
        <v>45328</v>
      </c>
      <c r="C471" s="1" t="n">
        <v>46090</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4652-2024</t>
        </is>
      </c>
      <c r="B472" s="1" t="n">
        <v>45328</v>
      </c>
      <c r="C472" s="1" t="n">
        <v>46090</v>
      </c>
      <c r="D472" t="inlineStr">
        <is>
          <t>SÖDERMANLANDS LÄN</t>
        </is>
      </c>
      <c r="E472" t="inlineStr">
        <is>
          <t>KATRINEHOLM</t>
        </is>
      </c>
      <c r="F472" t="inlineStr">
        <is>
          <t>Övriga Aktiebolag</t>
        </is>
      </c>
      <c r="G472" t="n">
        <v>6.1</v>
      </c>
      <c r="H472" t="n">
        <v>0</v>
      </c>
      <c r="I472" t="n">
        <v>0</v>
      </c>
      <c r="J472" t="n">
        <v>0</v>
      </c>
      <c r="K472" t="n">
        <v>0</v>
      </c>
      <c r="L472" t="n">
        <v>0</v>
      </c>
      <c r="M472" t="n">
        <v>0</v>
      </c>
      <c r="N472" t="n">
        <v>0</v>
      </c>
      <c r="O472" t="n">
        <v>0</v>
      </c>
      <c r="P472" t="n">
        <v>0</v>
      </c>
      <c r="Q472" t="n">
        <v>0</v>
      </c>
      <c r="R472" s="2" t="inlineStr"/>
    </row>
    <row r="473" ht="15" customHeight="1">
      <c r="A473" t="inlineStr">
        <is>
          <t>A 48253-2022</t>
        </is>
      </c>
      <c r="B473" s="1" t="n">
        <v>44858</v>
      </c>
      <c r="C473" s="1" t="n">
        <v>46090</v>
      </c>
      <c r="D473" t="inlineStr">
        <is>
          <t>SÖDERMANLANDS LÄN</t>
        </is>
      </c>
      <c r="E473" t="inlineStr">
        <is>
          <t>KATRINEHOLM</t>
        </is>
      </c>
      <c r="G473" t="n">
        <v>4.7</v>
      </c>
      <c r="H473" t="n">
        <v>0</v>
      </c>
      <c r="I473" t="n">
        <v>0</v>
      </c>
      <c r="J473" t="n">
        <v>0</v>
      </c>
      <c r="K473" t="n">
        <v>0</v>
      </c>
      <c r="L473" t="n">
        <v>0</v>
      </c>
      <c r="M473" t="n">
        <v>0</v>
      </c>
      <c r="N473" t="n">
        <v>0</v>
      </c>
      <c r="O473" t="n">
        <v>0</v>
      </c>
      <c r="P473" t="n">
        <v>0</v>
      </c>
      <c r="Q473" t="n">
        <v>0</v>
      </c>
      <c r="R473" s="2" t="inlineStr"/>
    </row>
    <row r="474" ht="15" customHeight="1">
      <c r="A474" t="inlineStr">
        <is>
          <t>A 11130-2026</t>
        </is>
      </c>
      <c r="B474" s="1" t="n">
        <v>46079.70384259259</v>
      </c>
      <c r="C474" s="1" t="n">
        <v>46090</v>
      </c>
      <c r="D474" t="inlineStr">
        <is>
          <t>SÖDERMANLANDS LÄN</t>
        </is>
      </c>
      <c r="E474" t="inlineStr">
        <is>
          <t>KATRINEHOLM</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57323-2025</t>
        </is>
      </c>
      <c r="B475" s="1" t="n">
        <v>45980.32501157407</v>
      </c>
      <c r="C475" s="1" t="n">
        <v>46090</v>
      </c>
      <c r="D475" t="inlineStr">
        <is>
          <t>SÖDERMANLANDS LÄN</t>
        </is>
      </c>
      <c r="E475" t="inlineStr">
        <is>
          <t>KATRINEHOLM</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57975-2025</t>
        </is>
      </c>
      <c r="B476" s="1" t="n">
        <v>45981</v>
      </c>
      <c r="C476" s="1" t="n">
        <v>46090</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32166-2022</t>
        </is>
      </c>
      <c r="B477" s="1" t="n">
        <v>44781</v>
      </c>
      <c r="C477" s="1" t="n">
        <v>46090</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59384-2022</t>
        </is>
      </c>
      <c r="B478" s="1" t="n">
        <v>44905</v>
      </c>
      <c r="C478" s="1" t="n">
        <v>46090</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10996-2022</t>
        </is>
      </c>
      <c r="B479" s="1" t="n">
        <v>44628</v>
      </c>
      <c r="C479" s="1" t="n">
        <v>46090</v>
      </c>
      <c r="D479" t="inlineStr">
        <is>
          <t>SÖDERMANLANDS LÄN</t>
        </is>
      </c>
      <c r="E479" t="inlineStr">
        <is>
          <t>KATRINEHOLM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25363-2023</t>
        </is>
      </c>
      <c r="B480" s="1" t="n">
        <v>45088.83840277778</v>
      </c>
      <c r="C480" s="1" t="n">
        <v>46090</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10891-2026</t>
        </is>
      </c>
      <c r="B481" s="1" t="n">
        <v>46078.78545138889</v>
      </c>
      <c r="C481" s="1" t="n">
        <v>46090</v>
      </c>
      <c r="D481" t="inlineStr">
        <is>
          <t>SÖDERMANLANDS LÄN</t>
        </is>
      </c>
      <c r="E481" t="inlineStr">
        <is>
          <t>KATRINEHOLM</t>
        </is>
      </c>
      <c r="F481" t="inlineStr">
        <is>
          <t>Allmännings- och besparingsskogar</t>
        </is>
      </c>
      <c r="G481" t="n">
        <v>1.6</v>
      </c>
      <c r="H481" t="n">
        <v>0</v>
      </c>
      <c r="I481" t="n">
        <v>0</v>
      </c>
      <c r="J481" t="n">
        <v>0</v>
      </c>
      <c r="K481" t="n">
        <v>0</v>
      </c>
      <c r="L481" t="n">
        <v>0</v>
      </c>
      <c r="M481" t="n">
        <v>0</v>
      </c>
      <c r="N481" t="n">
        <v>0</v>
      </c>
      <c r="O481" t="n">
        <v>0</v>
      </c>
      <c r="P481" t="n">
        <v>0</v>
      </c>
      <c r="Q481" t="n">
        <v>0</v>
      </c>
      <c r="R481" s="2" t="inlineStr"/>
    </row>
    <row r="482" ht="15" customHeight="1">
      <c r="A482" t="inlineStr">
        <is>
          <t>A 10892-2026</t>
        </is>
      </c>
      <c r="B482" s="1" t="n">
        <v>46078.8040625</v>
      </c>
      <c r="C482" s="1" t="n">
        <v>46090</v>
      </c>
      <c r="D482" t="inlineStr">
        <is>
          <t>SÖDERMANLANDS LÄN</t>
        </is>
      </c>
      <c r="E482" t="inlineStr">
        <is>
          <t>KATRINEHOLM</t>
        </is>
      </c>
      <c r="F482" t="inlineStr">
        <is>
          <t>Allmännings- och besparingsskogar</t>
        </is>
      </c>
      <c r="G482" t="n">
        <v>3</v>
      </c>
      <c r="H482" t="n">
        <v>0</v>
      </c>
      <c r="I482" t="n">
        <v>0</v>
      </c>
      <c r="J482" t="n">
        <v>0</v>
      </c>
      <c r="K482" t="n">
        <v>0</v>
      </c>
      <c r="L482" t="n">
        <v>0</v>
      </c>
      <c r="M482" t="n">
        <v>0</v>
      </c>
      <c r="N482" t="n">
        <v>0</v>
      </c>
      <c r="O482" t="n">
        <v>0</v>
      </c>
      <c r="P482" t="n">
        <v>0</v>
      </c>
      <c r="Q482" t="n">
        <v>0</v>
      </c>
      <c r="R482" s="2" t="inlineStr"/>
    </row>
    <row r="483" ht="15" customHeight="1">
      <c r="A483" t="inlineStr">
        <is>
          <t>A 10721-2026</t>
        </is>
      </c>
      <c r="B483" s="1" t="n">
        <v>46078.46894675926</v>
      </c>
      <c r="C483" s="1" t="n">
        <v>46090</v>
      </c>
      <c r="D483" t="inlineStr">
        <is>
          <t>SÖDERMANLANDS LÄN</t>
        </is>
      </c>
      <c r="E483" t="inlineStr">
        <is>
          <t>KATRINEHOLM</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48398-2022</t>
        </is>
      </c>
      <c r="B484" s="1" t="n">
        <v>44858.60809027778</v>
      </c>
      <c r="C484" s="1" t="n">
        <v>46090</v>
      </c>
      <c r="D484" t="inlineStr">
        <is>
          <t>SÖDERMANLANDS LÄN</t>
        </is>
      </c>
      <c r="E484" t="inlineStr">
        <is>
          <t>KATRINEHOLM</t>
        </is>
      </c>
      <c r="G484" t="n">
        <v>1.9</v>
      </c>
      <c r="H484" t="n">
        <v>0</v>
      </c>
      <c r="I484" t="n">
        <v>0</v>
      </c>
      <c r="J484" t="n">
        <v>0</v>
      </c>
      <c r="K484" t="n">
        <v>0</v>
      </c>
      <c r="L484" t="n">
        <v>0</v>
      </c>
      <c r="M484" t="n">
        <v>0</v>
      </c>
      <c r="N484" t="n">
        <v>0</v>
      </c>
      <c r="O484" t="n">
        <v>0</v>
      </c>
      <c r="P484" t="n">
        <v>0</v>
      </c>
      <c r="Q484" t="n">
        <v>0</v>
      </c>
      <c r="R484" s="2" t="inlineStr"/>
    </row>
    <row r="485" ht="15" customHeight="1">
      <c r="A485" t="inlineStr">
        <is>
          <t>A 15945-2024</t>
        </is>
      </c>
      <c r="B485" s="1" t="n">
        <v>45405.48912037037</v>
      </c>
      <c r="C485" s="1" t="n">
        <v>46090</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1329-2025</t>
        </is>
      </c>
      <c r="B486" s="1" t="n">
        <v>45667</v>
      </c>
      <c r="C486" s="1" t="n">
        <v>46090</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8475-2023</t>
        </is>
      </c>
      <c r="B487" s="1" t="n">
        <v>44977</v>
      </c>
      <c r="C487" s="1" t="n">
        <v>46090</v>
      </c>
      <c r="D487" t="inlineStr">
        <is>
          <t>SÖDERMANLANDS LÄN</t>
        </is>
      </c>
      <c r="E487" t="inlineStr">
        <is>
          <t>KATRINEHOLM</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8518-2023</t>
        </is>
      </c>
      <c r="B488" s="1" t="n">
        <v>44977</v>
      </c>
      <c r="C488" s="1" t="n">
        <v>46090</v>
      </c>
      <c r="D488" t="inlineStr">
        <is>
          <t>SÖDERMANLANDS LÄN</t>
        </is>
      </c>
      <c r="E488" t="inlineStr">
        <is>
          <t>KATRINEHOLM</t>
        </is>
      </c>
      <c r="F488" t="inlineStr">
        <is>
          <t>Allmännings- och besparingsskogar</t>
        </is>
      </c>
      <c r="G488" t="n">
        <v>35.3</v>
      </c>
      <c r="H488" t="n">
        <v>0</v>
      </c>
      <c r="I488" t="n">
        <v>0</v>
      </c>
      <c r="J488" t="n">
        <v>0</v>
      </c>
      <c r="K488" t="n">
        <v>0</v>
      </c>
      <c r="L488" t="n">
        <v>0</v>
      </c>
      <c r="M488" t="n">
        <v>0</v>
      </c>
      <c r="N488" t="n">
        <v>0</v>
      </c>
      <c r="O488" t="n">
        <v>0</v>
      </c>
      <c r="P488" t="n">
        <v>0</v>
      </c>
      <c r="Q488" t="n">
        <v>0</v>
      </c>
      <c r="R488" s="2" t="inlineStr"/>
    </row>
    <row r="489" ht="15" customHeight="1">
      <c r="A489" t="inlineStr">
        <is>
          <t>A 46670-2021</t>
        </is>
      </c>
      <c r="B489" s="1" t="n">
        <v>44445</v>
      </c>
      <c r="C489" s="1" t="n">
        <v>46090</v>
      </c>
      <c r="D489" t="inlineStr">
        <is>
          <t>SÖDERMANLANDS LÄN</t>
        </is>
      </c>
      <c r="E489" t="inlineStr">
        <is>
          <t>KATRINEHOLM</t>
        </is>
      </c>
      <c r="G489" t="n">
        <v>4.4</v>
      </c>
      <c r="H489" t="n">
        <v>0</v>
      </c>
      <c r="I489" t="n">
        <v>0</v>
      </c>
      <c r="J489" t="n">
        <v>0</v>
      </c>
      <c r="K489" t="n">
        <v>0</v>
      </c>
      <c r="L489" t="n">
        <v>0</v>
      </c>
      <c r="M489" t="n">
        <v>0</v>
      </c>
      <c r="N489" t="n">
        <v>0</v>
      </c>
      <c r="O489" t="n">
        <v>0</v>
      </c>
      <c r="P489" t="n">
        <v>0</v>
      </c>
      <c r="Q489" t="n">
        <v>0</v>
      </c>
      <c r="R489" s="2" t="inlineStr"/>
    </row>
    <row r="490" ht="15" customHeight="1">
      <c r="A490" t="inlineStr">
        <is>
          <t>A 2473-2026</t>
        </is>
      </c>
      <c r="B490" s="1" t="n">
        <v>46037.37704861111</v>
      </c>
      <c r="C490" s="1" t="n">
        <v>46090</v>
      </c>
      <c r="D490" t="inlineStr">
        <is>
          <t>SÖDERMANLANDS LÄN</t>
        </is>
      </c>
      <c r="E490" t="inlineStr">
        <is>
          <t>KATRINEHOLM</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10893-2026</t>
        </is>
      </c>
      <c r="B491" s="1" t="n">
        <v>46078.81072916667</v>
      </c>
      <c r="C491" s="1" t="n">
        <v>46090</v>
      </c>
      <c r="D491" t="inlineStr">
        <is>
          <t>SÖDERMANLANDS LÄN</t>
        </is>
      </c>
      <c r="E491" t="inlineStr">
        <is>
          <t>KATRINEHOLM</t>
        </is>
      </c>
      <c r="F491" t="inlineStr">
        <is>
          <t>Allmännings- och besparingsskogar</t>
        </is>
      </c>
      <c r="G491" t="n">
        <v>2</v>
      </c>
      <c r="H491" t="n">
        <v>0</v>
      </c>
      <c r="I491" t="n">
        <v>0</v>
      </c>
      <c r="J491" t="n">
        <v>0</v>
      </c>
      <c r="K491" t="n">
        <v>0</v>
      </c>
      <c r="L491" t="n">
        <v>0</v>
      </c>
      <c r="M491" t="n">
        <v>0</v>
      </c>
      <c r="N491" t="n">
        <v>0</v>
      </c>
      <c r="O491" t="n">
        <v>0</v>
      </c>
      <c r="P491" t="n">
        <v>0</v>
      </c>
      <c r="Q491" t="n">
        <v>0</v>
      </c>
      <c r="R491" s="2" t="inlineStr"/>
    </row>
    <row r="492" ht="15" customHeight="1">
      <c r="A492" t="inlineStr">
        <is>
          <t>A 59967-2025</t>
        </is>
      </c>
      <c r="B492" s="1" t="n">
        <v>45993.48525462963</v>
      </c>
      <c r="C492" s="1" t="n">
        <v>46090</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44502.35746527778</v>
      </c>
      <c r="C493" s="1" t="n">
        <v>46090</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43513-2023</t>
        </is>
      </c>
      <c r="B494" s="1" t="n">
        <v>45184</v>
      </c>
      <c r="C494" s="1" t="n">
        <v>46090</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49122-2024</t>
        </is>
      </c>
      <c r="B495" s="1" t="n">
        <v>45594</v>
      </c>
      <c r="C495" s="1" t="n">
        <v>46090</v>
      </c>
      <c r="D495" t="inlineStr">
        <is>
          <t>SÖDERMANLANDS LÄN</t>
        </is>
      </c>
      <c r="E495" t="inlineStr">
        <is>
          <t>KATRINEHOLM</t>
        </is>
      </c>
      <c r="G495" t="n">
        <v>19.4</v>
      </c>
      <c r="H495" t="n">
        <v>0</v>
      </c>
      <c r="I495" t="n">
        <v>0</v>
      </c>
      <c r="J495" t="n">
        <v>0</v>
      </c>
      <c r="K495" t="n">
        <v>0</v>
      </c>
      <c r="L495" t="n">
        <v>0</v>
      </c>
      <c r="M495" t="n">
        <v>0</v>
      </c>
      <c r="N495" t="n">
        <v>0</v>
      </c>
      <c r="O495" t="n">
        <v>0</v>
      </c>
      <c r="P495" t="n">
        <v>0</v>
      </c>
      <c r="Q495" t="n">
        <v>0</v>
      </c>
      <c r="R495" s="2" t="inlineStr"/>
    </row>
    <row r="496" ht="15" customHeight="1">
      <c r="A496" t="inlineStr">
        <is>
          <t>A 2645-2026</t>
        </is>
      </c>
      <c r="B496" s="1" t="n">
        <v>46037.62321759259</v>
      </c>
      <c r="C496" s="1" t="n">
        <v>46090</v>
      </c>
      <c r="D496" t="inlineStr">
        <is>
          <t>SÖDERMANLANDS LÄN</t>
        </is>
      </c>
      <c r="E496" t="inlineStr">
        <is>
          <t>KATRINEHOLM</t>
        </is>
      </c>
      <c r="G496" t="n">
        <v>2.1</v>
      </c>
      <c r="H496" t="n">
        <v>0</v>
      </c>
      <c r="I496" t="n">
        <v>0</v>
      </c>
      <c r="J496" t="n">
        <v>0</v>
      </c>
      <c r="K496" t="n">
        <v>0</v>
      </c>
      <c r="L496" t="n">
        <v>0</v>
      </c>
      <c r="M496" t="n">
        <v>0</v>
      </c>
      <c r="N496" t="n">
        <v>0</v>
      </c>
      <c r="O496" t="n">
        <v>0</v>
      </c>
      <c r="P496" t="n">
        <v>0</v>
      </c>
      <c r="Q496" t="n">
        <v>0</v>
      </c>
      <c r="R496" s="2" t="inlineStr"/>
    </row>
    <row r="497" ht="15" customHeight="1">
      <c r="A497" t="inlineStr">
        <is>
          <t>A 2672-2026</t>
        </is>
      </c>
      <c r="B497" s="1" t="n">
        <v>46037</v>
      </c>
      <c r="C497" s="1" t="n">
        <v>46090</v>
      </c>
      <c r="D497" t="inlineStr">
        <is>
          <t>SÖDERMANLANDS LÄN</t>
        </is>
      </c>
      <c r="E497" t="inlineStr">
        <is>
          <t>KATRINEHOLM</t>
        </is>
      </c>
      <c r="G497" t="n">
        <v>2.1</v>
      </c>
      <c r="H497" t="n">
        <v>0</v>
      </c>
      <c r="I497" t="n">
        <v>0</v>
      </c>
      <c r="J497" t="n">
        <v>0</v>
      </c>
      <c r="K497" t="n">
        <v>0</v>
      </c>
      <c r="L497" t="n">
        <v>0</v>
      </c>
      <c r="M497" t="n">
        <v>0</v>
      </c>
      <c r="N497" t="n">
        <v>0</v>
      </c>
      <c r="O497" t="n">
        <v>0</v>
      </c>
      <c r="P497" t="n">
        <v>0</v>
      </c>
      <c r="Q497" t="n">
        <v>0</v>
      </c>
      <c r="R497" s="2" t="inlineStr"/>
    </row>
    <row r="498" ht="15" customHeight="1">
      <c r="A498" t="inlineStr">
        <is>
          <t>A 8791-2023</t>
        </is>
      </c>
      <c r="B498" s="1" t="n">
        <v>44978</v>
      </c>
      <c r="C498" s="1" t="n">
        <v>46090</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55825-2022</t>
        </is>
      </c>
      <c r="B499" s="1" t="n">
        <v>44886</v>
      </c>
      <c r="C499" s="1" t="n">
        <v>46090</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62954-2023</t>
        </is>
      </c>
      <c r="B500" s="1" t="n">
        <v>45272.55362268518</v>
      </c>
      <c r="C500" s="1" t="n">
        <v>46090</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7191-2023</t>
        </is>
      </c>
      <c r="B501" s="1" t="n">
        <v>44965</v>
      </c>
      <c r="C501" s="1" t="n">
        <v>46090</v>
      </c>
      <c r="D501" t="inlineStr">
        <is>
          <t>SÖDERMANLANDS LÄN</t>
        </is>
      </c>
      <c r="E501" t="inlineStr">
        <is>
          <t>KATRINEHOLM</t>
        </is>
      </c>
      <c r="G501" t="n">
        <v>14.1</v>
      </c>
      <c r="H501" t="n">
        <v>0</v>
      </c>
      <c r="I501" t="n">
        <v>0</v>
      </c>
      <c r="J501" t="n">
        <v>0</v>
      </c>
      <c r="K501" t="n">
        <v>0</v>
      </c>
      <c r="L501" t="n">
        <v>0</v>
      </c>
      <c r="M501" t="n">
        <v>0</v>
      </c>
      <c r="N501" t="n">
        <v>0</v>
      </c>
      <c r="O501" t="n">
        <v>0</v>
      </c>
      <c r="P501" t="n">
        <v>0</v>
      </c>
      <c r="Q501" t="n">
        <v>0</v>
      </c>
      <c r="R501" s="2" t="inlineStr"/>
    </row>
    <row r="502" ht="15" customHeight="1">
      <c r="A502" t="inlineStr">
        <is>
          <t>A 2913-2026</t>
        </is>
      </c>
      <c r="B502" s="1" t="n">
        <v>46038.56913194444</v>
      </c>
      <c r="C502" s="1" t="n">
        <v>46090</v>
      </c>
      <c r="D502" t="inlineStr">
        <is>
          <t>SÖDERMANLANDS LÄN</t>
        </is>
      </c>
      <c r="E502" t="inlineStr">
        <is>
          <t>KATRINEHOLM</t>
        </is>
      </c>
      <c r="F502" t="inlineStr">
        <is>
          <t>Övriga Aktiebolag</t>
        </is>
      </c>
      <c r="G502" t="n">
        <v>6.2</v>
      </c>
      <c r="H502" t="n">
        <v>0</v>
      </c>
      <c r="I502" t="n">
        <v>0</v>
      </c>
      <c r="J502" t="n">
        <v>0</v>
      </c>
      <c r="K502" t="n">
        <v>0</v>
      </c>
      <c r="L502" t="n">
        <v>0</v>
      </c>
      <c r="M502" t="n">
        <v>0</v>
      </c>
      <c r="N502" t="n">
        <v>0</v>
      </c>
      <c r="O502" t="n">
        <v>0</v>
      </c>
      <c r="P502" t="n">
        <v>0</v>
      </c>
      <c r="Q502" t="n">
        <v>0</v>
      </c>
      <c r="R502" s="2" t="inlineStr"/>
    </row>
    <row r="503" ht="15" customHeight="1">
      <c r="A503" t="inlineStr">
        <is>
          <t>A 60678-2025</t>
        </is>
      </c>
      <c r="B503" s="1" t="n">
        <v>45996.56251157408</v>
      </c>
      <c r="C503" s="1" t="n">
        <v>46090</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37834-2023</t>
        </is>
      </c>
      <c r="B504" s="1" t="n">
        <v>45160</v>
      </c>
      <c r="C504" s="1" t="n">
        <v>46090</v>
      </c>
      <c r="D504" t="inlineStr">
        <is>
          <t>SÖDERMANLANDS LÄN</t>
        </is>
      </c>
      <c r="E504" t="inlineStr">
        <is>
          <t>KATRINEHOLM</t>
        </is>
      </c>
      <c r="F504" t="inlineStr">
        <is>
          <t>Kyrkan</t>
        </is>
      </c>
      <c r="G504" t="n">
        <v>2.8</v>
      </c>
      <c r="H504" t="n">
        <v>0</v>
      </c>
      <c r="I504" t="n">
        <v>0</v>
      </c>
      <c r="J504" t="n">
        <v>0</v>
      </c>
      <c r="K504" t="n">
        <v>0</v>
      </c>
      <c r="L504" t="n">
        <v>0</v>
      </c>
      <c r="M504" t="n">
        <v>0</v>
      </c>
      <c r="N504" t="n">
        <v>0</v>
      </c>
      <c r="O504" t="n">
        <v>0</v>
      </c>
      <c r="P504" t="n">
        <v>0</v>
      </c>
      <c r="Q504" t="n">
        <v>0</v>
      </c>
      <c r="R504" s="2" t="inlineStr"/>
    </row>
    <row r="505" ht="15" customHeight="1">
      <c r="A505" t="inlineStr">
        <is>
          <t>A 36210-2022</t>
        </is>
      </c>
      <c r="B505" s="1" t="n">
        <v>44803.47950231482</v>
      </c>
      <c r="C505" s="1" t="n">
        <v>46090</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19685-2022</t>
        </is>
      </c>
      <c r="B506" s="1" t="n">
        <v>44694</v>
      </c>
      <c r="C506" s="1" t="n">
        <v>46090</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61066-2025</t>
        </is>
      </c>
      <c r="B507" s="1" t="n">
        <v>46000.37695601852</v>
      </c>
      <c r="C507" s="1" t="n">
        <v>46090</v>
      </c>
      <c r="D507" t="inlineStr">
        <is>
          <t>SÖDERMANLANDS LÄN</t>
        </is>
      </c>
      <c r="E507" t="inlineStr">
        <is>
          <t>KATRINEHOLM</t>
        </is>
      </c>
      <c r="F507" t="inlineStr">
        <is>
          <t>Kyrkan</t>
        </is>
      </c>
      <c r="G507" t="n">
        <v>5</v>
      </c>
      <c r="H507" t="n">
        <v>0</v>
      </c>
      <c r="I507" t="n">
        <v>0</v>
      </c>
      <c r="J507" t="n">
        <v>0</v>
      </c>
      <c r="K507" t="n">
        <v>0</v>
      </c>
      <c r="L507" t="n">
        <v>0</v>
      </c>
      <c r="M507" t="n">
        <v>0</v>
      </c>
      <c r="N507" t="n">
        <v>0</v>
      </c>
      <c r="O507" t="n">
        <v>0</v>
      </c>
      <c r="P507" t="n">
        <v>0</v>
      </c>
      <c r="Q507" t="n">
        <v>0</v>
      </c>
      <c r="R507" s="2" t="inlineStr"/>
    </row>
    <row r="508" ht="15" customHeight="1">
      <c r="A508" t="inlineStr">
        <is>
          <t>A 8951-2024</t>
        </is>
      </c>
      <c r="B508" s="1" t="n">
        <v>45357.44695601852</v>
      </c>
      <c r="C508" s="1" t="n">
        <v>46090</v>
      </c>
      <c r="D508" t="inlineStr">
        <is>
          <t>SÖDERMANLANDS LÄN</t>
        </is>
      </c>
      <c r="E508" t="inlineStr">
        <is>
          <t>KATRINEHOLM</t>
        </is>
      </c>
      <c r="G508" t="n">
        <v>3.3</v>
      </c>
      <c r="H508" t="n">
        <v>0</v>
      </c>
      <c r="I508" t="n">
        <v>0</v>
      </c>
      <c r="J508" t="n">
        <v>0</v>
      </c>
      <c r="K508" t="n">
        <v>0</v>
      </c>
      <c r="L508" t="n">
        <v>0</v>
      </c>
      <c r="M508" t="n">
        <v>0</v>
      </c>
      <c r="N508" t="n">
        <v>0</v>
      </c>
      <c r="O508" t="n">
        <v>0</v>
      </c>
      <c r="P508" t="n">
        <v>0</v>
      </c>
      <c r="Q508" t="n">
        <v>0</v>
      </c>
      <c r="R508" s="2" t="inlineStr"/>
    </row>
    <row r="509" ht="15" customHeight="1">
      <c r="A509" t="inlineStr">
        <is>
          <t>A 14224-2024</t>
        </is>
      </c>
      <c r="B509" s="1" t="n">
        <v>45393</v>
      </c>
      <c r="C509" s="1" t="n">
        <v>46090</v>
      </c>
      <c r="D509" t="inlineStr">
        <is>
          <t>SÖDERMANLANDS LÄN</t>
        </is>
      </c>
      <c r="E509" t="inlineStr">
        <is>
          <t>KATRINEHOLM</t>
        </is>
      </c>
      <c r="F509" t="inlineStr">
        <is>
          <t>Sveaskog</t>
        </is>
      </c>
      <c r="G509" t="n">
        <v>7.6</v>
      </c>
      <c r="H509" t="n">
        <v>0</v>
      </c>
      <c r="I509" t="n">
        <v>0</v>
      </c>
      <c r="J509" t="n">
        <v>0</v>
      </c>
      <c r="K509" t="n">
        <v>0</v>
      </c>
      <c r="L509" t="n">
        <v>0</v>
      </c>
      <c r="M509" t="n">
        <v>0</v>
      </c>
      <c r="N509" t="n">
        <v>0</v>
      </c>
      <c r="O509" t="n">
        <v>0</v>
      </c>
      <c r="P509" t="n">
        <v>0</v>
      </c>
      <c r="Q509" t="n">
        <v>0</v>
      </c>
      <c r="R509" s="2" t="inlineStr"/>
    </row>
    <row r="510" ht="15" customHeight="1">
      <c r="A510" t="inlineStr">
        <is>
          <t>A 44989-2022</t>
        </is>
      </c>
      <c r="B510" s="1" t="n">
        <v>44840</v>
      </c>
      <c r="C510" s="1" t="n">
        <v>46090</v>
      </c>
      <c r="D510" t="inlineStr">
        <is>
          <t>SÖDERMANLANDS LÄN</t>
        </is>
      </c>
      <c r="E510" t="inlineStr">
        <is>
          <t>KATRINEHOLM</t>
        </is>
      </c>
      <c r="G510" t="n">
        <v>6</v>
      </c>
      <c r="H510" t="n">
        <v>0</v>
      </c>
      <c r="I510" t="n">
        <v>0</v>
      </c>
      <c r="J510" t="n">
        <v>0</v>
      </c>
      <c r="K510" t="n">
        <v>0</v>
      </c>
      <c r="L510" t="n">
        <v>0</v>
      </c>
      <c r="M510" t="n">
        <v>0</v>
      </c>
      <c r="N510" t="n">
        <v>0</v>
      </c>
      <c r="O510" t="n">
        <v>0</v>
      </c>
      <c r="P510" t="n">
        <v>0</v>
      </c>
      <c r="Q510" t="n">
        <v>0</v>
      </c>
      <c r="R510" s="2" t="inlineStr"/>
    </row>
    <row r="511" ht="15" customHeight="1">
      <c r="A511" t="inlineStr">
        <is>
          <t>A 57263-2022</t>
        </is>
      </c>
      <c r="B511" s="1" t="n">
        <v>44895</v>
      </c>
      <c r="C511" s="1" t="n">
        <v>46090</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49218-2023</t>
        </is>
      </c>
      <c r="B512" s="1" t="n">
        <v>45205</v>
      </c>
      <c r="C512" s="1" t="n">
        <v>46090</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61121-2025</t>
        </is>
      </c>
      <c r="B513" s="1" t="n">
        <v>46000.46746527778</v>
      </c>
      <c r="C513" s="1" t="n">
        <v>46090</v>
      </c>
      <c r="D513" t="inlineStr">
        <is>
          <t>SÖDERMANLANDS LÄN</t>
        </is>
      </c>
      <c r="E513" t="inlineStr">
        <is>
          <t>KATRINEHOLM</t>
        </is>
      </c>
      <c r="G513" t="n">
        <v>0.2</v>
      </c>
      <c r="H513" t="n">
        <v>0</v>
      </c>
      <c r="I513" t="n">
        <v>0</v>
      </c>
      <c r="J513" t="n">
        <v>0</v>
      </c>
      <c r="K513" t="n">
        <v>0</v>
      </c>
      <c r="L513" t="n">
        <v>0</v>
      </c>
      <c r="M513" t="n">
        <v>0</v>
      </c>
      <c r="N513" t="n">
        <v>0</v>
      </c>
      <c r="O513" t="n">
        <v>0</v>
      </c>
      <c r="P513" t="n">
        <v>0</v>
      </c>
      <c r="Q513" t="n">
        <v>0</v>
      </c>
      <c r="R513" s="2" t="inlineStr"/>
    </row>
    <row r="514" ht="15" customHeight="1">
      <c r="A514" t="inlineStr">
        <is>
          <t>A 4679-2023</t>
        </is>
      </c>
      <c r="B514" s="1" t="n">
        <v>44957.44885416667</v>
      </c>
      <c r="C514" s="1" t="n">
        <v>46090</v>
      </c>
      <c r="D514" t="inlineStr">
        <is>
          <t>SÖDERMANLANDS LÄN</t>
        </is>
      </c>
      <c r="E514" t="inlineStr">
        <is>
          <t>KATRINEHOLM</t>
        </is>
      </c>
      <c r="G514" t="n">
        <v>5.3</v>
      </c>
      <c r="H514" t="n">
        <v>0</v>
      </c>
      <c r="I514" t="n">
        <v>0</v>
      </c>
      <c r="J514" t="n">
        <v>0</v>
      </c>
      <c r="K514" t="n">
        <v>0</v>
      </c>
      <c r="L514" t="n">
        <v>0</v>
      </c>
      <c r="M514" t="n">
        <v>0</v>
      </c>
      <c r="N514" t="n">
        <v>0</v>
      </c>
      <c r="O514" t="n">
        <v>0</v>
      </c>
      <c r="P514" t="n">
        <v>0</v>
      </c>
      <c r="Q514" t="n">
        <v>0</v>
      </c>
      <c r="R514" s="2" t="inlineStr"/>
    </row>
    <row r="515" ht="15" customHeight="1">
      <c r="A515" t="inlineStr">
        <is>
          <t>A 61721-2025</t>
        </is>
      </c>
      <c r="B515" s="1" t="n">
        <v>46002.57778935185</v>
      </c>
      <c r="C515" s="1" t="n">
        <v>46090</v>
      </c>
      <c r="D515" t="inlineStr">
        <is>
          <t>SÖDERMANLANDS LÄN</t>
        </is>
      </c>
      <c r="E515" t="inlineStr">
        <is>
          <t>KATRINEHOLM</t>
        </is>
      </c>
      <c r="G515" t="n">
        <v>4.5</v>
      </c>
      <c r="H515" t="n">
        <v>0</v>
      </c>
      <c r="I515" t="n">
        <v>0</v>
      </c>
      <c r="J515" t="n">
        <v>0</v>
      </c>
      <c r="K515" t="n">
        <v>0</v>
      </c>
      <c r="L515" t="n">
        <v>0</v>
      </c>
      <c r="M515" t="n">
        <v>0</v>
      </c>
      <c r="N515" t="n">
        <v>0</v>
      </c>
      <c r="O515" t="n">
        <v>0</v>
      </c>
      <c r="P515" t="n">
        <v>0</v>
      </c>
      <c r="Q515" t="n">
        <v>0</v>
      </c>
      <c r="R515" s="2" t="inlineStr"/>
    </row>
    <row r="516" ht="15" customHeight="1">
      <c r="A516" t="inlineStr">
        <is>
          <t>A 2320-2023</t>
        </is>
      </c>
      <c r="B516" s="1" t="n">
        <v>44942.58850694444</v>
      </c>
      <c r="C516" s="1" t="n">
        <v>46090</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2325-2023</t>
        </is>
      </c>
      <c r="B517" s="1" t="n">
        <v>44942</v>
      </c>
      <c r="C517" s="1" t="n">
        <v>46090</v>
      </c>
      <c r="D517" t="inlineStr">
        <is>
          <t>SÖDERMANLANDS LÄN</t>
        </is>
      </c>
      <c r="E517" t="inlineStr">
        <is>
          <t>KATRINEHOLM</t>
        </is>
      </c>
      <c r="G517" t="n">
        <v>5.6</v>
      </c>
      <c r="H517" t="n">
        <v>0</v>
      </c>
      <c r="I517" t="n">
        <v>0</v>
      </c>
      <c r="J517" t="n">
        <v>0</v>
      </c>
      <c r="K517" t="n">
        <v>0</v>
      </c>
      <c r="L517" t="n">
        <v>0</v>
      </c>
      <c r="M517" t="n">
        <v>0</v>
      </c>
      <c r="N517" t="n">
        <v>0</v>
      </c>
      <c r="O517" t="n">
        <v>0</v>
      </c>
      <c r="P517" t="n">
        <v>0</v>
      </c>
      <c r="Q517" t="n">
        <v>0</v>
      </c>
      <c r="R517" s="2" t="inlineStr"/>
    </row>
    <row r="518" ht="15" customHeight="1">
      <c r="A518" t="inlineStr">
        <is>
          <t>A 11621-2026</t>
        </is>
      </c>
      <c r="B518" s="1" t="n">
        <v>46084.46734953704</v>
      </c>
      <c r="C518" s="1" t="n">
        <v>46090</v>
      </c>
      <c r="D518" t="inlineStr">
        <is>
          <t>SÖDERMANLANDS LÄN</t>
        </is>
      </c>
      <c r="E518" t="inlineStr">
        <is>
          <t>KATRINEHOLM</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11666-2026</t>
        </is>
      </c>
      <c r="B519" s="1" t="n">
        <v>46084.55381944445</v>
      </c>
      <c r="C519" s="1" t="n">
        <v>46090</v>
      </c>
      <c r="D519" t="inlineStr">
        <is>
          <t>SÖDERMANLANDS LÄN</t>
        </is>
      </c>
      <c r="E519" t="inlineStr">
        <is>
          <t>KATRINEHOLM</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4889-2026</t>
        </is>
      </c>
      <c r="B520" s="1" t="n">
        <v>46048.66766203703</v>
      </c>
      <c r="C520" s="1" t="n">
        <v>46090</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55732-2023</t>
        </is>
      </c>
      <c r="B521" s="1" t="n">
        <v>45239</v>
      </c>
      <c r="C521" s="1" t="n">
        <v>46090</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11677-2026</t>
        </is>
      </c>
      <c r="B522" s="1" t="n">
        <v>46084.56711805556</v>
      </c>
      <c r="C522" s="1" t="n">
        <v>46090</v>
      </c>
      <c r="D522" t="inlineStr">
        <is>
          <t>SÖDERMANLANDS LÄN</t>
        </is>
      </c>
      <c r="E522" t="inlineStr">
        <is>
          <t>KATRINEHOLM</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17792-2025</t>
        </is>
      </c>
      <c r="B523" s="1" t="n">
        <v>45758</v>
      </c>
      <c r="C523" s="1" t="n">
        <v>46090</v>
      </c>
      <c r="D523" t="inlineStr">
        <is>
          <t>SÖDERMANLANDS LÄN</t>
        </is>
      </c>
      <c r="E523" t="inlineStr">
        <is>
          <t>KATRINEHOLM</t>
        </is>
      </c>
      <c r="G523" t="n">
        <v>4.2</v>
      </c>
      <c r="H523" t="n">
        <v>0</v>
      </c>
      <c r="I523" t="n">
        <v>0</v>
      </c>
      <c r="J523" t="n">
        <v>0</v>
      </c>
      <c r="K523" t="n">
        <v>0</v>
      </c>
      <c r="L523" t="n">
        <v>0</v>
      </c>
      <c r="M523" t="n">
        <v>0</v>
      </c>
      <c r="N523" t="n">
        <v>0</v>
      </c>
      <c r="O523" t="n">
        <v>0</v>
      </c>
      <c r="P523" t="n">
        <v>0</v>
      </c>
      <c r="Q523" t="n">
        <v>0</v>
      </c>
      <c r="R523" s="2" t="inlineStr"/>
    </row>
    <row r="524" ht="15" customHeight="1">
      <c r="A524" t="inlineStr">
        <is>
          <t>A 58473-2021</t>
        </is>
      </c>
      <c r="B524" s="1" t="n">
        <v>44488</v>
      </c>
      <c r="C524" s="1" t="n">
        <v>46090</v>
      </c>
      <c r="D524" t="inlineStr">
        <is>
          <t>SÖDERMANLANDS LÄN</t>
        </is>
      </c>
      <c r="E524" t="inlineStr">
        <is>
          <t>KATRINEHOLM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53860-2021</t>
        </is>
      </c>
      <c r="B525" s="1" t="n">
        <v>44467</v>
      </c>
      <c r="C525" s="1" t="n">
        <v>46090</v>
      </c>
      <c r="D525" t="inlineStr">
        <is>
          <t>SÖDERMANLANDS LÄN</t>
        </is>
      </c>
      <c r="E525" t="inlineStr">
        <is>
          <t>KATRINEHOLM</t>
        </is>
      </c>
      <c r="G525" t="n">
        <v>1.3</v>
      </c>
      <c r="H525" t="n">
        <v>0</v>
      </c>
      <c r="I525" t="n">
        <v>0</v>
      </c>
      <c r="J525" t="n">
        <v>0</v>
      </c>
      <c r="K525" t="n">
        <v>0</v>
      </c>
      <c r="L525" t="n">
        <v>0</v>
      </c>
      <c r="M525" t="n">
        <v>0</v>
      </c>
      <c r="N525" t="n">
        <v>0</v>
      </c>
      <c r="O525" t="n">
        <v>0</v>
      </c>
      <c r="P525" t="n">
        <v>0</v>
      </c>
      <c r="Q525" t="n">
        <v>0</v>
      </c>
      <c r="R525" s="2" t="inlineStr"/>
    </row>
    <row r="526" ht="15" customHeight="1">
      <c r="A526" t="inlineStr">
        <is>
          <t>A 5703-2026</t>
        </is>
      </c>
      <c r="B526" s="1" t="n">
        <v>46051.50774305555</v>
      </c>
      <c r="C526" s="1" t="n">
        <v>46090</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20533-2023</t>
        </is>
      </c>
      <c r="B527" s="1" t="n">
        <v>45057</v>
      </c>
      <c r="C527" s="1" t="n">
        <v>46090</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c r="T527">
        <f>HYPERLINK("https://klasma.github.io/Logging_0483/kartor/A 20533-2023 karta.png", "A 20533-2023")</f>
        <v/>
      </c>
      <c r="V527">
        <f>HYPERLINK("https://klasma.github.io/Logging_0483/klagomål/A 20533-2023 FSC-klagomål.docx", "A 20533-2023")</f>
        <v/>
      </c>
      <c r="W527">
        <f>HYPERLINK("https://klasma.github.io/Logging_0483/klagomålsmail/A 20533-2023 FSC-klagomål mail.docx", "A 20533-2023")</f>
        <v/>
      </c>
      <c r="X527">
        <f>HYPERLINK("https://klasma.github.io/Logging_0483/tillsyn/A 20533-2023 tillsynsbegäran.docx", "A 20533-2023")</f>
        <v/>
      </c>
      <c r="Y527">
        <f>HYPERLINK("https://klasma.github.io/Logging_0483/tillsynsmail/A 20533-2023 tillsynsbegäran mail.docx", "A 20533-2023")</f>
        <v/>
      </c>
      <c r="Z527">
        <f>HYPERLINK("https://klasma.github.io/Logging_0483/fåglar/A 20533-2023 prioriterade fågelarter.docx", "A 20533-2023")</f>
        <v/>
      </c>
    </row>
    <row r="528" ht="15" customHeight="1">
      <c r="A528" t="inlineStr">
        <is>
          <t>A 29702-2021</t>
        </is>
      </c>
      <c r="B528" s="1" t="n">
        <v>44362</v>
      </c>
      <c r="C528" s="1" t="n">
        <v>46090</v>
      </c>
      <c r="D528" t="inlineStr">
        <is>
          <t>SÖDERMANLANDS LÄN</t>
        </is>
      </c>
      <c r="E528" t="inlineStr">
        <is>
          <t>KATRINEHOLM</t>
        </is>
      </c>
      <c r="F528" t="inlineStr">
        <is>
          <t>Holmen skog AB</t>
        </is>
      </c>
      <c r="G528" t="n">
        <v>0.3</v>
      </c>
      <c r="H528" t="n">
        <v>0</v>
      </c>
      <c r="I528" t="n">
        <v>0</v>
      </c>
      <c r="J528" t="n">
        <v>0</v>
      </c>
      <c r="K528" t="n">
        <v>0</v>
      </c>
      <c r="L528" t="n">
        <v>0</v>
      </c>
      <c r="M528" t="n">
        <v>0</v>
      </c>
      <c r="N528" t="n">
        <v>0</v>
      </c>
      <c r="O528" t="n">
        <v>0</v>
      </c>
      <c r="P528" t="n">
        <v>0</v>
      </c>
      <c r="Q528" t="n">
        <v>0</v>
      </c>
      <c r="R528" s="2" t="inlineStr"/>
    </row>
    <row r="529" ht="15" customHeight="1">
      <c r="A529" t="inlineStr">
        <is>
          <t>A 4662-2023</t>
        </is>
      </c>
      <c r="B529" s="1" t="n">
        <v>44957</v>
      </c>
      <c r="C529" s="1" t="n">
        <v>46090</v>
      </c>
      <c r="D529" t="inlineStr">
        <is>
          <t>SÖDERMANLANDS LÄN</t>
        </is>
      </c>
      <c r="E529" t="inlineStr">
        <is>
          <t>KATRINEHOLM</t>
        </is>
      </c>
      <c r="F529" t="inlineStr">
        <is>
          <t>Holmen skog AB</t>
        </is>
      </c>
      <c r="G529" t="n">
        <v>0.4</v>
      </c>
      <c r="H529" t="n">
        <v>0</v>
      </c>
      <c r="I529" t="n">
        <v>0</v>
      </c>
      <c r="J529" t="n">
        <v>0</v>
      </c>
      <c r="K529" t="n">
        <v>0</v>
      </c>
      <c r="L529" t="n">
        <v>0</v>
      </c>
      <c r="M529" t="n">
        <v>0</v>
      </c>
      <c r="N529" t="n">
        <v>0</v>
      </c>
      <c r="O529" t="n">
        <v>0</v>
      </c>
      <c r="P529" t="n">
        <v>0</v>
      </c>
      <c r="Q529" t="n">
        <v>0</v>
      </c>
      <c r="R529" s="2" t="inlineStr"/>
    </row>
    <row r="530" ht="15" customHeight="1">
      <c r="A530" t="inlineStr">
        <is>
          <t>A 22304-2024</t>
        </is>
      </c>
      <c r="B530" s="1" t="n">
        <v>45446.56626157407</v>
      </c>
      <c r="C530" s="1" t="n">
        <v>46090</v>
      </c>
      <c r="D530" t="inlineStr">
        <is>
          <t>SÖDERMANLANDS LÄN</t>
        </is>
      </c>
      <c r="E530" t="inlineStr">
        <is>
          <t>KATRINEHOLM</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13171-2024</t>
        </is>
      </c>
      <c r="B531" s="1" t="n">
        <v>45386</v>
      </c>
      <c r="C531" s="1" t="n">
        <v>46090</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63945-2025</t>
        </is>
      </c>
      <c r="B532" s="1" t="n">
        <v>46010</v>
      </c>
      <c r="C532" s="1" t="n">
        <v>46090</v>
      </c>
      <c r="D532" t="inlineStr">
        <is>
          <t>SÖDERMANLANDS LÄN</t>
        </is>
      </c>
      <c r="E532" t="inlineStr">
        <is>
          <t>KATRINEHOLM</t>
        </is>
      </c>
      <c r="F532" t="inlineStr">
        <is>
          <t>Allmännings- och besparingsskogar</t>
        </is>
      </c>
      <c r="G532" t="n">
        <v>1.2</v>
      </c>
      <c r="H532" t="n">
        <v>0</v>
      </c>
      <c r="I532" t="n">
        <v>0</v>
      </c>
      <c r="J532" t="n">
        <v>0</v>
      </c>
      <c r="K532" t="n">
        <v>0</v>
      </c>
      <c r="L532" t="n">
        <v>0</v>
      </c>
      <c r="M532" t="n">
        <v>0</v>
      </c>
      <c r="N532" t="n">
        <v>0</v>
      </c>
      <c r="O532" t="n">
        <v>0</v>
      </c>
      <c r="P532" t="n">
        <v>0</v>
      </c>
      <c r="Q532" t="n">
        <v>0</v>
      </c>
      <c r="R532" s="2" t="inlineStr"/>
    </row>
    <row r="533" ht="15" customHeight="1">
      <c r="A533" t="inlineStr">
        <is>
          <t>A 63947-2025</t>
        </is>
      </c>
      <c r="B533" s="1" t="n">
        <v>46010</v>
      </c>
      <c r="C533" s="1" t="n">
        <v>46090</v>
      </c>
      <c r="D533" t="inlineStr">
        <is>
          <t>SÖDERMANLANDS LÄN</t>
        </is>
      </c>
      <c r="E533" t="inlineStr">
        <is>
          <t>KATRINEHOLM</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63949-2025</t>
        </is>
      </c>
      <c r="B534" s="1" t="n">
        <v>46010</v>
      </c>
      <c r="C534" s="1" t="n">
        <v>46090</v>
      </c>
      <c r="D534" t="inlineStr">
        <is>
          <t>SÖDERMANLANDS LÄN</t>
        </is>
      </c>
      <c r="E534" t="inlineStr">
        <is>
          <t>KATRINEHOLM</t>
        </is>
      </c>
      <c r="F534" t="inlineStr">
        <is>
          <t>Allmännings- och besparingsskogar</t>
        </is>
      </c>
      <c r="G534" t="n">
        <v>5.1</v>
      </c>
      <c r="H534" t="n">
        <v>0</v>
      </c>
      <c r="I534" t="n">
        <v>0</v>
      </c>
      <c r="J534" t="n">
        <v>0</v>
      </c>
      <c r="K534" t="n">
        <v>0</v>
      </c>
      <c r="L534" t="n">
        <v>0</v>
      </c>
      <c r="M534" t="n">
        <v>0</v>
      </c>
      <c r="N534" t="n">
        <v>0</v>
      </c>
      <c r="O534" t="n">
        <v>0</v>
      </c>
      <c r="P534" t="n">
        <v>0</v>
      </c>
      <c r="Q534" t="n">
        <v>0</v>
      </c>
      <c r="R534" s="2" t="inlineStr"/>
    </row>
    <row r="535" ht="15" customHeight="1">
      <c r="A535" t="inlineStr">
        <is>
          <t>A 33752-2023</t>
        </is>
      </c>
      <c r="B535" s="1" t="n">
        <v>45120</v>
      </c>
      <c r="C535" s="1" t="n">
        <v>46090</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63948-2025</t>
        </is>
      </c>
      <c r="B536" s="1" t="n">
        <v>46010</v>
      </c>
      <c r="C536" s="1" t="n">
        <v>46090</v>
      </c>
      <c r="D536" t="inlineStr">
        <is>
          <t>SÖDERMANLANDS LÄN</t>
        </is>
      </c>
      <c r="E536" t="inlineStr">
        <is>
          <t>KATRINEHOLM</t>
        </is>
      </c>
      <c r="F536" t="inlineStr">
        <is>
          <t>Allmännings- och besparingsskogar</t>
        </is>
      </c>
      <c r="G536" t="n">
        <v>4.9</v>
      </c>
      <c r="H536" t="n">
        <v>0</v>
      </c>
      <c r="I536" t="n">
        <v>0</v>
      </c>
      <c r="J536" t="n">
        <v>0</v>
      </c>
      <c r="K536" t="n">
        <v>0</v>
      </c>
      <c r="L536" t="n">
        <v>0</v>
      </c>
      <c r="M536" t="n">
        <v>0</v>
      </c>
      <c r="N536" t="n">
        <v>0</v>
      </c>
      <c r="O536" t="n">
        <v>0</v>
      </c>
      <c r="P536" t="n">
        <v>0</v>
      </c>
      <c r="Q536" t="n">
        <v>0</v>
      </c>
      <c r="R536" s="2" t="inlineStr"/>
    </row>
    <row r="537" ht="15" customHeight="1">
      <c r="A537" t="inlineStr">
        <is>
          <t>A 28652-2024</t>
        </is>
      </c>
      <c r="B537" s="1" t="n">
        <v>45478</v>
      </c>
      <c r="C537" s="1" t="n">
        <v>46090</v>
      </c>
      <c r="D537" t="inlineStr">
        <is>
          <t>SÖDERMANLANDS LÄN</t>
        </is>
      </c>
      <c r="E537" t="inlineStr">
        <is>
          <t>KATRINEHOLM</t>
        </is>
      </c>
      <c r="G537" t="n">
        <v>1.4</v>
      </c>
      <c r="H537" t="n">
        <v>0</v>
      </c>
      <c r="I537" t="n">
        <v>0</v>
      </c>
      <c r="J537" t="n">
        <v>0</v>
      </c>
      <c r="K537" t="n">
        <v>0</v>
      </c>
      <c r="L537" t="n">
        <v>0</v>
      </c>
      <c r="M537" t="n">
        <v>0</v>
      </c>
      <c r="N537" t="n">
        <v>0</v>
      </c>
      <c r="O537" t="n">
        <v>0</v>
      </c>
      <c r="P537" t="n">
        <v>0</v>
      </c>
      <c r="Q537" t="n">
        <v>0</v>
      </c>
      <c r="R537" s="2" t="inlineStr"/>
    </row>
    <row r="538" ht="15" customHeight="1">
      <c r="A538" t="inlineStr">
        <is>
          <t>A 9936-2023</t>
        </is>
      </c>
      <c r="B538" s="1" t="n">
        <v>44985.47086805556</v>
      </c>
      <c r="C538" s="1" t="n">
        <v>46090</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46090</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72984-2021</t>
        </is>
      </c>
      <c r="B540" s="1" t="n">
        <v>44549.74741898148</v>
      </c>
      <c r="C540" s="1" t="n">
        <v>46090</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46090</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46090</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46090</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51260-2021</t>
        </is>
      </c>
      <c r="B544" s="1" t="n">
        <v>44461</v>
      </c>
      <c r="C544" s="1" t="n">
        <v>46090</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38879-2024</t>
        </is>
      </c>
      <c r="B545" s="1" t="n">
        <v>45547</v>
      </c>
      <c r="C545" s="1" t="n">
        <v>46090</v>
      </c>
      <c r="D545" t="inlineStr">
        <is>
          <t>SÖDERMANLANDS LÄN</t>
        </is>
      </c>
      <c r="E545" t="inlineStr">
        <is>
          <t>KATRINEHOLM</t>
        </is>
      </c>
      <c r="G545" t="n">
        <v>2.6</v>
      </c>
      <c r="H545" t="n">
        <v>0</v>
      </c>
      <c r="I545" t="n">
        <v>0</v>
      </c>
      <c r="J545" t="n">
        <v>0</v>
      </c>
      <c r="K545" t="n">
        <v>0</v>
      </c>
      <c r="L545" t="n">
        <v>0</v>
      </c>
      <c r="M545" t="n">
        <v>0</v>
      </c>
      <c r="N545" t="n">
        <v>0</v>
      </c>
      <c r="O545" t="n">
        <v>0</v>
      </c>
      <c r="P545" t="n">
        <v>0</v>
      </c>
      <c r="Q545" t="n">
        <v>0</v>
      </c>
      <c r="R545" s="2" t="inlineStr"/>
    </row>
    <row r="546" ht="15" customHeight="1">
      <c r="A546" t="inlineStr">
        <is>
          <t>A 42945-2023</t>
        </is>
      </c>
      <c r="B546" s="1" t="n">
        <v>45182.5793287037</v>
      </c>
      <c r="C546" s="1" t="n">
        <v>46090</v>
      </c>
      <c r="D546" t="inlineStr">
        <is>
          <t>SÖDERMANLANDS LÄN</t>
        </is>
      </c>
      <c r="E546" t="inlineStr">
        <is>
          <t>KATRINEHOLM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42962-2023</t>
        </is>
      </c>
      <c r="B547" s="1" t="n">
        <v>45182</v>
      </c>
      <c r="C547" s="1" t="n">
        <v>46090</v>
      </c>
      <c r="D547" t="inlineStr">
        <is>
          <t>SÖDERMANLANDS LÄN</t>
        </is>
      </c>
      <c r="E547" t="inlineStr">
        <is>
          <t>KATRINEHOLM</t>
        </is>
      </c>
      <c r="F547" t="inlineStr">
        <is>
          <t>Övriga Aktiebolag</t>
        </is>
      </c>
      <c r="G547" t="n">
        <v>10.6</v>
      </c>
      <c r="H547" t="n">
        <v>0</v>
      </c>
      <c r="I547" t="n">
        <v>0</v>
      </c>
      <c r="J547" t="n">
        <v>0</v>
      </c>
      <c r="K547" t="n">
        <v>0</v>
      </c>
      <c r="L547" t="n">
        <v>0</v>
      </c>
      <c r="M547" t="n">
        <v>0</v>
      </c>
      <c r="N547" t="n">
        <v>0</v>
      </c>
      <c r="O547" t="n">
        <v>0</v>
      </c>
      <c r="P547" t="n">
        <v>0</v>
      </c>
      <c r="Q547" t="n">
        <v>0</v>
      </c>
      <c r="R547" s="2" t="inlineStr"/>
    </row>
    <row r="548" ht="15" customHeight="1">
      <c r="A548" t="inlineStr">
        <is>
          <t>A 33538-2022</t>
        </is>
      </c>
      <c r="B548" s="1" t="n">
        <v>44789</v>
      </c>
      <c r="C548" s="1" t="n">
        <v>46090</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16605-2025</t>
        </is>
      </c>
      <c r="B549" s="1" t="n">
        <v>45753.61614583333</v>
      </c>
      <c r="C549" s="1" t="n">
        <v>46090</v>
      </c>
      <c r="D549" t="inlineStr">
        <is>
          <t>SÖDERMANLANDS LÄN</t>
        </is>
      </c>
      <c r="E549" t="inlineStr">
        <is>
          <t>KATRINEHOLM</t>
        </is>
      </c>
      <c r="G549" t="n">
        <v>5.2</v>
      </c>
      <c r="H549" t="n">
        <v>0</v>
      </c>
      <c r="I549" t="n">
        <v>0</v>
      </c>
      <c r="J549" t="n">
        <v>0</v>
      </c>
      <c r="K549" t="n">
        <v>0</v>
      </c>
      <c r="L549" t="n">
        <v>0</v>
      </c>
      <c r="M549" t="n">
        <v>0</v>
      </c>
      <c r="N549" t="n">
        <v>0</v>
      </c>
      <c r="O549" t="n">
        <v>0</v>
      </c>
      <c r="P549" t="n">
        <v>0</v>
      </c>
      <c r="Q549" t="n">
        <v>0</v>
      </c>
      <c r="R549" s="2" t="inlineStr"/>
    </row>
    <row r="550" ht="15" customHeight="1">
      <c r="A550" t="inlineStr">
        <is>
          <t>A 73409-2021</t>
        </is>
      </c>
      <c r="B550" s="1" t="n">
        <v>44551</v>
      </c>
      <c r="C550" s="1" t="n">
        <v>46090</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73415-2021</t>
        </is>
      </c>
      <c r="B551" s="1" t="n">
        <v>44551</v>
      </c>
      <c r="C551" s="1" t="n">
        <v>46090</v>
      </c>
      <c r="D551" t="inlineStr">
        <is>
          <t>SÖDERMANLANDS LÄN</t>
        </is>
      </c>
      <c r="E551" t="inlineStr">
        <is>
          <t>KATRINEHOLM</t>
        </is>
      </c>
      <c r="G551" t="n">
        <v>3.2</v>
      </c>
      <c r="H551" t="n">
        <v>0</v>
      </c>
      <c r="I551" t="n">
        <v>0</v>
      </c>
      <c r="J551" t="n">
        <v>0</v>
      </c>
      <c r="K551" t="n">
        <v>0</v>
      </c>
      <c r="L551" t="n">
        <v>0</v>
      </c>
      <c r="M551" t="n">
        <v>0</v>
      </c>
      <c r="N551" t="n">
        <v>0</v>
      </c>
      <c r="O551" t="n">
        <v>0</v>
      </c>
      <c r="P551" t="n">
        <v>0</v>
      </c>
      <c r="Q551" t="n">
        <v>0</v>
      </c>
      <c r="R551" s="2" t="inlineStr"/>
    </row>
    <row r="552" ht="15" customHeight="1">
      <c r="A552" t="inlineStr">
        <is>
          <t>A 63188-2021</t>
        </is>
      </c>
      <c r="B552" s="1" t="n">
        <v>44507.56865740741</v>
      </c>
      <c r="C552" s="1" t="n">
        <v>46090</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64713-2023</t>
        </is>
      </c>
      <c r="B553" s="1" t="n">
        <v>45281</v>
      </c>
      <c r="C553" s="1" t="n">
        <v>46090</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28304-2024</t>
        </is>
      </c>
      <c r="B554" s="1" t="n">
        <v>45477</v>
      </c>
      <c r="C554" s="1" t="n">
        <v>46090</v>
      </c>
      <c r="D554" t="inlineStr">
        <is>
          <t>SÖDERMANLANDS LÄN</t>
        </is>
      </c>
      <c r="E554" t="inlineStr">
        <is>
          <t>KATRINEHOLM</t>
        </is>
      </c>
      <c r="G554" t="n">
        <v>3.8</v>
      </c>
      <c r="H554" t="n">
        <v>0</v>
      </c>
      <c r="I554" t="n">
        <v>0</v>
      </c>
      <c r="J554" t="n">
        <v>0</v>
      </c>
      <c r="K554" t="n">
        <v>0</v>
      </c>
      <c r="L554" t="n">
        <v>0</v>
      </c>
      <c r="M554" t="n">
        <v>0</v>
      </c>
      <c r="N554" t="n">
        <v>0</v>
      </c>
      <c r="O554" t="n">
        <v>0</v>
      </c>
      <c r="P554" t="n">
        <v>0</v>
      </c>
      <c r="Q554" t="n">
        <v>0</v>
      </c>
      <c r="R554" s="2" t="inlineStr"/>
    </row>
    <row r="555" ht="15" customHeight="1">
      <c r="A555" t="inlineStr">
        <is>
          <t>A 8457-2023</t>
        </is>
      </c>
      <c r="B555" s="1" t="n">
        <v>44977</v>
      </c>
      <c r="C555" s="1" t="n">
        <v>46090</v>
      </c>
      <c r="D555" t="inlineStr">
        <is>
          <t>SÖDERMANLANDS LÄN</t>
        </is>
      </c>
      <c r="E555" t="inlineStr">
        <is>
          <t>KATRINEHOLM</t>
        </is>
      </c>
      <c r="F555" t="inlineStr">
        <is>
          <t>Allmännings- och besparingsskogar</t>
        </is>
      </c>
      <c r="G555" t="n">
        <v>16.1</v>
      </c>
      <c r="H555" t="n">
        <v>0</v>
      </c>
      <c r="I555" t="n">
        <v>0</v>
      </c>
      <c r="J555" t="n">
        <v>0</v>
      </c>
      <c r="K555" t="n">
        <v>0</v>
      </c>
      <c r="L555" t="n">
        <v>0</v>
      </c>
      <c r="M555" t="n">
        <v>0</v>
      </c>
      <c r="N555" t="n">
        <v>0</v>
      </c>
      <c r="O555" t="n">
        <v>0</v>
      </c>
      <c r="P555" t="n">
        <v>0</v>
      </c>
      <c r="Q555" t="n">
        <v>0</v>
      </c>
      <c r="R555" s="2" t="inlineStr"/>
    </row>
    <row r="556" ht="15" customHeight="1">
      <c r="A556" t="inlineStr">
        <is>
          <t>A 7322-2023</t>
        </is>
      </c>
      <c r="B556" s="1" t="n">
        <v>44970</v>
      </c>
      <c r="C556" s="1" t="n">
        <v>46090</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60160-2022</t>
        </is>
      </c>
      <c r="B557" s="1" t="n">
        <v>44909</v>
      </c>
      <c r="C557" s="1" t="n">
        <v>46090</v>
      </c>
      <c r="D557" t="inlineStr">
        <is>
          <t>SÖDERMANLANDS LÄN</t>
        </is>
      </c>
      <c r="E557" t="inlineStr">
        <is>
          <t>KATRINEHOLM</t>
        </is>
      </c>
      <c r="F557" t="inlineStr">
        <is>
          <t>Allmännings- och besparingsskogar</t>
        </is>
      </c>
      <c r="G557" t="n">
        <v>2</v>
      </c>
      <c r="H557" t="n">
        <v>0</v>
      </c>
      <c r="I557" t="n">
        <v>0</v>
      </c>
      <c r="J557" t="n">
        <v>0</v>
      </c>
      <c r="K557" t="n">
        <v>0</v>
      </c>
      <c r="L557" t="n">
        <v>0</v>
      </c>
      <c r="M557" t="n">
        <v>0</v>
      </c>
      <c r="N557" t="n">
        <v>0</v>
      </c>
      <c r="O557" t="n">
        <v>0</v>
      </c>
      <c r="P557" t="n">
        <v>0</v>
      </c>
      <c r="Q557" t="n">
        <v>0</v>
      </c>
      <c r="R557" s="2" t="inlineStr"/>
    </row>
    <row r="558" ht="15" customHeight="1">
      <c r="A558" t="inlineStr">
        <is>
          <t>A 12238-2021</t>
        </is>
      </c>
      <c r="B558" s="1" t="n">
        <v>44266</v>
      </c>
      <c r="C558" s="1" t="n">
        <v>46090</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48685-2022</t>
        </is>
      </c>
      <c r="B559" s="1" t="n">
        <v>44859</v>
      </c>
      <c r="C559" s="1" t="n">
        <v>46090</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42519-2024</t>
        </is>
      </c>
      <c r="B560" s="1" t="n">
        <v>45565</v>
      </c>
      <c r="C560" s="1" t="n">
        <v>46090</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43499-2021</t>
        </is>
      </c>
      <c r="B561" s="1" t="n">
        <v>44433</v>
      </c>
      <c r="C561" s="1" t="n">
        <v>46090</v>
      </c>
      <c r="D561" t="inlineStr">
        <is>
          <t>SÖDERMANLANDS LÄN</t>
        </is>
      </c>
      <c r="E561" t="inlineStr">
        <is>
          <t>KATRINEHOLM</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32169-2022</t>
        </is>
      </c>
      <c r="B562" s="1" t="n">
        <v>44781</v>
      </c>
      <c r="C562" s="1" t="n">
        <v>46090</v>
      </c>
      <c r="D562" t="inlineStr">
        <is>
          <t>SÖDERMANLANDS LÄN</t>
        </is>
      </c>
      <c r="E562" t="inlineStr">
        <is>
          <t>KATRINEHOLM</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55122-2022</t>
        </is>
      </c>
      <c r="B563" s="1" t="n">
        <v>44886.65092592593</v>
      </c>
      <c r="C563" s="1" t="n">
        <v>46090</v>
      </c>
      <c r="D563" t="inlineStr">
        <is>
          <t>SÖDERMANLANDS LÄN</t>
        </is>
      </c>
      <c r="E563" t="inlineStr">
        <is>
          <t>KATRINEHOLM</t>
        </is>
      </c>
      <c r="G563" t="n">
        <v>6.5</v>
      </c>
      <c r="H563" t="n">
        <v>0</v>
      </c>
      <c r="I563" t="n">
        <v>0</v>
      </c>
      <c r="J563" t="n">
        <v>0</v>
      </c>
      <c r="K563" t="n">
        <v>0</v>
      </c>
      <c r="L563" t="n">
        <v>0</v>
      </c>
      <c r="M563" t="n">
        <v>0</v>
      </c>
      <c r="N563" t="n">
        <v>0</v>
      </c>
      <c r="O563" t="n">
        <v>0</v>
      </c>
      <c r="P563" t="n">
        <v>0</v>
      </c>
      <c r="Q563" t="n">
        <v>0</v>
      </c>
      <c r="R563" s="2" t="inlineStr"/>
    </row>
    <row r="564" ht="15" customHeight="1">
      <c r="A564" t="inlineStr">
        <is>
          <t>A 43964-2022</t>
        </is>
      </c>
      <c r="B564" s="1" t="n">
        <v>44837</v>
      </c>
      <c r="C564" s="1" t="n">
        <v>46090</v>
      </c>
      <c r="D564" t="inlineStr">
        <is>
          <t>SÖDERMANLANDS LÄN</t>
        </is>
      </c>
      <c r="E564" t="inlineStr">
        <is>
          <t>KATRINEHOLM</t>
        </is>
      </c>
      <c r="G564" t="n">
        <v>3.6</v>
      </c>
      <c r="H564" t="n">
        <v>0</v>
      </c>
      <c r="I564" t="n">
        <v>0</v>
      </c>
      <c r="J564" t="n">
        <v>0</v>
      </c>
      <c r="K564" t="n">
        <v>0</v>
      </c>
      <c r="L564" t="n">
        <v>0</v>
      </c>
      <c r="M564" t="n">
        <v>0</v>
      </c>
      <c r="N564" t="n">
        <v>0</v>
      </c>
      <c r="O564" t="n">
        <v>0</v>
      </c>
      <c r="P564" t="n">
        <v>0</v>
      </c>
      <c r="Q564" t="n">
        <v>0</v>
      </c>
      <c r="R564" s="2" t="inlineStr"/>
    </row>
    <row r="565" ht="15" customHeight="1">
      <c r="A565" t="inlineStr">
        <is>
          <t>A 46075-2023</t>
        </is>
      </c>
      <c r="B565" s="1" t="n">
        <v>45196</v>
      </c>
      <c r="C565" s="1" t="n">
        <v>46090</v>
      </c>
      <c r="D565" t="inlineStr">
        <is>
          <t>SÖDERMANLANDS LÄN</t>
        </is>
      </c>
      <c r="E565" t="inlineStr">
        <is>
          <t>KATRINEHOLM</t>
        </is>
      </c>
      <c r="F565" t="inlineStr">
        <is>
          <t>Övriga Aktiebolag</t>
        </is>
      </c>
      <c r="G565" t="n">
        <v>9.5</v>
      </c>
      <c r="H565" t="n">
        <v>0</v>
      </c>
      <c r="I565" t="n">
        <v>0</v>
      </c>
      <c r="J565" t="n">
        <v>0</v>
      </c>
      <c r="K565" t="n">
        <v>0</v>
      </c>
      <c r="L565" t="n">
        <v>0</v>
      </c>
      <c r="M565" t="n">
        <v>0</v>
      </c>
      <c r="N565" t="n">
        <v>0</v>
      </c>
      <c r="O565" t="n">
        <v>0</v>
      </c>
      <c r="P565" t="n">
        <v>0</v>
      </c>
      <c r="Q565" t="n">
        <v>0</v>
      </c>
      <c r="R565" s="2" t="inlineStr"/>
    </row>
    <row r="566" ht="15" customHeight="1">
      <c r="A566" t="inlineStr">
        <is>
          <t>A 9992-2022</t>
        </is>
      </c>
      <c r="B566" s="1" t="n">
        <v>44621</v>
      </c>
      <c r="C566" s="1" t="n">
        <v>46090</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44659-2023</t>
        </is>
      </c>
      <c r="B567" s="1" t="n">
        <v>45189</v>
      </c>
      <c r="C567" s="1" t="n">
        <v>46090</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48682-2022</t>
        </is>
      </c>
      <c r="B568" s="1" t="n">
        <v>44859</v>
      </c>
      <c r="C568" s="1" t="n">
        <v>46090</v>
      </c>
      <c r="D568" t="inlineStr">
        <is>
          <t>SÖDERMANLANDS LÄN</t>
        </is>
      </c>
      <c r="E568" t="inlineStr">
        <is>
          <t>KATRINEHOLM</t>
        </is>
      </c>
      <c r="G568" t="n">
        <v>2</v>
      </c>
      <c r="H568" t="n">
        <v>0</v>
      </c>
      <c r="I568" t="n">
        <v>0</v>
      </c>
      <c r="J568" t="n">
        <v>0</v>
      </c>
      <c r="K568" t="n">
        <v>0</v>
      </c>
      <c r="L568" t="n">
        <v>0</v>
      </c>
      <c r="M568" t="n">
        <v>0</v>
      </c>
      <c r="N568" t="n">
        <v>0</v>
      </c>
      <c r="O568" t="n">
        <v>0</v>
      </c>
      <c r="P568" t="n">
        <v>0</v>
      </c>
      <c r="Q568" t="n">
        <v>0</v>
      </c>
      <c r="R568" s="2" t="inlineStr"/>
    </row>
    <row r="569" ht="15" customHeight="1">
      <c r="A569" t="inlineStr">
        <is>
          <t>A 14629-2023</t>
        </is>
      </c>
      <c r="B569" s="1" t="n">
        <v>45013</v>
      </c>
      <c r="C569" s="1" t="n">
        <v>46090</v>
      </c>
      <c r="D569" t="inlineStr">
        <is>
          <t>SÖDERMANLANDS LÄN</t>
        </is>
      </c>
      <c r="E569" t="inlineStr">
        <is>
          <t>KATRINEHOLM</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57524-2021</t>
        </is>
      </c>
      <c r="B570" s="1" t="n">
        <v>44483</v>
      </c>
      <c r="C570" s="1" t="n">
        <v>46090</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27345-2023</t>
        </is>
      </c>
      <c r="B571" s="1" t="n">
        <v>45096</v>
      </c>
      <c r="C571" s="1" t="n">
        <v>46090</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53996-2023</t>
        </is>
      </c>
      <c r="B572" s="1" t="n">
        <v>45231</v>
      </c>
      <c r="C572" s="1" t="n">
        <v>46090</v>
      </c>
      <c r="D572" t="inlineStr">
        <is>
          <t>SÖDERMANLANDS LÄN</t>
        </is>
      </c>
      <c r="E572" t="inlineStr">
        <is>
          <t>KATRINEHOLM</t>
        </is>
      </c>
      <c r="G572" t="n">
        <v>4.9</v>
      </c>
      <c r="H572" t="n">
        <v>0</v>
      </c>
      <c r="I572" t="n">
        <v>0</v>
      </c>
      <c r="J572" t="n">
        <v>0</v>
      </c>
      <c r="K572" t="n">
        <v>0</v>
      </c>
      <c r="L572" t="n">
        <v>0</v>
      </c>
      <c r="M572" t="n">
        <v>0</v>
      </c>
      <c r="N572" t="n">
        <v>0</v>
      </c>
      <c r="O572" t="n">
        <v>0</v>
      </c>
      <c r="P572" t="n">
        <v>0</v>
      </c>
      <c r="Q572" t="n">
        <v>0</v>
      </c>
      <c r="R572" s="2" t="inlineStr"/>
    </row>
    <row r="573" ht="15" customHeight="1">
      <c r="A573" t="inlineStr">
        <is>
          <t>A 11127-2023</t>
        </is>
      </c>
      <c r="B573" s="1" t="n">
        <v>44987</v>
      </c>
      <c r="C573" s="1" t="n">
        <v>46090</v>
      </c>
      <c r="D573" t="inlineStr">
        <is>
          <t>SÖDERMANLANDS LÄN</t>
        </is>
      </c>
      <c r="E573" t="inlineStr">
        <is>
          <t>KATRINEHOLM</t>
        </is>
      </c>
      <c r="G573" t="n">
        <v>4.3</v>
      </c>
      <c r="H573" t="n">
        <v>0</v>
      </c>
      <c r="I573" t="n">
        <v>0</v>
      </c>
      <c r="J573" t="n">
        <v>0</v>
      </c>
      <c r="K573" t="n">
        <v>0</v>
      </c>
      <c r="L573" t="n">
        <v>0</v>
      </c>
      <c r="M573" t="n">
        <v>0</v>
      </c>
      <c r="N573" t="n">
        <v>0</v>
      </c>
      <c r="O573" t="n">
        <v>0</v>
      </c>
      <c r="P573" t="n">
        <v>0</v>
      </c>
      <c r="Q573" t="n">
        <v>0</v>
      </c>
      <c r="R573" s="2" t="inlineStr"/>
    </row>
    <row r="574" ht="15" customHeight="1">
      <c r="A574" t="inlineStr">
        <is>
          <t>A 37185-2023</t>
        </is>
      </c>
      <c r="B574" s="1" t="n">
        <v>45154</v>
      </c>
      <c r="C574" s="1" t="n">
        <v>46090</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24284-2024</t>
        </is>
      </c>
      <c r="B575" s="1" t="n">
        <v>45457</v>
      </c>
      <c r="C575" s="1" t="n">
        <v>46090</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66393-2021</t>
        </is>
      </c>
      <c r="B576" s="1" t="n">
        <v>44518</v>
      </c>
      <c r="C576" s="1" t="n">
        <v>46090</v>
      </c>
      <c r="D576" t="inlineStr">
        <is>
          <t>SÖDERMANLANDS LÄN</t>
        </is>
      </c>
      <c r="E576" t="inlineStr">
        <is>
          <t>KATRINEHOLM</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50840-2022</t>
        </is>
      </c>
      <c r="B577" s="1" t="n">
        <v>44862</v>
      </c>
      <c r="C577" s="1" t="n">
        <v>46090</v>
      </c>
      <c r="D577" t="inlineStr">
        <is>
          <t>SÖDERMANLANDS LÄN</t>
        </is>
      </c>
      <c r="E577" t="inlineStr">
        <is>
          <t>KATRINEHOLM</t>
        </is>
      </c>
      <c r="G577" t="n">
        <v>4.2</v>
      </c>
      <c r="H577" t="n">
        <v>0</v>
      </c>
      <c r="I577" t="n">
        <v>0</v>
      </c>
      <c r="J577" t="n">
        <v>0</v>
      </c>
      <c r="K577" t="n">
        <v>0</v>
      </c>
      <c r="L577" t="n">
        <v>0</v>
      </c>
      <c r="M577" t="n">
        <v>0</v>
      </c>
      <c r="N577" t="n">
        <v>0</v>
      </c>
      <c r="O577" t="n">
        <v>0</v>
      </c>
      <c r="P577" t="n">
        <v>0</v>
      </c>
      <c r="Q577" t="n">
        <v>0</v>
      </c>
      <c r="R577" s="2" t="inlineStr"/>
    </row>
    <row r="578" ht="15" customHeight="1">
      <c r="A578" t="inlineStr">
        <is>
          <t>A 13113-2023</t>
        </is>
      </c>
      <c r="B578" s="1" t="n">
        <v>45002</v>
      </c>
      <c r="C578" s="1" t="n">
        <v>46090</v>
      </c>
      <c r="D578" t="inlineStr">
        <is>
          <t>SÖDERMANLANDS LÄN</t>
        </is>
      </c>
      <c r="E578" t="inlineStr">
        <is>
          <t>KATRINEHOLM</t>
        </is>
      </c>
      <c r="F578" t="inlineStr">
        <is>
          <t>Allmännings- och besparingsskogar</t>
        </is>
      </c>
      <c r="G578" t="n">
        <v>3.6</v>
      </c>
      <c r="H578" t="n">
        <v>0</v>
      </c>
      <c r="I578" t="n">
        <v>0</v>
      </c>
      <c r="J578" t="n">
        <v>0</v>
      </c>
      <c r="K578" t="n">
        <v>0</v>
      </c>
      <c r="L578" t="n">
        <v>0</v>
      </c>
      <c r="M578" t="n">
        <v>0</v>
      </c>
      <c r="N578" t="n">
        <v>0</v>
      </c>
      <c r="O578" t="n">
        <v>0</v>
      </c>
      <c r="P578" t="n">
        <v>0</v>
      </c>
      <c r="Q578" t="n">
        <v>0</v>
      </c>
      <c r="R578" s="2" t="inlineStr"/>
    </row>
    <row r="579" ht="15" customHeight="1">
      <c r="A579" t="inlineStr">
        <is>
          <t>A 14245-2024</t>
        </is>
      </c>
      <c r="B579" s="1" t="n">
        <v>45393</v>
      </c>
      <c r="C579" s="1" t="n">
        <v>46090</v>
      </c>
      <c r="D579" t="inlineStr">
        <is>
          <t>SÖDERMANLANDS LÄN</t>
        </is>
      </c>
      <c r="E579" t="inlineStr">
        <is>
          <t>KATRINEHOLM</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36832-2023</t>
        </is>
      </c>
      <c r="B580" s="1" t="n">
        <v>45153</v>
      </c>
      <c r="C580" s="1" t="n">
        <v>46090</v>
      </c>
      <c r="D580" t="inlineStr">
        <is>
          <t>SÖDERMANLANDS LÄN</t>
        </is>
      </c>
      <c r="E580" t="inlineStr">
        <is>
          <t>KATRINEHOLM</t>
        </is>
      </c>
      <c r="F580" t="inlineStr">
        <is>
          <t>Övriga Aktiebolag</t>
        </is>
      </c>
      <c r="G580" t="n">
        <v>9</v>
      </c>
      <c r="H580" t="n">
        <v>0</v>
      </c>
      <c r="I580" t="n">
        <v>0</v>
      </c>
      <c r="J580" t="n">
        <v>0</v>
      </c>
      <c r="K580" t="n">
        <v>0</v>
      </c>
      <c r="L580" t="n">
        <v>0</v>
      </c>
      <c r="M580" t="n">
        <v>0</v>
      </c>
      <c r="N580" t="n">
        <v>0</v>
      </c>
      <c r="O580" t="n">
        <v>0</v>
      </c>
      <c r="P580" t="n">
        <v>0</v>
      </c>
      <c r="Q580" t="n">
        <v>0</v>
      </c>
      <c r="R580" s="2" t="inlineStr"/>
    </row>
    <row r="581" ht="15" customHeight="1">
      <c r="A581" t="inlineStr">
        <is>
          <t>A 39052-2023</t>
        </is>
      </c>
      <c r="B581" s="1" t="n">
        <v>45163</v>
      </c>
      <c r="C581" s="1" t="n">
        <v>46090</v>
      </c>
      <c r="D581" t="inlineStr">
        <is>
          <t>SÖDERMANLANDS LÄN</t>
        </is>
      </c>
      <c r="E581" t="inlineStr">
        <is>
          <t>KATRINEHOLM</t>
        </is>
      </c>
      <c r="G581" t="n">
        <v>3</v>
      </c>
      <c r="H581" t="n">
        <v>0</v>
      </c>
      <c r="I581" t="n">
        <v>0</v>
      </c>
      <c r="J581" t="n">
        <v>0</v>
      </c>
      <c r="K581" t="n">
        <v>0</v>
      </c>
      <c r="L581" t="n">
        <v>0</v>
      </c>
      <c r="M581" t="n">
        <v>0</v>
      </c>
      <c r="N581" t="n">
        <v>0</v>
      </c>
      <c r="O581" t="n">
        <v>0</v>
      </c>
      <c r="P581" t="n">
        <v>0</v>
      </c>
      <c r="Q581" t="n">
        <v>0</v>
      </c>
      <c r="R581" s="2" t="inlineStr"/>
    </row>
    <row r="582" ht="15" customHeight="1">
      <c r="A582" t="inlineStr">
        <is>
          <t>A 41946-2022</t>
        </is>
      </c>
      <c r="B582" s="1" t="n">
        <v>44830.38502314815</v>
      </c>
      <c r="C582" s="1" t="n">
        <v>46090</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51613-2022</t>
        </is>
      </c>
      <c r="B583" s="1" t="n">
        <v>44871</v>
      </c>
      <c r="C583" s="1" t="n">
        <v>46090</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27886-2024</t>
        </is>
      </c>
      <c r="B584" s="1" t="n">
        <v>45475</v>
      </c>
      <c r="C584" s="1" t="n">
        <v>46090</v>
      </c>
      <c r="D584" t="inlineStr">
        <is>
          <t>SÖDERMANLANDS LÄN</t>
        </is>
      </c>
      <c r="E584" t="inlineStr">
        <is>
          <t>KATRINEHOLM</t>
        </is>
      </c>
      <c r="G584" t="n">
        <v>10.3</v>
      </c>
      <c r="H584" t="n">
        <v>0</v>
      </c>
      <c r="I584" t="n">
        <v>0</v>
      </c>
      <c r="J584" t="n">
        <v>0</v>
      </c>
      <c r="K584" t="n">
        <v>0</v>
      </c>
      <c r="L584" t="n">
        <v>0</v>
      </c>
      <c r="M584" t="n">
        <v>0</v>
      </c>
      <c r="N584" t="n">
        <v>0</v>
      </c>
      <c r="O584" t="n">
        <v>0</v>
      </c>
      <c r="P584" t="n">
        <v>0</v>
      </c>
      <c r="Q584" t="n">
        <v>0</v>
      </c>
      <c r="R584" s="2" t="inlineStr"/>
    </row>
    <row r="585" ht="15" customHeight="1">
      <c r="A585" t="inlineStr">
        <is>
          <t>A 19868-2022</t>
        </is>
      </c>
      <c r="B585" s="1" t="n">
        <v>44696</v>
      </c>
      <c r="C585" s="1" t="n">
        <v>46090</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58651-2023</t>
        </is>
      </c>
      <c r="B586" s="1" t="n">
        <v>45247</v>
      </c>
      <c r="C586" s="1" t="n">
        <v>46090</v>
      </c>
      <c r="D586" t="inlineStr">
        <is>
          <t>SÖDERMANLANDS LÄN</t>
        </is>
      </c>
      <c r="E586" t="inlineStr">
        <is>
          <t>KATRINEHOLM</t>
        </is>
      </c>
      <c r="G586" t="n">
        <v>2.7</v>
      </c>
      <c r="H586" t="n">
        <v>0</v>
      </c>
      <c r="I586" t="n">
        <v>0</v>
      </c>
      <c r="J586" t="n">
        <v>0</v>
      </c>
      <c r="K586" t="n">
        <v>0</v>
      </c>
      <c r="L586" t="n">
        <v>0</v>
      </c>
      <c r="M586" t="n">
        <v>0</v>
      </c>
      <c r="N586" t="n">
        <v>0</v>
      </c>
      <c r="O586" t="n">
        <v>0</v>
      </c>
      <c r="P586" t="n">
        <v>0</v>
      </c>
      <c r="Q586" t="n">
        <v>0</v>
      </c>
      <c r="R586" s="2" t="inlineStr"/>
    </row>
    <row r="587" ht="15" customHeight="1">
      <c r="A587" t="inlineStr">
        <is>
          <t>A 8765-2023</t>
        </is>
      </c>
      <c r="B587" s="1" t="n">
        <v>44978.52131944444</v>
      </c>
      <c r="C587" s="1" t="n">
        <v>46090</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28992-2024</t>
        </is>
      </c>
      <c r="B588" s="1" t="n">
        <v>45481.49289351852</v>
      </c>
      <c r="C588" s="1" t="n">
        <v>46090</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25433-2024</t>
        </is>
      </c>
      <c r="B589" s="1" t="n">
        <v>45463</v>
      </c>
      <c r="C589" s="1" t="n">
        <v>46090</v>
      </c>
      <c r="D589" t="inlineStr">
        <is>
          <t>SÖDERMANLANDS LÄN</t>
        </is>
      </c>
      <c r="E589" t="inlineStr">
        <is>
          <t>KATRINEHOLM</t>
        </is>
      </c>
      <c r="G589" t="n">
        <v>1.1</v>
      </c>
      <c r="H589" t="n">
        <v>0</v>
      </c>
      <c r="I589" t="n">
        <v>0</v>
      </c>
      <c r="J589" t="n">
        <v>0</v>
      </c>
      <c r="K589" t="n">
        <v>0</v>
      </c>
      <c r="L589" t="n">
        <v>0</v>
      </c>
      <c r="M589" t="n">
        <v>0</v>
      </c>
      <c r="N589" t="n">
        <v>0</v>
      </c>
      <c r="O589" t="n">
        <v>0</v>
      </c>
      <c r="P589" t="n">
        <v>0</v>
      </c>
      <c r="Q589" t="n">
        <v>0</v>
      </c>
      <c r="R589" s="2" t="inlineStr"/>
    </row>
    <row r="590" ht="15" customHeight="1">
      <c r="A590" t="inlineStr">
        <is>
          <t>A 42111-2022</t>
        </is>
      </c>
      <c r="B590" s="1" t="n">
        <v>44830</v>
      </c>
      <c r="C590" s="1" t="n">
        <v>46090</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36021-2023</t>
        </is>
      </c>
      <c r="B591" s="1" t="n">
        <v>45148</v>
      </c>
      <c r="C591" s="1" t="n">
        <v>46090</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40402-2022</t>
        </is>
      </c>
      <c r="B592" s="1" t="n">
        <v>44823.44353009259</v>
      </c>
      <c r="C592" s="1" t="n">
        <v>46090</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27334-2023</t>
        </is>
      </c>
      <c r="B593" s="1" t="n">
        <v>45096</v>
      </c>
      <c r="C593" s="1" t="n">
        <v>46090</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7704-2023</t>
        </is>
      </c>
      <c r="B594" s="1" t="n">
        <v>44968</v>
      </c>
      <c r="C594" s="1" t="n">
        <v>46090</v>
      </c>
      <c r="D594" t="inlineStr">
        <is>
          <t>SÖDERMANLANDS LÄN</t>
        </is>
      </c>
      <c r="E594" t="inlineStr">
        <is>
          <t>KATRINEHOLM</t>
        </is>
      </c>
      <c r="G594" t="n">
        <v>7.3</v>
      </c>
      <c r="H594" t="n">
        <v>0</v>
      </c>
      <c r="I594" t="n">
        <v>0</v>
      </c>
      <c r="J594" t="n">
        <v>0</v>
      </c>
      <c r="K594" t="n">
        <v>0</v>
      </c>
      <c r="L594" t="n">
        <v>0</v>
      </c>
      <c r="M594" t="n">
        <v>0</v>
      </c>
      <c r="N594" t="n">
        <v>0</v>
      </c>
      <c r="O594" t="n">
        <v>0</v>
      </c>
      <c r="P594" t="n">
        <v>0</v>
      </c>
      <c r="Q594" t="n">
        <v>0</v>
      </c>
      <c r="R594" s="2" t="inlineStr"/>
    </row>
    <row r="595" ht="15" customHeight="1">
      <c r="A595" t="inlineStr">
        <is>
          <t>A 58528-2024</t>
        </is>
      </c>
      <c r="B595" s="1" t="n">
        <v>45635.44527777778</v>
      </c>
      <c r="C595" s="1" t="n">
        <v>46090</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14478-2023</t>
        </is>
      </c>
      <c r="B596" s="1" t="n">
        <v>45012.66421296296</v>
      </c>
      <c r="C596" s="1" t="n">
        <v>46090</v>
      </c>
      <c r="D596" t="inlineStr">
        <is>
          <t>SÖDERMANLANDS LÄN</t>
        </is>
      </c>
      <c r="E596" t="inlineStr">
        <is>
          <t>KATRINEHOLM</t>
        </is>
      </c>
      <c r="G596" t="n">
        <v>3.9</v>
      </c>
      <c r="H596" t="n">
        <v>0</v>
      </c>
      <c r="I596" t="n">
        <v>0</v>
      </c>
      <c r="J596" t="n">
        <v>0</v>
      </c>
      <c r="K596" t="n">
        <v>0</v>
      </c>
      <c r="L596" t="n">
        <v>0</v>
      </c>
      <c r="M596" t="n">
        <v>0</v>
      </c>
      <c r="N596" t="n">
        <v>0</v>
      </c>
      <c r="O596" t="n">
        <v>0</v>
      </c>
      <c r="P596" t="n">
        <v>0</v>
      </c>
      <c r="Q596" t="n">
        <v>0</v>
      </c>
      <c r="R596" s="2" t="inlineStr"/>
    </row>
    <row r="597" ht="15" customHeight="1">
      <c r="A597" t="inlineStr">
        <is>
          <t>A 39055-2022</t>
        </is>
      </c>
      <c r="B597" s="1" t="n">
        <v>44817</v>
      </c>
      <c r="C597" s="1" t="n">
        <v>46090</v>
      </c>
      <c r="D597" t="inlineStr">
        <is>
          <t>SÖDERMANLANDS LÄN</t>
        </is>
      </c>
      <c r="E597" t="inlineStr">
        <is>
          <t>KATRINEHOLM</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7056-2022</t>
        </is>
      </c>
      <c r="B598" s="1" t="n">
        <v>44603</v>
      </c>
      <c r="C598" s="1" t="n">
        <v>46090</v>
      </c>
      <c r="D598" t="inlineStr">
        <is>
          <t>SÖDERMANLANDS LÄN</t>
        </is>
      </c>
      <c r="E598" t="inlineStr">
        <is>
          <t>KATRINEHOLM</t>
        </is>
      </c>
      <c r="G598" t="n">
        <v>0.5</v>
      </c>
      <c r="H598" t="n">
        <v>0</v>
      </c>
      <c r="I598" t="n">
        <v>0</v>
      </c>
      <c r="J598" t="n">
        <v>0</v>
      </c>
      <c r="K598" t="n">
        <v>0</v>
      </c>
      <c r="L598" t="n">
        <v>0</v>
      </c>
      <c r="M598" t="n">
        <v>0</v>
      </c>
      <c r="N598" t="n">
        <v>0</v>
      </c>
      <c r="O598" t="n">
        <v>0</v>
      </c>
      <c r="P598" t="n">
        <v>0</v>
      </c>
      <c r="Q598" t="n">
        <v>0</v>
      </c>
      <c r="R598" s="2" t="inlineStr"/>
    </row>
    <row r="599" ht="15" customHeight="1">
      <c r="A599" t="inlineStr">
        <is>
          <t>A 12937-2023</t>
        </is>
      </c>
      <c r="B599" s="1" t="n">
        <v>45001</v>
      </c>
      <c r="C599" s="1" t="n">
        <v>46090</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42896-2024</t>
        </is>
      </c>
      <c r="B600" s="1" t="n">
        <v>45566.82973379629</v>
      </c>
      <c r="C600" s="1" t="n">
        <v>46090</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29008-2024</t>
        </is>
      </c>
      <c r="B601" s="1" t="n">
        <v>45481</v>
      </c>
      <c r="C601" s="1" t="n">
        <v>46090</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62419-2023</t>
        </is>
      </c>
      <c r="B602" s="1" t="n">
        <v>45268</v>
      </c>
      <c r="C602" s="1" t="n">
        <v>46090</v>
      </c>
      <c r="D602" t="inlineStr">
        <is>
          <t>SÖDERMANLANDS LÄN</t>
        </is>
      </c>
      <c r="E602" t="inlineStr">
        <is>
          <t>KATRINEHOLM</t>
        </is>
      </c>
      <c r="G602" t="n">
        <v>9</v>
      </c>
      <c r="H602" t="n">
        <v>0</v>
      </c>
      <c r="I602" t="n">
        <v>0</v>
      </c>
      <c r="J602" t="n">
        <v>0</v>
      </c>
      <c r="K602" t="n">
        <v>0</v>
      </c>
      <c r="L602" t="n">
        <v>0</v>
      </c>
      <c r="M602" t="n">
        <v>0</v>
      </c>
      <c r="N602" t="n">
        <v>0</v>
      </c>
      <c r="O602" t="n">
        <v>0</v>
      </c>
      <c r="P602" t="n">
        <v>0</v>
      </c>
      <c r="Q602" t="n">
        <v>0</v>
      </c>
      <c r="R602" s="2" t="inlineStr"/>
    </row>
    <row r="603" ht="15" customHeight="1">
      <c r="A603" t="inlineStr">
        <is>
          <t>A 53722-2023</t>
        </is>
      </c>
      <c r="B603" s="1" t="n">
        <v>45230</v>
      </c>
      <c r="C603" s="1" t="n">
        <v>46090</v>
      </c>
      <c r="D603" t="inlineStr">
        <is>
          <t>SÖDERMANLANDS LÄN</t>
        </is>
      </c>
      <c r="E603" t="inlineStr">
        <is>
          <t>KATRINEHOLM</t>
        </is>
      </c>
      <c r="F603" t="inlineStr">
        <is>
          <t>Allmännings- och besparingsskogar</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38869-2024</t>
        </is>
      </c>
      <c r="B604" s="1" t="n">
        <v>45547</v>
      </c>
      <c r="C604" s="1" t="n">
        <v>46090</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20214-2025</t>
        </is>
      </c>
      <c r="B605" s="1" t="n">
        <v>45772.63540509259</v>
      </c>
      <c r="C605" s="1" t="n">
        <v>46090</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62140-2022</t>
        </is>
      </c>
      <c r="B606" s="1" t="n">
        <v>44922</v>
      </c>
      <c r="C606" s="1" t="n">
        <v>46090</v>
      </c>
      <c r="D606" t="inlineStr">
        <is>
          <t>SÖDERMANLANDS LÄN</t>
        </is>
      </c>
      <c r="E606" t="inlineStr">
        <is>
          <t>KATRINEHOLM</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27375-2024</t>
        </is>
      </c>
      <c r="B607" s="1" t="n">
        <v>45473.87645833333</v>
      </c>
      <c r="C607" s="1" t="n">
        <v>46090</v>
      </c>
      <c r="D607" t="inlineStr">
        <is>
          <t>SÖDERMANLANDS LÄN</t>
        </is>
      </c>
      <c r="E607" t="inlineStr">
        <is>
          <t>KATRINEHOLM</t>
        </is>
      </c>
      <c r="F607" t="inlineStr">
        <is>
          <t>Kommuner</t>
        </is>
      </c>
      <c r="G607" t="n">
        <v>1.9</v>
      </c>
      <c r="H607" t="n">
        <v>0</v>
      </c>
      <c r="I607" t="n">
        <v>0</v>
      </c>
      <c r="J607" t="n">
        <v>0</v>
      </c>
      <c r="K607" t="n">
        <v>0</v>
      </c>
      <c r="L607" t="n">
        <v>0</v>
      </c>
      <c r="M607" t="n">
        <v>0</v>
      </c>
      <c r="N607" t="n">
        <v>0</v>
      </c>
      <c r="O607" t="n">
        <v>0</v>
      </c>
      <c r="P607" t="n">
        <v>0</v>
      </c>
      <c r="Q607" t="n">
        <v>0</v>
      </c>
      <c r="R607" s="2" t="inlineStr"/>
    </row>
    <row r="608" ht="15" customHeight="1">
      <c r="A608" t="inlineStr">
        <is>
          <t>A 7867-2024</t>
        </is>
      </c>
      <c r="B608" s="1" t="n">
        <v>45350.32991898148</v>
      </c>
      <c r="C608" s="1" t="n">
        <v>46090</v>
      </c>
      <c r="D608" t="inlineStr">
        <is>
          <t>SÖDERMANLANDS LÄN</t>
        </is>
      </c>
      <c r="E608" t="inlineStr">
        <is>
          <t>KATRINEHOLM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8957-2024</t>
        </is>
      </c>
      <c r="B609" s="1" t="n">
        <v>45357.45089120371</v>
      </c>
      <c r="C609" s="1" t="n">
        <v>46090</v>
      </c>
      <c r="D609" t="inlineStr">
        <is>
          <t>SÖDERMANLANDS LÄN</t>
        </is>
      </c>
      <c r="E609" t="inlineStr">
        <is>
          <t>KATRINEHOLM</t>
        </is>
      </c>
      <c r="G609" t="n">
        <v>3.6</v>
      </c>
      <c r="H609" t="n">
        <v>0</v>
      </c>
      <c r="I609" t="n">
        <v>0</v>
      </c>
      <c r="J609" t="n">
        <v>0</v>
      </c>
      <c r="K609" t="n">
        <v>0</v>
      </c>
      <c r="L609" t="n">
        <v>0</v>
      </c>
      <c r="M609" t="n">
        <v>0</v>
      </c>
      <c r="N609" t="n">
        <v>0</v>
      </c>
      <c r="O609" t="n">
        <v>0</v>
      </c>
      <c r="P609" t="n">
        <v>0</v>
      </c>
      <c r="Q609" t="n">
        <v>0</v>
      </c>
      <c r="R609" s="2" t="inlineStr"/>
    </row>
    <row r="610" ht="15" customHeight="1">
      <c r="A610" t="inlineStr">
        <is>
          <t>A 23341-2023</t>
        </is>
      </c>
      <c r="B610" s="1" t="n">
        <v>45076</v>
      </c>
      <c r="C610" s="1" t="n">
        <v>46090</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60677-2021</t>
        </is>
      </c>
      <c r="B611" s="1" t="n">
        <v>44495</v>
      </c>
      <c r="C611" s="1" t="n">
        <v>46090</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3986-2024</t>
        </is>
      </c>
      <c r="B612" s="1" t="n">
        <v>45322</v>
      </c>
      <c r="C612" s="1" t="n">
        <v>46090</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3939-2022</t>
        </is>
      </c>
      <c r="B613" s="1" t="n">
        <v>44587</v>
      </c>
      <c r="C613" s="1" t="n">
        <v>46090</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2683-2025</t>
        </is>
      </c>
      <c r="B614" s="1" t="n">
        <v>45677</v>
      </c>
      <c r="C614" s="1" t="n">
        <v>46090</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3317-2023</t>
        </is>
      </c>
      <c r="B615" s="1" t="n">
        <v>44945</v>
      </c>
      <c r="C615" s="1" t="n">
        <v>46090</v>
      </c>
      <c r="D615" t="inlineStr">
        <is>
          <t>SÖDERMANLANDS LÄN</t>
        </is>
      </c>
      <c r="E615" t="inlineStr">
        <is>
          <t>KATRINEHOLM</t>
        </is>
      </c>
      <c r="G615" t="n">
        <v>3.2</v>
      </c>
      <c r="H615" t="n">
        <v>0</v>
      </c>
      <c r="I615" t="n">
        <v>0</v>
      </c>
      <c r="J615" t="n">
        <v>0</v>
      </c>
      <c r="K615" t="n">
        <v>0</v>
      </c>
      <c r="L615" t="n">
        <v>0</v>
      </c>
      <c r="M615" t="n">
        <v>0</v>
      </c>
      <c r="N615" t="n">
        <v>0</v>
      </c>
      <c r="O615" t="n">
        <v>0</v>
      </c>
      <c r="P615" t="n">
        <v>0</v>
      </c>
      <c r="Q615" t="n">
        <v>0</v>
      </c>
      <c r="R615" s="2" t="inlineStr"/>
    </row>
    <row r="616" ht="15" customHeight="1">
      <c r="A616" t="inlineStr">
        <is>
          <t>A 32944-2023</t>
        </is>
      </c>
      <c r="B616" s="1" t="n">
        <v>45125</v>
      </c>
      <c r="C616" s="1" t="n">
        <v>46090</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29198-2023</t>
        </is>
      </c>
      <c r="B617" s="1" t="n">
        <v>45105</v>
      </c>
      <c r="C617" s="1" t="n">
        <v>46090</v>
      </c>
      <c r="D617" t="inlineStr">
        <is>
          <t>SÖDERMANLANDS LÄN</t>
        </is>
      </c>
      <c r="E617" t="inlineStr">
        <is>
          <t>KATRINEHOLM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56661-2021</t>
        </is>
      </c>
      <c r="B618" s="1" t="n">
        <v>44481.24327546296</v>
      </c>
      <c r="C618" s="1" t="n">
        <v>46090</v>
      </c>
      <c r="D618" t="inlineStr">
        <is>
          <t>SÖDERMANLANDS LÄN</t>
        </is>
      </c>
      <c r="E618" t="inlineStr">
        <is>
          <t>KATRINEHOLM</t>
        </is>
      </c>
      <c r="G618" t="n">
        <v>5.8</v>
      </c>
      <c r="H618" t="n">
        <v>0</v>
      </c>
      <c r="I618" t="n">
        <v>0</v>
      </c>
      <c r="J618" t="n">
        <v>0</v>
      </c>
      <c r="K618" t="n">
        <v>0</v>
      </c>
      <c r="L618" t="n">
        <v>0</v>
      </c>
      <c r="M618" t="n">
        <v>0</v>
      </c>
      <c r="N618" t="n">
        <v>0</v>
      </c>
      <c r="O618" t="n">
        <v>0</v>
      </c>
      <c r="P618" t="n">
        <v>0</v>
      </c>
      <c r="Q618" t="n">
        <v>0</v>
      </c>
      <c r="R618" s="2" t="inlineStr"/>
    </row>
    <row r="619" ht="15" customHeight="1">
      <c r="A619" t="inlineStr">
        <is>
          <t>A 45246-2023</t>
        </is>
      </c>
      <c r="B619" s="1" t="n">
        <v>45191</v>
      </c>
      <c r="C619" s="1" t="n">
        <v>46090</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55171-2023</t>
        </is>
      </c>
      <c r="B620" s="1" t="n">
        <v>45231</v>
      </c>
      <c r="C620" s="1" t="n">
        <v>46090</v>
      </c>
      <c r="D620" t="inlineStr">
        <is>
          <t>SÖDERMANLANDS LÄN</t>
        </is>
      </c>
      <c r="E620" t="inlineStr">
        <is>
          <t>KATRINEHOLM</t>
        </is>
      </c>
      <c r="G620" t="n">
        <v>4.2</v>
      </c>
      <c r="H620" t="n">
        <v>0</v>
      </c>
      <c r="I620" t="n">
        <v>0</v>
      </c>
      <c r="J620" t="n">
        <v>0</v>
      </c>
      <c r="K620" t="n">
        <v>0</v>
      </c>
      <c r="L620" t="n">
        <v>0</v>
      </c>
      <c r="M620" t="n">
        <v>0</v>
      </c>
      <c r="N620" t="n">
        <v>0</v>
      </c>
      <c r="O620" t="n">
        <v>0</v>
      </c>
      <c r="P620" t="n">
        <v>0</v>
      </c>
      <c r="Q620" t="n">
        <v>0</v>
      </c>
      <c r="R620" s="2" t="inlineStr"/>
    </row>
    <row r="621" ht="15" customHeight="1">
      <c r="A621" t="inlineStr">
        <is>
          <t>A 27376-2024</t>
        </is>
      </c>
      <c r="B621" s="1" t="n">
        <v>45473.88313657408</v>
      </c>
      <c r="C621" s="1" t="n">
        <v>46090</v>
      </c>
      <c r="D621" t="inlineStr">
        <is>
          <t>SÖDERMANLANDS LÄN</t>
        </is>
      </c>
      <c r="E621" t="inlineStr">
        <is>
          <t>KATRINEHOLM</t>
        </is>
      </c>
      <c r="F621" t="inlineStr">
        <is>
          <t>Kommuner</t>
        </is>
      </c>
      <c r="G621" t="n">
        <v>2.8</v>
      </c>
      <c r="H621" t="n">
        <v>0</v>
      </c>
      <c r="I621" t="n">
        <v>0</v>
      </c>
      <c r="J621" t="n">
        <v>0</v>
      </c>
      <c r="K621" t="n">
        <v>0</v>
      </c>
      <c r="L621" t="n">
        <v>0</v>
      </c>
      <c r="M621" t="n">
        <v>0</v>
      </c>
      <c r="N621" t="n">
        <v>0</v>
      </c>
      <c r="O621" t="n">
        <v>0</v>
      </c>
      <c r="P621" t="n">
        <v>0</v>
      </c>
      <c r="Q621" t="n">
        <v>0</v>
      </c>
      <c r="R621" s="2" t="inlineStr"/>
    </row>
    <row r="622" ht="15" customHeight="1">
      <c r="A622" t="inlineStr">
        <is>
          <t>A 48097-2023</t>
        </is>
      </c>
      <c r="B622" s="1" t="n">
        <v>45205.31987268518</v>
      </c>
      <c r="C622" s="1" t="n">
        <v>46090</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7753-2024</t>
        </is>
      </c>
      <c r="B623" s="1" t="n">
        <v>45348</v>
      </c>
      <c r="C623" s="1" t="n">
        <v>46090</v>
      </c>
      <c r="D623" t="inlineStr">
        <is>
          <t>SÖDERMANLANDS LÄN</t>
        </is>
      </c>
      <c r="E623" t="inlineStr">
        <is>
          <t>KATRINEHOLM</t>
        </is>
      </c>
      <c r="G623" t="n">
        <v>13.4</v>
      </c>
      <c r="H623" t="n">
        <v>0</v>
      </c>
      <c r="I623" t="n">
        <v>0</v>
      </c>
      <c r="J623" t="n">
        <v>0</v>
      </c>
      <c r="K623" t="n">
        <v>0</v>
      </c>
      <c r="L623" t="n">
        <v>0</v>
      </c>
      <c r="M623" t="n">
        <v>0</v>
      </c>
      <c r="N623" t="n">
        <v>0</v>
      </c>
      <c r="O623" t="n">
        <v>0</v>
      </c>
      <c r="P623" t="n">
        <v>0</v>
      </c>
      <c r="Q623" t="n">
        <v>0</v>
      </c>
      <c r="R623" s="2" t="inlineStr"/>
    </row>
    <row r="624" ht="15" customHeight="1">
      <c r="A624" t="inlineStr">
        <is>
          <t>A 61915-2021</t>
        </is>
      </c>
      <c r="B624" s="1" t="n">
        <v>44502.36780092592</v>
      </c>
      <c r="C624" s="1" t="n">
        <v>46090</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55795-2023</t>
        </is>
      </c>
      <c r="B625" s="1" t="n">
        <v>45239.54861111111</v>
      </c>
      <c r="C625" s="1" t="n">
        <v>46090</v>
      </c>
      <c r="D625" t="inlineStr">
        <is>
          <t>SÖDERMANLANDS LÄN</t>
        </is>
      </c>
      <c r="E625" t="inlineStr">
        <is>
          <t>KATRINEHOLM</t>
        </is>
      </c>
      <c r="G625" t="n">
        <v>7</v>
      </c>
      <c r="H625" t="n">
        <v>0</v>
      </c>
      <c r="I625" t="n">
        <v>0</v>
      </c>
      <c r="J625" t="n">
        <v>0</v>
      </c>
      <c r="K625" t="n">
        <v>0</v>
      </c>
      <c r="L625" t="n">
        <v>0</v>
      </c>
      <c r="M625" t="n">
        <v>0</v>
      </c>
      <c r="N625" t="n">
        <v>0</v>
      </c>
      <c r="O625" t="n">
        <v>0</v>
      </c>
      <c r="P625" t="n">
        <v>0</v>
      </c>
      <c r="Q625" t="n">
        <v>0</v>
      </c>
      <c r="R625" s="2" t="inlineStr"/>
    </row>
    <row r="626" ht="15" customHeight="1">
      <c r="A626" t="inlineStr">
        <is>
          <t>A 20768-2022</t>
        </is>
      </c>
      <c r="B626" s="1" t="n">
        <v>44701.36431712963</v>
      </c>
      <c r="C626" s="1" t="n">
        <v>46090</v>
      </c>
      <c r="D626" t="inlineStr">
        <is>
          <t>SÖDERMANLANDS LÄN</t>
        </is>
      </c>
      <c r="E626" t="inlineStr">
        <is>
          <t>KATRINEHOLM</t>
        </is>
      </c>
      <c r="G626" t="n">
        <v>3.5</v>
      </c>
      <c r="H626" t="n">
        <v>0</v>
      </c>
      <c r="I626" t="n">
        <v>0</v>
      </c>
      <c r="J626" t="n">
        <v>0</v>
      </c>
      <c r="K626" t="n">
        <v>0</v>
      </c>
      <c r="L626" t="n">
        <v>0</v>
      </c>
      <c r="M626" t="n">
        <v>0</v>
      </c>
      <c r="N626" t="n">
        <v>0</v>
      </c>
      <c r="O626" t="n">
        <v>0</v>
      </c>
      <c r="P626" t="n">
        <v>0</v>
      </c>
      <c r="Q626" t="n">
        <v>0</v>
      </c>
      <c r="R626" s="2" t="inlineStr"/>
    </row>
    <row r="627" ht="15" customHeight="1">
      <c r="A627" t="inlineStr">
        <is>
          <t>A 55846-2022</t>
        </is>
      </c>
      <c r="B627" s="1" t="n">
        <v>44888</v>
      </c>
      <c r="C627" s="1" t="n">
        <v>46090</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19452-2023</t>
        </is>
      </c>
      <c r="B628" s="1" t="n">
        <v>45050</v>
      </c>
      <c r="C628" s="1" t="n">
        <v>46090</v>
      </c>
      <c r="D628" t="inlineStr">
        <is>
          <t>SÖDERMANLANDS LÄN</t>
        </is>
      </c>
      <c r="E628" t="inlineStr">
        <is>
          <t>KATRINEHOLM</t>
        </is>
      </c>
      <c r="F628" t="inlineStr">
        <is>
          <t>Holmen skog AB</t>
        </is>
      </c>
      <c r="G628" t="n">
        <v>4.7</v>
      </c>
      <c r="H628" t="n">
        <v>0</v>
      </c>
      <c r="I628" t="n">
        <v>0</v>
      </c>
      <c r="J628" t="n">
        <v>0</v>
      </c>
      <c r="K628" t="n">
        <v>0</v>
      </c>
      <c r="L628" t="n">
        <v>0</v>
      </c>
      <c r="M628" t="n">
        <v>0</v>
      </c>
      <c r="N628" t="n">
        <v>0</v>
      </c>
      <c r="O628" t="n">
        <v>0</v>
      </c>
      <c r="P628" t="n">
        <v>0</v>
      </c>
      <c r="Q628" t="n">
        <v>0</v>
      </c>
      <c r="R628" s="2" t="inlineStr"/>
    </row>
    <row r="629" ht="15" customHeight="1">
      <c r="A629" t="inlineStr">
        <is>
          <t>A 31719-2024</t>
        </is>
      </c>
      <c r="B629" s="1" t="n">
        <v>45509</v>
      </c>
      <c r="C629" s="1" t="n">
        <v>46090</v>
      </c>
      <c r="D629" t="inlineStr">
        <is>
          <t>SÖDERMANLANDS LÄN</t>
        </is>
      </c>
      <c r="E629" t="inlineStr">
        <is>
          <t>KATRINEHOLM</t>
        </is>
      </c>
      <c r="F629" t="inlineStr">
        <is>
          <t>Kyrkan</t>
        </is>
      </c>
      <c r="G629" t="n">
        <v>11.9</v>
      </c>
      <c r="H629" t="n">
        <v>0</v>
      </c>
      <c r="I629" t="n">
        <v>0</v>
      </c>
      <c r="J629" t="n">
        <v>0</v>
      </c>
      <c r="K629" t="n">
        <v>0</v>
      </c>
      <c r="L629" t="n">
        <v>0</v>
      </c>
      <c r="M629" t="n">
        <v>0</v>
      </c>
      <c r="N629" t="n">
        <v>0</v>
      </c>
      <c r="O629" t="n">
        <v>0</v>
      </c>
      <c r="P629" t="n">
        <v>0</v>
      </c>
      <c r="Q629" t="n">
        <v>0</v>
      </c>
      <c r="R629" s="2" t="inlineStr"/>
    </row>
    <row r="630" ht="15" customHeight="1">
      <c r="A630" t="inlineStr">
        <is>
          <t>A 43837-2022</t>
        </is>
      </c>
      <c r="B630" s="1" t="n">
        <v>44838</v>
      </c>
      <c r="C630" s="1" t="n">
        <v>46090</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51397-2023</t>
        </is>
      </c>
      <c r="B631" s="1" t="n">
        <v>45214</v>
      </c>
      <c r="C631" s="1" t="n">
        <v>46090</v>
      </c>
      <c r="D631" t="inlineStr">
        <is>
          <t>SÖDERMANLANDS LÄN</t>
        </is>
      </c>
      <c r="E631" t="inlineStr">
        <is>
          <t>KATRINEHOLM</t>
        </is>
      </c>
      <c r="G631" t="n">
        <v>4.9</v>
      </c>
      <c r="H631" t="n">
        <v>0</v>
      </c>
      <c r="I631" t="n">
        <v>0</v>
      </c>
      <c r="J631" t="n">
        <v>0</v>
      </c>
      <c r="K631" t="n">
        <v>0</v>
      </c>
      <c r="L631" t="n">
        <v>0</v>
      </c>
      <c r="M631" t="n">
        <v>0</v>
      </c>
      <c r="N631" t="n">
        <v>0</v>
      </c>
      <c r="O631" t="n">
        <v>0</v>
      </c>
      <c r="P631" t="n">
        <v>0</v>
      </c>
      <c r="Q631" t="n">
        <v>0</v>
      </c>
      <c r="R631" s="2" t="inlineStr"/>
    </row>
    <row r="632" ht="15" customHeight="1">
      <c r="A632" t="inlineStr">
        <is>
          <t>A 19670-2022</t>
        </is>
      </c>
      <c r="B632" s="1" t="n">
        <v>44694</v>
      </c>
      <c r="C632" s="1" t="n">
        <v>46090</v>
      </c>
      <c r="D632" t="inlineStr">
        <is>
          <t>SÖDERMANLANDS LÄN</t>
        </is>
      </c>
      <c r="E632" t="inlineStr">
        <is>
          <t>KATRINEHOLM</t>
        </is>
      </c>
      <c r="G632" t="n">
        <v>13.6</v>
      </c>
      <c r="H632" t="n">
        <v>0</v>
      </c>
      <c r="I632" t="n">
        <v>0</v>
      </c>
      <c r="J632" t="n">
        <v>0</v>
      </c>
      <c r="K632" t="n">
        <v>0</v>
      </c>
      <c r="L632" t="n">
        <v>0</v>
      </c>
      <c r="M632" t="n">
        <v>0</v>
      </c>
      <c r="N632" t="n">
        <v>0</v>
      </c>
      <c r="O632" t="n">
        <v>0</v>
      </c>
      <c r="P632" t="n">
        <v>0</v>
      </c>
      <c r="Q632" t="n">
        <v>0</v>
      </c>
      <c r="R632" s="2" t="inlineStr"/>
    </row>
    <row r="633" ht="15" customHeight="1">
      <c r="A633" t="inlineStr">
        <is>
          <t>A 6606-2022</t>
        </is>
      </c>
      <c r="B633" s="1" t="n">
        <v>44601</v>
      </c>
      <c r="C633" s="1" t="n">
        <v>46090</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4122-2023</t>
        </is>
      </c>
      <c r="B634" s="1" t="n">
        <v>44952</v>
      </c>
      <c r="C634" s="1" t="n">
        <v>46090</v>
      </c>
      <c r="D634" t="inlineStr">
        <is>
          <t>SÖDERMANLANDS LÄN</t>
        </is>
      </c>
      <c r="E634" t="inlineStr">
        <is>
          <t>KATRINEHOLM</t>
        </is>
      </c>
      <c r="G634" t="n">
        <v>9</v>
      </c>
      <c r="H634" t="n">
        <v>0</v>
      </c>
      <c r="I634" t="n">
        <v>0</v>
      </c>
      <c r="J634" t="n">
        <v>0</v>
      </c>
      <c r="K634" t="n">
        <v>0</v>
      </c>
      <c r="L634" t="n">
        <v>0</v>
      </c>
      <c r="M634" t="n">
        <v>0</v>
      </c>
      <c r="N634" t="n">
        <v>0</v>
      </c>
      <c r="O634" t="n">
        <v>0</v>
      </c>
      <c r="P634" t="n">
        <v>0</v>
      </c>
      <c r="Q634" t="n">
        <v>0</v>
      </c>
      <c r="R634" s="2" t="inlineStr"/>
    </row>
    <row r="635" ht="15" customHeight="1">
      <c r="A635" t="inlineStr">
        <is>
          <t>A 23347-2023</t>
        </is>
      </c>
      <c r="B635" s="1" t="n">
        <v>45076</v>
      </c>
      <c r="C635" s="1" t="n">
        <v>46090</v>
      </c>
      <c r="D635" t="inlineStr">
        <is>
          <t>SÖDERMANLANDS LÄN</t>
        </is>
      </c>
      <c r="E635" t="inlineStr">
        <is>
          <t>KATRINEHOLM</t>
        </is>
      </c>
      <c r="G635" t="n">
        <v>4.3</v>
      </c>
      <c r="H635" t="n">
        <v>0</v>
      </c>
      <c r="I635" t="n">
        <v>0</v>
      </c>
      <c r="J635" t="n">
        <v>0</v>
      </c>
      <c r="K635" t="n">
        <v>0</v>
      </c>
      <c r="L635" t="n">
        <v>0</v>
      </c>
      <c r="M635" t="n">
        <v>0</v>
      </c>
      <c r="N635" t="n">
        <v>0</v>
      </c>
      <c r="O635" t="n">
        <v>0</v>
      </c>
      <c r="P635" t="n">
        <v>0</v>
      </c>
      <c r="Q635" t="n">
        <v>0</v>
      </c>
      <c r="R635" s="2" t="inlineStr"/>
    </row>
    <row r="636" ht="15" customHeight="1">
      <c r="A636" t="inlineStr">
        <is>
          <t>A 23916-2023</t>
        </is>
      </c>
      <c r="B636" s="1" t="n">
        <v>45075</v>
      </c>
      <c r="C636" s="1" t="n">
        <v>46090</v>
      </c>
      <c r="D636" t="inlineStr">
        <is>
          <t>SÖDERMANLANDS LÄN</t>
        </is>
      </c>
      <c r="E636" t="inlineStr">
        <is>
          <t>KATRINEHOLM</t>
        </is>
      </c>
      <c r="G636" t="n">
        <v>8</v>
      </c>
      <c r="H636" t="n">
        <v>0</v>
      </c>
      <c r="I636" t="n">
        <v>0</v>
      </c>
      <c r="J636" t="n">
        <v>0</v>
      </c>
      <c r="K636" t="n">
        <v>0</v>
      </c>
      <c r="L636" t="n">
        <v>0</v>
      </c>
      <c r="M636" t="n">
        <v>0</v>
      </c>
      <c r="N636" t="n">
        <v>0</v>
      </c>
      <c r="O636" t="n">
        <v>0</v>
      </c>
      <c r="P636" t="n">
        <v>0</v>
      </c>
      <c r="Q636" t="n">
        <v>0</v>
      </c>
      <c r="R636" s="2" t="inlineStr"/>
    </row>
    <row r="637" ht="15" customHeight="1">
      <c r="A637" t="inlineStr">
        <is>
          <t>A 33278-2024</t>
        </is>
      </c>
      <c r="B637" s="1" t="n">
        <v>45518</v>
      </c>
      <c r="C637" s="1" t="n">
        <v>46090</v>
      </c>
      <c r="D637" t="inlineStr">
        <is>
          <t>SÖDERMANLANDS LÄN</t>
        </is>
      </c>
      <c r="E637" t="inlineStr">
        <is>
          <t>KATRINEHOLM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40186-2023</t>
        </is>
      </c>
      <c r="B638" s="1" t="n">
        <v>45169</v>
      </c>
      <c r="C638" s="1" t="n">
        <v>46090</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49700-2022</t>
        </is>
      </c>
      <c r="B639" s="1" t="n">
        <v>44862</v>
      </c>
      <c r="C639" s="1" t="n">
        <v>46090</v>
      </c>
      <c r="D639" t="inlineStr">
        <is>
          <t>SÖDERMANLANDS LÄN</t>
        </is>
      </c>
      <c r="E639" t="inlineStr">
        <is>
          <t>KATRINEHOLM</t>
        </is>
      </c>
      <c r="G639" t="n">
        <v>19.5</v>
      </c>
      <c r="H639" t="n">
        <v>0</v>
      </c>
      <c r="I639" t="n">
        <v>0</v>
      </c>
      <c r="J639" t="n">
        <v>0</v>
      </c>
      <c r="K639" t="n">
        <v>0</v>
      </c>
      <c r="L639" t="n">
        <v>0</v>
      </c>
      <c r="M639" t="n">
        <v>0</v>
      </c>
      <c r="N639" t="n">
        <v>0</v>
      </c>
      <c r="O639" t="n">
        <v>0</v>
      </c>
      <c r="P639" t="n">
        <v>0</v>
      </c>
      <c r="Q639" t="n">
        <v>0</v>
      </c>
      <c r="R639" s="2" t="inlineStr"/>
    </row>
    <row r="640" ht="15" customHeight="1">
      <c r="A640" t="inlineStr">
        <is>
          <t>A 27955-2023</t>
        </is>
      </c>
      <c r="B640" s="1" t="n">
        <v>45098</v>
      </c>
      <c r="C640" s="1" t="n">
        <v>46090</v>
      </c>
      <c r="D640" t="inlineStr">
        <is>
          <t>SÖDERMANLANDS LÄN</t>
        </is>
      </c>
      <c r="E640" t="inlineStr">
        <is>
          <t>KATRINEHOLM</t>
        </is>
      </c>
      <c r="G640" t="n">
        <v>5.9</v>
      </c>
      <c r="H640" t="n">
        <v>0</v>
      </c>
      <c r="I640" t="n">
        <v>0</v>
      </c>
      <c r="J640" t="n">
        <v>0</v>
      </c>
      <c r="K640" t="n">
        <v>0</v>
      </c>
      <c r="L640" t="n">
        <v>0</v>
      </c>
      <c r="M640" t="n">
        <v>0</v>
      </c>
      <c r="N640" t="n">
        <v>0</v>
      </c>
      <c r="O640" t="n">
        <v>0</v>
      </c>
      <c r="P640" t="n">
        <v>0</v>
      </c>
      <c r="Q640" t="n">
        <v>0</v>
      </c>
      <c r="R640" s="2" t="inlineStr"/>
    </row>
    <row r="641" ht="15" customHeight="1">
      <c r="A641" t="inlineStr">
        <is>
          <t>A 33141-2023</t>
        </is>
      </c>
      <c r="B641" s="1" t="n">
        <v>45126.65491898148</v>
      </c>
      <c r="C641" s="1" t="n">
        <v>46090</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46899-2022</t>
        </is>
      </c>
      <c r="B642" s="1" t="n">
        <v>44848</v>
      </c>
      <c r="C642" s="1" t="n">
        <v>46090</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9714-2024</t>
        </is>
      </c>
      <c r="B643" s="1" t="n">
        <v>45362</v>
      </c>
      <c r="C643" s="1" t="n">
        <v>46090</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39897-2023</t>
        </is>
      </c>
      <c r="B644" s="1" t="n">
        <v>45168</v>
      </c>
      <c r="C644" s="1" t="n">
        <v>46090</v>
      </c>
      <c r="D644" t="inlineStr">
        <is>
          <t>SÖDERMANLANDS LÄN</t>
        </is>
      </c>
      <c r="E644" t="inlineStr">
        <is>
          <t>KATRINEHOLM</t>
        </is>
      </c>
      <c r="G644" t="n">
        <v>15.6</v>
      </c>
      <c r="H644" t="n">
        <v>0</v>
      </c>
      <c r="I644" t="n">
        <v>0</v>
      </c>
      <c r="J644" t="n">
        <v>0</v>
      </c>
      <c r="K644" t="n">
        <v>0</v>
      </c>
      <c r="L644" t="n">
        <v>0</v>
      </c>
      <c r="M644" t="n">
        <v>0</v>
      </c>
      <c r="N644" t="n">
        <v>0</v>
      </c>
      <c r="O644" t="n">
        <v>0</v>
      </c>
      <c r="P644" t="n">
        <v>0</v>
      </c>
      <c r="Q644" t="n">
        <v>0</v>
      </c>
      <c r="R644" s="2" t="inlineStr"/>
    </row>
    <row r="645" ht="15" customHeight="1">
      <c r="A645" t="inlineStr">
        <is>
          <t>A 2735-2025</t>
        </is>
      </c>
      <c r="B645" s="1" t="n">
        <v>45677</v>
      </c>
      <c r="C645" s="1" t="n">
        <v>46090</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20326-2023</t>
        </is>
      </c>
      <c r="B646" s="1" t="n">
        <v>45056.46821759259</v>
      </c>
      <c r="C646" s="1" t="n">
        <v>46090</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67337-2021</t>
        </is>
      </c>
      <c r="B647" s="1" t="n">
        <v>44523</v>
      </c>
      <c r="C647" s="1" t="n">
        <v>46090</v>
      </c>
      <c r="D647" t="inlineStr">
        <is>
          <t>SÖDERMANLANDS LÄN</t>
        </is>
      </c>
      <c r="E647" t="inlineStr">
        <is>
          <t>KATRINEHOLM</t>
        </is>
      </c>
      <c r="G647" t="n">
        <v>5.2</v>
      </c>
      <c r="H647" t="n">
        <v>0</v>
      </c>
      <c r="I647" t="n">
        <v>0</v>
      </c>
      <c r="J647" t="n">
        <v>0</v>
      </c>
      <c r="K647" t="n">
        <v>0</v>
      </c>
      <c r="L647" t="n">
        <v>0</v>
      </c>
      <c r="M647" t="n">
        <v>0</v>
      </c>
      <c r="N647" t="n">
        <v>0</v>
      </c>
      <c r="O647" t="n">
        <v>0</v>
      </c>
      <c r="P647" t="n">
        <v>0</v>
      </c>
      <c r="Q647" t="n">
        <v>0</v>
      </c>
      <c r="R647" s="2" t="inlineStr"/>
    </row>
    <row r="648" ht="15" customHeight="1">
      <c r="A648" t="inlineStr">
        <is>
          <t>A 9044-2022</t>
        </is>
      </c>
      <c r="B648" s="1" t="n">
        <v>44602</v>
      </c>
      <c r="C648" s="1" t="n">
        <v>46090</v>
      </c>
      <c r="D648" t="inlineStr">
        <is>
          <t>SÖDERMANLANDS LÄN</t>
        </is>
      </c>
      <c r="E648" t="inlineStr">
        <is>
          <t>KATRINEHOLM</t>
        </is>
      </c>
      <c r="G648" t="n">
        <v>5.8</v>
      </c>
      <c r="H648" t="n">
        <v>0</v>
      </c>
      <c r="I648" t="n">
        <v>0</v>
      </c>
      <c r="J648" t="n">
        <v>0</v>
      </c>
      <c r="K648" t="n">
        <v>0</v>
      </c>
      <c r="L648" t="n">
        <v>0</v>
      </c>
      <c r="M648" t="n">
        <v>0</v>
      </c>
      <c r="N648" t="n">
        <v>0</v>
      </c>
      <c r="O648" t="n">
        <v>0</v>
      </c>
      <c r="P648" t="n">
        <v>0</v>
      </c>
      <c r="Q648" t="n">
        <v>0</v>
      </c>
      <c r="R648" s="2" t="inlineStr"/>
    </row>
    <row r="649" ht="15" customHeight="1">
      <c r="A649" t="inlineStr">
        <is>
          <t>A 69117-2021</t>
        </is>
      </c>
      <c r="B649" s="1" t="n">
        <v>44530.82445601852</v>
      </c>
      <c r="C649" s="1" t="n">
        <v>46090</v>
      </c>
      <c r="D649" t="inlineStr">
        <is>
          <t>SÖDERMANLANDS LÄN</t>
        </is>
      </c>
      <c r="E649" t="inlineStr">
        <is>
          <t>KATRINEHOLM</t>
        </is>
      </c>
      <c r="G649" t="n">
        <v>1.7</v>
      </c>
      <c r="H649" t="n">
        <v>0</v>
      </c>
      <c r="I649" t="n">
        <v>0</v>
      </c>
      <c r="J649" t="n">
        <v>0</v>
      </c>
      <c r="K649" t="n">
        <v>0</v>
      </c>
      <c r="L649" t="n">
        <v>0</v>
      </c>
      <c r="M649" t="n">
        <v>0</v>
      </c>
      <c r="N649" t="n">
        <v>0</v>
      </c>
      <c r="O649" t="n">
        <v>0</v>
      </c>
      <c r="P649" t="n">
        <v>0</v>
      </c>
      <c r="Q649" t="n">
        <v>0</v>
      </c>
      <c r="R649" s="2" t="inlineStr"/>
    </row>
    <row r="650" ht="15" customHeight="1">
      <c r="A650" t="inlineStr">
        <is>
          <t>A 12559-2023</t>
        </is>
      </c>
      <c r="B650" s="1" t="n">
        <v>45000.36373842593</v>
      </c>
      <c r="C650" s="1" t="n">
        <v>46090</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6722-2022</t>
        </is>
      </c>
      <c r="B651" s="1" t="n">
        <v>44602</v>
      </c>
      <c r="C651" s="1" t="n">
        <v>46090</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11872-2023</t>
        </is>
      </c>
      <c r="B652" s="1" t="n">
        <v>44995</v>
      </c>
      <c r="C652" s="1" t="n">
        <v>46090</v>
      </c>
      <c r="D652" t="inlineStr">
        <is>
          <t>SÖDERMANLANDS LÄN</t>
        </is>
      </c>
      <c r="E652" t="inlineStr">
        <is>
          <t>KATRINEHOLM</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51848-2022</t>
        </is>
      </c>
      <c r="B653" s="1" t="n">
        <v>44872.57752314815</v>
      </c>
      <c r="C653" s="1" t="n">
        <v>46090</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16087-2023</t>
        </is>
      </c>
      <c r="B654" s="1" t="n">
        <v>45026</v>
      </c>
      <c r="C654" s="1" t="n">
        <v>46090</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21959-2022</t>
        </is>
      </c>
      <c r="B655" s="1" t="n">
        <v>44708</v>
      </c>
      <c r="C655" s="1" t="n">
        <v>46090</v>
      </c>
      <c r="D655" t="inlineStr">
        <is>
          <t>SÖDERMANLANDS LÄN</t>
        </is>
      </c>
      <c r="E655" t="inlineStr">
        <is>
          <t>KATRINEHOLM</t>
        </is>
      </c>
      <c r="G655" t="n">
        <v>1.5</v>
      </c>
      <c r="H655" t="n">
        <v>0</v>
      </c>
      <c r="I655" t="n">
        <v>0</v>
      </c>
      <c r="J655" t="n">
        <v>0</v>
      </c>
      <c r="K655" t="n">
        <v>0</v>
      </c>
      <c r="L655" t="n">
        <v>0</v>
      </c>
      <c r="M655" t="n">
        <v>0</v>
      </c>
      <c r="N655" t="n">
        <v>0</v>
      </c>
      <c r="O655" t="n">
        <v>0</v>
      </c>
      <c r="P655" t="n">
        <v>0</v>
      </c>
      <c r="Q655" t="n">
        <v>0</v>
      </c>
      <c r="R655" s="2" t="inlineStr"/>
    </row>
    <row r="656" ht="15" customHeight="1">
      <c r="A656" t="inlineStr">
        <is>
          <t>A 42451-2023</t>
        </is>
      </c>
      <c r="B656" s="1" t="n">
        <v>45180</v>
      </c>
      <c r="C656" s="1" t="n">
        <v>46090</v>
      </c>
      <c r="D656" t="inlineStr">
        <is>
          <t>SÖDERMANLANDS LÄN</t>
        </is>
      </c>
      <c r="E656" t="inlineStr">
        <is>
          <t>KATRINEHOLM</t>
        </is>
      </c>
      <c r="G656" t="n">
        <v>3.8</v>
      </c>
      <c r="H656" t="n">
        <v>0</v>
      </c>
      <c r="I656" t="n">
        <v>0</v>
      </c>
      <c r="J656" t="n">
        <v>0</v>
      </c>
      <c r="K656" t="n">
        <v>0</v>
      </c>
      <c r="L656" t="n">
        <v>0</v>
      </c>
      <c r="M656" t="n">
        <v>0</v>
      </c>
      <c r="N656" t="n">
        <v>0</v>
      </c>
      <c r="O656" t="n">
        <v>0</v>
      </c>
      <c r="P656" t="n">
        <v>0</v>
      </c>
      <c r="Q656" t="n">
        <v>0</v>
      </c>
      <c r="R656" s="2" t="inlineStr"/>
    </row>
    <row r="657" ht="15" customHeight="1">
      <c r="A657" t="inlineStr">
        <is>
          <t>A 22506-2023</t>
        </is>
      </c>
      <c r="B657" s="1" t="n">
        <v>45071.37393518518</v>
      </c>
      <c r="C657" s="1" t="n">
        <v>46090</v>
      </c>
      <c r="D657" t="inlineStr">
        <is>
          <t>SÖDERMANLANDS LÄN</t>
        </is>
      </c>
      <c r="E657" t="inlineStr">
        <is>
          <t>KATRINEHOLM</t>
        </is>
      </c>
      <c r="F657" t="inlineStr">
        <is>
          <t>Kyrkan</t>
        </is>
      </c>
      <c r="G657" t="n">
        <v>5.9</v>
      </c>
      <c r="H657" t="n">
        <v>0</v>
      </c>
      <c r="I657" t="n">
        <v>0</v>
      </c>
      <c r="J657" t="n">
        <v>0</v>
      </c>
      <c r="K657" t="n">
        <v>0</v>
      </c>
      <c r="L657" t="n">
        <v>0</v>
      </c>
      <c r="M657" t="n">
        <v>0</v>
      </c>
      <c r="N657" t="n">
        <v>0</v>
      </c>
      <c r="O657" t="n">
        <v>0</v>
      </c>
      <c r="P657" t="n">
        <v>0</v>
      </c>
      <c r="Q657" t="n">
        <v>0</v>
      </c>
      <c r="R657" s="2" t="inlineStr"/>
    </row>
    <row r="658" ht="15" customHeight="1">
      <c r="A658" t="inlineStr">
        <is>
          <t>A 26713-2024</t>
        </is>
      </c>
      <c r="B658" s="1" t="n">
        <v>45470</v>
      </c>
      <c r="C658" s="1" t="n">
        <v>46090</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1151-2025</t>
        </is>
      </c>
      <c r="B659" s="1" t="n">
        <v>45666</v>
      </c>
      <c r="C659" s="1" t="n">
        <v>46090</v>
      </c>
      <c r="D659" t="inlineStr">
        <is>
          <t>SÖDERMANLANDS LÄN</t>
        </is>
      </c>
      <c r="E659" t="inlineStr">
        <is>
          <t>KATRINEHOLM</t>
        </is>
      </c>
      <c r="G659" t="n">
        <v>1.9</v>
      </c>
      <c r="H659" t="n">
        <v>0</v>
      </c>
      <c r="I659" t="n">
        <v>0</v>
      </c>
      <c r="J659" t="n">
        <v>0</v>
      </c>
      <c r="K659" t="n">
        <v>0</v>
      </c>
      <c r="L659" t="n">
        <v>0</v>
      </c>
      <c r="M659" t="n">
        <v>0</v>
      </c>
      <c r="N659" t="n">
        <v>0</v>
      </c>
      <c r="O659" t="n">
        <v>0</v>
      </c>
      <c r="P659" t="n">
        <v>0</v>
      </c>
      <c r="Q659" t="n">
        <v>0</v>
      </c>
      <c r="R659" s="2" t="inlineStr"/>
    </row>
    <row r="660" ht="15" customHeight="1">
      <c r="A660" t="inlineStr">
        <is>
          <t>A 36133-2021</t>
        </is>
      </c>
      <c r="B660" s="1" t="n">
        <v>44386</v>
      </c>
      <c r="C660" s="1" t="n">
        <v>46090</v>
      </c>
      <c r="D660" t="inlineStr">
        <is>
          <t>SÖDERMANLANDS LÄN</t>
        </is>
      </c>
      <c r="E660" t="inlineStr">
        <is>
          <t>KATRINEHOLM</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50017-2023</t>
        </is>
      </c>
      <c r="B661" s="1" t="n">
        <v>45215</v>
      </c>
      <c r="C661" s="1" t="n">
        <v>46090</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50018-2023</t>
        </is>
      </c>
      <c r="B662" s="1" t="n">
        <v>45215</v>
      </c>
      <c r="C662" s="1" t="n">
        <v>46090</v>
      </c>
      <c r="D662" t="inlineStr">
        <is>
          <t>SÖDERMANLANDS LÄN</t>
        </is>
      </c>
      <c r="E662" t="inlineStr">
        <is>
          <t>KATRINEHOLM</t>
        </is>
      </c>
      <c r="G662" t="n">
        <v>2.4</v>
      </c>
      <c r="H662" t="n">
        <v>0</v>
      </c>
      <c r="I662" t="n">
        <v>0</v>
      </c>
      <c r="J662" t="n">
        <v>0</v>
      </c>
      <c r="K662" t="n">
        <v>0</v>
      </c>
      <c r="L662" t="n">
        <v>0</v>
      </c>
      <c r="M662" t="n">
        <v>0</v>
      </c>
      <c r="N662" t="n">
        <v>0</v>
      </c>
      <c r="O662" t="n">
        <v>0</v>
      </c>
      <c r="P662" t="n">
        <v>0</v>
      </c>
      <c r="Q662" t="n">
        <v>0</v>
      </c>
      <c r="R662" s="2" t="inlineStr"/>
    </row>
    <row r="663" ht="15" customHeight="1">
      <c r="A663" t="inlineStr">
        <is>
          <t>A 29843-2023</t>
        </is>
      </c>
      <c r="B663" s="1" t="n">
        <v>45107</v>
      </c>
      <c r="C663" s="1" t="n">
        <v>46090</v>
      </c>
      <c r="D663" t="inlineStr">
        <is>
          <t>SÖDERMANLANDS LÄN</t>
        </is>
      </c>
      <c r="E663" t="inlineStr">
        <is>
          <t>KATRINEHOLM</t>
        </is>
      </c>
      <c r="F663" t="inlineStr">
        <is>
          <t>Holmen skog AB</t>
        </is>
      </c>
      <c r="G663" t="n">
        <v>1.8</v>
      </c>
      <c r="H663" t="n">
        <v>0</v>
      </c>
      <c r="I663" t="n">
        <v>0</v>
      </c>
      <c r="J663" t="n">
        <v>0</v>
      </c>
      <c r="K663" t="n">
        <v>0</v>
      </c>
      <c r="L663" t="n">
        <v>0</v>
      </c>
      <c r="M663" t="n">
        <v>0</v>
      </c>
      <c r="N663" t="n">
        <v>0</v>
      </c>
      <c r="O663" t="n">
        <v>0</v>
      </c>
      <c r="P663" t="n">
        <v>0</v>
      </c>
      <c r="Q663" t="n">
        <v>0</v>
      </c>
      <c r="R663" s="2" t="inlineStr"/>
    </row>
    <row r="664" ht="15" customHeight="1">
      <c r="A664" t="inlineStr">
        <is>
          <t>A 56628-2021</t>
        </is>
      </c>
      <c r="B664" s="1" t="n">
        <v>44480</v>
      </c>
      <c r="C664" s="1" t="n">
        <v>46090</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62418-2023</t>
        </is>
      </c>
      <c r="B665" s="1" t="n">
        <v>45268</v>
      </c>
      <c r="C665" s="1" t="n">
        <v>46090</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48091-2024</t>
        </is>
      </c>
      <c r="B666" s="1" t="n">
        <v>45590</v>
      </c>
      <c r="C666" s="1" t="n">
        <v>46090</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48160-2022</t>
        </is>
      </c>
      <c r="B667" s="1" t="n">
        <v>44853</v>
      </c>
      <c r="C667" s="1" t="n">
        <v>46090</v>
      </c>
      <c r="D667" t="inlineStr">
        <is>
          <t>SÖDERMANLANDS LÄN</t>
        </is>
      </c>
      <c r="E667" t="inlineStr">
        <is>
          <t>KATRINEHOLM</t>
        </is>
      </c>
      <c r="F667" t="inlineStr">
        <is>
          <t>Övriga statliga verk och myndigheter</t>
        </is>
      </c>
      <c r="G667" t="n">
        <v>2.2</v>
      </c>
      <c r="H667" t="n">
        <v>0</v>
      </c>
      <c r="I667" t="n">
        <v>0</v>
      </c>
      <c r="J667" t="n">
        <v>0</v>
      </c>
      <c r="K667" t="n">
        <v>0</v>
      </c>
      <c r="L667" t="n">
        <v>0</v>
      </c>
      <c r="M667" t="n">
        <v>0</v>
      </c>
      <c r="N667" t="n">
        <v>0</v>
      </c>
      <c r="O667" t="n">
        <v>0</v>
      </c>
      <c r="P667" t="n">
        <v>0</v>
      </c>
      <c r="Q667" t="n">
        <v>0</v>
      </c>
      <c r="R667" s="2" t="inlineStr"/>
    </row>
    <row r="668" ht="15" customHeight="1">
      <c r="A668" t="inlineStr">
        <is>
          <t>A 18339-2023</t>
        </is>
      </c>
      <c r="B668" s="1" t="n">
        <v>45041</v>
      </c>
      <c r="C668" s="1" t="n">
        <v>46090</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20460-2025</t>
        </is>
      </c>
      <c r="B669" s="1" t="n">
        <v>45775.52854166667</v>
      </c>
      <c r="C669" s="1" t="n">
        <v>46090</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49092-2024</t>
        </is>
      </c>
      <c r="B670" s="1" t="n">
        <v>45594.63619212963</v>
      </c>
      <c r="C670" s="1" t="n">
        <v>46090</v>
      </c>
      <c r="D670" t="inlineStr">
        <is>
          <t>SÖDERMANLANDS LÄN</t>
        </is>
      </c>
      <c r="E670" t="inlineStr">
        <is>
          <t>KATRINEHOLM</t>
        </is>
      </c>
      <c r="F670" t="inlineStr">
        <is>
          <t>Övriga Aktiebolag</t>
        </is>
      </c>
      <c r="G670" t="n">
        <v>0.4</v>
      </c>
      <c r="H670" t="n">
        <v>0</v>
      </c>
      <c r="I670" t="n">
        <v>0</v>
      </c>
      <c r="J670" t="n">
        <v>0</v>
      </c>
      <c r="K670" t="n">
        <v>0</v>
      </c>
      <c r="L670" t="n">
        <v>0</v>
      </c>
      <c r="M670" t="n">
        <v>0</v>
      </c>
      <c r="N670" t="n">
        <v>0</v>
      </c>
      <c r="O670" t="n">
        <v>0</v>
      </c>
      <c r="P670" t="n">
        <v>0</v>
      </c>
      <c r="Q670" t="n">
        <v>0</v>
      </c>
      <c r="R670" s="2" t="inlineStr"/>
    </row>
    <row r="671" ht="15" customHeight="1">
      <c r="A671" t="inlineStr">
        <is>
          <t>A 49095-2024</t>
        </is>
      </c>
      <c r="B671" s="1" t="n">
        <v>45594.63828703704</v>
      </c>
      <c r="C671" s="1" t="n">
        <v>46090</v>
      </c>
      <c r="D671" t="inlineStr">
        <is>
          <t>SÖDERMANLANDS LÄN</t>
        </is>
      </c>
      <c r="E671" t="inlineStr">
        <is>
          <t>KATRINEHOLM</t>
        </is>
      </c>
      <c r="F671" t="inlineStr">
        <is>
          <t>Övriga Aktiebolag</t>
        </is>
      </c>
      <c r="G671" t="n">
        <v>0.4</v>
      </c>
      <c r="H671" t="n">
        <v>0</v>
      </c>
      <c r="I671" t="n">
        <v>0</v>
      </c>
      <c r="J671" t="n">
        <v>0</v>
      </c>
      <c r="K671" t="n">
        <v>0</v>
      </c>
      <c r="L671" t="n">
        <v>0</v>
      </c>
      <c r="M671" t="n">
        <v>0</v>
      </c>
      <c r="N671" t="n">
        <v>0</v>
      </c>
      <c r="O671" t="n">
        <v>0</v>
      </c>
      <c r="P671" t="n">
        <v>0</v>
      </c>
      <c r="Q671" t="n">
        <v>0</v>
      </c>
      <c r="R671" s="2" t="inlineStr"/>
    </row>
    <row r="672" ht="15" customHeight="1">
      <c r="A672" t="inlineStr">
        <is>
          <t>A 55172-2022</t>
        </is>
      </c>
      <c r="B672" s="1" t="n">
        <v>44886</v>
      </c>
      <c r="C672" s="1" t="n">
        <v>46090</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50935-2023</t>
        </is>
      </c>
      <c r="B673" s="1" t="n">
        <v>45211</v>
      </c>
      <c r="C673" s="1" t="n">
        <v>46090</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24619-2024</t>
        </is>
      </c>
      <c r="B674" s="1" t="n">
        <v>45460</v>
      </c>
      <c r="C674" s="1" t="n">
        <v>46090</v>
      </c>
      <c r="D674" t="inlineStr">
        <is>
          <t>SÖDERMANLANDS LÄN</t>
        </is>
      </c>
      <c r="E674" t="inlineStr">
        <is>
          <t>KATRINEHOLM</t>
        </is>
      </c>
      <c r="G674" t="n">
        <v>4.7</v>
      </c>
      <c r="H674" t="n">
        <v>0</v>
      </c>
      <c r="I674" t="n">
        <v>0</v>
      </c>
      <c r="J674" t="n">
        <v>0</v>
      </c>
      <c r="K674" t="n">
        <v>0</v>
      </c>
      <c r="L674" t="n">
        <v>0</v>
      </c>
      <c r="M674" t="n">
        <v>0</v>
      </c>
      <c r="N674" t="n">
        <v>0</v>
      </c>
      <c r="O674" t="n">
        <v>0</v>
      </c>
      <c r="P674" t="n">
        <v>0</v>
      </c>
      <c r="Q674" t="n">
        <v>0</v>
      </c>
      <c r="R674" s="2" t="inlineStr"/>
    </row>
    <row r="675" ht="15" customHeight="1">
      <c r="A675" t="inlineStr">
        <is>
          <t>A 53843-2023</t>
        </is>
      </c>
      <c r="B675" s="1" t="n">
        <v>45230</v>
      </c>
      <c r="C675" s="1" t="n">
        <v>46090</v>
      </c>
      <c r="D675" t="inlineStr">
        <is>
          <t>SÖDERMANLANDS LÄN</t>
        </is>
      </c>
      <c r="E675" t="inlineStr">
        <is>
          <t>KATRINEHOLM</t>
        </is>
      </c>
      <c r="G675" t="n">
        <v>14.2</v>
      </c>
      <c r="H675" t="n">
        <v>0</v>
      </c>
      <c r="I675" t="n">
        <v>0</v>
      </c>
      <c r="J675" t="n">
        <v>0</v>
      </c>
      <c r="K675" t="n">
        <v>0</v>
      </c>
      <c r="L675" t="n">
        <v>0</v>
      </c>
      <c r="M675" t="n">
        <v>0</v>
      </c>
      <c r="N675" t="n">
        <v>0</v>
      </c>
      <c r="O675" t="n">
        <v>0</v>
      </c>
      <c r="P675" t="n">
        <v>0</v>
      </c>
      <c r="Q675" t="n">
        <v>0</v>
      </c>
      <c r="R675" s="2" t="inlineStr"/>
    </row>
    <row r="676" ht="15" customHeight="1">
      <c r="A676" t="inlineStr">
        <is>
          <t>A 22295-2024</t>
        </is>
      </c>
      <c r="B676" s="1" t="n">
        <v>45446.56141203704</v>
      </c>
      <c r="C676" s="1" t="n">
        <v>46090</v>
      </c>
      <c r="D676" t="inlineStr">
        <is>
          <t>SÖDERMANLANDS LÄN</t>
        </is>
      </c>
      <c r="E676" t="inlineStr">
        <is>
          <t>KATRINEHOLM</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22272-2022</t>
        </is>
      </c>
      <c r="B677" s="1" t="n">
        <v>44712</v>
      </c>
      <c r="C677" s="1" t="n">
        <v>46090</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53715-2023</t>
        </is>
      </c>
      <c r="B678" s="1" t="n">
        <v>45230</v>
      </c>
      <c r="C678" s="1" t="n">
        <v>46090</v>
      </c>
      <c r="D678" t="inlineStr">
        <is>
          <t>SÖDERMANLANDS LÄN</t>
        </is>
      </c>
      <c r="E678" t="inlineStr">
        <is>
          <t>KATRINEHOLM</t>
        </is>
      </c>
      <c r="F678" t="inlineStr">
        <is>
          <t>Allmännings- och besparingsskogar</t>
        </is>
      </c>
      <c r="G678" t="n">
        <v>5.6</v>
      </c>
      <c r="H678" t="n">
        <v>0</v>
      </c>
      <c r="I678" t="n">
        <v>0</v>
      </c>
      <c r="J678" t="n">
        <v>0</v>
      </c>
      <c r="K678" t="n">
        <v>0</v>
      </c>
      <c r="L678" t="n">
        <v>0</v>
      </c>
      <c r="M678" t="n">
        <v>0</v>
      </c>
      <c r="N678" t="n">
        <v>0</v>
      </c>
      <c r="O678" t="n">
        <v>0</v>
      </c>
      <c r="P678" t="n">
        <v>0</v>
      </c>
      <c r="Q678" t="n">
        <v>0</v>
      </c>
      <c r="R678" s="2" t="inlineStr"/>
    </row>
    <row r="679" ht="15" customHeight="1">
      <c r="A679" t="inlineStr">
        <is>
          <t>A 58175-2024</t>
        </is>
      </c>
      <c r="B679" s="1" t="n">
        <v>45632.46648148148</v>
      </c>
      <c r="C679" s="1" t="n">
        <v>46090</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59474-2021</t>
        </is>
      </c>
      <c r="B680" s="1" t="n">
        <v>44491</v>
      </c>
      <c r="C680" s="1" t="n">
        <v>46090</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51923-2023</t>
        </is>
      </c>
      <c r="B681" s="1" t="n">
        <v>45223</v>
      </c>
      <c r="C681" s="1" t="n">
        <v>46090</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27875-2024</t>
        </is>
      </c>
      <c r="B682" s="1" t="n">
        <v>45475</v>
      </c>
      <c r="C682" s="1" t="n">
        <v>46090</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43088-2022</t>
        </is>
      </c>
      <c r="B683" s="1" t="n">
        <v>44833</v>
      </c>
      <c r="C683" s="1" t="n">
        <v>46090</v>
      </c>
      <c r="D683" t="inlineStr">
        <is>
          <t>SÖDERMANLANDS LÄN</t>
        </is>
      </c>
      <c r="E683" t="inlineStr">
        <is>
          <t>KATRINEHOLM</t>
        </is>
      </c>
      <c r="G683" t="n">
        <v>6.6</v>
      </c>
      <c r="H683" t="n">
        <v>0</v>
      </c>
      <c r="I683" t="n">
        <v>0</v>
      </c>
      <c r="J683" t="n">
        <v>0</v>
      </c>
      <c r="K683" t="n">
        <v>0</v>
      </c>
      <c r="L683" t="n">
        <v>0</v>
      </c>
      <c r="M683" t="n">
        <v>0</v>
      </c>
      <c r="N683" t="n">
        <v>0</v>
      </c>
      <c r="O683" t="n">
        <v>0</v>
      </c>
      <c r="P683" t="n">
        <v>0</v>
      </c>
      <c r="Q683" t="n">
        <v>0</v>
      </c>
      <c r="R683" s="2" t="inlineStr"/>
    </row>
    <row r="684" ht="15" customHeight="1">
      <c r="A684" t="inlineStr">
        <is>
          <t>A 52658-2023</t>
        </is>
      </c>
      <c r="B684" s="1" t="n">
        <v>45225</v>
      </c>
      <c r="C684" s="1" t="n">
        <v>46090</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61385-2023</t>
        </is>
      </c>
      <c r="B685" s="1" t="n">
        <v>45264.64241898148</v>
      </c>
      <c r="C685" s="1" t="n">
        <v>46090</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48030-2022</t>
        </is>
      </c>
      <c r="B686" s="1" t="n">
        <v>44855</v>
      </c>
      <c r="C686" s="1" t="n">
        <v>46090</v>
      </c>
      <c r="D686" t="inlineStr">
        <is>
          <t>SÖDERMANLANDS LÄN</t>
        </is>
      </c>
      <c r="E686" t="inlineStr">
        <is>
          <t>KATRINEHOLM</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10932-2023</t>
        </is>
      </c>
      <c r="B687" s="1" t="n">
        <v>44985</v>
      </c>
      <c r="C687" s="1" t="n">
        <v>46090</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36767-2022</t>
        </is>
      </c>
      <c r="B688" s="1" t="n">
        <v>44805</v>
      </c>
      <c r="C688" s="1" t="n">
        <v>46090</v>
      </c>
      <c r="D688" t="inlineStr">
        <is>
          <t>SÖDERMANLANDS LÄN</t>
        </is>
      </c>
      <c r="E688" t="inlineStr">
        <is>
          <t>KATRINEHOLM</t>
        </is>
      </c>
      <c r="G688" t="n">
        <v>1.1</v>
      </c>
      <c r="H688" t="n">
        <v>0</v>
      </c>
      <c r="I688" t="n">
        <v>0</v>
      </c>
      <c r="J688" t="n">
        <v>0</v>
      </c>
      <c r="K688" t="n">
        <v>0</v>
      </c>
      <c r="L688" t="n">
        <v>0</v>
      </c>
      <c r="M688" t="n">
        <v>0</v>
      </c>
      <c r="N688" t="n">
        <v>0</v>
      </c>
      <c r="O688" t="n">
        <v>0</v>
      </c>
      <c r="P688" t="n">
        <v>0</v>
      </c>
      <c r="Q688" t="n">
        <v>0</v>
      </c>
      <c r="R688" s="2" t="inlineStr"/>
    </row>
    <row r="689" ht="15" customHeight="1">
      <c r="A689" t="inlineStr">
        <is>
          <t>A 5834-2025</t>
        </is>
      </c>
      <c r="B689" s="1" t="n">
        <v>45694</v>
      </c>
      <c r="C689" s="1" t="n">
        <v>46090</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9899-2023</t>
        </is>
      </c>
      <c r="B690" s="1" t="n">
        <v>44985</v>
      </c>
      <c r="C690" s="1" t="n">
        <v>46090</v>
      </c>
      <c r="D690" t="inlineStr">
        <is>
          <t>SÖDERMANLANDS LÄN</t>
        </is>
      </c>
      <c r="E690" t="inlineStr">
        <is>
          <t>KATRINEHOLM</t>
        </is>
      </c>
      <c r="F690" t="inlineStr">
        <is>
          <t>Allmännings- och besparingsskogar</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34263-2023</t>
        </is>
      </c>
      <c r="B691" s="1" t="n">
        <v>45138.60248842592</v>
      </c>
      <c r="C691" s="1" t="n">
        <v>46090</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6092-2025</t>
        </is>
      </c>
      <c r="B692" s="1" t="n">
        <v>45697</v>
      </c>
      <c r="C692" s="1" t="n">
        <v>46090</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55863-2022</t>
        </is>
      </c>
      <c r="B693" s="1" t="n">
        <v>44888</v>
      </c>
      <c r="C693" s="1" t="n">
        <v>46090</v>
      </c>
      <c r="D693" t="inlineStr">
        <is>
          <t>SÖDERMANLANDS LÄN</t>
        </is>
      </c>
      <c r="E693" t="inlineStr">
        <is>
          <t>KATRINEHOLM</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55865-2022</t>
        </is>
      </c>
      <c r="B694" s="1" t="n">
        <v>44888</v>
      </c>
      <c r="C694" s="1" t="n">
        <v>46090</v>
      </c>
      <c r="D694" t="inlineStr">
        <is>
          <t>SÖDERMANLANDS LÄN</t>
        </is>
      </c>
      <c r="E694" t="inlineStr">
        <is>
          <t>KATRINEHOLM</t>
        </is>
      </c>
      <c r="G694" t="n">
        <v>9.1</v>
      </c>
      <c r="H694" t="n">
        <v>0</v>
      </c>
      <c r="I694" t="n">
        <v>0</v>
      </c>
      <c r="J694" t="n">
        <v>0</v>
      </c>
      <c r="K694" t="n">
        <v>0</v>
      </c>
      <c r="L694" t="n">
        <v>0</v>
      </c>
      <c r="M694" t="n">
        <v>0</v>
      </c>
      <c r="N694" t="n">
        <v>0</v>
      </c>
      <c r="O694" t="n">
        <v>0</v>
      </c>
      <c r="P694" t="n">
        <v>0</v>
      </c>
      <c r="Q694" t="n">
        <v>0</v>
      </c>
      <c r="R694" s="2" t="inlineStr"/>
    </row>
    <row r="695" ht="15" customHeight="1">
      <c r="A695" t="inlineStr">
        <is>
          <t>A 10341-2022</t>
        </is>
      </c>
      <c r="B695" s="1" t="n">
        <v>44623</v>
      </c>
      <c r="C695" s="1" t="n">
        <v>46090</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9437-2022</t>
        </is>
      </c>
      <c r="B696" s="1" t="n">
        <v>44616.69246527777</v>
      </c>
      <c r="C696" s="1" t="n">
        <v>46090</v>
      </c>
      <c r="D696" t="inlineStr">
        <is>
          <t>SÖDERMANLANDS LÄN</t>
        </is>
      </c>
      <c r="E696" t="inlineStr">
        <is>
          <t>KATRINEHOLM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22345-2023</t>
        </is>
      </c>
      <c r="B697" s="1" t="n">
        <v>45070</v>
      </c>
      <c r="C697" s="1" t="n">
        <v>46090</v>
      </c>
      <c r="D697" t="inlineStr">
        <is>
          <t>SÖDERMANLANDS LÄN</t>
        </is>
      </c>
      <c r="E697" t="inlineStr">
        <is>
          <t>KATRINEHOLM</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48528-2021</t>
        </is>
      </c>
      <c r="B698" s="1" t="n">
        <v>44449</v>
      </c>
      <c r="C698" s="1" t="n">
        <v>46090</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28675-2024</t>
        </is>
      </c>
      <c r="B699" s="1" t="n">
        <v>45478</v>
      </c>
      <c r="C699" s="1" t="n">
        <v>46090</v>
      </c>
      <c r="D699" t="inlineStr">
        <is>
          <t>SÖDERMANLANDS LÄN</t>
        </is>
      </c>
      <c r="E699" t="inlineStr">
        <is>
          <t>KATRINEHOLM</t>
        </is>
      </c>
      <c r="F699" t="inlineStr">
        <is>
          <t>Övriga Aktiebolag</t>
        </is>
      </c>
      <c r="G699" t="n">
        <v>3.5</v>
      </c>
      <c r="H699" t="n">
        <v>0</v>
      </c>
      <c r="I699" t="n">
        <v>0</v>
      </c>
      <c r="J699" t="n">
        <v>0</v>
      </c>
      <c r="K699" t="n">
        <v>0</v>
      </c>
      <c r="L699" t="n">
        <v>0</v>
      </c>
      <c r="M699" t="n">
        <v>0</v>
      </c>
      <c r="N699" t="n">
        <v>0</v>
      </c>
      <c r="O699" t="n">
        <v>0</v>
      </c>
      <c r="P699" t="n">
        <v>0</v>
      </c>
      <c r="Q699" t="n">
        <v>0</v>
      </c>
      <c r="R699" s="2" t="inlineStr"/>
    </row>
    <row r="700" ht="15" customHeight="1">
      <c r="A700" t="inlineStr">
        <is>
          <t>A 33790-2024</t>
        </is>
      </c>
      <c r="B700" s="1" t="n">
        <v>45520.59179398148</v>
      </c>
      <c r="C700" s="1" t="n">
        <v>46090</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41267-2023</t>
        </is>
      </c>
      <c r="B701" s="1" t="n">
        <v>45174</v>
      </c>
      <c r="C701" s="1" t="n">
        <v>46090</v>
      </c>
      <c r="D701" t="inlineStr">
        <is>
          <t>SÖDERMANLANDS LÄN</t>
        </is>
      </c>
      <c r="E701" t="inlineStr">
        <is>
          <t>KATRINEHOLM</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53809-2021</t>
        </is>
      </c>
      <c r="B702" s="1" t="n">
        <v>44467</v>
      </c>
      <c r="C702" s="1" t="n">
        <v>46090</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4758-2025</t>
        </is>
      </c>
      <c r="B703" s="1" t="n">
        <v>45688</v>
      </c>
      <c r="C703" s="1" t="n">
        <v>46090</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28317-2024</t>
        </is>
      </c>
      <c r="B704" s="1" t="n">
        <v>45477</v>
      </c>
      <c r="C704" s="1" t="n">
        <v>46090</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52348-2021</t>
        </is>
      </c>
      <c r="B705" s="1" t="n">
        <v>44464.49756944444</v>
      </c>
      <c r="C705" s="1" t="n">
        <v>46090</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5795-2022</t>
        </is>
      </c>
      <c r="B706" s="1" t="n">
        <v>44596</v>
      </c>
      <c r="C706" s="1" t="n">
        <v>46090</v>
      </c>
      <c r="D706" t="inlineStr">
        <is>
          <t>SÖDERMANLANDS LÄN</t>
        </is>
      </c>
      <c r="E706" t="inlineStr">
        <is>
          <t>KATRINEHOLM</t>
        </is>
      </c>
      <c r="G706" t="n">
        <v>8.1</v>
      </c>
      <c r="H706" t="n">
        <v>0</v>
      </c>
      <c r="I706" t="n">
        <v>0</v>
      </c>
      <c r="J706" t="n">
        <v>0</v>
      </c>
      <c r="K706" t="n">
        <v>0</v>
      </c>
      <c r="L706" t="n">
        <v>0</v>
      </c>
      <c r="M706" t="n">
        <v>0</v>
      </c>
      <c r="N706" t="n">
        <v>0</v>
      </c>
      <c r="O706" t="n">
        <v>0</v>
      </c>
      <c r="P706" t="n">
        <v>0</v>
      </c>
      <c r="Q706" t="n">
        <v>0</v>
      </c>
      <c r="R706" s="2" t="inlineStr"/>
    </row>
    <row r="707" ht="15" customHeight="1">
      <c r="A707" t="inlineStr">
        <is>
          <t>A 55590-2023</t>
        </is>
      </c>
      <c r="B707" s="1" t="n">
        <v>45238</v>
      </c>
      <c r="C707" s="1" t="n">
        <v>46090</v>
      </c>
      <c r="D707" t="inlineStr">
        <is>
          <t>SÖDERMANLANDS LÄN</t>
        </is>
      </c>
      <c r="E707" t="inlineStr">
        <is>
          <t>KATRINEHOLM</t>
        </is>
      </c>
      <c r="G707" t="n">
        <v>4.5</v>
      </c>
      <c r="H707" t="n">
        <v>0</v>
      </c>
      <c r="I707" t="n">
        <v>0</v>
      </c>
      <c r="J707" t="n">
        <v>0</v>
      </c>
      <c r="K707" t="n">
        <v>0</v>
      </c>
      <c r="L707" t="n">
        <v>0</v>
      </c>
      <c r="M707" t="n">
        <v>0</v>
      </c>
      <c r="N707" t="n">
        <v>0</v>
      </c>
      <c r="O707" t="n">
        <v>0</v>
      </c>
      <c r="P707" t="n">
        <v>0</v>
      </c>
      <c r="Q707" t="n">
        <v>0</v>
      </c>
      <c r="R707" s="2" t="inlineStr"/>
    </row>
    <row r="708" ht="15" customHeight="1">
      <c r="A708" t="inlineStr">
        <is>
          <t>A 46257-2021</t>
        </is>
      </c>
      <c r="B708" s="1" t="n">
        <v>44442</v>
      </c>
      <c r="C708" s="1" t="n">
        <v>46090</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5320-2025</t>
        </is>
      </c>
      <c r="B709" s="1" t="n">
        <v>45692</v>
      </c>
      <c r="C709" s="1" t="n">
        <v>46090</v>
      </c>
      <c r="D709" t="inlineStr">
        <is>
          <t>SÖDERMANLANDS LÄN</t>
        </is>
      </c>
      <c r="E709" t="inlineStr">
        <is>
          <t>KATRINEHOLM</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49914-2023</t>
        </is>
      </c>
      <c r="B710" s="1" t="n">
        <v>45214</v>
      </c>
      <c r="C710" s="1" t="n">
        <v>46090</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44637-2023</t>
        </is>
      </c>
      <c r="B711" s="1" t="n">
        <v>45189</v>
      </c>
      <c r="C711" s="1" t="n">
        <v>46090</v>
      </c>
      <c r="D711" t="inlineStr">
        <is>
          <t>SÖDERMANLANDS LÄN</t>
        </is>
      </c>
      <c r="E711" t="inlineStr">
        <is>
          <t>KATRINEHOLM</t>
        </is>
      </c>
      <c r="G711" t="n">
        <v>5.1</v>
      </c>
      <c r="H711" t="n">
        <v>0</v>
      </c>
      <c r="I711" t="n">
        <v>0</v>
      </c>
      <c r="J711" t="n">
        <v>0</v>
      </c>
      <c r="K711" t="n">
        <v>0</v>
      </c>
      <c r="L711" t="n">
        <v>0</v>
      </c>
      <c r="M711" t="n">
        <v>0</v>
      </c>
      <c r="N711" t="n">
        <v>0</v>
      </c>
      <c r="O711" t="n">
        <v>0</v>
      </c>
      <c r="P711" t="n">
        <v>0</v>
      </c>
      <c r="Q711" t="n">
        <v>0</v>
      </c>
      <c r="R711" s="2" t="inlineStr"/>
    </row>
    <row r="712" ht="15" customHeight="1">
      <c r="A712" t="inlineStr">
        <is>
          <t>A 58522-2024</t>
        </is>
      </c>
      <c r="B712" s="1" t="n">
        <v>45635.43770833333</v>
      </c>
      <c r="C712" s="1" t="n">
        <v>46090</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20921-2023</t>
        </is>
      </c>
      <c r="B713" s="1" t="n">
        <v>45061</v>
      </c>
      <c r="C713" s="1" t="n">
        <v>46090</v>
      </c>
      <c r="D713" t="inlineStr">
        <is>
          <t>SÖDERMANLANDS LÄN</t>
        </is>
      </c>
      <c r="E713" t="inlineStr">
        <is>
          <t>KATRINEHOLM</t>
        </is>
      </c>
      <c r="G713" t="n">
        <v>8.9</v>
      </c>
      <c r="H713" t="n">
        <v>0</v>
      </c>
      <c r="I713" t="n">
        <v>0</v>
      </c>
      <c r="J713" t="n">
        <v>0</v>
      </c>
      <c r="K713" t="n">
        <v>0</v>
      </c>
      <c r="L713" t="n">
        <v>0</v>
      </c>
      <c r="M713" t="n">
        <v>0</v>
      </c>
      <c r="N713" t="n">
        <v>0</v>
      </c>
      <c r="O713" t="n">
        <v>0</v>
      </c>
      <c r="P713" t="n">
        <v>0</v>
      </c>
      <c r="Q713" t="n">
        <v>0</v>
      </c>
      <c r="R713" s="2" t="inlineStr"/>
    </row>
    <row r="714" ht="15" customHeight="1">
      <c r="A714" t="inlineStr">
        <is>
          <t>A 12929-2023</t>
        </is>
      </c>
      <c r="B714" s="1" t="n">
        <v>45001</v>
      </c>
      <c r="C714" s="1" t="n">
        <v>46090</v>
      </c>
      <c r="D714" t="inlineStr">
        <is>
          <t>SÖDERMANLANDS LÄN</t>
        </is>
      </c>
      <c r="E714" t="inlineStr">
        <is>
          <t>KATRINEHOLM</t>
        </is>
      </c>
      <c r="G714" t="n">
        <v>3.1</v>
      </c>
      <c r="H714" t="n">
        <v>0</v>
      </c>
      <c r="I714" t="n">
        <v>0</v>
      </c>
      <c r="J714" t="n">
        <v>0</v>
      </c>
      <c r="K714" t="n">
        <v>0</v>
      </c>
      <c r="L714" t="n">
        <v>0</v>
      </c>
      <c r="M714" t="n">
        <v>0</v>
      </c>
      <c r="N714" t="n">
        <v>0</v>
      </c>
      <c r="O714" t="n">
        <v>0</v>
      </c>
      <c r="P714" t="n">
        <v>0</v>
      </c>
      <c r="Q714" t="n">
        <v>0</v>
      </c>
      <c r="R714" s="2" t="inlineStr"/>
    </row>
    <row r="715" ht="15" customHeight="1">
      <c r="A715" t="inlineStr">
        <is>
          <t>A 12932-2023</t>
        </is>
      </c>
      <c r="B715" s="1" t="n">
        <v>45001</v>
      </c>
      <c r="C715" s="1" t="n">
        <v>46090</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6446-2022</t>
        </is>
      </c>
      <c r="B716" s="1" t="n">
        <v>44600</v>
      </c>
      <c r="C716" s="1" t="n">
        <v>46090</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4724-2023</t>
        </is>
      </c>
      <c r="B717" s="1" t="n">
        <v>44957</v>
      </c>
      <c r="C717" s="1" t="n">
        <v>46090</v>
      </c>
      <c r="D717" t="inlineStr">
        <is>
          <t>SÖDERMANLANDS LÄN</t>
        </is>
      </c>
      <c r="E717" t="inlineStr">
        <is>
          <t>KATRINEHOLM</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61431-2024</t>
        </is>
      </c>
      <c r="B718" s="1" t="n">
        <v>45646.45950231481</v>
      </c>
      <c r="C718" s="1" t="n">
        <v>46090</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24097-2022</t>
        </is>
      </c>
      <c r="B719" s="1" t="n">
        <v>44725.39371527778</v>
      </c>
      <c r="C719" s="1" t="n">
        <v>46090</v>
      </c>
      <c r="D719" t="inlineStr">
        <is>
          <t>SÖDERMANLANDS LÄN</t>
        </is>
      </c>
      <c r="E719" t="inlineStr">
        <is>
          <t>KATRINEHOLM</t>
        </is>
      </c>
      <c r="G719" t="n">
        <v>6.5</v>
      </c>
      <c r="H719" t="n">
        <v>0</v>
      </c>
      <c r="I719" t="n">
        <v>0</v>
      </c>
      <c r="J719" t="n">
        <v>0</v>
      </c>
      <c r="K719" t="n">
        <v>0</v>
      </c>
      <c r="L719" t="n">
        <v>0</v>
      </c>
      <c r="M719" t="n">
        <v>0</v>
      </c>
      <c r="N719" t="n">
        <v>0</v>
      </c>
      <c r="O719" t="n">
        <v>0</v>
      </c>
      <c r="P719" t="n">
        <v>0</v>
      </c>
      <c r="Q719" t="n">
        <v>0</v>
      </c>
      <c r="R719" s="2" t="inlineStr"/>
    </row>
    <row r="720" ht="15" customHeight="1">
      <c r="A720" t="inlineStr">
        <is>
          <t>A 53393-2023</t>
        </is>
      </c>
      <c r="B720" s="1" t="n">
        <v>45229</v>
      </c>
      <c r="C720" s="1" t="n">
        <v>46090</v>
      </c>
      <c r="D720" t="inlineStr">
        <is>
          <t>SÖDERMANLANDS LÄN</t>
        </is>
      </c>
      <c r="E720" t="inlineStr">
        <is>
          <t>KATRINEHOLM</t>
        </is>
      </c>
      <c r="F720" t="inlineStr">
        <is>
          <t>Kyrkan</t>
        </is>
      </c>
      <c r="G720" t="n">
        <v>5.6</v>
      </c>
      <c r="H720" t="n">
        <v>0</v>
      </c>
      <c r="I720" t="n">
        <v>0</v>
      </c>
      <c r="J720" t="n">
        <v>0</v>
      </c>
      <c r="K720" t="n">
        <v>0</v>
      </c>
      <c r="L720" t="n">
        <v>0</v>
      </c>
      <c r="M720" t="n">
        <v>0</v>
      </c>
      <c r="N720" t="n">
        <v>0</v>
      </c>
      <c r="O720" t="n">
        <v>0</v>
      </c>
      <c r="P720" t="n">
        <v>0</v>
      </c>
      <c r="Q720" t="n">
        <v>0</v>
      </c>
      <c r="R720" s="2" t="inlineStr"/>
    </row>
    <row r="721" ht="15" customHeight="1">
      <c r="A721" t="inlineStr">
        <is>
          <t>A 40744-2022</t>
        </is>
      </c>
      <c r="B721" s="1" t="n">
        <v>44824.55655092592</v>
      </c>
      <c r="C721" s="1" t="n">
        <v>46090</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20803-2024</t>
        </is>
      </c>
      <c r="B722" s="1" t="n">
        <v>45438</v>
      </c>
      <c r="C722" s="1" t="n">
        <v>46090</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15392-2023</t>
        </is>
      </c>
      <c r="B723" s="1" t="n">
        <v>45016</v>
      </c>
      <c r="C723" s="1" t="n">
        <v>46090</v>
      </c>
      <c r="D723" t="inlineStr">
        <is>
          <t>SÖDERMANLANDS LÄN</t>
        </is>
      </c>
      <c r="E723" t="inlineStr">
        <is>
          <t>KATRINEHOLM</t>
        </is>
      </c>
      <c r="F723" t="inlineStr">
        <is>
          <t>Övriga Aktiebolag</t>
        </is>
      </c>
      <c r="G723" t="n">
        <v>2.7</v>
      </c>
      <c r="H723" t="n">
        <v>0</v>
      </c>
      <c r="I723" t="n">
        <v>0</v>
      </c>
      <c r="J723" t="n">
        <v>0</v>
      </c>
      <c r="K723" t="n">
        <v>0</v>
      </c>
      <c r="L723" t="n">
        <v>0</v>
      </c>
      <c r="M723" t="n">
        <v>0</v>
      </c>
      <c r="N723" t="n">
        <v>0</v>
      </c>
      <c r="O723" t="n">
        <v>0</v>
      </c>
      <c r="P723" t="n">
        <v>0</v>
      </c>
      <c r="Q723" t="n">
        <v>0</v>
      </c>
      <c r="R723" s="2" t="inlineStr"/>
    </row>
    <row r="724" ht="15" customHeight="1">
      <c r="A724" t="inlineStr">
        <is>
          <t>A 4645-2024</t>
        </is>
      </c>
      <c r="B724" s="1" t="n">
        <v>45328</v>
      </c>
      <c r="C724" s="1" t="n">
        <v>46090</v>
      </c>
      <c r="D724" t="inlineStr">
        <is>
          <t>SÖDERMANLANDS LÄN</t>
        </is>
      </c>
      <c r="E724" t="inlineStr">
        <is>
          <t>KATRINEHOLM</t>
        </is>
      </c>
      <c r="G724" t="n">
        <v>2.3</v>
      </c>
      <c r="H724" t="n">
        <v>0</v>
      </c>
      <c r="I724" t="n">
        <v>0</v>
      </c>
      <c r="J724" t="n">
        <v>0</v>
      </c>
      <c r="K724" t="n">
        <v>0</v>
      </c>
      <c r="L724" t="n">
        <v>0</v>
      </c>
      <c r="M724" t="n">
        <v>0</v>
      </c>
      <c r="N724" t="n">
        <v>0</v>
      </c>
      <c r="O724" t="n">
        <v>0</v>
      </c>
      <c r="P724" t="n">
        <v>0</v>
      </c>
      <c r="Q724" t="n">
        <v>0</v>
      </c>
      <c r="R724" s="2" t="inlineStr"/>
    </row>
    <row r="725" ht="15" customHeight="1">
      <c r="A725" t="inlineStr">
        <is>
          <t>A 28508-2023</t>
        </is>
      </c>
      <c r="B725" s="1" t="n">
        <v>45103.46788194445</v>
      </c>
      <c r="C725" s="1" t="n">
        <v>46090</v>
      </c>
      <c r="D725" t="inlineStr">
        <is>
          <t>SÖDERMANLANDS LÄN</t>
        </is>
      </c>
      <c r="E725" t="inlineStr">
        <is>
          <t>KATRINEHOLM</t>
        </is>
      </c>
      <c r="F725" t="inlineStr">
        <is>
          <t>Kyrkan</t>
        </is>
      </c>
      <c r="G725" t="n">
        <v>20.5</v>
      </c>
      <c r="H725" t="n">
        <v>0</v>
      </c>
      <c r="I725" t="n">
        <v>0</v>
      </c>
      <c r="J725" t="n">
        <v>0</v>
      </c>
      <c r="K725" t="n">
        <v>0</v>
      </c>
      <c r="L725" t="n">
        <v>0</v>
      </c>
      <c r="M725" t="n">
        <v>0</v>
      </c>
      <c r="N725" t="n">
        <v>0</v>
      </c>
      <c r="O725" t="n">
        <v>0</v>
      </c>
      <c r="P725" t="n">
        <v>0</v>
      </c>
      <c r="Q725" t="n">
        <v>0</v>
      </c>
      <c r="R725" s="2" t="inlineStr"/>
    </row>
    <row r="726" ht="15" customHeight="1">
      <c r="A726" t="inlineStr">
        <is>
          <t>A 47889-2023</t>
        </is>
      </c>
      <c r="B726" s="1" t="n">
        <v>45204</v>
      </c>
      <c r="C726" s="1" t="n">
        <v>46090</v>
      </c>
      <c r="D726" t="inlineStr">
        <is>
          <t>SÖDERMANLANDS LÄN</t>
        </is>
      </c>
      <c r="E726" t="inlineStr">
        <is>
          <t>KATRINEHOLM</t>
        </is>
      </c>
      <c r="G726" t="n">
        <v>2.1</v>
      </c>
      <c r="H726" t="n">
        <v>0</v>
      </c>
      <c r="I726" t="n">
        <v>0</v>
      </c>
      <c r="J726" t="n">
        <v>0</v>
      </c>
      <c r="K726" t="n">
        <v>0</v>
      </c>
      <c r="L726" t="n">
        <v>0</v>
      </c>
      <c r="M726" t="n">
        <v>0</v>
      </c>
      <c r="N726" t="n">
        <v>0</v>
      </c>
      <c r="O726" t="n">
        <v>0</v>
      </c>
      <c r="P726" t="n">
        <v>0</v>
      </c>
      <c r="Q726" t="n">
        <v>0</v>
      </c>
      <c r="R726" s="2" t="inlineStr"/>
    </row>
    <row r="727" ht="15" customHeight="1">
      <c r="A727" t="inlineStr">
        <is>
          <t>A 12975-2022</t>
        </is>
      </c>
      <c r="B727" s="1" t="n">
        <v>44643</v>
      </c>
      <c r="C727" s="1" t="n">
        <v>46090</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9668-2023</t>
        </is>
      </c>
      <c r="B728" s="1" t="n">
        <v>44984.41238425926</v>
      </c>
      <c r="C728" s="1" t="n">
        <v>46090</v>
      </c>
      <c r="D728" t="inlineStr">
        <is>
          <t>SÖDERMANLANDS LÄN</t>
        </is>
      </c>
      <c r="E728" t="inlineStr">
        <is>
          <t>KATRINEHOLM</t>
        </is>
      </c>
      <c r="G728" t="n">
        <v>4.8</v>
      </c>
      <c r="H728" t="n">
        <v>0</v>
      </c>
      <c r="I728" t="n">
        <v>0</v>
      </c>
      <c r="J728" t="n">
        <v>0</v>
      </c>
      <c r="K728" t="n">
        <v>0</v>
      </c>
      <c r="L728" t="n">
        <v>0</v>
      </c>
      <c r="M728" t="n">
        <v>0</v>
      </c>
      <c r="N728" t="n">
        <v>0</v>
      </c>
      <c r="O728" t="n">
        <v>0</v>
      </c>
      <c r="P728" t="n">
        <v>0</v>
      </c>
      <c r="Q728" t="n">
        <v>0</v>
      </c>
      <c r="R728" s="2" t="inlineStr"/>
    </row>
    <row r="729" ht="15" customHeight="1">
      <c r="A729" t="inlineStr">
        <is>
          <t>A 29977-2023</t>
        </is>
      </c>
      <c r="B729" s="1" t="n">
        <v>45108</v>
      </c>
      <c r="C729" s="1" t="n">
        <v>46090</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46090</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948-2023</t>
        </is>
      </c>
      <c r="B731" s="1" t="n">
        <v>44934</v>
      </c>
      <c r="C731" s="1" t="n">
        <v>46090</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6087-2022</t>
        </is>
      </c>
      <c r="B732" s="1" t="n">
        <v>44599.61034722222</v>
      </c>
      <c r="C732" s="1" t="n">
        <v>46090</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47134-2022</t>
        </is>
      </c>
      <c r="B733" s="1" t="n">
        <v>44851</v>
      </c>
      <c r="C733" s="1" t="n">
        <v>46090</v>
      </c>
      <c r="D733" t="inlineStr">
        <is>
          <t>SÖDERMANLANDS LÄN</t>
        </is>
      </c>
      <c r="E733" t="inlineStr">
        <is>
          <t>KATRINEHOLM</t>
        </is>
      </c>
      <c r="F733" t="inlineStr">
        <is>
          <t>Övriga statliga verk och myndigheter</t>
        </is>
      </c>
      <c r="G733" t="n">
        <v>1.5</v>
      </c>
      <c r="H733" t="n">
        <v>0</v>
      </c>
      <c r="I733" t="n">
        <v>0</v>
      </c>
      <c r="J733" t="n">
        <v>0</v>
      </c>
      <c r="K733" t="n">
        <v>0</v>
      </c>
      <c r="L733" t="n">
        <v>0</v>
      </c>
      <c r="M733" t="n">
        <v>0</v>
      </c>
      <c r="N733" t="n">
        <v>0</v>
      </c>
      <c r="O733" t="n">
        <v>0</v>
      </c>
      <c r="P733" t="n">
        <v>0</v>
      </c>
      <c r="Q733" t="n">
        <v>0</v>
      </c>
      <c r="R733" s="2" t="inlineStr"/>
    </row>
    <row r="734" ht="15" customHeight="1">
      <c r="A734" t="inlineStr">
        <is>
          <t>A 12835-2024</t>
        </is>
      </c>
      <c r="B734" s="1" t="n">
        <v>45384</v>
      </c>
      <c r="C734" s="1" t="n">
        <v>46090</v>
      </c>
      <c r="D734" t="inlineStr">
        <is>
          <t>SÖDERMANLANDS LÄN</t>
        </is>
      </c>
      <c r="E734" t="inlineStr">
        <is>
          <t>KATRINEHOLM</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47879-2023</t>
        </is>
      </c>
      <c r="B735" s="1" t="n">
        <v>45204</v>
      </c>
      <c r="C735" s="1" t="n">
        <v>46090</v>
      </c>
      <c r="D735" t="inlineStr">
        <is>
          <t>SÖDERMANLANDS LÄN</t>
        </is>
      </c>
      <c r="E735" t="inlineStr">
        <is>
          <t>KATRINEHOLM</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61410-2024</t>
        </is>
      </c>
      <c r="B736" s="1" t="n">
        <v>45646.43950231482</v>
      </c>
      <c r="C736" s="1" t="n">
        <v>46090</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17746-2024</t>
        </is>
      </c>
      <c r="B737" s="1" t="n">
        <v>45415</v>
      </c>
      <c r="C737" s="1" t="n">
        <v>46090</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57510-2021</t>
        </is>
      </c>
      <c r="B738" s="1" t="n">
        <v>44483</v>
      </c>
      <c r="C738" s="1" t="n">
        <v>46090</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34731-2023</t>
        </is>
      </c>
      <c r="B739" s="1" t="n">
        <v>45141</v>
      </c>
      <c r="C739" s="1" t="n">
        <v>46090</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38826-2021</t>
        </is>
      </c>
      <c r="B740" s="1" t="n">
        <v>44411</v>
      </c>
      <c r="C740" s="1" t="n">
        <v>46090</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11875-2023</t>
        </is>
      </c>
      <c r="B741" s="1" t="n">
        <v>44995</v>
      </c>
      <c r="C741" s="1" t="n">
        <v>46090</v>
      </c>
      <c r="D741" t="inlineStr">
        <is>
          <t>SÖDERMANLANDS LÄN</t>
        </is>
      </c>
      <c r="E741" t="inlineStr">
        <is>
          <t>KATRINEHOLM</t>
        </is>
      </c>
      <c r="F741" t="inlineStr">
        <is>
          <t>Kommuner</t>
        </is>
      </c>
      <c r="G741" t="n">
        <v>1.1</v>
      </c>
      <c r="H741" t="n">
        <v>0</v>
      </c>
      <c r="I741" t="n">
        <v>0</v>
      </c>
      <c r="J741" t="n">
        <v>0</v>
      </c>
      <c r="K741" t="n">
        <v>0</v>
      </c>
      <c r="L741" t="n">
        <v>0</v>
      </c>
      <c r="M741" t="n">
        <v>0</v>
      </c>
      <c r="N741" t="n">
        <v>0</v>
      </c>
      <c r="O741" t="n">
        <v>0</v>
      </c>
      <c r="P741" t="n">
        <v>0</v>
      </c>
      <c r="Q741" t="n">
        <v>0</v>
      </c>
      <c r="R741" s="2" t="inlineStr"/>
    </row>
    <row r="742" ht="15" customHeight="1">
      <c r="A742" t="inlineStr">
        <is>
          <t>A 6808-2023</t>
        </is>
      </c>
      <c r="B742" s="1" t="n">
        <v>44964</v>
      </c>
      <c r="C742" s="1" t="n">
        <v>46090</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51128-2021</t>
        </is>
      </c>
      <c r="B743" s="1" t="n">
        <v>44460</v>
      </c>
      <c r="C743" s="1" t="n">
        <v>46090</v>
      </c>
      <c r="D743" t="inlineStr">
        <is>
          <t>SÖDERMANLANDS LÄN</t>
        </is>
      </c>
      <c r="E743" t="inlineStr">
        <is>
          <t>KATRINEHOLM</t>
        </is>
      </c>
      <c r="G743" t="n">
        <v>7.8</v>
      </c>
      <c r="H743" t="n">
        <v>0</v>
      </c>
      <c r="I743" t="n">
        <v>0</v>
      </c>
      <c r="J743" t="n">
        <v>0</v>
      </c>
      <c r="K743" t="n">
        <v>0</v>
      </c>
      <c r="L743" t="n">
        <v>0</v>
      </c>
      <c r="M743" t="n">
        <v>0</v>
      </c>
      <c r="N743" t="n">
        <v>0</v>
      </c>
      <c r="O743" t="n">
        <v>0</v>
      </c>
      <c r="P743" t="n">
        <v>0</v>
      </c>
      <c r="Q743" t="n">
        <v>0</v>
      </c>
      <c r="R743" s="2" t="inlineStr"/>
    </row>
    <row r="744" ht="15" customHeight="1">
      <c r="A744" t="inlineStr">
        <is>
          <t>A 51264-2021</t>
        </is>
      </c>
      <c r="B744" s="1" t="n">
        <v>44461</v>
      </c>
      <c r="C744" s="1" t="n">
        <v>46090</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23207-2023</t>
        </is>
      </c>
      <c r="B745" s="1" t="n">
        <v>45071</v>
      </c>
      <c r="C745" s="1" t="n">
        <v>46090</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5935-2023</t>
        </is>
      </c>
      <c r="B746" s="1" t="n">
        <v>44963</v>
      </c>
      <c r="C746" s="1" t="n">
        <v>46090</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11104-2023</t>
        </is>
      </c>
      <c r="B747" s="1" t="n">
        <v>44992</v>
      </c>
      <c r="C747" s="1" t="n">
        <v>46090</v>
      </c>
      <c r="D747" t="inlineStr">
        <is>
          <t>SÖDERMANLANDS LÄN</t>
        </is>
      </c>
      <c r="E747" t="inlineStr">
        <is>
          <t>KATRINEHOLM</t>
        </is>
      </c>
      <c r="F747" t="inlineStr">
        <is>
          <t>Allmännings- och besparingsskogar</t>
        </is>
      </c>
      <c r="G747" t="n">
        <v>7.8</v>
      </c>
      <c r="H747" t="n">
        <v>0</v>
      </c>
      <c r="I747" t="n">
        <v>0</v>
      </c>
      <c r="J747" t="n">
        <v>0</v>
      </c>
      <c r="K747" t="n">
        <v>0</v>
      </c>
      <c r="L747" t="n">
        <v>0</v>
      </c>
      <c r="M747" t="n">
        <v>0</v>
      </c>
      <c r="N747" t="n">
        <v>0</v>
      </c>
      <c r="O747" t="n">
        <v>0</v>
      </c>
      <c r="P747" t="n">
        <v>0</v>
      </c>
      <c r="Q747" t="n">
        <v>0</v>
      </c>
      <c r="R747" s="2" t="inlineStr"/>
    </row>
    <row r="748" ht="15" customHeight="1">
      <c r="A748" t="inlineStr">
        <is>
          <t>A 40159-2023</t>
        </is>
      </c>
      <c r="B748" s="1" t="n">
        <v>45169</v>
      </c>
      <c r="C748" s="1" t="n">
        <v>46090</v>
      </c>
      <c r="D748" t="inlineStr">
        <is>
          <t>SÖDERMANLANDS LÄN</t>
        </is>
      </c>
      <c r="E748" t="inlineStr">
        <is>
          <t>KATRINEHOLM</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36562-2023</t>
        </is>
      </c>
      <c r="B749" s="1" t="n">
        <v>45153</v>
      </c>
      <c r="C749" s="1" t="n">
        <v>46090</v>
      </c>
      <c r="D749" t="inlineStr">
        <is>
          <t>SÖDERMANLANDS LÄN</t>
        </is>
      </c>
      <c r="E749" t="inlineStr">
        <is>
          <t>KATRINEHOLM</t>
        </is>
      </c>
      <c r="G749" t="n">
        <v>5.8</v>
      </c>
      <c r="H749" t="n">
        <v>0</v>
      </c>
      <c r="I749" t="n">
        <v>0</v>
      </c>
      <c r="J749" t="n">
        <v>0</v>
      </c>
      <c r="K749" t="n">
        <v>0</v>
      </c>
      <c r="L749" t="n">
        <v>0</v>
      </c>
      <c r="M749" t="n">
        <v>0</v>
      </c>
      <c r="N749" t="n">
        <v>0</v>
      </c>
      <c r="O749" t="n">
        <v>0</v>
      </c>
      <c r="P749" t="n">
        <v>0</v>
      </c>
      <c r="Q749" t="n">
        <v>0</v>
      </c>
      <c r="R749" s="2" t="inlineStr"/>
    </row>
    <row r="750" ht="15" customHeight="1">
      <c r="A750" t="inlineStr">
        <is>
          <t>A 4872-2024</t>
        </is>
      </c>
      <c r="B750" s="1" t="n">
        <v>45329</v>
      </c>
      <c r="C750" s="1" t="n">
        <v>46090</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6611-2023</t>
        </is>
      </c>
      <c r="B751" s="1" t="n">
        <v>44963</v>
      </c>
      <c r="C751" s="1" t="n">
        <v>46090</v>
      </c>
      <c r="D751" t="inlineStr">
        <is>
          <t>SÖDERMANLANDS LÄN</t>
        </is>
      </c>
      <c r="E751" t="inlineStr">
        <is>
          <t>KATRINEHOLM</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25823-2023</t>
        </is>
      </c>
      <c r="B752" s="1" t="n">
        <v>45090.55078703703</v>
      </c>
      <c r="C752" s="1" t="n">
        <v>46090</v>
      </c>
      <c r="D752" t="inlineStr">
        <is>
          <t>SÖDERMANLANDS LÄN</t>
        </is>
      </c>
      <c r="E752" t="inlineStr">
        <is>
          <t>KATRINEHOLM</t>
        </is>
      </c>
      <c r="F752" t="inlineStr">
        <is>
          <t>Kyrkan</t>
        </is>
      </c>
      <c r="G752" t="n">
        <v>10.2</v>
      </c>
      <c r="H752" t="n">
        <v>0</v>
      </c>
      <c r="I752" t="n">
        <v>0</v>
      </c>
      <c r="J752" t="n">
        <v>0</v>
      </c>
      <c r="K752" t="n">
        <v>0</v>
      </c>
      <c r="L752" t="n">
        <v>0</v>
      </c>
      <c r="M752" t="n">
        <v>0</v>
      </c>
      <c r="N752" t="n">
        <v>0</v>
      </c>
      <c r="O752" t="n">
        <v>0</v>
      </c>
      <c r="P752" t="n">
        <v>0</v>
      </c>
      <c r="Q752" t="n">
        <v>0</v>
      </c>
      <c r="R752" s="2" t="inlineStr"/>
    </row>
    <row r="753" ht="15" customHeight="1">
      <c r="A753" t="inlineStr">
        <is>
          <t>A 61398-2024</t>
        </is>
      </c>
      <c r="B753" s="1" t="n">
        <v>45646.42608796297</v>
      </c>
      <c r="C753" s="1" t="n">
        <v>46090</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20480-2022</t>
        </is>
      </c>
      <c r="B754" s="1" t="n">
        <v>44699</v>
      </c>
      <c r="C754" s="1" t="n">
        <v>46090</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3060-2022</t>
        </is>
      </c>
      <c r="B755" s="1" t="n">
        <v>44582.40109953703</v>
      </c>
      <c r="C755" s="1" t="n">
        <v>46090</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3075-2022</t>
        </is>
      </c>
      <c r="B756" s="1" t="n">
        <v>44582</v>
      </c>
      <c r="C756" s="1" t="n">
        <v>46090</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13175-2024</t>
        </is>
      </c>
      <c r="B757" s="1" t="n">
        <v>45386</v>
      </c>
      <c r="C757" s="1" t="n">
        <v>46090</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26081-2024</t>
        </is>
      </c>
      <c r="B758" s="1" t="n">
        <v>45462</v>
      </c>
      <c r="C758" s="1" t="n">
        <v>46090</v>
      </c>
      <c r="D758" t="inlineStr">
        <is>
          <t>SÖDERMANLANDS LÄN</t>
        </is>
      </c>
      <c r="E758" t="inlineStr">
        <is>
          <t>KATRINEHOLM</t>
        </is>
      </c>
      <c r="G758" t="n">
        <v>4.1</v>
      </c>
      <c r="H758" t="n">
        <v>0</v>
      </c>
      <c r="I758" t="n">
        <v>0</v>
      </c>
      <c r="J758" t="n">
        <v>0</v>
      </c>
      <c r="K758" t="n">
        <v>0</v>
      </c>
      <c r="L758" t="n">
        <v>0</v>
      </c>
      <c r="M758" t="n">
        <v>0</v>
      </c>
      <c r="N758" t="n">
        <v>0</v>
      </c>
      <c r="O758" t="n">
        <v>0</v>
      </c>
      <c r="P758" t="n">
        <v>0</v>
      </c>
      <c r="Q758" t="n">
        <v>0</v>
      </c>
      <c r="R758" s="2" t="inlineStr"/>
    </row>
    <row r="759" ht="15" customHeight="1">
      <c r="A759" t="inlineStr">
        <is>
          <t>A 4667-2024</t>
        </is>
      </c>
      <c r="B759" s="1" t="n">
        <v>45328.47</v>
      </c>
      <c r="C759" s="1" t="n">
        <v>46090</v>
      </c>
      <c r="D759" t="inlineStr">
        <is>
          <t>SÖDERMANLANDS LÄN</t>
        </is>
      </c>
      <c r="E759" t="inlineStr">
        <is>
          <t>KATRINEHOLM</t>
        </is>
      </c>
      <c r="F759" t="inlineStr">
        <is>
          <t>Övriga Aktiebolag</t>
        </is>
      </c>
      <c r="G759" t="n">
        <v>10.2</v>
      </c>
      <c r="H759" t="n">
        <v>0</v>
      </c>
      <c r="I759" t="n">
        <v>0</v>
      </c>
      <c r="J759" t="n">
        <v>0</v>
      </c>
      <c r="K759" t="n">
        <v>0</v>
      </c>
      <c r="L759" t="n">
        <v>0</v>
      </c>
      <c r="M759" t="n">
        <v>0</v>
      </c>
      <c r="N759" t="n">
        <v>0</v>
      </c>
      <c r="O759" t="n">
        <v>0</v>
      </c>
      <c r="P759" t="n">
        <v>0</v>
      </c>
      <c r="Q759" t="n">
        <v>0</v>
      </c>
      <c r="R759" s="2" t="inlineStr"/>
    </row>
    <row r="760" ht="15" customHeight="1">
      <c r="A760" t="inlineStr">
        <is>
          <t>A 19107-2022</t>
        </is>
      </c>
      <c r="B760" s="1" t="n">
        <v>44691.54077546296</v>
      </c>
      <c r="C760" s="1" t="n">
        <v>46090</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19442-2023</t>
        </is>
      </c>
      <c r="B761" s="1" t="n">
        <v>45050</v>
      </c>
      <c r="C761" s="1" t="n">
        <v>46090</v>
      </c>
      <c r="D761" t="inlineStr">
        <is>
          <t>SÖDERMANLANDS LÄN</t>
        </is>
      </c>
      <c r="E761" t="inlineStr">
        <is>
          <t>KATRINEHOLM</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59093-2024</t>
        </is>
      </c>
      <c r="B762" s="1" t="n">
        <v>45636</v>
      </c>
      <c r="C762" s="1" t="n">
        <v>46090</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2606-2025</t>
        </is>
      </c>
      <c r="B763" s="1" t="n">
        <v>45674</v>
      </c>
      <c r="C763" s="1" t="n">
        <v>46090</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48763-2024</t>
        </is>
      </c>
      <c r="B764" s="1" t="n">
        <v>45593.60288194445</v>
      </c>
      <c r="C764" s="1" t="n">
        <v>46090</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38872-2024</t>
        </is>
      </c>
      <c r="B765" s="1" t="n">
        <v>45547</v>
      </c>
      <c r="C765" s="1" t="n">
        <v>46090</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41229-2022</t>
        </is>
      </c>
      <c r="B766" s="1" t="n">
        <v>44825</v>
      </c>
      <c r="C766" s="1" t="n">
        <v>46090</v>
      </c>
      <c r="D766" t="inlineStr">
        <is>
          <t>SÖDERMANLANDS LÄN</t>
        </is>
      </c>
      <c r="E766" t="inlineStr">
        <is>
          <t>KATRINEHOLM</t>
        </is>
      </c>
      <c r="G766" t="n">
        <v>3.8</v>
      </c>
      <c r="H766" t="n">
        <v>0</v>
      </c>
      <c r="I766" t="n">
        <v>0</v>
      </c>
      <c r="J766" t="n">
        <v>0</v>
      </c>
      <c r="K766" t="n">
        <v>0</v>
      </c>
      <c r="L766" t="n">
        <v>0</v>
      </c>
      <c r="M766" t="n">
        <v>0</v>
      </c>
      <c r="N766" t="n">
        <v>0</v>
      </c>
      <c r="O766" t="n">
        <v>0</v>
      </c>
      <c r="P766" t="n">
        <v>0</v>
      </c>
      <c r="Q766" t="n">
        <v>0</v>
      </c>
      <c r="R766" s="2" t="inlineStr"/>
    </row>
    <row r="767" ht="15" customHeight="1">
      <c r="A767" t="inlineStr">
        <is>
          <t>A 1091-2025</t>
        </is>
      </c>
      <c r="B767" s="1" t="n">
        <v>45666</v>
      </c>
      <c r="C767" s="1" t="n">
        <v>46090</v>
      </c>
      <c r="D767" t="inlineStr">
        <is>
          <t>SÖDERMANLANDS LÄN</t>
        </is>
      </c>
      <c r="E767" t="inlineStr">
        <is>
          <t>KATRINEHOLM</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39010-2021</t>
        </is>
      </c>
      <c r="B768" s="1" t="n">
        <v>44412</v>
      </c>
      <c r="C768" s="1" t="n">
        <v>46090</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6311-2025</t>
        </is>
      </c>
      <c r="B769" s="1" t="n">
        <v>45698</v>
      </c>
      <c r="C769" s="1" t="n">
        <v>46090</v>
      </c>
      <c r="D769" t="inlineStr">
        <is>
          <t>SÖDERMANLANDS LÄN</t>
        </is>
      </c>
      <c r="E769" t="inlineStr">
        <is>
          <t>KATRINEHOLM</t>
        </is>
      </c>
      <c r="G769" t="n">
        <v>0.3</v>
      </c>
      <c r="H769" t="n">
        <v>0</v>
      </c>
      <c r="I769" t="n">
        <v>0</v>
      </c>
      <c r="J769" t="n">
        <v>0</v>
      </c>
      <c r="K769" t="n">
        <v>0</v>
      </c>
      <c r="L769" t="n">
        <v>0</v>
      </c>
      <c r="M769" t="n">
        <v>0</v>
      </c>
      <c r="N769" t="n">
        <v>0</v>
      </c>
      <c r="O769" t="n">
        <v>0</v>
      </c>
      <c r="P769" t="n">
        <v>0</v>
      </c>
      <c r="Q769" t="n">
        <v>0</v>
      </c>
      <c r="R769" s="2" t="inlineStr"/>
    </row>
    <row r="770" ht="15" customHeight="1">
      <c r="A770" t="inlineStr">
        <is>
          <t>A 22113-2025</t>
        </is>
      </c>
      <c r="B770" s="1" t="n">
        <v>45785</v>
      </c>
      <c r="C770" s="1" t="n">
        <v>46090</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22119-2025</t>
        </is>
      </c>
      <c r="B771" s="1" t="n">
        <v>45785</v>
      </c>
      <c r="C771" s="1" t="n">
        <v>46090</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24983-2024</t>
        </is>
      </c>
      <c r="B772" s="1" t="n">
        <v>45461</v>
      </c>
      <c r="C772" s="1" t="n">
        <v>46090</v>
      </c>
      <c r="D772" t="inlineStr">
        <is>
          <t>SÖDERMANLANDS LÄN</t>
        </is>
      </c>
      <c r="E772" t="inlineStr">
        <is>
          <t>KATRINEHOLM</t>
        </is>
      </c>
      <c r="G772" t="n">
        <v>2.6</v>
      </c>
      <c r="H772" t="n">
        <v>0</v>
      </c>
      <c r="I772" t="n">
        <v>0</v>
      </c>
      <c r="J772" t="n">
        <v>0</v>
      </c>
      <c r="K772" t="n">
        <v>0</v>
      </c>
      <c r="L772" t="n">
        <v>0</v>
      </c>
      <c r="M772" t="n">
        <v>0</v>
      </c>
      <c r="N772" t="n">
        <v>0</v>
      </c>
      <c r="O772" t="n">
        <v>0</v>
      </c>
      <c r="P772" t="n">
        <v>0</v>
      </c>
      <c r="Q772" t="n">
        <v>0</v>
      </c>
      <c r="R772" s="2" t="inlineStr"/>
    </row>
    <row r="773" ht="15" customHeight="1">
      <c r="A773" t="inlineStr">
        <is>
          <t>A 22336-2025</t>
        </is>
      </c>
      <c r="B773" s="1" t="n">
        <v>45786.44217592593</v>
      </c>
      <c r="C773" s="1" t="n">
        <v>46090</v>
      </c>
      <c r="D773" t="inlineStr">
        <is>
          <t>SÖDERMANLANDS LÄN</t>
        </is>
      </c>
      <c r="E773" t="inlineStr">
        <is>
          <t>KATRINEHOLM</t>
        </is>
      </c>
      <c r="G773" t="n">
        <v>1.4</v>
      </c>
      <c r="H773" t="n">
        <v>0</v>
      </c>
      <c r="I773" t="n">
        <v>0</v>
      </c>
      <c r="J773" t="n">
        <v>0</v>
      </c>
      <c r="K773" t="n">
        <v>0</v>
      </c>
      <c r="L773" t="n">
        <v>0</v>
      </c>
      <c r="M773" t="n">
        <v>0</v>
      </c>
      <c r="N773" t="n">
        <v>0</v>
      </c>
      <c r="O773" t="n">
        <v>0</v>
      </c>
      <c r="P773" t="n">
        <v>0</v>
      </c>
      <c r="Q773" t="n">
        <v>0</v>
      </c>
      <c r="R773" s="2" t="inlineStr"/>
    </row>
    <row r="774" ht="15" customHeight="1">
      <c r="A774" t="inlineStr">
        <is>
          <t>A 32943-2024</t>
        </is>
      </c>
      <c r="B774" s="1" t="n">
        <v>45517</v>
      </c>
      <c r="C774" s="1" t="n">
        <v>46090</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row r="775" ht="15" customHeight="1">
      <c r="A775" t="inlineStr">
        <is>
          <t>A 22476-2025</t>
        </is>
      </c>
      <c r="B775" s="1" t="n">
        <v>45786</v>
      </c>
      <c r="C775" s="1" t="n">
        <v>46090</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23838-2021</t>
        </is>
      </c>
      <c r="B776" s="1" t="n">
        <v>44335</v>
      </c>
      <c r="C776" s="1" t="n">
        <v>46090</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c r="A777" t="inlineStr">
        <is>
          <t>A 23050-2025</t>
        </is>
      </c>
      <c r="B777" s="1" t="n">
        <v>45790.69971064815</v>
      </c>
      <c r="C777" s="1" t="n">
        <v>46090</v>
      </c>
      <c r="D777" t="inlineStr">
        <is>
          <t>SÖDERMANLANDS LÄN</t>
        </is>
      </c>
      <c r="E777" t="inlineStr">
        <is>
          <t>KATRINEHOLM</t>
        </is>
      </c>
      <c r="G777" t="n">
        <v>3.7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2026-03-09T11:18:18Z</dcterms:created>
  <dcterms:modified xmlns:dcterms="http://purl.org/dc/terms/" xmlns:xsi="http://www.w3.org/2001/XMLSchema-instance" xsi:type="dcterms:W3CDTF">2026-03-09T11:18:18Z</dcterms:modified>
</cp:coreProperties>
</file>