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46040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46040</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46040</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46040</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46040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46040</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46040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46040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46040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46040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46040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46040</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46040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46040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46040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46040</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37537-2022</t>
        </is>
      </c>
      <c r="B22" s="1" t="n">
        <v>44809</v>
      </c>
      <c r="C22" s="1" t="n">
        <v>46040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56897-2021</t>
        </is>
      </c>
      <c r="B23" s="1" t="n">
        <v>44481</v>
      </c>
      <c r="C23" s="1" t="n">
        <v>46040</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46040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46040</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46040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46040</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46040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24718-2025</t>
        </is>
      </c>
      <c r="B29" s="1" t="n">
        <v>45799</v>
      </c>
      <c r="C29" s="1" t="n">
        <v>46040</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46040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46040</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33801-2023</t>
        </is>
      </c>
      <c r="B36" s="1" t="n">
        <v>45133</v>
      </c>
      <c r="C36" s="1" t="n">
        <v>46040</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36220-2022</t>
        </is>
      </c>
      <c r="B37" s="1" t="n">
        <v>44803</v>
      </c>
      <c r="C37" s="1" t="n">
        <v>46040</v>
      </c>
      <c r="D37" t="inlineStr">
        <is>
          <t>SÖDERMANLANDS LÄN</t>
        </is>
      </c>
      <c r="E37" t="inlineStr">
        <is>
          <t>KATRINEHOLM</t>
        </is>
      </c>
      <c r="G37" t="n">
        <v>3.1</v>
      </c>
      <c r="H37" t="n">
        <v>0</v>
      </c>
      <c r="I37" t="n">
        <v>1</v>
      </c>
      <c r="J37" t="n">
        <v>0</v>
      </c>
      <c r="K37" t="n">
        <v>0</v>
      </c>
      <c r="L37" t="n">
        <v>0</v>
      </c>
      <c r="M37" t="n">
        <v>0</v>
      </c>
      <c r="N37" t="n">
        <v>0</v>
      </c>
      <c r="O37" t="n">
        <v>0</v>
      </c>
      <c r="P37" t="n">
        <v>0</v>
      </c>
      <c r="Q37" t="n">
        <v>1</v>
      </c>
      <c r="R37" s="2" t="inlineStr">
        <is>
          <t>Granbräken</t>
        </is>
      </c>
      <c r="S37">
        <f>HYPERLINK("https://klasma.github.io/Logging_0483/artfynd/A 36220-2022 artfynd.xlsx", "A 36220-2022")</f>
        <v/>
      </c>
      <c r="T37">
        <f>HYPERLINK("https://klasma.github.io/Logging_0483/kartor/A 36220-2022 karta.png", "A 36220-2022")</f>
        <v/>
      </c>
      <c r="V37">
        <f>HYPERLINK("https://klasma.github.io/Logging_0483/klagomål/A 36220-2022 FSC-klagomål.docx", "A 36220-2022")</f>
        <v/>
      </c>
      <c r="W37">
        <f>HYPERLINK("https://klasma.github.io/Logging_0483/klagomålsmail/A 36220-2022 FSC-klagomål mail.docx", "A 36220-2022")</f>
        <v/>
      </c>
      <c r="X37">
        <f>HYPERLINK("https://klasma.github.io/Logging_0483/tillsyn/A 36220-2022 tillsynsbegäran.docx", "A 36220-2022")</f>
        <v/>
      </c>
      <c r="Y37">
        <f>HYPERLINK("https://klasma.github.io/Logging_0483/tillsynsmail/A 36220-2022 tillsynsbegäran mail.docx", "A 36220-2022")</f>
        <v/>
      </c>
    </row>
    <row r="38" ht="15" customHeight="1">
      <c r="A38" t="inlineStr">
        <is>
          <t>A 63946-2025</t>
        </is>
      </c>
      <c r="B38" s="1" t="n">
        <v>46010</v>
      </c>
      <c r="C38" s="1" t="n">
        <v>46040</v>
      </c>
      <c r="D38" t="inlineStr">
        <is>
          <t>SÖDERMANLANDS LÄN</t>
        </is>
      </c>
      <c r="E38" t="inlineStr">
        <is>
          <t>KATRINEHOLM</t>
        </is>
      </c>
      <c r="F38" t="inlineStr">
        <is>
          <t>Allmännings- och besparingsskogar</t>
        </is>
      </c>
      <c r="G38" t="n">
        <v>2.4</v>
      </c>
      <c r="H38" t="n">
        <v>0</v>
      </c>
      <c r="I38" t="n">
        <v>0</v>
      </c>
      <c r="J38" t="n">
        <v>1</v>
      </c>
      <c r="K38" t="n">
        <v>0</v>
      </c>
      <c r="L38" t="n">
        <v>0</v>
      </c>
      <c r="M38" t="n">
        <v>0</v>
      </c>
      <c r="N38" t="n">
        <v>0</v>
      </c>
      <c r="O38" t="n">
        <v>1</v>
      </c>
      <c r="P38" t="n">
        <v>0</v>
      </c>
      <c r="Q38" t="n">
        <v>1</v>
      </c>
      <c r="R38" s="2" t="inlineStr">
        <is>
          <t>Tallticka</t>
        </is>
      </c>
      <c r="S38">
        <f>HYPERLINK("https://klasma.github.io/Logging_0483/artfynd/A 63946-2025 artfynd.xlsx", "A 63946-2025")</f>
        <v/>
      </c>
      <c r="T38">
        <f>HYPERLINK("https://klasma.github.io/Logging_0483/kartor/A 63946-2025 karta.png", "A 63946-2025")</f>
        <v/>
      </c>
      <c r="V38">
        <f>HYPERLINK("https://klasma.github.io/Logging_0483/klagomål/A 63946-2025 FSC-klagomål.docx", "A 63946-2025")</f>
        <v/>
      </c>
      <c r="W38">
        <f>HYPERLINK("https://klasma.github.io/Logging_0483/klagomålsmail/A 63946-2025 FSC-klagomål mail.docx", "A 63946-2025")</f>
        <v/>
      </c>
      <c r="X38">
        <f>HYPERLINK("https://klasma.github.io/Logging_0483/tillsyn/A 63946-2025 tillsynsbegäran.docx", "A 63946-2025")</f>
        <v/>
      </c>
      <c r="Y38">
        <f>HYPERLINK("https://klasma.github.io/Logging_0483/tillsynsmail/A 63946-2025 tillsynsbegäran mail.docx", "A 63946-2025")</f>
        <v/>
      </c>
    </row>
    <row r="39" ht="15" customHeight="1">
      <c r="A39" t="inlineStr">
        <is>
          <t>A 45530-2023</t>
        </is>
      </c>
      <c r="B39" s="1" t="n">
        <v>45188</v>
      </c>
      <c r="C39" s="1" t="n">
        <v>46040</v>
      </c>
      <c r="D39" t="inlineStr">
        <is>
          <t>SÖDERMANLANDS LÄN</t>
        </is>
      </c>
      <c r="E39" t="inlineStr">
        <is>
          <t>KATRINEHOLM</t>
        </is>
      </c>
      <c r="F39" t="inlineStr">
        <is>
          <t>Allmännings- och besparingsskogar</t>
        </is>
      </c>
      <c r="G39" t="n">
        <v>37</v>
      </c>
      <c r="H39" t="n">
        <v>1</v>
      </c>
      <c r="I39" t="n">
        <v>0</v>
      </c>
      <c r="J39" t="n">
        <v>0</v>
      </c>
      <c r="K39" t="n">
        <v>0</v>
      </c>
      <c r="L39" t="n">
        <v>0</v>
      </c>
      <c r="M39" t="n">
        <v>0</v>
      </c>
      <c r="N39" t="n">
        <v>0</v>
      </c>
      <c r="O39" t="n">
        <v>0</v>
      </c>
      <c r="P39" t="n">
        <v>0</v>
      </c>
      <c r="Q39" t="n">
        <v>1</v>
      </c>
      <c r="R39" s="2" t="inlineStr">
        <is>
          <t>Fläcknycklar</t>
        </is>
      </c>
      <c r="S39">
        <f>HYPERLINK("https://klasma.github.io/Logging_0483/artfynd/A 45530-2023 artfynd.xlsx", "A 45530-2023")</f>
        <v/>
      </c>
      <c r="T39">
        <f>HYPERLINK("https://klasma.github.io/Logging_0483/kartor/A 45530-2023 karta.png", "A 45530-2023")</f>
        <v/>
      </c>
      <c r="V39">
        <f>HYPERLINK("https://klasma.github.io/Logging_0483/klagomål/A 45530-2023 FSC-klagomål.docx", "A 45530-2023")</f>
        <v/>
      </c>
      <c r="W39">
        <f>HYPERLINK("https://klasma.github.io/Logging_0483/klagomålsmail/A 45530-2023 FSC-klagomål mail.docx", "A 45530-2023")</f>
        <v/>
      </c>
      <c r="X39">
        <f>HYPERLINK("https://klasma.github.io/Logging_0483/tillsyn/A 45530-2023 tillsynsbegäran.docx", "A 45530-2023")</f>
        <v/>
      </c>
      <c r="Y39">
        <f>HYPERLINK("https://klasma.github.io/Logging_0483/tillsynsmail/A 45530-2023 tillsynsbegäran mail.docx", "A 45530-2023")</f>
        <v/>
      </c>
    </row>
    <row r="40" ht="15" customHeight="1">
      <c r="A40" t="inlineStr">
        <is>
          <t>A 42055-2025</t>
        </is>
      </c>
      <c r="B40" s="1" t="n">
        <v>45903</v>
      </c>
      <c r="C40" s="1" t="n">
        <v>46040</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41980-2025</t>
        </is>
      </c>
      <c r="B41" s="1" t="n">
        <v>45903</v>
      </c>
      <c r="C41" s="1" t="n">
        <v>46040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46040</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48199-2025</t>
        </is>
      </c>
      <c r="B43" s="1" t="n">
        <v>45933.47856481482</v>
      </c>
      <c r="C43" s="1" t="n">
        <v>46040</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56074-2022</t>
        </is>
      </c>
      <c r="B44" s="1" t="n">
        <v>44889</v>
      </c>
      <c r="C44" s="1" t="n">
        <v>46040</v>
      </c>
      <c r="D44" t="inlineStr">
        <is>
          <t>SÖDERMANLANDS LÄN</t>
        </is>
      </c>
      <c r="E44" t="inlineStr">
        <is>
          <t>KATRINEHOLM</t>
        </is>
      </c>
      <c r="G44" t="n">
        <v>12.5</v>
      </c>
      <c r="H44" t="n">
        <v>1</v>
      </c>
      <c r="I44" t="n">
        <v>0</v>
      </c>
      <c r="J44" t="n">
        <v>0</v>
      </c>
      <c r="K44" t="n">
        <v>0</v>
      </c>
      <c r="L44" t="n">
        <v>0</v>
      </c>
      <c r="M44" t="n">
        <v>0</v>
      </c>
      <c r="N44" t="n">
        <v>0</v>
      </c>
      <c r="O44" t="n">
        <v>0</v>
      </c>
      <c r="P44" t="n">
        <v>0</v>
      </c>
      <c r="Q44" t="n">
        <v>1</v>
      </c>
      <c r="R44" s="2" t="inlineStr">
        <is>
          <t>Revlummer</t>
        </is>
      </c>
      <c r="S44">
        <f>HYPERLINK("https://klasma.github.io/Logging_0483/artfynd/A 56074-2022 artfynd.xlsx", "A 56074-2022")</f>
        <v/>
      </c>
      <c r="T44">
        <f>HYPERLINK("https://klasma.github.io/Logging_0483/kartor/A 56074-2022 karta.png", "A 56074-2022")</f>
        <v/>
      </c>
      <c r="V44">
        <f>HYPERLINK("https://klasma.github.io/Logging_0483/klagomål/A 56074-2022 FSC-klagomål.docx", "A 56074-2022")</f>
        <v/>
      </c>
      <c r="W44">
        <f>HYPERLINK("https://klasma.github.io/Logging_0483/klagomålsmail/A 56074-2022 FSC-klagomål mail.docx", "A 56074-2022")</f>
        <v/>
      </c>
      <c r="X44">
        <f>HYPERLINK("https://klasma.github.io/Logging_0483/tillsyn/A 56074-2022 tillsynsbegäran.docx", "A 56074-2022")</f>
        <v/>
      </c>
      <c r="Y44">
        <f>HYPERLINK("https://klasma.github.io/Logging_0483/tillsynsmail/A 56074-2022 tillsynsbegäran mail.docx", "A 56074-2022")</f>
        <v/>
      </c>
    </row>
    <row r="45" ht="15" customHeight="1">
      <c r="A45" t="inlineStr">
        <is>
          <t>A 7305-2024</t>
        </is>
      </c>
      <c r="B45" s="1" t="n">
        <v>45344</v>
      </c>
      <c r="C45" s="1" t="n">
        <v>46040</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53990-2023</t>
        </is>
      </c>
      <c r="B46" s="1" t="n">
        <v>45231</v>
      </c>
      <c r="C46" s="1" t="n">
        <v>46040</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53154-2023</t>
        </is>
      </c>
      <c r="B47" s="1" t="n">
        <v>45229</v>
      </c>
      <c r="C47" s="1" t="n">
        <v>46040</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55700-2025</t>
        </is>
      </c>
      <c r="B48" s="1" t="n">
        <v>45972.45605324074</v>
      </c>
      <c r="C48" s="1" t="n">
        <v>46040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8917-2024</t>
        </is>
      </c>
      <c r="B49" s="1" t="n">
        <v>45357.37618055556</v>
      </c>
      <c r="C49" s="1" t="n">
        <v>46040</v>
      </c>
      <c r="D49" t="inlineStr">
        <is>
          <t>SÖDERMANLANDS LÄN</t>
        </is>
      </c>
      <c r="E49" t="inlineStr">
        <is>
          <t>KATRINEHOLM</t>
        </is>
      </c>
      <c r="G49" t="n">
        <v>3</v>
      </c>
      <c r="H49" t="n">
        <v>1</v>
      </c>
      <c r="I49" t="n">
        <v>0</v>
      </c>
      <c r="J49" t="n">
        <v>0</v>
      </c>
      <c r="K49" t="n">
        <v>0</v>
      </c>
      <c r="L49" t="n">
        <v>0</v>
      </c>
      <c r="M49" t="n">
        <v>0</v>
      </c>
      <c r="N49" t="n">
        <v>0</v>
      </c>
      <c r="O49" t="n">
        <v>0</v>
      </c>
      <c r="P49" t="n">
        <v>0</v>
      </c>
      <c r="Q49" t="n">
        <v>1</v>
      </c>
      <c r="R49" s="2" t="inlineStr">
        <is>
          <t>Gröngöling</t>
        </is>
      </c>
      <c r="S49">
        <f>HYPERLINK("https://klasma.github.io/Logging_0483/artfynd/A 8917-2024 artfynd.xlsx", "A 8917-2024")</f>
        <v/>
      </c>
      <c r="T49">
        <f>HYPERLINK("https://klasma.github.io/Logging_0483/kartor/A 8917-2024 karta.png", "A 8917-2024")</f>
        <v/>
      </c>
      <c r="V49">
        <f>HYPERLINK("https://klasma.github.io/Logging_0483/klagomål/A 8917-2024 FSC-klagomål.docx", "A 8917-2024")</f>
        <v/>
      </c>
      <c r="W49">
        <f>HYPERLINK("https://klasma.github.io/Logging_0483/klagomålsmail/A 8917-2024 FSC-klagomål mail.docx", "A 8917-2024")</f>
        <v/>
      </c>
      <c r="X49">
        <f>HYPERLINK("https://klasma.github.io/Logging_0483/tillsyn/A 8917-2024 tillsynsbegäran.docx", "A 8917-2024")</f>
        <v/>
      </c>
      <c r="Y49">
        <f>HYPERLINK("https://klasma.github.io/Logging_0483/tillsynsmail/A 8917-2024 tillsynsbegäran mail.docx", "A 8917-2024")</f>
        <v/>
      </c>
      <c r="Z49">
        <f>HYPERLINK("https://klasma.github.io/Logging_0483/fåglar/A 8917-2024 prioriterade fågelarter.docx", "A 8917-2024")</f>
        <v/>
      </c>
    </row>
    <row r="50" ht="15" customHeight="1">
      <c r="A50" t="inlineStr">
        <is>
          <t>A 11890-2023</t>
        </is>
      </c>
      <c r="B50" s="1" t="n">
        <v>44995</v>
      </c>
      <c r="C50" s="1" t="n">
        <v>46040</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16458-2022</t>
        </is>
      </c>
      <c r="B51" s="1" t="n">
        <v>44671</v>
      </c>
      <c r="C51" s="1" t="n">
        <v>46040</v>
      </c>
      <c r="D51" t="inlineStr">
        <is>
          <t>SÖDERMANLANDS LÄN</t>
        </is>
      </c>
      <c r="E51" t="inlineStr">
        <is>
          <t>KATRINEHOLM</t>
        </is>
      </c>
      <c r="G51" t="n">
        <v>16.4</v>
      </c>
      <c r="H51" t="n">
        <v>1</v>
      </c>
      <c r="I51" t="n">
        <v>0</v>
      </c>
      <c r="J51" t="n">
        <v>1</v>
      </c>
      <c r="K51" t="n">
        <v>0</v>
      </c>
      <c r="L51" t="n">
        <v>0</v>
      </c>
      <c r="M51" t="n">
        <v>0</v>
      </c>
      <c r="N51" t="n">
        <v>0</v>
      </c>
      <c r="O51" t="n">
        <v>1</v>
      </c>
      <c r="P51" t="n">
        <v>0</v>
      </c>
      <c r="Q51" t="n">
        <v>1</v>
      </c>
      <c r="R51" s="2" t="inlineStr">
        <is>
          <t>Duvhök</t>
        </is>
      </c>
      <c r="S51">
        <f>HYPERLINK("https://klasma.github.io/Logging_0483/artfynd/A 16458-2022 artfynd.xlsx", "A 16458-2022")</f>
        <v/>
      </c>
      <c r="T51">
        <f>HYPERLINK("https://klasma.github.io/Logging_0483/kartor/A 16458-2022 karta.png", "A 16458-2022")</f>
        <v/>
      </c>
      <c r="V51">
        <f>HYPERLINK("https://klasma.github.io/Logging_0483/klagomål/A 16458-2022 FSC-klagomål.docx", "A 16458-2022")</f>
        <v/>
      </c>
      <c r="W51">
        <f>HYPERLINK("https://klasma.github.io/Logging_0483/klagomålsmail/A 16458-2022 FSC-klagomål mail.docx", "A 16458-2022")</f>
        <v/>
      </c>
      <c r="X51">
        <f>HYPERLINK("https://klasma.github.io/Logging_0483/tillsyn/A 16458-2022 tillsynsbegäran.docx", "A 16458-2022")</f>
        <v/>
      </c>
      <c r="Y51">
        <f>HYPERLINK("https://klasma.github.io/Logging_0483/tillsynsmail/A 16458-2022 tillsynsbegäran mail.docx", "A 16458-2022")</f>
        <v/>
      </c>
      <c r="Z51">
        <f>HYPERLINK("https://klasma.github.io/Logging_0483/fåglar/A 16458-2022 prioriterade fågelarter.docx", "A 16458-2022")</f>
        <v/>
      </c>
    </row>
    <row r="52" ht="15" customHeight="1">
      <c r="A52" t="inlineStr">
        <is>
          <t>A 23568-2023</t>
        </is>
      </c>
      <c r="B52" s="1" t="n">
        <v>45077</v>
      </c>
      <c r="C52" s="1" t="n">
        <v>46040</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6076-2022</t>
        </is>
      </c>
      <c r="B53" s="1" t="n">
        <v>44599</v>
      </c>
      <c r="C53" s="1" t="n">
        <v>46040</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57519-2021</t>
        </is>
      </c>
      <c r="B54" s="1" t="n">
        <v>44483</v>
      </c>
      <c r="C54" s="1" t="n">
        <v>46040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42745-2022</t>
        </is>
      </c>
      <c r="B55" s="1" t="n">
        <v>44831</v>
      </c>
      <c r="C55" s="1" t="n">
        <v>46040</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44486-2023</t>
        </is>
      </c>
      <c r="B56" s="1" t="n">
        <v>45183</v>
      </c>
      <c r="C56" s="1" t="n">
        <v>46040</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12238-2023</t>
        </is>
      </c>
      <c r="B57" s="1" t="n">
        <v>44995</v>
      </c>
      <c r="C57" s="1" t="n">
        <v>46040</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44632-2023</t>
        </is>
      </c>
      <c r="B58" s="1" t="n">
        <v>45184</v>
      </c>
      <c r="C58" s="1" t="n">
        <v>46040</v>
      </c>
      <c r="D58" t="inlineStr">
        <is>
          <t>SÖDERMANLANDS LÄN</t>
        </is>
      </c>
      <c r="E58" t="inlineStr">
        <is>
          <t>KATRINEHOLM</t>
        </is>
      </c>
      <c r="G58" t="n">
        <v>6.2</v>
      </c>
      <c r="H58" t="n">
        <v>0</v>
      </c>
      <c r="I58" t="n">
        <v>0</v>
      </c>
      <c r="J58" t="n">
        <v>1</v>
      </c>
      <c r="K58" t="n">
        <v>0</v>
      </c>
      <c r="L58" t="n">
        <v>0</v>
      </c>
      <c r="M58" t="n">
        <v>0</v>
      </c>
      <c r="N58" t="n">
        <v>0</v>
      </c>
      <c r="O58" t="n">
        <v>1</v>
      </c>
      <c r="P58" t="n">
        <v>0</v>
      </c>
      <c r="Q58" t="n">
        <v>1</v>
      </c>
      <c r="R58" s="2" t="inlineStr">
        <is>
          <t>Motaggsvamp</t>
        </is>
      </c>
      <c r="S58">
        <f>HYPERLINK("https://klasma.github.io/Logging_0483/artfynd/A 44632-2023 artfynd.xlsx", "A 44632-2023")</f>
        <v/>
      </c>
      <c r="T58">
        <f>HYPERLINK("https://klasma.github.io/Logging_0483/kartor/A 44632-2023 karta.png", "A 44632-2023")</f>
        <v/>
      </c>
      <c r="V58">
        <f>HYPERLINK("https://klasma.github.io/Logging_0483/klagomål/A 44632-2023 FSC-klagomål.docx", "A 44632-2023")</f>
        <v/>
      </c>
      <c r="W58">
        <f>HYPERLINK("https://klasma.github.io/Logging_0483/klagomålsmail/A 44632-2023 FSC-klagomål mail.docx", "A 44632-2023")</f>
        <v/>
      </c>
      <c r="X58">
        <f>HYPERLINK("https://klasma.github.io/Logging_0483/tillsyn/A 44632-2023 tillsynsbegäran.docx", "A 44632-2023")</f>
        <v/>
      </c>
      <c r="Y58">
        <f>HYPERLINK("https://klasma.github.io/Logging_0483/tillsynsmail/A 44632-2023 tillsynsbegäran mail.docx", "A 44632-2023")</f>
        <v/>
      </c>
    </row>
    <row r="59" ht="15" customHeight="1">
      <c r="A59" t="inlineStr">
        <is>
          <t>A 28985-2022</t>
        </is>
      </c>
      <c r="B59" s="1" t="n">
        <v>44749</v>
      </c>
      <c r="C59" s="1" t="n">
        <v>46040</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46040</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46040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46040</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35163-2025</t>
        </is>
      </c>
      <c r="B63" s="1" t="n">
        <v>45852.71136574074</v>
      </c>
      <c r="C63" s="1" t="n">
        <v>46040</v>
      </c>
      <c r="D63" t="inlineStr">
        <is>
          <t>SÖDERMANLANDS LÄN</t>
        </is>
      </c>
      <c r="E63" t="inlineStr">
        <is>
          <t>KATRINEHOLM</t>
        </is>
      </c>
      <c r="F63" t="inlineStr">
        <is>
          <t>Övriga Aktiebolag</t>
        </is>
      </c>
      <c r="G63" t="n">
        <v>1.1</v>
      </c>
      <c r="H63" t="n">
        <v>0</v>
      </c>
      <c r="I63" t="n">
        <v>1</v>
      </c>
      <c r="J63" t="n">
        <v>0</v>
      </c>
      <c r="K63" t="n">
        <v>0</v>
      </c>
      <c r="L63" t="n">
        <v>0</v>
      </c>
      <c r="M63" t="n">
        <v>0</v>
      </c>
      <c r="N63" t="n">
        <v>0</v>
      </c>
      <c r="O63" t="n">
        <v>0</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36856-2021</t>
        </is>
      </c>
      <c r="B64" s="1" t="n">
        <v>44393</v>
      </c>
      <c r="C64" s="1" t="n">
        <v>46040</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46040</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46040</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46040</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46040</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46040</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46040</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46040</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46040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46040</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46040</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46040</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46040</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46040</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11893-2021</t>
        </is>
      </c>
      <c r="B78" s="1" t="n">
        <v>44265</v>
      </c>
      <c r="C78" s="1" t="n">
        <v>46040</v>
      </c>
      <c r="D78" t="inlineStr">
        <is>
          <t>SÖDERMANLANDS LÄN</t>
        </is>
      </c>
      <c r="E78" t="inlineStr">
        <is>
          <t>KATRINEHOLM</t>
        </is>
      </c>
      <c r="G78" t="n">
        <v>7.1</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46040</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46040</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46040</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46040</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46040</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41141-2021</t>
        </is>
      </c>
      <c r="B84" s="1" t="n">
        <v>44423</v>
      </c>
      <c r="C84" s="1" t="n">
        <v>46040</v>
      </c>
      <c r="D84" t="inlineStr">
        <is>
          <t>SÖDERMANLANDS LÄN</t>
        </is>
      </c>
      <c r="E84" t="inlineStr">
        <is>
          <t>KATRINEHOLM</t>
        </is>
      </c>
      <c r="G84" t="n">
        <v>1.8</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46040</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46040</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46040</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46040</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6145-2022</t>
        </is>
      </c>
      <c r="B89" s="1" t="n">
        <v>44599</v>
      </c>
      <c r="C89" s="1" t="n">
        <v>46040</v>
      </c>
      <c r="D89" t="inlineStr">
        <is>
          <t>SÖDERMANLANDS LÄN</t>
        </is>
      </c>
      <c r="E89" t="inlineStr">
        <is>
          <t>KATRINEHOLM</t>
        </is>
      </c>
      <c r="G89" t="n">
        <v>2.3</v>
      </c>
      <c r="H89" t="n">
        <v>0</v>
      </c>
      <c r="I89" t="n">
        <v>0</v>
      </c>
      <c r="J89" t="n">
        <v>0</v>
      </c>
      <c r="K89" t="n">
        <v>0</v>
      </c>
      <c r="L89" t="n">
        <v>0</v>
      </c>
      <c r="M89" t="n">
        <v>0</v>
      </c>
      <c r="N89" t="n">
        <v>0</v>
      </c>
      <c r="O89" t="n">
        <v>0</v>
      </c>
      <c r="P89" t="n">
        <v>0</v>
      </c>
      <c r="Q89" t="n">
        <v>0</v>
      </c>
      <c r="R89" s="2" t="inlineStr"/>
    </row>
    <row r="90" ht="15" customHeight="1">
      <c r="A90" t="inlineStr">
        <is>
          <t>A 11024-2022</t>
        </is>
      </c>
      <c r="B90" s="1" t="n">
        <v>44628</v>
      </c>
      <c r="C90" s="1" t="n">
        <v>46040</v>
      </c>
      <c r="D90" t="inlineStr">
        <is>
          <t>SÖDERMANLANDS LÄN</t>
        </is>
      </c>
      <c r="E90" t="inlineStr">
        <is>
          <t>KATRINEHOLM</t>
        </is>
      </c>
      <c r="G90" t="n">
        <v>0.4</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46040</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46040</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46040</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46040</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46040</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46040</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46040</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46040</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46040</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46040</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46040</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46040</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46040</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3572-2022</t>
        </is>
      </c>
      <c r="B104" s="1" t="n">
        <v>44585</v>
      </c>
      <c r="C104" s="1" t="n">
        <v>46040</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46040</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46040</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46040</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46040</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9786-2022</t>
        </is>
      </c>
      <c r="B109" s="1" t="n">
        <v>44619</v>
      </c>
      <c r="C109" s="1" t="n">
        <v>46040</v>
      </c>
      <c r="D109" t="inlineStr">
        <is>
          <t>SÖDERMANLANDS LÄN</t>
        </is>
      </c>
      <c r="E109" t="inlineStr">
        <is>
          <t>KATRINEHOLM</t>
        </is>
      </c>
      <c r="G109" t="n">
        <v>1.4</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46040</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46040</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46040</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46040</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46040</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46040</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46040</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46040</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46040</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46040</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46040</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46040</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46040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46040</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46040</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46040</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46040</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46040</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46040</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46040</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46040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46040</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46040</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46040</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46040</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46040</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46040</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46040</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46040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46040</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46040</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46040</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46040</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46040</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46040</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46040</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46040</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46040</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46040</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46040</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46040</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46040</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46040</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46040</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46040</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46040</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46040</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46040</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46040</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46040</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46040</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46040</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46040</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46040</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46040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46040</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46040</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46040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46040</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46040</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46040</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46040</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46040</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46040</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44012-2022</t>
        </is>
      </c>
      <c r="B174" s="1" t="n">
        <v>44838</v>
      </c>
      <c r="C174" s="1" t="n">
        <v>46040</v>
      </c>
      <c r="D174" t="inlineStr">
        <is>
          <t>SÖDERMANLANDS LÄN</t>
        </is>
      </c>
      <c r="E174" t="inlineStr">
        <is>
          <t>KATRINEHOLM</t>
        </is>
      </c>
      <c r="G174" t="n">
        <v>0.4</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46040</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46040</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46040</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46040</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46040</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46040</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46040</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46040</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46040</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30276-2023</t>
        </is>
      </c>
      <c r="B184" s="1" t="n">
        <v>45110</v>
      </c>
      <c r="C184" s="1" t="n">
        <v>46040</v>
      </c>
      <c r="D184" t="inlineStr">
        <is>
          <t>SÖDERMANLANDS LÄN</t>
        </is>
      </c>
      <c r="E184" t="inlineStr">
        <is>
          <t>KATRINEHOLM</t>
        </is>
      </c>
      <c r="G184" t="n">
        <v>2.3</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46040</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35228-2025</t>
        </is>
      </c>
      <c r="B186" s="1" t="n">
        <v>45853</v>
      </c>
      <c r="C186" s="1" t="n">
        <v>46040</v>
      </c>
      <c r="D186" t="inlineStr">
        <is>
          <t>SÖDERMANLANDS LÄN</t>
        </is>
      </c>
      <c r="E186" t="inlineStr">
        <is>
          <t>KATRINEHOLM</t>
        </is>
      </c>
      <c r="G186" t="n">
        <v>1.1</v>
      </c>
      <c r="H186" t="n">
        <v>0</v>
      </c>
      <c r="I186" t="n">
        <v>0</v>
      </c>
      <c r="J186" t="n">
        <v>0</v>
      </c>
      <c r="K186" t="n">
        <v>0</v>
      </c>
      <c r="L186" t="n">
        <v>0</v>
      </c>
      <c r="M186" t="n">
        <v>0</v>
      </c>
      <c r="N186" t="n">
        <v>0</v>
      </c>
      <c r="O186" t="n">
        <v>0</v>
      </c>
      <c r="P186" t="n">
        <v>0</v>
      </c>
      <c r="Q186" t="n">
        <v>0</v>
      </c>
      <c r="R186" s="2" t="inlineStr"/>
    </row>
    <row r="187" ht="15" customHeight="1">
      <c r="A187" t="inlineStr">
        <is>
          <t>A 51885-2022</t>
        </is>
      </c>
      <c r="B187" s="1" t="n">
        <v>44872.60384259259</v>
      </c>
      <c r="C187" s="1" t="n">
        <v>46040</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42735-2022</t>
        </is>
      </c>
      <c r="B188" s="1" t="n">
        <v>44832</v>
      </c>
      <c r="C188" s="1" t="n">
        <v>46040</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46040</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57265-2022</t>
        </is>
      </c>
      <c r="B190" s="1" t="n">
        <v>44895</v>
      </c>
      <c r="C190" s="1" t="n">
        <v>46040</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36590-2025</t>
        </is>
      </c>
      <c r="B191" s="1" t="n">
        <v>45870</v>
      </c>
      <c r="C191" s="1" t="n">
        <v>46040</v>
      </c>
      <c r="D191" t="inlineStr">
        <is>
          <t>SÖDERMANLANDS LÄN</t>
        </is>
      </c>
      <c r="E191" t="inlineStr">
        <is>
          <t>KATRINEHOLM</t>
        </is>
      </c>
      <c r="G191" t="n">
        <v>2</v>
      </c>
      <c r="H191" t="n">
        <v>0</v>
      </c>
      <c r="I191" t="n">
        <v>0</v>
      </c>
      <c r="J191" t="n">
        <v>0</v>
      </c>
      <c r="K191" t="n">
        <v>0</v>
      </c>
      <c r="L191" t="n">
        <v>0</v>
      </c>
      <c r="M191" t="n">
        <v>0</v>
      </c>
      <c r="N191" t="n">
        <v>0</v>
      </c>
      <c r="O191" t="n">
        <v>0</v>
      </c>
      <c r="P191" t="n">
        <v>0</v>
      </c>
      <c r="Q191" t="n">
        <v>0</v>
      </c>
      <c r="R191" s="2" t="inlineStr"/>
    </row>
    <row r="192" ht="15" customHeight="1">
      <c r="A192" t="inlineStr">
        <is>
          <t>A 50316-2023</t>
        </is>
      </c>
      <c r="B192" s="1" t="n">
        <v>45209</v>
      </c>
      <c r="C192" s="1" t="n">
        <v>46040</v>
      </c>
      <c r="D192" t="inlineStr">
        <is>
          <t>SÖDERMANLANDS LÄN</t>
        </is>
      </c>
      <c r="E192" t="inlineStr">
        <is>
          <t>KATRINEHOLM</t>
        </is>
      </c>
      <c r="G192" t="n">
        <v>1.9</v>
      </c>
      <c r="H192" t="n">
        <v>0</v>
      </c>
      <c r="I192" t="n">
        <v>0</v>
      </c>
      <c r="J192" t="n">
        <v>0</v>
      </c>
      <c r="K192" t="n">
        <v>0</v>
      </c>
      <c r="L192" t="n">
        <v>0</v>
      </c>
      <c r="M192" t="n">
        <v>0</v>
      </c>
      <c r="N192" t="n">
        <v>0</v>
      </c>
      <c r="O192" t="n">
        <v>0</v>
      </c>
      <c r="P192" t="n">
        <v>0</v>
      </c>
      <c r="Q192" t="n">
        <v>0</v>
      </c>
      <c r="R192" s="2" t="inlineStr"/>
    </row>
    <row r="193" ht="15" customHeight="1">
      <c r="A193" t="inlineStr">
        <is>
          <t>A 45038-2022</t>
        </is>
      </c>
      <c r="B193" s="1" t="n">
        <v>44840</v>
      </c>
      <c r="C193" s="1" t="n">
        <v>46040</v>
      </c>
      <c r="D193" t="inlineStr">
        <is>
          <t>SÖDERMANLANDS LÄN</t>
        </is>
      </c>
      <c r="E193" t="inlineStr">
        <is>
          <t>KATRINEHOLM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52857-2021</t>
        </is>
      </c>
      <c r="B194" s="1" t="n">
        <v>44466</v>
      </c>
      <c r="C194" s="1" t="n">
        <v>46040</v>
      </c>
      <c r="D194" t="inlineStr">
        <is>
          <t>SÖDERMANLANDS LÄN</t>
        </is>
      </c>
      <c r="E194" t="inlineStr">
        <is>
          <t>KATRINEHOLM</t>
        </is>
      </c>
      <c r="G194" t="n">
        <v>0.8</v>
      </c>
      <c r="H194" t="n">
        <v>0</v>
      </c>
      <c r="I194" t="n">
        <v>0</v>
      </c>
      <c r="J194" t="n">
        <v>0</v>
      </c>
      <c r="K194" t="n">
        <v>0</v>
      </c>
      <c r="L194" t="n">
        <v>0</v>
      </c>
      <c r="M194" t="n">
        <v>0</v>
      </c>
      <c r="N194" t="n">
        <v>0</v>
      </c>
      <c r="O194" t="n">
        <v>0</v>
      </c>
      <c r="P194" t="n">
        <v>0</v>
      </c>
      <c r="Q194" t="n">
        <v>0</v>
      </c>
      <c r="R194" s="2" t="inlineStr"/>
    </row>
    <row r="195" ht="15" customHeight="1">
      <c r="A195" t="inlineStr">
        <is>
          <t>A 26684-2025</t>
        </is>
      </c>
      <c r="B195" s="1" t="n">
        <v>45810</v>
      </c>
      <c r="C195" s="1" t="n">
        <v>46040</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67351-2021</t>
        </is>
      </c>
      <c r="B196" s="1" t="n">
        <v>44523</v>
      </c>
      <c r="C196" s="1" t="n">
        <v>46040</v>
      </c>
      <c r="D196" t="inlineStr">
        <is>
          <t>SÖDERMANLANDS LÄN</t>
        </is>
      </c>
      <c r="E196" t="inlineStr">
        <is>
          <t>KATRINEHOLM</t>
        </is>
      </c>
      <c r="G196" t="n">
        <v>5.4</v>
      </c>
      <c r="H196" t="n">
        <v>0</v>
      </c>
      <c r="I196" t="n">
        <v>0</v>
      </c>
      <c r="J196" t="n">
        <v>0</v>
      </c>
      <c r="K196" t="n">
        <v>0</v>
      </c>
      <c r="L196" t="n">
        <v>0</v>
      </c>
      <c r="M196" t="n">
        <v>0</v>
      </c>
      <c r="N196" t="n">
        <v>0</v>
      </c>
      <c r="O196" t="n">
        <v>0</v>
      </c>
      <c r="P196" t="n">
        <v>0</v>
      </c>
      <c r="Q196" t="n">
        <v>0</v>
      </c>
      <c r="R196" s="2" t="inlineStr"/>
    </row>
    <row r="197" ht="15" customHeight="1">
      <c r="A197" t="inlineStr">
        <is>
          <t>A 60160-2022</t>
        </is>
      </c>
      <c r="B197" s="1" t="n">
        <v>44909</v>
      </c>
      <c r="C197" s="1" t="n">
        <v>46040</v>
      </c>
      <c r="D197" t="inlineStr">
        <is>
          <t>SÖDERMANLANDS LÄN</t>
        </is>
      </c>
      <c r="E197" t="inlineStr">
        <is>
          <t>KATRINEHOLM</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19442-2023</t>
        </is>
      </c>
      <c r="B198" s="1" t="n">
        <v>45050</v>
      </c>
      <c r="C198" s="1" t="n">
        <v>46040</v>
      </c>
      <c r="D198" t="inlineStr">
        <is>
          <t>SÖDERMANLANDS LÄN</t>
        </is>
      </c>
      <c r="E198" t="inlineStr">
        <is>
          <t>KATRINEHOLM</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32733-2021</t>
        </is>
      </c>
      <c r="B199" s="1" t="n">
        <v>44375</v>
      </c>
      <c r="C199" s="1" t="n">
        <v>46040</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c r="U199">
        <f>HYPERLINK("https://klasma.github.io/Logging_0483/knärot/A 32733-2021 karta knärot.png", "A 32733-2021")</f>
        <v/>
      </c>
      <c r="V199">
        <f>HYPERLINK("https://klasma.github.io/Logging_0483/klagomål/A 32733-2021 FSC-klagomål.docx", "A 32733-2021")</f>
        <v/>
      </c>
      <c r="W199">
        <f>HYPERLINK("https://klasma.github.io/Logging_0483/klagomålsmail/A 32733-2021 FSC-klagomål mail.docx", "A 32733-2021")</f>
        <v/>
      </c>
      <c r="X199">
        <f>HYPERLINK("https://klasma.github.io/Logging_0483/tillsyn/A 32733-2021 tillsynsbegäran.docx", "A 32733-2021")</f>
        <v/>
      </c>
      <c r="Y199">
        <f>HYPERLINK("https://klasma.github.io/Logging_0483/tillsynsmail/A 32733-2021 tillsynsbegäran mail.docx", "A 32733-2021")</f>
        <v/>
      </c>
    </row>
    <row r="200" ht="15" customHeight="1">
      <c r="A200" t="inlineStr">
        <is>
          <t>A 12227-2025</t>
        </is>
      </c>
      <c r="B200" s="1" t="n">
        <v>45729.56836805555</v>
      </c>
      <c r="C200" s="1" t="n">
        <v>46040</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24098-2022</t>
        </is>
      </c>
      <c r="B201" s="1" t="n">
        <v>44725</v>
      </c>
      <c r="C201" s="1" t="n">
        <v>46040</v>
      </c>
      <c r="D201" t="inlineStr">
        <is>
          <t>SÖDERMANLANDS LÄN</t>
        </is>
      </c>
      <c r="E201" t="inlineStr">
        <is>
          <t>KATRINEHOLM</t>
        </is>
      </c>
      <c r="G201" t="n">
        <v>1.9</v>
      </c>
      <c r="H201" t="n">
        <v>0</v>
      </c>
      <c r="I201" t="n">
        <v>0</v>
      </c>
      <c r="J201" t="n">
        <v>0</v>
      </c>
      <c r="K201" t="n">
        <v>0</v>
      </c>
      <c r="L201" t="n">
        <v>0</v>
      </c>
      <c r="M201" t="n">
        <v>0</v>
      </c>
      <c r="N201" t="n">
        <v>0</v>
      </c>
      <c r="O201" t="n">
        <v>0</v>
      </c>
      <c r="P201" t="n">
        <v>0</v>
      </c>
      <c r="Q201" t="n">
        <v>0</v>
      </c>
      <c r="R201" s="2" t="inlineStr"/>
    </row>
    <row r="202" ht="15" customHeight="1">
      <c r="A202" t="inlineStr">
        <is>
          <t>A 50840-2022</t>
        </is>
      </c>
      <c r="B202" s="1" t="n">
        <v>44862</v>
      </c>
      <c r="C202" s="1" t="n">
        <v>46040</v>
      </c>
      <c r="D202" t="inlineStr">
        <is>
          <t>SÖDERMANLANDS LÄN</t>
        </is>
      </c>
      <c r="E202" t="inlineStr">
        <is>
          <t>KATRINEHOLM</t>
        </is>
      </c>
      <c r="G202" t="n">
        <v>4.2</v>
      </c>
      <c r="H202" t="n">
        <v>0</v>
      </c>
      <c r="I202" t="n">
        <v>0</v>
      </c>
      <c r="J202" t="n">
        <v>0</v>
      </c>
      <c r="K202" t="n">
        <v>0</v>
      </c>
      <c r="L202" t="n">
        <v>0</v>
      </c>
      <c r="M202" t="n">
        <v>0</v>
      </c>
      <c r="N202" t="n">
        <v>0</v>
      </c>
      <c r="O202" t="n">
        <v>0</v>
      </c>
      <c r="P202" t="n">
        <v>0</v>
      </c>
      <c r="Q202" t="n">
        <v>0</v>
      </c>
      <c r="R202" s="2" t="inlineStr"/>
    </row>
    <row r="203" ht="15" customHeight="1">
      <c r="A203" t="inlineStr">
        <is>
          <t>A 12760-2021</t>
        </is>
      </c>
      <c r="B203" s="1" t="n">
        <v>44270</v>
      </c>
      <c r="C203" s="1" t="n">
        <v>46040</v>
      </c>
      <c r="D203" t="inlineStr">
        <is>
          <t>SÖDERMANLANDS LÄN</t>
        </is>
      </c>
      <c r="E203" t="inlineStr">
        <is>
          <t>KATRINEHOLM</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12068-2021</t>
        </is>
      </c>
      <c r="B204" s="1" t="n">
        <v>44266</v>
      </c>
      <c r="C204" s="1" t="n">
        <v>46040</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3060-2022</t>
        </is>
      </c>
      <c r="B205" s="1" t="n">
        <v>44582.40109953703</v>
      </c>
      <c r="C205" s="1" t="n">
        <v>46040</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65162-2021</t>
        </is>
      </c>
      <c r="B206" s="1" t="n">
        <v>44512</v>
      </c>
      <c r="C206" s="1" t="n">
        <v>46040</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30567-2022</t>
        </is>
      </c>
      <c r="B207" s="1" t="n">
        <v>44762</v>
      </c>
      <c r="C207" s="1" t="n">
        <v>46040</v>
      </c>
      <c r="D207" t="inlineStr">
        <is>
          <t>SÖDERMANLANDS LÄN</t>
        </is>
      </c>
      <c r="E207" t="inlineStr">
        <is>
          <t>KATRINEHOLM</t>
        </is>
      </c>
      <c r="F207" t="inlineStr">
        <is>
          <t>Övriga Aktiebolag</t>
        </is>
      </c>
      <c r="G207" t="n">
        <v>0.5</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46040</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6611-2023</t>
        </is>
      </c>
      <c r="B209" s="1" t="n">
        <v>44963</v>
      </c>
      <c r="C209" s="1" t="n">
        <v>46040</v>
      </c>
      <c r="D209" t="inlineStr">
        <is>
          <t>SÖDERMANLANDS LÄN</t>
        </is>
      </c>
      <c r="E209" t="inlineStr">
        <is>
          <t>KATRINEHOLM</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34040-2022</t>
        </is>
      </c>
      <c r="B210" s="1" t="n">
        <v>44790</v>
      </c>
      <c r="C210" s="1" t="n">
        <v>46040</v>
      </c>
      <c r="D210" t="inlineStr">
        <is>
          <t>SÖDERMANLANDS LÄN</t>
        </is>
      </c>
      <c r="E210" t="inlineStr">
        <is>
          <t>KATRINEHOLM</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37043-2025</t>
        </is>
      </c>
      <c r="B211" s="1" t="n">
        <v>45875.3396412037</v>
      </c>
      <c r="C211" s="1" t="n">
        <v>46040</v>
      </c>
      <c r="D211" t="inlineStr">
        <is>
          <t>SÖDERMANLANDS LÄN</t>
        </is>
      </c>
      <c r="E211" t="inlineStr">
        <is>
          <t>KATRINEHOLM</t>
        </is>
      </c>
      <c r="G211" t="n">
        <v>2.2</v>
      </c>
      <c r="H211" t="n">
        <v>0</v>
      </c>
      <c r="I211" t="n">
        <v>0</v>
      </c>
      <c r="J211" t="n">
        <v>0</v>
      </c>
      <c r="K211" t="n">
        <v>0</v>
      </c>
      <c r="L211" t="n">
        <v>0</v>
      </c>
      <c r="M211" t="n">
        <v>0</v>
      </c>
      <c r="N211" t="n">
        <v>0</v>
      </c>
      <c r="O211" t="n">
        <v>0</v>
      </c>
      <c r="P211" t="n">
        <v>0</v>
      </c>
      <c r="Q211" t="n">
        <v>0</v>
      </c>
      <c r="R211" s="2" t="inlineStr"/>
    </row>
    <row r="212" ht="15" customHeight="1">
      <c r="A212" t="inlineStr">
        <is>
          <t>A 71129-2021</t>
        </is>
      </c>
      <c r="B212" s="1" t="n">
        <v>44539</v>
      </c>
      <c r="C212" s="1" t="n">
        <v>46040</v>
      </c>
      <c r="D212" t="inlineStr">
        <is>
          <t>SÖDERMANLANDS LÄN</t>
        </is>
      </c>
      <c r="E212" t="inlineStr">
        <is>
          <t>KATRINEHOLM</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50804-2023</t>
        </is>
      </c>
      <c r="B213" s="1" t="n">
        <v>45211</v>
      </c>
      <c r="C213" s="1" t="n">
        <v>46040</v>
      </c>
      <c r="D213" t="inlineStr">
        <is>
          <t>SÖDERMANLANDS LÄN</t>
        </is>
      </c>
      <c r="E213" t="inlineStr">
        <is>
          <t>KATRINEHOLM</t>
        </is>
      </c>
      <c r="G213" t="n">
        <v>4</v>
      </c>
      <c r="H213" t="n">
        <v>0</v>
      </c>
      <c r="I213" t="n">
        <v>0</v>
      </c>
      <c r="J213" t="n">
        <v>0</v>
      </c>
      <c r="K213" t="n">
        <v>0</v>
      </c>
      <c r="L213" t="n">
        <v>0</v>
      </c>
      <c r="M213" t="n">
        <v>0</v>
      </c>
      <c r="N213" t="n">
        <v>0</v>
      </c>
      <c r="O213" t="n">
        <v>0</v>
      </c>
      <c r="P213" t="n">
        <v>0</v>
      </c>
      <c r="Q213" t="n">
        <v>0</v>
      </c>
      <c r="R213" s="2" t="inlineStr"/>
    </row>
    <row r="214" ht="15" customHeight="1">
      <c r="A214" t="inlineStr">
        <is>
          <t>A 45147-2021</t>
        </is>
      </c>
      <c r="B214" s="1" t="n">
        <v>44439</v>
      </c>
      <c r="C214" s="1" t="n">
        <v>46040</v>
      </c>
      <c r="D214" t="inlineStr">
        <is>
          <t>SÖDERMANLANDS LÄN</t>
        </is>
      </c>
      <c r="E214" t="inlineStr">
        <is>
          <t>KATRINEHOLM</t>
        </is>
      </c>
      <c r="G214" t="n">
        <v>3.2</v>
      </c>
      <c r="H214" t="n">
        <v>0</v>
      </c>
      <c r="I214" t="n">
        <v>0</v>
      </c>
      <c r="J214" t="n">
        <v>0</v>
      </c>
      <c r="K214" t="n">
        <v>0</v>
      </c>
      <c r="L214" t="n">
        <v>0</v>
      </c>
      <c r="M214" t="n">
        <v>0</v>
      </c>
      <c r="N214" t="n">
        <v>0</v>
      </c>
      <c r="O214" t="n">
        <v>0</v>
      </c>
      <c r="P214" t="n">
        <v>0</v>
      </c>
      <c r="Q214" t="n">
        <v>0</v>
      </c>
      <c r="R214" s="2" t="inlineStr"/>
    </row>
    <row r="215" ht="15" customHeight="1">
      <c r="A215" t="inlineStr">
        <is>
          <t>A 20533-2023</t>
        </is>
      </c>
      <c r="B215" s="1" t="n">
        <v>45057</v>
      </c>
      <c r="C215" s="1" t="n">
        <v>46040</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c r="T215">
        <f>HYPERLINK("https://klasma.github.io/Logging_0483/kartor/A 20533-2023 karta.png", "A 20533-2023")</f>
        <v/>
      </c>
      <c r="V215">
        <f>HYPERLINK("https://klasma.github.io/Logging_0483/klagomål/A 20533-2023 FSC-klagomål.docx", "A 20533-2023")</f>
        <v/>
      </c>
      <c r="W215">
        <f>HYPERLINK("https://klasma.github.io/Logging_0483/klagomålsmail/A 20533-2023 FSC-klagomål mail.docx", "A 20533-2023")</f>
        <v/>
      </c>
      <c r="X215">
        <f>HYPERLINK("https://klasma.github.io/Logging_0483/tillsyn/A 20533-2023 tillsynsbegäran.docx", "A 20533-2023")</f>
        <v/>
      </c>
      <c r="Y215">
        <f>HYPERLINK("https://klasma.github.io/Logging_0483/tillsynsmail/A 20533-2023 tillsynsbegäran mail.docx", "A 20533-2023")</f>
        <v/>
      </c>
      <c r="Z215">
        <f>HYPERLINK("https://klasma.github.io/Logging_0483/fåglar/A 20533-2023 prioriterade fågelarter.docx", "A 20533-2023")</f>
        <v/>
      </c>
    </row>
    <row r="216" ht="15" customHeight="1">
      <c r="A216" t="inlineStr">
        <is>
          <t>A 40749-2022</t>
        </is>
      </c>
      <c r="B216" s="1" t="n">
        <v>44824</v>
      </c>
      <c r="C216" s="1" t="n">
        <v>46040</v>
      </c>
      <c r="D216" t="inlineStr">
        <is>
          <t>SÖDERMANLANDS LÄN</t>
        </is>
      </c>
      <c r="E216" t="inlineStr">
        <is>
          <t>KATRINEHOLM</t>
        </is>
      </c>
      <c r="G216" t="n">
        <v>0.2</v>
      </c>
      <c r="H216" t="n">
        <v>0</v>
      </c>
      <c r="I216" t="n">
        <v>0</v>
      </c>
      <c r="J216" t="n">
        <v>0</v>
      </c>
      <c r="K216" t="n">
        <v>0</v>
      </c>
      <c r="L216" t="n">
        <v>0</v>
      </c>
      <c r="M216" t="n">
        <v>0</v>
      </c>
      <c r="N216" t="n">
        <v>0</v>
      </c>
      <c r="O216" t="n">
        <v>0</v>
      </c>
      <c r="P216" t="n">
        <v>0</v>
      </c>
      <c r="Q216" t="n">
        <v>0</v>
      </c>
      <c r="R216" s="2" t="inlineStr"/>
    </row>
    <row r="217" ht="15" customHeight="1">
      <c r="A217" t="inlineStr">
        <is>
          <t>A 43499-2021</t>
        </is>
      </c>
      <c r="B217" s="1" t="n">
        <v>44433</v>
      </c>
      <c r="C217" s="1" t="n">
        <v>46040</v>
      </c>
      <c r="D217" t="inlineStr">
        <is>
          <t>SÖDERMANLANDS LÄN</t>
        </is>
      </c>
      <c r="E217" t="inlineStr">
        <is>
          <t>KATRINEHOLM</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53996-2023</t>
        </is>
      </c>
      <c r="B218" s="1" t="n">
        <v>45231</v>
      </c>
      <c r="C218" s="1" t="n">
        <v>46040</v>
      </c>
      <c r="D218" t="inlineStr">
        <is>
          <t>SÖDERMANLANDS LÄN</t>
        </is>
      </c>
      <c r="E218" t="inlineStr">
        <is>
          <t>KATRINEHOLM</t>
        </is>
      </c>
      <c r="G218" t="n">
        <v>4.9</v>
      </c>
      <c r="H218" t="n">
        <v>0</v>
      </c>
      <c r="I218" t="n">
        <v>0</v>
      </c>
      <c r="J218" t="n">
        <v>0</v>
      </c>
      <c r="K218" t="n">
        <v>0</v>
      </c>
      <c r="L218" t="n">
        <v>0</v>
      </c>
      <c r="M218" t="n">
        <v>0</v>
      </c>
      <c r="N218" t="n">
        <v>0</v>
      </c>
      <c r="O218" t="n">
        <v>0</v>
      </c>
      <c r="P218" t="n">
        <v>0</v>
      </c>
      <c r="Q218" t="n">
        <v>0</v>
      </c>
      <c r="R218" s="2" t="inlineStr"/>
    </row>
    <row r="219" ht="15" customHeight="1">
      <c r="A219" t="inlineStr">
        <is>
          <t>A 33790-2024</t>
        </is>
      </c>
      <c r="B219" s="1" t="n">
        <v>45520.59179398148</v>
      </c>
      <c r="C219" s="1" t="n">
        <v>46040</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11543-2025</t>
        </is>
      </c>
      <c r="B220" s="1" t="n">
        <v>45727.34248842593</v>
      </c>
      <c r="C220" s="1" t="n">
        <v>46040</v>
      </c>
      <c r="D220" t="inlineStr">
        <is>
          <t>SÖDERMANLANDS LÄN</t>
        </is>
      </c>
      <c r="E220" t="inlineStr">
        <is>
          <t>KATRINEHOLM</t>
        </is>
      </c>
      <c r="G220" t="n">
        <v>3.6</v>
      </c>
      <c r="H220" t="n">
        <v>0</v>
      </c>
      <c r="I220" t="n">
        <v>0</v>
      </c>
      <c r="J220" t="n">
        <v>0</v>
      </c>
      <c r="K220" t="n">
        <v>0</v>
      </c>
      <c r="L220" t="n">
        <v>0</v>
      </c>
      <c r="M220" t="n">
        <v>0</v>
      </c>
      <c r="N220" t="n">
        <v>0</v>
      </c>
      <c r="O220" t="n">
        <v>0</v>
      </c>
      <c r="P220" t="n">
        <v>0</v>
      </c>
      <c r="Q220" t="n">
        <v>0</v>
      </c>
      <c r="R220" s="2" t="inlineStr"/>
    </row>
    <row r="221" ht="15" customHeight="1">
      <c r="A221" t="inlineStr">
        <is>
          <t>A 47456-2022</t>
        </is>
      </c>
      <c r="B221" s="1" t="n">
        <v>44852</v>
      </c>
      <c r="C221" s="1" t="n">
        <v>46040</v>
      </c>
      <c r="D221" t="inlineStr">
        <is>
          <t>SÖDERMANLANDS LÄN</t>
        </is>
      </c>
      <c r="E221" t="inlineStr">
        <is>
          <t>KATRINEHOLM</t>
        </is>
      </c>
      <c r="G221" t="n">
        <v>3.7</v>
      </c>
      <c r="H221" t="n">
        <v>0</v>
      </c>
      <c r="I221" t="n">
        <v>0</v>
      </c>
      <c r="J221" t="n">
        <v>0</v>
      </c>
      <c r="K221" t="n">
        <v>0</v>
      </c>
      <c r="L221" t="n">
        <v>0</v>
      </c>
      <c r="M221" t="n">
        <v>0</v>
      </c>
      <c r="N221" t="n">
        <v>0</v>
      </c>
      <c r="O221" t="n">
        <v>0</v>
      </c>
      <c r="P221" t="n">
        <v>0</v>
      </c>
      <c r="Q221" t="n">
        <v>0</v>
      </c>
      <c r="R221" s="2" t="inlineStr"/>
    </row>
    <row r="222" ht="15" customHeight="1">
      <c r="A222" t="inlineStr">
        <is>
          <t>A 28427-2024</t>
        </is>
      </c>
      <c r="B222" s="1" t="n">
        <v>45477.64910879629</v>
      </c>
      <c r="C222" s="1" t="n">
        <v>46040</v>
      </c>
      <c r="D222" t="inlineStr">
        <is>
          <t>SÖDERMANLANDS LÄN</t>
        </is>
      </c>
      <c r="E222" t="inlineStr">
        <is>
          <t>KATRINEHOLM</t>
        </is>
      </c>
      <c r="G222" t="n">
        <v>5.9</v>
      </c>
      <c r="H222" t="n">
        <v>0</v>
      </c>
      <c r="I222" t="n">
        <v>0</v>
      </c>
      <c r="J222" t="n">
        <v>0</v>
      </c>
      <c r="K222" t="n">
        <v>0</v>
      </c>
      <c r="L222" t="n">
        <v>0</v>
      </c>
      <c r="M222" t="n">
        <v>0</v>
      </c>
      <c r="N222" t="n">
        <v>0</v>
      </c>
      <c r="O222" t="n">
        <v>0</v>
      </c>
      <c r="P222" t="n">
        <v>0</v>
      </c>
      <c r="Q222" t="n">
        <v>0</v>
      </c>
      <c r="R222" s="2" t="inlineStr"/>
    </row>
    <row r="223" ht="15" customHeight="1">
      <c r="A223" t="inlineStr">
        <is>
          <t>A 37827-2025</t>
        </is>
      </c>
      <c r="B223" s="1" t="n">
        <v>45881.40907407407</v>
      </c>
      <c r="C223" s="1" t="n">
        <v>46040</v>
      </c>
      <c r="D223" t="inlineStr">
        <is>
          <t>SÖDERMANLANDS LÄN</t>
        </is>
      </c>
      <c r="E223" t="inlineStr">
        <is>
          <t>KATRINEHOLM</t>
        </is>
      </c>
      <c r="F223" t="inlineStr">
        <is>
          <t>Övriga Aktiebolag</t>
        </is>
      </c>
      <c r="G223" t="n">
        <v>2</v>
      </c>
      <c r="H223" t="n">
        <v>0</v>
      </c>
      <c r="I223" t="n">
        <v>0</v>
      </c>
      <c r="J223" t="n">
        <v>0</v>
      </c>
      <c r="K223" t="n">
        <v>0</v>
      </c>
      <c r="L223" t="n">
        <v>0</v>
      </c>
      <c r="M223" t="n">
        <v>0</v>
      </c>
      <c r="N223" t="n">
        <v>0</v>
      </c>
      <c r="O223" t="n">
        <v>0</v>
      </c>
      <c r="P223" t="n">
        <v>0</v>
      </c>
      <c r="Q223" t="n">
        <v>0</v>
      </c>
      <c r="R223" s="2" t="inlineStr"/>
    </row>
    <row r="224" ht="15" customHeight="1">
      <c r="A224" t="inlineStr">
        <is>
          <t>A 23347-2023</t>
        </is>
      </c>
      <c r="B224" s="1" t="n">
        <v>45076</v>
      </c>
      <c r="C224" s="1" t="n">
        <v>46040</v>
      </c>
      <c r="D224" t="inlineStr">
        <is>
          <t>SÖDERMANLANDS LÄN</t>
        </is>
      </c>
      <c r="E224" t="inlineStr">
        <is>
          <t>KATRINEHOLM</t>
        </is>
      </c>
      <c r="G224" t="n">
        <v>4.3</v>
      </c>
      <c r="H224" t="n">
        <v>0</v>
      </c>
      <c r="I224" t="n">
        <v>0</v>
      </c>
      <c r="J224" t="n">
        <v>0</v>
      </c>
      <c r="K224" t="n">
        <v>0</v>
      </c>
      <c r="L224" t="n">
        <v>0</v>
      </c>
      <c r="M224" t="n">
        <v>0</v>
      </c>
      <c r="N224" t="n">
        <v>0</v>
      </c>
      <c r="O224" t="n">
        <v>0</v>
      </c>
      <c r="P224" t="n">
        <v>0</v>
      </c>
      <c r="Q224" t="n">
        <v>0</v>
      </c>
      <c r="R224" s="2" t="inlineStr"/>
    </row>
    <row r="225" ht="15" customHeight="1">
      <c r="A225" t="inlineStr">
        <is>
          <t>A 74354-2021</t>
        </is>
      </c>
      <c r="B225" s="1" t="n">
        <v>44559.57041666667</v>
      </c>
      <c r="C225" s="1" t="n">
        <v>46040</v>
      </c>
      <c r="D225" t="inlineStr">
        <is>
          <t>SÖDERMANLANDS LÄN</t>
        </is>
      </c>
      <c r="E225" t="inlineStr">
        <is>
          <t>KATRINEHOLM</t>
        </is>
      </c>
      <c r="G225" t="n">
        <v>0.7</v>
      </c>
      <c r="H225" t="n">
        <v>0</v>
      </c>
      <c r="I225" t="n">
        <v>0</v>
      </c>
      <c r="J225" t="n">
        <v>0</v>
      </c>
      <c r="K225" t="n">
        <v>0</v>
      </c>
      <c r="L225" t="n">
        <v>0</v>
      </c>
      <c r="M225" t="n">
        <v>0</v>
      </c>
      <c r="N225" t="n">
        <v>0</v>
      </c>
      <c r="O225" t="n">
        <v>0</v>
      </c>
      <c r="P225" t="n">
        <v>0</v>
      </c>
      <c r="Q225" t="n">
        <v>0</v>
      </c>
      <c r="R225" s="2" t="inlineStr"/>
    </row>
    <row r="226" ht="15" customHeight="1">
      <c r="A226" t="inlineStr">
        <is>
          <t>A 52348-2021</t>
        </is>
      </c>
      <c r="B226" s="1" t="n">
        <v>44464.49756944444</v>
      </c>
      <c r="C226" s="1" t="n">
        <v>46040</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38708-2025</t>
        </is>
      </c>
      <c r="B227" s="1" t="n">
        <v>45885</v>
      </c>
      <c r="C227" s="1" t="n">
        <v>46040</v>
      </c>
      <c r="D227" t="inlineStr">
        <is>
          <t>SÖDERMANLANDS LÄN</t>
        </is>
      </c>
      <c r="E227" t="inlineStr">
        <is>
          <t>KATRINEHOLM</t>
        </is>
      </c>
      <c r="G227" t="n">
        <v>1.9</v>
      </c>
      <c r="H227" t="n">
        <v>0</v>
      </c>
      <c r="I227" t="n">
        <v>0</v>
      </c>
      <c r="J227" t="n">
        <v>0</v>
      </c>
      <c r="K227" t="n">
        <v>0</v>
      </c>
      <c r="L227" t="n">
        <v>0</v>
      </c>
      <c r="M227" t="n">
        <v>0</v>
      </c>
      <c r="N227" t="n">
        <v>0</v>
      </c>
      <c r="O227" t="n">
        <v>0</v>
      </c>
      <c r="P227" t="n">
        <v>0</v>
      </c>
      <c r="Q227" t="n">
        <v>0</v>
      </c>
      <c r="R227" s="2" t="inlineStr"/>
    </row>
    <row r="228" ht="15" customHeight="1">
      <c r="A228" t="inlineStr">
        <is>
          <t>A 56628-2021</t>
        </is>
      </c>
      <c r="B228" s="1" t="n">
        <v>44480</v>
      </c>
      <c r="C228" s="1" t="n">
        <v>46040</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45438-2021</t>
        </is>
      </c>
      <c r="B229" s="1" t="n">
        <v>44440</v>
      </c>
      <c r="C229" s="1" t="n">
        <v>46040</v>
      </c>
      <c r="D229" t="inlineStr">
        <is>
          <t>SÖDERMANLANDS LÄN</t>
        </is>
      </c>
      <c r="E229" t="inlineStr">
        <is>
          <t>KATRINEHOLM</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50061-2022</t>
        </is>
      </c>
      <c r="B230" s="1" t="n">
        <v>44865</v>
      </c>
      <c r="C230" s="1" t="n">
        <v>46040</v>
      </c>
      <c r="D230" t="inlineStr">
        <is>
          <t>SÖDERMANLANDS LÄN</t>
        </is>
      </c>
      <c r="E230" t="inlineStr">
        <is>
          <t>KATRINEHOLM</t>
        </is>
      </c>
      <c r="G230" t="n">
        <v>4.9</v>
      </c>
      <c r="H230" t="n">
        <v>0</v>
      </c>
      <c r="I230" t="n">
        <v>0</v>
      </c>
      <c r="J230" t="n">
        <v>0</v>
      </c>
      <c r="K230" t="n">
        <v>0</v>
      </c>
      <c r="L230" t="n">
        <v>0</v>
      </c>
      <c r="M230" t="n">
        <v>0</v>
      </c>
      <c r="N230" t="n">
        <v>0</v>
      </c>
      <c r="O230" t="n">
        <v>0</v>
      </c>
      <c r="P230" t="n">
        <v>0</v>
      </c>
      <c r="Q230" t="n">
        <v>0</v>
      </c>
      <c r="R230" s="2" t="inlineStr"/>
    </row>
    <row r="231" ht="15" customHeight="1">
      <c r="A231" t="inlineStr">
        <is>
          <t>A 10446-2024</t>
        </is>
      </c>
      <c r="B231" s="1" t="n">
        <v>45366</v>
      </c>
      <c r="C231" s="1" t="n">
        <v>46040</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39645-2025</t>
        </is>
      </c>
      <c r="B232" s="1" t="n">
        <v>45890</v>
      </c>
      <c r="C232" s="1" t="n">
        <v>46040</v>
      </c>
      <c r="D232" t="inlineStr">
        <is>
          <t>SÖDERMANLANDS LÄN</t>
        </is>
      </c>
      <c r="E232" t="inlineStr">
        <is>
          <t>KATRINEHOLM</t>
        </is>
      </c>
      <c r="G232" t="n">
        <v>0.2</v>
      </c>
      <c r="H232" t="n">
        <v>0</v>
      </c>
      <c r="I232" t="n">
        <v>0</v>
      </c>
      <c r="J232" t="n">
        <v>0</v>
      </c>
      <c r="K232" t="n">
        <v>0</v>
      </c>
      <c r="L232" t="n">
        <v>0</v>
      </c>
      <c r="M232" t="n">
        <v>0</v>
      </c>
      <c r="N232" t="n">
        <v>0</v>
      </c>
      <c r="O232" t="n">
        <v>0</v>
      </c>
      <c r="P232" t="n">
        <v>0</v>
      </c>
      <c r="Q232" t="n">
        <v>0</v>
      </c>
      <c r="R232" s="2" t="inlineStr"/>
    </row>
    <row r="233" ht="15" customHeight="1">
      <c r="A233" t="inlineStr">
        <is>
          <t>A 39663-2025</t>
        </is>
      </c>
      <c r="B233" s="1" t="n">
        <v>45890</v>
      </c>
      <c r="C233" s="1" t="n">
        <v>46040</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39668-2025</t>
        </is>
      </c>
      <c r="B234" s="1" t="n">
        <v>45890</v>
      </c>
      <c r="C234" s="1" t="n">
        <v>46040</v>
      </c>
      <c r="D234" t="inlineStr">
        <is>
          <t>SÖDERMANLANDS LÄN</t>
        </is>
      </c>
      <c r="E234" t="inlineStr">
        <is>
          <t>KATRINEHOLM</t>
        </is>
      </c>
      <c r="G234" t="n">
        <v>2.9</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46040</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53860-2021</t>
        </is>
      </c>
      <c r="B236" s="1" t="n">
        <v>44467</v>
      </c>
      <c r="C236" s="1" t="n">
        <v>46040</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23842-2023</t>
        </is>
      </c>
      <c r="B237" s="1" t="n">
        <v>45075</v>
      </c>
      <c r="C237" s="1" t="n">
        <v>46040</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34263-2023</t>
        </is>
      </c>
      <c r="B238" s="1" t="n">
        <v>45138.60248842592</v>
      </c>
      <c r="C238" s="1" t="n">
        <v>46040</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35188-2022</t>
        </is>
      </c>
      <c r="B239" s="1" t="n">
        <v>44797</v>
      </c>
      <c r="C239" s="1" t="n">
        <v>46040</v>
      </c>
      <c r="D239" t="inlineStr">
        <is>
          <t>SÖDERMANLANDS LÄN</t>
        </is>
      </c>
      <c r="E239" t="inlineStr">
        <is>
          <t>KATRINEHOLM</t>
        </is>
      </c>
      <c r="G239" t="n">
        <v>3</v>
      </c>
      <c r="H239" t="n">
        <v>0</v>
      </c>
      <c r="I239" t="n">
        <v>0</v>
      </c>
      <c r="J239" t="n">
        <v>0</v>
      </c>
      <c r="K239" t="n">
        <v>0</v>
      </c>
      <c r="L239" t="n">
        <v>0</v>
      </c>
      <c r="M239" t="n">
        <v>0</v>
      </c>
      <c r="N239" t="n">
        <v>0</v>
      </c>
      <c r="O239" t="n">
        <v>0</v>
      </c>
      <c r="P239" t="n">
        <v>0</v>
      </c>
      <c r="Q239" t="n">
        <v>0</v>
      </c>
      <c r="R239" s="2" t="inlineStr"/>
    </row>
    <row r="240" ht="15" customHeight="1">
      <c r="A240" t="inlineStr">
        <is>
          <t>A 39737-2025</t>
        </is>
      </c>
      <c r="B240" s="1" t="n">
        <v>45891</v>
      </c>
      <c r="C240" s="1" t="n">
        <v>46040</v>
      </c>
      <c r="D240" t="inlineStr">
        <is>
          <t>SÖDERMANLANDS LÄN</t>
        </is>
      </c>
      <c r="E240" t="inlineStr">
        <is>
          <t>KATRINEHOLM</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39847-2025</t>
        </is>
      </c>
      <c r="B241" s="1" t="n">
        <v>45891.58381944444</v>
      </c>
      <c r="C241" s="1" t="n">
        <v>46040</v>
      </c>
      <c r="D241" t="inlineStr">
        <is>
          <t>SÖDERMANLANDS LÄN</t>
        </is>
      </c>
      <c r="E241" t="inlineStr">
        <is>
          <t>KATRINEHOLM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46899-2022</t>
        </is>
      </c>
      <c r="B242" s="1" t="n">
        <v>44848</v>
      </c>
      <c r="C242" s="1" t="n">
        <v>46040</v>
      </c>
      <c r="D242" t="inlineStr">
        <is>
          <t>SÖDERMANLANDS LÄN</t>
        </is>
      </c>
      <c r="E242" t="inlineStr">
        <is>
          <t>KATRINEHOLM</t>
        </is>
      </c>
      <c r="G242" t="n">
        <v>2</v>
      </c>
      <c r="H242" t="n">
        <v>0</v>
      </c>
      <c r="I242" t="n">
        <v>0</v>
      </c>
      <c r="J242" t="n">
        <v>0</v>
      </c>
      <c r="K242" t="n">
        <v>0</v>
      </c>
      <c r="L242" t="n">
        <v>0</v>
      </c>
      <c r="M242" t="n">
        <v>0</v>
      </c>
      <c r="N242" t="n">
        <v>0</v>
      </c>
      <c r="O242" t="n">
        <v>0</v>
      </c>
      <c r="P242" t="n">
        <v>0</v>
      </c>
      <c r="Q242" t="n">
        <v>0</v>
      </c>
      <c r="R242" s="2" t="inlineStr"/>
    </row>
    <row r="243" ht="15" customHeight="1">
      <c r="A243" t="inlineStr">
        <is>
          <t>A 7705-2021</t>
        </is>
      </c>
      <c r="B243" s="1" t="n">
        <v>44242</v>
      </c>
      <c r="C243" s="1" t="n">
        <v>46040</v>
      </c>
      <c r="D243" t="inlineStr">
        <is>
          <t>SÖDERMANLANDS LÄN</t>
        </is>
      </c>
      <c r="E243" t="inlineStr">
        <is>
          <t>KATRINEHOLM</t>
        </is>
      </c>
      <c r="F243" t="inlineStr">
        <is>
          <t>Allmännings- och besparingsskogar</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46040</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46040</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46040</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41966-2023</t>
        </is>
      </c>
      <c r="B247" s="1" t="n">
        <v>45177</v>
      </c>
      <c r="C247" s="1" t="n">
        <v>46040</v>
      </c>
      <c r="D247" t="inlineStr">
        <is>
          <t>SÖDERMANLANDS LÄN</t>
        </is>
      </c>
      <c r="E247" t="inlineStr">
        <is>
          <t>KATRINEHOLM</t>
        </is>
      </c>
      <c r="G247" t="n">
        <v>36.9</v>
      </c>
      <c r="H247" t="n">
        <v>0</v>
      </c>
      <c r="I247" t="n">
        <v>0</v>
      </c>
      <c r="J247" t="n">
        <v>0</v>
      </c>
      <c r="K247" t="n">
        <v>0</v>
      </c>
      <c r="L247" t="n">
        <v>0</v>
      </c>
      <c r="M247" t="n">
        <v>0</v>
      </c>
      <c r="N247" t="n">
        <v>0</v>
      </c>
      <c r="O247" t="n">
        <v>0</v>
      </c>
      <c r="P247" t="n">
        <v>0</v>
      </c>
      <c r="Q247" t="n">
        <v>0</v>
      </c>
      <c r="R247" s="2" t="inlineStr"/>
    </row>
    <row r="248" ht="15" customHeight="1">
      <c r="A248" t="inlineStr">
        <is>
          <t>A 57524-2021</t>
        </is>
      </c>
      <c r="B248" s="1" t="n">
        <v>44483</v>
      </c>
      <c r="C248" s="1" t="n">
        <v>46040</v>
      </c>
      <c r="D248" t="inlineStr">
        <is>
          <t>SÖDERMANLANDS LÄN</t>
        </is>
      </c>
      <c r="E248" t="inlineStr">
        <is>
          <t>KATRINEHOLM</t>
        </is>
      </c>
      <c r="G248" t="n">
        <v>0.4</v>
      </c>
      <c r="H248" t="n">
        <v>0</v>
      </c>
      <c r="I248" t="n">
        <v>0</v>
      </c>
      <c r="J248" t="n">
        <v>0</v>
      </c>
      <c r="K248" t="n">
        <v>0</v>
      </c>
      <c r="L248" t="n">
        <v>0</v>
      </c>
      <c r="M248" t="n">
        <v>0</v>
      </c>
      <c r="N248" t="n">
        <v>0</v>
      </c>
      <c r="O248" t="n">
        <v>0</v>
      </c>
      <c r="P248" t="n">
        <v>0</v>
      </c>
      <c r="Q248" t="n">
        <v>0</v>
      </c>
      <c r="R248" s="2" t="inlineStr"/>
    </row>
    <row r="249" ht="15" customHeight="1">
      <c r="A249" t="inlineStr">
        <is>
          <t>A 931-2023</t>
        </is>
      </c>
      <c r="B249" s="1" t="n">
        <v>44932.74261574074</v>
      </c>
      <c r="C249" s="1" t="n">
        <v>46040</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46040</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55171-2023</t>
        </is>
      </c>
      <c r="B251" s="1" t="n">
        <v>45231</v>
      </c>
      <c r="C251" s="1" t="n">
        <v>46040</v>
      </c>
      <c r="D251" t="inlineStr">
        <is>
          <t>SÖDERMANLANDS LÄN</t>
        </is>
      </c>
      <c r="E251" t="inlineStr">
        <is>
          <t>KATRINEHOLM</t>
        </is>
      </c>
      <c r="G251" t="n">
        <v>4.2</v>
      </c>
      <c r="H251" t="n">
        <v>0</v>
      </c>
      <c r="I251" t="n">
        <v>0</v>
      </c>
      <c r="J251" t="n">
        <v>0</v>
      </c>
      <c r="K251" t="n">
        <v>0</v>
      </c>
      <c r="L251" t="n">
        <v>0</v>
      </c>
      <c r="M251" t="n">
        <v>0</v>
      </c>
      <c r="N251" t="n">
        <v>0</v>
      </c>
      <c r="O251" t="n">
        <v>0</v>
      </c>
      <c r="P251" t="n">
        <v>0</v>
      </c>
      <c r="Q251" t="n">
        <v>0</v>
      </c>
      <c r="R251" s="2" t="inlineStr"/>
    </row>
    <row r="252" ht="15" customHeight="1">
      <c r="A252" t="inlineStr">
        <is>
          <t>A 56597-2025</t>
        </is>
      </c>
      <c r="B252" s="1" t="n">
        <v>45975.57271990741</v>
      </c>
      <c r="C252" s="1" t="n">
        <v>46040</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53393-2023</t>
        </is>
      </c>
      <c r="B253" s="1" t="n">
        <v>45229</v>
      </c>
      <c r="C253" s="1" t="n">
        <v>46040</v>
      </c>
      <c r="D253" t="inlineStr">
        <is>
          <t>SÖDERMANLANDS LÄN</t>
        </is>
      </c>
      <c r="E253" t="inlineStr">
        <is>
          <t>KATRINEHOLM</t>
        </is>
      </c>
      <c r="F253" t="inlineStr">
        <is>
          <t>Kyrkan</t>
        </is>
      </c>
      <c r="G253" t="n">
        <v>5.6</v>
      </c>
      <c r="H253" t="n">
        <v>0</v>
      </c>
      <c r="I253" t="n">
        <v>0</v>
      </c>
      <c r="J253" t="n">
        <v>0</v>
      </c>
      <c r="K253" t="n">
        <v>0</v>
      </c>
      <c r="L253" t="n">
        <v>0</v>
      </c>
      <c r="M253" t="n">
        <v>0</v>
      </c>
      <c r="N253" t="n">
        <v>0</v>
      </c>
      <c r="O253" t="n">
        <v>0</v>
      </c>
      <c r="P253" t="n">
        <v>0</v>
      </c>
      <c r="Q253" t="n">
        <v>0</v>
      </c>
      <c r="R253" s="2" t="inlineStr"/>
    </row>
    <row r="254" ht="15" customHeight="1">
      <c r="A254" t="inlineStr">
        <is>
          <t>A 63947-2025</t>
        </is>
      </c>
      <c r="B254" s="1" t="n">
        <v>46010</v>
      </c>
      <c r="C254" s="1" t="n">
        <v>46040</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63949-2025</t>
        </is>
      </c>
      <c r="B255" s="1" t="n">
        <v>46010</v>
      </c>
      <c r="C255" s="1" t="n">
        <v>46040</v>
      </c>
      <c r="D255" t="inlineStr">
        <is>
          <t>SÖDERMANLANDS LÄN</t>
        </is>
      </c>
      <c r="E255" t="inlineStr">
        <is>
          <t>KATRINEHOLM</t>
        </is>
      </c>
      <c r="F255" t="inlineStr">
        <is>
          <t>Allmännings- och besparingsskogar</t>
        </is>
      </c>
      <c r="G255" t="n">
        <v>5.1</v>
      </c>
      <c r="H255" t="n">
        <v>0</v>
      </c>
      <c r="I255" t="n">
        <v>0</v>
      </c>
      <c r="J255" t="n">
        <v>0</v>
      </c>
      <c r="K255" t="n">
        <v>0</v>
      </c>
      <c r="L255" t="n">
        <v>0</v>
      </c>
      <c r="M255" t="n">
        <v>0</v>
      </c>
      <c r="N255" t="n">
        <v>0</v>
      </c>
      <c r="O255" t="n">
        <v>0</v>
      </c>
      <c r="P255" t="n">
        <v>0</v>
      </c>
      <c r="Q255" t="n">
        <v>0</v>
      </c>
      <c r="R255" s="2" t="inlineStr"/>
    </row>
    <row r="256" ht="15" customHeight="1">
      <c r="A256" t="inlineStr">
        <is>
          <t>A 41074-2025</t>
        </is>
      </c>
      <c r="B256" s="1" t="n">
        <v>45898</v>
      </c>
      <c r="C256" s="1" t="n">
        <v>46040</v>
      </c>
      <c r="D256" t="inlineStr">
        <is>
          <t>SÖDERMANLANDS LÄN</t>
        </is>
      </c>
      <c r="E256" t="inlineStr">
        <is>
          <t>KATRINEHOLM</t>
        </is>
      </c>
      <c r="F256" t="inlineStr">
        <is>
          <t>Allmännings- och besparingsskogar</t>
        </is>
      </c>
      <c r="G256" t="n">
        <v>4.8</v>
      </c>
      <c r="H256" t="n">
        <v>0</v>
      </c>
      <c r="I256" t="n">
        <v>0</v>
      </c>
      <c r="J256" t="n">
        <v>0</v>
      </c>
      <c r="K256" t="n">
        <v>0</v>
      </c>
      <c r="L256" t="n">
        <v>0</v>
      </c>
      <c r="M256" t="n">
        <v>0</v>
      </c>
      <c r="N256" t="n">
        <v>0</v>
      </c>
      <c r="O256" t="n">
        <v>0</v>
      </c>
      <c r="P256" t="n">
        <v>0</v>
      </c>
      <c r="Q256" t="n">
        <v>0</v>
      </c>
      <c r="R256" s="2" t="inlineStr"/>
    </row>
    <row r="257" ht="15" customHeight="1">
      <c r="A257" t="inlineStr">
        <is>
          <t>A 63948-2025</t>
        </is>
      </c>
      <c r="B257" s="1" t="n">
        <v>46010</v>
      </c>
      <c r="C257" s="1" t="n">
        <v>46040</v>
      </c>
      <c r="D257" t="inlineStr">
        <is>
          <t>SÖDERMANLANDS LÄN</t>
        </is>
      </c>
      <c r="E257" t="inlineStr">
        <is>
          <t>KATRINEHOLM</t>
        </is>
      </c>
      <c r="F257" t="inlineStr">
        <is>
          <t>Allmännings- och besparingsskogar</t>
        </is>
      </c>
      <c r="G257" t="n">
        <v>4.9</v>
      </c>
      <c r="H257" t="n">
        <v>0</v>
      </c>
      <c r="I257" t="n">
        <v>0</v>
      </c>
      <c r="J257" t="n">
        <v>0</v>
      </c>
      <c r="K257" t="n">
        <v>0</v>
      </c>
      <c r="L257" t="n">
        <v>0</v>
      </c>
      <c r="M257" t="n">
        <v>0</v>
      </c>
      <c r="N257" t="n">
        <v>0</v>
      </c>
      <c r="O257" t="n">
        <v>0</v>
      </c>
      <c r="P257" t="n">
        <v>0</v>
      </c>
      <c r="Q257" t="n">
        <v>0</v>
      </c>
      <c r="R257" s="2" t="inlineStr"/>
    </row>
    <row r="258" ht="15" customHeight="1">
      <c r="A258" t="inlineStr">
        <is>
          <t>A 33538-2022</t>
        </is>
      </c>
      <c r="B258" s="1" t="n">
        <v>44789</v>
      </c>
      <c r="C258" s="1" t="n">
        <v>46040</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63945-2025</t>
        </is>
      </c>
      <c r="B259" s="1" t="n">
        <v>46010</v>
      </c>
      <c r="C259" s="1" t="n">
        <v>46040</v>
      </c>
      <c r="D259" t="inlineStr">
        <is>
          <t>SÖDERMANLANDS LÄN</t>
        </is>
      </c>
      <c r="E259" t="inlineStr">
        <is>
          <t>KATRINEHOLM</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20949-2021</t>
        </is>
      </c>
      <c r="B260" s="1" t="n">
        <v>44319</v>
      </c>
      <c r="C260" s="1" t="n">
        <v>46040</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46040</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57323-2025</t>
        </is>
      </c>
      <c r="B262" s="1" t="n">
        <v>45980.32501157407</v>
      </c>
      <c r="C262" s="1" t="n">
        <v>46040</v>
      </c>
      <c r="D262" t="inlineStr">
        <is>
          <t>SÖDERMANLANDS LÄN</t>
        </is>
      </c>
      <c r="E262" t="inlineStr">
        <is>
          <t>KATRINEHOLM</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41498-2025</t>
        </is>
      </c>
      <c r="B263" s="1" t="n">
        <v>45901.49755787037</v>
      </c>
      <c r="C263" s="1" t="n">
        <v>46040</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46040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22506-2023</t>
        </is>
      </c>
      <c r="B265" s="1" t="n">
        <v>45071.37393518518</v>
      </c>
      <c r="C265" s="1" t="n">
        <v>46040</v>
      </c>
      <c r="D265" t="inlineStr">
        <is>
          <t>SÖDERMANLANDS LÄN</t>
        </is>
      </c>
      <c r="E265" t="inlineStr">
        <is>
          <t>KATRINEHOLM</t>
        </is>
      </c>
      <c r="F265" t="inlineStr">
        <is>
          <t>Kyrkan</t>
        </is>
      </c>
      <c r="G265" t="n">
        <v>5.9</v>
      </c>
      <c r="H265" t="n">
        <v>0</v>
      </c>
      <c r="I265" t="n">
        <v>0</v>
      </c>
      <c r="J265" t="n">
        <v>0</v>
      </c>
      <c r="K265" t="n">
        <v>0</v>
      </c>
      <c r="L265" t="n">
        <v>0</v>
      </c>
      <c r="M265" t="n">
        <v>0</v>
      </c>
      <c r="N265" t="n">
        <v>0</v>
      </c>
      <c r="O265" t="n">
        <v>0</v>
      </c>
      <c r="P265" t="n">
        <v>0</v>
      </c>
      <c r="Q265" t="n">
        <v>0</v>
      </c>
      <c r="R265" s="2" t="inlineStr"/>
    </row>
    <row r="266" ht="15" customHeight="1">
      <c r="A266" t="inlineStr">
        <is>
          <t>A 12888-2025</t>
        </is>
      </c>
      <c r="B266" s="1" t="n">
        <v>45733</v>
      </c>
      <c r="C266" s="1" t="n">
        <v>46040</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3090-2025</t>
        </is>
      </c>
      <c r="B267" s="1" t="n">
        <v>45678</v>
      </c>
      <c r="C267" s="1" t="n">
        <v>46040</v>
      </c>
      <c r="D267" t="inlineStr">
        <is>
          <t>SÖDERMANLANDS LÄN</t>
        </is>
      </c>
      <c r="E267" t="inlineStr">
        <is>
          <t>KATRINEHOLM</t>
        </is>
      </c>
      <c r="F267" t="inlineStr">
        <is>
          <t>Kyrkan</t>
        </is>
      </c>
      <c r="G267" t="n">
        <v>6.9</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46040</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49341-2024</t>
        </is>
      </c>
      <c r="B269" s="1" t="n">
        <v>45595</v>
      </c>
      <c r="C269" s="1" t="n">
        <v>46040</v>
      </c>
      <c r="D269" t="inlineStr">
        <is>
          <t>SÖDERMANLANDS LÄN</t>
        </is>
      </c>
      <c r="E269" t="inlineStr">
        <is>
          <t>KATRINEHOLM</t>
        </is>
      </c>
      <c r="G269" t="n">
        <v>10</v>
      </c>
      <c r="H269" t="n">
        <v>0</v>
      </c>
      <c r="I269" t="n">
        <v>0</v>
      </c>
      <c r="J269" t="n">
        <v>0</v>
      </c>
      <c r="K269" t="n">
        <v>0</v>
      </c>
      <c r="L269" t="n">
        <v>0</v>
      </c>
      <c r="M269" t="n">
        <v>0</v>
      </c>
      <c r="N269" t="n">
        <v>0</v>
      </c>
      <c r="O269" t="n">
        <v>0</v>
      </c>
      <c r="P269" t="n">
        <v>0</v>
      </c>
      <c r="Q269" t="n">
        <v>0</v>
      </c>
      <c r="R269" s="2" t="inlineStr"/>
    </row>
    <row r="270" ht="15" customHeight="1">
      <c r="A270" t="inlineStr">
        <is>
          <t>A 22345-2023</t>
        </is>
      </c>
      <c r="B270" s="1" t="n">
        <v>45070</v>
      </c>
      <c r="C270" s="1" t="n">
        <v>46040</v>
      </c>
      <c r="D270" t="inlineStr">
        <is>
          <t>SÖDERMANLANDS LÄN</t>
        </is>
      </c>
      <c r="E270" t="inlineStr">
        <is>
          <t>KATRINEHOLM</t>
        </is>
      </c>
      <c r="F270" t="inlineStr">
        <is>
          <t>Holmen skog AB</t>
        </is>
      </c>
      <c r="G270" t="n">
        <v>2</v>
      </c>
      <c r="H270" t="n">
        <v>0</v>
      </c>
      <c r="I270" t="n">
        <v>0</v>
      </c>
      <c r="J270" t="n">
        <v>0</v>
      </c>
      <c r="K270" t="n">
        <v>0</v>
      </c>
      <c r="L270" t="n">
        <v>0</v>
      </c>
      <c r="M270" t="n">
        <v>0</v>
      </c>
      <c r="N270" t="n">
        <v>0</v>
      </c>
      <c r="O270" t="n">
        <v>0</v>
      </c>
      <c r="P270" t="n">
        <v>0</v>
      </c>
      <c r="Q270" t="n">
        <v>0</v>
      </c>
      <c r="R270" s="2" t="inlineStr"/>
    </row>
    <row r="271" ht="15" customHeight="1">
      <c r="A271" t="inlineStr">
        <is>
          <t>A 41633-2025</t>
        </is>
      </c>
      <c r="B271" s="1" t="n">
        <v>45901</v>
      </c>
      <c r="C271" s="1" t="n">
        <v>46040</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41632-2025</t>
        </is>
      </c>
      <c r="B272" s="1" t="n">
        <v>45901</v>
      </c>
      <c r="C272" s="1" t="n">
        <v>46040</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46040</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48877-2022</t>
        </is>
      </c>
      <c r="B274" s="1" t="n">
        <v>44859</v>
      </c>
      <c r="C274" s="1" t="n">
        <v>46040</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41793-2025</t>
        </is>
      </c>
      <c r="B275" s="1" t="n">
        <v>45902</v>
      </c>
      <c r="C275" s="1" t="n">
        <v>46040</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19868-2022</t>
        </is>
      </c>
      <c r="B276" s="1" t="n">
        <v>44696</v>
      </c>
      <c r="C276" s="1" t="n">
        <v>46040</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63188-2021</t>
        </is>
      </c>
      <c r="B277" s="1" t="n">
        <v>44507.56865740741</v>
      </c>
      <c r="C277" s="1" t="n">
        <v>46040</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57975-2025</t>
        </is>
      </c>
      <c r="B278" s="1" t="n">
        <v>45981</v>
      </c>
      <c r="C278" s="1" t="n">
        <v>46040</v>
      </c>
      <c r="D278" t="inlineStr">
        <is>
          <t>SÖDERMANLANDS LÄN</t>
        </is>
      </c>
      <c r="E278" t="inlineStr">
        <is>
          <t>KATRINEHOLM</t>
        </is>
      </c>
      <c r="G278" t="n">
        <v>3.1</v>
      </c>
      <c r="H278" t="n">
        <v>0</v>
      </c>
      <c r="I278" t="n">
        <v>0</v>
      </c>
      <c r="J278" t="n">
        <v>0</v>
      </c>
      <c r="K278" t="n">
        <v>0</v>
      </c>
      <c r="L278" t="n">
        <v>0</v>
      </c>
      <c r="M278" t="n">
        <v>0</v>
      </c>
      <c r="N278" t="n">
        <v>0</v>
      </c>
      <c r="O278" t="n">
        <v>0</v>
      </c>
      <c r="P278" t="n">
        <v>0</v>
      </c>
      <c r="Q278" t="n">
        <v>0</v>
      </c>
      <c r="R278" s="2" t="inlineStr"/>
    </row>
    <row r="279" ht="15" customHeight="1">
      <c r="A279" t="inlineStr">
        <is>
          <t>A 29843-2023</t>
        </is>
      </c>
      <c r="B279" s="1" t="n">
        <v>45107</v>
      </c>
      <c r="C279" s="1" t="n">
        <v>46040</v>
      </c>
      <c r="D279" t="inlineStr">
        <is>
          <t>SÖDERMANLANDS LÄN</t>
        </is>
      </c>
      <c r="E279" t="inlineStr">
        <is>
          <t>KATRINEHOLM</t>
        </is>
      </c>
      <c r="F279" t="inlineStr">
        <is>
          <t>Holmen skog AB</t>
        </is>
      </c>
      <c r="G279" t="n">
        <v>1.8</v>
      </c>
      <c r="H279" t="n">
        <v>0</v>
      </c>
      <c r="I279" t="n">
        <v>0</v>
      </c>
      <c r="J279" t="n">
        <v>0</v>
      </c>
      <c r="K279" t="n">
        <v>0</v>
      </c>
      <c r="L279" t="n">
        <v>0</v>
      </c>
      <c r="M279" t="n">
        <v>0</v>
      </c>
      <c r="N279" t="n">
        <v>0</v>
      </c>
      <c r="O279" t="n">
        <v>0</v>
      </c>
      <c r="P279" t="n">
        <v>0</v>
      </c>
      <c r="Q279" t="n">
        <v>0</v>
      </c>
      <c r="R279" s="2" t="inlineStr"/>
    </row>
    <row r="280" ht="15" customHeight="1">
      <c r="A280" t="inlineStr">
        <is>
          <t>A 5834-2025</t>
        </is>
      </c>
      <c r="B280" s="1" t="n">
        <v>45694</v>
      </c>
      <c r="C280" s="1" t="n">
        <v>46040</v>
      </c>
      <c r="D280" t="inlineStr">
        <is>
          <t>SÖDERMANLANDS LÄN</t>
        </is>
      </c>
      <c r="E280" t="inlineStr">
        <is>
          <t>KATRINEHOLM</t>
        </is>
      </c>
      <c r="G280" t="n">
        <v>3.3</v>
      </c>
      <c r="H280" t="n">
        <v>0</v>
      </c>
      <c r="I280" t="n">
        <v>0</v>
      </c>
      <c r="J280" t="n">
        <v>0</v>
      </c>
      <c r="K280" t="n">
        <v>0</v>
      </c>
      <c r="L280" t="n">
        <v>0</v>
      </c>
      <c r="M280" t="n">
        <v>0</v>
      </c>
      <c r="N280" t="n">
        <v>0</v>
      </c>
      <c r="O280" t="n">
        <v>0</v>
      </c>
      <c r="P280" t="n">
        <v>0</v>
      </c>
      <c r="Q280" t="n">
        <v>0</v>
      </c>
      <c r="R280" s="2" t="inlineStr"/>
    </row>
    <row r="281" ht="15" customHeight="1">
      <c r="A281" t="inlineStr">
        <is>
          <t>A 17246-2024</t>
        </is>
      </c>
      <c r="B281" s="1" t="n">
        <v>45414</v>
      </c>
      <c r="C281" s="1" t="n">
        <v>46040</v>
      </c>
      <c r="D281" t="inlineStr">
        <is>
          <t>SÖDERMANLANDS LÄN</t>
        </is>
      </c>
      <c r="E281" t="inlineStr">
        <is>
          <t>KATRINEHOLM</t>
        </is>
      </c>
      <c r="F281" t="inlineStr">
        <is>
          <t>Allmännings- och besparingsskogar</t>
        </is>
      </c>
      <c r="G281" t="n">
        <v>13.7</v>
      </c>
      <c r="H281" t="n">
        <v>0</v>
      </c>
      <c r="I281" t="n">
        <v>0</v>
      </c>
      <c r="J281" t="n">
        <v>0</v>
      </c>
      <c r="K281" t="n">
        <v>0</v>
      </c>
      <c r="L281" t="n">
        <v>0</v>
      </c>
      <c r="M281" t="n">
        <v>0</v>
      </c>
      <c r="N281" t="n">
        <v>0</v>
      </c>
      <c r="O281" t="n">
        <v>0</v>
      </c>
      <c r="P281" t="n">
        <v>0</v>
      </c>
      <c r="Q281" t="n">
        <v>0</v>
      </c>
      <c r="R281" s="2" t="inlineStr"/>
    </row>
    <row r="282" ht="15" customHeight="1">
      <c r="A282" t="inlineStr">
        <is>
          <t>A 20460-2025</t>
        </is>
      </c>
      <c r="B282" s="1" t="n">
        <v>45775.52854166667</v>
      </c>
      <c r="C282" s="1" t="n">
        <v>46040</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34981-2023</t>
        </is>
      </c>
      <c r="B283" s="1" t="n">
        <v>45142</v>
      </c>
      <c r="C283" s="1" t="n">
        <v>46040</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73412-2021</t>
        </is>
      </c>
      <c r="B284" s="1" t="n">
        <v>44551</v>
      </c>
      <c r="C284" s="1" t="n">
        <v>46040</v>
      </c>
      <c r="D284" t="inlineStr">
        <is>
          <t>SÖDERMANLANDS LÄN</t>
        </is>
      </c>
      <c r="E284" t="inlineStr">
        <is>
          <t>KATRINEHOLM</t>
        </is>
      </c>
      <c r="G284" t="n">
        <v>2</v>
      </c>
      <c r="H284" t="n">
        <v>0</v>
      </c>
      <c r="I284" t="n">
        <v>0</v>
      </c>
      <c r="J284" t="n">
        <v>0</v>
      </c>
      <c r="K284" t="n">
        <v>0</v>
      </c>
      <c r="L284" t="n">
        <v>0</v>
      </c>
      <c r="M284" t="n">
        <v>0</v>
      </c>
      <c r="N284" t="n">
        <v>0</v>
      </c>
      <c r="O284" t="n">
        <v>0</v>
      </c>
      <c r="P284" t="n">
        <v>0</v>
      </c>
      <c r="Q284" t="n">
        <v>0</v>
      </c>
      <c r="R284" s="2" t="inlineStr"/>
    </row>
    <row r="285" ht="15" customHeight="1">
      <c r="A285" t="inlineStr">
        <is>
          <t>A 9693-2024</t>
        </is>
      </c>
      <c r="B285" s="1" t="n">
        <v>45362</v>
      </c>
      <c r="C285" s="1" t="n">
        <v>46040</v>
      </c>
      <c r="D285" t="inlineStr">
        <is>
          <t>SÖDERMANLANDS LÄN</t>
        </is>
      </c>
      <c r="E285" t="inlineStr">
        <is>
          <t>KATRINEHOLM</t>
        </is>
      </c>
      <c r="G285" t="n">
        <v>5.9</v>
      </c>
      <c r="H285" t="n">
        <v>0</v>
      </c>
      <c r="I285" t="n">
        <v>0</v>
      </c>
      <c r="J285" t="n">
        <v>0</v>
      </c>
      <c r="K285" t="n">
        <v>0</v>
      </c>
      <c r="L285" t="n">
        <v>0</v>
      </c>
      <c r="M285" t="n">
        <v>0</v>
      </c>
      <c r="N285" t="n">
        <v>0</v>
      </c>
      <c r="O285" t="n">
        <v>0</v>
      </c>
      <c r="P285" t="n">
        <v>0</v>
      </c>
      <c r="Q285" t="n">
        <v>0</v>
      </c>
      <c r="R285" s="2" t="inlineStr"/>
    </row>
    <row r="286" ht="15" customHeight="1">
      <c r="A286" t="inlineStr">
        <is>
          <t>A 43964-2022</t>
        </is>
      </c>
      <c r="B286" s="1" t="n">
        <v>44837</v>
      </c>
      <c r="C286" s="1" t="n">
        <v>46040</v>
      </c>
      <c r="D286" t="inlineStr">
        <is>
          <t>SÖDERMANLANDS LÄN</t>
        </is>
      </c>
      <c r="E286" t="inlineStr">
        <is>
          <t>KATRINEHOLM</t>
        </is>
      </c>
      <c r="G286" t="n">
        <v>3.6</v>
      </c>
      <c r="H286" t="n">
        <v>0</v>
      </c>
      <c r="I286" t="n">
        <v>0</v>
      </c>
      <c r="J286" t="n">
        <v>0</v>
      </c>
      <c r="K286" t="n">
        <v>0</v>
      </c>
      <c r="L286" t="n">
        <v>0</v>
      </c>
      <c r="M286" t="n">
        <v>0</v>
      </c>
      <c r="N286" t="n">
        <v>0</v>
      </c>
      <c r="O286" t="n">
        <v>0</v>
      </c>
      <c r="P286" t="n">
        <v>0</v>
      </c>
      <c r="Q286" t="n">
        <v>0</v>
      </c>
      <c r="R286" s="2" t="inlineStr"/>
    </row>
    <row r="287" ht="15" customHeight="1">
      <c r="A287" t="inlineStr">
        <is>
          <t>A 53750-2022</t>
        </is>
      </c>
      <c r="B287" s="1" t="n">
        <v>44875</v>
      </c>
      <c r="C287" s="1" t="n">
        <v>46040</v>
      </c>
      <c r="D287" t="inlineStr">
        <is>
          <t>SÖDERMANLANDS LÄN</t>
        </is>
      </c>
      <c r="E287" t="inlineStr">
        <is>
          <t>KATRINEHOLM</t>
        </is>
      </c>
      <c r="F287" t="inlineStr">
        <is>
          <t>Övriga Aktiebolag</t>
        </is>
      </c>
      <c r="G287" t="n">
        <v>12.6</v>
      </c>
      <c r="H287" t="n">
        <v>0</v>
      </c>
      <c r="I287" t="n">
        <v>0</v>
      </c>
      <c r="J287" t="n">
        <v>0</v>
      </c>
      <c r="K287" t="n">
        <v>0</v>
      </c>
      <c r="L287" t="n">
        <v>0</v>
      </c>
      <c r="M287" t="n">
        <v>0</v>
      </c>
      <c r="N287" t="n">
        <v>0</v>
      </c>
      <c r="O287" t="n">
        <v>0</v>
      </c>
      <c r="P287" t="n">
        <v>0</v>
      </c>
      <c r="Q287" t="n">
        <v>0</v>
      </c>
      <c r="R287" s="2" t="inlineStr"/>
    </row>
    <row r="288" ht="15" customHeight="1">
      <c r="A288" t="inlineStr">
        <is>
          <t>A 14245-2024</t>
        </is>
      </c>
      <c r="B288" s="1" t="n">
        <v>45393</v>
      </c>
      <c r="C288" s="1" t="n">
        <v>46040</v>
      </c>
      <c r="D288" t="inlineStr">
        <is>
          <t>SÖDERMANLANDS LÄN</t>
        </is>
      </c>
      <c r="E288" t="inlineStr">
        <is>
          <t>KATRINEHOLM</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42015-2022</t>
        </is>
      </c>
      <c r="B289" s="1" t="n">
        <v>44830.4649074074</v>
      </c>
      <c r="C289" s="1" t="n">
        <v>46040</v>
      </c>
      <c r="D289" t="inlineStr">
        <is>
          <t>SÖDERMANLANDS LÄN</t>
        </is>
      </c>
      <c r="E289" t="inlineStr">
        <is>
          <t>KATRINEHOLM</t>
        </is>
      </c>
      <c r="G289" t="n">
        <v>3.8</v>
      </c>
      <c r="H289" t="n">
        <v>0</v>
      </c>
      <c r="I289" t="n">
        <v>0</v>
      </c>
      <c r="J289" t="n">
        <v>0</v>
      </c>
      <c r="K289" t="n">
        <v>0</v>
      </c>
      <c r="L289" t="n">
        <v>0</v>
      </c>
      <c r="M289" t="n">
        <v>0</v>
      </c>
      <c r="N289" t="n">
        <v>0</v>
      </c>
      <c r="O289" t="n">
        <v>0</v>
      </c>
      <c r="P289" t="n">
        <v>0</v>
      </c>
      <c r="Q289" t="n">
        <v>0</v>
      </c>
      <c r="R289" s="2" t="inlineStr"/>
    </row>
    <row r="290" ht="15" customHeight="1">
      <c r="A290" t="inlineStr">
        <is>
          <t>A 42020-2022</t>
        </is>
      </c>
      <c r="B290" s="1" t="n">
        <v>44830.46849537037</v>
      </c>
      <c r="C290" s="1" t="n">
        <v>46040</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11104-2023</t>
        </is>
      </c>
      <c r="B291" s="1" t="n">
        <v>44992</v>
      </c>
      <c r="C291" s="1" t="n">
        <v>46040</v>
      </c>
      <c r="D291" t="inlineStr">
        <is>
          <t>SÖDERMANLANDS LÄN</t>
        </is>
      </c>
      <c r="E291" t="inlineStr">
        <is>
          <t>KATRINEHOLM</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55846-2022</t>
        </is>
      </c>
      <c r="B292" s="1" t="n">
        <v>44888</v>
      </c>
      <c r="C292" s="1" t="n">
        <v>46040</v>
      </c>
      <c r="D292" t="inlineStr">
        <is>
          <t>SÖDERMANLANDS LÄN</t>
        </is>
      </c>
      <c r="E292" t="inlineStr">
        <is>
          <t>KATRINEHOLM</t>
        </is>
      </c>
      <c r="G292" t="n">
        <v>6.5</v>
      </c>
      <c r="H292" t="n">
        <v>0</v>
      </c>
      <c r="I292" t="n">
        <v>0</v>
      </c>
      <c r="J292" t="n">
        <v>0</v>
      </c>
      <c r="K292" t="n">
        <v>0</v>
      </c>
      <c r="L292" t="n">
        <v>0</v>
      </c>
      <c r="M292" t="n">
        <v>0</v>
      </c>
      <c r="N292" t="n">
        <v>0</v>
      </c>
      <c r="O292" t="n">
        <v>0</v>
      </c>
      <c r="P292" t="n">
        <v>0</v>
      </c>
      <c r="Q292" t="n">
        <v>0</v>
      </c>
      <c r="R292" s="2" t="inlineStr"/>
    </row>
    <row r="293" ht="15" customHeight="1">
      <c r="A293" t="inlineStr">
        <is>
          <t>A 42686-2025</t>
        </is>
      </c>
      <c r="B293" s="1" t="n">
        <v>45908.35550925926</v>
      </c>
      <c r="C293" s="1" t="n">
        <v>46040</v>
      </c>
      <c r="D293" t="inlineStr">
        <is>
          <t>SÖDERMANLANDS LÄN</t>
        </is>
      </c>
      <c r="E293" t="inlineStr">
        <is>
          <t>KATRINEHOLM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42799-2025</t>
        </is>
      </c>
      <c r="B294" s="1" t="n">
        <v>45907</v>
      </c>
      <c r="C294" s="1" t="n">
        <v>46040</v>
      </c>
      <c r="D294" t="inlineStr">
        <is>
          <t>SÖDERMANLANDS LÄN</t>
        </is>
      </c>
      <c r="E294" t="inlineStr">
        <is>
          <t>KATRINEHOLM</t>
        </is>
      </c>
      <c r="G294" t="n">
        <v>3.9</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46040</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53722-2023</t>
        </is>
      </c>
      <c r="B296" s="1" t="n">
        <v>45230</v>
      </c>
      <c r="C296" s="1" t="n">
        <v>46040</v>
      </c>
      <c r="D296" t="inlineStr">
        <is>
          <t>SÖDERMANLANDS LÄN</t>
        </is>
      </c>
      <c r="E296" t="inlineStr">
        <is>
          <t>KATRINEHOLM</t>
        </is>
      </c>
      <c r="F296" t="inlineStr">
        <is>
          <t>Allmännings- och besparingsskogar</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55863-2022</t>
        </is>
      </c>
      <c r="B297" s="1" t="n">
        <v>44888</v>
      </c>
      <c r="C297" s="1" t="n">
        <v>46040</v>
      </c>
      <c r="D297" t="inlineStr">
        <is>
          <t>SÖDERMANLANDS LÄN</t>
        </is>
      </c>
      <c r="E297" t="inlineStr">
        <is>
          <t>KATRINEHOLM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55865-2022</t>
        </is>
      </c>
      <c r="B298" s="1" t="n">
        <v>44888</v>
      </c>
      <c r="C298" s="1" t="n">
        <v>46040</v>
      </c>
      <c r="D298" t="inlineStr">
        <is>
          <t>SÖDERMANLANDS LÄN</t>
        </is>
      </c>
      <c r="E298" t="inlineStr">
        <is>
          <t>KATRINEHOLM</t>
        </is>
      </c>
      <c r="G298" t="n">
        <v>9.1</v>
      </c>
      <c r="H298" t="n">
        <v>0</v>
      </c>
      <c r="I298" t="n">
        <v>0</v>
      </c>
      <c r="J298" t="n">
        <v>0</v>
      </c>
      <c r="K298" t="n">
        <v>0</v>
      </c>
      <c r="L298" t="n">
        <v>0</v>
      </c>
      <c r="M298" t="n">
        <v>0</v>
      </c>
      <c r="N298" t="n">
        <v>0</v>
      </c>
      <c r="O298" t="n">
        <v>0</v>
      </c>
      <c r="P298" t="n">
        <v>0</v>
      </c>
      <c r="Q298" t="n">
        <v>0</v>
      </c>
      <c r="R298" s="2" t="inlineStr"/>
    </row>
    <row r="299" ht="15" customHeight="1">
      <c r="A299" t="inlineStr">
        <is>
          <t>A 4387-2024</t>
        </is>
      </c>
      <c r="B299" s="1" t="n">
        <v>45327.35068287037</v>
      </c>
      <c r="C299" s="1" t="n">
        <v>46040</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1106-2026</t>
        </is>
      </c>
      <c r="B300" s="1" t="n">
        <v>46030.67123842592</v>
      </c>
      <c r="C300" s="1" t="n">
        <v>46040</v>
      </c>
      <c r="D300" t="inlineStr">
        <is>
          <t>SÖDERMANLANDS LÄN</t>
        </is>
      </c>
      <c r="E300" t="inlineStr">
        <is>
          <t>KATRINEHOLM</t>
        </is>
      </c>
      <c r="G300" t="n">
        <v>1.5</v>
      </c>
      <c r="H300" t="n">
        <v>0</v>
      </c>
      <c r="I300" t="n">
        <v>0</v>
      </c>
      <c r="J300" t="n">
        <v>0</v>
      </c>
      <c r="K300" t="n">
        <v>0</v>
      </c>
      <c r="L300" t="n">
        <v>0</v>
      </c>
      <c r="M300" t="n">
        <v>0</v>
      </c>
      <c r="N300" t="n">
        <v>0</v>
      </c>
      <c r="O300" t="n">
        <v>0</v>
      </c>
      <c r="P300" t="n">
        <v>0</v>
      </c>
      <c r="Q300" t="n">
        <v>0</v>
      </c>
      <c r="R300" s="2" t="inlineStr"/>
    </row>
    <row r="301" ht="15" customHeight="1">
      <c r="A301" t="inlineStr">
        <is>
          <t>A 1114-2026</t>
        </is>
      </c>
      <c r="B301" s="1" t="n">
        <v>46030.684375</v>
      </c>
      <c r="C301" s="1" t="n">
        <v>46040</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4872-2024</t>
        </is>
      </c>
      <c r="B302" s="1" t="n">
        <v>45329</v>
      </c>
      <c r="C302" s="1" t="n">
        <v>46040</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48520-2023</t>
        </is>
      </c>
      <c r="B303" s="1" t="n">
        <v>45208</v>
      </c>
      <c r="C303" s="1" t="n">
        <v>46040</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56661-2021</t>
        </is>
      </c>
      <c r="B304" s="1" t="n">
        <v>44481.24327546296</v>
      </c>
      <c r="C304" s="1" t="n">
        <v>46040</v>
      </c>
      <c r="D304" t="inlineStr">
        <is>
          <t>SÖDERMANLANDS LÄN</t>
        </is>
      </c>
      <c r="E304" t="inlineStr">
        <is>
          <t>KATRINEHOLM</t>
        </is>
      </c>
      <c r="G304" t="n">
        <v>5.8</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46040</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46040</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29702-2021</t>
        </is>
      </c>
      <c r="B307" s="1" t="n">
        <v>44362</v>
      </c>
      <c r="C307" s="1" t="n">
        <v>46040</v>
      </c>
      <c r="D307" t="inlineStr">
        <is>
          <t>SÖDERMANLANDS LÄN</t>
        </is>
      </c>
      <c r="E307" t="inlineStr">
        <is>
          <t>KATRINEHOLM</t>
        </is>
      </c>
      <c r="F307" t="inlineStr">
        <is>
          <t>Holmen skog AB</t>
        </is>
      </c>
      <c r="G307" t="n">
        <v>0.3</v>
      </c>
      <c r="H307" t="n">
        <v>0</v>
      </c>
      <c r="I307" t="n">
        <v>0</v>
      </c>
      <c r="J307" t="n">
        <v>0</v>
      </c>
      <c r="K307" t="n">
        <v>0</v>
      </c>
      <c r="L307" t="n">
        <v>0</v>
      </c>
      <c r="M307" t="n">
        <v>0</v>
      </c>
      <c r="N307" t="n">
        <v>0</v>
      </c>
      <c r="O307" t="n">
        <v>0</v>
      </c>
      <c r="P307" t="n">
        <v>0</v>
      </c>
      <c r="Q307" t="n">
        <v>0</v>
      </c>
      <c r="R307" s="2" t="inlineStr"/>
    </row>
    <row r="308" ht="15" customHeight="1">
      <c r="A308" t="inlineStr">
        <is>
          <t>A 3986-2024</t>
        </is>
      </c>
      <c r="B308" s="1" t="n">
        <v>45322</v>
      </c>
      <c r="C308" s="1" t="n">
        <v>46040</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10996-2022</t>
        </is>
      </c>
      <c r="B309" s="1" t="n">
        <v>44628</v>
      </c>
      <c r="C309" s="1" t="n">
        <v>46040</v>
      </c>
      <c r="D309" t="inlineStr">
        <is>
          <t>SÖDERMANLANDS LÄN</t>
        </is>
      </c>
      <c r="E309" t="inlineStr">
        <is>
          <t>KATRINEHOLM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42451-2023</t>
        </is>
      </c>
      <c r="B310" s="1" t="n">
        <v>45180</v>
      </c>
      <c r="C310" s="1" t="n">
        <v>46040</v>
      </c>
      <c r="D310" t="inlineStr">
        <is>
          <t>SÖDERMANLANDS LÄN</t>
        </is>
      </c>
      <c r="E310" t="inlineStr">
        <is>
          <t>KATRINEHOLM</t>
        </is>
      </c>
      <c r="G310" t="n">
        <v>3.8</v>
      </c>
      <c r="H310" t="n">
        <v>0</v>
      </c>
      <c r="I310" t="n">
        <v>0</v>
      </c>
      <c r="J310" t="n">
        <v>0</v>
      </c>
      <c r="K310" t="n">
        <v>0</v>
      </c>
      <c r="L310" t="n">
        <v>0</v>
      </c>
      <c r="M310" t="n">
        <v>0</v>
      </c>
      <c r="N310" t="n">
        <v>0</v>
      </c>
      <c r="O310" t="n">
        <v>0</v>
      </c>
      <c r="P310" t="n">
        <v>0</v>
      </c>
      <c r="Q310" t="n">
        <v>0</v>
      </c>
      <c r="R310" s="2" t="inlineStr"/>
    </row>
    <row r="311" ht="15" customHeight="1">
      <c r="A311" t="inlineStr">
        <is>
          <t>A 1098-2026</t>
        </is>
      </c>
      <c r="B311" s="1" t="n">
        <v>46030.66519675926</v>
      </c>
      <c r="C311" s="1" t="n">
        <v>46040</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1112-2026</t>
        </is>
      </c>
      <c r="B312" s="1" t="n">
        <v>46030.68107638889</v>
      </c>
      <c r="C312" s="1" t="n">
        <v>46040</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55795-2023</t>
        </is>
      </c>
      <c r="B313" s="1" t="n">
        <v>45239.54861111111</v>
      </c>
      <c r="C313" s="1" t="n">
        <v>46040</v>
      </c>
      <c r="D313" t="inlineStr">
        <is>
          <t>SÖDERMANLANDS LÄN</t>
        </is>
      </c>
      <c r="E313" t="inlineStr">
        <is>
          <t>KATRINEHOLM</t>
        </is>
      </c>
      <c r="G313" t="n">
        <v>7</v>
      </c>
      <c r="H313" t="n">
        <v>0</v>
      </c>
      <c r="I313" t="n">
        <v>0</v>
      </c>
      <c r="J313" t="n">
        <v>0</v>
      </c>
      <c r="K313" t="n">
        <v>0</v>
      </c>
      <c r="L313" t="n">
        <v>0</v>
      </c>
      <c r="M313" t="n">
        <v>0</v>
      </c>
      <c r="N313" t="n">
        <v>0</v>
      </c>
      <c r="O313" t="n">
        <v>0</v>
      </c>
      <c r="P313" t="n">
        <v>0</v>
      </c>
      <c r="Q313" t="n">
        <v>0</v>
      </c>
      <c r="R313" s="2" t="inlineStr"/>
    </row>
    <row r="314" ht="15" customHeight="1">
      <c r="A314" t="inlineStr">
        <is>
          <t>A 24284-2024</t>
        </is>
      </c>
      <c r="B314" s="1" t="n">
        <v>45457</v>
      </c>
      <c r="C314" s="1" t="n">
        <v>46040</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29502-2023</t>
        </is>
      </c>
      <c r="B315" s="1" t="n">
        <v>45106</v>
      </c>
      <c r="C315" s="1" t="n">
        <v>46040</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13113-2023</t>
        </is>
      </c>
      <c r="B316" s="1" t="n">
        <v>45002</v>
      </c>
      <c r="C316" s="1" t="n">
        <v>46040</v>
      </c>
      <c r="D316" t="inlineStr">
        <is>
          <t>SÖDERMANLANDS LÄN</t>
        </is>
      </c>
      <c r="E316" t="inlineStr">
        <is>
          <t>KATRINEHOLM</t>
        </is>
      </c>
      <c r="F316" t="inlineStr">
        <is>
          <t>Allmännings- och besparingsskogar</t>
        </is>
      </c>
      <c r="G316" t="n">
        <v>3.6</v>
      </c>
      <c r="H316" t="n">
        <v>0</v>
      </c>
      <c r="I316" t="n">
        <v>0</v>
      </c>
      <c r="J316" t="n">
        <v>0</v>
      </c>
      <c r="K316" t="n">
        <v>0</v>
      </c>
      <c r="L316" t="n">
        <v>0</v>
      </c>
      <c r="M316" t="n">
        <v>0</v>
      </c>
      <c r="N316" t="n">
        <v>0</v>
      </c>
      <c r="O316" t="n">
        <v>0</v>
      </c>
      <c r="P316" t="n">
        <v>0</v>
      </c>
      <c r="Q316" t="n">
        <v>0</v>
      </c>
      <c r="R316" s="2" t="inlineStr"/>
    </row>
    <row r="317" ht="15" customHeight="1">
      <c r="A317" t="inlineStr">
        <is>
          <t>A 42111-2022</t>
        </is>
      </c>
      <c r="B317" s="1" t="n">
        <v>44830</v>
      </c>
      <c r="C317" s="1" t="n">
        <v>46040</v>
      </c>
      <c r="D317" t="inlineStr">
        <is>
          <t>SÖDERMANLANDS LÄN</t>
        </is>
      </c>
      <c r="E317" t="inlineStr">
        <is>
          <t>KATRINEHOLM</t>
        </is>
      </c>
      <c r="G317" t="n">
        <v>2.5</v>
      </c>
      <c r="H317" t="n">
        <v>0</v>
      </c>
      <c r="I317" t="n">
        <v>0</v>
      </c>
      <c r="J317" t="n">
        <v>0</v>
      </c>
      <c r="K317" t="n">
        <v>0</v>
      </c>
      <c r="L317" t="n">
        <v>0</v>
      </c>
      <c r="M317" t="n">
        <v>0</v>
      </c>
      <c r="N317" t="n">
        <v>0</v>
      </c>
      <c r="O317" t="n">
        <v>0</v>
      </c>
      <c r="P317" t="n">
        <v>0</v>
      </c>
      <c r="Q317" t="n">
        <v>0</v>
      </c>
      <c r="R317" s="2" t="inlineStr"/>
    </row>
    <row r="318" ht="15" customHeight="1">
      <c r="A318" t="inlineStr">
        <is>
          <t>A 6606-2022</t>
        </is>
      </c>
      <c r="B318" s="1" t="n">
        <v>44601</v>
      </c>
      <c r="C318" s="1" t="n">
        <v>46040</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36767-2022</t>
        </is>
      </c>
      <c r="B319" s="1" t="n">
        <v>44805</v>
      </c>
      <c r="C319" s="1" t="n">
        <v>46040</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27646-2023</t>
        </is>
      </c>
      <c r="B320" s="1" t="n">
        <v>45097</v>
      </c>
      <c r="C320" s="1" t="n">
        <v>46040</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15235-2023</t>
        </is>
      </c>
      <c r="B321" s="1" t="n">
        <v>45019</v>
      </c>
      <c r="C321" s="1" t="n">
        <v>46040</v>
      </c>
      <c r="D321" t="inlineStr">
        <is>
          <t>SÖDERMANLANDS LÄN</t>
        </is>
      </c>
      <c r="E321" t="inlineStr">
        <is>
          <t>KATRINEHOLM</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46040</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46040</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46040</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33752-2023</t>
        </is>
      </c>
      <c r="B325" s="1" t="n">
        <v>45120</v>
      </c>
      <c r="C325" s="1" t="n">
        <v>46040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45376-2022</t>
        </is>
      </c>
      <c r="B326" s="1" t="n">
        <v>44844</v>
      </c>
      <c r="C326" s="1" t="n">
        <v>46040</v>
      </c>
      <c r="D326" t="inlineStr">
        <is>
          <t>SÖDERMANLANDS LÄN</t>
        </is>
      </c>
      <c r="E326" t="inlineStr">
        <is>
          <t>KATRINEHOLM</t>
        </is>
      </c>
      <c r="G326" t="n">
        <v>4.7</v>
      </c>
      <c r="H326" t="n">
        <v>0</v>
      </c>
      <c r="I326" t="n">
        <v>0</v>
      </c>
      <c r="J326" t="n">
        <v>0</v>
      </c>
      <c r="K326" t="n">
        <v>0</v>
      </c>
      <c r="L326" t="n">
        <v>0</v>
      </c>
      <c r="M326" t="n">
        <v>0</v>
      </c>
      <c r="N326" t="n">
        <v>0</v>
      </c>
      <c r="O326" t="n">
        <v>0</v>
      </c>
      <c r="P326" t="n">
        <v>0</v>
      </c>
      <c r="Q326" t="n">
        <v>0</v>
      </c>
      <c r="R326" s="2" t="inlineStr"/>
    </row>
    <row r="327" ht="15" customHeight="1">
      <c r="A327" t="inlineStr">
        <is>
          <t>A 55122-2022</t>
        </is>
      </c>
      <c r="B327" s="1" t="n">
        <v>44886.65092592593</v>
      </c>
      <c r="C327" s="1" t="n">
        <v>46040</v>
      </c>
      <c r="D327" t="inlineStr">
        <is>
          <t>SÖDERMANLANDS LÄN</t>
        </is>
      </c>
      <c r="E327" t="inlineStr">
        <is>
          <t>KATRINEHOLM</t>
        </is>
      </c>
      <c r="G327" t="n">
        <v>6.5</v>
      </c>
      <c r="H327" t="n">
        <v>0</v>
      </c>
      <c r="I327" t="n">
        <v>0</v>
      </c>
      <c r="J327" t="n">
        <v>0</v>
      </c>
      <c r="K327" t="n">
        <v>0</v>
      </c>
      <c r="L327" t="n">
        <v>0</v>
      </c>
      <c r="M327" t="n">
        <v>0</v>
      </c>
      <c r="N327" t="n">
        <v>0</v>
      </c>
      <c r="O327" t="n">
        <v>0</v>
      </c>
      <c r="P327" t="n">
        <v>0</v>
      </c>
      <c r="Q327" t="n">
        <v>0</v>
      </c>
      <c r="R327" s="2" t="inlineStr"/>
    </row>
    <row r="328" ht="15" customHeight="1">
      <c r="A328" t="inlineStr">
        <is>
          <t>A 17746-2024</t>
        </is>
      </c>
      <c r="B328" s="1" t="n">
        <v>45415</v>
      </c>
      <c r="C328" s="1" t="n">
        <v>46040</v>
      </c>
      <c r="D328" t="inlineStr">
        <is>
          <t>SÖDERMANLANDS LÄN</t>
        </is>
      </c>
      <c r="E328" t="inlineStr">
        <is>
          <t>KATRINEHOLM</t>
        </is>
      </c>
      <c r="G328" t="n">
        <v>7.8</v>
      </c>
      <c r="H328" t="n">
        <v>0</v>
      </c>
      <c r="I328" t="n">
        <v>0</v>
      </c>
      <c r="J328" t="n">
        <v>0</v>
      </c>
      <c r="K328" t="n">
        <v>0</v>
      </c>
      <c r="L328" t="n">
        <v>0</v>
      </c>
      <c r="M328" t="n">
        <v>0</v>
      </c>
      <c r="N328" t="n">
        <v>0</v>
      </c>
      <c r="O328" t="n">
        <v>0</v>
      </c>
      <c r="P328" t="n">
        <v>0</v>
      </c>
      <c r="Q328" t="n">
        <v>0</v>
      </c>
      <c r="R328" s="2" t="inlineStr"/>
    </row>
    <row r="329" ht="15" customHeight="1">
      <c r="A329" t="inlineStr">
        <is>
          <t>A 24179-2024</t>
        </is>
      </c>
      <c r="B329" s="1" t="n">
        <v>45456.83059027778</v>
      </c>
      <c r="C329" s="1" t="n">
        <v>46040</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51264-2021</t>
        </is>
      </c>
      <c r="B330" s="1" t="n">
        <v>44461</v>
      </c>
      <c r="C330" s="1" t="n">
        <v>46040</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46040</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1260-2026</t>
        </is>
      </c>
      <c r="B332" s="1" t="n">
        <v>46031.45652777778</v>
      </c>
      <c r="C332" s="1" t="n">
        <v>46040</v>
      </c>
      <c r="D332" t="inlineStr">
        <is>
          <t>SÖDERMANLANDS LÄN</t>
        </is>
      </c>
      <c r="E332" t="inlineStr">
        <is>
          <t>KATRINEHOLM</t>
        </is>
      </c>
      <c r="G332" t="n">
        <v>9.1</v>
      </c>
      <c r="H332" t="n">
        <v>0</v>
      </c>
      <c r="I332" t="n">
        <v>0</v>
      </c>
      <c r="J332" t="n">
        <v>0</v>
      </c>
      <c r="K332" t="n">
        <v>0</v>
      </c>
      <c r="L332" t="n">
        <v>0</v>
      </c>
      <c r="M332" t="n">
        <v>0</v>
      </c>
      <c r="N332" t="n">
        <v>0</v>
      </c>
      <c r="O332" t="n">
        <v>0</v>
      </c>
      <c r="P332" t="n">
        <v>0</v>
      </c>
      <c r="Q332" t="n">
        <v>0</v>
      </c>
      <c r="R332" s="2" t="inlineStr"/>
    </row>
    <row r="333" ht="15" customHeight="1">
      <c r="A333" t="inlineStr">
        <is>
          <t>A 22304-2024</t>
        </is>
      </c>
      <c r="B333" s="1" t="n">
        <v>45446.56626157407</v>
      </c>
      <c r="C333" s="1" t="n">
        <v>46040</v>
      </c>
      <c r="D333" t="inlineStr">
        <is>
          <t>SÖDERMANLANDS LÄN</t>
        </is>
      </c>
      <c r="E333" t="inlineStr">
        <is>
          <t>KATRINEHOLM</t>
        </is>
      </c>
      <c r="F333" t="inlineStr">
        <is>
          <t>Kommuner</t>
        </is>
      </c>
      <c r="G333" t="n">
        <v>0.7</v>
      </c>
      <c r="H333" t="n">
        <v>0</v>
      </c>
      <c r="I333" t="n">
        <v>0</v>
      </c>
      <c r="J333" t="n">
        <v>0</v>
      </c>
      <c r="K333" t="n">
        <v>0</v>
      </c>
      <c r="L333" t="n">
        <v>0</v>
      </c>
      <c r="M333" t="n">
        <v>0</v>
      </c>
      <c r="N333" t="n">
        <v>0</v>
      </c>
      <c r="O333" t="n">
        <v>0</v>
      </c>
      <c r="P333" t="n">
        <v>0</v>
      </c>
      <c r="Q333" t="n">
        <v>0</v>
      </c>
      <c r="R333" s="2" t="inlineStr"/>
    </row>
    <row r="334" ht="15" customHeight="1">
      <c r="A334" t="inlineStr">
        <is>
          <t>A 14224-2024</t>
        </is>
      </c>
      <c r="B334" s="1" t="n">
        <v>45393</v>
      </c>
      <c r="C334" s="1" t="n">
        <v>46040</v>
      </c>
      <c r="D334" t="inlineStr">
        <is>
          <t>SÖDERMANLANDS LÄN</t>
        </is>
      </c>
      <c r="E334" t="inlineStr">
        <is>
          <t>KATRINEHOLM</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23341-2023</t>
        </is>
      </c>
      <c r="B335" s="1" t="n">
        <v>45076</v>
      </c>
      <c r="C335" s="1" t="n">
        <v>46040</v>
      </c>
      <c r="D335" t="inlineStr">
        <is>
          <t>SÖDERMANLANDS LÄN</t>
        </is>
      </c>
      <c r="E335" t="inlineStr">
        <is>
          <t>KATRINEHOLM</t>
        </is>
      </c>
      <c r="G335" t="n">
        <v>3.5</v>
      </c>
      <c r="H335" t="n">
        <v>0</v>
      </c>
      <c r="I335" t="n">
        <v>0</v>
      </c>
      <c r="J335" t="n">
        <v>0</v>
      </c>
      <c r="K335" t="n">
        <v>0</v>
      </c>
      <c r="L335" t="n">
        <v>0</v>
      </c>
      <c r="M335" t="n">
        <v>0</v>
      </c>
      <c r="N335" t="n">
        <v>0</v>
      </c>
      <c r="O335" t="n">
        <v>0</v>
      </c>
      <c r="P335" t="n">
        <v>0</v>
      </c>
      <c r="Q335" t="n">
        <v>0</v>
      </c>
      <c r="R335" s="2" t="inlineStr"/>
    </row>
    <row r="336" ht="15" customHeight="1">
      <c r="A336" t="inlineStr">
        <is>
          <t>A 36366-2023</t>
        </is>
      </c>
      <c r="B336" s="1" t="n">
        <v>45152</v>
      </c>
      <c r="C336" s="1" t="n">
        <v>46040</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36021-2023</t>
        </is>
      </c>
      <c r="B337" s="1" t="n">
        <v>45148</v>
      </c>
      <c r="C337" s="1" t="n">
        <v>46040</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28597-2024</t>
        </is>
      </c>
      <c r="B338" s="1" t="n">
        <v>45478</v>
      </c>
      <c r="C338" s="1" t="n">
        <v>46040</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51128-2021</t>
        </is>
      </c>
      <c r="B339" s="1" t="n">
        <v>44460</v>
      </c>
      <c r="C339" s="1" t="n">
        <v>46040</v>
      </c>
      <c r="D339" t="inlineStr">
        <is>
          <t>SÖDERMANLANDS LÄN</t>
        </is>
      </c>
      <c r="E339" t="inlineStr">
        <is>
          <t>KATRINEHOLM</t>
        </is>
      </c>
      <c r="G339" t="n">
        <v>7.8</v>
      </c>
      <c r="H339" t="n">
        <v>0</v>
      </c>
      <c r="I339" t="n">
        <v>0</v>
      </c>
      <c r="J339" t="n">
        <v>0</v>
      </c>
      <c r="K339" t="n">
        <v>0</v>
      </c>
      <c r="L339" t="n">
        <v>0</v>
      </c>
      <c r="M339" t="n">
        <v>0</v>
      </c>
      <c r="N339" t="n">
        <v>0</v>
      </c>
      <c r="O339" t="n">
        <v>0</v>
      </c>
      <c r="P339" t="n">
        <v>0</v>
      </c>
      <c r="Q339" t="n">
        <v>0</v>
      </c>
      <c r="R339" s="2" t="inlineStr"/>
    </row>
    <row r="340" ht="15" customHeight="1">
      <c r="A340" t="inlineStr">
        <is>
          <t>A 1668-2026</t>
        </is>
      </c>
      <c r="B340" s="1" t="n">
        <v>46034.55986111111</v>
      </c>
      <c r="C340" s="1" t="n">
        <v>46040</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44071-2025</t>
        </is>
      </c>
      <c r="B341" s="1" t="n">
        <v>45915</v>
      </c>
      <c r="C341" s="1" t="n">
        <v>46040</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46040</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29198-2023</t>
        </is>
      </c>
      <c r="B343" s="1" t="n">
        <v>45105</v>
      </c>
      <c r="C343" s="1" t="n">
        <v>46040</v>
      </c>
      <c r="D343" t="inlineStr">
        <is>
          <t>SÖDERMANLANDS LÄN</t>
        </is>
      </c>
      <c r="E343" t="inlineStr">
        <is>
          <t>KATRINEHOLM</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9992-2022</t>
        </is>
      </c>
      <c r="B344" s="1" t="n">
        <v>44621</v>
      </c>
      <c r="C344" s="1" t="n">
        <v>46040</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41267-2023</t>
        </is>
      </c>
      <c r="B345" s="1" t="n">
        <v>45174</v>
      </c>
      <c r="C345" s="1" t="n">
        <v>46040</v>
      </c>
      <c r="D345" t="inlineStr">
        <is>
          <t>SÖDERMANLANDS LÄN</t>
        </is>
      </c>
      <c r="E345" t="inlineStr">
        <is>
          <t>KATRINEHOLM</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63895-2025</t>
        </is>
      </c>
      <c r="B346" s="1" t="n">
        <v>46020</v>
      </c>
      <c r="C346" s="1" t="n">
        <v>46040</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4650-2024</t>
        </is>
      </c>
      <c r="B347" s="1" t="n">
        <v>45328</v>
      </c>
      <c r="C347" s="1" t="n">
        <v>46040</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4652-2024</t>
        </is>
      </c>
      <c r="B348" s="1" t="n">
        <v>45328</v>
      </c>
      <c r="C348" s="1" t="n">
        <v>46040</v>
      </c>
      <c r="D348" t="inlineStr">
        <is>
          <t>SÖDERMANLANDS LÄN</t>
        </is>
      </c>
      <c r="E348" t="inlineStr">
        <is>
          <t>KATRINEHOLM</t>
        </is>
      </c>
      <c r="F348" t="inlineStr">
        <is>
          <t>Övriga Aktiebolag</t>
        </is>
      </c>
      <c r="G348" t="n">
        <v>6.1</v>
      </c>
      <c r="H348" t="n">
        <v>0</v>
      </c>
      <c r="I348" t="n">
        <v>0</v>
      </c>
      <c r="J348" t="n">
        <v>0</v>
      </c>
      <c r="K348" t="n">
        <v>0</v>
      </c>
      <c r="L348" t="n">
        <v>0</v>
      </c>
      <c r="M348" t="n">
        <v>0</v>
      </c>
      <c r="N348" t="n">
        <v>0</v>
      </c>
      <c r="O348" t="n">
        <v>0</v>
      </c>
      <c r="P348" t="n">
        <v>0</v>
      </c>
      <c r="Q348" t="n">
        <v>0</v>
      </c>
      <c r="R348" s="2" t="inlineStr"/>
    </row>
    <row r="349" ht="15" customHeight="1">
      <c r="A349" t="inlineStr">
        <is>
          <t>A 29008-2024</t>
        </is>
      </c>
      <c r="B349" s="1" t="n">
        <v>45481</v>
      </c>
      <c r="C349" s="1" t="n">
        <v>46040</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9936-2023</t>
        </is>
      </c>
      <c r="B350" s="1" t="n">
        <v>44985.47086805556</v>
      </c>
      <c r="C350" s="1" t="n">
        <v>46040</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3980-2024</t>
        </is>
      </c>
      <c r="B351" s="1" t="n">
        <v>45322</v>
      </c>
      <c r="C351" s="1" t="n">
        <v>46040</v>
      </c>
      <c r="D351" t="inlineStr">
        <is>
          <t>SÖDERMANLANDS LÄN</t>
        </is>
      </c>
      <c r="E351" t="inlineStr">
        <is>
          <t>KATRINEHOLM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64713-2023</t>
        </is>
      </c>
      <c r="B352" s="1" t="n">
        <v>45281</v>
      </c>
      <c r="C352" s="1" t="n">
        <v>46040</v>
      </c>
      <c r="D352" t="inlineStr">
        <is>
          <t>SÖDERMANLANDS LÄN</t>
        </is>
      </c>
      <c r="E352" t="inlineStr">
        <is>
          <t>KATRINEHOLM</t>
        </is>
      </c>
      <c r="G352" t="n">
        <v>4.9</v>
      </c>
      <c r="H352" t="n">
        <v>0</v>
      </c>
      <c r="I352" t="n">
        <v>0</v>
      </c>
      <c r="J352" t="n">
        <v>0</v>
      </c>
      <c r="K352" t="n">
        <v>0</v>
      </c>
      <c r="L352" t="n">
        <v>0</v>
      </c>
      <c r="M352" t="n">
        <v>0</v>
      </c>
      <c r="N352" t="n">
        <v>0</v>
      </c>
      <c r="O352" t="n">
        <v>0</v>
      </c>
      <c r="P352" t="n">
        <v>0</v>
      </c>
      <c r="Q352" t="n">
        <v>0</v>
      </c>
      <c r="R352" s="2" t="inlineStr"/>
    </row>
    <row r="353" ht="15" customHeight="1">
      <c r="A353" t="inlineStr">
        <is>
          <t>A 59967-2025</t>
        </is>
      </c>
      <c r="B353" s="1" t="n">
        <v>45993.48525462963</v>
      </c>
      <c r="C353" s="1" t="n">
        <v>46040</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4645-2024</t>
        </is>
      </c>
      <c r="B354" s="1" t="n">
        <v>45328</v>
      </c>
      <c r="C354" s="1" t="n">
        <v>46040</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36001-2024</t>
        </is>
      </c>
      <c r="B355" s="1" t="n">
        <v>45533.54609953704</v>
      </c>
      <c r="C355" s="1" t="n">
        <v>46040</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36832-2023</t>
        </is>
      </c>
      <c r="B356" s="1" t="n">
        <v>45153</v>
      </c>
      <c r="C356" s="1" t="n">
        <v>46040</v>
      </c>
      <c r="D356" t="inlineStr">
        <is>
          <t>SÖDERMANLANDS LÄN</t>
        </is>
      </c>
      <c r="E356" t="inlineStr">
        <is>
          <t>KATRINEHOLM</t>
        </is>
      </c>
      <c r="F356" t="inlineStr">
        <is>
          <t>Övriga Aktiebolag</t>
        </is>
      </c>
      <c r="G356" t="n">
        <v>9</v>
      </c>
      <c r="H356" t="n">
        <v>0</v>
      </c>
      <c r="I356" t="n">
        <v>0</v>
      </c>
      <c r="J356" t="n">
        <v>0</v>
      </c>
      <c r="K356" t="n">
        <v>0</v>
      </c>
      <c r="L356" t="n">
        <v>0</v>
      </c>
      <c r="M356" t="n">
        <v>0</v>
      </c>
      <c r="N356" t="n">
        <v>0</v>
      </c>
      <c r="O356" t="n">
        <v>0</v>
      </c>
      <c r="P356" t="n">
        <v>0</v>
      </c>
      <c r="Q356" t="n">
        <v>0</v>
      </c>
      <c r="R356" s="2" t="inlineStr"/>
    </row>
    <row r="357" ht="15" customHeight="1">
      <c r="A357" t="inlineStr">
        <is>
          <t>A 46288-2025</t>
        </is>
      </c>
      <c r="B357" s="1" t="n">
        <v>45925.38545138889</v>
      </c>
      <c r="C357" s="1" t="n">
        <v>46040</v>
      </c>
      <c r="D357" t="inlineStr">
        <is>
          <t>SÖDERMANLANDS LÄN</t>
        </is>
      </c>
      <c r="E357" t="inlineStr">
        <is>
          <t>KATRINEHOLM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60677-2021</t>
        </is>
      </c>
      <c r="B358" s="1" t="n">
        <v>44495</v>
      </c>
      <c r="C358" s="1" t="n">
        <v>46040</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54873-2025</t>
        </is>
      </c>
      <c r="B359" s="1" t="n">
        <v>45967.30731481482</v>
      </c>
      <c r="C359" s="1" t="n">
        <v>46040</v>
      </c>
      <c r="D359" t="inlineStr">
        <is>
          <t>SÖDERMANLANDS LÄN</t>
        </is>
      </c>
      <c r="E359" t="inlineStr">
        <is>
          <t>KATRINEHOLM</t>
        </is>
      </c>
      <c r="G359" t="n">
        <v>2.7</v>
      </c>
      <c r="H359" t="n">
        <v>0</v>
      </c>
      <c r="I359" t="n">
        <v>0</v>
      </c>
      <c r="J359" t="n">
        <v>0</v>
      </c>
      <c r="K359" t="n">
        <v>0</v>
      </c>
      <c r="L359" t="n">
        <v>0</v>
      </c>
      <c r="M359" t="n">
        <v>0</v>
      </c>
      <c r="N359" t="n">
        <v>0</v>
      </c>
      <c r="O359" t="n">
        <v>0</v>
      </c>
      <c r="P359" t="n">
        <v>0</v>
      </c>
      <c r="Q359" t="n">
        <v>0</v>
      </c>
      <c r="R359" s="2" t="inlineStr"/>
    </row>
    <row r="360" ht="15" customHeight="1">
      <c r="A360" t="inlineStr">
        <is>
          <t>A 28931-2024</t>
        </is>
      </c>
      <c r="B360" s="1" t="n">
        <v>45479</v>
      </c>
      <c r="C360" s="1" t="n">
        <v>46040</v>
      </c>
      <c r="D360" t="inlineStr">
        <is>
          <t>SÖDERMANLANDS LÄN</t>
        </is>
      </c>
      <c r="E360" t="inlineStr">
        <is>
          <t>KATRINEHOLM</t>
        </is>
      </c>
      <c r="G360" t="n">
        <v>7.4</v>
      </c>
      <c r="H360" t="n">
        <v>0</v>
      </c>
      <c r="I360" t="n">
        <v>0</v>
      </c>
      <c r="J360" t="n">
        <v>0</v>
      </c>
      <c r="K360" t="n">
        <v>0</v>
      </c>
      <c r="L360" t="n">
        <v>0</v>
      </c>
      <c r="M360" t="n">
        <v>0</v>
      </c>
      <c r="N360" t="n">
        <v>0</v>
      </c>
      <c r="O360" t="n">
        <v>0</v>
      </c>
      <c r="P360" t="n">
        <v>0</v>
      </c>
      <c r="Q360" t="n">
        <v>0</v>
      </c>
      <c r="R360" s="2" t="inlineStr"/>
    </row>
    <row r="361" ht="15" customHeight="1">
      <c r="A361" t="inlineStr">
        <is>
          <t>A 60678-2025</t>
        </is>
      </c>
      <c r="B361" s="1" t="n">
        <v>45996.56251157408</v>
      </c>
      <c r="C361" s="1" t="n">
        <v>46040</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43088-2022</t>
        </is>
      </c>
      <c r="B362" s="1" t="n">
        <v>44833</v>
      </c>
      <c r="C362" s="1" t="n">
        <v>46040</v>
      </c>
      <c r="D362" t="inlineStr">
        <is>
          <t>SÖDERMANLANDS LÄN</t>
        </is>
      </c>
      <c r="E362" t="inlineStr">
        <is>
          <t>KATRINEHOLM</t>
        </is>
      </c>
      <c r="G362" t="n">
        <v>6.6</v>
      </c>
      <c r="H362" t="n">
        <v>0</v>
      </c>
      <c r="I362" t="n">
        <v>0</v>
      </c>
      <c r="J362" t="n">
        <v>0</v>
      </c>
      <c r="K362" t="n">
        <v>0</v>
      </c>
      <c r="L362" t="n">
        <v>0</v>
      </c>
      <c r="M362" t="n">
        <v>0</v>
      </c>
      <c r="N362" t="n">
        <v>0</v>
      </c>
      <c r="O362" t="n">
        <v>0</v>
      </c>
      <c r="P362" t="n">
        <v>0</v>
      </c>
      <c r="Q362" t="n">
        <v>0</v>
      </c>
      <c r="R362" s="2" t="inlineStr"/>
    </row>
    <row r="363" ht="15" customHeight="1">
      <c r="A363" t="inlineStr">
        <is>
          <t>A 46524-2025</t>
        </is>
      </c>
      <c r="B363" s="1" t="n">
        <v>45926</v>
      </c>
      <c r="C363" s="1" t="n">
        <v>46040</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6810-2023</t>
        </is>
      </c>
      <c r="B364" s="1" t="n">
        <v>44964</v>
      </c>
      <c r="C364" s="1" t="n">
        <v>46040</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32944-2023</t>
        </is>
      </c>
      <c r="B365" s="1" t="n">
        <v>45125</v>
      </c>
      <c r="C365" s="1" t="n">
        <v>46040</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64605-2023</t>
        </is>
      </c>
      <c r="B366" s="1" t="n">
        <v>45281</v>
      </c>
      <c r="C366" s="1" t="n">
        <v>46040</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29977-2023</t>
        </is>
      </c>
      <c r="B367" s="1" t="n">
        <v>45108</v>
      </c>
      <c r="C367" s="1" t="n">
        <v>46040</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5788-2022</t>
        </is>
      </c>
      <c r="B368" s="1" t="n">
        <v>44596.54990740741</v>
      </c>
      <c r="C368" s="1" t="n">
        <v>46040</v>
      </c>
      <c r="D368" t="inlineStr">
        <is>
          <t>SÖDERMANLANDS LÄN</t>
        </is>
      </c>
      <c r="E368" t="inlineStr">
        <is>
          <t>KATRINEHOLM</t>
        </is>
      </c>
      <c r="G368" t="n">
        <v>4.1</v>
      </c>
      <c r="H368" t="n">
        <v>0</v>
      </c>
      <c r="I368" t="n">
        <v>0</v>
      </c>
      <c r="J368" t="n">
        <v>0</v>
      </c>
      <c r="K368" t="n">
        <v>0</v>
      </c>
      <c r="L368" t="n">
        <v>0</v>
      </c>
      <c r="M368" t="n">
        <v>0</v>
      </c>
      <c r="N368" t="n">
        <v>0</v>
      </c>
      <c r="O368" t="n">
        <v>0</v>
      </c>
      <c r="P368" t="n">
        <v>0</v>
      </c>
      <c r="Q368" t="n">
        <v>0</v>
      </c>
      <c r="R368" s="2" t="inlineStr"/>
    </row>
    <row r="369" ht="15" customHeight="1">
      <c r="A369" t="inlineStr">
        <is>
          <t>A 20803-2024</t>
        </is>
      </c>
      <c r="B369" s="1" t="n">
        <v>45438</v>
      </c>
      <c r="C369" s="1" t="n">
        <v>46040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5795-2022</t>
        </is>
      </c>
      <c r="B370" s="1" t="n">
        <v>44596</v>
      </c>
      <c r="C370" s="1" t="n">
        <v>46040</v>
      </c>
      <c r="D370" t="inlineStr">
        <is>
          <t>SÖDERMANLANDS LÄN</t>
        </is>
      </c>
      <c r="E370" t="inlineStr">
        <is>
          <t>KATRINEHOLM</t>
        </is>
      </c>
      <c r="G370" t="n">
        <v>8.1</v>
      </c>
      <c r="H370" t="n">
        <v>0</v>
      </c>
      <c r="I370" t="n">
        <v>0</v>
      </c>
      <c r="J370" t="n">
        <v>0</v>
      </c>
      <c r="K370" t="n">
        <v>0</v>
      </c>
      <c r="L370" t="n">
        <v>0</v>
      </c>
      <c r="M370" t="n">
        <v>0</v>
      </c>
      <c r="N370" t="n">
        <v>0</v>
      </c>
      <c r="O370" t="n">
        <v>0</v>
      </c>
      <c r="P370" t="n">
        <v>0</v>
      </c>
      <c r="Q370" t="n">
        <v>0</v>
      </c>
      <c r="R370" s="2" t="inlineStr"/>
    </row>
    <row r="371" ht="15" customHeight="1">
      <c r="A371" t="inlineStr">
        <is>
          <t>A 2672-2026</t>
        </is>
      </c>
      <c r="B371" s="1" t="n">
        <v>46037</v>
      </c>
      <c r="C371" s="1" t="n">
        <v>46040</v>
      </c>
      <c r="D371" t="inlineStr">
        <is>
          <t>SÖDERMANLANDS LÄN</t>
        </is>
      </c>
      <c r="E371" t="inlineStr">
        <is>
          <t>KATRINEHOLM</t>
        </is>
      </c>
      <c r="G371" t="n">
        <v>2.1</v>
      </c>
      <c r="H371" t="n">
        <v>0</v>
      </c>
      <c r="I371" t="n">
        <v>0</v>
      </c>
      <c r="J371" t="n">
        <v>0</v>
      </c>
      <c r="K371" t="n">
        <v>0</v>
      </c>
      <c r="L371" t="n">
        <v>0</v>
      </c>
      <c r="M371" t="n">
        <v>0</v>
      </c>
      <c r="N371" t="n">
        <v>0</v>
      </c>
      <c r="O371" t="n">
        <v>0</v>
      </c>
      <c r="P371" t="n">
        <v>0</v>
      </c>
      <c r="Q371" t="n">
        <v>0</v>
      </c>
      <c r="R371" s="2" t="inlineStr"/>
    </row>
    <row r="372" ht="15" customHeight="1">
      <c r="A372" t="inlineStr">
        <is>
          <t>A 2473-2026</t>
        </is>
      </c>
      <c r="B372" s="1" t="n">
        <v>46037.37704861111</v>
      </c>
      <c r="C372" s="1" t="n">
        <v>46040</v>
      </c>
      <c r="D372" t="inlineStr">
        <is>
          <t>SÖDERMANLANDS LÄN</t>
        </is>
      </c>
      <c r="E372" t="inlineStr">
        <is>
          <t>KATRINEHOLM</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2913-2026</t>
        </is>
      </c>
      <c r="B373" s="1" t="n">
        <v>46038.56913194444</v>
      </c>
      <c r="C373" s="1" t="n">
        <v>46040</v>
      </c>
      <c r="D373" t="inlineStr">
        <is>
          <t>SÖDERMANLANDS LÄN</t>
        </is>
      </c>
      <c r="E373" t="inlineStr">
        <is>
          <t>KATRINEHOLM</t>
        </is>
      </c>
      <c r="F373" t="inlineStr">
        <is>
          <t>Övriga Aktiebolag</t>
        </is>
      </c>
      <c r="G373" t="n">
        <v>6.2</v>
      </c>
      <c r="H373" t="n">
        <v>0</v>
      </c>
      <c r="I373" t="n">
        <v>0</v>
      </c>
      <c r="J373" t="n">
        <v>0</v>
      </c>
      <c r="K373" t="n">
        <v>0</v>
      </c>
      <c r="L373" t="n">
        <v>0</v>
      </c>
      <c r="M373" t="n">
        <v>0</v>
      </c>
      <c r="N373" t="n">
        <v>0</v>
      </c>
      <c r="O373" t="n">
        <v>0</v>
      </c>
      <c r="P373" t="n">
        <v>0</v>
      </c>
      <c r="Q373" t="n">
        <v>0</v>
      </c>
      <c r="R373" s="2" t="inlineStr"/>
    </row>
    <row r="374" ht="15" customHeight="1">
      <c r="A374" t="inlineStr">
        <is>
          <t>A 2645-2026</t>
        </is>
      </c>
      <c r="B374" s="1" t="n">
        <v>46037.62321759259</v>
      </c>
      <c r="C374" s="1" t="n">
        <v>46040</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3075-2022</t>
        </is>
      </c>
      <c r="B375" s="1" t="n">
        <v>44582</v>
      </c>
      <c r="C375" s="1" t="n">
        <v>46040</v>
      </c>
      <c r="D375" t="inlineStr">
        <is>
          <t>SÖDERMANLANDS LÄN</t>
        </is>
      </c>
      <c r="E375" t="inlineStr">
        <is>
          <t>KATRINEHOLM</t>
        </is>
      </c>
      <c r="G375" t="n">
        <v>3.5</v>
      </c>
      <c r="H375" t="n">
        <v>0</v>
      </c>
      <c r="I375" t="n">
        <v>0</v>
      </c>
      <c r="J375" t="n">
        <v>0</v>
      </c>
      <c r="K375" t="n">
        <v>0</v>
      </c>
      <c r="L375" t="n">
        <v>0</v>
      </c>
      <c r="M375" t="n">
        <v>0</v>
      </c>
      <c r="N375" t="n">
        <v>0</v>
      </c>
      <c r="O375" t="n">
        <v>0</v>
      </c>
      <c r="P375" t="n">
        <v>0</v>
      </c>
      <c r="Q375" t="n">
        <v>0</v>
      </c>
      <c r="R375" s="2" t="inlineStr"/>
    </row>
    <row r="376" ht="15" customHeight="1">
      <c r="A376" t="inlineStr">
        <is>
          <t>A 73409-2021</t>
        </is>
      </c>
      <c r="B376" s="1" t="n">
        <v>44551</v>
      </c>
      <c r="C376" s="1" t="n">
        <v>46040</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73415-2021</t>
        </is>
      </c>
      <c r="B377" s="1" t="n">
        <v>44551</v>
      </c>
      <c r="C377" s="1" t="n">
        <v>46040</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8087-2022</t>
        </is>
      </c>
      <c r="B378" s="1" t="n">
        <v>44609.53502314815</v>
      </c>
      <c r="C378" s="1" t="n">
        <v>46040</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50935-2023</t>
        </is>
      </c>
      <c r="B379" s="1" t="n">
        <v>45211</v>
      </c>
      <c r="C379" s="1" t="n">
        <v>46040</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6298-2024</t>
        </is>
      </c>
      <c r="B380" s="1" t="n">
        <v>45338.34245370371</v>
      </c>
      <c r="C380" s="1" t="n">
        <v>46040</v>
      </c>
      <c r="D380" t="inlineStr">
        <is>
          <t>SÖDERMANLANDS LÄN</t>
        </is>
      </c>
      <c r="E380" t="inlineStr">
        <is>
          <t>KATRINEHOLM</t>
        </is>
      </c>
      <c r="G380" t="n">
        <v>1.4</v>
      </c>
      <c r="H380" t="n">
        <v>0</v>
      </c>
      <c r="I380" t="n">
        <v>0</v>
      </c>
      <c r="J380" t="n">
        <v>0</v>
      </c>
      <c r="K380" t="n">
        <v>0</v>
      </c>
      <c r="L380" t="n">
        <v>0</v>
      </c>
      <c r="M380" t="n">
        <v>0</v>
      </c>
      <c r="N380" t="n">
        <v>0</v>
      </c>
      <c r="O380" t="n">
        <v>0</v>
      </c>
      <c r="P380" t="n">
        <v>0</v>
      </c>
      <c r="Q380" t="n">
        <v>0</v>
      </c>
      <c r="R380" s="2" t="inlineStr"/>
    </row>
    <row r="381" ht="15" customHeight="1">
      <c r="A381" t="inlineStr">
        <is>
          <t>A 33001-2024</t>
        </is>
      </c>
      <c r="B381" s="1" t="n">
        <v>45517</v>
      </c>
      <c r="C381" s="1" t="n">
        <v>46040</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58175-2024</t>
        </is>
      </c>
      <c r="B382" s="1" t="n">
        <v>45632.46648148148</v>
      </c>
      <c r="C382" s="1" t="n">
        <v>46040</v>
      </c>
      <c r="D382" t="inlineStr">
        <is>
          <t>SÖDERMANLANDS LÄN</t>
        </is>
      </c>
      <c r="E382" t="inlineStr">
        <is>
          <t>KATRINEHOLM</t>
        </is>
      </c>
      <c r="G382" t="n">
        <v>1.3</v>
      </c>
      <c r="H382" t="n">
        <v>0</v>
      </c>
      <c r="I382" t="n">
        <v>0</v>
      </c>
      <c r="J382" t="n">
        <v>0</v>
      </c>
      <c r="K382" t="n">
        <v>0</v>
      </c>
      <c r="L382" t="n">
        <v>0</v>
      </c>
      <c r="M382" t="n">
        <v>0</v>
      </c>
      <c r="N382" t="n">
        <v>0</v>
      </c>
      <c r="O382" t="n">
        <v>0</v>
      </c>
      <c r="P382" t="n">
        <v>0</v>
      </c>
      <c r="Q382" t="n">
        <v>0</v>
      </c>
      <c r="R382" s="2" t="inlineStr"/>
    </row>
    <row r="383" ht="15" customHeight="1">
      <c r="A383" t="inlineStr">
        <is>
          <t>A 53715-2023</t>
        </is>
      </c>
      <c r="B383" s="1" t="n">
        <v>45230</v>
      </c>
      <c r="C383" s="1" t="n">
        <v>46040</v>
      </c>
      <c r="D383" t="inlineStr">
        <is>
          <t>SÖDERMANLANDS LÄN</t>
        </is>
      </c>
      <c r="E383" t="inlineStr">
        <is>
          <t>KATRINEHOLM</t>
        </is>
      </c>
      <c r="F383" t="inlineStr">
        <is>
          <t>Allmännings- och besparingsskogar</t>
        </is>
      </c>
      <c r="G383" t="n">
        <v>5.6</v>
      </c>
      <c r="H383" t="n">
        <v>0</v>
      </c>
      <c r="I383" t="n">
        <v>0</v>
      </c>
      <c r="J383" t="n">
        <v>0</v>
      </c>
      <c r="K383" t="n">
        <v>0</v>
      </c>
      <c r="L383" t="n">
        <v>0</v>
      </c>
      <c r="M383" t="n">
        <v>0</v>
      </c>
      <c r="N383" t="n">
        <v>0</v>
      </c>
      <c r="O383" t="n">
        <v>0</v>
      </c>
      <c r="P383" t="n">
        <v>0</v>
      </c>
      <c r="Q383" t="n">
        <v>0</v>
      </c>
      <c r="R383" s="2" t="inlineStr"/>
    </row>
    <row r="384" ht="15" customHeight="1">
      <c r="A384" t="inlineStr">
        <is>
          <t>A 23705-2023</t>
        </is>
      </c>
      <c r="B384" s="1" t="n">
        <v>45077</v>
      </c>
      <c r="C384" s="1" t="n">
        <v>46040</v>
      </c>
      <c r="D384" t="inlineStr">
        <is>
          <t>SÖDERMANLANDS LÄN</t>
        </is>
      </c>
      <c r="E384" t="inlineStr">
        <is>
          <t>KATRINEHOLM</t>
        </is>
      </c>
      <c r="F384" t="inlineStr">
        <is>
          <t>Kyrkan</t>
        </is>
      </c>
      <c r="G384" t="n">
        <v>11.9</v>
      </c>
      <c r="H384" t="n">
        <v>0</v>
      </c>
      <c r="I384" t="n">
        <v>0</v>
      </c>
      <c r="J384" t="n">
        <v>0</v>
      </c>
      <c r="K384" t="n">
        <v>0</v>
      </c>
      <c r="L384" t="n">
        <v>0</v>
      </c>
      <c r="M384" t="n">
        <v>0</v>
      </c>
      <c r="N384" t="n">
        <v>0</v>
      </c>
      <c r="O384" t="n">
        <v>0</v>
      </c>
      <c r="P384" t="n">
        <v>0</v>
      </c>
      <c r="Q384" t="n">
        <v>0</v>
      </c>
      <c r="R384" s="2" t="inlineStr"/>
    </row>
    <row r="385" ht="15" customHeight="1">
      <c r="A385" t="inlineStr">
        <is>
          <t>A 28582-2024</t>
        </is>
      </c>
      <c r="B385" s="1" t="n">
        <v>45478.40751157407</v>
      </c>
      <c r="C385" s="1" t="n">
        <v>46040</v>
      </c>
      <c r="D385" t="inlineStr">
        <is>
          <t>SÖDERMANLANDS LÄN</t>
        </is>
      </c>
      <c r="E385" t="inlineStr">
        <is>
          <t>KATRINEHOLM</t>
        </is>
      </c>
      <c r="F385" t="inlineStr">
        <is>
          <t>Övriga Aktiebolag</t>
        </is>
      </c>
      <c r="G385" t="n">
        <v>4</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46040</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39120-2023</t>
        </is>
      </c>
      <c r="B387" s="1" t="n">
        <v>45165</v>
      </c>
      <c r="C387" s="1" t="n">
        <v>46040</v>
      </c>
      <c r="D387" t="inlineStr">
        <is>
          <t>SÖDERMANLANDS LÄN</t>
        </is>
      </c>
      <c r="E387" t="inlineStr">
        <is>
          <t>KATRINEHOLM</t>
        </is>
      </c>
      <c r="G387" t="n">
        <v>4.4</v>
      </c>
      <c r="H387" t="n">
        <v>0</v>
      </c>
      <c r="I387" t="n">
        <v>0</v>
      </c>
      <c r="J387" t="n">
        <v>0</v>
      </c>
      <c r="K387" t="n">
        <v>0</v>
      </c>
      <c r="L387" t="n">
        <v>0</v>
      </c>
      <c r="M387" t="n">
        <v>0</v>
      </c>
      <c r="N387" t="n">
        <v>0</v>
      </c>
      <c r="O387" t="n">
        <v>0</v>
      </c>
      <c r="P387" t="n">
        <v>0</v>
      </c>
      <c r="Q387" t="n">
        <v>0</v>
      </c>
      <c r="R387" s="2" t="inlineStr"/>
    </row>
    <row r="388" ht="15" customHeight="1">
      <c r="A388" t="inlineStr">
        <is>
          <t>A 26081-2024</t>
        </is>
      </c>
      <c r="B388" s="1" t="n">
        <v>45462</v>
      </c>
      <c r="C388" s="1" t="n">
        <v>46040</v>
      </c>
      <c r="D388" t="inlineStr">
        <is>
          <t>SÖDERMANLANDS LÄN</t>
        </is>
      </c>
      <c r="E388" t="inlineStr">
        <is>
          <t>KATRINEHOLM</t>
        </is>
      </c>
      <c r="G388" t="n">
        <v>4.1</v>
      </c>
      <c r="H388" t="n">
        <v>0</v>
      </c>
      <c r="I388" t="n">
        <v>0</v>
      </c>
      <c r="J388" t="n">
        <v>0</v>
      </c>
      <c r="K388" t="n">
        <v>0</v>
      </c>
      <c r="L388" t="n">
        <v>0</v>
      </c>
      <c r="M388" t="n">
        <v>0</v>
      </c>
      <c r="N388" t="n">
        <v>0</v>
      </c>
      <c r="O388" t="n">
        <v>0</v>
      </c>
      <c r="P388" t="n">
        <v>0</v>
      </c>
      <c r="Q388" t="n">
        <v>0</v>
      </c>
      <c r="R388" s="2" t="inlineStr"/>
    </row>
    <row r="389" ht="15" customHeight="1">
      <c r="A389" t="inlineStr">
        <is>
          <t>A 30242-2023</t>
        </is>
      </c>
      <c r="B389" s="1" t="n">
        <v>45099</v>
      </c>
      <c r="C389" s="1" t="n">
        <v>46040</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51397-2023</t>
        </is>
      </c>
      <c r="B390" s="1" t="n">
        <v>45214</v>
      </c>
      <c r="C390" s="1" t="n">
        <v>46040</v>
      </c>
      <c r="D390" t="inlineStr">
        <is>
          <t>SÖDERMANLANDS LÄN</t>
        </is>
      </c>
      <c r="E390" t="inlineStr">
        <is>
          <t>KATRINEHOLM</t>
        </is>
      </c>
      <c r="G390" t="n">
        <v>4.9</v>
      </c>
      <c r="H390" t="n">
        <v>0</v>
      </c>
      <c r="I390" t="n">
        <v>0</v>
      </c>
      <c r="J390" t="n">
        <v>0</v>
      </c>
      <c r="K390" t="n">
        <v>0</v>
      </c>
      <c r="L390" t="n">
        <v>0</v>
      </c>
      <c r="M390" t="n">
        <v>0</v>
      </c>
      <c r="N390" t="n">
        <v>0</v>
      </c>
      <c r="O390" t="n">
        <v>0</v>
      </c>
      <c r="P390" t="n">
        <v>0</v>
      </c>
      <c r="Q390" t="n">
        <v>0</v>
      </c>
      <c r="R390" s="2" t="inlineStr"/>
    </row>
    <row r="391" ht="15" customHeight="1">
      <c r="A391" t="inlineStr">
        <is>
          <t>A 19452-2023</t>
        </is>
      </c>
      <c r="B391" s="1" t="n">
        <v>45050</v>
      </c>
      <c r="C391" s="1" t="n">
        <v>46040</v>
      </c>
      <c r="D391" t="inlineStr">
        <is>
          <t>SÖDERMANLANDS LÄN</t>
        </is>
      </c>
      <c r="E391" t="inlineStr">
        <is>
          <t>KATRINEHOLM</t>
        </is>
      </c>
      <c r="F391" t="inlineStr">
        <is>
          <t>Holmen skog AB</t>
        </is>
      </c>
      <c r="G391" t="n">
        <v>4.7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46040</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52658-2023</t>
        </is>
      </c>
      <c r="B393" s="1" t="n">
        <v>45225</v>
      </c>
      <c r="C393" s="1" t="n">
        <v>46040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5320-2025</t>
        </is>
      </c>
      <c r="B394" s="1" t="n">
        <v>45692</v>
      </c>
      <c r="C394" s="1" t="n">
        <v>46040</v>
      </c>
      <c r="D394" t="inlineStr">
        <is>
          <t>SÖDERMANLANDS LÄN</t>
        </is>
      </c>
      <c r="E394" t="inlineStr">
        <is>
          <t>KATRINEHOLM</t>
        </is>
      </c>
      <c r="F394" t="inlineStr">
        <is>
          <t>Kommuner</t>
        </is>
      </c>
      <c r="G394" t="n">
        <v>0.9</v>
      </c>
      <c r="H394" t="n">
        <v>0</v>
      </c>
      <c r="I394" t="n">
        <v>0</v>
      </c>
      <c r="J394" t="n">
        <v>0</v>
      </c>
      <c r="K394" t="n">
        <v>0</v>
      </c>
      <c r="L394" t="n">
        <v>0</v>
      </c>
      <c r="M394" t="n">
        <v>0</v>
      </c>
      <c r="N394" t="n">
        <v>0</v>
      </c>
      <c r="O394" t="n">
        <v>0</v>
      </c>
      <c r="P394" t="n">
        <v>0</v>
      </c>
      <c r="Q394" t="n">
        <v>0</v>
      </c>
      <c r="R394" s="2" t="inlineStr"/>
    </row>
    <row r="395" ht="15" customHeight="1">
      <c r="A395" t="inlineStr">
        <is>
          <t>A 69117-2021</t>
        </is>
      </c>
      <c r="B395" s="1" t="n">
        <v>44530.82445601852</v>
      </c>
      <c r="C395" s="1" t="n">
        <v>46040</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2606-2025</t>
        </is>
      </c>
      <c r="B396" s="1" t="n">
        <v>45674</v>
      </c>
      <c r="C396" s="1" t="n">
        <v>46040</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51367-2025</t>
        </is>
      </c>
      <c r="B397" s="1" t="n">
        <v>45950.44700231482</v>
      </c>
      <c r="C397" s="1" t="n">
        <v>46040</v>
      </c>
      <c r="D397" t="inlineStr">
        <is>
          <t>SÖDERMANLANDS LÄN</t>
        </is>
      </c>
      <c r="E397" t="inlineStr">
        <is>
          <t>KATRINEHOLM</t>
        </is>
      </c>
      <c r="G397" t="n">
        <v>2.7</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46040</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34731-2023</t>
        </is>
      </c>
      <c r="B399" s="1" t="n">
        <v>45141</v>
      </c>
      <c r="C399" s="1" t="n">
        <v>46040</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34739-2023</t>
        </is>
      </c>
      <c r="B400" s="1" t="n">
        <v>45141</v>
      </c>
      <c r="C400" s="1" t="n">
        <v>46040</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20480-2022</t>
        </is>
      </c>
      <c r="B401" s="1" t="n">
        <v>44699</v>
      </c>
      <c r="C401" s="1" t="n">
        <v>46040</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38308-2021</t>
        </is>
      </c>
      <c r="B402" s="1" t="n">
        <v>44406</v>
      </c>
      <c r="C402" s="1" t="n">
        <v>46040</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55172-2022</t>
        </is>
      </c>
      <c r="B403" s="1" t="n">
        <v>44886</v>
      </c>
      <c r="C403" s="1" t="n">
        <v>46040</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50017-2023</t>
        </is>
      </c>
      <c r="B404" s="1" t="n">
        <v>45215</v>
      </c>
      <c r="C404" s="1" t="n">
        <v>46040</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50018-2023</t>
        </is>
      </c>
      <c r="B405" s="1" t="n">
        <v>45215</v>
      </c>
      <c r="C405" s="1" t="n">
        <v>46040</v>
      </c>
      <c r="D405" t="inlineStr">
        <is>
          <t>SÖDERMANLANDS LÄN</t>
        </is>
      </c>
      <c r="E405" t="inlineStr">
        <is>
          <t>KATRINEHOLM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28508-2023</t>
        </is>
      </c>
      <c r="B406" s="1" t="n">
        <v>45103.46788194445</v>
      </c>
      <c r="C406" s="1" t="n">
        <v>46040</v>
      </c>
      <c r="D406" t="inlineStr">
        <is>
          <t>SÖDERMANLANDS LÄN</t>
        </is>
      </c>
      <c r="E406" t="inlineStr">
        <is>
          <t>KATRINEHOLM</t>
        </is>
      </c>
      <c r="F406" t="inlineStr">
        <is>
          <t>Kyrkan</t>
        </is>
      </c>
      <c r="G406" t="n">
        <v>20.5</v>
      </c>
      <c r="H406" t="n">
        <v>0</v>
      </c>
      <c r="I406" t="n">
        <v>0</v>
      </c>
      <c r="J406" t="n">
        <v>0</v>
      </c>
      <c r="K406" t="n">
        <v>0</v>
      </c>
      <c r="L406" t="n">
        <v>0</v>
      </c>
      <c r="M406" t="n">
        <v>0</v>
      </c>
      <c r="N406" t="n">
        <v>0</v>
      </c>
      <c r="O406" t="n">
        <v>0</v>
      </c>
      <c r="P406" t="n">
        <v>0</v>
      </c>
      <c r="Q406" t="n">
        <v>0</v>
      </c>
      <c r="R406" s="2" t="inlineStr"/>
    </row>
    <row r="407" ht="15" customHeight="1">
      <c r="A407" t="inlineStr">
        <is>
          <t>A 67337-2021</t>
        </is>
      </c>
      <c r="B407" s="1" t="n">
        <v>44523</v>
      </c>
      <c r="C407" s="1" t="n">
        <v>46040</v>
      </c>
      <c r="D407" t="inlineStr">
        <is>
          <t>SÖDERMANLANDS LÄN</t>
        </is>
      </c>
      <c r="E407" t="inlineStr">
        <is>
          <t>KATRINEHOLM</t>
        </is>
      </c>
      <c r="G407" t="n">
        <v>5.2</v>
      </c>
      <c r="H407" t="n">
        <v>0</v>
      </c>
      <c r="I407" t="n">
        <v>0</v>
      </c>
      <c r="J407" t="n">
        <v>0</v>
      </c>
      <c r="K407" t="n">
        <v>0</v>
      </c>
      <c r="L407" t="n">
        <v>0</v>
      </c>
      <c r="M407" t="n">
        <v>0</v>
      </c>
      <c r="N407" t="n">
        <v>0</v>
      </c>
      <c r="O407" t="n">
        <v>0</v>
      </c>
      <c r="P407" t="n">
        <v>0</v>
      </c>
      <c r="Q407" t="n">
        <v>0</v>
      </c>
      <c r="R407" s="2" t="inlineStr"/>
    </row>
    <row r="408" ht="15" customHeight="1">
      <c r="A408" t="inlineStr">
        <is>
          <t>A 46075-2023</t>
        </is>
      </c>
      <c r="B408" s="1" t="n">
        <v>45196</v>
      </c>
      <c r="C408" s="1" t="n">
        <v>46040</v>
      </c>
      <c r="D408" t="inlineStr">
        <is>
          <t>SÖDERMANLANDS LÄN</t>
        </is>
      </c>
      <c r="E408" t="inlineStr">
        <is>
          <t>KATRINEHOLM</t>
        </is>
      </c>
      <c r="F408" t="inlineStr">
        <is>
          <t>Övriga Aktiebolag</t>
        </is>
      </c>
      <c r="G408" t="n">
        <v>9.5</v>
      </c>
      <c r="H408" t="n">
        <v>0</v>
      </c>
      <c r="I408" t="n">
        <v>0</v>
      </c>
      <c r="J408" t="n">
        <v>0</v>
      </c>
      <c r="K408" t="n">
        <v>0</v>
      </c>
      <c r="L408" t="n">
        <v>0</v>
      </c>
      <c r="M408" t="n">
        <v>0</v>
      </c>
      <c r="N408" t="n">
        <v>0</v>
      </c>
      <c r="O408" t="n">
        <v>0</v>
      </c>
      <c r="P408" t="n">
        <v>0</v>
      </c>
      <c r="Q408" t="n">
        <v>0</v>
      </c>
      <c r="R408" s="2" t="inlineStr"/>
    </row>
    <row r="409" ht="15" customHeight="1">
      <c r="A409" t="inlineStr">
        <is>
          <t>A 25823-2023</t>
        </is>
      </c>
      <c r="B409" s="1" t="n">
        <v>45090.55078703703</v>
      </c>
      <c r="C409" s="1" t="n">
        <v>46040</v>
      </c>
      <c r="D409" t="inlineStr">
        <is>
          <t>SÖDERMANLANDS LÄN</t>
        </is>
      </c>
      <c r="E409" t="inlineStr">
        <is>
          <t>KATRINEHOLM</t>
        </is>
      </c>
      <c r="F409" t="inlineStr">
        <is>
          <t>Kyrkan</t>
        </is>
      </c>
      <c r="G409" t="n">
        <v>10.2</v>
      </c>
      <c r="H409" t="n">
        <v>0</v>
      </c>
      <c r="I409" t="n">
        <v>0</v>
      </c>
      <c r="J409" t="n">
        <v>0</v>
      </c>
      <c r="K409" t="n">
        <v>0</v>
      </c>
      <c r="L409" t="n">
        <v>0</v>
      </c>
      <c r="M409" t="n">
        <v>0</v>
      </c>
      <c r="N409" t="n">
        <v>0</v>
      </c>
      <c r="O409" t="n">
        <v>0</v>
      </c>
      <c r="P409" t="n">
        <v>0</v>
      </c>
      <c r="Q409" t="n">
        <v>0</v>
      </c>
      <c r="R409" s="2" t="inlineStr"/>
    </row>
    <row r="410" ht="15" customHeight="1">
      <c r="A410" t="inlineStr">
        <is>
          <t>A 29394-2024</t>
        </is>
      </c>
      <c r="B410" s="1" t="n">
        <v>45483</v>
      </c>
      <c r="C410" s="1" t="n">
        <v>46040</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50032-2022</t>
        </is>
      </c>
      <c r="B411" s="1" t="n">
        <v>44860</v>
      </c>
      <c r="C411" s="1" t="n">
        <v>46040</v>
      </c>
      <c r="D411" t="inlineStr">
        <is>
          <t>SÖDERMANLANDS LÄN</t>
        </is>
      </c>
      <c r="E411" t="inlineStr">
        <is>
          <t>KATRINEHOLM</t>
        </is>
      </c>
      <c r="G411" t="n">
        <v>7.5</v>
      </c>
      <c r="H411" t="n">
        <v>0</v>
      </c>
      <c r="I411" t="n">
        <v>0</v>
      </c>
      <c r="J411" t="n">
        <v>0</v>
      </c>
      <c r="K411" t="n">
        <v>0</v>
      </c>
      <c r="L411" t="n">
        <v>0</v>
      </c>
      <c r="M411" t="n">
        <v>0</v>
      </c>
      <c r="N411" t="n">
        <v>0</v>
      </c>
      <c r="O411" t="n">
        <v>0</v>
      </c>
      <c r="P411" t="n">
        <v>0</v>
      </c>
      <c r="Q411" t="n">
        <v>0</v>
      </c>
      <c r="R411" s="2" t="inlineStr"/>
    </row>
    <row r="412" ht="15" customHeight="1">
      <c r="A412" t="inlineStr">
        <is>
          <t>A 26713-2024</t>
        </is>
      </c>
      <c r="B412" s="1" t="n">
        <v>45470</v>
      </c>
      <c r="C412" s="1" t="n">
        <v>46040</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43837-2022</t>
        </is>
      </c>
      <c r="B413" s="1" t="n">
        <v>44838</v>
      </c>
      <c r="C413" s="1" t="n">
        <v>46040</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57510-2021</t>
        </is>
      </c>
      <c r="B414" s="1" t="n">
        <v>44483</v>
      </c>
      <c r="C414" s="1" t="n">
        <v>46040</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17360-2022</t>
        </is>
      </c>
      <c r="B415" s="1" t="n">
        <v>44678</v>
      </c>
      <c r="C415" s="1" t="n">
        <v>46040</v>
      </c>
      <c r="D415" t="inlineStr">
        <is>
          <t>SÖDERMANLANDS LÄN</t>
        </is>
      </c>
      <c r="E415" t="inlineStr">
        <is>
          <t>KATRINEHOLM</t>
        </is>
      </c>
      <c r="G415" t="n">
        <v>4.5</v>
      </c>
      <c r="H415" t="n">
        <v>0</v>
      </c>
      <c r="I415" t="n">
        <v>0</v>
      </c>
      <c r="J415" t="n">
        <v>0</v>
      </c>
      <c r="K415" t="n">
        <v>0</v>
      </c>
      <c r="L415" t="n">
        <v>0</v>
      </c>
      <c r="M415" t="n">
        <v>0</v>
      </c>
      <c r="N415" t="n">
        <v>0</v>
      </c>
      <c r="O415" t="n">
        <v>0</v>
      </c>
      <c r="P415" t="n">
        <v>0</v>
      </c>
      <c r="Q415" t="n">
        <v>0</v>
      </c>
      <c r="R415" s="2" t="inlineStr"/>
    </row>
    <row r="416" ht="15" customHeight="1">
      <c r="A416" t="inlineStr">
        <is>
          <t>A 51780-2025</t>
        </is>
      </c>
      <c r="B416" s="1" t="n">
        <v>45951.65725694445</v>
      </c>
      <c r="C416" s="1" t="n">
        <v>46040</v>
      </c>
      <c r="D416" t="inlineStr">
        <is>
          <t>SÖDERMANLANDS LÄN</t>
        </is>
      </c>
      <c r="E416" t="inlineStr">
        <is>
          <t>KATRINEHOLM</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46040</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46040</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55732-2023</t>
        </is>
      </c>
      <c r="B419" s="1" t="n">
        <v>45239</v>
      </c>
      <c r="C419" s="1" t="n">
        <v>46040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52242-2025</t>
        </is>
      </c>
      <c r="B420" s="1" t="n">
        <v>45953.46886574074</v>
      </c>
      <c r="C420" s="1" t="n">
        <v>46040</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46040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52244-2025</t>
        </is>
      </c>
      <c r="B422" s="1" t="n">
        <v>45953</v>
      </c>
      <c r="C422" s="1" t="n">
        <v>46040</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40159-2023</t>
        </is>
      </c>
      <c r="B423" s="1" t="n">
        <v>45169</v>
      </c>
      <c r="C423" s="1" t="n">
        <v>46040</v>
      </c>
      <c r="D423" t="inlineStr">
        <is>
          <t>SÖDERMANLANDS LÄN</t>
        </is>
      </c>
      <c r="E423" t="inlineStr">
        <is>
          <t>KATRINEHOLM</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22295-2024</t>
        </is>
      </c>
      <c r="B424" s="1" t="n">
        <v>45446.56141203704</v>
      </c>
      <c r="C424" s="1" t="n">
        <v>46040</v>
      </c>
      <c r="D424" t="inlineStr">
        <is>
          <t>SÖDERMANLANDS LÄN</t>
        </is>
      </c>
      <c r="E424" t="inlineStr">
        <is>
          <t>KATRINEHOLM</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28675-2024</t>
        </is>
      </c>
      <c r="B425" s="1" t="n">
        <v>45478</v>
      </c>
      <c r="C425" s="1" t="n">
        <v>46040</v>
      </c>
      <c r="D425" t="inlineStr">
        <is>
          <t>SÖDERMANLANDS LÄN</t>
        </is>
      </c>
      <c r="E425" t="inlineStr">
        <is>
          <t>KATRINEHOLM</t>
        </is>
      </c>
      <c r="F425" t="inlineStr">
        <is>
          <t>Övriga Aktiebolag</t>
        </is>
      </c>
      <c r="G425" t="n">
        <v>3.5</v>
      </c>
      <c r="H425" t="n">
        <v>0</v>
      </c>
      <c r="I425" t="n">
        <v>0</v>
      </c>
      <c r="J425" t="n">
        <v>0</v>
      </c>
      <c r="K425" t="n">
        <v>0</v>
      </c>
      <c r="L425" t="n">
        <v>0</v>
      </c>
      <c r="M425" t="n">
        <v>0</v>
      </c>
      <c r="N425" t="n">
        <v>0</v>
      </c>
      <c r="O425" t="n">
        <v>0</v>
      </c>
      <c r="P425" t="n">
        <v>0</v>
      </c>
      <c r="Q425" t="n">
        <v>0</v>
      </c>
      <c r="R425" s="2" t="inlineStr"/>
    </row>
    <row r="426" ht="15" customHeight="1">
      <c r="A426" t="inlineStr">
        <is>
          <t>A 46700-2023</t>
        </is>
      </c>
      <c r="B426" s="1" t="n">
        <v>45194</v>
      </c>
      <c r="C426" s="1" t="n">
        <v>46040</v>
      </c>
      <c r="D426" t="inlineStr">
        <is>
          <t>SÖDERMANLANDS LÄN</t>
        </is>
      </c>
      <c r="E426" t="inlineStr">
        <is>
          <t>KATRINEHOLM</t>
        </is>
      </c>
      <c r="G426" t="n">
        <v>3</v>
      </c>
      <c r="H426" t="n">
        <v>0</v>
      </c>
      <c r="I426" t="n">
        <v>0</v>
      </c>
      <c r="J426" t="n">
        <v>0</v>
      </c>
      <c r="K426" t="n">
        <v>0</v>
      </c>
      <c r="L426" t="n">
        <v>0</v>
      </c>
      <c r="M426" t="n">
        <v>0</v>
      </c>
      <c r="N426" t="n">
        <v>0</v>
      </c>
      <c r="O426" t="n">
        <v>0</v>
      </c>
      <c r="P426" t="n">
        <v>0</v>
      </c>
      <c r="Q426" t="n">
        <v>0</v>
      </c>
      <c r="R426" s="2" t="inlineStr"/>
    </row>
    <row r="427" ht="15" customHeight="1">
      <c r="A427" t="inlineStr">
        <is>
          <t>A 55590-2023</t>
        </is>
      </c>
      <c r="B427" s="1" t="n">
        <v>45238</v>
      </c>
      <c r="C427" s="1" t="n">
        <v>46040</v>
      </c>
      <c r="D427" t="inlineStr">
        <is>
          <t>SÖDERMANLANDS LÄN</t>
        </is>
      </c>
      <c r="E427" t="inlineStr">
        <is>
          <t>KATRINEHOLM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27875-2024</t>
        </is>
      </c>
      <c r="B428" s="1" t="n">
        <v>45475</v>
      </c>
      <c r="C428" s="1" t="n">
        <v>46040</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61121-2025</t>
        </is>
      </c>
      <c r="B429" s="1" t="n">
        <v>46000.46746527778</v>
      </c>
      <c r="C429" s="1" t="n">
        <v>46040</v>
      </c>
      <c r="D429" t="inlineStr">
        <is>
          <t>SÖDERMANLANDS LÄN</t>
        </is>
      </c>
      <c r="E429" t="inlineStr">
        <is>
          <t>KATRINEHOLM</t>
        </is>
      </c>
      <c r="G429" t="n">
        <v>0.2</v>
      </c>
      <c r="H429" t="n">
        <v>0</v>
      </c>
      <c r="I429" t="n">
        <v>0</v>
      </c>
      <c r="J429" t="n">
        <v>0</v>
      </c>
      <c r="K429" t="n">
        <v>0</v>
      </c>
      <c r="L429" t="n">
        <v>0</v>
      </c>
      <c r="M429" t="n">
        <v>0</v>
      </c>
      <c r="N429" t="n">
        <v>0</v>
      </c>
      <c r="O429" t="n">
        <v>0</v>
      </c>
      <c r="P429" t="n">
        <v>0</v>
      </c>
      <c r="Q429" t="n">
        <v>0</v>
      </c>
      <c r="R429" s="2" t="inlineStr"/>
    </row>
    <row r="430" ht="15" customHeight="1">
      <c r="A430" t="inlineStr">
        <is>
          <t>A 27376-2024</t>
        </is>
      </c>
      <c r="B430" s="1" t="n">
        <v>45473.88313657408</v>
      </c>
      <c r="C430" s="1" t="n">
        <v>46040</v>
      </c>
      <c r="D430" t="inlineStr">
        <is>
          <t>SÖDERMANLANDS LÄN</t>
        </is>
      </c>
      <c r="E430" t="inlineStr">
        <is>
          <t>KATRINEHOLM</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15898-2022</t>
        </is>
      </c>
      <c r="B431" s="1" t="n">
        <v>44664.55688657407</v>
      </c>
      <c r="C431" s="1" t="n">
        <v>46040</v>
      </c>
      <c r="D431" t="inlineStr">
        <is>
          <t>SÖDERMANLANDS LÄN</t>
        </is>
      </c>
      <c r="E431" t="inlineStr">
        <is>
          <t>KATRINEHOLM</t>
        </is>
      </c>
      <c r="G431" t="n">
        <v>6.5</v>
      </c>
      <c r="H431" t="n">
        <v>0</v>
      </c>
      <c r="I431" t="n">
        <v>0</v>
      </c>
      <c r="J431" t="n">
        <v>0</v>
      </c>
      <c r="K431" t="n">
        <v>0</v>
      </c>
      <c r="L431" t="n">
        <v>0</v>
      </c>
      <c r="M431" t="n">
        <v>0</v>
      </c>
      <c r="N431" t="n">
        <v>0</v>
      </c>
      <c r="O431" t="n">
        <v>0</v>
      </c>
      <c r="P431" t="n">
        <v>0</v>
      </c>
      <c r="Q431" t="n">
        <v>0</v>
      </c>
      <c r="R431" s="2" t="inlineStr"/>
    </row>
    <row r="432" ht="15" customHeight="1">
      <c r="A432" t="inlineStr">
        <is>
          <t>A 15910-2022</t>
        </is>
      </c>
      <c r="B432" s="1" t="n">
        <v>44664</v>
      </c>
      <c r="C432" s="1" t="n">
        <v>46040</v>
      </c>
      <c r="D432" t="inlineStr">
        <is>
          <t>SÖDERMANLANDS LÄN</t>
        </is>
      </c>
      <c r="E432" t="inlineStr">
        <is>
          <t>KATRINEHOLM</t>
        </is>
      </c>
      <c r="G432" t="n">
        <v>5.6</v>
      </c>
      <c r="H432" t="n">
        <v>0</v>
      </c>
      <c r="I432" t="n">
        <v>0</v>
      </c>
      <c r="J432" t="n">
        <v>0</v>
      </c>
      <c r="K432" t="n">
        <v>0</v>
      </c>
      <c r="L432" t="n">
        <v>0</v>
      </c>
      <c r="M432" t="n">
        <v>0</v>
      </c>
      <c r="N432" t="n">
        <v>0</v>
      </c>
      <c r="O432" t="n">
        <v>0</v>
      </c>
      <c r="P432" t="n">
        <v>0</v>
      </c>
      <c r="Q432" t="n">
        <v>0</v>
      </c>
      <c r="R432" s="2" t="inlineStr"/>
    </row>
    <row r="433" ht="15" customHeight="1">
      <c r="A433" t="inlineStr">
        <is>
          <t>A 28995-2024</t>
        </is>
      </c>
      <c r="B433" s="1" t="n">
        <v>45481.49899305555</v>
      </c>
      <c r="C433" s="1" t="n">
        <v>46040</v>
      </c>
      <c r="D433" t="inlineStr">
        <is>
          <t>SÖDERMANLANDS LÄN</t>
        </is>
      </c>
      <c r="E433" t="inlineStr">
        <is>
          <t>KATRINEHOLM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44989-2022</t>
        </is>
      </c>
      <c r="B434" s="1" t="n">
        <v>44840</v>
      </c>
      <c r="C434" s="1" t="n">
        <v>46040</v>
      </c>
      <c r="D434" t="inlineStr">
        <is>
          <t>SÖDERMANLANDS LÄN</t>
        </is>
      </c>
      <c r="E434" t="inlineStr">
        <is>
          <t>KATRINEHOLM</t>
        </is>
      </c>
      <c r="G434" t="n">
        <v>6</v>
      </c>
      <c r="H434" t="n">
        <v>0</v>
      </c>
      <c r="I434" t="n">
        <v>0</v>
      </c>
      <c r="J434" t="n">
        <v>0</v>
      </c>
      <c r="K434" t="n">
        <v>0</v>
      </c>
      <c r="L434" t="n">
        <v>0</v>
      </c>
      <c r="M434" t="n">
        <v>0</v>
      </c>
      <c r="N434" t="n">
        <v>0</v>
      </c>
      <c r="O434" t="n">
        <v>0</v>
      </c>
      <c r="P434" t="n">
        <v>0</v>
      </c>
      <c r="Q434" t="n">
        <v>0</v>
      </c>
      <c r="R434" s="2" t="inlineStr"/>
    </row>
    <row r="435" ht="15" customHeight="1">
      <c r="A435" t="inlineStr">
        <is>
          <t>A 32818-2023</t>
        </is>
      </c>
      <c r="B435" s="1" t="n">
        <v>45124.55633101852</v>
      </c>
      <c r="C435" s="1" t="n">
        <v>46040</v>
      </c>
      <c r="D435" t="inlineStr">
        <is>
          <t>SÖDERMANLANDS LÄN</t>
        </is>
      </c>
      <c r="E435" t="inlineStr">
        <is>
          <t>KATRINEHOLM</t>
        </is>
      </c>
      <c r="G435" t="n">
        <v>3.4</v>
      </c>
      <c r="H435" t="n">
        <v>0</v>
      </c>
      <c r="I435" t="n">
        <v>0</v>
      </c>
      <c r="J435" t="n">
        <v>0</v>
      </c>
      <c r="K435" t="n">
        <v>0</v>
      </c>
      <c r="L435" t="n">
        <v>0</v>
      </c>
      <c r="M435" t="n">
        <v>0</v>
      </c>
      <c r="N435" t="n">
        <v>0</v>
      </c>
      <c r="O435" t="n">
        <v>0</v>
      </c>
      <c r="P435" t="n">
        <v>0</v>
      </c>
      <c r="Q435" t="n">
        <v>0</v>
      </c>
      <c r="R435" s="2" t="inlineStr"/>
    </row>
    <row r="436" ht="15" customHeight="1">
      <c r="A436" t="inlineStr">
        <is>
          <t>A 48259-2022</t>
        </is>
      </c>
      <c r="B436" s="1" t="n">
        <v>44858</v>
      </c>
      <c r="C436" s="1" t="n">
        <v>46040</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row>
    <row r="437" ht="15" customHeight="1">
      <c r="A437" t="inlineStr">
        <is>
          <t>A 61066-2025</t>
        </is>
      </c>
      <c r="B437" s="1" t="n">
        <v>46000.37695601852</v>
      </c>
      <c r="C437" s="1" t="n">
        <v>46040</v>
      </c>
      <c r="D437" t="inlineStr">
        <is>
          <t>SÖDERMANLANDS LÄN</t>
        </is>
      </c>
      <c r="E437" t="inlineStr">
        <is>
          <t>KATRINEHOLM</t>
        </is>
      </c>
      <c r="F437" t="inlineStr">
        <is>
          <t>Kyrkan</t>
        </is>
      </c>
      <c r="G437" t="n">
        <v>5</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46040</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28992-2024</t>
        </is>
      </c>
      <c r="B439" s="1" t="n">
        <v>45481.49289351852</v>
      </c>
      <c r="C439" s="1" t="n">
        <v>46040</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52744-2025</t>
        </is>
      </c>
      <c r="B440" s="1" t="n">
        <v>45957.38387731482</v>
      </c>
      <c r="C440" s="1" t="n">
        <v>46040</v>
      </c>
      <c r="D440" t="inlineStr">
        <is>
          <t>SÖDERMANLANDS LÄN</t>
        </is>
      </c>
      <c r="E440" t="inlineStr">
        <is>
          <t>KATRINEHOLM</t>
        </is>
      </c>
      <c r="G440" t="n">
        <v>4</v>
      </c>
      <c r="H440" t="n">
        <v>0</v>
      </c>
      <c r="I440" t="n">
        <v>0</v>
      </c>
      <c r="J440" t="n">
        <v>0</v>
      </c>
      <c r="K440" t="n">
        <v>0</v>
      </c>
      <c r="L440" t="n">
        <v>0</v>
      </c>
      <c r="M440" t="n">
        <v>0</v>
      </c>
      <c r="N440" t="n">
        <v>0</v>
      </c>
      <c r="O440" t="n">
        <v>0</v>
      </c>
      <c r="P440" t="n">
        <v>0</v>
      </c>
      <c r="Q440" t="n">
        <v>0</v>
      </c>
      <c r="R440" s="2" t="inlineStr"/>
    </row>
    <row r="441" ht="15" customHeight="1">
      <c r="A441" t="inlineStr">
        <is>
          <t>A 22272-2022</t>
        </is>
      </c>
      <c r="B441" s="1" t="n">
        <v>44712</v>
      </c>
      <c r="C441" s="1" t="n">
        <v>46040</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7322-2023</t>
        </is>
      </c>
      <c r="B442" s="1" t="n">
        <v>44970</v>
      </c>
      <c r="C442" s="1" t="n">
        <v>46040</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2093-2025</t>
        </is>
      </c>
      <c r="B443" s="1" t="n">
        <v>45672</v>
      </c>
      <c r="C443" s="1" t="n">
        <v>46040</v>
      </c>
      <c r="D443" t="inlineStr">
        <is>
          <t>SÖDERMANLANDS LÄN</t>
        </is>
      </c>
      <c r="E443" t="inlineStr">
        <is>
          <t>KATRINEHOLM</t>
        </is>
      </c>
      <c r="G443" t="n">
        <v>1.4</v>
      </c>
      <c r="H443" t="n">
        <v>0</v>
      </c>
      <c r="I443" t="n">
        <v>0</v>
      </c>
      <c r="J443" t="n">
        <v>0</v>
      </c>
      <c r="K443" t="n">
        <v>0</v>
      </c>
      <c r="L443" t="n">
        <v>0</v>
      </c>
      <c r="M443" t="n">
        <v>0</v>
      </c>
      <c r="N443" t="n">
        <v>0</v>
      </c>
      <c r="O443" t="n">
        <v>0</v>
      </c>
      <c r="P443" t="n">
        <v>0</v>
      </c>
      <c r="Q443" t="n">
        <v>0</v>
      </c>
      <c r="R443" s="2" t="inlineStr"/>
    </row>
    <row r="444" ht="15" customHeight="1">
      <c r="A444" t="inlineStr">
        <is>
          <t>A 27334-2023</t>
        </is>
      </c>
      <c r="B444" s="1" t="n">
        <v>45096</v>
      </c>
      <c r="C444" s="1" t="n">
        <v>46040</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27886-2024</t>
        </is>
      </c>
      <c r="B445" s="1" t="n">
        <v>45475</v>
      </c>
      <c r="C445" s="1" t="n">
        <v>46040</v>
      </c>
      <c r="D445" t="inlineStr">
        <is>
          <t>SÖDERMANLANDS LÄN</t>
        </is>
      </c>
      <c r="E445" t="inlineStr">
        <is>
          <t>KATRINEHOLM</t>
        </is>
      </c>
      <c r="G445" t="n">
        <v>10.3</v>
      </c>
      <c r="H445" t="n">
        <v>0</v>
      </c>
      <c r="I445" t="n">
        <v>0</v>
      </c>
      <c r="J445" t="n">
        <v>0</v>
      </c>
      <c r="K445" t="n">
        <v>0</v>
      </c>
      <c r="L445" t="n">
        <v>0</v>
      </c>
      <c r="M445" t="n">
        <v>0</v>
      </c>
      <c r="N445" t="n">
        <v>0</v>
      </c>
      <c r="O445" t="n">
        <v>0</v>
      </c>
      <c r="P445" t="n">
        <v>0</v>
      </c>
      <c r="Q445" t="n">
        <v>0</v>
      </c>
      <c r="R445" s="2" t="inlineStr"/>
    </row>
    <row r="446" ht="15" customHeight="1">
      <c r="A446" t="inlineStr">
        <is>
          <t>A 40186-2023</t>
        </is>
      </c>
      <c r="B446" s="1" t="n">
        <v>45169</v>
      </c>
      <c r="C446" s="1" t="n">
        <v>46040</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47886-2023</t>
        </is>
      </c>
      <c r="B447" s="1" t="n">
        <v>45204</v>
      </c>
      <c r="C447" s="1" t="n">
        <v>46040</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36562-2023</t>
        </is>
      </c>
      <c r="B448" s="1" t="n">
        <v>45153</v>
      </c>
      <c r="C448" s="1" t="n">
        <v>46040</v>
      </c>
      <c r="D448" t="inlineStr">
        <is>
          <t>SÖDERMANLANDS LÄN</t>
        </is>
      </c>
      <c r="E448" t="inlineStr">
        <is>
          <t>KATRINEHOLM</t>
        </is>
      </c>
      <c r="G448" t="n">
        <v>5.8</v>
      </c>
      <c r="H448" t="n">
        <v>0</v>
      </c>
      <c r="I448" t="n">
        <v>0</v>
      </c>
      <c r="J448" t="n">
        <v>0</v>
      </c>
      <c r="K448" t="n">
        <v>0</v>
      </c>
      <c r="L448" t="n">
        <v>0</v>
      </c>
      <c r="M448" t="n">
        <v>0</v>
      </c>
      <c r="N448" t="n">
        <v>0</v>
      </c>
      <c r="O448" t="n">
        <v>0</v>
      </c>
      <c r="P448" t="n">
        <v>0</v>
      </c>
      <c r="Q448" t="n">
        <v>0</v>
      </c>
      <c r="R448" s="2" t="inlineStr"/>
    </row>
    <row r="449" ht="15" customHeight="1">
      <c r="A449" t="inlineStr">
        <is>
          <t>A 25363-2023</t>
        </is>
      </c>
      <c r="B449" s="1" t="n">
        <v>45088.83840277778</v>
      </c>
      <c r="C449" s="1" t="n">
        <v>46040</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34539-2022</t>
        </is>
      </c>
      <c r="B450" s="1" t="n">
        <v>44793.50563657407</v>
      </c>
      <c r="C450" s="1" t="n">
        <v>46040</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row>
    <row r="451" ht="15" customHeight="1">
      <c r="A451" t="inlineStr">
        <is>
          <t>A 41205-2021</t>
        </is>
      </c>
      <c r="B451" s="1" t="n">
        <v>44424.38577546296</v>
      </c>
      <c r="C451" s="1" t="n">
        <v>46040</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6722-2022</t>
        </is>
      </c>
      <c r="B452" s="1" t="n">
        <v>44602</v>
      </c>
      <c r="C452" s="1" t="n">
        <v>46040</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46040</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24748-2024</t>
        </is>
      </c>
      <c r="B454" s="1" t="n">
        <v>45460.66567129629</v>
      </c>
      <c r="C454" s="1" t="n">
        <v>46040</v>
      </c>
      <c r="D454" t="inlineStr">
        <is>
          <t>SÖDERMANLANDS LÄN</t>
        </is>
      </c>
      <c r="E454" t="inlineStr">
        <is>
          <t>KATRINEHOLM</t>
        </is>
      </c>
      <c r="G454" t="n">
        <v>3.3</v>
      </c>
      <c r="H454" t="n">
        <v>0</v>
      </c>
      <c r="I454" t="n">
        <v>0</v>
      </c>
      <c r="J454" t="n">
        <v>0</v>
      </c>
      <c r="K454" t="n">
        <v>0</v>
      </c>
      <c r="L454" t="n">
        <v>0</v>
      </c>
      <c r="M454" t="n">
        <v>0</v>
      </c>
      <c r="N454" t="n">
        <v>0</v>
      </c>
      <c r="O454" t="n">
        <v>0</v>
      </c>
      <c r="P454" t="n">
        <v>0</v>
      </c>
      <c r="Q454" t="n">
        <v>0</v>
      </c>
      <c r="R454" s="2" t="inlineStr"/>
    </row>
    <row r="455" ht="15" customHeight="1">
      <c r="A455" t="inlineStr">
        <is>
          <t>A 61721-2025</t>
        </is>
      </c>
      <c r="B455" s="1" t="n">
        <v>46002.57778935185</v>
      </c>
      <c r="C455" s="1" t="n">
        <v>46040</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5790-2022</t>
        </is>
      </c>
      <c r="B456" s="1" t="n">
        <v>44596.55368055555</v>
      </c>
      <c r="C456" s="1" t="n">
        <v>46040</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53338-2025</t>
        </is>
      </c>
      <c r="B457" s="1" t="n">
        <v>45959.40447916667</v>
      </c>
      <c r="C457" s="1" t="n">
        <v>46040</v>
      </c>
      <c r="D457" t="inlineStr">
        <is>
          <t>SÖDERMANLANDS LÄN</t>
        </is>
      </c>
      <c r="E457" t="inlineStr">
        <is>
          <t>KATRINEHOLM</t>
        </is>
      </c>
      <c r="G457" t="n">
        <v>2.9</v>
      </c>
      <c r="H457" t="n">
        <v>0</v>
      </c>
      <c r="I457" t="n">
        <v>0</v>
      </c>
      <c r="J457" t="n">
        <v>0</v>
      </c>
      <c r="K457" t="n">
        <v>0</v>
      </c>
      <c r="L457" t="n">
        <v>0</v>
      </c>
      <c r="M457" t="n">
        <v>0</v>
      </c>
      <c r="N457" t="n">
        <v>0</v>
      </c>
      <c r="O457" t="n">
        <v>0</v>
      </c>
      <c r="P457" t="n">
        <v>0</v>
      </c>
      <c r="Q457" t="n">
        <v>0</v>
      </c>
      <c r="R457" s="2" t="inlineStr"/>
    </row>
    <row r="458" ht="15" customHeight="1">
      <c r="A458" t="inlineStr">
        <is>
          <t>A 14313-2024</t>
        </is>
      </c>
      <c r="B458" s="1" t="n">
        <v>45393</v>
      </c>
      <c r="C458" s="1" t="n">
        <v>46040</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29397-2024</t>
        </is>
      </c>
      <c r="B459" s="1" t="n">
        <v>45483</v>
      </c>
      <c r="C459" s="1" t="n">
        <v>46040</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40402-2022</t>
        </is>
      </c>
      <c r="B460" s="1" t="n">
        <v>44823.44353009259</v>
      </c>
      <c r="C460" s="1" t="n">
        <v>46040</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17792-2025</t>
        </is>
      </c>
      <c r="B461" s="1" t="n">
        <v>45758</v>
      </c>
      <c r="C461" s="1" t="n">
        <v>46040</v>
      </c>
      <c r="D461" t="inlineStr">
        <is>
          <t>SÖDERMANLANDS LÄN</t>
        </is>
      </c>
      <c r="E461" t="inlineStr">
        <is>
          <t>KATRINEHOLM</t>
        </is>
      </c>
      <c r="G461" t="n">
        <v>4.2</v>
      </c>
      <c r="H461" t="n">
        <v>0</v>
      </c>
      <c r="I461" t="n">
        <v>0</v>
      </c>
      <c r="J461" t="n">
        <v>0</v>
      </c>
      <c r="K461" t="n">
        <v>0</v>
      </c>
      <c r="L461" t="n">
        <v>0</v>
      </c>
      <c r="M461" t="n">
        <v>0</v>
      </c>
      <c r="N461" t="n">
        <v>0</v>
      </c>
      <c r="O461" t="n">
        <v>0</v>
      </c>
      <c r="P461" t="n">
        <v>0</v>
      </c>
      <c r="Q461" t="n">
        <v>0</v>
      </c>
      <c r="R461" s="2" t="inlineStr"/>
    </row>
    <row r="462" ht="15" customHeight="1">
      <c r="A462" t="inlineStr">
        <is>
          <t>A 17820-2025</t>
        </is>
      </c>
      <c r="B462" s="1" t="n">
        <v>45758</v>
      </c>
      <c r="C462" s="1" t="n">
        <v>46040</v>
      </c>
      <c r="D462" t="inlineStr">
        <is>
          <t>SÖDERMANLANDS LÄN</t>
        </is>
      </c>
      <c r="E462" t="inlineStr">
        <is>
          <t>KATRINEHOLM</t>
        </is>
      </c>
      <c r="G462" t="n">
        <v>5.9</v>
      </c>
      <c r="H462" t="n">
        <v>0</v>
      </c>
      <c r="I462" t="n">
        <v>0</v>
      </c>
      <c r="J462" t="n">
        <v>0</v>
      </c>
      <c r="K462" t="n">
        <v>0</v>
      </c>
      <c r="L462" t="n">
        <v>0</v>
      </c>
      <c r="M462" t="n">
        <v>0</v>
      </c>
      <c r="N462" t="n">
        <v>0</v>
      </c>
      <c r="O462" t="n">
        <v>0</v>
      </c>
      <c r="P462" t="n">
        <v>0</v>
      </c>
      <c r="Q462" t="n">
        <v>0</v>
      </c>
      <c r="R462" s="2" t="inlineStr"/>
    </row>
    <row r="463" ht="15" customHeight="1">
      <c r="A463" t="inlineStr">
        <is>
          <t>A 30387-2022</t>
        </is>
      </c>
      <c r="B463" s="1" t="n">
        <v>44760</v>
      </c>
      <c r="C463" s="1" t="n">
        <v>46040</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33469-2025</t>
        </is>
      </c>
      <c r="B464" s="1" t="n">
        <v>45841.48686342593</v>
      </c>
      <c r="C464" s="1" t="n">
        <v>46040</v>
      </c>
      <c r="D464" t="inlineStr">
        <is>
          <t>SÖDERMANLANDS LÄN</t>
        </is>
      </c>
      <c r="E464" t="inlineStr">
        <is>
          <t>KATRINEHOLM</t>
        </is>
      </c>
      <c r="G464" t="n">
        <v>2.1</v>
      </c>
      <c r="H464" t="n">
        <v>0</v>
      </c>
      <c r="I464" t="n">
        <v>0</v>
      </c>
      <c r="J464" t="n">
        <v>0</v>
      </c>
      <c r="K464" t="n">
        <v>0</v>
      </c>
      <c r="L464" t="n">
        <v>0</v>
      </c>
      <c r="M464" t="n">
        <v>0</v>
      </c>
      <c r="N464" t="n">
        <v>0</v>
      </c>
      <c r="O464" t="n">
        <v>0</v>
      </c>
      <c r="P464" t="n">
        <v>0</v>
      </c>
      <c r="Q464" t="n">
        <v>0</v>
      </c>
      <c r="R464" s="2" t="inlineStr"/>
    </row>
    <row r="465" ht="15" customHeight="1">
      <c r="A465" t="inlineStr">
        <is>
          <t>A 33129-2025</t>
        </is>
      </c>
      <c r="B465" s="1" t="n">
        <v>45840.50141203704</v>
      </c>
      <c r="C465" s="1" t="n">
        <v>46040</v>
      </c>
      <c r="D465" t="inlineStr">
        <is>
          <t>SÖDERMANLANDS LÄN</t>
        </is>
      </c>
      <c r="E465" t="inlineStr">
        <is>
          <t>KATRINEHOLM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33278-2024</t>
        </is>
      </c>
      <c r="B466" s="1" t="n">
        <v>45518</v>
      </c>
      <c r="C466" s="1" t="n">
        <v>46040</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41548-2025</t>
        </is>
      </c>
      <c r="B467" s="1" t="n">
        <v>45901</v>
      </c>
      <c r="C467" s="1" t="n">
        <v>46040</v>
      </c>
      <c r="D467" t="inlineStr">
        <is>
          <t>SÖDERMANLANDS LÄN</t>
        </is>
      </c>
      <c r="E467" t="inlineStr">
        <is>
          <t>KATRINEHOLM</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39052-2023</t>
        </is>
      </c>
      <c r="B468" s="1" t="n">
        <v>45163</v>
      </c>
      <c r="C468" s="1" t="n">
        <v>46040</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8922-2024</t>
        </is>
      </c>
      <c r="B469" s="1" t="n">
        <v>45357.38601851852</v>
      </c>
      <c r="C469" s="1" t="n">
        <v>46040</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33096-2025</t>
        </is>
      </c>
      <c r="B470" s="1" t="n">
        <v>45840.47563657408</v>
      </c>
      <c r="C470" s="1" t="n">
        <v>46040</v>
      </c>
      <c r="D470" t="inlineStr">
        <is>
          <t>SÖDERMANLANDS LÄN</t>
        </is>
      </c>
      <c r="E470" t="inlineStr">
        <is>
          <t>KATRINEHOLM</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33077-2025</t>
        </is>
      </c>
      <c r="B471" s="1" t="n">
        <v>45840.45864583334</v>
      </c>
      <c r="C471" s="1" t="n">
        <v>46040</v>
      </c>
      <c r="D471" t="inlineStr">
        <is>
          <t>SÖDERMANLANDS LÄN</t>
        </is>
      </c>
      <c r="E471" t="inlineStr">
        <is>
          <t>KATRINEHOLM</t>
        </is>
      </c>
      <c r="G471" t="n">
        <v>7</v>
      </c>
      <c r="H471" t="n">
        <v>0</v>
      </c>
      <c r="I471" t="n">
        <v>0</v>
      </c>
      <c r="J471" t="n">
        <v>0</v>
      </c>
      <c r="K471" t="n">
        <v>0</v>
      </c>
      <c r="L471" t="n">
        <v>0</v>
      </c>
      <c r="M471" t="n">
        <v>0</v>
      </c>
      <c r="N471" t="n">
        <v>0</v>
      </c>
      <c r="O471" t="n">
        <v>0</v>
      </c>
      <c r="P471" t="n">
        <v>0</v>
      </c>
      <c r="Q471" t="n">
        <v>0</v>
      </c>
      <c r="R471" s="2" t="inlineStr"/>
    </row>
    <row r="472" ht="15" customHeight="1">
      <c r="A472" t="inlineStr">
        <is>
          <t>A 33101-2025</t>
        </is>
      </c>
      <c r="B472" s="1" t="n">
        <v>45840.47953703703</v>
      </c>
      <c r="C472" s="1" t="n">
        <v>46040</v>
      </c>
      <c r="D472" t="inlineStr">
        <is>
          <t>SÖDERMANLANDS LÄN</t>
        </is>
      </c>
      <c r="E472" t="inlineStr">
        <is>
          <t>KATRINEHOLM</t>
        </is>
      </c>
      <c r="G472" t="n">
        <v>4.4</v>
      </c>
      <c r="H472" t="n">
        <v>0</v>
      </c>
      <c r="I472" t="n">
        <v>0</v>
      </c>
      <c r="J472" t="n">
        <v>0</v>
      </c>
      <c r="K472" t="n">
        <v>0</v>
      </c>
      <c r="L472" t="n">
        <v>0</v>
      </c>
      <c r="M472" t="n">
        <v>0</v>
      </c>
      <c r="N472" t="n">
        <v>0</v>
      </c>
      <c r="O472" t="n">
        <v>0</v>
      </c>
      <c r="P472" t="n">
        <v>0</v>
      </c>
      <c r="Q472" t="n">
        <v>0</v>
      </c>
      <c r="R472" s="2" t="inlineStr"/>
    </row>
    <row r="473" ht="15" customHeight="1">
      <c r="A473" t="inlineStr">
        <is>
          <t>A 54359-2025</t>
        </is>
      </c>
      <c r="B473" s="1" t="n">
        <v>45964</v>
      </c>
      <c r="C473" s="1" t="n">
        <v>46040</v>
      </c>
      <c r="D473" t="inlineStr">
        <is>
          <t>SÖDERMANLANDS LÄN</t>
        </is>
      </c>
      <c r="E473" t="inlineStr">
        <is>
          <t>KATRINEHOLM</t>
        </is>
      </c>
      <c r="G473" t="n">
        <v>2.5</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46040</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9714-2024</t>
        </is>
      </c>
      <c r="B475" s="1" t="n">
        <v>45362</v>
      </c>
      <c r="C475" s="1" t="n">
        <v>46040</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48160-2022</t>
        </is>
      </c>
      <c r="B476" s="1" t="n">
        <v>44853</v>
      </c>
      <c r="C476" s="1" t="n">
        <v>46040</v>
      </c>
      <c r="D476" t="inlineStr">
        <is>
          <t>SÖDERMANLANDS LÄN</t>
        </is>
      </c>
      <c r="E476" t="inlineStr">
        <is>
          <t>KATRINEHOLM</t>
        </is>
      </c>
      <c r="F476" t="inlineStr">
        <is>
          <t>Övriga statliga verk och myndigheter</t>
        </is>
      </c>
      <c r="G476" t="n">
        <v>2.2</v>
      </c>
      <c r="H476" t="n">
        <v>0</v>
      </c>
      <c r="I476" t="n">
        <v>0</v>
      </c>
      <c r="J476" t="n">
        <v>0</v>
      </c>
      <c r="K476" t="n">
        <v>0</v>
      </c>
      <c r="L476" t="n">
        <v>0</v>
      </c>
      <c r="M476" t="n">
        <v>0</v>
      </c>
      <c r="N476" t="n">
        <v>0</v>
      </c>
      <c r="O476" t="n">
        <v>0</v>
      </c>
      <c r="P476" t="n">
        <v>0</v>
      </c>
      <c r="Q476" t="n">
        <v>0</v>
      </c>
      <c r="R476" s="2" t="inlineStr"/>
    </row>
    <row r="477" ht="15" customHeight="1">
      <c r="A477" t="inlineStr">
        <is>
          <t>A 28317-2024</t>
        </is>
      </c>
      <c r="B477" s="1" t="n">
        <v>45477</v>
      </c>
      <c r="C477" s="1" t="n">
        <v>46040</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24619-2024</t>
        </is>
      </c>
      <c r="B478" s="1" t="n">
        <v>45460</v>
      </c>
      <c r="C478" s="1" t="n">
        <v>46040</v>
      </c>
      <c r="D478" t="inlineStr">
        <is>
          <t>SÖDERMANLANDS LÄN</t>
        </is>
      </c>
      <c r="E478" t="inlineStr">
        <is>
          <t>KATRINEHOLM</t>
        </is>
      </c>
      <c r="G478" t="n">
        <v>4.7</v>
      </c>
      <c r="H478" t="n">
        <v>0</v>
      </c>
      <c r="I478" t="n">
        <v>0</v>
      </c>
      <c r="J478" t="n">
        <v>0</v>
      </c>
      <c r="K478" t="n">
        <v>0</v>
      </c>
      <c r="L478" t="n">
        <v>0</v>
      </c>
      <c r="M478" t="n">
        <v>0</v>
      </c>
      <c r="N478" t="n">
        <v>0</v>
      </c>
      <c r="O478" t="n">
        <v>0</v>
      </c>
      <c r="P478" t="n">
        <v>0</v>
      </c>
      <c r="Q478" t="n">
        <v>0</v>
      </c>
      <c r="R478" s="2" t="inlineStr"/>
    </row>
    <row r="479" ht="15" customHeight="1">
      <c r="A479" t="inlineStr">
        <is>
          <t>A 9699-2024</t>
        </is>
      </c>
      <c r="B479" s="1" t="n">
        <v>45362</v>
      </c>
      <c r="C479" s="1" t="n">
        <v>46040</v>
      </c>
      <c r="D479" t="inlineStr">
        <is>
          <t>SÖDERMANLANDS LÄN</t>
        </is>
      </c>
      <c r="E479" t="inlineStr">
        <is>
          <t>KATRINEHOLM</t>
        </is>
      </c>
      <c r="G479" t="n">
        <v>7.7</v>
      </c>
      <c r="H479" t="n">
        <v>0</v>
      </c>
      <c r="I479" t="n">
        <v>0</v>
      </c>
      <c r="J479" t="n">
        <v>0</v>
      </c>
      <c r="K479" t="n">
        <v>0</v>
      </c>
      <c r="L479" t="n">
        <v>0</v>
      </c>
      <c r="M479" t="n">
        <v>0</v>
      </c>
      <c r="N479" t="n">
        <v>0</v>
      </c>
      <c r="O479" t="n">
        <v>0</v>
      </c>
      <c r="P479" t="n">
        <v>0</v>
      </c>
      <c r="Q479" t="n">
        <v>0</v>
      </c>
      <c r="R479" s="2" t="inlineStr"/>
    </row>
    <row r="480" ht="15" customHeight="1">
      <c r="A480" t="inlineStr">
        <is>
          <t>A 66393-2021</t>
        </is>
      </c>
      <c r="B480" s="1" t="n">
        <v>44518</v>
      </c>
      <c r="C480" s="1" t="n">
        <v>46040</v>
      </c>
      <c r="D480" t="inlineStr">
        <is>
          <t>SÖDERMANLANDS LÄN</t>
        </is>
      </c>
      <c r="E480" t="inlineStr">
        <is>
          <t>KATRINEHOLM</t>
        </is>
      </c>
      <c r="F480" t="inlineStr">
        <is>
          <t>Holmen skog AB</t>
        </is>
      </c>
      <c r="G480" t="n">
        <v>0.4</v>
      </c>
      <c r="H480" t="n">
        <v>0</v>
      </c>
      <c r="I480" t="n">
        <v>0</v>
      </c>
      <c r="J480" t="n">
        <v>0</v>
      </c>
      <c r="K480" t="n">
        <v>0</v>
      </c>
      <c r="L480" t="n">
        <v>0</v>
      </c>
      <c r="M480" t="n">
        <v>0</v>
      </c>
      <c r="N480" t="n">
        <v>0</v>
      </c>
      <c r="O480" t="n">
        <v>0</v>
      </c>
      <c r="P480" t="n">
        <v>0</v>
      </c>
      <c r="Q480" t="n">
        <v>0</v>
      </c>
      <c r="R480" s="2" t="inlineStr"/>
    </row>
    <row r="481" ht="15" customHeight="1">
      <c r="A481" t="inlineStr">
        <is>
          <t>A 47134-2022</t>
        </is>
      </c>
      <c r="B481" s="1" t="n">
        <v>44851</v>
      </c>
      <c r="C481" s="1" t="n">
        <v>46040</v>
      </c>
      <c r="D481" t="inlineStr">
        <is>
          <t>SÖDERMANLANDS LÄN</t>
        </is>
      </c>
      <c r="E481" t="inlineStr">
        <is>
          <t>KATRINEHOLM</t>
        </is>
      </c>
      <c r="F481" t="inlineStr">
        <is>
          <t>Övriga statliga verk och myndigheter</t>
        </is>
      </c>
      <c r="G481" t="n">
        <v>1.5</v>
      </c>
      <c r="H481" t="n">
        <v>0</v>
      </c>
      <c r="I481" t="n">
        <v>0</v>
      </c>
      <c r="J481" t="n">
        <v>0</v>
      </c>
      <c r="K481" t="n">
        <v>0</v>
      </c>
      <c r="L481" t="n">
        <v>0</v>
      </c>
      <c r="M481" t="n">
        <v>0</v>
      </c>
      <c r="N481" t="n">
        <v>0</v>
      </c>
      <c r="O481" t="n">
        <v>0</v>
      </c>
      <c r="P481" t="n">
        <v>0</v>
      </c>
      <c r="Q481" t="n">
        <v>0</v>
      </c>
      <c r="R481" s="2" t="inlineStr"/>
    </row>
    <row r="482" ht="15" customHeight="1">
      <c r="A482" t="inlineStr">
        <is>
          <t>A 1143-2024</t>
        </is>
      </c>
      <c r="B482" s="1" t="n">
        <v>45302</v>
      </c>
      <c r="C482" s="1" t="n">
        <v>46040</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3982-2024</t>
        </is>
      </c>
      <c r="B483" s="1" t="n">
        <v>45322</v>
      </c>
      <c r="C483" s="1" t="n">
        <v>46040</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57263-2022</t>
        </is>
      </c>
      <c r="B484" s="1" t="n">
        <v>44895</v>
      </c>
      <c r="C484" s="1" t="n">
        <v>46040</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46040</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28431-2024</t>
        </is>
      </c>
      <c r="B486" s="1" t="n">
        <v>45477.65216435185</v>
      </c>
      <c r="C486" s="1" t="n">
        <v>46040</v>
      </c>
      <c r="D486" t="inlineStr">
        <is>
          <t>SÖDERMANLANDS LÄN</t>
        </is>
      </c>
      <c r="E486" t="inlineStr">
        <is>
          <t>KATRINEHOLM</t>
        </is>
      </c>
      <c r="G486" t="n">
        <v>3.5</v>
      </c>
      <c r="H486" t="n">
        <v>0</v>
      </c>
      <c r="I486" t="n">
        <v>0</v>
      </c>
      <c r="J486" t="n">
        <v>0</v>
      </c>
      <c r="K486" t="n">
        <v>0</v>
      </c>
      <c r="L486" t="n">
        <v>0</v>
      </c>
      <c r="M486" t="n">
        <v>0</v>
      </c>
      <c r="N486" t="n">
        <v>0</v>
      </c>
      <c r="O486" t="n">
        <v>0</v>
      </c>
      <c r="P486" t="n">
        <v>0</v>
      </c>
      <c r="Q486" t="n">
        <v>0</v>
      </c>
      <c r="R486" s="2" t="inlineStr"/>
    </row>
    <row r="487" ht="15" customHeight="1">
      <c r="A487" t="inlineStr">
        <is>
          <t>A 14239-2024</t>
        </is>
      </c>
      <c r="B487" s="1" t="n">
        <v>45393</v>
      </c>
      <c r="C487" s="1" t="n">
        <v>46040</v>
      </c>
      <c r="D487" t="inlineStr">
        <is>
          <t>SÖDERMANLANDS LÄN</t>
        </is>
      </c>
      <c r="E487" t="inlineStr">
        <is>
          <t>KATRINEHOLM</t>
        </is>
      </c>
      <c r="G487" t="n">
        <v>2.7</v>
      </c>
      <c r="H487" t="n">
        <v>0</v>
      </c>
      <c r="I487" t="n">
        <v>0</v>
      </c>
      <c r="J487" t="n">
        <v>0</v>
      </c>
      <c r="K487" t="n">
        <v>0</v>
      </c>
      <c r="L487" t="n">
        <v>0</v>
      </c>
      <c r="M487" t="n">
        <v>0</v>
      </c>
      <c r="N487" t="n">
        <v>0</v>
      </c>
      <c r="O487" t="n">
        <v>0</v>
      </c>
      <c r="P487" t="n">
        <v>0</v>
      </c>
      <c r="Q487" t="n">
        <v>0</v>
      </c>
      <c r="R487" s="2" t="inlineStr"/>
    </row>
    <row r="488" ht="15" customHeight="1">
      <c r="A488" t="inlineStr">
        <is>
          <t>A 14248-2024</t>
        </is>
      </c>
      <c r="B488" s="1" t="n">
        <v>45393</v>
      </c>
      <c r="C488" s="1" t="n">
        <v>46040</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11635-2023</t>
        </is>
      </c>
      <c r="B489" s="1" t="n">
        <v>44994</v>
      </c>
      <c r="C489" s="1" t="n">
        <v>46040</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55029-2025</t>
        </is>
      </c>
      <c r="B490" s="1" t="n">
        <v>45967.63784722222</v>
      </c>
      <c r="C490" s="1" t="n">
        <v>46040</v>
      </c>
      <c r="D490" t="inlineStr">
        <is>
          <t>SÖDERMANLANDS LÄN</t>
        </is>
      </c>
      <c r="E490" t="inlineStr">
        <is>
          <t>KATRINEHOLM</t>
        </is>
      </c>
      <c r="G490" t="n">
        <v>10.1</v>
      </c>
      <c r="H490" t="n">
        <v>0</v>
      </c>
      <c r="I490" t="n">
        <v>0</v>
      </c>
      <c r="J490" t="n">
        <v>0</v>
      </c>
      <c r="K490" t="n">
        <v>0</v>
      </c>
      <c r="L490" t="n">
        <v>0</v>
      </c>
      <c r="M490" t="n">
        <v>0</v>
      </c>
      <c r="N490" t="n">
        <v>0</v>
      </c>
      <c r="O490" t="n">
        <v>0</v>
      </c>
      <c r="P490" t="n">
        <v>0</v>
      </c>
      <c r="Q490" t="n">
        <v>0</v>
      </c>
      <c r="R490" s="2" t="inlineStr"/>
    </row>
    <row r="491" ht="15" customHeight="1">
      <c r="A491" t="inlineStr">
        <is>
          <t>A 62418-2023</t>
        </is>
      </c>
      <c r="B491" s="1" t="n">
        <v>45268</v>
      </c>
      <c r="C491" s="1" t="n">
        <v>46040</v>
      </c>
      <c r="D491" t="inlineStr">
        <is>
          <t>SÖDERMANLANDS LÄN</t>
        </is>
      </c>
      <c r="E491" t="inlineStr">
        <is>
          <t>KATRINEHOLM</t>
        </is>
      </c>
      <c r="G491" t="n">
        <v>3</v>
      </c>
      <c r="H491" t="n">
        <v>0</v>
      </c>
      <c r="I491" t="n">
        <v>0</v>
      </c>
      <c r="J491" t="n">
        <v>0</v>
      </c>
      <c r="K491" t="n">
        <v>0</v>
      </c>
      <c r="L491" t="n">
        <v>0</v>
      </c>
      <c r="M491" t="n">
        <v>0</v>
      </c>
      <c r="N491" t="n">
        <v>0</v>
      </c>
      <c r="O491" t="n">
        <v>0</v>
      </c>
      <c r="P491" t="n">
        <v>0</v>
      </c>
      <c r="Q491" t="n">
        <v>0</v>
      </c>
      <c r="R491" s="2" t="inlineStr"/>
    </row>
    <row r="492" ht="15" customHeight="1">
      <c r="A492" t="inlineStr">
        <is>
          <t>A 10932-2023</t>
        </is>
      </c>
      <c r="B492" s="1" t="n">
        <v>44985</v>
      </c>
      <c r="C492" s="1" t="n">
        <v>46040</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46040</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46040</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54999-2025</t>
        </is>
      </c>
      <c r="B495" s="1" t="n">
        <v>45967.59880787037</v>
      </c>
      <c r="C495" s="1" t="n">
        <v>46040</v>
      </c>
      <c r="D495" t="inlineStr">
        <is>
          <t>SÖDERMANLANDS LÄN</t>
        </is>
      </c>
      <c r="E495" t="inlineStr">
        <is>
          <t>KATRINEHOLM</t>
        </is>
      </c>
      <c r="G495" t="n">
        <v>8.5</v>
      </c>
      <c r="H495" t="n">
        <v>0</v>
      </c>
      <c r="I495" t="n">
        <v>0</v>
      </c>
      <c r="J495" t="n">
        <v>0</v>
      </c>
      <c r="K495" t="n">
        <v>0</v>
      </c>
      <c r="L495" t="n">
        <v>0</v>
      </c>
      <c r="M495" t="n">
        <v>0</v>
      </c>
      <c r="N495" t="n">
        <v>0</v>
      </c>
      <c r="O495" t="n">
        <v>0</v>
      </c>
      <c r="P495" t="n">
        <v>0</v>
      </c>
      <c r="Q495" t="n">
        <v>0</v>
      </c>
      <c r="R495" s="2" t="inlineStr"/>
    </row>
    <row r="496" ht="15" customHeight="1">
      <c r="A496" t="inlineStr">
        <is>
          <t>A 66540-2021</t>
        </is>
      </c>
      <c r="B496" s="1" t="n">
        <v>44519</v>
      </c>
      <c r="C496" s="1" t="n">
        <v>46040</v>
      </c>
      <c r="D496" t="inlineStr">
        <is>
          <t>SÖDERMANLANDS LÄN</t>
        </is>
      </c>
      <c r="E496" t="inlineStr">
        <is>
          <t>KATRINEHOLM</t>
        </is>
      </c>
      <c r="F496" t="inlineStr">
        <is>
          <t>Holmen skog AB</t>
        </is>
      </c>
      <c r="G496" t="n">
        <v>0.4</v>
      </c>
      <c r="H496" t="n">
        <v>0</v>
      </c>
      <c r="I496" t="n">
        <v>0</v>
      </c>
      <c r="J496" t="n">
        <v>0</v>
      </c>
      <c r="K496" t="n">
        <v>0</v>
      </c>
      <c r="L496" t="n">
        <v>0</v>
      </c>
      <c r="M496" t="n">
        <v>0</v>
      </c>
      <c r="N496" t="n">
        <v>0</v>
      </c>
      <c r="O496" t="n">
        <v>0</v>
      </c>
      <c r="P496" t="n">
        <v>0</v>
      </c>
      <c r="Q496" t="n">
        <v>0</v>
      </c>
      <c r="R496" s="2" t="inlineStr"/>
    </row>
    <row r="497" ht="15" customHeight="1">
      <c r="A497" t="inlineStr">
        <is>
          <t>A 6087-2022</t>
        </is>
      </c>
      <c r="B497" s="1" t="n">
        <v>44599.61034722222</v>
      </c>
      <c r="C497" s="1" t="n">
        <v>46040</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8957-2024</t>
        </is>
      </c>
      <c r="B498" s="1" t="n">
        <v>45357.45089120371</v>
      </c>
      <c r="C498" s="1" t="n">
        <v>46040</v>
      </c>
      <c r="D498" t="inlineStr">
        <is>
          <t>SÖDERMANLANDS LÄN</t>
        </is>
      </c>
      <c r="E498" t="inlineStr">
        <is>
          <t>KATRINEHOLM</t>
        </is>
      </c>
      <c r="G498" t="n">
        <v>3.6</v>
      </c>
      <c r="H498" t="n">
        <v>0</v>
      </c>
      <c r="I498" t="n">
        <v>0</v>
      </c>
      <c r="J498" t="n">
        <v>0</v>
      </c>
      <c r="K498" t="n">
        <v>0</v>
      </c>
      <c r="L498" t="n">
        <v>0</v>
      </c>
      <c r="M498" t="n">
        <v>0</v>
      </c>
      <c r="N498" t="n">
        <v>0</v>
      </c>
      <c r="O498" t="n">
        <v>0</v>
      </c>
      <c r="P498" t="n">
        <v>0</v>
      </c>
      <c r="Q498" t="n">
        <v>0</v>
      </c>
      <c r="R498" s="2" t="inlineStr"/>
    </row>
    <row r="499" ht="15" customHeight="1">
      <c r="A499" t="inlineStr">
        <is>
          <t>A 8394-2024</t>
        </is>
      </c>
      <c r="B499" s="1" t="n">
        <v>45352</v>
      </c>
      <c r="C499" s="1" t="n">
        <v>46040</v>
      </c>
      <c r="D499" t="inlineStr">
        <is>
          <t>SÖDERMANLANDS LÄN</t>
        </is>
      </c>
      <c r="E499" t="inlineStr">
        <is>
          <t>KATRINEHOLM</t>
        </is>
      </c>
      <c r="G499" t="n">
        <v>4</v>
      </c>
      <c r="H499" t="n">
        <v>0</v>
      </c>
      <c r="I499" t="n">
        <v>0</v>
      </c>
      <c r="J499" t="n">
        <v>0</v>
      </c>
      <c r="K499" t="n">
        <v>0</v>
      </c>
      <c r="L499" t="n">
        <v>0</v>
      </c>
      <c r="M499" t="n">
        <v>0</v>
      </c>
      <c r="N499" t="n">
        <v>0</v>
      </c>
      <c r="O499" t="n">
        <v>0</v>
      </c>
      <c r="P499" t="n">
        <v>0</v>
      </c>
      <c r="Q499" t="n">
        <v>0</v>
      </c>
      <c r="R499" s="2" t="inlineStr"/>
    </row>
    <row r="500" ht="15" customHeight="1">
      <c r="A500" t="inlineStr">
        <is>
          <t>A 13658-2023</t>
        </is>
      </c>
      <c r="B500" s="1" t="n">
        <v>45006</v>
      </c>
      <c r="C500" s="1" t="n">
        <v>46040</v>
      </c>
      <c r="D500" t="inlineStr">
        <is>
          <t>SÖDERMANLANDS LÄN</t>
        </is>
      </c>
      <c r="E500" t="inlineStr">
        <is>
          <t>KATRINEHOLM</t>
        </is>
      </c>
      <c r="F500" t="inlineStr">
        <is>
          <t>Kyrkan</t>
        </is>
      </c>
      <c r="G500" t="n">
        <v>24.3</v>
      </c>
      <c r="H500" t="n">
        <v>0</v>
      </c>
      <c r="I500" t="n">
        <v>0</v>
      </c>
      <c r="J500" t="n">
        <v>0</v>
      </c>
      <c r="K500" t="n">
        <v>0</v>
      </c>
      <c r="L500" t="n">
        <v>0</v>
      </c>
      <c r="M500" t="n">
        <v>0</v>
      </c>
      <c r="N500" t="n">
        <v>0</v>
      </c>
      <c r="O500" t="n">
        <v>0</v>
      </c>
      <c r="P500" t="n">
        <v>0</v>
      </c>
      <c r="Q500" t="n">
        <v>0</v>
      </c>
      <c r="R500" s="2" t="inlineStr"/>
    </row>
    <row r="501" ht="15" customHeight="1">
      <c r="A501" t="inlineStr">
        <is>
          <t>A 61385-2023</t>
        </is>
      </c>
      <c r="B501" s="1" t="n">
        <v>45264.64241898148</v>
      </c>
      <c r="C501" s="1" t="n">
        <v>46040</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55825-2022</t>
        </is>
      </c>
      <c r="B502" s="1" t="n">
        <v>44886</v>
      </c>
      <c r="C502" s="1" t="n">
        <v>46040</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55856-2022</t>
        </is>
      </c>
      <c r="B503" s="1" t="n">
        <v>44888</v>
      </c>
      <c r="C503" s="1" t="n">
        <v>46040</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42896-2024</t>
        </is>
      </c>
      <c r="B504" s="1" t="n">
        <v>45566.82973379629</v>
      </c>
      <c r="C504" s="1" t="n">
        <v>46040</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43513-2023</t>
        </is>
      </c>
      <c r="B505" s="1" t="n">
        <v>45184</v>
      </c>
      <c r="C505" s="1" t="n">
        <v>46040</v>
      </c>
      <c r="D505" t="inlineStr">
        <is>
          <t>SÖDERMANLANDS LÄN</t>
        </is>
      </c>
      <c r="E505" t="inlineStr">
        <is>
          <t>KATRINEHOLM</t>
        </is>
      </c>
      <c r="G505" t="n">
        <v>3.8</v>
      </c>
      <c r="H505" t="n">
        <v>0</v>
      </c>
      <c r="I505" t="n">
        <v>0</v>
      </c>
      <c r="J505" t="n">
        <v>0</v>
      </c>
      <c r="K505" t="n">
        <v>0</v>
      </c>
      <c r="L505" t="n">
        <v>0</v>
      </c>
      <c r="M505" t="n">
        <v>0</v>
      </c>
      <c r="N505" t="n">
        <v>0</v>
      </c>
      <c r="O505" t="n">
        <v>0</v>
      </c>
      <c r="P505" t="n">
        <v>0</v>
      </c>
      <c r="Q505" t="n">
        <v>0</v>
      </c>
      <c r="R505" s="2" t="inlineStr"/>
    </row>
    <row r="506" ht="15" customHeight="1">
      <c r="A506" t="inlineStr">
        <is>
          <t>A 7747-2024</t>
        </is>
      </c>
      <c r="B506" s="1" t="n">
        <v>45348</v>
      </c>
      <c r="C506" s="1" t="n">
        <v>46040</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7753-2024</t>
        </is>
      </c>
      <c r="B507" s="1" t="n">
        <v>45348</v>
      </c>
      <c r="C507" s="1" t="n">
        <v>46040</v>
      </c>
      <c r="D507" t="inlineStr">
        <is>
          <t>SÖDERMANLANDS LÄN</t>
        </is>
      </c>
      <c r="E507" t="inlineStr">
        <is>
          <t>KATRINEHOLM</t>
        </is>
      </c>
      <c r="G507" t="n">
        <v>13.4</v>
      </c>
      <c r="H507" t="n">
        <v>0</v>
      </c>
      <c r="I507" t="n">
        <v>0</v>
      </c>
      <c r="J507" t="n">
        <v>0</v>
      </c>
      <c r="K507" t="n">
        <v>0</v>
      </c>
      <c r="L507" t="n">
        <v>0</v>
      </c>
      <c r="M507" t="n">
        <v>0</v>
      </c>
      <c r="N507" t="n">
        <v>0</v>
      </c>
      <c r="O507" t="n">
        <v>0</v>
      </c>
      <c r="P507" t="n">
        <v>0</v>
      </c>
      <c r="Q507" t="n">
        <v>0</v>
      </c>
      <c r="R507" s="2" t="inlineStr"/>
    </row>
    <row r="508" ht="15" customHeight="1">
      <c r="A508" t="inlineStr">
        <is>
          <t>A 5935-2023</t>
        </is>
      </c>
      <c r="B508" s="1" t="n">
        <v>44963</v>
      </c>
      <c r="C508" s="1" t="n">
        <v>46040</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8951-2024</t>
        </is>
      </c>
      <c r="B509" s="1" t="n">
        <v>45357.44695601852</v>
      </c>
      <c r="C509" s="1" t="n">
        <v>46040</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8955-2024</t>
        </is>
      </c>
      <c r="B510" s="1" t="n">
        <v>45357.44873842593</v>
      </c>
      <c r="C510" s="1" t="n">
        <v>46040</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15945-2024</t>
        </is>
      </c>
      <c r="B511" s="1" t="n">
        <v>45405.48912037037</v>
      </c>
      <c r="C511" s="1" t="n">
        <v>46040</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4655-2024</t>
        </is>
      </c>
      <c r="B512" s="1" t="n">
        <v>45328</v>
      </c>
      <c r="C512" s="1" t="n">
        <v>46040</v>
      </c>
      <c r="D512" t="inlineStr">
        <is>
          <t>SÖDERMANLANDS LÄN</t>
        </is>
      </c>
      <c r="E512" t="inlineStr">
        <is>
          <t>KATRINEHOLM</t>
        </is>
      </c>
      <c r="G512" t="n">
        <v>17.7</v>
      </c>
      <c r="H512" t="n">
        <v>0</v>
      </c>
      <c r="I512" t="n">
        <v>0</v>
      </c>
      <c r="J512" t="n">
        <v>0</v>
      </c>
      <c r="K512" t="n">
        <v>0</v>
      </c>
      <c r="L512" t="n">
        <v>0</v>
      </c>
      <c r="M512" t="n">
        <v>0</v>
      </c>
      <c r="N512" t="n">
        <v>0</v>
      </c>
      <c r="O512" t="n">
        <v>0</v>
      </c>
      <c r="P512" t="n">
        <v>0</v>
      </c>
      <c r="Q512" t="n">
        <v>0</v>
      </c>
      <c r="R512" s="2" t="inlineStr"/>
    </row>
    <row r="513" ht="15" customHeight="1">
      <c r="A513" t="inlineStr">
        <is>
          <t>A 10732-2022</t>
        </is>
      </c>
      <c r="B513" s="1" t="n">
        <v>44627.34033564815</v>
      </c>
      <c r="C513" s="1" t="n">
        <v>46040</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53387-2023</t>
        </is>
      </c>
      <c r="B514" s="1" t="n">
        <v>45229</v>
      </c>
      <c r="C514" s="1" t="n">
        <v>46040</v>
      </c>
      <c r="D514" t="inlineStr">
        <is>
          <t>SÖDERMANLANDS LÄN</t>
        </is>
      </c>
      <c r="E514" t="inlineStr">
        <is>
          <t>KATRINEHOLM</t>
        </is>
      </c>
      <c r="F514" t="inlineStr">
        <is>
          <t>Kyrkan</t>
        </is>
      </c>
      <c r="G514" t="n">
        <v>7.4</v>
      </c>
      <c r="H514" t="n">
        <v>0</v>
      </c>
      <c r="I514" t="n">
        <v>0</v>
      </c>
      <c r="J514" t="n">
        <v>0</v>
      </c>
      <c r="K514" t="n">
        <v>0</v>
      </c>
      <c r="L514" t="n">
        <v>0</v>
      </c>
      <c r="M514" t="n">
        <v>0</v>
      </c>
      <c r="N514" t="n">
        <v>0</v>
      </c>
      <c r="O514" t="n">
        <v>0</v>
      </c>
      <c r="P514" t="n">
        <v>0</v>
      </c>
      <c r="Q514" t="n">
        <v>0</v>
      </c>
      <c r="R514" s="2" t="inlineStr"/>
    </row>
    <row r="515" ht="15" customHeight="1">
      <c r="A515" t="inlineStr">
        <is>
          <t>A 55829-2025</t>
        </is>
      </c>
      <c r="B515" s="1" t="n">
        <v>45972.79274305556</v>
      </c>
      <c r="C515" s="1" t="n">
        <v>46040</v>
      </c>
      <c r="D515" t="inlineStr">
        <is>
          <t>SÖDERMANLANDS LÄN</t>
        </is>
      </c>
      <c r="E515" t="inlineStr">
        <is>
          <t>KATRINEHOLM</t>
        </is>
      </c>
      <c r="G515" t="n">
        <v>3.2</v>
      </c>
      <c r="H515" t="n">
        <v>0</v>
      </c>
      <c r="I515" t="n">
        <v>0</v>
      </c>
      <c r="J515" t="n">
        <v>0</v>
      </c>
      <c r="K515" t="n">
        <v>0</v>
      </c>
      <c r="L515" t="n">
        <v>0</v>
      </c>
      <c r="M515" t="n">
        <v>0</v>
      </c>
      <c r="N515" t="n">
        <v>0</v>
      </c>
      <c r="O515" t="n">
        <v>0</v>
      </c>
      <c r="P515" t="n">
        <v>0</v>
      </c>
      <c r="Q515" t="n">
        <v>0</v>
      </c>
      <c r="R515" s="2" t="inlineStr"/>
    </row>
    <row r="516" ht="15" customHeight="1">
      <c r="A516" t="inlineStr">
        <is>
          <t>A 55832-2025</t>
        </is>
      </c>
      <c r="B516" s="1" t="n">
        <v>45972.81768518518</v>
      </c>
      <c r="C516" s="1" t="n">
        <v>46040</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42590-2022</t>
        </is>
      </c>
      <c r="B517" s="1" t="n">
        <v>44831</v>
      </c>
      <c r="C517" s="1" t="n">
        <v>46040</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55831-2025</t>
        </is>
      </c>
      <c r="B518" s="1" t="n">
        <v>45972.81034722222</v>
      </c>
      <c r="C518" s="1" t="n">
        <v>46040</v>
      </c>
      <c r="D518" t="inlineStr">
        <is>
          <t>SÖDERMANLANDS LÄN</t>
        </is>
      </c>
      <c r="E518" t="inlineStr">
        <is>
          <t>KATRINEHOLM</t>
        </is>
      </c>
      <c r="G518" t="n">
        <v>6.2</v>
      </c>
      <c r="H518" t="n">
        <v>0</v>
      </c>
      <c r="I518" t="n">
        <v>0</v>
      </c>
      <c r="J518" t="n">
        <v>0</v>
      </c>
      <c r="K518" t="n">
        <v>0</v>
      </c>
      <c r="L518" t="n">
        <v>0</v>
      </c>
      <c r="M518" t="n">
        <v>0</v>
      </c>
      <c r="N518" t="n">
        <v>0</v>
      </c>
      <c r="O518" t="n">
        <v>0</v>
      </c>
      <c r="P518" t="n">
        <v>0</v>
      </c>
      <c r="Q518" t="n">
        <v>0</v>
      </c>
      <c r="R518" s="2" t="inlineStr"/>
    </row>
    <row r="519" ht="15" customHeight="1">
      <c r="A519" t="inlineStr">
        <is>
          <t>A 56330-2025</t>
        </is>
      </c>
      <c r="B519" s="1" t="n">
        <v>45974.64094907408</v>
      </c>
      <c r="C519" s="1" t="n">
        <v>46040</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38883-2024</t>
        </is>
      </c>
      <c r="B520" s="1" t="n">
        <v>45547</v>
      </c>
      <c r="C520" s="1" t="n">
        <v>46040</v>
      </c>
      <c r="D520" t="inlineStr">
        <is>
          <t>SÖDERMANLANDS LÄN</t>
        </is>
      </c>
      <c r="E520" t="inlineStr">
        <is>
          <t>KATRINEHOLM</t>
        </is>
      </c>
      <c r="G520" t="n">
        <v>3.1</v>
      </c>
      <c r="H520" t="n">
        <v>0</v>
      </c>
      <c r="I520" t="n">
        <v>0</v>
      </c>
      <c r="J520" t="n">
        <v>0</v>
      </c>
      <c r="K520" t="n">
        <v>0</v>
      </c>
      <c r="L520" t="n">
        <v>0</v>
      </c>
      <c r="M520" t="n">
        <v>0</v>
      </c>
      <c r="N520" t="n">
        <v>0</v>
      </c>
      <c r="O520" t="n">
        <v>0</v>
      </c>
      <c r="P520" t="n">
        <v>0</v>
      </c>
      <c r="Q520" t="n">
        <v>0</v>
      </c>
      <c r="R520" s="2" t="inlineStr"/>
    </row>
    <row r="521" ht="15" customHeight="1">
      <c r="A521" t="inlineStr">
        <is>
          <t>A 3939-2022</t>
        </is>
      </c>
      <c r="B521" s="1" t="n">
        <v>44587</v>
      </c>
      <c r="C521" s="1" t="n">
        <v>46040</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56074-2022</t>
        </is>
      </c>
      <c r="B522" s="1" t="n">
        <v>44889</v>
      </c>
      <c r="C522" s="1" t="n">
        <v>46040</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c r="T522">
        <f>HYPERLINK("https://klasma.github.io/Logging_0483/kartor/A 56074-2022 karta.png", "A 56074-2022")</f>
        <v/>
      </c>
      <c r="V522">
        <f>HYPERLINK("https://klasma.github.io/Logging_0483/klagomål/A 56074-2022 FSC-klagomål.docx", "A 56074-2022")</f>
        <v/>
      </c>
      <c r="W522">
        <f>HYPERLINK("https://klasma.github.io/Logging_0483/klagomålsmail/A 56074-2022 FSC-klagomål mail.docx", "A 56074-2022")</f>
        <v/>
      </c>
      <c r="X522">
        <f>HYPERLINK("https://klasma.github.io/Logging_0483/tillsyn/A 56074-2022 tillsynsbegäran.docx", "A 56074-2022")</f>
        <v/>
      </c>
      <c r="Y522">
        <f>HYPERLINK("https://klasma.github.io/Logging_0483/tillsynsmail/A 56074-2022 tillsynsbegäran mail.docx", "A 56074-2022")</f>
        <v/>
      </c>
    </row>
    <row r="523" ht="15" customHeight="1">
      <c r="A523" t="inlineStr">
        <is>
          <t>A 4667-2024</t>
        </is>
      </c>
      <c r="B523" s="1" t="n">
        <v>45328.47</v>
      </c>
      <c r="C523" s="1" t="n">
        <v>46040</v>
      </c>
      <c r="D523" t="inlineStr">
        <is>
          <t>SÖDERMANLANDS LÄN</t>
        </is>
      </c>
      <c r="E523" t="inlineStr">
        <is>
          <t>KATRINEHOLM</t>
        </is>
      </c>
      <c r="F523" t="inlineStr">
        <is>
          <t>Övriga Aktiebolag</t>
        </is>
      </c>
      <c r="G523" t="n">
        <v>10.2</v>
      </c>
      <c r="H523" t="n">
        <v>0</v>
      </c>
      <c r="I523" t="n">
        <v>0</v>
      </c>
      <c r="J523" t="n">
        <v>0</v>
      </c>
      <c r="K523" t="n">
        <v>0</v>
      </c>
      <c r="L523" t="n">
        <v>0</v>
      </c>
      <c r="M523" t="n">
        <v>0</v>
      </c>
      <c r="N523" t="n">
        <v>0</v>
      </c>
      <c r="O523" t="n">
        <v>0</v>
      </c>
      <c r="P523" t="n">
        <v>0</v>
      </c>
      <c r="Q523" t="n">
        <v>0</v>
      </c>
      <c r="R523" s="2" t="inlineStr"/>
    </row>
    <row r="524" ht="15" customHeight="1">
      <c r="A524" t="inlineStr">
        <is>
          <t>A 39704-2023</t>
        </is>
      </c>
      <c r="B524" s="1" t="n">
        <v>45167</v>
      </c>
      <c r="C524" s="1" t="n">
        <v>46040</v>
      </c>
      <c r="D524" t="inlineStr">
        <is>
          <t>SÖDERMANLANDS LÄN</t>
        </is>
      </c>
      <c r="E524" t="inlineStr">
        <is>
          <t>KATRINEHOLM</t>
        </is>
      </c>
      <c r="F524" t="inlineStr">
        <is>
          <t>Övriga Aktiebolag</t>
        </is>
      </c>
      <c r="G524" t="n">
        <v>3.4</v>
      </c>
      <c r="H524" t="n">
        <v>0</v>
      </c>
      <c r="I524" t="n">
        <v>0</v>
      </c>
      <c r="J524" t="n">
        <v>0</v>
      </c>
      <c r="K524" t="n">
        <v>0</v>
      </c>
      <c r="L524" t="n">
        <v>0</v>
      </c>
      <c r="M524" t="n">
        <v>0</v>
      </c>
      <c r="N524" t="n">
        <v>0</v>
      </c>
      <c r="O524" t="n">
        <v>0</v>
      </c>
      <c r="P524" t="n">
        <v>0</v>
      </c>
      <c r="Q524" t="n">
        <v>0</v>
      </c>
      <c r="R524" s="2" t="inlineStr"/>
    </row>
    <row r="525" ht="15" customHeight="1">
      <c r="A525" t="inlineStr">
        <is>
          <t>A 16087-2023</t>
        </is>
      </c>
      <c r="B525" s="1" t="n">
        <v>45026</v>
      </c>
      <c r="C525" s="1" t="n">
        <v>46040</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61915-2021</t>
        </is>
      </c>
      <c r="B526" s="1" t="n">
        <v>44502.36780092592</v>
      </c>
      <c r="C526" s="1" t="n">
        <v>46040</v>
      </c>
      <c r="D526" t="inlineStr">
        <is>
          <t>SÖDERMANLANDS LÄN</t>
        </is>
      </c>
      <c r="E526" t="inlineStr">
        <is>
          <t>KATRINEHOLM</t>
        </is>
      </c>
      <c r="G526" t="n">
        <v>2.6</v>
      </c>
      <c r="H526" t="n">
        <v>0</v>
      </c>
      <c r="I526" t="n">
        <v>0</v>
      </c>
      <c r="J526" t="n">
        <v>0</v>
      </c>
      <c r="K526" t="n">
        <v>0</v>
      </c>
      <c r="L526" t="n">
        <v>0</v>
      </c>
      <c r="M526" t="n">
        <v>0</v>
      </c>
      <c r="N526" t="n">
        <v>0</v>
      </c>
      <c r="O526" t="n">
        <v>0</v>
      </c>
      <c r="P526" t="n">
        <v>0</v>
      </c>
      <c r="Q526" t="n">
        <v>0</v>
      </c>
      <c r="R526" s="2" t="inlineStr"/>
    </row>
    <row r="527" ht="15" customHeight="1">
      <c r="A527" t="inlineStr">
        <is>
          <t>A 28652-2024</t>
        </is>
      </c>
      <c r="B527" s="1" t="n">
        <v>45478</v>
      </c>
      <c r="C527" s="1" t="n">
        <v>46040</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42791-2023</t>
        </is>
      </c>
      <c r="B528" s="1" t="n">
        <v>45181.92876157408</v>
      </c>
      <c r="C528" s="1" t="n">
        <v>46040</v>
      </c>
      <c r="D528" t="inlineStr">
        <is>
          <t>SÖDERMANLANDS LÄN</t>
        </is>
      </c>
      <c r="E528" t="inlineStr">
        <is>
          <t>KATRINEHOLM</t>
        </is>
      </c>
      <c r="G528" t="n">
        <v>4.1</v>
      </c>
      <c r="H528" t="n">
        <v>0</v>
      </c>
      <c r="I528" t="n">
        <v>0</v>
      </c>
      <c r="J528" t="n">
        <v>0</v>
      </c>
      <c r="K528" t="n">
        <v>0</v>
      </c>
      <c r="L528" t="n">
        <v>0</v>
      </c>
      <c r="M528" t="n">
        <v>0</v>
      </c>
      <c r="N528" t="n">
        <v>0</v>
      </c>
      <c r="O528" t="n">
        <v>0</v>
      </c>
      <c r="P528" t="n">
        <v>0</v>
      </c>
      <c r="Q528" t="n">
        <v>0</v>
      </c>
      <c r="R528" s="2" t="inlineStr"/>
    </row>
    <row r="529" ht="15" customHeight="1">
      <c r="A529" t="inlineStr">
        <is>
          <t>A 42792-2023</t>
        </is>
      </c>
      <c r="B529" s="1" t="n">
        <v>45181.95491898148</v>
      </c>
      <c r="C529" s="1" t="n">
        <v>46040</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31740-2022</t>
        </is>
      </c>
      <c r="B530" s="1" t="n">
        <v>44776</v>
      </c>
      <c r="C530" s="1" t="n">
        <v>46040</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4656-2023</t>
        </is>
      </c>
      <c r="B531" s="1" t="n">
        <v>44957</v>
      </c>
      <c r="C531" s="1" t="n">
        <v>46040</v>
      </c>
      <c r="D531" t="inlineStr">
        <is>
          <t>SÖDERMANLANDS LÄN</t>
        </is>
      </c>
      <c r="E531" t="inlineStr">
        <is>
          <t>KATRINEHOLM</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4679-2023</t>
        </is>
      </c>
      <c r="B532" s="1" t="n">
        <v>44957.44885416667</v>
      </c>
      <c r="C532" s="1" t="n">
        <v>46040</v>
      </c>
      <c r="D532" t="inlineStr">
        <is>
          <t>SÖDERMANLANDS LÄN</t>
        </is>
      </c>
      <c r="E532" t="inlineStr">
        <is>
          <t>KATRINEHOLM</t>
        </is>
      </c>
      <c r="G532" t="n">
        <v>5.3</v>
      </c>
      <c r="H532" t="n">
        <v>0</v>
      </c>
      <c r="I532" t="n">
        <v>0</v>
      </c>
      <c r="J532" t="n">
        <v>0</v>
      </c>
      <c r="K532" t="n">
        <v>0</v>
      </c>
      <c r="L532" t="n">
        <v>0</v>
      </c>
      <c r="M532" t="n">
        <v>0</v>
      </c>
      <c r="N532" t="n">
        <v>0</v>
      </c>
      <c r="O532" t="n">
        <v>0</v>
      </c>
      <c r="P532" t="n">
        <v>0</v>
      </c>
      <c r="Q532" t="n">
        <v>0</v>
      </c>
      <c r="R532" s="2" t="inlineStr"/>
    </row>
    <row r="533" ht="15" customHeight="1">
      <c r="A533" t="inlineStr">
        <is>
          <t>A 59093-2024</t>
        </is>
      </c>
      <c r="B533" s="1" t="n">
        <v>45636</v>
      </c>
      <c r="C533" s="1" t="n">
        <v>46040</v>
      </c>
      <c r="D533" t="inlineStr">
        <is>
          <t>SÖDERMANLANDS LÄN</t>
        </is>
      </c>
      <c r="E533" t="inlineStr">
        <is>
          <t>KATRINEHOLM</t>
        </is>
      </c>
      <c r="G533" t="n">
        <v>2.8</v>
      </c>
      <c r="H533" t="n">
        <v>0</v>
      </c>
      <c r="I533" t="n">
        <v>0</v>
      </c>
      <c r="J533" t="n">
        <v>0</v>
      </c>
      <c r="K533" t="n">
        <v>0</v>
      </c>
      <c r="L533" t="n">
        <v>0</v>
      </c>
      <c r="M533" t="n">
        <v>0</v>
      </c>
      <c r="N533" t="n">
        <v>0</v>
      </c>
      <c r="O533" t="n">
        <v>0</v>
      </c>
      <c r="P533" t="n">
        <v>0</v>
      </c>
      <c r="Q533" t="n">
        <v>0</v>
      </c>
      <c r="R533" s="2" t="inlineStr"/>
    </row>
    <row r="534" ht="15" customHeight="1">
      <c r="A534" t="inlineStr">
        <is>
          <t>A 6087-2021</t>
        </is>
      </c>
      <c r="B534" s="1" t="n">
        <v>44232</v>
      </c>
      <c r="C534" s="1" t="n">
        <v>46040</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48528-2021</t>
        </is>
      </c>
      <c r="B535" s="1" t="n">
        <v>44449</v>
      </c>
      <c r="C535" s="1" t="n">
        <v>46040</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48398-2022</t>
        </is>
      </c>
      <c r="B536" s="1" t="n">
        <v>44858.60809027778</v>
      </c>
      <c r="C536" s="1" t="n">
        <v>46040</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38872-2024</t>
        </is>
      </c>
      <c r="B537" s="1" t="n">
        <v>45547</v>
      </c>
      <c r="C537" s="1" t="n">
        <v>46040</v>
      </c>
      <c r="D537" t="inlineStr">
        <is>
          <t>SÖDERMANLANDS LÄN</t>
        </is>
      </c>
      <c r="E537" t="inlineStr">
        <is>
          <t>KATRINEHOLM</t>
        </is>
      </c>
      <c r="G537" t="n">
        <v>5.7</v>
      </c>
      <c r="H537" t="n">
        <v>0</v>
      </c>
      <c r="I537" t="n">
        <v>0</v>
      </c>
      <c r="J537" t="n">
        <v>0</v>
      </c>
      <c r="K537" t="n">
        <v>0</v>
      </c>
      <c r="L537" t="n">
        <v>0</v>
      </c>
      <c r="M537" t="n">
        <v>0</v>
      </c>
      <c r="N537" t="n">
        <v>0</v>
      </c>
      <c r="O537" t="n">
        <v>0</v>
      </c>
      <c r="P537" t="n">
        <v>0</v>
      </c>
      <c r="Q537" t="n">
        <v>0</v>
      </c>
      <c r="R537" s="2" t="inlineStr"/>
    </row>
    <row r="538" ht="15" customHeight="1">
      <c r="A538" t="inlineStr">
        <is>
          <t>A 6753-2022</t>
        </is>
      </c>
      <c r="B538" s="1" t="n">
        <v>44602</v>
      </c>
      <c r="C538" s="1" t="n">
        <v>46040</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15184-2023</t>
        </is>
      </c>
      <c r="B539" s="1" t="n">
        <v>45016</v>
      </c>
      <c r="C539" s="1" t="n">
        <v>46040</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38826-2021</t>
        </is>
      </c>
      <c r="B540" s="1" t="n">
        <v>44411</v>
      </c>
      <c r="C540" s="1" t="n">
        <v>46040</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9388-2021</t>
        </is>
      </c>
      <c r="B541" s="1" t="n">
        <v>44250</v>
      </c>
      <c r="C541" s="1" t="n">
        <v>46040</v>
      </c>
      <c r="D541" t="inlineStr">
        <is>
          <t>SÖDERMANLANDS LÄN</t>
        </is>
      </c>
      <c r="E541" t="inlineStr">
        <is>
          <t>KATRINEHOLM</t>
        </is>
      </c>
      <c r="G541" t="n">
        <v>5.4</v>
      </c>
      <c r="H541" t="n">
        <v>0</v>
      </c>
      <c r="I541" t="n">
        <v>0</v>
      </c>
      <c r="J541" t="n">
        <v>0</v>
      </c>
      <c r="K541" t="n">
        <v>0</v>
      </c>
      <c r="L541" t="n">
        <v>0</v>
      </c>
      <c r="M541" t="n">
        <v>0</v>
      </c>
      <c r="N541" t="n">
        <v>0</v>
      </c>
      <c r="O541" t="n">
        <v>0</v>
      </c>
      <c r="P541" t="n">
        <v>0</v>
      </c>
      <c r="Q541" t="n">
        <v>0</v>
      </c>
      <c r="R541" s="2" t="inlineStr"/>
    </row>
    <row r="542" ht="15" customHeight="1">
      <c r="A542" t="inlineStr">
        <is>
          <t>A 9932-2023</t>
        </is>
      </c>
      <c r="B542" s="1" t="n">
        <v>44985.46709490741</v>
      </c>
      <c r="C542" s="1" t="n">
        <v>46040</v>
      </c>
      <c r="D542" t="inlineStr">
        <is>
          <t>SÖDERMANLANDS LÄN</t>
        </is>
      </c>
      <c r="E542" t="inlineStr">
        <is>
          <t>KATRINEHOLM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29830-2023</t>
        </is>
      </c>
      <c r="B543" s="1" t="n">
        <v>45107</v>
      </c>
      <c r="C543" s="1" t="n">
        <v>46040</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9192-2023</t>
        </is>
      </c>
      <c r="B544" s="1" t="n">
        <v>44980</v>
      </c>
      <c r="C544" s="1" t="n">
        <v>46040</v>
      </c>
      <c r="D544" t="inlineStr">
        <is>
          <t>SÖDERMANLANDS LÄN</t>
        </is>
      </c>
      <c r="E544" t="inlineStr">
        <is>
          <t>KATRINEHOLM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15399-2022</t>
        </is>
      </c>
      <c r="B545" s="1" t="n">
        <v>44659</v>
      </c>
      <c r="C545" s="1" t="n">
        <v>46040</v>
      </c>
      <c r="D545" t="inlineStr">
        <is>
          <t>SÖDERMANLANDS LÄN</t>
        </is>
      </c>
      <c r="E545" t="inlineStr">
        <is>
          <t>KATRINEHOLM</t>
        </is>
      </c>
      <c r="G545" t="n">
        <v>5.6</v>
      </c>
      <c r="H545" t="n">
        <v>0</v>
      </c>
      <c r="I545" t="n">
        <v>0</v>
      </c>
      <c r="J545" t="n">
        <v>0</v>
      </c>
      <c r="K545" t="n">
        <v>0</v>
      </c>
      <c r="L545" t="n">
        <v>0</v>
      </c>
      <c r="M545" t="n">
        <v>0</v>
      </c>
      <c r="N545" t="n">
        <v>0</v>
      </c>
      <c r="O545" t="n">
        <v>0</v>
      </c>
      <c r="P545" t="n">
        <v>0</v>
      </c>
      <c r="Q545" t="n">
        <v>0</v>
      </c>
      <c r="R545" s="2" t="inlineStr"/>
    </row>
    <row r="546" ht="15" customHeight="1">
      <c r="A546" t="inlineStr">
        <is>
          <t>A 11872-2023</t>
        </is>
      </c>
      <c r="B546" s="1" t="n">
        <v>44995</v>
      </c>
      <c r="C546" s="1" t="n">
        <v>46040</v>
      </c>
      <c r="D546" t="inlineStr">
        <is>
          <t>SÖDERMANLANDS LÄN</t>
        </is>
      </c>
      <c r="E546" t="inlineStr">
        <is>
          <t>KATRINEHOLM</t>
        </is>
      </c>
      <c r="F546" t="inlineStr">
        <is>
          <t>Kommuner</t>
        </is>
      </c>
      <c r="G546" t="n">
        <v>0.9</v>
      </c>
      <c r="H546" t="n">
        <v>0</v>
      </c>
      <c r="I546" t="n">
        <v>0</v>
      </c>
      <c r="J546" t="n">
        <v>0</v>
      </c>
      <c r="K546" t="n">
        <v>0</v>
      </c>
      <c r="L546" t="n">
        <v>0</v>
      </c>
      <c r="M546" t="n">
        <v>0</v>
      </c>
      <c r="N546" t="n">
        <v>0</v>
      </c>
      <c r="O546" t="n">
        <v>0</v>
      </c>
      <c r="P546" t="n">
        <v>0</v>
      </c>
      <c r="Q546" t="n">
        <v>0</v>
      </c>
      <c r="R546" s="2" t="inlineStr"/>
    </row>
    <row r="547" ht="15" customHeight="1">
      <c r="A547" t="inlineStr">
        <is>
          <t>A 19098-2022</t>
        </is>
      </c>
      <c r="B547" s="1" t="n">
        <v>44691.52616898148</v>
      </c>
      <c r="C547" s="1" t="n">
        <v>46040</v>
      </c>
      <c r="D547" t="inlineStr">
        <is>
          <t>SÖDERMANLANDS LÄN</t>
        </is>
      </c>
      <c r="E547" t="inlineStr">
        <is>
          <t>KATRINEHOLM</t>
        </is>
      </c>
      <c r="G547" t="n">
        <v>5.5</v>
      </c>
      <c r="H547" t="n">
        <v>0</v>
      </c>
      <c r="I547" t="n">
        <v>0</v>
      </c>
      <c r="J547" t="n">
        <v>0</v>
      </c>
      <c r="K547" t="n">
        <v>0</v>
      </c>
      <c r="L547" t="n">
        <v>0</v>
      </c>
      <c r="M547" t="n">
        <v>0</v>
      </c>
      <c r="N547" t="n">
        <v>0</v>
      </c>
      <c r="O547" t="n">
        <v>0</v>
      </c>
      <c r="P547" t="n">
        <v>0</v>
      </c>
      <c r="Q547" t="n">
        <v>0</v>
      </c>
      <c r="R547" s="2" t="inlineStr"/>
    </row>
    <row r="548" ht="15" customHeight="1">
      <c r="A548" t="inlineStr">
        <is>
          <t>A 49092-2024</t>
        </is>
      </c>
      <c r="B548" s="1" t="n">
        <v>45594.63619212963</v>
      </c>
      <c r="C548" s="1" t="n">
        <v>46040</v>
      </c>
      <c r="D548" t="inlineStr">
        <is>
          <t>SÖDERMANLANDS LÄN</t>
        </is>
      </c>
      <c r="E548" t="inlineStr">
        <is>
          <t>KATRINEHOLM</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49095-2024</t>
        </is>
      </c>
      <c r="B549" s="1" t="n">
        <v>45594.63828703704</v>
      </c>
      <c r="C549" s="1" t="n">
        <v>46040</v>
      </c>
      <c r="D549" t="inlineStr">
        <is>
          <t>SÖDERMANLANDS LÄN</t>
        </is>
      </c>
      <c r="E549" t="inlineStr">
        <is>
          <t>KATRINEHOLM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6628-2022</t>
        </is>
      </c>
      <c r="B550" s="1" t="n">
        <v>44601.78850694445</v>
      </c>
      <c r="C550" s="1" t="n">
        <v>46040</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72984-2021</t>
        </is>
      </c>
      <c r="B551" s="1" t="n">
        <v>44549.74741898148</v>
      </c>
      <c r="C551" s="1" t="n">
        <v>46040</v>
      </c>
      <c r="D551" t="inlineStr">
        <is>
          <t>SÖDERMANLANDS LÄN</t>
        </is>
      </c>
      <c r="E551" t="inlineStr">
        <is>
          <t>KATRINEHOLM</t>
        </is>
      </c>
      <c r="G551" t="n">
        <v>4.9</v>
      </c>
      <c r="H551" t="n">
        <v>0</v>
      </c>
      <c r="I551" t="n">
        <v>0</v>
      </c>
      <c r="J551" t="n">
        <v>0</v>
      </c>
      <c r="K551" t="n">
        <v>0</v>
      </c>
      <c r="L551" t="n">
        <v>0</v>
      </c>
      <c r="M551" t="n">
        <v>0</v>
      </c>
      <c r="N551" t="n">
        <v>0</v>
      </c>
      <c r="O551" t="n">
        <v>0</v>
      </c>
      <c r="P551" t="n">
        <v>0</v>
      </c>
      <c r="Q551" t="n">
        <v>0</v>
      </c>
      <c r="R551" s="2" t="inlineStr"/>
    </row>
    <row r="552" ht="15" customHeight="1">
      <c r="A552" t="inlineStr">
        <is>
          <t>A 7254-2021</t>
        </is>
      </c>
      <c r="B552" s="1" t="n">
        <v>44238</v>
      </c>
      <c r="C552" s="1" t="n">
        <v>46040</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36-2023</t>
        </is>
      </c>
      <c r="B553" s="1" t="n">
        <v>44928.36578703704</v>
      </c>
      <c r="C553" s="1" t="n">
        <v>46040</v>
      </c>
      <c r="D553" t="inlineStr">
        <is>
          <t>SÖDERMANLANDS LÄN</t>
        </is>
      </c>
      <c r="E553" t="inlineStr">
        <is>
          <t>KATRINEHOLM</t>
        </is>
      </c>
      <c r="G553" t="n">
        <v>3.7</v>
      </c>
      <c r="H553" t="n">
        <v>0</v>
      </c>
      <c r="I553" t="n">
        <v>0</v>
      </c>
      <c r="J553" t="n">
        <v>0</v>
      </c>
      <c r="K553" t="n">
        <v>0</v>
      </c>
      <c r="L553" t="n">
        <v>0</v>
      </c>
      <c r="M553" t="n">
        <v>0</v>
      </c>
      <c r="N553" t="n">
        <v>0</v>
      </c>
      <c r="O553" t="n">
        <v>0</v>
      </c>
      <c r="P553" t="n">
        <v>0</v>
      </c>
      <c r="Q553" t="n">
        <v>0</v>
      </c>
      <c r="R553" s="2" t="inlineStr"/>
    </row>
    <row r="554" ht="15" customHeight="1">
      <c r="A554" t="inlineStr">
        <is>
          <t>A 10341-2022</t>
        </is>
      </c>
      <c r="B554" s="1" t="n">
        <v>44623</v>
      </c>
      <c r="C554" s="1" t="n">
        <v>46040</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2325-2023</t>
        </is>
      </c>
      <c r="B555" s="1" t="n">
        <v>44942</v>
      </c>
      <c r="C555" s="1" t="n">
        <v>46040</v>
      </c>
      <c r="D555" t="inlineStr">
        <is>
          <t>SÖDERMANLANDS LÄN</t>
        </is>
      </c>
      <c r="E555" t="inlineStr">
        <is>
          <t>KATRINEHOLM</t>
        </is>
      </c>
      <c r="G555" t="n">
        <v>5.6</v>
      </c>
      <c r="H555" t="n">
        <v>0</v>
      </c>
      <c r="I555" t="n">
        <v>0</v>
      </c>
      <c r="J555" t="n">
        <v>0</v>
      </c>
      <c r="K555" t="n">
        <v>0</v>
      </c>
      <c r="L555" t="n">
        <v>0</v>
      </c>
      <c r="M555" t="n">
        <v>0</v>
      </c>
      <c r="N555" t="n">
        <v>0</v>
      </c>
      <c r="O555" t="n">
        <v>0</v>
      </c>
      <c r="P555" t="n">
        <v>0</v>
      </c>
      <c r="Q555" t="n">
        <v>0</v>
      </c>
      <c r="R555" s="2" t="inlineStr"/>
    </row>
    <row r="556" ht="15" customHeight="1">
      <c r="A556" t="inlineStr">
        <is>
          <t>A 12835-2024</t>
        </is>
      </c>
      <c r="B556" s="1" t="n">
        <v>45384</v>
      </c>
      <c r="C556" s="1" t="n">
        <v>46040</v>
      </c>
      <c r="D556" t="inlineStr">
        <is>
          <t>SÖDERMANLANDS LÄN</t>
        </is>
      </c>
      <c r="E556" t="inlineStr">
        <is>
          <t>KATRINEHOLM</t>
        </is>
      </c>
      <c r="F556" t="inlineStr">
        <is>
          <t>Allmännings- och besparingsskogar</t>
        </is>
      </c>
      <c r="G556" t="n">
        <v>0.5</v>
      </c>
      <c r="H556" t="n">
        <v>0</v>
      </c>
      <c r="I556" t="n">
        <v>0</v>
      </c>
      <c r="J556" t="n">
        <v>0</v>
      </c>
      <c r="K556" t="n">
        <v>0</v>
      </c>
      <c r="L556" t="n">
        <v>0</v>
      </c>
      <c r="M556" t="n">
        <v>0</v>
      </c>
      <c r="N556" t="n">
        <v>0</v>
      </c>
      <c r="O556" t="n">
        <v>0</v>
      </c>
      <c r="P556" t="n">
        <v>0</v>
      </c>
      <c r="Q556" t="n">
        <v>0</v>
      </c>
      <c r="R556" s="2" t="inlineStr"/>
    </row>
    <row r="557" ht="15" customHeight="1">
      <c r="A557" t="inlineStr">
        <is>
          <t>A 46011-2021</t>
        </is>
      </c>
      <c r="B557" s="1" t="n">
        <v>44441.88092592593</v>
      </c>
      <c r="C557" s="1" t="n">
        <v>46040</v>
      </c>
      <c r="D557" t="inlineStr">
        <is>
          <t>SÖDERMANLANDS LÄN</t>
        </is>
      </c>
      <c r="E557" t="inlineStr">
        <is>
          <t>KATRINEHOLM</t>
        </is>
      </c>
      <c r="G557" t="n">
        <v>4.7</v>
      </c>
      <c r="H557" t="n">
        <v>0</v>
      </c>
      <c r="I557" t="n">
        <v>0</v>
      </c>
      <c r="J557" t="n">
        <v>0</v>
      </c>
      <c r="K557" t="n">
        <v>0</v>
      </c>
      <c r="L557" t="n">
        <v>0</v>
      </c>
      <c r="M557" t="n">
        <v>0</v>
      </c>
      <c r="N557" t="n">
        <v>0</v>
      </c>
      <c r="O557" t="n">
        <v>0</v>
      </c>
      <c r="P557" t="n">
        <v>0</v>
      </c>
      <c r="Q557" t="n">
        <v>0</v>
      </c>
      <c r="R557" s="2" t="inlineStr"/>
    </row>
    <row r="558" ht="15" customHeight="1">
      <c r="A558" t="inlineStr">
        <is>
          <t>A 25716-2022</t>
        </is>
      </c>
      <c r="B558" s="1" t="n">
        <v>44733.39600694444</v>
      </c>
      <c r="C558" s="1" t="n">
        <v>46040</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6807-2023</t>
        </is>
      </c>
      <c r="B559" s="1" t="n">
        <v>44964</v>
      </c>
      <c r="C559" s="1" t="n">
        <v>46040</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62140-2022</t>
        </is>
      </c>
      <c r="B560" s="1" t="n">
        <v>44922</v>
      </c>
      <c r="C560" s="1" t="n">
        <v>46040</v>
      </c>
      <c r="D560" t="inlineStr">
        <is>
          <t>SÖDERMANLANDS LÄN</t>
        </is>
      </c>
      <c r="E560" t="inlineStr">
        <is>
          <t>KATRINEHOLM</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9668-2023</t>
        </is>
      </c>
      <c r="B561" s="1" t="n">
        <v>44984.41238425926</v>
      </c>
      <c r="C561" s="1" t="n">
        <v>46040</v>
      </c>
      <c r="D561" t="inlineStr">
        <is>
          <t>SÖDERMANLANDS LÄN</t>
        </is>
      </c>
      <c r="E561" t="inlineStr">
        <is>
          <t>KATRINEHOLM</t>
        </is>
      </c>
      <c r="G561" t="n">
        <v>4.8</v>
      </c>
      <c r="H561" t="n">
        <v>0</v>
      </c>
      <c r="I561" t="n">
        <v>0</v>
      </c>
      <c r="J561" t="n">
        <v>0</v>
      </c>
      <c r="K561" t="n">
        <v>0</v>
      </c>
      <c r="L561" t="n">
        <v>0</v>
      </c>
      <c r="M561" t="n">
        <v>0</v>
      </c>
      <c r="N561" t="n">
        <v>0</v>
      </c>
      <c r="O561" t="n">
        <v>0</v>
      </c>
      <c r="P561" t="n">
        <v>0</v>
      </c>
      <c r="Q561" t="n">
        <v>0</v>
      </c>
      <c r="R561" s="2" t="inlineStr"/>
    </row>
    <row r="562" ht="15" customHeight="1">
      <c r="A562" t="inlineStr">
        <is>
          <t>A 9044-2022</t>
        </is>
      </c>
      <c r="B562" s="1" t="n">
        <v>44602</v>
      </c>
      <c r="C562" s="1" t="n">
        <v>46040</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33934-2022</t>
        </is>
      </c>
      <c r="B563" s="1" t="n">
        <v>44790</v>
      </c>
      <c r="C563" s="1" t="n">
        <v>46040</v>
      </c>
      <c r="D563" t="inlineStr">
        <is>
          <t>SÖDERMANLANDS LÄN</t>
        </is>
      </c>
      <c r="E563" t="inlineStr">
        <is>
          <t>KATRINEHOLM</t>
        </is>
      </c>
      <c r="G563" t="n">
        <v>1.4</v>
      </c>
      <c r="H563" t="n">
        <v>0</v>
      </c>
      <c r="I563" t="n">
        <v>0</v>
      </c>
      <c r="J563" t="n">
        <v>0</v>
      </c>
      <c r="K563" t="n">
        <v>0</v>
      </c>
      <c r="L563" t="n">
        <v>0</v>
      </c>
      <c r="M563" t="n">
        <v>0</v>
      </c>
      <c r="N563" t="n">
        <v>0</v>
      </c>
      <c r="O563" t="n">
        <v>0</v>
      </c>
      <c r="P563" t="n">
        <v>0</v>
      </c>
      <c r="Q563" t="n">
        <v>0</v>
      </c>
      <c r="R563" s="2" t="inlineStr"/>
    </row>
    <row r="564" ht="15" customHeight="1">
      <c r="A564" t="inlineStr">
        <is>
          <t>A 13171-2024</t>
        </is>
      </c>
      <c r="B564" s="1" t="n">
        <v>45386</v>
      </c>
      <c r="C564" s="1" t="n">
        <v>46040</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59384-2022</t>
        </is>
      </c>
      <c r="B565" s="1" t="n">
        <v>44905</v>
      </c>
      <c r="C565" s="1" t="n">
        <v>46040</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13086-2023</t>
        </is>
      </c>
      <c r="B566" s="1" t="n">
        <v>45002.42188657408</v>
      </c>
      <c r="C566" s="1" t="n">
        <v>46040</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19670-2022</t>
        </is>
      </c>
      <c r="B567" s="1" t="n">
        <v>44694</v>
      </c>
      <c r="C567" s="1" t="n">
        <v>46040</v>
      </c>
      <c r="D567" t="inlineStr">
        <is>
          <t>SÖDERMANLANDS LÄN</t>
        </is>
      </c>
      <c r="E567" t="inlineStr">
        <is>
          <t>KATRINEHOLM</t>
        </is>
      </c>
      <c r="G567" t="n">
        <v>13.6</v>
      </c>
      <c r="H567" t="n">
        <v>0</v>
      </c>
      <c r="I567" t="n">
        <v>0</v>
      </c>
      <c r="J567" t="n">
        <v>0</v>
      </c>
      <c r="K567" t="n">
        <v>0</v>
      </c>
      <c r="L567" t="n">
        <v>0</v>
      </c>
      <c r="M567" t="n">
        <v>0</v>
      </c>
      <c r="N567" t="n">
        <v>0</v>
      </c>
      <c r="O567" t="n">
        <v>0</v>
      </c>
      <c r="P567" t="n">
        <v>0</v>
      </c>
      <c r="Q567" t="n">
        <v>0</v>
      </c>
      <c r="R567" s="2" t="inlineStr"/>
    </row>
    <row r="568" ht="15" customHeight="1">
      <c r="A568" t="inlineStr">
        <is>
          <t>A 19107-2022</t>
        </is>
      </c>
      <c r="B568" s="1" t="n">
        <v>44691.54077546296</v>
      </c>
      <c r="C568" s="1" t="n">
        <v>46040</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30333-2023</t>
        </is>
      </c>
      <c r="B569" s="1" t="n">
        <v>45111</v>
      </c>
      <c r="C569" s="1" t="n">
        <v>46040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6175-2023</t>
        </is>
      </c>
      <c r="B570" s="1" t="n">
        <v>44964</v>
      </c>
      <c r="C570" s="1" t="n">
        <v>46040</v>
      </c>
      <c r="D570" t="inlineStr">
        <is>
          <t>SÖDERMANLANDS LÄN</t>
        </is>
      </c>
      <c r="E570" t="inlineStr">
        <is>
          <t>KATRINEHOLM</t>
        </is>
      </c>
      <c r="G570" t="n">
        <v>11.2</v>
      </c>
      <c r="H570" t="n">
        <v>0</v>
      </c>
      <c r="I570" t="n">
        <v>0</v>
      </c>
      <c r="J570" t="n">
        <v>0</v>
      </c>
      <c r="K570" t="n">
        <v>0</v>
      </c>
      <c r="L570" t="n">
        <v>0</v>
      </c>
      <c r="M570" t="n">
        <v>0</v>
      </c>
      <c r="N570" t="n">
        <v>0</v>
      </c>
      <c r="O570" t="n">
        <v>0</v>
      </c>
      <c r="P570" t="n">
        <v>0</v>
      </c>
      <c r="Q570" t="n">
        <v>0</v>
      </c>
      <c r="R570" s="2" t="inlineStr"/>
    </row>
    <row r="571" ht="15" customHeight="1">
      <c r="A571" t="inlineStr">
        <is>
          <t>A 11875-2023</t>
        </is>
      </c>
      <c r="B571" s="1" t="n">
        <v>44995</v>
      </c>
      <c r="C571" s="1" t="n">
        <v>46040</v>
      </c>
      <c r="D571" t="inlineStr">
        <is>
          <t>SÖDERMANLANDS LÄN</t>
        </is>
      </c>
      <c r="E571" t="inlineStr">
        <is>
          <t>KATRINEHOLM</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6796-2022</t>
        </is>
      </c>
      <c r="B572" s="1" t="n">
        <v>44602</v>
      </c>
      <c r="C572" s="1" t="n">
        <v>46040</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13612-2023</t>
        </is>
      </c>
      <c r="B573" s="1" t="n">
        <v>45006</v>
      </c>
      <c r="C573" s="1" t="n">
        <v>46040</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48091-2024</t>
        </is>
      </c>
      <c r="B574" s="1" t="n">
        <v>45590</v>
      </c>
      <c r="C574" s="1" t="n">
        <v>46040</v>
      </c>
      <c r="D574" t="inlineStr">
        <is>
          <t>SÖDERMANLANDS LÄN</t>
        </is>
      </c>
      <c r="E574" t="inlineStr">
        <is>
          <t>KATRINEHOLM</t>
        </is>
      </c>
      <c r="G574" t="n">
        <v>3.1</v>
      </c>
      <c r="H574" t="n">
        <v>0</v>
      </c>
      <c r="I574" t="n">
        <v>0</v>
      </c>
      <c r="J574" t="n">
        <v>0</v>
      </c>
      <c r="K574" t="n">
        <v>0</v>
      </c>
      <c r="L574" t="n">
        <v>0</v>
      </c>
      <c r="M574" t="n">
        <v>0</v>
      </c>
      <c r="N574" t="n">
        <v>0</v>
      </c>
      <c r="O574" t="n">
        <v>0</v>
      </c>
      <c r="P574" t="n">
        <v>0</v>
      </c>
      <c r="Q574" t="n">
        <v>0</v>
      </c>
      <c r="R574" s="2" t="inlineStr"/>
    </row>
    <row r="575" ht="15" customHeight="1">
      <c r="A575" t="inlineStr">
        <is>
          <t>A 24097-2022</t>
        </is>
      </c>
      <c r="B575" s="1" t="n">
        <v>44725.39371527778</v>
      </c>
      <c r="C575" s="1" t="n">
        <v>46040</v>
      </c>
      <c r="D575" t="inlineStr">
        <is>
          <t>SÖDERMANLANDS LÄN</t>
        </is>
      </c>
      <c r="E575" t="inlineStr">
        <is>
          <t>KATRINEHOLM</t>
        </is>
      </c>
      <c r="G575" t="n">
        <v>6.5</v>
      </c>
      <c r="H575" t="n">
        <v>0</v>
      </c>
      <c r="I575" t="n">
        <v>0</v>
      </c>
      <c r="J575" t="n">
        <v>0</v>
      </c>
      <c r="K575" t="n">
        <v>0</v>
      </c>
      <c r="L575" t="n">
        <v>0</v>
      </c>
      <c r="M575" t="n">
        <v>0</v>
      </c>
      <c r="N575" t="n">
        <v>0</v>
      </c>
      <c r="O575" t="n">
        <v>0</v>
      </c>
      <c r="P575" t="n">
        <v>0</v>
      </c>
      <c r="Q575" t="n">
        <v>0</v>
      </c>
      <c r="R575" s="2" t="inlineStr"/>
    </row>
    <row r="576" ht="15" customHeight="1">
      <c r="A576" t="inlineStr">
        <is>
          <t>A 46670-2021</t>
        </is>
      </c>
      <c r="B576" s="1" t="n">
        <v>44445</v>
      </c>
      <c r="C576" s="1" t="n">
        <v>46040</v>
      </c>
      <c r="D576" t="inlineStr">
        <is>
          <t>SÖDERMANLANDS LÄN</t>
        </is>
      </c>
      <c r="E576" t="inlineStr">
        <is>
          <t>KATRINEHOLM</t>
        </is>
      </c>
      <c r="G576" t="n">
        <v>4.4</v>
      </c>
      <c r="H576" t="n">
        <v>0</v>
      </c>
      <c r="I576" t="n">
        <v>0</v>
      </c>
      <c r="J576" t="n">
        <v>0</v>
      </c>
      <c r="K576" t="n">
        <v>0</v>
      </c>
      <c r="L576" t="n">
        <v>0</v>
      </c>
      <c r="M576" t="n">
        <v>0</v>
      </c>
      <c r="N576" t="n">
        <v>0</v>
      </c>
      <c r="O576" t="n">
        <v>0</v>
      </c>
      <c r="P576" t="n">
        <v>0</v>
      </c>
      <c r="Q576" t="n">
        <v>0</v>
      </c>
      <c r="R576" s="2" t="inlineStr"/>
    </row>
    <row r="577" ht="15" customHeight="1">
      <c r="A577" t="inlineStr">
        <is>
          <t>A 62954-2023</t>
        </is>
      </c>
      <c r="B577" s="1" t="n">
        <v>45272.55362268518</v>
      </c>
      <c r="C577" s="1" t="n">
        <v>46040</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39068-2022</t>
        </is>
      </c>
      <c r="B578" s="1" t="n">
        <v>44816</v>
      </c>
      <c r="C578" s="1" t="n">
        <v>46040</v>
      </c>
      <c r="D578" t="inlineStr">
        <is>
          <t>SÖDERMANLANDS LÄN</t>
        </is>
      </c>
      <c r="E578" t="inlineStr">
        <is>
          <t>KATRINEHOLM</t>
        </is>
      </c>
      <c r="G578" t="n">
        <v>3.6</v>
      </c>
      <c r="H578" t="n">
        <v>0</v>
      </c>
      <c r="I578" t="n">
        <v>0</v>
      </c>
      <c r="J578" t="n">
        <v>0</v>
      </c>
      <c r="K578" t="n">
        <v>0</v>
      </c>
      <c r="L578" t="n">
        <v>0</v>
      </c>
      <c r="M578" t="n">
        <v>0</v>
      </c>
      <c r="N578" t="n">
        <v>0</v>
      </c>
      <c r="O578" t="n">
        <v>0</v>
      </c>
      <c r="P578" t="n">
        <v>0</v>
      </c>
      <c r="Q578" t="n">
        <v>0</v>
      </c>
      <c r="R578" s="2" t="inlineStr"/>
    </row>
    <row r="579" ht="15" customHeight="1">
      <c r="A579" t="inlineStr">
        <is>
          <t>A 58651-2023</t>
        </is>
      </c>
      <c r="B579" s="1" t="n">
        <v>45247</v>
      </c>
      <c r="C579" s="1" t="n">
        <v>46040</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12238-2021</t>
        </is>
      </c>
      <c r="B580" s="1" t="n">
        <v>44266</v>
      </c>
      <c r="C580" s="1" t="n">
        <v>46040</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46040</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57154-2023</t>
        </is>
      </c>
      <c r="B582" s="1" t="n">
        <v>45245</v>
      </c>
      <c r="C582" s="1" t="n">
        <v>46040</v>
      </c>
      <c r="D582" t="inlineStr">
        <is>
          <t>SÖDERMANLANDS LÄN</t>
        </is>
      </c>
      <c r="E582" t="inlineStr">
        <is>
          <t>KATRINEHOLM</t>
        </is>
      </c>
      <c r="F582" t="inlineStr">
        <is>
          <t>Allmännings- och besparingsskogar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21959-2022</t>
        </is>
      </c>
      <c r="B583" s="1" t="n">
        <v>44708</v>
      </c>
      <c r="C583" s="1" t="n">
        <v>46040</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51530-2023</t>
        </is>
      </c>
      <c r="B584" s="1" t="n">
        <v>45222</v>
      </c>
      <c r="C584" s="1" t="n">
        <v>46040</v>
      </c>
      <c r="D584" t="inlineStr">
        <is>
          <t>SÖDERMANLANDS LÄN</t>
        </is>
      </c>
      <c r="E584" t="inlineStr">
        <is>
          <t>KATRINEHOLM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23916-2023</t>
        </is>
      </c>
      <c r="B585" s="1" t="n">
        <v>45075</v>
      </c>
      <c r="C585" s="1" t="n">
        <v>46040</v>
      </c>
      <c r="D585" t="inlineStr">
        <is>
          <t>SÖDERMANLANDS LÄN</t>
        </is>
      </c>
      <c r="E585" t="inlineStr">
        <is>
          <t>KATRINEHOLM</t>
        </is>
      </c>
      <c r="G585" t="n">
        <v>8</v>
      </c>
      <c r="H585" t="n">
        <v>0</v>
      </c>
      <c r="I585" t="n">
        <v>0</v>
      </c>
      <c r="J585" t="n">
        <v>0</v>
      </c>
      <c r="K585" t="n">
        <v>0</v>
      </c>
      <c r="L585" t="n">
        <v>0</v>
      </c>
      <c r="M585" t="n">
        <v>0</v>
      </c>
      <c r="N585" t="n">
        <v>0</v>
      </c>
      <c r="O585" t="n">
        <v>0</v>
      </c>
      <c r="P585" t="n">
        <v>0</v>
      </c>
      <c r="Q585" t="n">
        <v>0</v>
      </c>
      <c r="R585" s="2" t="inlineStr"/>
    </row>
    <row r="586" ht="15" customHeight="1">
      <c r="A586" t="inlineStr">
        <is>
          <t>A 38879-2024</t>
        </is>
      </c>
      <c r="B586" s="1" t="n">
        <v>45547</v>
      </c>
      <c r="C586" s="1" t="n">
        <v>46040</v>
      </c>
      <c r="D586" t="inlineStr">
        <is>
          <t>SÖDERMANLANDS LÄN</t>
        </is>
      </c>
      <c r="E586" t="inlineStr">
        <is>
          <t>KATRINEHOLM</t>
        </is>
      </c>
      <c r="G586" t="n">
        <v>2.6</v>
      </c>
      <c r="H586" t="n">
        <v>0</v>
      </c>
      <c r="I586" t="n">
        <v>0</v>
      </c>
      <c r="J586" t="n">
        <v>0</v>
      </c>
      <c r="K586" t="n">
        <v>0</v>
      </c>
      <c r="L586" t="n">
        <v>0</v>
      </c>
      <c r="M586" t="n">
        <v>0</v>
      </c>
      <c r="N586" t="n">
        <v>0</v>
      </c>
      <c r="O586" t="n">
        <v>0</v>
      </c>
      <c r="P586" t="n">
        <v>0</v>
      </c>
      <c r="Q586" t="n">
        <v>0</v>
      </c>
      <c r="R586" s="2" t="inlineStr"/>
    </row>
    <row r="587" ht="15" customHeight="1">
      <c r="A587" t="inlineStr">
        <is>
          <t>A 6446-2022</t>
        </is>
      </c>
      <c r="B587" s="1" t="n">
        <v>44600</v>
      </c>
      <c r="C587" s="1" t="n">
        <v>46040</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9437-2022</t>
        </is>
      </c>
      <c r="B588" s="1" t="n">
        <v>44616.69246527777</v>
      </c>
      <c r="C588" s="1" t="n">
        <v>46040</v>
      </c>
      <c r="D588" t="inlineStr">
        <is>
          <t>SÖDERMANLANDS LÄN</t>
        </is>
      </c>
      <c r="E588" t="inlineStr">
        <is>
          <t>KATRINEHOLM</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25362-2023</t>
        </is>
      </c>
      <c r="B589" s="1" t="n">
        <v>45088.83430555555</v>
      </c>
      <c r="C589" s="1" t="n">
        <v>46040</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51923-2023</t>
        </is>
      </c>
      <c r="B590" s="1" t="n">
        <v>45223</v>
      </c>
      <c r="C590" s="1" t="n">
        <v>46040</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4662-2023</t>
        </is>
      </c>
      <c r="B591" s="1" t="n">
        <v>44957</v>
      </c>
      <c r="C591" s="1" t="n">
        <v>46040</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19685-2022</t>
        </is>
      </c>
      <c r="B592" s="1" t="n">
        <v>44694</v>
      </c>
      <c r="C592" s="1" t="n">
        <v>46040</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62419-2023</t>
        </is>
      </c>
      <c r="B593" s="1" t="n">
        <v>45268</v>
      </c>
      <c r="C593" s="1" t="n">
        <v>46040</v>
      </c>
      <c r="D593" t="inlineStr">
        <is>
          <t>SÖDERMANLANDS LÄN</t>
        </is>
      </c>
      <c r="E593" t="inlineStr">
        <is>
          <t>KATRINEHOLM</t>
        </is>
      </c>
      <c r="G593" t="n">
        <v>9</v>
      </c>
      <c r="H593" t="n">
        <v>0</v>
      </c>
      <c r="I593" t="n">
        <v>0</v>
      </c>
      <c r="J593" t="n">
        <v>0</v>
      </c>
      <c r="K593" t="n">
        <v>0</v>
      </c>
      <c r="L593" t="n">
        <v>0</v>
      </c>
      <c r="M593" t="n">
        <v>0</v>
      </c>
      <c r="N593" t="n">
        <v>0</v>
      </c>
      <c r="O593" t="n">
        <v>0</v>
      </c>
      <c r="P593" t="n">
        <v>0</v>
      </c>
      <c r="Q593" t="n">
        <v>0</v>
      </c>
      <c r="R593" s="2" t="inlineStr"/>
    </row>
    <row r="594" ht="15" customHeight="1">
      <c r="A594" t="inlineStr">
        <is>
          <t>A 18386-2025</t>
        </is>
      </c>
      <c r="B594" s="1" t="n">
        <v>45762</v>
      </c>
      <c r="C594" s="1" t="n">
        <v>46040</v>
      </c>
      <c r="D594" t="inlineStr">
        <is>
          <t>SÖDERMANLANDS LÄN</t>
        </is>
      </c>
      <c r="E594" t="inlineStr">
        <is>
          <t>KATRINEHOLM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39897-2023</t>
        </is>
      </c>
      <c r="B595" s="1" t="n">
        <v>45168</v>
      </c>
      <c r="C595" s="1" t="n">
        <v>46040</v>
      </c>
      <c r="D595" t="inlineStr">
        <is>
          <t>SÖDERMANLANDS LÄN</t>
        </is>
      </c>
      <c r="E595" t="inlineStr">
        <is>
          <t>KATRINEHOLM</t>
        </is>
      </c>
      <c r="G595" t="n">
        <v>15.6</v>
      </c>
      <c r="H595" t="n">
        <v>0</v>
      </c>
      <c r="I595" t="n">
        <v>0</v>
      </c>
      <c r="J595" t="n">
        <v>0</v>
      </c>
      <c r="K595" t="n">
        <v>0</v>
      </c>
      <c r="L595" t="n">
        <v>0</v>
      </c>
      <c r="M595" t="n">
        <v>0</v>
      </c>
      <c r="N595" t="n">
        <v>0</v>
      </c>
      <c r="O595" t="n">
        <v>0</v>
      </c>
      <c r="P595" t="n">
        <v>0</v>
      </c>
      <c r="Q595" t="n">
        <v>0</v>
      </c>
      <c r="R595" s="2" t="inlineStr"/>
    </row>
    <row r="596" ht="15" customHeight="1">
      <c r="A596" t="inlineStr">
        <is>
          <t>A 23207-2023</t>
        </is>
      </c>
      <c r="B596" s="1" t="n">
        <v>45071</v>
      </c>
      <c r="C596" s="1" t="n">
        <v>46040</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3125-2024</t>
        </is>
      </c>
      <c r="B597" s="1" t="n">
        <v>45316</v>
      </c>
      <c r="C597" s="1" t="n">
        <v>46040</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35183-2022</t>
        </is>
      </c>
      <c r="B598" s="1" t="n">
        <v>44797</v>
      </c>
      <c r="C598" s="1" t="n">
        <v>46040</v>
      </c>
      <c r="D598" t="inlineStr">
        <is>
          <t>SÖDERMANLANDS LÄN</t>
        </is>
      </c>
      <c r="E598" t="inlineStr">
        <is>
          <t>KATRINEHOLM</t>
        </is>
      </c>
      <c r="G598" t="n">
        <v>4.6</v>
      </c>
      <c r="H598" t="n">
        <v>0</v>
      </c>
      <c r="I598" t="n">
        <v>0</v>
      </c>
      <c r="J598" t="n">
        <v>0</v>
      </c>
      <c r="K598" t="n">
        <v>0</v>
      </c>
      <c r="L598" t="n">
        <v>0</v>
      </c>
      <c r="M598" t="n">
        <v>0</v>
      </c>
      <c r="N598" t="n">
        <v>0</v>
      </c>
      <c r="O598" t="n">
        <v>0</v>
      </c>
      <c r="P598" t="n">
        <v>0</v>
      </c>
      <c r="Q598" t="n">
        <v>0</v>
      </c>
      <c r="R598" s="2" t="inlineStr"/>
    </row>
    <row r="599" ht="15" customHeight="1">
      <c r="A599" t="inlineStr">
        <is>
          <t>A 42025-2022</t>
        </is>
      </c>
      <c r="B599" s="1" t="n">
        <v>44830.47399305556</v>
      </c>
      <c r="C599" s="1" t="n">
        <v>46040</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42519-2024</t>
        </is>
      </c>
      <c r="B600" s="1" t="n">
        <v>45565</v>
      </c>
      <c r="C600" s="1" t="n">
        <v>46040</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44701.44754629629</v>
      </c>
      <c r="C601" s="1" t="n">
        <v>46040</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20846-2022</t>
        </is>
      </c>
      <c r="B602" s="1" t="n">
        <v>44701.4744212963</v>
      </c>
      <c r="C602" s="1" t="n">
        <v>46040</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8791-2023</t>
        </is>
      </c>
      <c r="B603" s="1" t="n">
        <v>44978</v>
      </c>
      <c r="C603" s="1" t="n">
        <v>46040</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48253-2022</t>
        </is>
      </c>
      <c r="B604" s="1" t="n">
        <v>44858</v>
      </c>
      <c r="C604" s="1" t="n">
        <v>46040</v>
      </c>
      <c r="D604" t="inlineStr">
        <is>
          <t>SÖDERMANLANDS LÄN</t>
        </is>
      </c>
      <c r="E604" t="inlineStr">
        <is>
          <t>KATRINEHOLM</t>
        </is>
      </c>
      <c r="G604" t="n">
        <v>4.7</v>
      </c>
      <c r="H604" t="n">
        <v>0</v>
      </c>
      <c r="I604" t="n">
        <v>0</v>
      </c>
      <c r="J604" t="n">
        <v>0</v>
      </c>
      <c r="K604" t="n">
        <v>0</v>
      </c>
      <c r="L604" t="n">
        <v>0</v>
      </c>
      <c r="M604" t="n">
        <v>0</v>
      </c>
      <c r="N604" t="n">
        <v>0</v>
      </c>
      <c r="O604" t="n">
        <v>0</v>
      </c>
      <c r="P604" t="n">
        <v>0</v>
      </c>
      <c r="Q604" t="n">
        <v>0</v>
      </c>
      <c r="R604" s="2" t="inlineStr"/>
    </row>
    <row r="605" ht="15" customHeight="1">
      <c r="A605" t="inlineStr">
        <is>
          <t>A 53809-2021</t>
        </is>
      </c>
      <c r="B605" s="1" t="n">
        <v>44467</v>
      </c>
      <c r="C605" s="1" t="n">
        <v>46040</v>
      </c>
      <c r="D605" t="inlineStr">
        <is>
          <t>SÖDERMANLANDS LÄN</t>
        </is>
      </c>
      <c r="E605" t="inlineStr">
        <is>
          <t>KATRINEHOLM</t>
        </is>
      </c>
      <c r="G605" t="n">
        <v>7</v>
      </c>
      <c r="H605" t="n">
        <v>0</v>
      </c>
      <c r="I605" t="n">
        <v>0</v>
      </c>
      <c r="J605" t="n">
        <v>0</v>
      </c>
      <c r="K605" t="n">
        <v>0</v>
      </c>
      <c r="L605" t="n">
        <v>0</v>
      </c>
      <c r="M605" t="n">
        <v>0</v>
      </c>
      <c r="N605" t="n">
        <v>0</v>
      </c>
      <c r="O605" t="n">
        <v>0</v>
      </c>
      <c r="P605" t="n">
        <v>0</v>
      </c>
      <c r="Q605" t="n">
        <v>0</v>
      </c>
      <c r="R605" s="2" t="inlineStr"/>
    </row>
    <row r="606" ht="15" customHeight="1">
      <c r="A606" t="inlineStr">
        <is>
          <t>A 31719-2024</t>
        </is>
      </c>
      <c r="B606" s="1" t="n">
        <v>45509</v>
      </c>
      <c r="C606" s="1" t="n">
        <v>46040</v>
      </c>
      <c r="D606" t="inlineStr">
        <is>
          <t>SÖDERMANLANDS LÄN</t>
        </is>
      </c>
      <c r="E606" t="inlineStr">
        <is>
          <t>KATRINEHOLM</t>
        </is>
      </c>
      <c r="F606" t="inlineStr">
        <is>
          <t>Kyrkan</t>
        </is>
      </c>
      <c r="G606" t="n">
        <v>11.9</v>
      </c>
      <c r="H606" t="n">
        <v>0</v>
      </c>
      <c r="I606" t="n">
        <v>0</v>
      </c>
      <c r="J606" t="n">
        <v>0</v>
      </c>
      <c r="K606" t="n">
        <v>0</v>
      </c>
      <c r="L606" t="n">
        <v>0</v>
      </c>
      <c r="M606" t="n">
        <v>0</v>
      </c>
      <c r="N606" t="n">
        <v>0</v>
      </c>
      <c r="O606" t="n">
        <v>0</v>
      </c>
      <c r="P606" t="n">
        <v>0</v>
      </c>
      <c r="Q606" t="n">
        <v>0</v>
      </c>
      <c r="R606" s="2" t="inlineStr"/>
    </row>
    <row r="607" ht="15" customHeight="1">
      <c r="A607" t="inlineStr">
        <is>
          <t>A 13175-2024</t>
        </is>
      </c>
      <c r="B607" s="1" t="n">
        <v>45386</v>
      </c>
      <c r="C607" s="1" t="n">
        <v>46040</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49078-2024</t>
        </is>
      </c>
      <c r="B608" s="1" t="n">
        <v>45594.62556712963</v>
      </c>
      <c r="C608" s="1" t="n">
        <v>46040</v>
      </c>
      <c r="D608" t="inlineStr">
        <is>
          <t>SÖDERMANLANDS LÄN</t>
        </is>
      </c>
      <c r="E608" t="inlineStr">
        <is>
          <t>KATRINEHOLM</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46040</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47879-2023</t>
        </is>
      </c>
      <c r="B610" s="1" t="n">
        <v>45204</v>
      </c>
      <c r="C610" s="1" t="n">
        <v>46040</v>
      </c>
      <c r="D610" t="inlineStr">
        <is>
          <t>SÖDERMANLANDS LÄN</t>
        </is>
      </c>
      <c r="E610" t="inlineStr">
        <is>
          <t>KATRINEHOLM</t>
        </is>
      </c>
      <c r="F610" t="inlineStr">
        <is>
          <t>Övriga Aktiebolag</t>
        </is>
      </c>
      <c r="G610" t="n">
        <v>2.3</v>
      </c>
      <c r="H610" t="n">
        <v>0</v>
      </c>
      <c r="I610" t="n">
        <v>0</v>
      </c>
      <c r="J610" t="n">
        <v>0</v>
      </c>
      <c r="K610" t="n">
        <v>0</v>
      </c>
      <c r="L610" t="n">
        <v>0</v>
      </c>
      <c r="M610" t="n">
        <v>0</v>
      </c>
      <c r="N610" t="n">
        <v>0</v>
      </c>
      <c r="O610" t="n">
        <v>0</v>
      </c>
      <c r="P610" t="n">
        <v>0</v>
      </c>
      <c r="Q610" t="n">
        <v>0</v>
      </c>
      <c r="R610" s="2" t="inlineStr"/>
    </row>
    <row r="611" ht="15" customHeight="1">
      <c r="A611" t="inlineStr">
        <is>
          <t>A 40744-2022</t>
        </is>
      </c>
      <c r="B611" s="1" t="n">
        <v>44824.55655092592</v>
      </c>
      <c r="C611" s="1" t="n">
        <v>46040</v>
      </c>
      <c r="D611" t="inlineStr">
        <is>
          <t>SÖDERMANLANDS LÄN</t>
        </is>
      </c>
      <c r="E611" t="inlineStr">
        <is>
          <t>KATRINEHOLM</t>
        </is>
      </c>
      <c r="G611" t="n">
        <v>3.7</v>
      </c>
      <c r="H611" t="n">
        <v>0</v>
      </c>
      <c r="I611" t="n">
        <v>0</v>
      </c>
      <c r="J611" t="n">
        <v>0</v>
      </c>
      <c r="K611" t="n">
        <v>0</v>
      </c>
      <c r="L611" t="n">
        <v>0</v>
      </c>
      <c r="M611" t="n">
        <v>0</v>
      </c>
      <c r="N611" t="n">
        <v>0</v>
      </c>
      <c r="O611" t="n">
        <v>0</v>
      </c>
      <c r="P611" t="n">
        <v>0</v>
      </c>
      <c r="Q611" t="n">
        <v>0</v>
      </c>
      <c r="R611" s="2" t="inlineStr"/>
    </row>
    <row r="612" ht="15" customHeight="1">
      <c r="A612" t="inlineStr">
        <is>
          <t>A 12975-2022</t>
        </is>
      </c>
      <c r="B612" s="1" t="n">
        <v>44643</v>
      </c>
      <c r="C612" s="1" t="n">
        <v>46040</v>
      </c>
      <c r="D612" t="inlineStr">
        <is>
          <t>SÖDERMANLANDS LÄN</t>
        </is>
      </c>
      <c r="E612" t="inlineStr">
        <is>
          <t>KATRINEHOLM</t>
        </is>
      </c>
      <c r="G612" t="n">
        <v>2.4</v>
      </c>
      <c r="H612" t="n">
        <v>0</v>
      </c>
      <c r="I612" t="n">
        <v>0</v>
      </c>
      <c r="J612" t="n">
        <v>0</v>
      </c>
      <c r="K612" t="n">
        <v>0</v>
      </c>
      <c r="L612" t="n">
        <v>0</v>
      </c>
      <c r="M612" t="n">
        <v>0</v>
      </c>
      <c r="N612" t="n">
        <v>0</v>
      </c>
      <c r="O612" t="n">
        <v>0</v>
      </c>
      <c r="P612" t="n">
        <v>0</v>
      </c>
      <c r="Q612" t="n">
        <v>0</v>
      </c>
      <c r="R612" s="2" t="inlineStr"/>
    </row>
    <row r="613" ht="15" customHeight="1">
      <c r="A613" t="inlineStr">
        <is>
          <t>A 51260-2021</t>
        </is>
      </c>
      <c r="B613" s="1" t="n">
        <v>44461</v>
      </c>
      <c r="C613" s="1" t="n">
        <v>46040</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53843-2023</t>
        </is>
      </c>
      <c r="B614" s="1" t="n">
        <v>45230</v>
      </c>
      <c r="C614" s="1" t="n">
        <v>46040</v>
      </c>
      <c r="D614" t="inlineStr">
        <is>
          <t>SÖDERMANLANDS LÄN</t>
        </is>
      </c>
      <c r="E614" t="inlineStr">
        <is>
          <t>KATRINEHOLM</t>
        </is>
      </c>
      <c r="G614" t="n">
        <v>14.2</v>
      </c>
      <c r="H614" t="n">
        <v>0</v>
      </c>
      <c r="I614" t="n">
        <v>0</v>
      </c>
      <c r="J614" t="n">
        <v>0</v>
      </c>
      <c r="K614" t="n">
        <v>0</v>
      </c>
      <c r="L614" t="n">
        <v>0</v>
      </c>
      <c r="M614" t="n">
        <v>0</v>
      </c>
      <c r="N614" t="n">
        <v>0</v>
      </c>
      <c r="O614" t="n">
        <v>0</v>
      </c>
      <c r="P614" t="n">
        <v>0</v>
      </c>
      <c r="Q614" t="n">
        <v>0</v>
      </c>
      <c r="R614" s="2" t="inlineStr"/>
    </row>
    <row r="615" ht="15" customHeight="1">
      <c r="A615" t="inlineStr">
        <is>
          <t>A 8761-2023</t>
        </is>
      </c>
      <c r="B615" s="1" t="n">
        <v>44978.49685185185</v>
      </c>
      <c r="C615" s="1" t="n">
        <v>46040</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8778-2023</t>
        </is>
      </c>
      <c r="B616" s="1" t="n">
        <v>44978.5737037037</v>
      </c>
      <c r="C616" s="1" t="n">
        <v>46040</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48763-2024</t>
        </is>
      </c>
      <c r="B617" s="1" t="n">
        <v>45593.60288194445</v>
      </c>
      <c r="C617" s="1" t="n">
        <v>46040</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8457-2023</t>
        </is>
      </c>
      <c r="B618" s="1" t="n">
        <v>44977</v>
      </c>
      <c r="C618" s="1" t="n">
        <v>46040</v>
      </c>
      <c r="D618" t="inlineStr">
        <is>
          <t>SÖDERMANLANDS LÄN</t>
        </is>
      </c>
      <c r="E618" t="inlineStr">
        <is>
          <t>KATRINEHOLM</t>
        </is>
      </c>
      <c r="F618" t="inlineStr">
        <is>
          <t>Allmännings- och besparingsskogar</t>
        </is>
      </c>
      <c r="G618" t="n">
        <v>16.1</v>
      </c>
      <c r="H618" t="n">
        <v>0</v>
      </c>
      <c r="I618" t="n">
        <v>0</v>
      </c>
      <c r="J618" t="n">
        <v>0</v>
      </c>
      <c r="K618" t="n">
        <v>0</v>
      </c>
      <c r="L618" t="n">
        <v>0</v>
      </c>
      <c r="M618" t="n">
        <v>0</v>
      </c>
      <c r="N618" t="n">
        <v>0</v>
      </c>
      <c r="O618" t="n">
        <v>0</v>
      </c>
      <c r="P618" t="n">
        <v>0</v>
      </c>
      <c r="Q618" t="n">
        <v>0</v>
      </c>
      <c r="R618" s="2" t="inlineStr"/>
    </row>
    <row r="619" ht="15" customHeight="1">
      <c r="A619" t="inlineStr">
        <is>
          <t>A 14478-2023</t>
        </is>
      </c>
      <c r="B619" s="1" t="n">
        <v>45012.66421296296</v>
      </c>
      <c r="C619" s="1" t="n">
        <v>46040</v>
      </c>
      <c r="D619" t="inlineStr">
        <is>
          <t>SÖDERMANLANDS LÄN</t>
        </is>
      </c>
      <c r="E619" t="inlineStr">
        <is>
          <t>KATRINEHOLM</t>
        </is>
      </c>
      <c r="G619" t="n">
        <v>3.9</v>
      </c>
      <c r="H619" t="n">
        <v>0</v>
      </c>
      <c r="I619" t="n">
        <v>0</v>
      </c>
      <c r="J619" t="n">
        <v>0</v>
      </c>
      <c r="K619" t="n">
        <v>0</v>
      </c>
      <c r="L619" t="n">
        <v>0</v>
      </c>
      <c r="M619" t="n">
        <v>0</v>
      </c>
      <c r="N619" t="n">
        <v>0</v>
      </c>
      <c r="O619" t="n">
        <v>0</v>
      </c>
      <c r="P619" t="n">
        <v>0</v>
      </c>
      <c r="Q619" t="n">
        <v>0</v>
      </c>
      <c r="R619" s="2" t="inlineStr"/>
    </row>
    <row r="620" ht="15" customHeight="1">
      <c r="A620" t="inlineStr">
        <is>
          <t>A 7056-2022</t>
        </is>
      </c>
      <c r="B620" s="1" t="n">
        <v>44603</v>
      </c>
      <c r="C620" s="1" t="n">
        <v>46040</v>
      </c>
      <c r="D620" t="inlineStr">
        <is>
          <t>SÖDERMANLANDS LÄN</t>
        </is>
      </c>
      <c r="E620" t="inlineStr">
        <is>
          <t>KATRINEHOLM</t>
        </is>
      </c>
      <c r="G620" t="n">
        <v>0.5</v>
      </c>
      <c r="H620" t="n">
        <v>0</v>
      </c>
      <c r="I620" t="n">
        <v>0</v>
      </c>
      <c r="J620" t="n">
        <v>0</v>
      </c>
      <c r="K620" t="n">
        <v>0</v>
      </c>
      <c r="L620" t="n">
        <v>0</v>
      </c>
      <c r="M620" t="n">
        <v>0</v>
      </c>
      <c r="N620" t="n">
        <v>0</v>
      </c>
      <c r="O620" t="n">
        <v>0</v>
      </c>
      <c r="P620" t="n">
        <v>0</v>
      </c>
      <c r="Q620" t="n">
        <v>0</v>
      </c>
      <c r="R620" s="2" t="inlineStr"/>
    </row>
    <row r="621" ht="15" customHeight="1">
      <c r="A621" t="inlineStr">
        <is>
          <t>A 20921-2023</t>
        </is>
      </c>
      <c r="B621" s="1" t="n">
        <v>45061</v>
      </c>
      <c r="C621" s="1" t="n">
        <v>46040</v>
      </c>
      <c r="D621" t="inlineStr">
        <is>
          <t>SÖDERMANLANDS LÄN</t>
        </is>
      </c>
      <c r="E621" t="inlineStr">
        <is>
          <t>KATRINEHOLM</t>
        </is>
      </c>
      <c r="G621" t="n">
        <v>8.9</v>
      </c>
      <c r="H621" t="n">
        <v>0</v>
      </c>
      <c r="I621" t="n">
        <v>0</v>
      </c>
      <c r="J621" t="n">
        <v>0</v>
      </c>
      <c r="K621" t="n">
        <v>0</v>
      </c>
      <c r="L621" t="n">
        <v>0</v>
      </c>
      <c r="M621" t="n">
        <v>0</v>
      </c>
      <c r="N621" t="n">
        <v>0</v>
      </c>
      <c r="O621" t="n">
        <v>0</v>
      </c>
      <c r="P621" t="n">
        <v>0</v>
      </c>
      <c r="Q621" t="n">
        <v>0</v>
      </c>
      <c r="R621" s="2" t="inlineStr"/>
    </row>
    <row r="622" ht="15" customHeight="1">
      <c r="A622" t="inlineStr">
        <is>
          <t>A 12930-2023</t>
        </is>
      </c>
      <c r="B622" s="1" t="n">
        <v>45001</v>
      </c>
      <c r="C622" s="1" t="n">
        <v>46040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12938-2023</t>
        </is>
      </c>
      <c r="B623" s="1" t="n">
        <v>45001</v>
      </c>
      <c r="C623" s="1" t="n">
        <v>46040</v>
      </c>
      <c r="D623" t="inlineStr">
        <is>
          <t>SÖDERMANLANDS LÄN</t>
        </is>
      </c>
      <c r="E623" t="inlineStr">
        <is>
          <t>KATRINEHOLM</t>
        </is>
      </c>
      <c r="G623" t="n">
        <v>0.4</v>
      </c>
      <c r="H623" t="n">
        <v>0</v>
      </c>
      <c r="I623" t="n">
        <v>0</v>
      </c>
      <c r="J623" t="n">
        <v>0</v>
      </c>
      <c r="K623" t="n">
        <v>0</v>
      </c>
      <c r="L623" t="n">
        <v>0</v>
      </c>
      <c r="M623" t="n">
        <v>0</v>
      </c>
      <c r="N623" t="n">
        <v>0</v>
      </c>
      <c r="O623" t="n">
        <v>0</v>
      </c>
      <c r="P623" t="n">
        <v>0</v>
      </c>
      <c r="Q623" t="n">
        <v>0</v>
      </c>
      <c r="R623" s="2" t="inlineStr"/>
    </row>
    <row r="624" ht="15" customHeight="1">
      <c r="A624" t="inlineStr">
        <is>
          <t>A 12559-2023</t>
        </is>
      </c>
      <c r="B624" s="1" t="n">
        <v>45000.36373842593</v>
      </c>
      <c r="C624" s="1" t="n">
        <v>46040</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7704-2023</t>
        </is>
      </c>
      <c r="B625" s="1" t="n">
        <v>44968</v>
      </c>
      <c r="C625" s="1" t="n">
        <v>46040</v>
      </c>
      <c r="D625" t="inlineStr">
        <is>
          <t>SÖDERMANLANDS LÄN</t>
        </is>
      </c>
      <c r="E625" t="inlineStr">
        <is>
          <t>KATRINEHOLM</t>
        </is>
      </c>
      <c r="G625" t="n">
        <v>7.3</v>
      </c>
      <c r="H625" t="n">
        <v>0</v>
      </c>
      <c r="I625" t="n">
        <v>0</v>
      </c>
      <c r="J625" t="n">
        <v>0</v>
      </c>
      <c r="K625" t="n">
        <v>0</v>
      </c>
      <c r="L625" t="n">
        <v>0</v>
      </c>
      <c r="M625" t="n">
        <v>0</v>
      </c>
      <c r="N625" t="n">
        <v>0</v>
      </c>
      <c r="O625" t="n">
        <v>0</v>
      </c>
      <c r="P625" t="n">
        <v>0</v>
      </c>
      <c r="Q625" t="n">
        <v>0</v>
      </c>
      <c r="R625" s="2" t="inlineStr"/>
    </row>
    <row r="626" ht="15" customHeight="1">
      <c r="A626" t="inlineStr">
        <is>
          <t>A 49122-2024</t>
        </is>
      </c>
      <c r="B626" s="1" t="n">
        <v>45594</v>
      </c>
      <c r="C626" s="1" t="n">
        <v>46040</v>
      </c>
      <c r="D626" t="inlineStr">
        <is>
          <t>SÖDERMANLANDS LÄN</t>
        </is>
      </c>
      <c r="E626" t="inlineStr">
        <is>
          <t>KATRINEHOLM</t>
        </is>
      </c>
      <c r="G626" t="n">
        <v>19.4</v>
      </c>
      <c r="H626" t="n">
        <v>0</v>
      </c>
      <c r="I626" t="n">
        <v>0</v>
      </c>
      <c r="J626" t="n">
        <v>0</v>
      </c>
      <c r="K626" t="n">
        <v>0</v>
      </c>
      <c r="L626" t="n">
        <v>0</v>
      </c>
      <c r="M626" t="n">
        <v>0</v>
      </c>
      <c r="N626" t="n">
        <v>0</v>
      </c>
      <c r="O626" t="n">
        <v>0</v>
      </c>
      <c r="P626" t="n">
        <v>0</v>
      </c>
      <c r="Q626" t="n">
        <v>0</v>
      </c>
      <c r="R626" s="2" t="inlineStr"/>
    </row>
    <row r="627" ht="15" customHeight="1">
      <c r="A627" t="inlineStr">
        <is>
          <t>A 12937-2023</t>
        </is>
      </c>
      <c r="B627" s="1" t="n">
        <v>45001</v>
      </c>
      <c r="C627" s="1" t="n">
        <v>46040</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11127-2023</t>
        </is>
      </c>
      <c r="B628" s="1" t="n">
        <v>44987</v>
      </c>
      <c r="C628" s="1" t="n">
        <v>46040</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32786-2022</t>
        </is>
      </c>
      <c r="B629" s="1" t="n">
        <v>44784</v>
      </c>
      <c r="C629" s="1" t="n">
        <v>46040</v>
      </c>
      <c r="D629" t="inlineStr">
        <is>
          <t>SÖDERMANLANDS LÄN</t>
        </is>
      </c>
      <c r="E629" t="inlineStr">
        <is>
          <t>KATRINEHOLM</t>
        </is>
      </c>
      <c r="G629" t="n">
        <v>7</v>
      </c>
      <c r="H629" t="n">
        <v>0</v>
      </c>
      <c r="I629" t="n">
        <v>0</v>
      </c>
      <c r="J629" t="n">
        <v>0</v>
      </c>
      <c r="K629" t="n">
        <v>0</v>
      </c>
      <c r="L629" t="n">
        <v>0</v>
      </c>
      <c r="M629" t="n">
        <v>0</v>
      </c>
      <c r="N629" t="n">
        <v>0</v>
      </c>
      <c r="O629" t="n">
        <v>0</v>
      </c>
      <c r="P629" t="n">
        <v>0</v>
      </c>
      <c r="Q629" t="n">
        <v>0</v>
      </c>
      <c r="R629" s="2" t="inlineStr"/>
    </row>
    <row r="630" ht="15" customHeight="1">
      <c r="A630" t="inlineStr">
        <is>
          <t>A 7223-2022</t>
        </is>
      </c>
      <c r="B630" s="1" t="n">
        <v>44603</v>
      </c>
      <c r="C630" s="1" t="n">
        <v>46040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7459-2022</t>
        </is>
      </c>
      <c r="B631" s="1" t="n">
        <v>44607.35009259259</v>
      </c>
      <c r="C631" s="1" t="n">
        <v>46040</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27375-2024</t>
        </is>
      </c>
      <c r="B632" s="1" t="n">
        <v>45473.87645833333</v>
      </c>
      <c r="C632" s="1" t="n">
        <v>46040</v>
      </c>
      <c r="D632" t="inlineStr">
        <is>
          <t>SÖDERMANLANDS LÄN</t>
        </is>
      </c>
      <c r="E632" t="inlineStr">
        <is>
          <t>KATRINEHOLM</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20768-2022</t>
        </is>
      </c>
      <c r="B633" s="1" t="n">
        <v>44701.36431712963</v>
      </c>
      <c r="C633" s="1" t="n">
        <v>46040</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27345-2023</t>
        </is>
      </c>
      <c r="B634" s="1" t="n">
        <v>45096</v>
      </c>
      <c r="C634" s="1" t="n">
        <v>46040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1151-2025</t>
        </is>
      </c>
      <c r="B635" s="1" t="n">
        <v>45666</v>
      </c>
      <c r="C635" s="1" t="n">
        <v>46040</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6808-2023</t>
        </is>
      </c>
      <c r="B636" s="1" t="n">
        <v>44964</v>
      </c>
      <c r="C636" s="1" t="n">
        <v>46040</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15284-2023</t>
        </is>
      </c>
      <c r="B637" s="1" t="n">
        <v>45019</v>
      </c>
      <c r="C637" s="1" t="n">
        <v>46040</v>
      </c>
      <c r="D637" t="inlineStr">
        <is>
          <t>SÖDERMANLANDS LÄN</t>
        </is>
      </c>
      <c r="E637" t="inlineStr">
        <is>
          <t>KATRINEHOLM</t>
        </is>
      </c>
      <c r="F637" t="inlineStr">
        <is>
          <t>Allmännings- och besparingsskogar</t>
        </is>
      </c>
      <c r="G637" t="n">
        <v>17.4</v>
      </c>
      <c r="H637" t="n">
        <v>0</v>
      </c>
      <c r="I637" t="n">
        <v>0</v>
      </c>
      <c r="J637" t="n">
        <v>0</v>
      </c>
      <c r="K637" t="n">
        <v>0</v>
      </c>
      <c r="L637" t="n">
        <v>0</v>
      </c>
      <c r="M637" t="n">
        <v>0</v>
      </c>
      <c r="N637" t="n">
        <v>0</v>
      </c>
      <c r="O637" t="n">
        <v>0</v>
      </c>
      <c r="P637" t="n">
        <v>0</v>
      </c>
      <c r="Q637" t="n">
        <v>0</v>
      </c>
      <c r="R637" s="2" t="inlineStr"/>
    </row>
    <row r="638" ht="15" customHeight="1">
      <c r="A638" t="inlineStr">
        <is>
          <t>A 61394-2024</t>
        </is>
      </c>
      <c r="B638" s="1" t="n">
        <v>45646.42061342593</v>
      </c>
      <c r="C638" s="1" t="n">
        <v>46040</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51613-2022</t>
        </is>
      </c>
      <c r="B639" s="1" t="n">
        <v>44871</v>
      </c>
      <c r="C639" s="1" t="n">
        <v>46040</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37834-2023</t>
        </is>
      </c>
      <c r="B640" s="1" t="n">
        <v>45160</v>
      </c>
      <c r="C640" s="1" t="n">
        <v>46040</v>
      </c>
      <c r="D640" t="inlineStr">
        <is>
          <t>SÖDERMANLANDS LÄN</t>
        </is>
      </c>
      <c r="E640" t="inlineStr">
        <is>
          <t>KATRINEHOLM</t>
        </is>
      </c>
      <c r="F640" t="inlineStr">
        <is>
          <t>Kyrkan</t>
        </is>
      </c>
      <c r="G640" t="n">
        <v>2.8</v>
      </c>
      <c r="H640" t="n">
        <v>0</v>
      </c>
      <c r="I640" t="n">
        <v>0</v>
      </c>
      <c r="J640" t="n">
        <v>0</v>
      </c>
      <c r="K640" t="n">
        <v>0</v>
      </c>
      <c r="L640" t="n">
        <v>0</v>
      </c>
      <c r="M640" t="n">
        <v>0</v>
      </c>
      <c r="N640" t="n">
        <v>0</v>
      </c>
      <c r="O640" t="n">
        <v>0</v>
      </c>
      <c r="P640" t="n">
        <v>0</v>
      </c>
      <c r="Q640" t="n">
        <v>0</v>
      </c>
      <c r="R640" s="2" t="inlineStr"/>
    </row>
    <row r="641" ht="15" customHeight="1">
      <c r="A641" t="inlineStr">
        <is>
          <t>A 8475-2023</t>
        </is>
      </c>
      <c r="B641" s="1" t="n">
        <v>44977</v>
      </c>
      <c r="C641" s="1" t="n">
        <v>46040</v>
      </c>
      <c r="D641" t="inlineStr">
        <is>
          <t>SÖDERMANLANDS LÄN</t>
        </is>
      </c>
      <c r="E641" t="inlineStr">
        <is>
          <t>KATRINEHOLM</t>
        </is>
      </c>
      <c r="F641" t="inlineStr">
        <is>
          <t>Allmännings- och besparingsskogar</t>
        </is>
      </c>
      <c r="G641" t="n">
        <v>8.1</v>
      </c>
      <c r="H641" t="n">
        <v>0</v>
      </c>
      <c r="I641" t="n">
        <v>0</v>
      </c>
      <c r="J641" t="n">
        <v>0</v>
      </c>
      <c r="K641" t="n">
        <v>0</v>
      </c>
      <c r="L641" t="n">
        <v>0</v>
      </c>
      <c r="M641" t="n">
        <v>0</v>
      </c>
      <c r="N641" t="n">
        <v>0</v>
      </c>
      <c r="O641" t="n">
        <v>0</v>
      </c>
      <c r="P641" t="n">
        <v>0</v>
      </c>
      <c r="Q641" t="n">
        <v>0</v>
      </c>
      <c r="R641" s="2" t="inlineStr"/>
    </row>
    <row r="642" ht="15" customHeight="1">
      <c r="A642" t="inlineStr">
        <is>
          <t>A 32890-2024</t>
        </is>
      </c>
      <c r="B642" s="1" t="n">
        <v>45516</v>
      </c>
      <c r="C642" s="1" t="n">
        <v>46040</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2320-2023</t>
        </is>
      </c>
      <c r="B643" s="1" t="n">
        <v>44942.58850694444</v>
      </c>
      <c r="C643" s="1" t="n">
        <v>46040</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59898-2022</t>
        </is>
      </c>
      <c r="B644" s="1" t="n">
        <v>44908</v>
      </c>
      <c r="C644" s="1" t="n">
        <v>46040</v>
      </c>
      <c r="D644" t="inlineStr">
        <is>
          <t>SÖDERMANLANDS LÄN</t>
        </is>
      </c>
      <c r="E644" t="inlineStr">
        <is>
          <t>KATRINEHOLM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20326-2023</t>
        </is>
      </c>
      <c r="B645" s="1" t="n">
        <v>45056.46821759259</v>
      </c>
      <c r="C645" s="1" t="n">
        <v>46040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15392-2023</t>
        </is>
      </c>
      <c r="B646" s="1" t="n">
        <v>45016</v>
      </c>
      <c r="C646" s="1" t="n">
        <v>46040</v>
      </c>
      <c r="D646" t="inlineStr">
        <is>
          <t>SÖDERMANLANDS LÄN</t>
        </is>
      </c>
      <c r="E646" t="inlineStr">
        <is>
          <t>KATRINEHOLM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46040</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45246-2023</t>
        </is>
      </c>
      <c r="B648" s="1" t="n">
        <v>45191</v>
      </c>
      <c r="C648" s="1" t="n">
        <v>46040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58522-2024</t>
        </is>
      </c>
      <c r="B649" s="1" t="n">
        <v>45635.43770833333</v>
      </c>
      <c r="C649" s="1" t="n">
        <v>46040</v>
      </c>
      <c r="D649" t="inlineStr">
        <is>
          <t>SÖDERMANLANDS LÄN</t>
        </is>
      </c>
      <c r="E649" t="inlineStr">
        <is>
          <t>KATRINEHOLM</t>
        </is>
      </c>
      <c r="G649" t="n">
        <v>2</v>
      </c>
      <c r="H649" t="n">
        <v>0</v>
      </c>
      <c r="I649" t="n">
        <v>0</v>
      </c>
      <c r="J649" t="n">
        <v>0</v>
      </c>
      <c r="K649" t="n">
        <v>0</v>
      </c>
      <c r="L649" t="n">
        <v>0</v>
      </c>
      <c r="M649" t="n">
        <v>0</v>
      </c>
      <c r="N649" t="n">
        <v>0</v>
      </c>
      <c r="O649" t="n">
        <v>0</v>
      </c>
      <c r="P649" t="n">
        <v>0</v>
      </c>
      <c r="Q649" t="n">
        <v>0</v>
      </c>
      <c r="R649" s="2" t="inlineStr"/>
    </row>
    <row r="650" ht="15" customHeight="1">
      <c r="A650" t="inlineStr">
        <is>
          <t>A 2735-2025</t>
        </is>
      </c>
      <c r="B650" s="1" t="n">
        <v>45677</v>
      </c>
      <c r="C650" s="1" t="n">
        <v>46040</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49914-2023</t>
        </is>
      </c>
      <c r="B651" s="1" t="n">
        <v>45214</v>
      </c>
      <c r="C651" s="1" t="n">
        <v>46040</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17335-2023</t>
        </is>
      </c>
      <c r="B652" s="1" t="n">
        <v>45033</v>
      </c>
      <c r="C652" s="1" t="n">
        <v>46040</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47889-2023</t>
        </is>
      </c>
      <c r="B653" s="1" t="n">
        <v>45204</v>
      </c>
      <c r="C653" s="1" t="n">
        <v>46040</v>
      </c>
      <c r="D653" t="inlineStr">
        <is>
          <t>SÖDERMANLANDS LÄN</t>
        </is>
      </c>
      <c r="E653" t="inlineStr">
        <is>
          <t>KATRINEHOLM</t>
        </is>
      </c>
      <c r="G653" t="n">
        <v>2.1</v>
      </c>
      <c r="H653" t="n">
        <v>0</v>
      </c>
      <c r="I653" t="n">
        <v>0</v>
      </c>
      <c r="J653" t="n">
        <v>0</v>
      </c>
      <c r="K653" t="n">
        <v>0</v>
      </c>
      <c r="L653" t="n">
        <v>0</v>
      </c>
      <c r="M653" t="n">
        <v>0</v>
      </c>
      <c r="N653" t="n">
        <v>0</v>
      </c>
      <c r="O653" t="n">
        <v>0</v>
      </c>
      <c r="P653" t="n">
        <v>0</v>
      </c>
      <c r="Q653" t="n">
        <v>0</v>
      </c>
      <c r="R653" s="2" t="inlineStr"/>
    </row>
    <row r="654" ht="15" customHeight="1">
      <c r="A654" t="inlineStr">
        <is>
          <t>A 34732-2022</t>
        </is>
      </c>
      <c r="B654" s="1" t="n">
        <v>44795</v>
      </c>
      <c r="C654" s="1" t="n">
        <v>46040</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16605-2025</t>
        </is>
      </c>
      <c r="B655" s="1" t="n">
        <v>45753.61614583333</v>
      </c>
      <c r="C655" s="1" t="n">
        <v>46040</v>
      </c>
      <c r="D655" t="inlineStr">
        <is>
          <t>SÖDERMANLANDS LÄN</t>
        </is>
      </c>
      <c r="E655" t="inlineStr">
        <is>
          <t>KATRINEHOLM</t>
        </is>
      </c>
      <c r="G655" t="n">
        <v>5.2</v>
      </c>
      <c r="H655" t="n">
        <v>0</v>
      </c>
      <c r="I655" t="n">
        <v>0</v>
      </c>
      <c r="J655" t="n">
        <v>0</v>
      </c>
      <c r="K655" t="n">
        <v>0</v>
      </c>
      <c r="L655" t="n">
        <v>0</v>
      </c>
      <c r="M655" t="n">
        <v>0</v>
      </c>
      <c r="N655" t="n">
        <v>0</v>
      </c>
      <c r="O655" t="n">
        <v>0</v>
      </c>
      <c r="P655" t="n">
        <v>0</v>
      </c>
      <c r="Q655" t="n">
        <v>0</v>
      </c>
      <c r="R655" s="2" t="inlineStr"/>
    </row>
    <row r="656" ht="15" customHeight="1">
      <c r="A656" t="inlineStr">
        <is>
          <t>A 32166-2022</t>
        </is>
      </c>
      <c r="B656" s="1" t="n">
        <v>44781</v>
      </c>
      <c r="C656" s="1" t="n">
        <v>46040</v>
      </c>
      <c r="D656" t="inlineStr">
        <is>
          <t>SÖDERMANLANDS LÄN</t>
        </is>
      </c>
      <c r="E656" t="inlineStr">
        <is>
          <t>KATRINEHOLM</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32169-2022</t>
        </is>
      </c>
      <c r="B657" s="1" t="n">
        <v>44781</v>
      </c>
      <c r="C657" s="1" t="n">
        <v>46040</v>
      </c>
      <c r="D657" t="inlineStr">
        <is>
          <t>SÖDERMANLANDS LÄN</t>
        </is>
      </c>
      <c r="E657" t="inlineStr">
        <is>
          <t>KATRINEHOLM</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33141-2023</t>
        </is>
      </c>
      <c r="B658" s="1" t="n">
        <v>45126.65491898148</v>
      </c>
      <c r="C658" s="1" t="n">
        <v>46040</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35864-2023</t>
        </is>
      </c>
      <c r="B659" s="1" t="n">
        <v>45147</v>
      </c>
      <c r="C659" s="1" t="n">
        <v>46040</v>
      </c>
      <c r="D659" t="inlineStr">
        <is>
          <t>SÖDERMANLANDS LÄN</t>
        </is>
      </c>
      <c r="E659" t="inlineStr">
        <is>
          <t>KATRINEHOLM</t>
        </is>
      </c>
      <c r="F659" t="inlineStr">
        <is>
          <t>Övriga Aktiebolag</t>
        </is>
      </c>
      <c r="G659" t="n">
        <v>4.7</v>
      </c>
      <c r="H659" t="n">
        <v>0</v>
      </c>
      <c r="I659" t="n">
        <v>0</v>
      </c>
      <c r="J659" t="n">
        <v>0</v>
      </c>
      <c r="K659" t="n">
        <v>0</v>
      </c>
      <c r="L659" t="n">
        <v>0</v>
      </c>
      <c r="M659" t="n">
        <v>0</v>
      </c>
      <c r="N659" t="n">
        <v>0</v>
      </c>
      <c r="O659" t="n">
        <v>0</v>
      </c>
      <c r="P659" t="n">
        <v>0</v>
      </c>
      <c r="Q659" t="n">
        <v>0</v>
      </c>
      <c r="R659" s="2" t="inlineStr"/>
    </row>
    <row r="660" ht="15" customHeight="1">
      <c r="A660" t="inlineStr">
        <is>
          <t>A 58528-2024</t>
        </is>
      </c>
      <c r="B660" s="1" t="n">
        <v>45635.44527777778</v>
      </c>
      <c r="C660" s="1" t="n">
        <v>46040</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9899-2023</t>
        </is>
      </c>
      <c r="B661" s="1" t="n">
        <v>44985</v>
      </c>
      <c r="C661" s="1" t="n">
        <v>46040</v>
      </c>
      <c r="D661" t="inlineStr">
        <is>
          <t>SÖDERMANLANDS LÄN</t>
        </is>
      </c>
      <c r="E661" t="inlineStr">
        <is>
          <t>KATRINEHOLM</t>
        </is>
      </c>
      <c r="F661" t="inlineStr">
        <is>
          <t>Allmännings- och besparingsskogar</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44637-2023</t>
        </is>
      </c>
      <c r="B662" s="1" t="n">
        <v>45189</v>
      </c>
      <c r="C662" s="1" t="n">
        <v>46040</v>
      </c>
      <c r="D662" t="inlineStr">
        <is>
          <t>SÖDERMANLANDS LÄN</t>
        </is>
      </c>
      <c r="E662" t="inlineStr">
        <is>
          <t>KATRINEHOLM</t>
        </is>
      </c>
      <c r="G662" t="n">
        <v>5.1</v>
      </c>
      <c r="H662" t="n">
        <v>0</v>
      </c>
      <c r="I662" t="n">
        <v>0</v>
      </c>
      <c r="J662" t="n">
        <v>0</v>
      </c>
      <c r="K662" t="n">
        <v>0</v>
      </c>
      <c r="L662" t="n">
        <v>0</v>
      </c>
      <c r="M662" t="n">
        <v>0</v>
      </c>
      <c r="N662" t="n">
        <v>0</v>
      </c>
      <c r="O662" t="n">
        <v>0</v>
      </c>
      <c r="P662" t="n">
        <v>0</v>
      </c>
      <c r="Q662" t="n">
        <v>0</v>
      </c>
      <c r="R662" s="2" t="inlineStr"/>
    </row>
    <row r="663" ht="15" customHeight="1">
      <c r="A663" t="inlineStr">
        <is>
          <t>A 8288-2023</t>
        </is>
      </c>
      <c r="B663" s="1" t="n">
        <v>44974</v>
      </c>
      <c r="C663" s="1" t="n">
        <v>46040</v>
      </c>
      <c r="D663" t="inlineStr">
        <is>
          <t>SÖDERMANLANDS LÄN</t>
        </is>
      </c>
      <c r="E663" t="inlineStr">
        <is>
          <t>KATRINEHOLM</t>
        </is>
      </c>
      <c r="F663" t="inlineStr">
        <is>
          <t>Allmännings- och besparingsskogar</t>
        </is>
      </c>
      <c r="G663" t="n">
        <v>5.6</v>
      </c>
      <c r="H663" t="n">
        <v>0</v>
      </c>
      <c r="I663" t="n">
        <v>0</v>
      </c>
      <c r="J663" t="n">
        <v>0</v>
      </c>
      <c r="K663" t="n">
        <v>0</v>
      </c>
      <c r="L663" t="n">
        <v>0</v>
      </c>
      <c r="M663" t="n">
        <v>0</v>
      </c>
      <c r="N663" t="n">
        <v>0</v>
      </c>
      <c r="O663" t="n">
        <v>0</v>
      </c>
      <c r="P663" t="n">
        <v>0</v>
      </c>
      <c r="Q663" t="n">
        <v>0</v>
      </c>
      <c r="R663" s="2" t="inlineStr"/>
    </row>
    <row r="664" ht="15" customHeight="1">
      <c r="A664" t="inlineStr">
        <is>
          <t>A 3317-2023</t>
        </is>
      </c>
      <c r="B664" s="1" t="n">
        <v>44945</v>
      </c>
      <c r="C664" s="1" t="n">
        <v>46040</v>
      </c>
      <c r="D664" t="inlineStr">
        <is>
          <t>SÖDERMANLANDS LÄN</t>
        </is>
      </c>
      <c r="E664" t="inlineStr">
        <is>
          <t>KATRINEHOLM</t>
        </is>
      </c>
      <c r="G664" t="n">
        <v>3.2</v>
      </c>
      <c r="H664" t="n">
        <v>0</v>
      </c>
      <c r="I664" t="n">
        <v>0</v>
      </c>
      <c r="J664" t="n">
        <v>0</v>
      </c>
      <c r="K664" t="n">
        <v>0</v>
      </c>
      <c r="L664" t="n">
        <v>0</v>
      </c>
      <c r="M664" t="n">
        <v>0</v>
      </c>
      <c r="N664" t="n">
        <v>0</v>
      </c>
      <c r="O664" t="n">
        <v>0</v>
      </c>
      <c r="P664" t="n">
        <v>0</v>
      </c>
      <c r="Q664" t="n">
        <v>0</v>
      </c>
      <c r="R664" s="2" t="inlineStr"/>
    </row>
    <row r="665" ht="15" customHeight="1">
      <c r="A665" t="inlineStr">
        <is>
          <t>A 37185-2023</t>
        </is>
      </c>
      <c r="B665" s="1" t="n">
        <v>45154</v>
      </c>
      <c r="C665" s="1" t="n">
        <v>46040</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51848-2022</t>
        </is>
      </c>
      <c r="B666" s="1" t="n">
        <v>44872.57752314815</v>
      </c>
      <c r="C666" s="1" t="n">
        <v>46040</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49218-2023</t>
        </is>
      </c>
      <c r="B667" s="1" t="n">
        <v>45205</v>
      </c>
      <c r="C667" s="1" t="n">
        <v>46040</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39055-2022</t>
        </is>
      </c>
      <c r="B668" s="1" t="n">
        <v>44817</v>
      </c>
      <c r="C668" s="1" t="n">
        <v>46040</v>
      </c>
      <c r="D668" t="inlineStr">
        <is>
          <t>SÖDERMANLANDS LÄN</t>
        </is>
      </c>
      <c r="E668" t="inlineStr">
        <is>
          <t>KATRINEHOLM</t>
        </is>
      </c>
      <c r="F668" t="inlineStr">
        <is>
          <t>Övriga Aktiebolag</t>
        </is>
      </c>
      <c r="G668" t="n">
        <v>0.6</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46040</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55169-2022</t>
        </is>
      </c>
      <c r="B670" s="1" t="n">
        <v>44886</v>
      </c>
      <c r="C670" s="1" t="n">
        <v>46040</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52769-2023</t>
        </is>
      </c>
      <c r="B671" s="1" t="n">
        <v>45226</v>
      </c>
      <c r="C671" s="1" t="n">
        <v>46040</v>
      </c>
      <c r="D671" t="inlineStr">
        <is>
          <t>SÖDERMANLANDS LÄN</t>
        </is>
      </c>
      <c r="E671" t="inlineStr">
        <is>
          <t>KATRINEHOLM</t>
        </is>
      </c>
      <c r="G671" t="n">
        <v>0.5</v>
      </c>
      <c r="H671" t="n">
        <v>0</v>
      </c>
      <c r="I671" t="n">
        <v>0</v>
      </c>
      <c r="J671" t="n">
        <v>0</v>
      </c>
      <c r="K671" t="n">
        <v>0</v>
      </c>
      <c r="L671" t="n">
        <v>0</v>
      </c>
      <c r="M671" t="n">
        <v>0</v>
      </c>
      <c r="N671" t="n">
        <v>0</v>
      </c>
      <c r="O671" t="n">
        <v>0</v>
      </c>
      <c r="P671" t="n">
        <v>0</v>
      </c>
      <c r="Q671" t="n">
        <v>0</v>
      </c>
      <c r="R671" s="2" t="inlineStr"/>
    </row>
    <row r="672" ht="15" customHeight="1">
      <c r="A672" t="inlineStr">
        <is>
          <t>A 1329-2025</t>
        </is>
      </c>
      <c r="B672" s="1" t="n">
        <v>45667</v>
      </c>
      <c r="C672" s="1" t="n">
        <v>46040</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4758-2025</t>
        </is>
      </c>
      <c r="B673" s="1" t="n">
        <v>45688</v>
      </c>
      <c r="C673" s="1" t="n">
        <v>46040</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27852-2023</t>
        </is>
      </c>
      <c r="B674" s="1" t="n">
        <v>45098</v>
      </c>
      <c r="C674" s="1" t="n">
        <v>46040</v>
      </c>
      <c r="D674" t="inlineStr">
        <is>
          <t>SÖDERMANLANDS LÄN</t>
        </is>
      </c>
      <c r="E674" t="inlineStr">
        <is>
          <t>KATRINEHOLM</t>
        </is>
      </c>
      <c r="G674" t="n">
        <v>7.4</v>
      </c>
      <c r="H674" t="n">
        <v>0</v>
      </c>
      <c r="I674" t="n">
        <v>0</v>
      </c>
      <c r="J674" t="n">
        <v>0</v>
      </c>
      <c r="K674" t="n">
        <v>0</v>
      </c>
      <c r="L674" t="n">
        <v>0</v>
      </c>
      <c r="M674" t="n">
        <v>0</v>
      </c>
      <c r="N674" t="n">
        <v>0</v>
      </c>
      <c r="O674" t="n">
        <v>0</v>
      </c>
      <c r="P674" t="n">
        <v>0</v>
      </c>
      <c r="Q674" t="n">
        <v>0</v>
      </c>
      <c r="R674" s="2" t="inlineStr"/>
    </row>
    <row r="675" ht="15" customHeight="1">
      <c r="A675" t="inlineStr">
        <is>
          <t>A 28304-2024</t>
        </is>
      </c>
      <c r="B675" s="1" t="n">
        <v>45477</v>
      </c>
      <c r="C675" s="1" t="n">
        <v>46040</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61911-2021</t>
        </is>
      </c>
      <c r="B676" s="1" t="n">
        <v>44502.35746527778</v>
      </c>
      <c r="C676" s="1" t="n">
        <v>46040</v>
      </c>
      <c r="D676" t="inlineStr">
        <is>
          <t>SÖDERMANLANDS LÄN</t>
        </is>
      </c>
      <c r="E676" t="inlineStr">
        <is>
          <t>KATRINEHOLM</t>
        </is>
      </c>
      <c r="G676" t="n">
        <v>3.8</v>
      </c>
      <c r="H676" t="n">
        <v>0</v>
      </c>
      <c r="I676" t="n">
        <v>0</v>
      </c>
      <c r="J676" t="n">
        <v>0</v>
      </c>
      <c r="K676" t="n">
        <v>0</v>
      </c>
      <c r="L676" t="n">
        <v>0</v>
      </c>
      <c r="M676" t="n">
        <v>0</v>
      </c>
      <c r="N676" t="n">
        <v>0</v>
      </c>
      <c r="O676" t="n">
        <v>0</v>
      </c>
      <c r="P676" t="n">
        <v>0</v>
      </c>
      <c r="Q676" t="n">
        <v>0</v>
      </c>
      <c r="R676" s="2" t="inlineStr"/>
    </row>
    <row r="677" ht="15" customHeight="1">
      <c r="A677" t="inlineStr">
        <is>
          <t>A 42945-2023</t>
        </is>
      </c>
      <c r="B677" s="1" t="n">
        <v>45182.5793287037</v>
      </c>
      <c r="C677" s="1" t="n">
        <v>46040</v>
      </c>
      <c r="D677" t="inlineStr">
        <is>
          <t>SÖDERMANLANDS LÄN</t>
        </is>
      </c>
      <c r="E677" t="inlineStr">
        <is>
          <t>KATRINEHOLM</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61398-2024</t>
        </is>
      </c>
      <c r="B678" s="1" t="n">
        <v>45646.42608796297</v>
      </c>
      <c r="C678" s="1" t="n">
        <v>46040</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42962-2023</t>
        </is>
      </c>
      <c r="B679" s="1" t="n">
        <v>45182</v>
      </c>
      <c r="C679" s="1" t="n">
        <v>46040</v>
      </c>
      <c r="D679" t="inlineStr">
        <is>
          <t>SÖDERMANLANDS LÄN</t>
        </is>
      </c>
      <c r="E679" t="inlineStr">
        <is>
          <t>KATRINEHOLM</t>
        </is>
      </c>
      <c r="F679" t="inlineStr">
        <is>
          <t>Övriga Aktiebolag</t>
        </is>
      </c>
      <c r="G679" t="n">
        <v>10.6</v>
      </c>
      <c r="H679" t="n">
        <v>0</v>
      </c>
      <c r="I679" t="n">
        <v>0</v>
      </c>
      <c r="J679" t="n">
        <v>0</v>
      </c>
      <c r="K679" t="n">
        <v>0</v>
      </c>
      <c r="L679" t="n">
        <v>0</v>
      </c>
      <c r="M679" t="n">
        <v>0</v>
      </c>
      <c r="N679" t="n">
        <v>0</v>
      </c>
      <c r="O679" t="n">
        <v>0</v>
      </c>
      <c r="P679" t="n">
        <v>0</v>
      </c>
      <c r="Q679" t="n">
        <v>0</v>
      </c>
      <c r="R679" s="2" t="inlineStr"/>
    </row>
    <row r="680" ht="15" customHeight="1">
      <c r="A680" t="inlineStr">
        <is>
          <t>A 24287-2024</t>
        </is>
      </c>
      <c r="B680" s="1" t="n">
        <v>45457</v>
      </c>
      <c r="C680" s="1" t="n">
        <v>46040</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8518-2023</t>
        </is>
      </c>
      <c r="B681" s="1" t="n">
        <v>44977</v>
      </c>
      <c r="C681" s="1" t="n">
        <v>46040</v>
      </c>
      <c r="D681" t="inlineStr">
        <is>
          <t>SÖDERMANLANDS LÄN</t>
        </is>
      </c>
      <c r="E681" t="inlineStr">
        <is>
          <t>KATRINEHOLM</t>
        </is>
      </c>
      <c r="F681" t="inlineStr">
        <is>
          <t>Allmännings- och besparingsskogar</t>
        </is>
      </c>
      <c r="G681" t="n">
        <v>35.3</v>
      </c>
      <c r="H681" t="n">
        <v>0</v>
      </c>
      <c r="I681" t="n">
        <v>0</v>
      </c>
      <c r="J681" t="n">
        <v>0</v>
      </c>
      <c r="K681" t="n">
        <v>0</v>
      </c>
      <c r="L681" t="n">
        <v>0</v>
      </c>
      <c r="M681" t="n">
        <v>0</v>
      </c>
      <c r="N681" t="n">
        <v>0</v>
      </c>
      <c r="O681" t="n">
        <v>0</v>
      </c>
      <c r="P681" t="n">
        <v>0</v>
      </c>
      <c r="Q681" t="n">
        <v>0</v>
      </c>
      <c r="R681" s="2" t="inlineStr"/>
    </row>
    <row r="682" ht="15" customHeight="1">
      <c r="A682" t="inlineStr">
        <is>
          <t>A 48030-2022</t>
        </is>
      </c>
      <c r="B682" s="1" t="n">
        <v>44855</v>
      </c>
      <c r="C682" s="1" t="n">
        <v>46040</v>
      </c>
      <c r="D682" t="inlineStr">
        <is>
          <t>SÖDERMANLANDS LÄN</t>
        </is>
      </c>
      <c r="E682" t="inlineStr">
        <is>
          <t>KATRINEHOLM</t>
        </is>
      </c>
      <c r="F682" t="inlineStr">
        <is>
          <t>Allmännings- och besparingsskogar</t>
        </is>
      </c>
      <c r="G682" t="n">
        <v>1.5</v>
      </c>
      <c r="H682" t="n">
        <v>0</v>
      </c>
      <c r="I682" t="n">
        <v>0</v>
      </c>
      <c r="J682" t="n">
        <v>0</v>
      </c>
      <c r="K682" t="n">
        <v>0</v>
      </c>
      <c r="L682" t="n">
        <v>0</v>
      </c>
      <c r="M682" t="n">
        <v>0</v>
      </c>
      <c r="N682" t="n">
        <v>0</v>
      </c>
      <c r="O682" t="n">
        <v>0</v>
      </c>
      <c r="P682" t="n">
        <v>0</v>
      </c>
      <c r="Q682" t="n">
        <v>0</v>
      </c>
      <c r="R682" s="2" t="inlineStr"/>
    </row>
    <row r="683" ht="15" customHeight="1">
      <c r="A683" t="inlineStr">
        <is>
          <t>A 44915-2022</t>
        </is>
      </c>
      <c r="B683" s="1" t="n">
        <v>44840</v>
      </c>
      <c r="C683" s="1" t="n">
        <v>46040</v>
      </c>
      <c r="D683" t="inlineStr">
        <is>
          <t>SÖDERMANLANDS LÄN</t>
        </is>
      </c>
      <c r="E683" t="inlineStr">
        <is>
          <t>KATRINEHOLM</t>
        </is>
      </c>
      <c r="G683" t="n">
        <v>6.3</v>
      </c>
      <c r="H683" t="n">
        <v>0</v>
      </c>
      <c r="I683" t="n">
        <v>0</v>
      </c>
      <c r="J683" t="n">
        <v>0</v>
      </c>
      <c r="K683" t="n">
        <v>0</v>
      </c>
      <c r="L683" t="n">
        <v>0</v>
      </c>
      <c r="M683" t="n">
        <v>0</v>
      </c>
      <c r="N683" t="n">
        <v>0</v>
      </c>
      <c r="O683" t="n">
        <v>0</v>
      </c>
      <c r="P683" t="n">
        <v>0</v>
      </c>
      <c r="Q683" t="n">
        <v>0</v>
      </c>
      <c r="R683" s="2" t="inlineStr"/>
    </row>
    <row r="684" ht="15" customHeight="1">
      <c r="A684" t="inlineStr">
        <is>
          <t>A 5953-2021</t>
        </is>
      </c>
      <c r="B684" s="1" t="n">
        <v>44231</v>
      </c>
      <c r="C684" s="1" t="n">
        <v>46040</v>
      </c>
      <c r="D684" t="inlineStr">
        <is>
          <t>SÖDERMANLANDS LÄN</t>
        </is>
      </c>
      <c r="E684" t="inlineStr">
        <is>
          <t>KATRINEHOLM</t>
        </is>
      </c>
      <c r="G684" t="n">
        <v>3.1</v>
      </c>
      <c r="H684" t="n">
        <v>0</v>
      </c>
      <c r="I684" t="n">
        <v>0</v>
      </c>
      <c r="J684" t="n">
        <v>0</v>
      </c>
      <c r="K684" t="n">
        <v>0</v>
      </c>
      <c r="L684" t="n">
        <v>0</v>
      </c>
      <c r="M684" t="n">
        <v>0</v>
      </c>
      <c r="N684" t="n">
        <v>0</v>
      </c>
      <c r="O684" t="n">
        <v>0</v>
      </c>
      <c r="P684" t="n">
        <v>0</v>
      </c>
      <c r="Q684" t="n">
        <v>0</v>
      </c>
      <c r="R684" s="2" t="inlineStr"/>
    </row>
    <row r="685" ht="15" customHeight="1">
      <c r="A685" t="inlineStr">
        <is>
          <t>A 948-2023</t>
        </is>
      </c>
      <c r="B685" s="1" t="n">
        <v>44934</v>
      </c>
      <c r="C685" s="1" t="n">
        <v>46040</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37542-2022</t>
        </is>
      </c>
      <c r="B686" s="1" t="n">
        <v>44809</v>
      </c>
      <c r="C686" s="1" t="n">
        <v>46040</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41229-2022</t>
        </is>
      </c>
      <c r="B687" s="1" t="n">
        <v>44825</v>
      </c>
      <c r="C687" s="1" t="n">
        <v>46040</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64652-2023</t>
        </is>
      </c>
      <c r="B688" s="1" t="n">
        <v>45281</v>
      </c>
      <c r="C688" s="1" t="n">
        <v>46040</v>
      </c>
      <c r="D688" t="inlineStr">
        <is>
          <t>SÖDERMANLANDS LÄN</t>
        </is>
      </c>
      <c r="E688" t="inlineStr">
        <is>
          <t>KATRINEHOLM</t>
        </is>
      </c>
      <c r="F688" t="inlineStr">
        <is>
          <t>Övriga Aktiebolag</t>
        </is>
      </c>
      <c r="G688" t="n">
        <v>2.2</v>
      </c>
      <c r="H688" t="n">
        <v>0</v>
      </c>
      <c r="I688" t="n">
        <v>0</v>
      </c>
      <c r="J688" t="n">
        <v>0</v>
      </c>
      <c r="K688" t="n">
        <v>0</v>
      </c>
      <c r="L688" t="n">
        <v>0</v>
      </c>
      <c r="M688" t="n">
        <v>0</v>
      </c>
      <c r="N688" t="n">
        <v>0</v>
      </c>
      <c r="O688" t="n">
        <v>0</v>
      </c>
      <c r="P688" t="n">
        <v>0</v>
      </c>
      <c r="Q688" t="n">
        <v>0</v>
      </c>
      <c r="R688" s="2" t="inlineStr"/>
    </row>
    <row r="689" ht="15" customHeight="1">
      <c r="A689" t="inlineStr">
        <is>
          <t>A 48097-2023</t>
        </is>
      </c>
      <c r="B689" s="1" t="n">
        <v>45205.31987268518</v>
      </c>
      <c r="C689" s="1" t="n">
        <v>46040</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45793-2022</t>
        </is>
      </c>
      <c r="B690" s="1" t="n">
        <v>44844</v>
      </c>
      <c r="C690" s="1" t="n">
        <v>46040</v>
      </c>
      <c r="D690" t="inlineStr">
        <is>
          <t>SÖDERMANLANDS LÄN</t>
        </is>
      </c>
      <c r="E690" t="inlineStr">
        <is>
          <t>KATRINEHOLM</t>
        </is>
      </c>
      <c r="G690" t="n">
        <v>2.3</v>
      </c>
      <c r="H690" t="n">
        <v>0</v>
      </c>
      <c r="I690" t="n">
        <v>0</v>
      </c>
      <c r="J690" t="n">
        <v>0</v>
      </c>
      <c r="K690" t="n">
        <v>0</v>
      </c>
      <c r="L690" t="n">
        <v>0</v>
      </c>
      <c r="M690" t="n">
        <v>0</v>
      </c>
      <c r="N690" t="n">
        <v>0</v>
      </c>
      <c r="O690" t="n">
        <v>0</v>
      </c>
      <c r="P690" t="n">
        <v>0</v>
      </c>
      <c r="Q690" t="n">
        <v>0</v>
      </c>
      <c r="R690" s="2" t="inlineStr"/>
    </row>
    <row r="691" ht="15" customHeight="1">
      <c r="A691" t="inlineStr">
        <is>
          <t>A 40393-2022</t>
        </is>
      </c>
      <c r="B691" s="1" t="n">
        <v>44823</v>
      </c>
      <c r="C691" s="1" t="n">
        <v>46040</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48685-2022</t>
        </is>
      </c>
      <c r="B692" s="1" t="n">
        <v>44859</v>
      </c>
      <c r="C692" s="1" t="n">
        <v>46040</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51404-2023</t>
        </is>
      </c>
      <c r="B693" s="1" t="n">
        <v>45214</v>
      </c>
      <c r="C693" s="1" t="n">
        <v>46040</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36133-2021</t>
        </is>
      </c>
      <c r="B694" s="1" t="n">
        <v>44386</v>
      </c>
      <c r="C694" s="1" t="n">
        <v>46040</v>
      </c>
      <c r="D694" t="inlineStr">
        <is>
          <t>SÖDERMANLANDS LÄN</t>
        </is>
      </c>
      <c r="E694" t="inlineStr">
        <is>
          <t>KATRINEHOLM</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44830.38502314815</v>
      </c>
      <c r="C695" s="1" t="n">
        <v>46040</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3115-2024</t>
        </is>
      </c>
      <c r="B696" s="1" t="n">
        <v>45316.49630787037</v>
      </c>
      <c r="C696" s="1" t="n">
        <v>46040</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49700-2022</t>
        </is>
      </c>
      <c r="B697" s="1" t="n">
        <v>44862</v>
      </c>
      <c r="C697" s="1" t="n">
        <v>46040</v>
      </c>
      <c r="D697" t="inlineStr">
        <is>
          <t>SÖDERMANLANDS LÄN</t>
        </is>
      </c>
      <c r="E697" t="inlineStr">
        <is>
          <t>KATRINEHOLM</t>
        </is>
      </c>
      <c r="G697" t="n">
        <v>19.5</v>
      </c>
      <c r="H697" t="n">
        <v>0</v>
      </c>
      <c r="I697" t="n">
        <v>0</v>
      </c>
      <c r="J697" t="n">
        <v>0</v>
      </c>
      <c r="K697" t="n">
        <v>0</v>
      </c>
      <c r="L697" t="n">
        <v>0</v>
      </c>
      <c r="M697" t="n">
        <v>0</v>
      </c>
      <c r="N697" t="n">
        <v>0</v>
      </c>
      <c r="O697" t="n">
        <v>0</v>
      </c>
      <c r="P697" t="n">
        <v>0</v>
      </c>
      <c r="Q697" t="n">
        <v>0</v>
      </c>
      <c r="R697" s="2" t="inlineStr"/>
    </row>
    <row r="698" ht="15" customHeight="1">
      <c r="A698" t="inlineStr">
        <is>
          <t>A 61431-2024</t>
        </is>
      </c>
      <c r="B698" s="1" t="n">
        <v>45646.45950231481</v>
      </c>
      <c r="C698" s="1" t="n">
        <v>46040</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44659-2023</t>
        </is>
      </c>
      <c r="B699" s="1" t="n">
        <v>45189</v>
      </c>
      <c r="C699" s="1" t="n">
        <v>46040</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51446-2023</t>
        </is>
      </c>
      <c r="B700" s="1" t="n">
        <v>45220.48068287037</v>
      </c>
      <c r="C700" s="1" t="n">
        <v>46040</v>
      </c>
      <c r="D700" t="inlineStr">
        <is>
          <t>SÖDERMANLANDS LÄN</t>
        </is>
      </c>
      <c r="E700" t="inlineStr">
        <is>
          <t>KATRINEHOLM</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27955-2023</t>
        </is>
      </c>
      <c r="B701" s="1" t="n">
        <v>45098</v>
      </c>
      <c r="C701" s="1" t="n">
        <v>46040</v>
      </c>
      <c r="D701" t="inlineStr">
        <is>
          <t>SÖDERMANLANDS LÄN</t>
        </is>
      </c>
      <c r="E701" t="inlineStr">
        <is>
          <t>KATRINEHOLM</t>
        </is>
      </c>
      <c r="G701" t="n">
        <v>5.9</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46040</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4724-2023</t>
        </is>
      </c>
      <c r="B703" s="1" t="n">
        <v>44957</v>
      </c>
      <c r="C703" s="1" t="n">
        <v>46040</v>
      </c>
      <c r="D703" t="inlineStr">
        <is>
          <t>SÖDERMANLANDS LÄN</t>
        </is>
      </c>
      <c r="E703" t="inlineStr">
        <is>
          <t>KATRINEHOLM</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7197-2023</t>
        </is>
      </c>
      <c r="B704" s="1" t="n">
        <v>44965</v>
      </c>
      <c r="C704" s="1" t="n">
        <v>46040</v>
      </c>
      <c r="D704" t="inlineStr">
        <is>
          <t>SÖDERMANLANDS LÄN</t>
        </is>
      </c>
      <c r="E704" t="inlineStr">
        <is>
          <t>KATRINEHOLM</t>
        </is>
      </c>
      <c r="G704" t="n">
        <v>5.3</v>
      </c>
      <c r="H704" t="n">
        <v>0</v>
      </c>
      <c r="I704" t="n">
        <v>0</v>
      </c>
      <c r="J704" t="n">
        <v>0</v>
      </c>
      <c r="K704" t="n">
        <v>0</v>
      </c>
      <c r="L704" t="n">
        <v>0</v>
      </c>
      <c r="M704" t="n">
        <v>0</v>
      </c>
      <c r="N704" t="n">
        <v>0</v>
      </c>
      <c r="O704" t="n">
        <v>0</v>
      </c>
      <c r="P704" t="n">
        <v>0</v>
      </c>
      <c r="Q704" t="n">
        <v>0</v>
      </c>
      <c r="R704" s="2" t="inlineStr"/>
    </row>
    <row r="705" ht="15" customHeight="1">
      <c r="A705" t="inlineStr">
        <is>
          <t>A 6092-2025</t>
        </is>
      </c>
      <c r="B705" s="1" t="n">
        <v>45697</v>
      </c>
      <c r="C705" s="1" t="n">
        <v>46040</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5327-2025</t>
        </is>
      </c>
      <c r="B706" s="1" t="n">
        <v>45692</v>
      </c>
      <c r="C706" s="1" t="n">
        <v>46040</v>
      </c>
      <c r="D706" t="inlineStr">
        <is>
          <t>SÖDERMANLANDS LÄN</t>
        </is>
      </c>
      <c r="E706" t="inlineStr">
        <is>
          <t>KATRINEHOLM</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46040</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46040</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50626-2024</t>
        </is>
      </c>
      <c r="B709" s="1" t="n">
        <v>45601</v>
      </c>
      <c r="C709" s="1" t="n">
        <v>46040</v>
      </c>
      <c r="D709" t="inlineStr">
        <is>
          <t>SÖDERMANLANDS LÄN</t>
        </is>
      </c>
      <c r="E709" t="inlineStr">
        <is>
          <t>KATRINEHOLM</t>
        </is>
      </c>
      <c r="G709" t="n">
        <v>1</v>
      </c>
      <c r="H709" t="n">
        <v>0</v>
      </c>
      <c r="I709" t="n">
        <v>0</v>
      </c>
      <c r="J709" t="n">
        <v>0</v>
      </c>
      <c r="K709" t="n">
        <v>0</v>
      </c>
      <c r="L709" t="n">
        <v>0</v>
      </c>
      <c r="M709" t="n">
        <v>0</v>
      </c>
      <c r="N709" t="n">
        <v>0</v>
      </c>
      <c r="O709" t="n">
        <v>0</v>
      </c>
      <c r="P709" t="n">
        <v>0</v>
      </c>
      <c r="Q709" t="n">
        <v>0</v>
      </c>
      <c r="R709" s="2" t="inlineStr"/>
    </row>
    <row r="710" ht="15" customHeight="1">
      <c r="A710" t="inlineStr">
        <is>
          <t>A 7398-2024</t>
        </is>
      </c>
      <c r="B710" s="1" t="n">
        <v>45345</v>
      </c>
      <c r="C710" s="1" t="n">
        <v>46040</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14629-2023</t>
        </is>
      </c>
      <c r="B711" s="1" t="n">
        <v>45013</v>
      </c>
      <c r="C711" s="1" t="n">
        <v>46040</v>
      </c>
      <c r="D711" t="inlineStr">
        <is>
          <t>SÖDERMANLANDS LÄN</t>
        </is>
      </c>
      <c r="E711" t="inlineStr">
        <is>
          <t>KATRINEHOLM</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49116-2024</t>
        </is>
      </c>
      <c r="B712" s="1" t="n">
        <v>45594.6605787037</v>
      </c>
      <c r="C712" s="1" t="n">
        <v>46040</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2683-2025</t>
        </is>
      </c>
      <c r="B713" s="1" t="n">
        <v>45677</v>
      </c>
      <c r="C713" s="1" t="n">
        <v>46040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61410-2024</t>
        </is>
      </c>
      <c r="B714" s="1" t="n">
        <v>45646.43950231482</v>
      </c>
      <c r="C714" s="1" t="n">
        <v>46040</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3315-2023</t>
        </is>
      </c>
      <c r="B715" s="1" t="n">
        <v>44945</v>
      </c>
      <c r="C715" s="1" t="n">
        <v>46040</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7867-2024</t>
        </is>
      </c>
      <c r="B716" s="1" t="n">
        <v>45350.32991898148</v>
      </c>
      <c r="C716" s="1" t="n">
        <v>46040</v>
      </c>
      <c r="D716" t="inlineStr">
        <is>
          <t>SÖDERMANLANDS LÄN</t>
        </is>
      </c>
      <c r="E716" t="inlineStr">
        <is>
          <t>KATRINEHOLM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38869-2024</t>
        </is>
      </c>
      <c r="B717" s="1" t="n">
        <v>45547</v>
      </c>
      <c r="C717" s="1" t="n">
        <v>46040</v>
      </c>
      <c r="D717" t="inlineStr">
        <is>
          <t>SÖDERMANLANDS LÄN</t>
        </is>
      </c>
      <c r="E717" t="inlineStr">
        <is>
          <t>KATRINEHOLM</t>
        </is>
      </c>
      <c r="G717" t="n">
        <v>2.2</v>
      </c>
      <c r="H717" t="n">
        <v>0</v>
      </c>
      <c r="I717" t="n">
        <v>0</v>
      </c>
      <c r="J717" t="n">
        <v>0</v>
      </c>
      <c r="K717" t="n">
        <v>0</v>
      </c>
      <c r="L717" t="n">
        <v>0</v>
      </c>
      <c r="M717" t="n">
        <v>0</v>
      </c>
      <c r="N717" t="n">
        <v>0</v>
      </c>
      <c r="O717" t="n">
        <v>0</v>
      </c>
      <c r="P717" t="n">
        <v>0</v>
      </c>
      <c r="Q717" t="n">
        <v>0</v>
      </c>
      <c r="R717" s="2" t="inlineStr"/>
    </row>
    <row r="718" ht="15" customHeight="1">
      <c r="A718" t="inlineStr">
        <is>
          <t>A 39010-2021</t>
        </is>
      </c>
      <c r="B718" s="1" t="n">
        <v>44412</v>
      </c>
      <c r="C718" s="1" t="n">
        <v>46040</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1091-2025</t>
        </is>
      </c>
      <c r="B719" s="1" t="n">
        <v>45666</v>
      </c>
      <c r="C719" s="1" t="n">
        <v>46040</v>
      </c>
      <c r="D719" t="inlineStr">
        <is>
          <t>SÖDERMANLANDS LÄN</t>
        </is>
      </c>
      <c r="E719" t="inlineStr">
        <is>
          <t>KATRINEHOLM</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6311-2025</t>
        </is>
      </c>
      <c r="B720" s="1" t="n">
        <v>45698</v>
      </c>
      <c r="C720" s="1" t="n">
        <v>46040</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23838-2021</t>
        </is>
      </c>
      <c r="B721" s="1" t="n">
        <v>44335</v>
      </c>
      <c r="C721" s="1" t="n">
        <v>46040</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32943-2024</t>
        </is>
      </c>
      <c r="B722" s="1" t="n">
        <v>45517</v>
      </c>
      <c r="C722" s="1" t="n">
        <v>46040</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22119-2025</t>
        </is>
      </c>
      <c r="B723" s="1" t="n">
        <v>45785</v>
      </c>
      <c r="C723" s="1" t="n">
        <v>46040</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22113-2025</t>
        </is>
      </c>
      <c r="B724" s="1" t="n">
        <v>45785</v>
      </c>
      <c r="C724" s="1" t="n">
        <v>46040</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24983-2024</t>
        </is>
      </c>
      <c r="B725" s="1" t="n">
        <v>45461</v>
      </c>
      <c r="C725" s="1" t="n">
        <v>46040</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22476-2025</t>
        </is>
      </c>
      <c r="B726" s="1" t="n">
        <v>45786</v>
      </c>
      <c r="C726" s="1" t="n">
        <v>46040</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22336-2025</t>
        </is>
      </c>
      <c r="B727" s="1" t="n">
        <v>45786.44217592593</v>
      </c>
      <c r="C727" s="1" t="n">
        <v>46040</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23050-2025</t>
        </is>
      </c>
      <c r="B728" s="1" t="n">
        <v>45790.69971064815</v>
      </c>
      <c r="C728" s="1" t="n">
        <v>46040</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24902-2024</t>
        </is>
      </c>
      <c r="B729" s="1" t="n">
        <v>45461</v>
      </c>
      <c r="C729" s="1" t="n">
        <v>46040</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2603-2025</t>
        </is>
      </c>
      <c r="B730" s="1" t="n">
        <v>45674</v>
      </c>
      <c r="C730" s="1" t="n">
        <v>46040</v>
      </c>
      <c r="D730" t="inlineStr">
        <is>
          <t>SÖDERMANLANDS LÄN</t>
        </is>
      </c>
      <c r="E730" t="inlineStr">
        <is>
          <t>KATRINEHOLM</t>
        </is>
      </c>
      <c r="G730" t="n">
        <v>1.6</v>
      </c>
      <c r="H730" t="n">
        <v>0</v>
      </c>
      <c r="I730" t="n">
        <v>0</v>
      </c>
      <c r="J730" t="n">
        <v>0</v>
      </c>
      <c r="K730" t="n">
        <v>0</v>
      </c>
      <c r="L730" t="n">
        <v>0</v>
      </c>
      <c r="M730" t="n">
        <v>0</v>
      </c>
      <c r="N730" t="n">
        <v>0</v>
      </c>
      <c r="O730" t="n">
        <v>0</v>
      </c>
      <c r="P730" t="n">
        <v>0</v>
      </c>
      <c r="Q730" t="n">
        <v>0</v>
      </c>
      <c r="R730" s="2" t="inlineStr"/>
    </row>
    <row r="731" ht="15" customHeight="1">
      <c r="A731" t="inlineStr">
        <is>
          <t>A 24566-2025</t>
        </is>
      </c>
      <c r="B731" s="1" t="n">
        <v>45798.46452546296</v>
      </c>
      <c r="C731" s="1" t="n">
        <v>46040</v>
      </c>
      <c r="D731" t="inlineStr">
        <is>
          <t>SÖDERMANLANDS LÄN</t>
        </is>
      </c>
      <c r="E731" t="inlineStr">
        <is>
          <t>KATRINEHOLM</t>
        </is>
      </c>
      <c r="G731" t="n">
        <v>6.3</v>
      </c>
      <c r="H731" t="n">
        <v>0</v>
      </c>
      <c r="I731" t="n">
        <v>0</v>
      </c>
      <c r="J731" t="n">
        <v>0</v>
      </c>
      <c r="K731" t="n">
        <v>0</v>
      </c>
      <c r="L731" t="n">
        <v>0</v>
      </c>
      <c r="M731" t="n">
        <v>0</v>
      </c>
      <c r="N731" t="n">
        <v>0</v>
      </c>
      <c r="O731" t="n">
        <v>0</v>
      </c>
      <c r="P731" t="n">
        <v>0</v>
      </c>
      <c r="Q731" t="n">
        <v>0</v>
      </c>
      <c r="R731" s="2" t="inlineStr"/>
    </row>
    <row r="732" ht="15" customHeight="1">
      <c r="A732" t="inlineStr">
        <is>
          <t>A 24605-2025</t>
        </is>
      </c>
      <c r="B732" s="1" t="n">
        <v>45798.57403935185</v>
      </c>
      <c r="C732" s="1" t="n">
        <v>46040</v>
      </c>
      <c r="D732" t="inlineStr">
        <is>
          <t>SÖDERMANLANDS LÄN</t>
        </is>
      </c>
      <c r="E732" t="inlineStr">
        <is>
          <t>KATRINEHOLM</t>
        </is>
      </c>
      <c r="G732" t="n">
        <v>7</v>
      </c>
      <c r="H732" t="n">
        <v>0</v>
      </c>
      <c r="I732" t="n">
        <v>0</v>
      </c>
      <c r="J732" t="n">
        <v>0</v>
      </c>
      <c r="K732" t="n">
        <v>0</v>
      </c>
      <c r="L732" t="n">
        <v>0</v>
      </c>
      <c r="M732" t="n">
        <v>0</v>
      </c>
      <c r="N732" t="n">
        <v>0</v>
      </c>
      <c r="O732" t="n">
        <v>0</v>
      </c>
      <c r="P732" t="n">
        <v>0</v>
      </c>
      <c r="Q732" t="n">
        <v>0</v>
      </c>
      <c r="R732" s="2" t="inlineStr"/>
    </row>
    <row r="733" ht="15" customHeight="1">
      <c r="A733" t="inlineStr">
        <is>
          <t>A 56086-2023</t>
        </is>
      </c>
      <c r="B733" s="1" t="n">
        <v>45240</v>
      </c>
      <c r="C733" s="1" t="n">
        <v>46040</v>
      </c>
      <c r="D733" t="inlineStr">
        <is>
          <t>SÖDERMANLANDS LÄN</t>
        </is>
      </c>
      <c r="E733" t="inlineStr">
        <is>
          <t>KATRINEHOLM</t>
        </is>
      </c>
      <c r="F733" t="inlineStr">
        <is>
          <t>Kyrkan</t>
        </is>
      </c>
      <c r="G733" t="n">
        <v>17</v>
      </c>
      <c r="H733" t="n">
        <v>0</v>
      </c>
      <c r="I733" t="n">
        <v>0</v>
      </c>
      <c r="J733" t="n">
        <v>0</v>
      </c>
      <c r="K733" t="n">
        <v>0</v>
      </c>
      <c r="L733" t="n">
        <v>0</v>
      </c>
      <c r="M733" t="n">
        <v>0</v>
      </c>
      <c r="N733" t="n">
        <v>0</v>
      </c>
      <c r="O733" t="n">
        <v>0</v>
      </c>
      <c r="P733" t="n">
        <v>0</v>
      </c>
      <c r="Q733" t="n">
        <v>0</v>
      </c>
      <c r="R733" s="2" t="inlineStr"/>
    </row>
    <row r="734" ht="15" customHeight="1">
      <c r="A734" t="inlineStr">
        <is>
          <t>A 61423-2024</t>
        </is>
      </c>
      <c r="B734" s="1" t="n">
        <v>45646.45209490741</v>
      </c>
      <c r="C734" s="1" t="n">
        <v>46040</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41727-2024</t>
        </is>
      </c>
      <c r="B735" s="1" t="n">
        <v>45560</v>
      </c>
      <c r="C735" s="1" t="n">
        <v>46040</v>
      </c>
      <c r="D735" t="inlineStr">
        <is>
          <t>SÖDERMANLANDS LÄN</t>
        </is>
      </c>
      <c r="E735" t="inlineStr">
        <is>
          <t>KATRINEHOLM</t>
        </is>
      </c>
      <c r="G735" t="n">
        <v>3.9</v>
      </c>
      <c r="H735" t="n">
        <v>0</v>
      </c>
      <c r="I735" t="n">
        <v>0</v>
      </c>
      <c r="J735" t="n">
        <v>0</v>
      </c>
      <c r="K735" t="n">
        <v>0</v>
      </c>
      <c r="L735" t="n">
        <v>0</v>
      </c>
      <c r="M735" t="n">
        <v>0</v>
      </c>
      <c r="N735" t="n">
        <v>0</v>
      </c>
      <c r="O735" t="n">
        <v>0</v>
      </c>
      <c r="P735" t="n">
        <v>0</v>
      </c>
      <c r="Q735" t="n">
        <v>0</v>
      </c>
      <c r="R735" s="2" t="inlineStr"/>
    </row>
    <row r="736" ht="15" customHeight="1">
      <c r="A736" t="inlineStr">
        <is>
          <t>A 24717-2025</t>
        </is>
      </c>
      <c r="B736" s="1" t="n">
        <v>45799.27168981481</v>
      </c>
      <c r="C736" s="1" t="n">
        <v>46040</v>
      </c>
      <c r="D736" t="inlineStr">
        <is>
          <t>SÖDERMANLANDS LÄN</t>
        </is>
      </c>
      <c r="E736" t="inlineStr">
        <is>
          <t>KATRINEHOLM</t>
        </is>
      </c>
      <c r="G736" t="n">
        <v>24.5</v>
      </c>
      <c r="H736" t="n">
        <v>0</v>
      </c>
      <c r="I736" t="n">
        <v>0</v>
      </c>
      <c r="J736" t="n">
        <v>0</v>
      </c>
      <c r="K736" t="n">
        <v>0</v>
      </c>
      <c r="L736" t="n">
        <v>0</v>
      </c>
      <c r="M736" t="n">
        <v>0</v>
      </c>
      <c r="N736" t="n">
        <v>0</v>
      </c>
      <c r="O736" t="n">
        <v>0</v>
      </c>
      <c r="P736" t="n">
        <v>0</v>
      </c>
      <c r="Q736" t="n">
        <v>0</v>
      </c>
      <c r="R736" s="2" t="inlineStr"/>
    </row>
    <row r="737" ht="15" customHeight="1">
      <c r="A737" t="inlineStr">
        <is>
          <t>A 53999-2023</t>
        </is>
      </c>
      <c r="B737" s="1" t="n">
        <v>45231</v>
      </c>
      <c r="C737" s="1" t="n">
        <v>46040</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24719-2025</t>
        </is>
      </c>
      <c r="B738" s="1" t="n">
        <v>45799</v>
      </c>
      <c r="C738" s="1" t="n">
        <v>46040</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25786-2025</t>
        </is>
      </c>
      <c r="B739" s="1" t="n">
        <v>45804.37456018518</v>
      </c>
      <c r="C739" s="1" t="n">
        <v>46040</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26154-2025</t>
        </is>
      </c>
      <c r="B740" s="1" t="n">
        <v>45805.43341435185</v>
      </c>
      <c r="C740" s="1" t="n">
        <v>46040</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26156-2025</t>
        </is>
      </c>
      <c r="B741" s="1" t="n">
        <v>45805.43864583333</v>
      </c>
      <c r="C741" s="1" t="n">
        <v>46040</v>
      </c>
      <c r="D741" t="inlineStr">
        <is>
          <t>SÖDERMANLANDS LÄN</t>
        </is>
      </c>
      <c r="E741" t="inlineStr">
        <is>
          <t>KATRINEHOLM</t>
        </is>
      </c>
      <c r="G741" t="n">
        <v>4.1</v>
      </c>
      <c r="H741" t="n">
        <v>0</v>
      </c>
      <c r="I741" t="n">
        <v>0</v>
      </c>
      <c r="J741" t="n">
        <v>0</v>
      </c>
      <c r="K741" t="n">
        <v>0</v>
      </c>
      <c r="L741" t="n">
        <v>0</v>
      </c>
      <c r="M741" t="n">
        <v>0</v>
      </c>
      <c r="N741" t="n">
        <v>0</v>
      </c>
      <c r="O741" t="n">
        <v>0</v>
      </c>
      <c r="P741" t="n">
        <v>0</v>
      </c>
      <c r="Q741" t="n">
        <v>0</v>
      </c>
      <c r="R741" s="2" t="inlineStr"/>
    </row>
    <row r="742" ht="15" customHeight="1">
      <c r="A742" t="inlineStr">
        <is>
          <t>A 27534-2025</t>
        </is>
      </c>
      <c r="B742" s="1" t="n">
        <v>45813</v>
      </c>
      <c r="C742" s="1" t="n">
        <v>46040</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27552-2025</t>
        </is>
      </c>
      <c r="B743" s="1" t="n">
        <v>45813</v>
      </c>
      <c r="C743" s="1" t="n">
        <v>46040</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27636-2025</t>
        </is>
      </c>
      <c r="B744" s="1" t="n">
        <v>45813.57603009259</v>
      </c>
      <c r="C744" s="1" t="n">
        <v>46040</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24600-2025</t>
        </is>
      </c>
      <c r="B745" s="1" t="n">
        <v>45798.56348379629</v>
      </c>
      <c r="C745" s="1" t="n">
        <v>46040</v>
      </c>
      <c r="D745" t="inlineStr">
        <is>
          <t>SÖDERMANLANDS LÄN</t>
        </is>
      </c>
      <c r="E745" t="inlineStr">
        <is>
          <t>KATRINEHOLM</t>
        </is>
      </c>
      <c r="G745" t="n">
        <v>1.7</v>
      </c>
      <c r="H745" t="n">
        <v>0</v>
      </c>
      <c r="I745" t="n">
        <v>0</v>
      </c>
      <c r="J745" t="n">
        <v>0</v>
      </c>
      <c r="K745" t="n">
        <v>0</v>
      </c>
      <c r="L745" t="n">
        <v>0</v>
      </c>
      <c r="M745" t="n">
        <v>0</v>
      </c>
      <c r="N745" t="n">
        <v>0</v>
      </c>
      <c r="O745" t="n">
        <v>0</v>
      </c>
      <c r="P745" t="n">
        <v>0</v>
      </c>
      <c r="Q745" t="n">
        <v>0</v>
      </c>
      <c r="R745" s="2" t="inlineStr"/>
    </row>
    <row r="746" ht="15" customHeight="1">
      <c r="A746" t="inlineStr">
        <is>
          <t>A 35608-2024</t>
        </is>
      </c>
      <c r="B746" s="1" t="n">
        <v>45531</v>
      </c>
      <c r="C746" s="1" t="n">
        <v>46040</v>
      </c>
      <c r="D746" t="inlineStr">
        <is>
          <t>SÖDERMANLANDS LÄN</t>
        </is>
      </c>
      <c r="E746" t="inlineStr">
        <is>
          <t>KATRINEHOLM</t>
        </is>
      </c>
      <c r="G746" t="n">
        <v>2</v>
      </c>
      <c r="H746" t="n">
        <v>0</v>
      </c>
      <c r="I746" t="n">
        <v>0</v>
      </c>
      <c r="J746" t="n">
        <v>0</v>
      </c>
      <c r="K746" t="n">
        <v>0</v>
      </c>
      <c r="L746" t="n">
        <v>0</v>
      </c>
      <c r="M746" t="n">
        <v>0</v>
      </c>
      <c r="N746" t="n">
        <v>0</v>
      </c>
      <c r="O746" t="n">
        <v>0</v>
      </c>
      <c r="P746" t="n">
        <v>0</v>
      </c>
      <c r="Q746" t="n">
        <v>0</v>
      </c>
      <c r="R746" s="2" t="inlineStr"/>
    </row>
    <row r="747" ht="15" customHeight="1">
      <c r="A747" t="inlineStr">
        <is>
          <t>A 12633-2022</t>
        </is>
      </c>
      <c r="B747" s="1" t="n">
        <v>44638</v>
      </c>
      <c r="C747" s="1" t="n">
        <v>46040</v>
      </c>
      <c r="D747" t="inlineStr">
        <is>
          <t>SÖDERMANLANDS LÄN</t>
        </is>
      </c>
      <c r="E747" t="inlineStr">
        <is>
          <t>KATRINEHOLM</t>
        </is>
      </c>
      <c r="G747" t="n">
        <v>6.4</v>
      </c>
      <c r="H747" t="n">
        <v>0</v>
      </c>
      <c r="I747" t="n">
        <v>0</v>
      </c>
      <c r="J747" t="n">
        <v>0</v>
      </c>
      <c r="K747" t="n">
        <v>0</v>
      </c>
      <c r="L747" t="n">
        <v>0</v>
      </c>
      <c r="M747" t="n">
        <v>0</v>
      </c>
      <c r="N747" t="n">
        <v>0</v>
      </c>
      <c r="O747" t="n">
        <v>0</v>
      </c>
      <c r="P747" t="n">
        <v>0</v>
      </c>
      <c r="Q747" t="n">
        <v>0</v>
      </c>
      <c r="R747" s="2" t="inlineStr"/>
    </row>
    <row r="748" ht="15" customHeight="1">
      <c r="A748" t="inlineStr">
        <is>
          <t>A 29189-2025</t>
        </is>
      </c>
      <c r="B748" s="1" t="n">
        <v>45822</v>
      </c>
      <c r="C748" s="1" t="n">
        <v>46040</v>
      </c>
      <c r="D748" t="inlineStr">
        <is>
          <t>SÖDERMANLANDS LÄN</t>
        </is>
      </c>
      <c r="E748" t="inlineStr">
        <is>
          <t>KATRINEHOLM</t>
        </is>
      </c>
      <c r="G748" t="n">
        <v>3.5</v>
      </c>
      <c r="H748" t="n">
        <v>0</v>
      </c>
      <c r="I748" t="n">
        <v>0</v>
      </c>
      <c r="J748" t="n">
        <v>0</v>
      </c>
      <c r="K748" t="n">
        <v>0</v>
      </c>
      <c r="L748" t="n">
        <v>0</v>
      </c>
      <c r="M748" t="n">
        <v>0</v>
      </c>
      <c r="N748" t="n">
        <v>0</v>
      </c>
      <c r="O748" t="n">
        <v>0</v>
      </c>
      <c r="P748" t="n">
        <v>0</v>
      </c>
      <c r="Q748" t="n">
        <v>0</v>
      </c>
      <c r="R748" s="2" t="inlineStr"/>
    </row>
    <row r="749" ht="15" customHeight="1">
      <c r="A749" t="inlineStr">
        <is>
          <t>A 30050-2025</t>
        </is>
      </c>
      <c r="B749" s="1" t="n">
        <v>45826.59151620371</v>
      </c>
      <c r="C749" s="1" t="n">
        <v>46040</v>
      </c>
      <c r="D749" t="inlineStr">
        <is>
          <t>SÖDERMANLANDS LÄN</t>
        </is>
      </c>
      <c r="E749" t="inlineStr">
        <is>
          <t>KATRINEHOLM</t>
        </is>
      </c>
      <c r="G749" t="n">
        <v>7.9</v>
      </c>
      <c r="H749" t="n">
        <v>0</v>
      </c>
      <c r="I749" t="n">
        <v>0</v>
      </c>
      <c r="J749" t="n">
        <v>0</v>
      </c>
      <c r="K749" t="n">
        <v>0</v>
      </c>
      <c r="L749" t="n">
        <v>0</v>
      </c>
      <c r="M749" t="n">
        <v>0</v>
      </c>
      <c r="N749" t="n">
        <v>0</v>
      </c>
      <c r="O749" t="n">
        <v>0</v>
      </c>
      <c r="P749" t="n">
        <v>0</v>
      </c>
      <c r="Q749" t="n">
        <v>0</v>
      </c>
      <c r="R749" s="2" t="inlineStr"/>
    </row>
    <row r="750" ht="15" customHeight="1">
      <c r="A750" t="inlineStr">
        <is>
          <t>A 30070-2025</t>
        </is>
      </c>
      <c r="B750" s="1" t="n">
        <v>45826.63324074074</v>
      </c>
      <c r="C750" s="1" t="n">
        <v>46040</v>
      </c>
      <c r="D750" t="inlineStr">
        <is>
          <t>SÖDERMANLANDS LÄN</t>
        </is>
      </c>
      <c r="E750" t="inlineStr">
        <is>
          <t>KATRINEHOLM</t>
        </is>
      </c>
      <c r="G750" t="n">
        <v>1.7</v>
      </c>
      <c r="H750" t="n">
        <v>0</v>
      </c>
      <c r="I750" t="n">
        <v>0</v>
      </c>
      <c r="J750" t="n">
        <v>0</v>
      </c>
      <c r="K750" t="n">
        <v>0</v>
      </c>
      <c r="L750" t="n">
        <v>0</v>
      </c>
      <c r="M750" t="n">
        <v>0</v>
      </c>
      <c r="N750" t="n">
        <v>0</v>
      </c>
      <c r="O750" t="n">
        <v>0</v>
      </c>
      <c r="P750" t="n">
        <v>0</v>
      </c>
      <c r="Q750" t="n">
        <v>0</v>
      </c>
      <c r="R750" s="2" t="inlineStr"/>
    </row>
    <row r="751" ht="15" customHeight="1">
      <c r="A751" t="inlineStr">
        <is>
          <t>A 30287-2025</t>
        </is>
      </c>
      <c r="B751" s="1" t="n">
        <v>45827</v>
      </c>
      <c r="C751" s="1" t="n">
        <v>46040</v>
      </c>
      <c r="D751" t="inlineStr">
        <is>
          <t>SÖDERMANLANDS LÄN</t>
        </is>
      </c>
      <c r="E751" t="inlineStr">
        <is>
          <t>KATRINEHOLM</t>
        </is>
      </c>
      <c r="G751" t="n">
        <v>10.2</v>
      </c>
      <c r="H751" t="n">
        <v>0</v>
      </c>
      <c r="I751" t="n">
        <v>0</v>
      </c>
      <c r="J751" t="n">
        <v>0</v>
      </c>
      <c r="K751" t="n">
        <v>0</v>
      </c>
      <c r="L751" t="n">
        <v>0</v>
      </c>
      <c r="M751" t="n">
        <v>0</v>
      </c>
      <c r="N751" t="n">
        <v>0</v>
      </c>
      <c r="O751" t="n">
        <v>0</v>
      </c>
      <c r="P751" t="n">
        <v>0</v>
      </c>
      <c r="Q751" t="n">
        <v>0</v>
      </c>
      <c r="R751" s="2" t="inlineStr"/>
    </row>
    <row r="752" ht="15" customHeight="1">
      <c r="A752" t="inlineStr">
        <is>
          <t>A 30350-2025</t>
        </is>
      </c>
      <c r="B752" s="1" t="n">
        <v>45827.53319444445</v>
      </c>
      <c r="C752" s="1" t="n">
        <v>46040</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30352-2025</t>
        </is>
      </c>
      <c r="B753" s="1" t="n">
        <v>45827</v>
      </c>
      <c r="C753" s="1" t="n">
        <v>46040</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30386-2025</t>
        </is>
      </c>
      <c r="B754" s="1" t="n">
        <v>45827</v>
      </c>
      <c r="C754" s="1" t="n">
        <v>46040</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30402-2025</t>
        </is>
      </c>
      <c r="B755" s="1" t="n">
        <v>45827</v>
      </c>
      <c r="C755" s="1" t="n">
        <v>46040</v>
      </c>
      <c r="D755" t="inlineStr">
        <is>
          <t>SÖDERMANLANDS LÄN</t>
        </is>
      </c>
      <c r="E755" t="inlineStr">
        <is>
          <t>KATRINEHOLM</t>
        </is>
      </c>
      <c r="G755" t="n">
        <v>7.1</v>
      </c>
      <c r="H755" t="n">
        <v>0</v>
      </c>
      <c r="I755" t="n">
        <v>0</v>
      </c>
      <c r="J755" t="n">
        <v>0</v>
      </c>
      <c r="K755" t="n">
        <v>0</v>
      </c>
      <c r="L755" t="n">
        <v>0</v>
      </c>
      <c r="M755" t="n">
        <v>0</v>
      </c>
      <c r="N755" t="n">
        <v>0</v>
      </c>
      <c r="O755" t="n">
        <v>0</v>
      </c>
      <c r="P755" t="n">
        <v>0</v>
      </c>
      <c r="Q755" t="n">
        <v>0</v>
      </c>
      <c r="R755" s="2" t="inlineStr"/>
    </row>
    <row r="756" ht="15" customHeight="1">
      <c r="A756" t="inlineStr">
        <is>
          <t>A 31376-2025</t>
        </is>
      </c>
      <c r="B756" s="1" t="n">
        <v>45833</v>
      </c>
      <c r="C756" s="1" t="n">
        <v>46040</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31392-2025</t>
        </is>
      </c>
      <c r="B757" s="1" t="n">
        <v>45833</v>
      </c>
      <c r="C757" s="1" t="n">
        <v>46040</v>
      </c>
      <c r="D757" t="inlineStr">
        <is>
          <t>SÖDERMANLANDS LÄN</t>
        </is>
      </c>
      <c r="E757" t="inlineStr">
        <is>
          <t>KATRINEHOLM</t>
        </is>
      </c>
      <c r="G757" t="n">
        <v>5</v>
      </c>
      <c r="H757" t="n">
        <v>0</v>
      </c>
      <c r="I757" t="n">
        <v>0</v>
      </c>
      <c r="J757" t="n">
        <v>0</v>
      </c>
      <c r="K757" t="n">
        <v>0</v>
      </c>
      <c r="L757" t="n">
        <v>0</v>
      </c>
      <c r="M757" t="n">
        <v>0</v>
      </c>
      <c r="N757" t="n">
        <v>0</v>
      </c>
      <c r="O757" t="n">
        <v>0</v>
      </c>
      <c r="P757" t="n">
        <v>0</v>
      </c>
      <c r="Q757" t="n">
        <v>0</v>
      </c>
      <c r="R757" s="2" t="inlineStr"/>
    </row>
    <row r="758" ht="15" customHeight="1">
      <c r="A758" t="inlineStr">
        <is>
          <t>A 31386-2025</t>
        </is>
      </c>
      <c r="B758" s="1" t="n">
        <v>45833.45259259259</v>
      </c>
      <c r="C758" s="1" t="n">
        <v>46040</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31990-2025</t>
        </is>
      </c>
      <c r="B759" s="1" t="n">
        <v>45835.36697916667</v>
      </c>
      <c r="C759" s="1" t="n">
        <v>46040</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33090-2025</t>
        </is>
      </c>
      <c r="B760" s="1" t="n">
        <v>45840.46840277778</v>
      </c>
      <c r="C760" s="1" t="n">
        <v>46040</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33084-2025</t>
        </is>
      </c>
      <c r="B761" s="1" t="n">
        <v>45840.46559027778</v>
      </c>
      <c r="C761" s="1" t="n">
        <v>46040</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33577-2025</t>
        </is>
      </c>
      <c r="B762" s="1" t="n">
        <v>45841.59056712963</v>
      </c>
      <c r="C762" s="1" t="n">
        <v>46040</v>
      </c>
      <c r="D762" t="inlineStr">
        <is>
          <t>SÖDERMANLANDS LÄN</t>
        </is>
      </c>
      <c r="E762" t="inlineStr">
        <is>
          <t>KATRINEHOLM</t>
        </is>
      </c>
      <c r="F762" t="inlineStr">
        <is>
          <t>Holmen skog AB</t>
        </is>
      </c>
      <c r="G762" t="n">
        <v>0.3</v>
      </c>
      <c r="H762" t="n">
        <v>0</v>
      </c>
      <c r="I762" t="n">
        <v>0</v>
      </c>
      <c r="J762" t="n">
        <v>0</v>
      </c>
      <c r="K762" t="n">
        <v>0</v>
      </c>
      <c r="L762" t="n">
        <v>0</v>
      </c>
      <c r="M762" t="n">
        <v>0</v>
      </c>
      <c r="N762" t="n">
        <v>0</v>
      </c>
      <c r="O762" t="n">
        <v>0</v>
      </c>
      <c r="P762" t="n">
        <v>0</v>
      </c>
      <c r="Q762" t="n">
        <v>0</v>
      </c>
      <c r="R762" s="2" t="inlineStr"/>
    </row>
    <row r="763" ht="15" customHeight="1">
      <c r="A763" t="inlineStr">
        <is>
          <t>A 33812-2025</t>
        </is>
      </c>
      <c r="B763" s="1" t="n">
        <v>45842</v>
      </c>
      <c r="C763" s="1" t="n">
        <v>46040</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33815-2025</t>
        </is>
      </c>
      <c r="B764" s="1" t="n">
        <v>45842</v>
      </c>
      <c r="C764" s="1" t="n">
        <v>46040</v>
      </c>
      <c r="D764" t="inlineStr">
        <is>
          <t>SÖDERMANLANDS LÄN</t>
        </is>
      </c>
      <c r="E764" t="inlineStr">
        <is>
          <t>KATRINEHOLM</t>
        </is>
      </c>
      <c r="G764" t="n">
        <v>3.4</v>
      </c>
      <c r="H764" t="n">
        <v>0</v>
      </c>
      <c r="I764" t="n">
        <v>0</v>
      </c>
      <c r="J764" t="n">
        <v>0</v>
      </c>
      <c r="K764" t="n">
        <v>0</v>
      </c>
      <c r="L764" t="n">
        <v>0</v>
      </c>
      <c r="M764" t="n">
        <v>0</v>
      </c>
      <c r="N764" t="n">
        <v>0</v>
      </c>
      <c r="O764" t="n">
        <v>0</v>
      </c>
      <c r="P764" t="n">
        <v>0</v>
      </c>
      <c r="Q764" t="n">
        <v>0</v>
      </c>
      <c r="R764" s="2" t="inlineStr"/>
    </row>
    <row r="765" ht="15" customHeight="1">
      <c r="A765" t="inlineStr">
        <is>
          <t>A 6762-2025</t>
        </is>
      </c>
      <c r="B765" s="1" t="n">
        <v>45700</v>
      </c>
      <c r="C765" s="1" t="n">
        <v>46040</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20213-2025</t>
        </is>
      </c>
      <c r="B766" s="1" t="n">
        <v>45772.63453703704</v>
      </c>
      <c r="C766" s="1" t="n">
        <v>46040</v>
      </c>
      <c r="D766" t="inlineStr">
        <is>
          <t>SÖDERMANLANDS LÄN</t>
        </is>
      </c>
      <c r="E766" t="inlineStr">
        <is>
          <t>KATRINEHOLM</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35156-2025</t>
        </is>
      </c>
      <c r="B767" s="1" t="n">
        <v>45852</v>
      </c>
      <c r="C767" s="1" t="n">
        <v>46040</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35152-2025</t>
        </is>
      </c>
      <c r="B768" s="1" t="n">
        <v>45852</v>
      </c>
      <c r="C768" s="1" t="n">
        <v>46040</v>
      </c>
      <c r="D768" t="inlineStr">
        <is>
          <t>SÖDERMANLANDS LÄN</t>
        </is>
      </c>
      <c r="E768" t="inlineStr">
        <is>
          <t>KATRINEHOLM</t>
        </is>
      </c>
      <c r="G768" t="n">
        <v>4.6</v>
      </c>
      <c r="H768" t="n">
        <v>0</v>
      </c>
      <c r="I768" t="n">
        <v>0</v>
      </c>
      <c r="J768" t="n">
        <v>0</v>
      </c>
      <c r="K768" t="n">
        <v>0</v>
      </c>
      <c r="L768" t="n">
        <v>0</v>
      </c>
      <c r="M768" t="n">
        <v>0</v>
      </c>
      <c r="N768" t="n">
        <v>0</v>
      </c>
      <c r="O768" t="n">
        <v>0</v>
      </c>
      <c r="P768" t="n">
        <v>0</v>
      </c>
      <c r="Q768" t="n">
        <v>0</v>
      </c>
      <c r="R768" s="2" t="inlineStr"/>
    </row>
    <row r="769" ht="15" customHeight="1">
      <c r="A769" t="inlineStr">
        <is>
          <t>A 35165-2025</t>
        </is>
      </c>
      <c r="B769" s="1" t="n">
        <v>45852.72320601852</v>
      </c>
      <c r="C769" s="1" t="n">
        <v>46040</v>
      </c>
      <c r="D769" t="inlineStr">
        <is>
          <t>SÖDERMANLANDS LÄN</t>
        </is>
      </c>
      <c r="E769" t="inlineStr">
        <is>
          <t>KATRINEHOLM</t>
        </is>
      </c>
      <c r="F769" t="inlineStr">
        <is>
          <t>Övriga Aktiebolag</t>
        </is>
      </c>
      <c r="G769" t="n">
        <v>20.7</v>
      </c>
      <c r="H769" t="n">
        <v>0</v>
      </c>
      <c r="I769" t="n">
        <v>0</v>
      </c>
      <c r="J769" t="n">
        <v>0</v>
      </c>
      <c r="K769" t="n">
        <v>0</v>
      </c>
      <c r="L769" t="n">
        <v>0</v>
      </c>
      <c r="M769" t="n">
        <v>0</v>
      </c>
      <c r="N769" t="n">
        <v>0</v>
      </c>
      <c r="O769" t="n">
        <v>0</v>
      </c>
      <c r="P769" t="n">
        <v>0</v>
      </c>
      <c r="Q769" t="n">
        <v>0</v>
      </c>
      <c r="R769" s="2" t="inlineStr"/>
    </row>
    <row r="770" ht="15" customHeight="1">
      <c r="A770" t="inlineStr">
        <is>
          <t>A 35149-2025</t>
        </is>
      </c>
      <c r="B770" s="1" t="n">
        <v>45852</v>
      </c>
      <c r="C770" s="1" t="n">
        <v>46040</v>
      </c>
      <c r="D770" t="inlineStr">
        <is>
          <t>SÖDERMANLANDS LÄN</t>
        </is>
      </c>
      <c r="E770" t="inlineStr">
        <is>
          <t>KATRINEHOLM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35161-2025</t>
        </is>
      </c>
      <c r="B771" s="1" t="n">
        <v>45852.70716435185</v>
      </c>
      <c r="C771" s="1" t="n">
        <v>46040</v>
      </c>
      <c r="D771" t="inlineStr">
        <is>
          <t>SÖDERMANLANDS LÄN</t>
        </is>
      </c>
      <c r="E771" t="inlineStr">
        <is>
          <t>KATRINEHOLM</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35084-2025</t>
        </is>
      </c>
      <c r="B772" s="1" t="n">
        <v>45852</v>
      </c>
      <c r="C772" s="1" t="n">
        <v>46040</v>
      </c>
      <c r="D772" t="inlineStr">
        <is>
          <t>SÖDERMANLANDS LÄN</t>
        </is>
      </c>
      <c r="E772" t="inlineStr">
        <is>
          <t>KATRINEHOLM</t>
        </is>
      </c>
      <c r="G772" t="n">
        <v>3.2</v>
      </c>
      <c r="H772" t="n">
        <v>0</v>
      </c>
      <c r="I772" t="n">
        <v>0</v>
      </c>
      <c r="J772" t="n">
        <v>0</v>
      </c>
      <c r="K772" t="n">
        <v>0</v>
      </c>
      <c r="L772" t="n">
        <v>0</v>
      </c>
      <c r="M772" t="n">
        <v>0</v>
      </c>
      <c r="N772" t="n">
        <v>0</v>
      </c>
      <c r="O772" t="n">
        <v>0</v>
      </c>
      <c r="P772" t="n">
        <v>0</v>
      </c>
      <c r="Q772" t="n">
        <v>0</v>
      </c>
      <c r="R772" s="2" t="inlineStr"/>
    </row>
    <row r="773" ht="15" customHeight="1">
      <c r="A773" t="inlineStr">
        <is>
          <t>A 35145-2025</t>
        </is>
      </c>
      <c r="B773" s="1" t="n">
        <v>45852</v>
      </c>
      <c r="C773" s="1" t="n">
        <v>46040</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34439-2025</t>
        </is>
      </c>
      <c r="B774" s="1" t="n">
        <v>45845</v>
      </c>
      <c r="C774" s="1" t="n">
        <v>46040</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35157-2025</t>
        </is>
      </c>
      <c r="B775" s="1" t="n">
        <v>45852</v>
      </c>
      <c r="C775" s="1" t="n">
        <v>46040</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35158-2025</t>
        </is>
      </c>
      <c r="B776" s="1" t="n">
        <v>45852</v>
      </c>
      <c r="C776" s="1" t="n">
        <v>46040</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34176-2025</t>
        </is>
      </c>
      <c r="B777" s="1" t="n">
        <v>45845</v>
      </c>
      <c r="C777" s="1" t="n">
        <v>46040</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c r="A778" t="inlineStr">
        <is>
          <t>A 44024-2021</t>
        </is>
      </c>
      <c r="B778" s="1" t="n">
        <v>44434</v>
      </c>
      <c r="C778" s="1" t="n">
        <v>46040</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2026-01-18T10:59:44Z</dcterms:created>
  <dcterms:modified xmlns:dcterms="http://purl.org/dc/terms/" xmlns:xsi="http://www.w3.org/2001/XMLSchema-instance" xsi:type="dcterms:W3CDTF">2026-01-18T10:59:44Z</dcterms:modified>
</cp:coreProperties>
</file>