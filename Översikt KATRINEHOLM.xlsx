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46145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46145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46145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46145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46145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46145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46145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46145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46145</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46145</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46145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46145</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46145</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46145</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46145</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46145</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46145</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46145</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46145</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16435-2026</t>
        </is>
      </c>
      <c r="B26" s="1" t="n">
        <v>46111.82163194445</v>
      </c>
      <c r="C26" s="1" t="n">
        <v>46145</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13873-2026</t>
        </is>
      </c>
      <c r="B27" s="1" t="n">
        <v>46098.42672453704</v>
      </c>
      <c r="C27" s="1" t="n">
        <v>46145</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24718-2025</t>
        </is>
      </c>
      <c r="B28" s="1" t="n">
        <v>45799</v>
      </c>
      <c r="C28" s="1" t="n">
        <v>46145</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46145</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46145</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46145</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46145</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46145</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8917-2024</t>
        </is>
      </c>
      <c r="B35" s="1" t="n">
        <v>45357.37618055556</v>
      </c>
      <c r="C35" s="1" t="n">
        <v>46145</v>
      </c>
      <c r="D35" t="inlineStr">
        <is>
          <t>SÖDERMANLANDS LÄN</t>
        </is>
      </c>
      <c r="E35" t="inlineStr">
        <is>
          <t>KATRINEHOLM</t>
        </is>
      </c>
      <c r="G35" t="n">
        <v>3</v>
      </c>
      <c r="H35" t="n">
        <v>1</v>
      </c>
      <c r="I35" t="n">
        <v>0</v>
      </c>
      <c r="J35" t="n">
        <v>0</v>
      </c>
      <c r="K35" t="n">
        <v>0</v>
      </c>
      <c r="L35" t="n">
        <v>0</v>
      </c>
      <c r="M35" t="n">
        <v>0</v>
      </c>
      <c r="N35" t="n">
        <v>0</v>
      </c>
      <c r="O35" t="n">
        <v>0</v>
      </c>
      <c r="P35" t="n">
        <v>0</v>
      </c>
      <c r="Q35" t="n">
        <v>1</v>
      </c>
      <c r="R35" s="2" t="inlineStr">
        <is>
          <t>Gröngöling</t>
        </is>
      </c>
      <c r="S35">
        <f>HYPERLINK("https://klasma.github.io/Logging_0483/artfynd/A 8917-2024 artfynd.xlsx", "A 8917-2024")</f>
        <v/>
      </c>
      <c r="T35">
        <f>HYPERLINK("https://klasma.github.io/Logging_0483/kartor/A 8917-2024 karta.png", "A 8917-2024")</f>
        <v/>
      </c>
      <c r="V35">
        <f>HYPERLINK("https://klasma.github.io/Logging_0483/klagomål/A 8917-2024 FSC-klagomål.docx", "A 8917-2024")</f>
        <v/>
      </c>
      <c r="W35">
        <f>HYPERLINK("https://klasma.github.io/Logging_0483/klagomålsmail/A 8917-2024 FSC-klagomål mail.docx", "A 8917-2024")</f>
        <v/>
      </c>
      <c r="X35">
        <f>HYPERLINK("https://klasma.github.io/Logging_0483/tillsyn/A 8917-2024 tillsynsbegäran.docx", "A 8917-2024")</f>
        <v/>
      </c>
      <c r="Y35">
        <f>HYPERLINK("https://klasma.github.io/Logging_0483/tillsynsmail/A 8917-2024 tillsynsbegäran mail.docx", "A 8917-2024")</f>
        <v/>
      </c>
      <c r="Z35">
        <f>HYPERLINK("https://klasma.github.io/Logging_0483/fåglar/A 8917-2024 prioriterade fågelarter.docx", "A 8917-2024")</f>
        <v/>
      </c>
    </row>
    <row r="36" ht="15" customHeight="1">
      <c r="A36" t="inlineStr">
        <is>
          <t>A 16458-2022</t>
        </is>
      </c>
      <c r="B36" s="1" t="n">
        <v>44671</v>
      </c>
      <c r="C36" s="1" t="n">
        <v>46145</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23568-2023</t>
        </is>
      </c>
      <c r="B37" s="1" t="n">
        <v>45077</v>
      </c>
      <c r="C37" s="1" t="n">
        <v>46145</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11890-2023</t>
        </is>
      </c>
      <c r="B38" s="1" t="n">
        <v>44995</v>
      </c>
      <c r="C38" s="1" t="n">
        <v>46145</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57519-2021</t>
        </is>
      </c>
      <c r="B39" s="1" t="n">
        <v>44483</v>
      </c>
      <c r="C39" s="1" t="n">
        <v>46145</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46145</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44632-2023</t>
        </is>
      </c>
      <c r="B41" s="1" t="n">
        <v>45184</v>
      </c>
      <c r="C41" s="1" t="n">
        <v>46145</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42055-2025</t>
        </is>
      </c>
      <c r="B42" s="1" t="n">
        <v>45903</v>
      </c>
      <c r="C42" s="1" t="n">
        <v>46145</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41980-2025</t>
        </is>
      </c>
      <c r="B43" s="1" t="n">
        <v>45903</v>
      </c>
      <c r="C43" s="1" t="n">
        <v>46145</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33801-2023</t>
        </is>
      </c>
      <c r="B44" s="1" t="n">
        <v>45133</v>
      </c>
      <c r="C44" s="1" t="n">
        <v>46145</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48199-2025</t>
        </is>
      </c>
      <c r="B45" s="1" t="n">
        <v>45933.47856481482</v>
      </c>
      <c r="C45" s="1" t="n">
        <v>46145</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36220-2022</t>
        </is>
      </c>
      <c r="B46" s="1" t="n">
        <v>44803</v>
      </c>
      <c r="C46" s="1" t="n">
        <v>46145</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45530-2023</t>
        </is>
      </c>
      <c r="B47" s="1" t="n">
        <v>45188</v>
      </c>
      <c r="C47" s="1" t="n">
        <v>46145</v>
      </c>
      <c r="D47" t="inlineStr">
        <is>
          <t>SÖDERMANLANDS LÄN</t>
        </is>
      </c>
      <c r="E47" t="inlineStr">
        <is>
          <t>KATRINEHOLM</t>
        </is>
      </c>
      <c r="F47" t="inlineStr">
        <is>
          <t>Allmännings- och besparingsskogar</t>
        </is>
      </c>
      <c r="G47" t="n">
        <v>37</v>
      </c>
      <c r="H47" t="n">
        <v>1</v>
      </c>
      <c r="I47" t="n">
        <v>0</v>
      </c>
      <c r="J47" t="n">
        <v>0</v>
      </c>
      <c r="K47" t="n">
        <v>0</v>
      </c>
      <c r="L47" t="n">
        <v>0</v>
      </c>
      <c r="M47" t="n">
        <v>0</v>
      </c>
      <c r="N47" t="n">
        <v>0</v>
      </c>
      <c r="O47" t="n">
        <v>0</v>
      </c>
      <c r="P47" t="n">
        <v>0</v>
      </c>
      <c r="Q47" t="n">
        <v>1</v>
      </c>
      <c r="R47" s="2" t="inlineStr">
        <is>
          <t>Fläcknycklar</t>
        </is>
      </c>
      <c r="S47">
        <f>HYPERLINK("https://klasma.github.io/Logging_0483/artfynd/A 45530-2023 artfynd.xlsx", "A 45530-2023")</f>
        <v/>
      </c>
      <c r="T47">
        <f>HYPERLINK("https://klasma.github.io/Logging_0483/kartor/A 45530-2023 karta.png", "A 45530-2023")</f>
        <v/>
      </c>
      <c r="V47">
        <f>HYPERLINK("https://klasma.github.io/Logging_0483/klagomål/A 45530-2023 FSC-klagomål.docx", "A 45530-2023")</f>
        <v/>
      </c>
      <c r="W47">
        <f>HYPERLINK("https://klasma.github.io/Logging_0483/klagomålsmail/A 45530-2023 FSC-klagomål mail.docx", "A 45530-2023")</f>
        <v/>
      </c>
      <c r="X47">
        <f>HYPERLINK("https://klasma.github.io/Logging_0483/tillsyn/A 45530-2023 tillsynsbegäran.docx", "A 45530-2023")</f>
        <v/>
      </c>
      <c r="Y47">
        <f>HYPERLINK("https://klasma.github.io/Logging_0483/tillsynsmail/A 45530-2023 tillsynsbegäran mail.docx", "A 45530-2023")</f>
        <v/>
      </c>
    </row>
    <row r="48" ht="15" customHeight="1">
      <c r="A48" t="inlineStr">
        <is>
          <t>A 55700-2025</t>
        </is>
      </c>
      <c r="B48" s="1" t="n">
        <v>45972.45605324074</v>
      </c>
      <c r="C48" s="1" t="n">
        <v>46145</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46145</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53990-2023</t>
        </is>
      </c>
      <c r="B50" s="1" t="n">
        <v>45231</v>
      </c>
      <c r="C50" s="1" t="n">
        <v>46145</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63946-2025</t>
        </is>
      </c>
      <c r="B51" s="1" t="n">
        <v>46010</v>
      </c>
      <c r="C51" s="1" t="n">
        <v>46145</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46145</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46145</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53154-2023</t>
        </is>
      </c>
      <c r="B54" s="1" t="n">
        <v>45229</v>
      </c>
      <c r="C54" s="1" t="n">
        <v>46145</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46145</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46145</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46145</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27375-2024</t>
        </is>
      </c>
      <c r="B58" s="1" t="n">
        <v>45473.87645833333</v>
      </c>
      <c r="C58" s="1" t="n">
        <v>46145</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12238-2023</t>
        </is>
      </c>
      <c r="B59" s="1" t="n">
        <v>44995</v>
      </c>
      <c r="C59" s="1" t="n">
        <v>46145</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46145</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46145</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22474-2025</t>
        </is>
      </c>
      <c r="B62" s="1" t="n">
        <v>45786.62152777778</v>
      </c>
      <c r="C62" s="1" t="n">
        <v>46145</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46145</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35163-2025</t>
        </is>
      </c>
      <c r="B64" s="1" t="n">
        <v>45852.71136574074</v>
      </c>
      <c r="C64" s="1" t="n">
        <v>46145</v>
      </c>
      <c r="D64" t="inlineStr">
        <is>
          <t>SÖDERMANLANDS LÄN</t>
        </is>
      </c>
      <c r="E64" t="inlineStr">
        <is>
          <t>KATRINEHOLM</t>
        </is>
      </c>
      <c r="F64" t="inlineStr">
        <is>
          <t>Övriga Aktiebolag</t>
        </is>
      </c>
      <c r="G64" t="n">
        <v>1.1</v>
      </c>
      <c r="H64" t="n">
        <v>0</v>
      </c>
      <c r="I64" t="n">
        <v>1</v>
      </c>
      <c r="J64" t="n">
        <v>0</v>
      </c>
      <c r="K64" t="n">
        <v>0</v>
      </c>
      <c r="L64" t="n">
        <v>0</v>
      </c>
      <c r="M64" t="n">
        <v>0</v>
      </c>
      <c r="N64" t="n">
        <v>0</v>
      </c>
      <c r="O64" t="n">
        <v>0</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36856-2021</t>
        </is>
      </c>
      <c r="B65" s="1" t="n">
        <v>44393</v>
      </c>
      <c r="C65" s="1" t="n">
        <v>46145</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46145</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46145</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46145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46145</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46145</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46145</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46145</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66655-2021</t>
        </is>
      </c>
      <c r="B73" s="1" t="n">
        <v>44519</v>
      </c>
      <c r="C73" s="1" t="n">
        <v>46145</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46145</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46145</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46145</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46145</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46145</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46145</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46145</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46145</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46145</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46145</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46145</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46145</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46145</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46145</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46145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46145</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46145</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46145</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46145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46145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46145</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46145</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46145</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46145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46145</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46145</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46145</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46145</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46145</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46145</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46145</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46145</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46145</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46145</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46145</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46145</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46145</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46145</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46145</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46145</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46145</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46145</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46145</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46145</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46145</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46145</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46145</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46145</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46145</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46145</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46145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46145</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46145</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46145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46145</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46145</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46145</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59212-2021</t>
        </is>
      </c>
      <c r="B133" s="1" t="n">
        <v>44490.60873842592</v>
      </c>
      <c r="C133" s="1" t="n">
        <v>46145</v>
      </c>
      <c r="D133" t="inlineStr">
        <is>
          <t>SÖDERMANLANDS LÄN</t>
        </is>
      </c>
      <c r="E133" t="inlineStr">
        <is>
          <t>KATRINEHOLM</t>
        </is>
      </c>
      <c r="G133" t="n">
        <v>2.6</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46145</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46145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46145</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46145</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46145</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46145</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46145</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46145</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46145</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46145</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46145</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46145</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46145</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46145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46145</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46145</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46145</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46145</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46145</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46145</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46145</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46145</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46145</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46145</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46145</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46145</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46145</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46145</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46145</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46145</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46145</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46145</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46145</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46145</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46145</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46145</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46145</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46145</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46145</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46145</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46145</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46145</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46145</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46145</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46145</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46145</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46145</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40749-2022</t>
        </is>
      </c>
      <c r="B181" s="1" t="n">
        <v>44824</v>
      </c>
      <c r="C181" s="1" t="n">
        <v>46145</v>
      </c>
      <c r="D181" t="inlineStr">
        <is>
          <t>SÖDERMANLANDS LÄN</t>
        </is>
      </c>
      <c r="E181" t="inlineStr">
        <is>
          <t>KATRINEHOLM</t>
        </is>
      </c>
      <c r="G181" t="n">
        <v>0.2</v>
      </c>
      <c r="H181" t="n">
        <v>0</v>
      </c>
      <c r="I181" t="n">
        <v>0</v>
      </c>
      <c r="J181" t="n">
        <v>0</v>
      </c>
      <c r="K181" t="n">
        <v>0</v>
      </c>
      <c r="L181" t="n">
        <v>0</v>
      </c>
      <c r="M181" t="n">
        <v>0</v>
      </c>
      <c r="N181" t="n">
        <v>0</v>
      </c>
      <c r="O181" t="n">
        <v>0</v>
      </c>
      <c r="P181" t="n">
        <v>0</v>
      </c>
      <c r="Q181" t="n">
        <v>0</v>
      </c>
      <c r="R181" s="2" t="inlineStr"/>
    </row>
    <row r="182" ht="15" customHeight="1">
      <c r="A182" t="inlineStr">
        <is>
          <t>A 58473-2021</t>
        </is>
      </c>
      <c r="B182" s="1" t="n">
        <v>44488</v>
      </c>
      <c r="C182" s="1" t="n">
        <v>46145</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6091-2025</t>
        </is>
      </c>
      <c r="B183" s="1" t="n">
        <v>45697</v>
      </c>
      <c r="C183" s="1" t="n">
        <v>46145</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6093-2025</t>
        </is>
      </c>
      <c r="B184" s="1" t="n">
        <v>45697</v>
      </c>
      <c r="C184" s="1" t="n">
        <v>46145</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33538-2022</t>
        </is>
      </c>
      <c r="B185" s="1" t="n">
        <v>44789</v>
      </c>
      <c r="C185" s="1" t="n">
        <v>46145</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41966-2023</t>
        </is>
      </c>
      <c r="B186" s="1" t="n">
        <v>45177</v>
      </c>
      <c r="C186" s="1" t="n">
        <v>46145</v>
      </c>
      <c r="D186" t="inlineStr">
        <is>
          <t>SÖDERMANLANDS LÄN</t>
        </is>
      </c>
      <c r="E186" t="inlineStr">
        <is>
          <t>KATRINEHOLM</t>
        </is>
      </c>
      <c r="G186" t="n">
        <v>36.9</v>
      </c>
      <c r="H186" t="n">
        <v>0</v>
      </c>
      <c r="I186" t="n">
        <v>0</v>
      </c>
      <c r="J186" t="n">
        <v>0</v>
      </c>
      <c r="K186" t="n">
        <v>0</v>
      </c>
      <c r="L186" t="n">
        <v>0</v>
      </c>
      <c r="M186" t="n">
        <v>0</v>
      </c>
      <c r="N186" t="n">
        <v>0</v>
      </c>
      <c r="O186" t="n">
        <v>0</v>
      </c>
      <c r="P186" t="n">
        <v>0</v>
      </c>
      <c r="Q186" t="n">
        <v>0</v>
      </c>
      <c r="R186" s="2" t="inlineStr"/>
    </row>
    <row r="187" ht="15" customHeight="1">
      <c r="A187" t="inlineStr">
        <is>
          <t>A 46569-2022</t>
        </is>
      </c>
      <c r="B187" s="1" t="n">
        <v>44847</v>
      </c>
      <c r="C187" s="1" t="n">
        <v>46145</v>
      </c>
      <c r="D187" t="inlineStr">
        <is>
          <t>SÖDERMANLANDS LÄN</t>
        </is>
      </c>
      <c r="E187" t="inlineStr">
        <is>
          <t>KATRINEHOLM</t>
        </is>
      </c>
      <c r="G187" t="n">
        <v>1.7</v>
      </c>
      <c r="H187" t="n">
        <v>0</v>
      </c>
      <c r="I187" t="n">
        <v>0</v>
      </c>
      <c r="J187" t="n">
        <v>0</v>
      </c>
      <c r="K187" t="n">
        <v>0</v>
      </c>
      <c r="L187" t="n">
        <v>0</v>
      </c>
      <c r="M187" t="n">
        <v>0</v>
      </c>
      <c r="N187" t="n">
        <v>0</v>
      </c>
      <c r="O187" t="n">
        <v>0</v>
      </c>
      <c r="P187" t="n">
        <v>0</v>
      </c>
      <c r="Q187" t="n">
        <v>0</v>
      </c>
      <c r="R187" s="2" t="inlineStr"/>
    </row>
    <row r="188" ht="15" customHeight="1">
      <c r="A188" t="inlineStr">
        <is>
          <t>A 20949-2021</t>
        </is>
      </c>
      <c r="B188" s="1" t="n">
        <v>44319</v>
      </c>
      <c r="C188" s="1" t="n">
        <v>46145</v>
      </c>
      <c r="D188" t="inlineStr">
        <is>
          <t>SÖDERMANLANDS LÄN</t>
        </is>
      </c>
      <c r="E188" t="inlineStr">
        <is>
          <t>KATRINEHOLM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36210-2022</t>
        </is>
      </c>
      <c r="B189" s="1" t="n">
        <v>44803.47950231482</v>
      </c>
      <c r="C189" s="1" t="n">
        <v>46145</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48682-2022</t>
        </is>
      </c>
      <c r="B190" s="1" t="n">
        <v>44859</v>
      </c>
      <c r="C190" s="1" t="n">
        <v>46145</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3090-2025</t>
        </is>
      </c>
      <c r="B191" s="1" t="n">
        <v>45678</v>
      </c>
      <c r="C191" s="1" t="n">
        <v>46145</v>
      </c>
      <c r="D191" t="inlineStr">
        <is>
          <t>SÖDERMANLANDS LÄN</t>
        </is>
      </c>
      <c r="E191" t="inlineStr">
        <is>
          <t>KATRINEHOLM</t>
        </is>
      </c>
      <c r="F191" t="inlineStr">
        <is>
          <t>Kyrkan</t>
        </is>
      </c>
      <c r="G191" t="n">
        <v>6.9</v>
      </c>
      <c r="H191" t="n">
        <v>0</v>
      </c>
      <c r="I191" t="n">
        <v>0</v>
      </c>
      <c r="J191" t="n">
        <v>0</v>
      </c>
      <c r="K191" t="n">
        <v>0</v>
      </c>
      <c r="L191" t="n">
        <v>0</v>
      </c>
      <c r="M191" t="n">
        <v>0</v>
      </c>
      <c r="N191" t="n">
        <v>0</v>
      </c>
      <c r="O191" t="n">
        <v>0</v>
      </c>
      <c r="P191" t="n">
        <v>0</v>
      </c>
      <c r="Q191" t="n">
        <v>0</v>
      </c>
      <c r="R191" s="2" t="inlineStr"/>
    </row>
    <row r="192" ht="15" customHeight="1">
      <c r="A192" t="inlineStr">
        <is>
          <t>A 17246-2024</t>
        </is>
      </c>
      <c r="B192" s="1" t="n">
        <v>45414</v>
      </c>
      <c r="C192" s="1" t="n">
        <v>46145</v>
      </c>
      <c r="D192" t="inlineStr">
        <is>
          <t>SÖDERMANLANDS LÄN</t>
        </is>
      </c>
      <c r="E192" t="inlineStr">
        <is>
          <t>KATRINEHOLM</t>
        </is>
      </c>
      <c r="F192" t="inlineStr">
        <is>
          <t>Allmännings- och besparingsskogar</t>
        </is>
      </c>
      <c r="G192" t="n">
        <v>13.7</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46145</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46145</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46145</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46145</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46145</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46145</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53722-2023</t>
        </is>
      </c>
      <c r="B199" s="1" t="n">
        <v>45230</v>
      </c>
      <c r="C199" s="1" t="n">
        <v>46145</v>
      </c>
      <c r="D199" t="inlineStr">
        <is>
          <t>SÖDERMANLANDS LÄN</t>
        </is>
      </c>
      <c r="E199" t="inlineStr">
        <is>
          <t>KATRINEHOLM</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48520-2023</t>
        </is>
      </c>
      <c r="B200" s="1" t="n">
        <v>45208</v>
      </c>
      <c r="C200" s="1" t="n">
        <v>46145</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46145</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46145</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56661-2021</t>
        </is>
      </c>
      <c r="B203" s="1" t="n">
        <v>44481.24327546296</v>
      </c>
      <c r="C203" s="1" t="n">
        <v>46145</v>
      </c>
      <c r="D203" t="inlineStr">
        <is>
          <t>SÖDERMANLANDS LÄN</t>
        </is>
      </c>
      <c r="E203" t="inlineStr">
        <is>
          <t>KATRINEHOLM</t>
        </is>
      </c>
      <c r="G203" t="n">
        <v>5.8</v>
      </c>
      <c r="H203" t="n">
        <v>0</v>
      </c>
      <c r="I203" t="n">
        <v>0</v>
      </c>
      <c r="J203" t="n">
        <v>0</v>
      </c>
      <c r="K203" t="n">
        <v>0</v>
      </c>
      <c r="L203" t="n">
        <v>0</v>
      </c>
      <c r="M203" t="n">
        <v>0</v>
      </c>
      <c r="N203" t="n">
        <v>0</v>
      </c>
      <c r="O203" t="n">
        <v>0</v>
      </c>
      <c r="P203" t="n">
        <v>0</v>
      </c>
      <c r="Q203" t="n">
        <v>0</v>
      </c>
      <c r="R203" s="2" t="inlineStr"/>
    </row>
    <row r="204" ht="15" customHeight="1">
      <c r="A204" t="inlineStr">
        <is>
          <t>A 55795-2023</t>
        </is>
      </c>
      <c r="B204" s="1" t="n">
        <v>45239.54861111111</v>
      </c>
      <c r="C204" s="1" t="n">
        <v>46145</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28394-2023</t>
        </is>
      </c>
      <c r="B205" s="1" t="n">
        <v>45100</v>
      </c>
      <c r="C205" s="1" t="n">
        <v>46145</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4122-2023</t>
        </is>
      </c>
      <c r="B206" s="1" t="n">
        <v>44952</v>
      </c>
      <c r="C206" s="1" t="n">
        <v>46145</v>
      </c>
      <c r="D206" t="inlineStr">
        <is>
          <t>SÖDERMANLANDS LÄN</t>
        </is>
      </c>
      <c r="E206" t="inlineStr">
        <is>
          <t>KATRINEHOLM</t>
        </is>
      </c>
      <c r="G206" t="n">
        <v>9</v>
      </c>
      <c r="H206" t="n">
        <v>0</v>
      </c>
      <c r="I206" t="n">
        <v>0</v>
      </c>
      <c r="J206" t="n">
        <v>0</v>
      </c>
      <c r="K206" t="n">
        <v>0</v>
      </c>
      <c r="L206" t="n">
        <v>0</v>
      </c>
      <c r="M206" t="n">
        <v>0</v>
      </c>
      <c r="N206" t="n">
        <v>0</v>
      </c>
      <c r="O206" t="n">
        <v>0</v>
      </c>
      <c r="P206" t="n">
        <v>0</v>
      </c>
      <c r="Q206" t="n">
        <v>0</v>
      </c>
      <c r="R206" s="2" t="inlineStr"/>
    </row>
    <row r="207" ht="15" customHeight="1">
      <c r="A207" t="inlineStr">
        <is>
          <t>A 24284-2024</t>
        </is>
      </c>
      <c r="B207" s="1" t="n">
        <v>45457</v>
      </c>
      <c r="C207" s="1" t="n">
        <v>46145</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29502-2023</t>
        </is>
      </c>
      <c r="B208" s="1" t="n">
        <v>45106</v>
      </c>
      <c r="C208" s="1" t="n">
        <v>46145</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46145</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55122-2022</t>
        </is>
      </c>
      <c r="B210" s="1" t="n">
        <v>44886.65092592593</v>
      </c>
      <c r="C210" s="1" t="n">
        <v>46145</v>
      </c>
      <c r="D210" t="inlineStr">
        <is>
          <t>SÖDERMANLANDS LÄN</t>
        </is>
      </c>
      <c r="E210" t="inlineStr">
        <is>
          <t>KATRINEHOLM</t>
        </is>
      </c>
      <c r="G210" t="n">
        <v>6.5</v>
      </c>
      <c r="H210" t="n">
        <v>0</v>
      </c>
      <c r="I210" t="n">
        <v>0</v>
      </c>
      <c r="J210" t="n">
        <v>0</v>
      </c>
      <c r="K210" t="n">
        <v>0</v>
      </c>
      <c r="L210" t="n">
        <v>0</v>
      </c>
      <c r="M210" t="n">
        <v>0</v>
      </c>
      <c r="N210" t="n">
        <v>0</v>
      </c>
      <c r="O210" t="n">
        <v>0</v>
      </c>
      <c r="P210" t="n">
        <v>0</v>
      </c>
      <c r="Q210" t="n">
        <v>0</v>
      </c>
      <c r="R210" s="2" t="inlineStr"/>
    </row>
    <row r="211" ht="15" customHeight="1">
      <c r="A211" t="inlineStr">
        <is>
          <t>A 17746-2024</t>
        </is>
      </c>
      <c r="B211" s="1" t="n">
        <v>45415</v>
      </c>
      <c r="C211" s="1" t="n">
        <v>46145</v>
      </c>
      <c r="D211" t="inlineStr">
        <is>
          <t>SÖDERMANLANDS LÄN</t>
        </is>
      </c>
      <c r="E211" t="inlineStr">
        <is>
          <t>KATRINEHOLM</t>
        </is>
      </c>
      <c r="G211" t="n">
        <v>7.8</v>
      </c>
      <c r="H211" t="n">
        <v>0</v>
      </c>
      <c r="I211" t="n">
        <v>0</v>
      </c>
      <c r="J211" t="n">
        <v>0</v>
      </c>
      <c r="K211" t="n">
        <v>0</v>
      </c>
      <c r="L211" t="n">
        <v>0</v>
      </c>
      <c r="M211" t="n">
        <v>0</v>
      </c>
      <c r="N211" t="n">
        <v>0</v>
      </c>
      <c r="O211" t="n">
        <v>0</v>
      </c>
      <c r="P211" t="n">
        <v>0</v>
      </c>
      <c r="Q211" t="n">
        <v>0</v>
      </c>
      <c r="R211" s="2" t="inlineStr"/>
    </row>
    <row r="212" ht="15" customHeight="1">
      <c r="A212" t="inlineStr">
        <is>
          <t>A 36767-2022</t>
        </is>
      </c>
      <c r="B212" s="1" t="n">
        <v>44805</v>
      </c>
      <c r="C212" s="1" t="n">
        <v>46145</v>
      </c>
      <c r="D212" t="inlineStr">
        <is>
          <t>SÖDERMANLANDS LÄN</t>
        </is>
      </c>
      <c r="E212" t="inlineStr">
        <is>
          <t>KATRINEHOLM</t>
        </is>
      </c>
      <c r="G212" t="n">
        <v>1.1</v>
      </c>
      <c r="H212" t="n">
        <v>0</v>
      </c>
      <c r="I212" t="n">
        <v>0</v>
      </c>
      <c r="J212" t="n">
        <v>0</v>
      </c>
      <c r="K212" t="n">
        <v>0</v>
      </c>
      <c r="L212" t="n">
        <v>0</v>
      </c>
      <c r="M212" t="n">
        <v>0</v>
      </c>
      <c r="N212" t="n">
        <v>0</v>
      </c>
      <c r="O212" t="n">
        <v>0</v>
      </c>
      <c r="P212" t="n">
        <v>0</v>
      </c>
      <c r="Q212" t="n">
        <v>0</v>
      </c>
      <c r="R212" s="2" t="inlineStr"/>
    </row>
    <row r="213" ht="15" customHeight="1">
      <c r="A213" t="inlineStr">
        <is>
          <t>A 33712-2022</t>
        </is>
      </c>
      <c r="B213" s="1" t="n">
        <v>44789</v>
      </c>
      <c r="C213" s="1" t="n">
        <v>46145</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46145</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33717-2022</t>
        </is>
      </c>
      <c r="B215" s="1" t="n">
        <v>44789</v>
      </c>
      <c r="C215" s="1" t="n">
        <v>46145</v>
      </c>
      <c r="D215" t="inlineStr">
        <is>
          <t>SÖDERMANLANDS LÄN</t>
        </is>
      </c>
      <c r="E215" t="inlineStr">
        <is>
          <t>KATRINEHOLM</t>
        </is>
      </c>
      <c r="G215" t="n">
        <v>4.4</v>
      </c>
      <c r="H215" t="n">
        <v>0</v>
      </c>
      <c r="I215" t="n">
        <v>0</v>
      </c>
      <c r="J215" t="n">
        <v>0</v>
      </c>
      <c r="K215" t="n">
        <v>0</v>
      </c>
      <c r="L215" t="n">
        <v>0</v>
      </c>
      <c r="M215" t="n">
        <v>0</v>
      </c>
      <c r="N215" t="n">
        <v>0</v>
      </c>
      <c r="O215" t="n">
        <v>0</v>
      </c>
      <c r="P215" t="n">
        <v>0</v>
      </c>
      <c r="Q215" t="n">
        <v>0</v>
      </c>
      <c r="R215" s="2" t="inlineStr"/>
    </row>
    <row r="216" ht="15" customHeight="1">
      <c r="A216" t="inlineStr">
        <is>
          <t>A 33752-2023</t>
        </is>
      </c>
      <c r="B216" s="1" t="n">
        <v>45120</v>
      </c>
      <c r="C216" s="1" t="n">
        <v>46145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46145</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51264-2021</t>
        </is>
      </c>
      <c r="B218" s="1" t="n">
        <v>44461</v>
      </c>
      <c r="C218" s="1" t="n">
        <v>46145</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51128-2021</t>
        </is>
      </c>
      <c r="B219" s="1" t="n">
        <v>44460</v>
      </c>
      <c r="C219" s="1" t="n">
        <v>46145</v>
      </c>
      <c r="D219" t="inlineStr">
        <is>
          <t>SÖDERMANLANDS LÄN</t>
        </is>
      </c>
      <c r="E219" t="inlineStr">
        <is>
          <t>KATRINEHOLM</t>
        </is>
      </c>
      <c r="G219" t="n">
        <v>7.8</v>
      </c>
      <c r="H219" t="n">
        <v>0</v>
      </c>
      <c r="I219" t="n">
        <v>0</v>
      </c>
      <c r="J219" t="n">
        <v>0</v>
      </c>
      <c r="K219" t="n">
        <v>0</v>
      </c>
      <c r="L219" t="n">
        <v>0</v>
      </c>
      <c r="M219" t="n">
        <v>0</v>
      </c>
      <c r="N219" t="n">
        <v>0</v>
      </c>
      <c r="O219" t="n">
        <v>0</v>
      </c>
      <c r="P219" t="n">
        <v>0</v>
      </c>
      <c r="Q219" t="n">
        <v>0</v>
      </c>
      <c r="R219" s="2" t="inlineStr"/>
    </row>
    <row r="220" ht="15" customHeight="1">
      <c r="A220" t="inlineStr">
        <is>
          <t>A 45376-2022</t>
        </is>
      </c>
      <c r="B220" s="1" t="n">
        <v>44844</v>
      </c>
      <c r="C220" s="1" t="n">
        <v>46145</v>
      </c>
      <c r="D220" t="inlineStr">
        <is>
          <t>SÖDERMANLANDS LÄN</t>
        </is>
      </c>
      <c r="E220" t="inlineStr">
        <is>
          <t>KATRINEHOLM</t>
        </is>
      </c>
      <c r="G220" t="n">
        <v>4.7</v>
      </c>
      <c r="H220" t="n">
        <v>0</v>
      </c>
      <c r="I220" t="n">
        <v>0</v>
      </c>
      <c r="J220" t="n">
        <v>0</v>
      </c>
      <c r="K220" t="n">
        <v>0</v>
      </c>
      <c r="L220" t="n">
        <v>0</v>
      </c>
      <c r="M220" t="n">
        <v>0</v>
      </c>
      <c r="N220" t="n">
        <v>0</v>
      </c>
      <c r="O220" t="n">
        <v>0</v>
      </c>
      <c r="P220" t="n">
        <v>0</v>
      </c>
      <c r="Q220" t="n">
        <v>0</v>
      </c>
      <c r="R220" s="2" t="inlineStr"/>
    </row>
    <row r="221" ht="15" customHeight="1">
      <c r="A221" t="inlineStr">
        <is>
          <t>A 35188-2022</t>
        </is>
      </c>
      <c r="B221" s="1" t="n">
        <v>44797</v>
      </c>
      <c r="C221" s="1" t="n">
        <v>46145</v>
      </c>
      <c r="D221" t="inlineStr">
        <is>
          <t>SÖDERMANLANDS LÄN</t>
        </is>
      </c>
      <c r="E221" t="inlineStr">
        <is>
          <t>KATRINEHOLM</t>
        </is>
      </c>
      <c r="G221" t="n">
        <v>3</v>
      </c>
      <c r="H221" t="n">
        <v>0</v>
      </c>
      <c r="I221" t="n">
        <v>0</v>
      </c>
      <c r="J221" t="n">
        <v>0</v>
      </c>
      <c r="K221" t="n">
        <v>0</v>
      </c>
      <c r="L221" t="n">
        <v>0</v>
      </c>
      <c r="M221" t="n">
        <v>0</v>
      </c>
      <c r="N221" t="n">
        <v>0</v>
      </c>
      <c r="O221" t="n">
        <v>0</v>
      </c>
      <c r="P221" t="n">
        <v>0</v>
      </c>
      <c r="Q221" t="n">
        <v>0</v>
      </c>
      <c r="R221" s="2" t="inlineStr"/>
    </row>
    <row r="222" ht="15" customHeight="1">
      <c r="A222" t="inlineStr">
        <is>
          <t>A 64605-2023</t>
        </is>
      </c>
      <c r="B222" s="1" t="n">
        <v>45281</v>
      </c>
      <c r="C222" s="1" t="n">
        <v>46145</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3980-2024</t>
        </is>
      </c>
      <c r="B223" s="1" t="n">
        <v>45322</v>
      </c>
      <c r="C223" s="1" t="n">
        <v>46145</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64713-2023</t>
        </is>
      </c>
      <c r="B224" s="1" t="n">
        <v>45281</v>
      </c>
      <c r="C224" s="1" t="n">
        <v>46145</v>
      </c>
      <c r="D224" t="inlineStr">
        <is>
          <t>SÖDERMANLANDS LÄN</t>
        </is>
      </c>
      <c r="E224" t="inlineStr">
        <is>
          <t>KATRINEHOLM</t>
        </is>
      </c>
      <c r="G224" t="n">
        <v>4.9</v>
      </c>
      <c r="H224" t="n">
        <v>0</v>
      </c>
      <c r="I224" t="n">
        <v>0</v>
      </c>
      <c r="J224" t="n">
        <v>0</v>
      </c>
      <c r="K224" t="n">
        <v>0</v>
      </c>
      <c r="L224" t="n">
        <v>0</v>
      </c>
      <c r="M224" t="n">
        <v>0</v>
      </c>
      <c r="N224" t="n">
        <v>0</v>
      </c>
      <c r="O224" t="n">
        <v>0</v>
      </c>
      <c r="P224" t="n">
        <v>0</v>
      </c>
      <c r="Q224" t="n">
        <v>0</v>
      </c>
      <c r="R224" s="2" t="inlineStr"/>
    </row>
    <row r="225" ht="15" customHeight="1">
      <c r="A225" t="inlineStr">
        <is>
          <t>A 28582-2024</t>
        </is>
      </c>
      <c r="B225" s="1" t="n">
        <v>45478.40751157407</v>
      </c>
      <c r="C225" s="1" t="n">
        <v>46145</v>
      </c>
      <c r="D225" t="inlineStr">
        <is>
          <t>SÖDERMANLANDS LÄN</t>
        </is>
      </c>
      <c r="E225" t="inlineStr">
        <is>
          <t>KATRINEHOLM</t>
        </is>
      </c>
      <c r="F225" t="inlineStr">
        <is>
          <t>Övriga Aktiebolag</t>
        </is>
      </c>
      <c r="G225" t="n">
        <v>4</v>
      </c>
      <c r="H225" t="n">
        <v>0</v>
      </c>
      <c r="I225" t="n">
        <v>0</v>
      </c>
      <c r="J225" t="n">
        <v>0</v>
      </c>
      <c r="K225" t="n">
        <v>0</v>
      </c>
      <c r="L225" t="n">
        <v>0</v>
      </c>
      <c r="M225" t="n">
        <v>0</v>
      </c>
      <c r="N225" t="n">
        <v>0</v>
      </c>
      <c r="O225" t="n">
        <v>0</v>
      </c>
      <c r="P225" t="n">
        <v>0</v>
      </c>
      <c r="Q225" t="n">
        <v>0</v>
      </c>
      <c r="R225" s="2" t="inlineStr"/>
    </row>
    <row r="226" ht="15" customHeight="1">
      <c r="A226" t="inlineStr">
        <is>
          <t>A 60677-2021</t>
        </is>
      </c>
      <c r="B226" s="1" t="n">
        <v>44495</v>
      </c>
      <c r="C226" s="1" t="n">
        <v>46145</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43088-2022</t>
        </is>
      </c>
      <c r="B227" s="1" t="n">
        <v>44833</v>
      </c>
      <c r="C227" s="1" t="n">
        <v>46145</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38308-2021</t>
        </is>
      </c>
      <c r="B228" s="1" t="n">
        <v>44406</v>
      </c>
      <c r="C228" s="1" t="n">
        <v>46145</v>
      </c>
      <c r="D228" t="inlineStr">
        <is>
          <t>SÖDERMANLANDS LÄN</t>
        </is>
      </c>
      <c r="E228" t="inlineStr">
        <is>
          <t>KATRINEHOLM</t>
        </is>
      </c>
      <c r="G228" t="n">
        <v>1.7</v>
      </c>
      <c r="H228" t="n">
        <v>0</v>
      </c>
      <c r="I228" t="n">
        <v>0</v>
      </c>
      <c r="J228" t="n">
        <v>0</v>
      </c>
      <c r="K228" t="n">
        <v>0</v>
      </c>
      <c r="L228" t="n">
        <v>0</v>
      </c>
      <c r="M228" t="n">
        <v>0</v>
      </c>
      <c r="N228" t="n">
        <v>0</v>
      </c>
      <c r="O228" t="n">
        <v>0</v>
      </c>
      <c r="P228" t="n">
        <v>0</v>
      </c>
      <c r="Q228" t="n">
        <v>0</v>
      </c>
      <c r="R228" s="2" t="inlineStr"/>
    </row>
    <row r="229" ht="15" customHeight="1">
      <c r="A229" t="inlineStr">
        <is>
          <t>A 55172-2022</t>
        </is>
      </c>
      <c r="B229" s="1" t="n">
        <v>44886</v>
      </c>
      <c r="C229" s="1" t="n">
        <v>46145</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43837-2022</t>
        </is>
      </c>
      <c r="B230" s="1" t="n">
        <v>44838</v>
      </c>
      <c r="C230" s="1" t="n">
        <v>46145</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57510-2021</t>
        </is>
      </c>
      <c r="B231" s="1" t="n">
        <v>44483</v>
      </c>
      <c r="C231" s="1" t="n">
        <v>46145</v>
      </c>
      <c r="D231" t="inlineStr">
        <is>
          <t>SÖDERMANLANDS LÄN</t>
        </is>
      </c>
      <c r="E231" t="inlineStr">
        <is>
          <t>KATRINEHOLM</t>
        </is>
      </c>
      <c r="G231" t="n">
        <v>0.6</v>
      </c>
      <c r="H231" t="n">
        <v>0</v>
      </c>
      <c r="I231" t="n">
        <v>0</v>
      </c>
      <c r="J231" t="n">
        <v>0</v>
      </c>
      <c r="K231" t="n">
        <v>0</v>
      </c>
      <c r="L231" t="n">
        <v>0</v>
      </c>
      <c r="M231" t="n">
        <v>0</v>
      </c>
      <c r="N231" t="n">
        <v>0</v>
      </c>
      <c r="O231" t="n">
        <v>0</v>
      </c>
      <c r="P231" t="n">
        <v>0</v>
      </c>
      <c r="Q231" t="n">
        <v>0</v>
      </c>
      <c r="R231" s="2" t="inlineStr"/>
    </row>
    <row r="232" ht="15" customHeight="1">
      <c r="A232" t="inlineStr">
        <is>
          <t>A 67337-2021</t>
        </is>
      </c>
      <c r="B232" s="1" t="n">
        <v>44523</v>
      </c>
      <c r="C232" s="1" t="n">
        <v>46145</v>
      </c>
      <c r="D232" t="inlineStr">
        <is>
          <t>SÖDERMANLANDS LÄN</t>
        </is>
      </c>
      <c r="E232" t="inlineStr">
        <is>
          <t>KATRINEHOLM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29394-2024</t>
        </is>
      </c>
      <c r="B233" s="1" t="n">
        <v>45483</v>
      </c>
      <c r="C233" s="1" t="n">
        <v>46145</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50032-2022</t>
        </is>
      </c>
      <c r="B234" s="1" t="n">
        <v>44860</v>
      </c>
      <c r="C234" s="1" t="n">
        <v>46145</v>
      </c>
      <c r="D234" t="inlineStr">
        <is>
          <t>SÖDERMANLANDS LÄN</t>
        </is>
      </c>
      <c r="E234" t="inlineStr">
        <is>
          <t>KATRINEHOLM</t>
        </is>
      </c>
      <c r="G234" t="n">
        <v>7.5</v>
      </c>
      <c r="H234" t="n">
        <v>0</v>
      </c>
      <c r="I234" t="n">
        <v>0</v>
      </c>
      <c r="J234" t="n">
        <v>0</v>
      </c>
      <c r="K234" t="n">
        <v>0</v>
      </c>
      <c r="L234" t="n">
        <v>0</v>
      </c>
      <c r="M234" t="n">
        <v>0</v>
      </c>
      <c r="N234" t="n">
        <v>0</v>
      </c>
      <c r="O234" t="n">
        <v>0</v>
      </c>
      <c r="P234" t="n">
        <v>0</v>
      </c>
      <c r="Q234" t="n">
        <v>0</v>
      </c>
      <c r="R234" s="2" t="inlineStr"/>
    </row>
    <row r="235" ht="15" customHeight="1">
      <c r="A235" t="inlineStr">
        <is>
          <t>A 26713-2024</t>
        </is>
      </c>
      <c r="B235" s="1" t="n">
        <v>45470</v>
      </c>
      <c r="C235" s="1" t="n">
        <v>46145</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69117-2021</t>
        </is>
      </c>
      <c r="B236" s="1" t="n">
        <v>44530.82445601852</v>
      </c>
      <c r="C236" s="1" t="n">
        <v>46145</v>
      </c>
      <c r="D236" t="inlineStr">
        <is>
          <t>SÖDERMANLANDS LÄN</t>
        </is>
      </c>
      <c r="E236" t="inlineStr">
        <is>
          <t>KATRINEHOLM</t>
        </is>
      </c>
      <c r="G236" t="n">
        <v>1.7</v>
      </c>
      <c r="H236" t="n">
        <v>0</v>
      </c>
      <c r="I236" t="n">
        <v>0</v>
      </c>
      <c r="J236" t="n">
        <v>0</v>
      </c>
      <c r="K236" t="n">
        <v>0</v>
      </c>
      <c r="L236" t="n">
        <v>0</v>
      </c>
      <c r="M236" t="n">
        <v>0</v>
      </c>
      <c r="N236" t="n">
        <v>0</v>
      </c>
      <c r="O236" t="n">
        <v>0</v>
      </c>
      <c r="P236" t="n">
        <v>0</v>
      </c>
      <c r="Q236" t="n">
        <v>0</v>
      </c>
      <c r="R236" s="2" t="inlineStr"/>
    </row>
    <row r="237" ht="15" customHeight="1">
      <c r="A237" t="inlineStr">
        <is>
          <t>A 40159-2023</t>
        </is>
      </c>
      <c r="B237" s="1" t="n">
        <v>45169</v>
      </c>
      <c r="C237" s="1" t="n">
        <v>46145</v>
      </c>
      <c r="D237" t="inlineStr">
        <is>
          <t>SÖDERMANLANDS LÄN</t>
        </is>
      </c>
      <c r="E237" t="inlineStr">
        <is>
          <t>KATRINEHOLM</t>
        </is>
      </c>
      <c r="F237" t="inlineStr">
        <is>
          <t>Övriga Aktiebolag</t>
        </is>
      </c>
      <c r="G237" t="n">
        <v>1.1</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46145</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28992-2024</t>
        </is>
      </c>
      <c r="B239" s="1" t="n">
        <v>45481.49289351852</v>
      </c>
      <c r="C239" s="1" t="n">
        <v>46145</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46145</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28995-2024</t>
        </is>
      </c>
      <c r="B241" s="1" t="n">
        <v>45481.49899305555</v>
      </c>
      <c r="C241" s="1" t="n">
        <v>46145</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44989-2022</t>
        </is>
      </c>
      <c r="B242" s="1" t="n">
        <v>44840</v>
      </c>
      <c r="C242" s="1" t="n">
        <v>46145</v>
      </c>
      <c r="D242" t="inlineStr">
        <is>
          <t>SÖDERMANLANDS LÄN</t>
        </is>
      </c>
      <c r="E242" t="inlineStr">
        <is>
          <t>KATRINEHOLM</t>
        </is>
      </c>
      <c r="G242" t="n">
        <v>6</v>
      </c>
      <c r="H242" t="n">
        <v>0</v>
      </c>
      <c r="I242" t="n">
        <v>0</v>
      </c>
      <c r="J242" t="n">
        <v>0</v>
      </c>
      <c r="K242" t="n">
        <v>0</v>
      </c>
      <c r="L242" t="n">
        <v>0</v>
      </c>
      <c r="M242" t="n">
        <v>0</v>
      </c>
      <c r="N242" t="n">
        <v>0</v>
      </c>
      <c r="O242" t="n">
        <v>0</v>
      </c>
      <c r="P242" t="n">
        <v>0</v>
      </c>
      <c r="Q242" t="n">
        <v>0</v>
      </c>
      <c r="R242" s="2" t="inlineStr"/>
    </row>
    <row r="243" ht="15" customHeight="1">
      <c r="A243" t="inlineStr">
        <is>
          <t>A 27875-2024</t>
        </is>
      </c>
      <c r="B243" s="1" t="n">
        <v>45475</v>
      </c>
      <c r="C243" s="1" t="n">
        <v>46145</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48259-2022</t>
        </is>
      </c>
      <c r="B244" s="1" t="n">
        <v>44858</v>
      </c>
      <c r="C244" s="1" t="n">
        <v>46145</v>
      </c>
      <c r="D244" t="inlineStr">
        <is>
          <t>SÖDERMANLANDS LÄN</t>
        </is>
      </c>
      <c r="E244" t="inlineStr">
        <is>
          <t>KATRINEHOLM</t>
        </is>
      </c>
      <c r="G244" t="n">
        <v>3.5</v>
      </c>
      <c r="H244" t="n">
        <v>0</v>
      </c>
      <c r="I244" t="n">
        <v>0</v>
      </c>
      <c r="J244" t="n">
        <v>0</v>
      </c>
      <c r="K244" t="n">
        <v>0</v>
      </c>
      <c r="L244" t="n">
        <v>0</v>
      </c>
      <c r="M244" t="n">
        <v>0</v>
      </c>
      <c r="N244" t="n">
        <v>0</v>
      </c>
      <c r="O244" t="n">
        <v>0</v>
      </c>
      <c r="P244" t="n">
        <v>0</v>
      </c>
      <c r="Q244" t="n">
        <v>0</v>
      </c>
      <c r="R244" s="2" t="inlineStr"/>
    </row>
    <row r="245" ht="15" customHeight="1">
      <c r="A245" t="inlineStr">
        <is>
          <t>A 7322-2023</t>
        </is>
      </c>
      <c r="B245" s="1" t="n">
        <v>44970</v>
      </c>
      <c r="C245" s="1" t="n">
        <v>46145</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2093-2025</t>
        </is>
      </c>
      <c r="B246" s="1" t="n">
        <v>45672</v>
      </c>
      <c r="C246" s="1" t="n">
        <v>46145</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46145</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27886-2024</t>
        </is>
      </c>
      <c r="B248" s="1" t="n">
        <v>45475</v>
      </c>
      <c r="C248" s="1" t="n">
        <v>46145</v>
      </c>
      <c r="D248" t="inlineStr">
        <is>
          <t>SÖDERMANLANDS LÄN</t>
        </is>
      </c>
      <c r="E248" t="inlineStr">
        <is>
          <t>KATRINEHOLM</t>
        </is>
      </c>
      <c r="G248" t="n">
        <v>10.3</v>
      </c>
      <c r="H248" t="n">
        <v>0</v>
      </c>
      <c r="I248" t="n">
        <v>0</v>
      </c>
      <c r="J248" t="n">
        <v>0</v>
      </c>
      <c r="K248" t="n">
        <v>0</v>
      </c>
      <c r="L248" t="n">
        <v>0</v>
      </c>
      <c r="M248" t="n">
        <v>0</v>
      </c>
      <c r="N248" t="n">
        <v>0</v>
      </c>
      <c r="O248" t="n">
        <v>0</v>
      </c>
      <c r="P248" t="n">
        <v>0</v>
      </c>
      <c r="Q248" t="n">
        <v>0</v>
      </c>
      <c r="R248" s="2" t="inlineStr"/>
    </row>
    <row r="249" ht="15" customHeight="1">
      <c r="A249" t="inlineStr">
        <is>
          <t>A 25363-2023</t>
        </is>
      </c>
      <c r="B249" s="1" t="n">
        <v>45088.83840277778</v>
      </c>
      <c r="C249" s="1" t="n">
        <v>46145</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6722-2022</t>
        </is>
      </c>
      <c r="B250" s="1" t="n">
        <v>44602</v>
      </c>
      <c r="C250" s="1" t="n">
        <v>46145</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6763-2022</t>
        </is>
      </c>
      <c r="B251" s="1" t="n">
        <v>44602</v>
      </c>
      <c r="C251" s="1" t="n">
        <v>46145</v>
      </c>
      <c r="D251" t="inlineStr">
        <is>
          <t>SÖDERMANLANDS LÄN</t>
        </is>
      </c>
      <c r="E251" t="inlineStr">
        <is>
          <t>KATRINEHOLM</t>
        </is>
      </c>
      <c r="G251" t="n">
        <v>6.7</v>
      </c>
      <c r="H251" t="n">
        <v>0</v>
      </c>
      <c r="I251" t="n">
        <v>0</v>
      </c>
      <c r="J251" t="n">
        <v>0</v>
      </c>
      <c r="K251" t="n">
        <v>0</v>
      </c>
      <c r="L251" t="n">
        <v>0</v>
      </c>
      <c r="M251" t="n">
        <v>0</v>
      </c>
      <c r="N251" t="n">
        <v>0</v>
      </c>
      <c r="O251" t="n">
        <v>0</v>
      </c>
      <c r="P251" t="n">
        <v>0</v>
      </c>
      <c r="Q251" t="n">
        <v>0</v>
      </c>
      <c r="R251" s="2" t="inlineStr"/>
    </row>
    <row r="252" ht="15" customHeight="1">
      <c r="A252" t="inlineStr">
        <is>
          <t>A 9714-2024</t>
        </is>
      </c>
      <c r="B252" s="1" t="n">
        <v>45362</v>
      </c>
      <c r="C252" s="1" t="n">
        <v>46145</v>
      </c>
      <c r="D252" t="inlineStr">
        <is>
          <t>SÖDERMANLANDS LÄN</t>
        </is>
      </c>
      <c r="E252" t="inlineStr">
        <is>
          <t>KATRINEHOLM</t>
        </is>
      </c>
      <c r="G252" t="n">
        <v>4</v>
      </c>
      <c r="H252" t="n">
        <v>0</v>
      </c>
      <c r="I252" t="n">
        <v>0</v>
      </c>
      <c r="J252" t="n">
        <v>0</v>
      </c>
      <c r="K252" t="n">
        <v>0</v>
      </c>
      <c r="L252" t="n">
        <v>0</v>
      </c>
      <c r="M252" t="n">
        <v>0</v>
      </c>
      <c r="N252" t="n">
        <v>0</v>
      </c>
      <c r="O252" t="n">
        <v>0</v>
      </c>
      <c r="P252" t="n">
        <v>0</v>
      </c>
      <c r="Q252" t="n">
        <v>0</v>
      </c>
      <c r="R252" s="2" t="inlineStr"/>
    </row>
    <row r="253" ht="15" customHeight="1">
      <c r="A253" t="inlineStr">
        <is>
          <t>A 5790-2022</t>
        </is>
      </c>
      <c r="B253" s="1" t="n">
        <v>44596.55368055555</v>
      </c>
      <c r="C253" s="1" t="n">
        <v>46145</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14313-2024</t>
        </is>
      </c>
      <c r="B254" s="1" t="n">
        <v>45393</v>
      </c>
      <c r="C254" s="1" t="n">
        <v>46145</v>
      </c>
      <c r="D254" t="inlineStr">
        <is>
          <t>SÖDERMANLANDS LÄN</t>
        </is>
      </c>
      <c r="E254" t="inlineStr">
        <is>
          <t>KATRINEHOLM</t>
        </is>
      </c>
      <c r="G254" t="n">
        <v>3.1</v>
      </c>
      <c r="H254" t="n">
        <v>0</v>
      </c>
      <c r="I254" t="n">
        <v>0</v>
      </c>
      <c r="J254" t="n">
        <v>0</v>
      </c>
      <c r="K254" t="n">
        <v>0</v>
      </c>
      <c r="L254" t="n">
        <v>0</v>
      </c>
      <c r="M254" t="n">
        <v>0</v>
      </c>
      <c r="N254" t="n">
        <v>0</v>
      </c>
      <c r="O254" t="n">
        <v>0</v>
      </c>
      <c r="P254" t="n">
        <v>0</v>
      </c>
      <c r="Q254" t="n">
        <v>0</v>
      </c>
      <c r="R254" s="2" t="inlineStr"/>
    </row>
    <row r="255" ht="15" customHeight="1">
      <c r="A255" t="inlineStr">
        <is>
          <t>A 29397-2024</t>
        </is>
      </c>
      <c r="B255" s="1" t="n">
        <v>45483</v>
      </c>
      <c r="C255" s="1" t="n">
        <v>46145</v>
      </c>
      <c r="D255" t="inlineStr">
        <is>
          <t>SÖDERMANLANDS LÄN</t>
        </is>
      </c>
      <c r="E255" t="inlineStr">
        <is>
          <t>KATRINEHOLM</t>
        </is>
      </c>
      <c r="G255" t="n">
        <v>3.4</v>
      </c>
      <c r="H255" t="n">
        <v>0</v>
      </c>
      <c r="I255" t="n">
        <v>0</v>
      </c>
      <c r="J255" t="n">
        <v>0</v>
      </c>
      <c r="K255" t="n">
        <v>0</v>
      </c>
      <c r="L255" t="n">
        <v>0</v>
      </c>
      <c r="M255" t="n">
        <v>0</v>
      </c>
      <c r="N255" t="n">
        <v>0</v>
      </c>
      <c r="O255" t="n">
        <v>0</v>
      </c>
      <c r="P255" t="n">
        <v>0</v>
      </c>
      <c r="Q255" t="n">
        <v>0</v>
      </c>
      <c r="R255" s="2" t="inlineStr"/>
    </row>
    <row r="256" ht="15" customHeight="1">
      <c r="A256" t="inlineStr">
        <is>
          <t>A 33278-2024</t>
        </is>
      </c>
      <c r="B256" s="1" t="n">
        <v>45518</v>
      </c>
      <c r="C256" s="1" t="n">
        <v>46145</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26081-2024</t>
        </is>
      </c>
      <c r="B257" s="1" t="n">
        <v>45462</v>
      </c>
      <c r="C257" s="1" t="n">
        <v>46145</v>
      </c>
      <c r="D257" t="inlineStr">
        <is>
          <t>SÖDERMANLANDS LÄN</t>
        </is>
      </c>
      <c r="E257" t="inlineStr">
        <is>
          <t>KATRINEHOLM</t>
        </is>
      </c>
      <c r="G257" t="n">
        <v>4.1</v>
      </c>
      <c r="H257" t="n">
        <v>0</v>
      </c>
      <c r="I257" t="n">
        <v>0</v>
      </c>
      <c r="J257" t="n">
        <v>0</v>
      </c>
      <c r="K257" t="n">
        <v>0</v>
      </c>
      <c r="L257" t="n">
        <v>0</v>
      </c>
      <c r="M257" t="n">
        <v>0</v>
      </c>
      <c r="N257" t="n">
        <v>0</v>
      </c>
      <c r="O257" t="n">
        <v>0</v>
      </c>
      <c r="P257" t="n">
        <v>0</v>
      </c>
      <c r="Q257" t="n">
        <v>0</v>
      </c>
      <c r="R257" s="2" t="inlineStr"/>
    </row>
    <row r="258" ht="15" customHeight="1">
      <c r="A258" t="inlineStr">
        <is>
          <t>A 24619-2024</t>
        </is>
      </c>
      <c r="B258" s="1" t="n">
        <v>45460</v>
      </c>
      <c r="C258" s="1" t="n">
        <v>46145</v>
      </c>
      <c r="D258" t="inlineStr">
        <is>
          <t>SÖDERMANLANDS LÄN</t>
        </is>
      </c>
      <c r="E258" t="inlineStr">
        <is>
          <t>KATRINEHOLM</t>
        </is>
      </c>
      <c r="G258" t="n">
        <v>4.7</v>
      </c>
      <c r="H258" t="n">
        <v>0</v>
      </c>
      <c r="I258" t="n">
        <v>0</v>
      </c>
      <c r="J258" t="n">
        <v>0</v>
      </c>
      <c r="K258" t="n">
        <v>0</v>
      </c>
      <c r="L258" t="n">
        <v>0</v>
      </c>
      <c r="M258" t="n">
        <v>0</v>
      </c>
      <c r="N258" t="n">
        <v>0</v>
      </c>
      <c r="O258" t="n">
        <v>0</v>
      </c>
      <c r="P258" t="n">
        <v>0</v>
      </c>
      <c r="Q258" t="n">
        <v>0</v>
      </c>
      <c r="R258" s="2" t="inlineStr"/>
    </row>
    <row r="259" ht="15" customHeight="1">
      <c r="A259" t="inlineStr">
        <is>
          <t>A 10932-2023</t>
        </is>
      </c>
      <c r="B259" s="1" t="n">
        <v>44985</v>
      </c>
      <c r="C259" s="1" t="n">
        <v>46145</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9699-2024</t>
        </is>
      </c>
      <c r="B260" s="1" t="n">
        <v>45362</v>
      </c>
      <c r="C260" s="1" t="n">
        <v>46145</v>
      </c>
      <c r="D260" t="inlineStr">
        <is>
          <t>SÖDERMANLANDS LÄN</t>
        </is>
      </c>
      <c r="E260" t="inlineStr">
        <is>
          <t>KATRINEHOLM</t>
        </is>
      </c>
      <c r="G260" t="n">
        <v>7.7</v>
      </c>
      <c r="H260" t="n">
        <v>0</v>
      </c>
      <c r="I260" t="n">
        <v>0</v>
      </c>
      <c r="J260" t="n">
        <v>0</v>
      </c>
      <c r="K260" t="n">
        <v>0</v>
      </c>
      <c r="L260" t="n">
        <v>0</v>
      </c>
      <c r="M260" t="n">
        <v>0</v>
      </c>
      <c r="N260" t="n">
        <v>0</v>
      </c>
      <c r="O260" t="n">
        <v>0</v>
      </c>
      <c r="P260" t="n">
        <v>0</v>
      </c>
      <c r="Q260" t="n">
        <v>0</v>
      </c>
      <c r="R260" s="2" t="inlineStr"/>
    </row>
    <row r="261" ht="15" customHeight="1">
      <c r="A261" t="inlineStr">
        <is>
          <t>A 59474-2021</t>
        </is>
      </c>
      <c r="B261" s="1" t="n">
        <v>44491</v>
      </c>
      <c r="C261" s="1" t="n">
        <v>46145</v>
      </c>
      <c r="D261" t="inlineStr">
        <is>
          <t>SÖDERMANLANDS LÄN</t>
        </is>
      </c>
      <c r="E261" t="inlineStr">
        <is>
          <t>KATRINEHOLM</t>
        </is>
      </c>
      <c r="G261" t="n">
        <v>2.7</v>
      </c>
      <c r="H261" t="n">
        <v>0</v>
      </c>
      <c r="I261" t="n">
        <v>0</v>
      </c>
      <c r="J261" t="n">
        <v>0</v>
      </c>
      <c r="K261" t="n">
        <v>0</v>
      </c>
      <c r="L261" t="n">
        <v>0</v>
      </c>
      <c r="M261" t="n">
        <v>0</v>
      </c>
      <c r="N261" t="n">
        <v>0</v>
      </c>
      <c r="O261" t="n">
        <v>0</v>
      </c>
      <c r="P261" t="n">
        <v>0</v>
      </c>
      <c r="Q261" t="n">
        <v>0</v>
      </c>
      <c r="R261" s="2" t="inlineStr"/>
    </row>
    <row r="262" ht="15" customHeight="1">
      <c r="A262" t="inlineStr">
        <is>
          <t>A 6087-2022</t>
        </is>
      </c>
      <c r="B262" s="1" t="n">
        <v>44599.61034722222</v>
      </c>
      <c r="C262" s="1" t="n">
        <v>46145</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8957-2024</t>
        </is>
      </c>
      <c r="B263" s="1" t="n">
        <v>45357.45089120371</v>
      </c>
      <c r="C263" s="1" t="n">
        <v>46145</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14239-2024</t>
        </is>
      </c>
      <c r="B264" s="1" t="n">
        <v>45393</v>
      </c>
      <c r="C264" s="1" t="n">
        <v>46145</v>
      </c>
      <c r="D264" t="inlineStr">
        <is>
          <t>SÖDERMANLANDS LÄN</t>
        </is>
      </c>
      <c r="E264" t="inlineStr">
        <is>
          <t>KATRINEHOLM</t>
        </is>
      </c>
      <c r="G264" t="n">
        <v>2.7</v>
      </c>
      <c r="H264" t="n">
        <v>0</v>
      </c>
      <c r="I264" t="n">
        <v>0</v>
      </c>
      <c r="J264" t="n">
        <v>0</v>
      </c>
      <c r="K264" t="n">
        <v>0</v>
      </c>
      <c r="L264" t="n">
        <v>0</v>
      </c>
      <c r="M264" t="n">
        <v>0</v>
      </c>
      <c r="N264" t="n">
        <v>0</v>
      </c>
      <c r="O264" t="n">
        <v>0</v>
      </c>
      <c r="P264" t="n">
        <v>0</v>
      </c>
      <c r="Q264" t="n">
        <v>0</v>
      </c>
      <c r="R264" s="2" t="inlineStr"/>
    </row>
    <row r="265" ht="15" customHeight="1">
      <c r="A265" t="inlineStr">
        <is>
          <t>A 14248-2024</t>
        </is>
      </c>
      <c r="B265" s="1" t="n">
        <v>45393</v>
      </c>
      <c r="C265" s="1" t="n">
        <v>46145</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11635-2023</t>
        </is>
      </c>
      <c r="B266" s="1" t="n">
        <v>44994</v>
      </c>
      <c r="C266" s="1" t="n">
        <v>46145</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42896-2024</t>
        </is>
      </c>
      <c r="B267" s="1" t="n">
        <v>45566.82973379629</v>
      </c>
      <c r="C267" s="1" t="n">
        <v>46145</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7747-2024</t>
        </is>
      </c>
      <c r="B268" s="1" t="n">
        <v>45348</v>
      </c>
      <c r="C268" s="1" t="n">
        <v>46145</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7753-2024</t>
        </is>
      </c>
      <c r="B269" s="1" t="n">
        <v>45348</v>
      </c>
      <c r="C269" s="1" t="n">
        <v>46145</v>
      </c>
      <c r="D269" t="inlineStr">
        <is>
          <t>SÖDERMANLANDS LÄN</t>
        </is>
      </c>
      <c r="E269" t="inlineStr">
        <is>
          <t>KATRINEHOLM</t>
        </is>
      </c>
      <c r="G269" t="n">
        <v>13.4</v>
      </c>
      <c r="H269" t="n">
        <v>0</v>
      </c>
      <c r="I269" t="n">
        <v>0</v>
      </c>
      <c r="J269" t="n">
        <v>0</v>
      </c>
      <c r="K269" t="n">
        <v>0</v>
      </c>
      <c r="L269" t="n">
        <v>0</v>
      </c>
      <c r="M269" t="n">
        <v>0</v>
      </c>
      <c r="N269" t="n">
        <v>0</v>
      </c>
      <c r="O269" t="n">
        <v>0</v>
      </c>
      <c r="P269" t="n">
        <v>0</v>
      </c>
      <c r="Q269" t="n">
        <v>0</v>
      </c>
      <c r="R269" s="2" t="inlineStr"/>
    </row>
    <row r="270" ht="15" customHeight="1">
      <c r="A270" t="inlineStr">
        <is>
          <t>A 30242-2023</t>
        </is>
      </c>
      <c r="B270" s="1" t="n">
        <v>45099</v>
      </c>
      <c r="C270" s="1" t="n">
        <v>46145</v>
      </c>
      <c r="D270" t="inlineStr">
        <is>
          <t>SÖDERMANLANDS LÄN</t>
        </is>
      </c>
      <c r="E270" t="inlineStr">
        <is>
          <t>KATRINEHOLM</t>
        </is>
      </c>
      <c r="G270" t="n">
        <v>3</v>
      </c>
      <c r="H270" t="n">
        <v>0</v>
      </c>
      <c r="I270" t="n">
        <v>0</v>
      </c>
      <c r="J270" t="n">
        <v>0</v>
      </c>
      <c r="K270" t="n">
        <v>0</v>
      </c>
      <c r="L270" t="n">
        <v>0</v>
      </c>
      <c r="M270" t="n">
        <v>0</v>
      </c>
      <c r="N270" t="n">
        <v>0</v>
      </c>
      <c r="O270" t="n">
        <v>0</v>
      </c>
      <c r="P270" t="n">
        <v>0</v>
      </c>
      <c r="Q270" t="n">
        <v>0</v>
      </c>
      <c r="R270" s="2" t="inlineStr"/>
    </row>
    <row r="271" ht="15" customHeight="1">
      <c r="A271" t="inlineStr">
        <is>
          <t>A 5935-2023</t>
        </is>
      </c>
      <c r="B271" s="1" t="n">
        <v>44963</v>
      </c>
      <c r="C271" s="1" t="n">
        <v>46145</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10732-2022</t>
        </is>
      </c>
      <c r="B272" s="1" t="n">
        <v>44627.34033564815</v>
      </c>
      <c r="C272" s="1" t="n">
        <v>46145</v>
      </c>
      <c r="D272" t="inlineStr">
        <is>
          <t>SÖDERMANLANDS LÄN</t>
        </is>
      </c>
      <c r="E272" t="inlineStr">
        <is>
          <t>KATRINEHOLM</t>
        </is>
      </c>
      <c r="G272" t="n">
        <v>2.4</v>
      </c>
      <c r="H272" t="n">
        <v>0</v>
      </c>
      <c r="I272" t="n">
        <v>0</v>
      </c>
      <c r="J272" t="n">
        <v>0</v>
      </c>
      <c r="K272" t="n">
        <v>0</v>
      </c>
      <c r="L272" t="n">
        <v>0</v>
      </c>
      <c r="M272" t="n">
        <v>0</v>
      </c>
      <c r="N272" t="n">
        <v>0</v>
      </c>
      <c r="O272" t="n">
        <v>0</v>
      </c>
      <c r="P272" t="n">
        <v>0</v>
      </c>
      <c r="Q272" t="n">
        <v>0</v>
      </c>
      <c r="R272" s="2" t="inlineStr"/>
    </row>
    <row r="273" ht="15" customHeight="1">
      <c r="A273" t="inlineStr">
        <is>
          <t>A 3939-2022</t>
        </is>
      </c>
      <c r="B273" s="1" t="n">
        <v>44587</v>
      </c>
      <c r="C273" s="1" t="n">
        <v>46145</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56074-2022</t>
        </is>
      </c>
      <c r="B274" s="1" t="n">
        <v>44889</v>
      </c>
      <c r="C274" s="1" t="n">
        <v>46145</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61915-2021</t>
        </is>
      </c>
      <c r="B275" s="1" t="n">
        <v>44502.36780092592</v>
      </c>
      <c r="C275" s="1" t="n">
        <v>46145</v>
      </c>
      <c r="D275" t="inlineStr">
        <is>
          <t>SÖDERMANLANDS LÄN</t>
        </is>
      </c>
      <c r="E275" t="inlineStr">
        <is>
          <t>KATRINEHOLM</t>
        </is>
      </c>
      <c r="G275" t="n">
        <v>2.6</v>
      </c>
      <c r="H275" t="n">
        <v>0</v>
      </c>
      <c r="I275" t="n">
        <v>0</v>
      </c>
      <c r="J275" t="n">
        <v>0</v>
      </c>
      <c r="K275" t="n">
        <v>0</v>
      </c>
      <c r="L275" t="n">
        <v>0</v>
      </c>
      <c r="M275" t="n">
        <v>0</v>
      </c>
      <c r="N275" t="n">
        <v>0</v>
      </c>
      <c r="O275" t="n">
        <v>0</v>
      </c>
      <c r="P275" t="n">
        <v>0</v>
      </c>
      <c r="Q275" t="n">
        <v>0</v>
      </c>
      <c r="R275" s="2" t="inlineStr"/>
    </row>
    <row r="276" ht="15" customHeight="1">
      <c r="A276" t="inlineStr">
        <is>
          <t>A 38872-2024</t>
        </is>
      </c>
      <c r="B276" s="1" t="n">
        <v>45547</v>
      </c>
      <c r="C276" s="1" t="n">
        <v>46145</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59093-2024</t>
        </is>
      </c>
      <c r="B277" s="1" t="n">
        <v>45636</v>
      </c>
      <c r="C277" s="1" t="n">
        <v>46145</v>
      </c>
      <c r="D277" t="inlineStr">
        <is>
          <t>SÖDERMANLANDS LÄN</t>
        </is>
      </c>
      <c r="E277" t="inlineStr">
        <is>
          <t>KATRINEHOLM</t>
        </is>
      </c>
      <c r="G277" t="n">
        <v>2.8</v>
      </c>
      <c r="H277" t="n">
        <v>0</v>
      </c>
      <c r="I277" t="n">
        <v>0</v>
      </c>
      <c r="J277" t="n">
        <v>0</v>
      </c>
      <c r="K277" t="n">
        <v>0</v>
      </c>
      <c r="L277" t="n">
        <v>0</v>
      </c>
      <c r="M277" t="n">
        <v>0</v>
      </c>
      <c r="N277" t="n">
        <v>0</v>
      </c>
      <c r="O277" t="n">
        <v>0</v>
      </c>
      <c r="P277" t="n">
        <v>0</v>
      </c>
      <c r="Q277" t="n">
        <v>0</v>
      </c>
      <c r="R277" s="2" t="inlineStr"/>
    </row>
    <row r="278" ht="15" customHeight="1">
      <c r="A278" t="inlineStr">
        <is>
          <t>A 49092-2024</t>
        </is>
      </c>
      <c r="B278" s="1" t="n">
        <v>45594.63619212963</v>
      </c>
      <c r="C278" s="1" t="n">
        <v>46145</v>
      </c>
      <c r="D278" t="inlineStr">
        <is>
          <t>SÖDERMANLANDS LÄN</t>
        </is>
      </c>
      <c r="E278" t="inlineStr">
        <is>
          <t>KATRINEHOLM</t>
        </is>
      </c>
      <c r="F278" t="inlineStr">
        <is>
          <t>Övriga Aktiebolag</t>
        </is>
      </c>
      <c r="G278" t="n">
        <v>0.4</v>
      </c>
      <c r="H278" t="n">
        <v>0</v>
      </c>
      <c r="I278" t="n">
        <v>0</v>
      </c>
      <c r="J278" t="n">
        <v>0</v>
      </c>
      <c r="K278" t="n">
        <v>0</v>
      </c>
      <c r="L278" t="n">
        <v>0</v>
      </c>
      <c r="M278" t="n">
        <v>0</v>
      </c>
      <c r="N278" t="n">
        <v>0</v>
      </c>
      <c r="O278" t="n">
        <v>0</v>
      </c>
      <c r="P278" t="n">
        <v>0</v>
      </c>
      <c r="Q278" t="n">
        <v>0</v>
      </c>
      <c r="R278" s="2" t="inlineStr"/>
    </row>
    <row r="279" ht="15" customHeight="1">
      <c r="A279" t="inlineStr">
        <is>
          <t>A 49095-2024</t>
        </is>
      </c>
      <c r="B279" s="1" t="n">
        <v>45594.63828703704</v>
      </c>
      <c r="C279" s="1" t="n">
        <v>46145</v>
      </c>
      <c r="D279" t="inlineStr">
        <is>
          <t>SÖDERMANLANDS LÄN</t>
        </is>
      </c>
      <c r="E279" t="inlineStr">
        <is>
          <t>KATRINEHOLM</t>
        </is>
      </c>
      <c r="F279" t="inlineStr">
        <is>
          <t>Övriga Aktiebolag</t>
        </is>
      </c>
      <c r="G279" t="n">
        <v>0.4</v>
      </c>
      <c r="H279" t="n">
        <v>0</v>
      </c>
      <c r="I279" t="n">
        <v>0</v>
      </c>
      <c r="J279" t="n">
        <v>0</v>
      </c>
      <c r="K279" t="n">
        <v>0</v>
      </c>
      <c r="L279" t="n">
        <v>0</v>
      </c>
      <c r="M279" t="n">
        <v>0</v>
      </c>
      <c r="N279" t="n">
        <v>0</v>
      </c>
      <c r="O279" t="n">
        <v>0</v>
      </c>
      <c r="P279" t="n">
        <v>0</v>
      </c>
      <c r="Q279" t="n">
        <v>0</v>
      </c>
      <c r="R279" s="2" t="inlineStr"/>
    </row>
    <row r="280" ht="15" customHeight="1">
      <c r="A280" t="inlineStr">
        <is>
          <t>A 9192-2023</t>
        </is>
      </c>
      <c r="B280" s="1" t="n">
        <v>44980</v>
      </c>
      <c r="C280" s="1" t="n">
        <v>46145</v>
      </c>
      <c r="D280" t="inlineStr">
        <is>
          <t>SÖDERMANLANDS LÄN</t>
        </is>
      </c>
      <c r="E280" t="inlineStr">
        <is>
          <t>KATRINEHOLM</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15399-2022</t>
        </is>
      </c>
      <c r="B281" s="1" t="n">
        <v>44659</v>
      </c>
      <c r="C281" s="1" t="n">
        <v>46145</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11872-2023</t>
        </is>
      </c>
      <c r="B282" s="1" t="n">
        <v>44995</v>
      </c>
      <c r="C282" s="1" t="n">
        <v>46145</v>
      </c>
      <c r="D282" t="inlineStr">
        <is>
          <t>SÖDERMANLANDS LÄN</t>
        </is>
      </c>
      <c r="E282" t="inlineStr">
        <is>
          <t>KATRINEHOLM</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9932-2023</t>
        </is>
      </c>
      <c r="B283" s="1" t="n">
        <v>44985.46709490741</v>
      </c>
      <c r="C283" s="1" t="n">
        <v>46145</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12835-2024</t>
        </is>
      </c>
      <c r="B284" s="1" t="n">
        <v>45384</v>
      </c>
      <c r="C284" s="1" t="n">
        <v>46145</v>
      </c>
      <c r="D284" t="inlineStr">
        <is>
          <t>SÖDERMANLANDS LÄN</t>
        </is>
      </c>
      <c r="E284" t="inlineStr">
        <is>
          <t>KATRINEHOLM</t>
        </is>
      </c>
      <c r="F284" t="inlineStr">
        <is>
          <t>Allmännings- och besparingsskogar</t>
        </is>
      </c>
      <c r="G284" t="n">
        <v>0.5</v>
      </c>
      <c r="H284" t="n">
        <v>0</v>
      </c>
      <c r="I284" t="n">
        <v>0</v>
      </c>
      <c r="J284" t="n">
        <v>0</v>
      </c>
      <c r="K284" t="n">
        <v>0</v>
      </c>
      <c r="L284" t="n">
        <v>0</v>
      </c>
      <c r="M284" t="n">
        <v>0</v>
      </c>
      <c r="N284" t="n">
        <v>0</v>
      </c>
      <c r="O284" t="n">
        <v>0</v>
      </c>
      <c r="P284" t="n">
        <v>0</v>
      </c>
      <c r="Q284" t="n">
        <v>0</v>
      </c>
      <c r="R284" s="2" t="inlineStr"/>
    </row>
    <row r="285" ht="15" customHeight="1">
      <c r="A285" t="inlineStr">
        <is>
          <t>A 36-2023</t>
        </is>
      </c>
      <c r="B285" s="1" t="n">
        <v>44928.36578703704</v>
      </c>
      <c r="C285" s="1" t="n">
        <v>46145</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25716-2022</t>
        </is>
      </c>
      <c r="B286" s="1" t="n">
        <v>44733.39600694444</v>
      </c>
      <c r="C286" s="1" t="n">
        <v>46145</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9044-2022</t>
        </is>
      </c>
      <c r="B287" s="1" t="n">
        <v>44602</v>
      </c>
      <c r="C287" s="1" t="n">
        <v>46145</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10341-2022</t>
        </is>
      </c>
      <c r="B288" s="1" t="n">
        <v>44623</v>
      </c>
      <c r="C288" s="1" t="n">
        <v>46145</v>
      </c>
      <c r="D288" t="inlineStr">
        <is>
          <t>SÖDERMANLANDS LÄN</t>
        </is>
      </c>
      <c r="E288" t="inlineStr">
        <is>
          <t>KATRINEHOLM</t>
        </is>
      </c>
      <c r="G288" t="n">
        <v>2.3</v>
      </c>
      <c r="H288" t="n">
        <v>0</v>
      </c>
      <c r="I288" t="n">
        <v>0</v>
      </c>
      <c r="J288" t="n">
        <v>0</v>
      </c>
      <c r="K288" t="n">
        <v>0</v>
      </c>
      <c r="L288" t="n">
        <v>0</v>
      </c>
      <c r="M288" t="n">
        <v>0</v>
      </c>
      <c r="N288" t="n">
        <v>0</v>
      </c>
      <c r="O288" t="n">
        <v>0</v>
      </c>
      <c r="P288" t="n">
        <v>0</v>
      </c>
      <c r="Q288" t="n">
        <v>0</v>
      </c>
      <c r="R288" s="2" t="inlineStr"/>
    </row>
    <row r="289" ht="15" customHeight="1">
      <c r="A289" t="inlineStr">
        <is>
          <t>A 6807-2023</t>
        </is>
      </c>
      <c r="B289" s="1" t="n">
        <v>44964</v>
      </c>
      <c r="C289" s="1" t="n">
        <v>46145</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9668-2023</t>
        </is>
      </c>
      <c r="B290" s="1" t="n">
        <v>44984.41238425926</v>
      </c>
      <c r="C290" s="1" t="n">
        <v>46145</v>
      </c>
      <c r="D290" t="inlineStr">
        <is>
          <t>SÖDERMANLANDS LÄN</t>
        </is>
      </c>
      <c r="E290" t="inlineStr">
        <is>
          <t>KATRINEHOLM</t>
        </is>
      </c>
      <c r="G290" t="n">
        <v>4.8</v>
      </c>
      <c r="H290" t="n">
        <v>0</v>
      </c>
      <c r="I290" t="n">
        <v>0</v>
      </c>
      <c r="J290" t="n">
        <v>0</v>
      </c>
      <c r="K290" t="n">
        <v>0</v>
      </c>
      <c r="L290" t="n">
        <v>0</v>
      </c>
      <c r="M290" t="n">
        <v>0</v>
      </c>
      <c r="N290" t="n">
        <v>0</v>
      </c>
      <c r="O290" t="n">
        <v>0</v>
      </c>
      <c r="P290" t="n">
        <v>0</v>
      </c>
      <c r="Q290" t="n">
        <v>0</v>
      </c>
      <c r="R290" s="2" t="inlineStr"/>
    </row>
    <row r="291" ht="15" customHeight="1">
      <c r="A291" t="inlineStr">
        <is>
          <t>A 4656-2023</t>
        </is>
      </c>
      <c r="B291" s="1" t="n">
        <v>44957</v>
      </c>
      <c r="C291" s="1" t="n">
        <v>46145</v>
      </c>
      <c r="D291" t="inlineStr">
        <is>
          <t>SÖDERMANLANDS LÄN</t>
        </is>
      </c>
      <c r="E291" t="inlineStr">
        <is>
          <t>KATRINEHOLM</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48091-2024</t>
        </is>
      </c>
      <c r="B292" s="1" t="n">
        <v>45590</v>
      </c>
      <c r="C292" s="1" t="n">
        <v>46145</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24097-2022</t>
        </is>
      </c>
      <c r="B293" s="1" t="n">
        <v>44725.39371527778</v>
      </c>
      <c r="C293" s="1" t="n">
        <v>46145</v>
      </c>
      <c r="D293" t="inlineStr">
        <is>
          <t>SÖDERMANLANDS LÄN</t>
        </is>
      </c>
      <c r="E293" t="inlineStr">
        <is>
          <t>KATRINEHOLM</t>
        </is>
      </c>
      <c r="G293" t="n">
        <v>6.5</v>
      </c>
      <c r="H293" t="n">
        <v>0</v>
      </c>
      <c r="I293" t="n">
        <v>0</v>
      </c>
      <c r="J293" t="n">
        <v>0</v>
      </c>
      <c r="K293" t="n">
        <v>0</v>
      </c>
      <c r="L293" t="n">
        <v>0</v>
      </c>
      <c r="M293" t="n">
        <v>0</v>
      </c>
      <c r="N293" t="n">
        <v>0</v>
      </c>
      <c r="O293" t="n">
        <v>0</v>
      </c>
      <c r="P293" t="n">
        <v>0</v>
      </c>
      <c r="Q293" t="n">
        <v>0</v>
      </c>
      <c r="R293" s="2" t="inlineStr"/>
    </row>
    <row r="294" ht="15" customHeight="1">
      <c r="A294" t="inlineStr">
        <is>
          <t>A 46670-2021</t>
        </is>
      </c>
      <c r="B294" s="1" t="n">
        <v>44445</v>
      </c>
      <c r="C294" s="1" t="n">
        <v>46145</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58651-2023</t>
        </is>
      </c>
      <c r="B295" s="1" t="n">
        <v>45247</v>
      </c>
      <c r="C295" s="1" t="n">
        <v>46145</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62954-2023</t>
        </is>
      </c>
      <c r="B296" s="1" t="n">
        <v>45272.55362268518</v>
      </c>
      <c r="C296" s="1" t="n">
        <v>46145</v>
      </c>
      <c r="D296" t="inlineStr">
        <is>
          <t>SÖDERMANLANDS LÄN</t>
        </is>
      </c>
      <c r="E296" t="inlineStr">
        <is>
          <t>KATRINEHOLM</t>
        </is>
      </c>
      <c r="G296" t="n">
        <v>2.3</v>
      </c>
      <c r="H296" t="n">
        <v>0</v>
      </c>
      <c r="I296" t="n">
        <v>0</v>
      </c>
      <c r="J296" t="n">
        <v>0</v>
      </c>
      <c r="K296" t="n">
        <v>0</v>
      </c>
      <c r="L296" t="n">
        <v>0</v>
      </c>
      <c r="M296" t="n">
        <v>0</v>
      </c>
      <c r="N296" t="n">
        <v>0</v>
      </c>
      <c r="O296" t="n">
        <v>0</v>
      </c>
      <c r="P296" t="n">
        <v>0</v>
      </c>
      <c r="Q296" t="n">
        <v>0</v>
      </c>
      <c r="R296" s="2" t="inlineStr"/>
    </row>
    <row r="297" ht="15" customHeight="1">
      <c r="A297" t="inlineStr">
        <is>
          <t>A 6446-2022</t>
        </is>
      </c>
      <c r="B297" s="1" t="n">
        <v>44600</v>
      </c>
      <c r="C297" s="1" t="n">
        <v>46145</v>
      </c>
      <c r="D297" t="inlineStr">
        <is>
          <t>SÖDERMANLANDS LÄN</t>
        </is>
      </c>
      <c r="E297" t="inlineStr">
        <is>
          <t>KATRINEHOLM</t>
        </is>
      </c>
      <c r="G297" t="n">
        <v>1.5</v>
      </c>
      <c r="H297" t="n">
        <v>0</v>
      </c>
      <c r="I297" t="n">
        <v>0</v>
      </c>
      <c r="J297" t="n">
        <v>0</v>
      </c>
      <c r="K297" t="n">
        <v>0</v>
      </c>
      <c r="L297" t="n">
        <v>0</v>
      </c>
      <c r="M297" t="n">
        <v>0</v>
      </c>
      <c r="N297" t="n">
        <v>0</v>
      </c>
      <c r="O297" t="n">
        <v>0</v>
      </c>
      <c r="P297" t="n">
        <v>0</v>
      </c>
      <c r="Q297" t="n">
        <v>0</v>
      </c>
      <c r="R297" s="2" t="inlineStr"/>
    </row>
    <row r="298" ht="15" customHeight="1">
      <c r="A298" t="inlineStr">
        <is>
          <t>A 50021-2023</t>
        </is>
      </c>
      <c r="B298" s="1" t="n">
        <v>45215</v>
      </c>
      <c r="C298" s="1" t="n">
        <v>46145</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37043-2025</t>
        </is>
      </c>
      <c r="B299" s="1" t="n">
        <v>45875.3396412037</v>
      </c>
      <c r="C299" s="1" t="n">
        <v>46145</v>
      </c>
      <c r="D299" t="inlineStr">
        <is>
          <t>SÖDERMANLANDS LÄN</t>
        </is>
      </c>
      <c r="E299" t="inlineStr">
        <is>
          <t>KATRINEHOLM</t>
        </is>
      </c>
      <c r="G299" t="n">
        <v>2.2</v>
      </c>
      <c r="H299" t="n">
        <v>0</v>
      </c>
      <c r="I299" t="n">
        <v>0</v>
      </c>
      <c r="J299" t="n">
        <v>0</v>
      </c>
      <c r="K299" t="n">
        <v>0</v>
      </c>
      <c r="L299" t="n">
        <v>0</v>
      </c>
      <c r="M299" t="n">
        <v>0</v>
      </c>
      <c r="N299" t="n">
        <v>0</v>
      </c>
      <c r="O299" t="n">
        <v>0</v>
      </c>
      <c r="P299" t="n">
        <v>0</v>
      </c>
      <c r="Q299" t="n">
        <v>0</v>
      </c>
      <c r="R299" s="2" t="inlineStr"/>
    </row>
    <row r="300" ht="15" customHeight="1">
      <c r="A300" t="inlineStr">
        <is>
          <t>A 51923-2023</t>
        </is>
      </c>
      <c r="B300" s="1" t="n">
        <v>45223</v>
      </c>
      <c r="C300" s="1" t="n">
        <v>46145</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18386-2025</t>
        </is>
      </c>
      <c r="B301" s="1" t="n">
        <v>45762</v>
      </c>
      <c r="C301" s="1" t="n">
        <v>46145</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3125-2024</t>
        </is>
      </c>
      <c r="B302" s="1" t="n">
        <v>45316</v>
      </c>
      <c r="C302" s="1" t="n">
        <v>46145</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35183-2022</t>
        </is>
      </c>
      <c r="B303" s="1" t="n">
        <v>44797</v>
      </c>
      <c r="C303" s="1" t="n">
        <v>46145</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11543-2025</t>
        </is>
      </c>
      <c r="B304" s="1" t="n">
        <v>45727.34248842593</v>
      </c>
      <c r="C304" s="1" t="n">
        <v>46145</v>
      </c>
      <c r="D304" t="inlineStr">
        <is>
          <t>SÖDERMANLANDS LÄN</t>
        </is>
      </c>
      <c r="E304" t="inlineStr">
        <is>
          <t>KATRINEHOLM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42519-2024</t>
        </is>
      </c>
      <c r="B305" s="1" t="n">
        <v>45565</v>
      </c>
      <c r="C305" s="1" t="n">
        <v>46145</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20826-2022</t>
        </is>
      </c>
      <c r="B306" s="1" t="n">
        <v>44701.44754629629</v>
      </c>
      <c r="C306" s="1" t="n">
        <v>46145</v>
      </c>
      <c r="D306" t="inlineStr">
        <is>
          <t>SÖDERMANLANDS LÄN</t>
        </is>
      </c>
      <c r="E306" t="inlineStr">
        <is>
          <t>KATRINEHOLM</t>
        </is>
      </c>
      <c r="G306" t="n">
        <v>6.8</v>
      </c>
      <c r="H306" t="n">
        <v>0</v>
      </c>
      <c r="I306" t="n">
        <v>0</v>
      </c>
      <c r="J306" t="n">
        <v>0</v>
      </c>
      <c r="K306" t="n">
        <v>0</v>
      </c>
      <c r="L306" t="n">
        <v>0</v>
      </c>
      <c r="M306" t="n">
        <v>0</v>
      </c>
      <c r="N306" t="n">
        <v>0</v>
      </c>
      <c r="O306" t="n">
        <v>0</v>
      </c>
      <c r="P306" t="n">
        <v>0</v>
      </c>
      <c r="Q306" t="n">
        <v>0</v>
      </c>
      <c r="R306" s="2" t="inlineStr"/>
    </row>
    <row r="307" ht="15" customHeight="1">
      <c r="A307" t="inlineStr">
        <is>
          <t>A 20846-2022</t>
        </is>
      </c>
      <c r="B307" s="1" t="n">
        <v>44701.4744212963</v>
      </c>
      <c r="C307" s="1" t="n">
        <v>46145</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37827-2025</t>
        </is>
      </c>
      <c r="B308" s="1" t="n">
        <v>45881.40907407407</v>
      </c>
      <c r="C308" s="1" t="n">
        <v>46145</v>
      </c>
      <c r="D308" t="inlineStr">
        <is>
          <t>SÖDERMANLANDS LÄN</t>
        </is>
      </c>
      <c r="E308" t="inlineStr">
        <is>
          <t>KATRINEHOLM</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46145</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51440-2024</t>
        </is>
      </c>
      <c r="B310" s="1" t="n">
        <v>45604</v>
      </c>
      <c r="C310" s="1" t="n">
        <v>46145</v>
      </c>
      <c r="D310" t="inlineStr">
        <is>
          <t>SÖDERMANLANDS LÄN</t>
        </is>
      </c>
      <c r="E310" t="inlineStr">
        <is>
          <t>KATRINEHOLM</t>
        </is>
      </c>
      <c r="G310" t="n">
        <v>4.7</v>
      </c>
      <c r="H310" t="n">
        <v>0</v>
      </c>
      <c r="I310" t="n">
        <v>0</v>
      </c>
      <c r="J310" t="n">
        <v>0</v>
      </c>
      <c r="K310" t="n">
        <v>0</v>
      </c>
      <c r="L310" t="n">
        <v>0</v>
      </c>
      <c r="M310" t="n">
        <v>0</v>
      </c>
      <c r="N310" t="n">
        <v>0</v>
      </c>
      <c r="O310" t="n">
        <v>0</v>
      </c>
      <c r="P310" t="n">
        <v>0</v>
      </c>
      <c r="Q310" t="n">
        <v>0</v>
      </c>
      <c r="R310" s="2" t="inlineStr"/>
    </row>
    <row r="311" ht="15" customHeight="1">
      <c r="A311" t="inlineStr">
        <is>
          <t>A 47879-2023</t>
        </is>
      </c>
      <c r="B311" s="1" t="n">
        <v>45204</v>
      </c>
      <c r="C311" s="1" t="n">
        <v>46145</v>
      </c>
      <c r="D311" t="inlineStr">
        <is>
          <t>SÖDERMANLANDS LÄN</t>
        </is>
      </c>
      <c r="E311" t="inlineStr">
        <is>
          <t>KATRINEHOLM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12975-2022</t>
        </is>
      </c>
      <c r="B312" s="1" t="n">
        <v>44643</v>
      </c>
      <c r="C312" s="1" t="n">
        <v>46145</v>
      </c>
      <c r="D312" t="inlineStr">
        <is>
          <t>SÖDERMANLANDS LÄN</t>
        </is>
      </c>
      <c r="E312" t="inlineStr">
        <is>
          <t>KATRINEHOLM</t>
        </is>
      </c>
      <c r="G312" t="n">
        <v>2.4</v>
      </c>
      <c r="H312" t="n">
        <v>0</v>
      </c>
      <c r="I312" t="n">
        <v>0</v>
      </c>
      <c r="J312" t="n">
        <v>0</v>
      </c>
      <c r="K312" t="n">
        <v>0</v>
      </c>
      <c r="L312" t="n">
        <v>0</v>
      </c>
      <c r="M312" t="n">
        <v>0</v>
      </c>
      <c r="N312" t="n">
        <v>0</v>
      </c>
      <c r="O312" t="n">
        <v>0</v>
      </c>
      <c r="P312" t="n">
        <v>0</v>
      </c>
      <c r="Q312" t="n">
        <v>0</v>
      </c>
      <c r="R312" s="2" t="inlineStr"/>
    </row>
    <row r="313" ht="15" customHeight="1">
      <c r="A313" t="inlineStr">
        <is>
          <t>A 51260-2021</t>
        </is>
      </c>
      <c r="B313" s="1" t="n">
        <v>44461</v>
      </c>
      <c r="C313" s="1" t="n">
        <v>46145</v>
      </c>
      <c r="D313" t="inlineStr">
        <is>
          <t>SÖDERMANLANDS LÄN</t>
        </is>
      </c>
      <c r="E313" t="inlineStr">
        <is>
          <t>KATRINEHOLM</t>
        </is>
      </c>
      <c r="G313" t="n">
        <v>0.7</v>
      </c>
      <c r="H313" t="n">
        <v>0</v>
      </c>
      <c r="I313" t="n">
        <v>0</v>
      </c>
      <c r="J313" t="n">
        <v>0</v>
      </c>
      <c r="K313" t="n">
        <v>0</v>
      </c>
      <c r="L313" t="n">
        <v>0</v>
      </c>
      <c r="M313" t="n">
        <v>0</v>
      </c>
      <c r="N313" t="n">
        <v>0</v>
      </c>
      <c r="O313" t="n">
        <v>0</v>
      </c>
      <c r="P313" t="n">
        <v>0</v>
      </c>
      <c r="Q313" t="n">
        <v>0</v>
      </c>
      <c r="R313" s="2" t="inlineStr"/>
    </row>
    <row r="314" ht="15" customHeight="1">
      <c r="A314" t="inlineStr">
        <is>
          <t>A 53843-2023</t>
        </is>
      </c>
      <c r="B314" s="1" t="n">
        <v>45230</v>
      </c>
      <c r="C314" s="1" t="n">
        <v>46145</v>
      </c>
      <c r="D314" t="inlineStr">
        <is>
          <t>SÖDERMANLANDS LÄN</t>
        </is>
      </c>
      <c r="E314" t="inlineStr">
        <is>
          <t>KATRINEHOLM</t>
        </is>
      </c>
      <c r="G314" t="n">
        <v>14.2</v>
      </c>
      <c r="H314" t="n">
        <v>0</v>
      </c>
      <c r="I314" t="n">
        <v>0</v>
      </c>
      <c r="J314" t="n">
        <v>0</v>
      </c>
      <c r="K314" t="n">
        <v>0</v>
      </c>
      <c r="L314" t="n">
        <v>0</v>
      </c>
      <c r="M314" t="n">
        <v>0</v>
      </c>
      <c r="N314" t="n">
        <v>0</v>
      </c>
      <c r="O314" t="n">
        <v>0</v>
      </c>
      <c r="P314" t="n">
        <v>0</v>
      </c>
      <c r="Q314" t="n">
        <v>0</v>
      </c>
      <c r="R314" s="2" t="inlineStr"/>
    </row>
    <row r="315" ht="15" customHeight="1">
      <c r="A315" t="inlineStr">
        <is>
          <t>A 28427-2024</t>
        </is>
      </c>
      <c r="B315" s="1" t="n">
        <v>45477.64910879629</v>
      </c>
      <c r="C315" s="1" t="n">
        <v>46145</v>
      </c>
      <c r="D315" t="inlineStr">
        <is>
          <t>SÖDERMANLANDS LÄN</t>
        </is>
      </c>
      <c r="E315" t="inlineStr">
        <is>
          <t>KATRINEHOLM</t>
        </is>
      </c>
      <c r="G315" t="n">
        <v>5.9</v>
      </c>
      <c r="H315" t="n">
        <v>0</v>
      </c>
      <c r="I315" t="n">
        <v>0</v>
      </c>
      <c r="J315" t="n">
        <v>0</v>
      </c>
      <c r="K315" t="n">
        <v>0</v>
      </c>
      <c r="L315" t="n">
        <v>0</v>
      </c>
      <c r="M315" t="n">
        <v>0</v>
      </c>
      <c r="N315" t="n">
        <v>0</v>
      </c>
      <c r="O315" t="n">
        <v>0</v>
      </c>
      <c r="P315" t="n">
        <v>0</v>
      </c>
      <c r="Q315" t="n">
        <v>0</v>
      </c>
      <c r="R315" s="2" t="inlineStr"/>
    </row>
    <row r="316" ht="15" customHeight="1">
      <c r="A316" t="inlineStr">
        <is>
          <t>A 48763-2024</t>
        </is>
      </c>
      <c r="B316" s="1" t="n">
        <v>45593.60288194445</v>
      </c>
      <c r="C316" s="1" t="n">
        <v>46145</v>
      </c>
      <c r="D316" t="inlineStr">
        <is>
          <t>SÖDERMANLANDS LÄN</t>
        </is>
      </c>
      <c r="E316" t="inlineStr">
        <is>
          <t>KATRINEHOLM</t>
        </is>
      </c>
      <c r="G316" t="n">
        <v>1.3</v>
      </c>
      <c r="H316" t="n">
        <v>0</v>
      </c>
      <c r="I316" t="n">
        <v>0</v>
      </c>
      <c r="J316" t="n">
        <v>0</v>
      </c>
      <c r="K316" t="n">
        <v>0</v>
      </c>
      <c r="L316" t="n">
        <v>0</v>
      </c>
      <c r="M316" t="n">
        <v>0</v>
      </c>
      <c r="N316" t="n">
        <v>0</v>
      </c>
      <c r="O316" t="n">
        <v>0</v>
      </c>
      <c r="P316" t="n">
        <v>0</v>
      </c>
      <c r="Q316" t="n">
        <v>0</v>
      </c>
      <c r="R316" s="2" t="inlineStr"/>
    </row>
    <row r="317" ht="15" customHeight="1">
      <c r="A317" t="inlineStr">
        <is>
          <t>A 38708-2025</t>
        </is>
      </c>
      <c r="B317" s="1" t="n">
        <v>45885</v>
      </c>
      <c r="C317" s="1" t="n">
        <v>46145</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14478-2023</t>
        </is>
      </c>
      <c r="B318" s="1" t="n">
        <v>45012.66421296296</v>
      </c>
      <c r="C318" s="1" t="n">
        <v>46145</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20921-2023</t>
        </is>
      </c>
      <c r="B319" s="1" t="n">
        <v>45061</v>
      </c>
      <c r="C319" s="1" t="n">
        <v>46145</v>
      </c>
      <c r="D319" t="inlineStr">
        <is>
          <t>SÖDERMANLANDS LÄN</t>
        </is>
      </c>
      <c r="E319" t="inlineStr">
        <is>
          <t>KATRINEHOLM</t>
        </is>
      </c>
      <c r="G319" t="n">
        <v>8.9</v>
      </c>
      <c r="H319" t="n">
        <v>0</v>
      </c>
      <c r="I319" t="n">
        <v>0</v>
      </c>
      <c r="J319" t="n">
        <v>0</v>
      </c>
      <c r="K319" t="n">
        <v>0</v>
      </c>
      <c r="L319" t="n">
        <v>0</v>
      </c>
      <c r="M319" t="n">
        <v>0</v>
      </c>
      <c r="N319" t="n">
        <v>0</v>
      </c>
      <c r="O319" t="n">
        <v>0</v>
      </c>
      <c r="P319" t="n">
        <v>0</v>
      </c>
      <c r="Q319" t="n">
        <v>0</v>
      </c>
      <c r="R319" s="2" t="inlineStr"/>
    </row>
    <row r="320" ht="15" customHeight="1">
      <c r="A320" t="inlineStr">
        <is>
          <t>A 12930-2023</t>
        </is>
      </c>
      <c r="B320" s="1" t="n">
        <v>45001</v>
      </c>
      <c r="C320" s="1" t="n">
        <v>46145</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12938-2023</t>
        </is>
      </c>
      <c r="B321" s="1" t="n">
        <v>45001</v>
      </c>
      <c r="C321" s="1" t="n">
        <v>46145</v>
      </c>
      <c r="D321" t="inlineStr">
        <is>
          <t>SÖDERMANLANDS LÄN</t>
        </is>
      </c>
      <c r="E321" t="inlineStr">
        <is>
          <t>KATRINEHOLM</t>
        </is>
      </c>
      <c r="G321" t="n">
        <v>0.4</v>
      </c>
      <c r="H321" t="n">
        <v>0</v>
      </c>
      <c r="I321" t="n">
        <v>0</v>
      </c>
      <c r="J321" t="n">
        <v>0</v>
      </c>
      <c r="K321" t="n">
        <v>0</v>
      </c>
      <c r="L321" t="n">
        <v>0</v>
      </c>
      <c r="M321" t="n">
        <v>0</v>
      </c>
      <c r="N321" t="n">
        <v>0</v>
      </c>
      <c r="O321" t="n">
        <v>0</v>
      </c>
      <c r="P321" t="n">
        <v>0</v>
      </c>
      <c r="Q321" t="n">
        <v>0</v>
      </c>
      <c r="R321" s="2" t="inlineStr"/>
    </row>
    <row r="322" ht="15" customHeight="1">
      <c r="A322" t="inlineStr">
        <is>
          <t>A 12559-2023</t>
        </is>
      </c>
      <c r="B322" s="1" t="n">
        <v>45000.36373842593</v>
      </c>
      <c r="C322" s="1" t="n">
        <v>46145</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7704-2023</t>
        </is>
      </c>
      <c r="B323" s="1" t="n">
        <v>44968</v>
      </c>
      <c r="C323" s="1" t="n">
        <v>46145</v>
      </c>
      <c r="D323" t="inlineStr">
        <is>
          <t>SÖDERMANLANDS LÄN</t>
        </is>
      </c>
      <c r="E323" t="inlineStr">
        <is>
          <t>KATRINEHOLM</t>
        </is>
      </c>
      <c r="G323" t="n">
        <v>7.3</v>
      </c>
      <c r="H323" t="n">
        <v>0</v>
      </c>
      <c r="I323" t="n">
        <v>0</v>
      </c>
      <c r="J323" t="n">
        <v>0</v>
      </c>
      <c r="K323" t="n">
        <v>0</v>
      </c>
      <c r="L323" t="n">
        <v>0</v>
      </c>
      <c r="M323" t="n">
        <v>0</v>
      </c>
      <c r="N323" t="n">
        <v>0</v>
      </c>
      <c r="O323" t="n">
        <v>0</v>
      </c>
      <c r="P323" t="n">
        <v>0</v>
      </c>
      <c r="Q323" t="n">
        <v>0</v>
      </c>
      <c r="R323" s="2" t="inlineStr"/>
    </row>
    <row r="324" ht="15" customHeight="1">
      <c r="A324" t="inlineStr">
        <is>
          <t>A 49122-2024</t>
        </is>
      </c>
      <c r="B324" s="1" t="n">
        <v>45594</v>
      </c>
      <c r="C324" s="1" t="n">
        <v>46145</v>
      </c>
      <c r="D324" t="inlineStr">
        <is>
          <t>SÖDERMANLANDS LÄN</t>
        </is>
      </c>
      <c r="E324" t="inlineStr">
        <is>
          <t>KATRINEHOLM</t>
        </is>
      </c>
      <c r="G324" t="n">
        <v>19.4</v>
      </c>
      <c r="H324" t="n">
        <v>0</v>
      </c>
      <c r="I324" t="n">
        <v>0</v>
      </c>
      <c r="J324" t="n">
        <v>0</v>
      </c>
      <c r="K324" t="n">
        <v>0</v>
      </c>
      <c r="L324" t="n">
        <v>0</v>
      </c>
      <c r="M324" t="n">
        <v>0</v>
      </c>
      <c r="N324" t="n">
        <v>0</v>
      </c>
      <c r="O324" t="n">
        <v>0</v>
      </c>
      <c r="P324" t="n">
        <v>0</v>
      </c>
      <c r="Q324" t="n">
        <v>0</v>
      </c>
      <c r="R324" s="2" t="inlineStr"/>
    </row>
    <row r="325" ht="15" customHeight="1">
      <c r="A325" t="inlineStr">
        <is>
          <t>A 12937-2023</t>
        </is>
      </c>
      <c r="B325" s="1" t="n">
        <v>45001</v>
      </c>
      <c r="C325" s="1" t="n">
        <v>46145</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11127-2023</t>
        </is>
      </c>
      <c r="B326" s="1" t="n">
        <v>44987</v>
      </c>
      <c r="C326" s="1" t="n">
        <v>46145</v>
      </c>
      <c r="D326" t="inlineStr">
        <is>
          <t>SÖDERMANLANDS LÄN</t>
        </is>
      </c>
      <c r="E326" t="inlineStr">
        <is>
          <t>KATRINEHOLM</t>
        </is>
      </c>
      <c r="G326" t="n">
        <v>4.3</v>
      </c>
      <c r="H326" t="n">
        <v>0</v>
      </c>
      <c r="I326" t="n">
        <v>0</v>
      </c>
      <c r="J326" t="n">
        <v>0</v>
      </c>
      <c r="K326" t="n">
        <v>0</v>
      </c>
      <c r="L326" t="n">
        <v>0</v>
      </c>
      <c r="M326" t="n">
        <v>0</v>
      </c>
      <c r="N326" t="n">
        <v>0</v>
      </c>
      <c r="O326" t="n">
        <v>0</v>
      </c>
      <c r="P326" t="n">
        <v>0</v>
      </c>
      <c r="Q326" t="n">
        <v>0</v>
      </c>
      <c r="R326" s="2" t="inlineStr"/>
    </row>
    <row r="327" ht="15" customHeight="1">
      <c r="A327" t="inlineStr">
        <is>
          <t>A 27345-2023</t>
        </is>
      </c>
      <c r="B327" s="1" t="n">
        <v>45096</v>
      </c>
      <c r="C327" s="1" t="n">
        <v>46145</v>
      </c>
      <c r="D327" t="inlineStr">
        <is>
          <t>SÖDERMANLANDS LÄN</t>
        </is>
      </c>
      <c r="E327" t="inlineStr">
        <is>
          <t>KATRINEHOLM</t>
        </is>
      </c>
      <c r="G327" t="n">
        <v>1.4</v>
      </c>
      <c r="H327" t="n">
        <v>0</v>
      </c>
      <c r="I327" t="n">
        <v>0</v>
      </c>
      <c r="J327" t="n">
        <v>0</v>
      </c>
      <c r="K327" t="n">
        <v>0</v>
      </c>
      <c r="L327" t="n">
        <v>0</v>
      </c>
      <c r="M327" t="n">
        <v>0</v>
      </c>
      <c r="N327" t="n">
        <v>0</v>
      </c>
      <c r="O327" t="n">
        <v>0</v>
      </c>
      <c r="P327" t="n">
        <v>0</v>
      </c>
      <c r="Q327" t="n">
        <v>0</v>
      </c>
      <c r="R327" s="2" t="inlineStr"/>
    </row>
    <row r="328" ht="15" customHeight="1">
      <c r="A328" t="inlineStr">
        <is>
          <t>A 39645-2025</t>
        </is>
      </c>
      <c r="B328" s="1" t="n">
        <v>45890</v>
      </c>
      <c r="C328" s="1" t="n">
        <v>46145</v>
      </c>
      <c r="D328" t="inlineStr">
        <is>
          <t>SÖDERMANLANDS LÄN</t>
        </is>
      </c>
      <c r="E328" t="inlineStr">
        <is>
          <t>KATRINEHOLM</t>
        </is>
      </c>
      <c r="G328" t="n">
        <v>0.2</v>
      </c>
      <c r="H328" t="n">
        <v>0</v>
      </c>
      <c r="I328" t="n">
        <v>0</v>
      </c>
      <c r="J328" t="n">
        <v>0</v>
      </c>
      <c r="K328" t="n">
        <v>0</v>
      </c>
      <c r="L328" t="n">
        <v>0</v>
      </c>
      <c r="M328" t="n">
        <v>0</v>
      </c>
      <c r="N328" t="n">
        <v>0</v>
      </c>
      <c r="O328" t="n">
        <v>0</v>
      </c>
      <c r="P328" t="n">
        <v>0</v>
      </c>
      <c r="Q328" t="n">
        <v>0</v>
      </c>
      <c r="R328" s="2" t="inlineStr"/>
    </row>
    <row r="329" ht="15" customHeight="1">
      <c r="A329" t="inlineStr">
        <is>
          <t>A 1151-2025</t>
        </is>
      </c>
      <c r="B329" s="1" t="n">
        <v>45666</v>
      </c>
      <c r="C329" s="1" t="n">
        <v>46145</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39663-2025</t>
        </is>
      </c>
      <c r="B330" s="1" t="n">
        <v>45890</v>
      </c>
      <c r="C330" s="1" t="n">
        <v>46145</v>
      </c>
      <c r="D330" t="inlineStr">
        <is>
          <t>SÖDERMANLANDS LÄN</t>
        </is>
      </c>
      <c r="E330" t="inlineStr">
        <is>
          <t>KATRINEHOLM</t>
        </is>
      </c>
      <c r="G330" t="n">
        <v>0.5</v>
      </c>
      <c r="H330" t="n">
        <v>0</v>
      </c>
      <c r="I330" t="n">
        <v>0</v>
      </c>
      <c r="J330" t="n">
        <v>0</v>
      </c>
      <c r="K330" t="n">
        <v>0</v>
      </c>
      <c r="L330" t="n">
        <v>0</v>
      </c>
      <c r="M330" t="n">
        <v>0</v>
      </c>
      <c r="N330" t="n">
        <v>0</v>
      </c>
      <c r="O330" t="n">
        <v>0</v>
      </c>
      <c r="P330" t="n">
        <v>0</v>
      </c>
      <c r="Q330" t="n">
        <v>0</v>
      </c>
      <c r="R330" s="2" t="inlineStr"/>
    </row>
    <row r="331" ht="15" customHeight="1">
      <c r="A331" t="inlineStr">
        <is>
          <t>A 6808-2023</t>
        </is>
      </c>
      <c r="B331" s="1" t="n">
        <v>44964</v>
      </c>
      <c r="C331" s="1" t="n">
        <v>46145</v>
      </c>
      <c r="D331" t="inlineStr">
        <is>
          <t>SÖDERMANLANDS LÄN</t>
        </is>
      </c>
      <c r="E331" t="inlineStr">
        <is>
          <t>KATRINEHOLM</t>
        </is>
      </c>
      <c r="G331" t="n">
        <v>1.5</v>
      </c>
      <c r="H331" t="n">
        <v>0</v>
      </c>
      <c r="I331" t="n">
        <v>0</v>
      </c>
      <c r="J331" t="n">
        <v>0</v>
      </c>
      <c r="K331" t="n">
        <v>0</v>
      </c>
      <c r="L331" t="n">
        <v>0</v>
      </c>
      <c r="M331" t="n">
        <v>0</v>
      </c>
      <c r="N331" t="n">
        <v>0</v>
      </c>
      <c r="O331" t="n">
        <v>0</v>
      </c>
      <c r="P331" t="n">
        <v>0</v>
      </c>
      <c r="Q331" t="n">
        <v>0</v>
      </c>
      <c r="R331" s="2" t="inlineStr"/>
    </row>
    <row r="332" ht="15" customHeight="1">
      <c r="A332" t="inlineStr">
        <is>
          <t>A 39668-2025</t>
        </is>
      </c>
      <c r="B332" s="1" t="n">
        <v>45890</v>
      </c>
      <c r="C332" s="1" t="n">
        <v>46145</v>
      </c>
      <c r="D332" t="inlineStr">
        <is>
          <t>SÖDERMANLANDS LÄN</t>
        </is>
      </c>
      <c r="E332" t="inlineStr">
        <is>
          <t>KATRINEHOLM</t>
        </is>
      </c>
      <c r="G332" t="n">
        <v>2.9</v>
      </c>
      <c r="H332" t="n">
        <v>0</v>
      </c>
      <c r="I332" t="n">
        <v>0</v>
      </c>
      <c r="J332" t="n">
        <v>0</v>
      </c>
      <c r="K332" t="n">
        <v>0</v>
      </c>
      <c r="L332" t="n">
        <v>0</v>
      </c>
      <c r="M332" t="n">
        <v>0</v>
      </c>
      <c r="N332" t="n">
        <v>0</v>
      </c>
      <c r="O332" t="n">
        <v>0</v>
      </c>
      <c r="P332" t="n">
        <v>0</v>
      </c>
      <c r="Q332" t="n">
        <v>0</v>
      </c>
      <c r="R332" s="2" t="inlineStr"/>
    </row>
    <row r="333" ht="15" customHeight="1">
      <c r="A333" t="inlineStr">
        <is>
          <t>A 35228-2025</t>
        </is>
      </c>
      <c r="B333" s="1" t="n">
        <v>45853</v>
      </c>
      <c r="C333" s="1" t="n">
        <v>46145</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61394-2024</t>
        </is>
      </c>
      <c r="B334" s="1" t="n">
        <v>45646.42061342593</v>
      </c>
      <c r="C334" s="1" t="n">
        <v>46145</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39737-2025</t>
        </is>
      </c>
      <c r="B335" s="1" t="n">
        <v>45891</v>
      </c>
      <c r="C335" s="1" t="n">
        <v>46145</v>
      </c>
      <c r="D335" t="inlineStr">
        <is>
          <t>SÖDERMANLANDS LÄN</t>
        </is>
      </c>
      <c r="E335" t="inlineStr">
        <is>
          <t>KATRINEHOLM</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39847-2025</t>
        </is>
      </c>
      <c r="B336" s="1" t="n">
        <v>45891.58381944444</v>
      </c>
      <c r="C336" s="1" t="n">
        <v>46145</v>
      </c>
      <c r="D336" t="inlineStr">
        <is>
          <t>SÖDERMANLANDS LÄN</t>
        </is>
      </c>
      <c r="E336" t="inlineStr">
        <is>
          <t>KATRINEHOLM</t>
        </is>
      </c>
      <c r="F336" t="inlineStr">
        <is>
          <t>Holmen skog AB</t>
        </is>
      </c>
      <c r="G336" t="n">
        <v>2.5</v>
      </c>
      <c r="H336" t="n">
        <v>0</v>
      </c>
      <c r="I336" t="n">
        <v>0</v>
      </c>
      <c r="J336" t="n">
        <v>0</v>
      </c>
      <c r="K336" t="n">
        <v>0</v>
      </c>
      <c r="L336" t="n">
        <v>0</v>
      </c>
      <c r="M336" t="n">
        <v>0</v>
      </c>
      <c r="N336" t="n">
        <v>0</v>
      </c>
      <c r="O336" t="n">
        <v>0</v>
      </c>
      <c r="P336" t="n">
        <v>0</v>
      </c>
      <c r="Q336" t="n">
        <v>0</v>
      </c>
      <c r="R336" s="2" t="inlineStr"/>
    </row>
    <row r="337" ht="15" customHeight="1">
      <c r="A337" t="inlineStr">
        <is>
          <t>A 18339-2023</t>
        </is>
      </c>
      <c r="B337" s="1" t="n">
        <v>45041</v>
      </c>
      <c r="C337" s="1" t="n">
        <v>46145</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58522-2024</t>
        </is>
      </c>
      <c r="B338" s="1" t="n">
        <v>45635.43770833333</v>
      </c>
      <c r="C338" s="1" t="n">
        <v>46145</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47889-2023</t>
        </is>
      </c>
      <c r="B339" s="1" t="n">
        <v>45204</v>
      </c>
      <c r="C339" s="1" t="n">
        <v>46145</v>
      </c>
      <c r="D339" t="inlineStr">
        <is>
          <t>SÖDERMANLANDS LÄN</t>
        </is>
      </c>
      <c r="E339" t="inlineStr">
        <is>
          <t>KATRINEHOLM</t>
        </is>
      </c>
      <c r="G339" t="n">
        <v>2.1</v>
      </c>
      <c r="H339" t="n">
        <v>0</v>
      </c>
      <c r="I339" t="n">
        <v>0</v>
      </c>
      <c r="J339" t="n">
        <v>0</v>
      </c>
      <c r="K339" t="n">
        <v>0</v>
      </c>
      <c r="L339" t="n">
        <v>0</v>
      </c>
      <c r="M339" t="n">
        <v>0</v>
      </c>
      <c r="N339" t="n">
        <v>0</v>
      </c>
      <c r="O339" t="n">
        <v>0</v>
      </c>
      <c r="P339" t="n">
        <v>0</v>
      </c>
      <c r="Q339" t="n">
        <v>0</v>
      </c>
      <c r="R339" s="2" t="inlineStr"/>
    </row>
    <row r="340" ht="15" customHeight="1">
      <c r="A340" t="inlineStr">
        <is>
          <t>A 41074-2025</t>
        </is>
      </c>
      <c r="B340" s="1" t="n">
        <v>45898</v>
      </c>
      <c r="C340" s="1" t="n">
        <v>46145</v>
      </c>
      <c r="D340" t="inlineStr">
        <is>
          <t>SÖDERMANLANDS LÄN</t>
        </is>
      </c>
      <c r="E340" t="inlineStr">
        <is>
          <t>KATRINEHOLM</t>
        </is>
      </c>
      <c r="F340" t="inlineStr">
        <is>
          <t>Allmännings- och besparingsskogar</t>
        </is>
      </c>
      <c r="G340" t="n">
        <v>4.8</v>
      </c>
      <c r="H340" t="n">
        <v>0</v>
      </c>
      <c r="I340" t="n">
        <v>0</v>
      </c>
      <c r="J340" t="n">
        <v>0</v>
      </c>
      <c r="K340" t="n">
        <v>0</v>
      </c>
      <c r="L340" t="n">
        <v>0</v>
      </c>
      <c r="M340" t="n">
        <v>0</v>
      </c>
      <c r="N340" t="n">
        <v>0</v>
      </c>
      <c r="O340" t="n">
        <v>0</v>
      </c>
      <c r="P340" t="n">
        <v>0</v>
      </c>
      <c r="Q340" t="n">
        <v>0</v>
      </c>
      <c r="R340" s="2" t="inlineStr"/>
    </row>
    <row r="341" ht="15" customHeight="1">
      <c r="A341" t="inlineStr">
        <is>
          <t>A 34732-2022</t>
        </is>
      </c>
      <c r="B341" s="1" t="n">
        <v>44795</v>
      </c>
      <c r="C341" s="1" t="n">
        <v>46145</v>
      </c>
      <c r="D341" t="inlineStr">
        <is>
          <t>SÖDERMANLANDS LÄN</t>
        </is>
      </c>
      <c r="E341" t="inlineStr">
        <is>
          <t>KATRINEHOLM</t>
        </is>
      </c>
      <c r="G341" t="n">
        <v>3</v>
      </c>
      <c r="H341" t="n">
        <v>0</v>
      </c>
      <c r="I341" t="n">
        <v>0</v>
      </c>
      <c r="J341" t="n">
        <v>0</v>
      </c>
      <c r="K341" t="n">
        <v>0</v>
      </c>
      <c r="L341" t="n">
        <v>0</v>
      </c>
      <c r="M341" t="n">
        <v>0</v>
      </c>
      <c r="N341" t="n">
        <v>0</v>
      </c>
      <c r="O341" t="n">
        <v>0</v>
      </c>
      <c r="P341" t="n">
        <v>0</v>
      </c>
      <c r="Q341" t="n">
        <v>0</v>
      </c>
      <c r="R341" s="2" t="inlineStr"/>
    </row>
    <row r="342" ht="15" customHeight="1">
      <c r="A342" t="inlineStr">
        <is>
          <t>A 41498-2025</t>
        </is>
      </c>
      <c r="B342" s="1" t="n">
        <v>45901.49755787037</v>
      </c>
      <c r="C342" s="1" t="n">
        <v>46145</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49341-2024</t>
        </is>
      </c>
      <c r="B343" s="1" t="n">
        <v>45595</v>
      </c>
      <c r="C343" s="1" t="n">
        <v>46145</v>
      </c>
      <c r="D343" t="inlineStr">
        <is>
          <t>SÖDERMANLANDS LÄN</t>
        </is>
      </c>
      <c r="E343" t="inlineStr">
        <is>
          <t>KATRINEHOLM</t>
        </is>
      </c>
      <c r="G343" t="n">
        <v>10</v>
      </c>
      <c r="H343" t="n">
        <v>0</v>
      </c>
      <c r="I343" t="n">
        <v>0</v>
      </c>
      <c r="J343" t="n">
        <v>0</v>
      </c>
      <c r="K343" t="n">
        <v>0</v>
      </c>
      <c r="L343" t="n">
        <v>0</v>
      </c>
      <c r="M343" t="n">
        <v>0</v>
      </c>
      <c r="N343" t="n">
        <v>0</v>
      </c>
      <c r="O343" t="n">
        <v>0</v>
      </c>
      <c r="P343" t="n">
        <v>0</v>
      </c>
      <c r="Q343" t="n">
        <v>0</v>
      </c>
      <c r="R343" s="2" t="inlineStr"/>
    </row>
    <row r="344" ht="15" customHeight="1">
      <c r="A344" t="inlineStr">
        <is>
          <t>A 41633-2025</t>
        </is>
      </c>
      <c r="B344" s="1" t="n">
        <v>45901</v>
      </c>
      <c r="C344" s="1" t="n">
        <v>46145</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41632-2025</t>
        </is>
      </c>
      <c r="B345" s="1" t="n">
        <v>45901</v>
      </c>
      <c r="C345" s="1" t="n">
        <v>46145</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41648-2025</t>
        </is>
      </c>
      <c r="B346" s="1" t="n">
        <v>45902.32601851852</v>
      </c>
      <c r="C346" s="1" t="n">
        <v>46145</v>
      </c>
      <c r="D346" t="inlineStr">
        <is>
          <t>SÖDERMANLANDS LÄN</t>
        </is>
      </c>
      <c r="E346" t="inlineStr">
        <is>
          <t>KATRINEHOLM</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32166-2022</t>
        </is>
      </c>
      <c r="B347" s="1" t="n">
        <v>44781</v>
      </c>
      <c r="C347" s="1" t="n">
        <v>46145</v>
      </c>
      <c r="D347" t="inlineStr">
        <is>
          <t>SÖDERMANLANDS LÄN</t>
        </is>
      </c>
      <c r="E347" t="inlineStr">
        <is>
          <t>KATRINEHOLM</t>
        </is>
      </c>
      <c r="F347" t="inlineStr">
        <is>
          <t>Kommuner</t>
        </is>
      </c>
      <c r="G347" t="n">
        <v>0.5</v>
      </c>
      <c r="H347" t="n">
        <v>0</v>
      </c>
      <c r="I347" t="n">
        <v>0</v>
      </c>
      <c r="J347" t="n">
        <v>0</v>
      </c>
      <c r="K347" t="n">
        <v>0</v>
      </c>
      <c r="L347" t="n">
        <v>0</v>
      </c>
      <c r="M347" t="n">
        <v>0</v>
      </c>
      <c r="N347" t="n">
        <v>0</v>
      </c>
      <c r="O347" t="n">
        <v>0</v>
      </c>
      <c r="P347" t="n">
        <v>0</v>
      </c>
      <c r="Q347" t="n">
        <v>0</v>
      </c>
      <c r="R347" s="2" t="inlineStr"/>
    </row>
    <row r="348" ht="15" customHeight="1">
      <c r="A348" t="inlineStr">
        <is>
          <t>A 32169-2022</t>
        </is>
      </c>
      <c r="B348" s="1" t="n">
        <v>44781</v>
      </c>
      <c r="C348" s="1" t="n">
        <v>46145</v>
      </c>
      <c r="D348" t="inlineStr">
        <is>
          <t>SÖDERMANLANDS LÄN</t>
        </is>
      </c>
      <c r="E348" t="inlineStr">
        <is>
          <t>KATRINEHOLM</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35864-2023</t>
        </is>
      </c>
      <c r="B349" s="1" t="n">
        <v>45147</v>
      </c>
      <c r="C349" s="1" t="n">
        <v>46145</v>
      </c>
      <c r="D349" t="inlineStr">
        <is>
          <t>SÖDERMANLANDS LÄN</t>
        </is>
      </c>
      <c r="E349" t="inlineStr">
        <is>
          <t>KATRINEHOLM</t>
        </is>
      </c>
      <c r="F349" t="inlineStr">
        <is>
          <t>Övriga Aktiebolag</t>
        </is>
      </c>
      <c r="G349" t="n">
        <v>4.7</v>
      </c>
      <c r="H349" t="n">
        <v>0</v>
      </c>
      <c r="I349" t="n">
        <v>0</v>
      </c>
      <c r="J349" t="n">
        <v>0</v>
      </c>
      <c r="K349" t="n">
        <v>0</v>
      </c>
      <c r="L349" t="n">
        <v>0</v>
      </c>
      <c r="M349" t="n">
        <v>0</v>
      </c>
      <c r="N349" t="n">
        <v>0</v>
      </c>
      <c r="O349" t="n">
        <v>0</v>
      </c>
      <c r="P349" t="n">
        <v>0</v>
      </c>
      <c r="Q349" t="n">
        <v>0</v>
      </c>
      <c r="R349" s="2" t="inlineStr"/>
    </row>
    <row r="350" ht="15" customHeight="1">
      <c r="A350" t="inlineStr">
        <is>
          <t>A 41793-2025</t>
        </is>
      </c>
      <c r="B350" s="1" t="n">
        <v>45902</v>
      </c>
      <c r="C350" s="1" t="n">
        <v>46145</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44637-2023</t>
        </is>
      </c>
      <c r="B351" s="1" t="n">
        <v>45189</v>
      </c>
      <c r="C351" s="1" t="n">
        <v>46145</v>
      </c>
      <c r="D351" t="inlineStr">
        <is>
          <t>SÖDERMANLANDS LÄN</t>
        </is>
      </c>
      <c r="E351" t="inlineStr">
        <is>
          <t>KATRINEHOLM</t>
        </is>
      </c>
      <c r="G351" t="n">
        <v>5.1</v>
      </c>
      <c r="H351" t="n">
        <v>0</v>
      </c>
      <c r="I351" t="n">
        <v>0</v>
      </c>
      <c r="J351" t="n">
        <v>0</v>
      </c>
      <c r="K351" t="n">
        <v>0</v>
      </c>
      <c r="L351" t="n">
        <v>0</v>
      </c>
      <c r="M351" t="n">
        <v>0</v>
      </c>
      <c r="N351" t="n">
        <v>0</v>
      </c>
      <c r="O351" t="n">
        <v>0</v>
      </c>
      <c r="P351" t="n">
        <v>0</v>
      </c>
      <c r="Q351" t="n">
        <v>0</v>
      </c>
      <c r="R351" s="2" t="inlineStr"/>
    </row>
    <row r="352" ht="15" customHeight="1">
      <c r="A352" t="inlineStr">
        <is>
          <t>A 39055-2022</t>
        </is>
      </c>
      <c r="B352" s="1" t="n">
        <v>44817</v>
      </c>
      <c r="C352" s="1" t="n">
        <v>46145</v>
      </c>
      <c r="D352" t="inlineStr">
        <is>
          <t>SÖDERMANLANDS LÄN</t>
        </is>
      </c>
      <c r="E352" t="inlineStr">
        <is>
          <t>KATRINEHOLM</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42686-2025</t>
        </is>
      </c>
      <c r="B353" s="1" t="n">
        <v>45908.35550925926</v>
      </c>
      <c r="C353" s="1" t="n">
        <v>46145</v>
      </c>
      <c r="D353" t="inlineStr">
        <is>
          <t>SÖDERMANLANDS LÄN</t>
        </is>
      </c>
      <c r="E353" t="inlineStr">
        <is>
          <t>KATRINEHOLM</t>
        </is>
      </c>
      <c r="G353" t="n">
        <v>0.9</v>
      </c>
      <c r="H353" t="n">
        <v>0</v>
      </c>
      <c r="I353" t="n">
        <v>0</v>
      </c>
      <c r="J353" t="n">
        <v>0</v>
      </c>
      <c r="K353" t="n">
        <v>0</v>
      </c>
      <c r="L353" t="n">
        <v>0</v>
      </c>
      <c r="M353" t="n">
        <v>0</v>
      </c>
      <c r="N353" t="n">
        <v>0</v>
      </c>
      <c r="O353" t="n">
        <v>0</v>
      </c>
      <c r="P353" t="n">
        <v>0</v>
      </c>
      <c r="Q353" t="n">
        <v>0</v>
      </c>
      <c r="R353" s="2" t="inlineStr"/>
    </row>
    <row r="354" ht="15" customHeight="1">
      <c r="A354" t="inlineStr">
        <is>
          <t>A 46257-2021</t>
        </is>
      </c>
      <c r="B354" s="1" t="n">
        <v>44442</v>
      </c>
      <c r="C354" s="1" t="n">
        <v>46145</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42799-2025</t>
        </is>
      </c>
      <c r="B355" s="1" t="n">
        <v>45907</v>
      </c>
      <c r="C355" s="1" t="n">
        <v>46145</v>
      </c>
      <c r="D355" t="inlineStr">
        <is>
          <t>SÖDERMANLANDS LÄN</t>
        </is>
      </c>
      <c r="E355" t="inlineStr">
        <is>
          <t>KATRINEHOLM</t>
        </is>
      </c>
      <c r="G355" t="n">
        <v>3.9</v>
      </c>
      <c r="H355" t="n">
        <v>0</v>
      </c>
      <c r="I355" t="n">
        <v>0</v>
      </c>
      <c r="J355" t="n">
        <v>0</v>
      </c>
      <c r="K355" t="n">
        <v>0</v>
      </c>
      <c r="L355" t="n">
        <v>0</v>
      </c>
      <c r="M355" t="n">
        <v>0</v>
      </c>
      <c r="N355" t="n">
        <v>0</v>
      </c>
      <c r="O355" t="n">
        <v>0</v>
      </c>
      <c r="P355" t="n">
        <v>0</v>
      </c>
      <c r="Q355" t="n">
        <v>0</v>
      </c>
      <c r="R355" s="2" t="inlineStr"/>
    </row>
    <row r="356" ht="15" customHeight="1">
      <c r="A356" t="inlineStr">
        <is>
          <t>A 52769-2023</t>
        </is>
      </c>
      <c r="B356" s="1" t="n">
        <v>45226</v>
      </c>
      <c r="C356" s="1" t="n">
        <v>46145</v>
      </c>
      <c r="D356" t="inlineStr">
        <is>
          <t>SÖDERMANLANDS LÄN</t>
        </is>
      </c>
      <c r="E356" t="inlineStr">
        <is>
          <t>KATRINEHOLM</t>
        </is>
      </c>
      <c r="G356" t="n">
        <v>0.5</v>
      </c>
      <c r="H356" t="n">
        <v>0</v>
      </c>
      <c r="I356" t="n">
        <v>0</v>
      </c>
      <c r="J356" t="n">
        <v>0</v>
      </c>
      <c r="K356" t="n">
        <v>0</v>
      </c>
      <c r="L356" t="n">
        <v>0</v>
      </c>
      <c r="M356" t="n">
        <v>0</v>
      </c>
      <c r="N356" t="n">
        <v>0</v>
      </c>
      <c r="O356" t="n">
        <v>0</v>
      </c>
      <c r="P356" t="n">
        <v>0</v>
      </c>
      <c r="Q356" t="n">
        <v>0</v>
      </c>
      <c r="R356" s="2" t="inlineStr"/>
    </row>
    <row r="357" ht="15" customHeight="1">
      <c r="A357" t="inlineStr">
        <is>
          <t>A 42474-2025</t>
        </is>
      </c>
      <c r="B357" s="1" t="n">
        <v>45905.46659722222</v>
      </c>
      <c r="C357" s="1" t="n">
        <v>46145</v>
      </c>
      <c r="D357" t="inlineStr">
        <is>
          <t>SÖDERMANLANDS LÄN</t>
        </is>
      </c>
      <c r="E357" t="inlineStr">
        <is>
          <t>KATRINEHOLM</t>
        </is>
      </c>
      <c r="G357" t="n">
        <v>4</v>
      </c>
      <c r="H357" t="n">
        <v>0</v>
      </c>
      <c r="I357" t="n">
        <v>0</v>
      </c>
      <c r="J357" t="n">
        <v>0</v>
      </c>
      <c r="K357" t="n">
        <v>0</v>
      </c>
      <c r="L357" t="n">
        <v>0</v>
      </c>
      <c r="M357" t="n">
        <v>0</v>
      </c>
      <c r="N357" t="n">
        <v>0</v>
      </c>
      <c r="O357" t="n">
        <v>0</v>
      </c>
      <c r="P357" t="n">
        <v>0</v>
      </c>
      <c r="Q357" t="n">
        <v>0</v>
      </c>
      <c r="R357" s="2" t="inlineStr"/>
    </row>
    <row r="358" ht="15" customHeight="1">
      <c r="A358" t="inlineStr">
        <is>
          <t>A 4758-2025</t>
        </is>
      </c>
      <c r="B358" s="1" t="n">
        <v>45688</v>
      </c>
      <c r="C358" s="1" t="n">
        <v>46145</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27852-2023</t>
        </is>
      </c>
      <c r="B359" s="1" t="n">
        <v>45098</v>
      </c>
      <c r="C359" s="1" t="n">
        <v>46145</v>
      </c>
      <c r="D359" t="inlineStr">
        <is>
          <t>SÖDERMANLANDS LÄN</t>
        </is>
      </c>
      <c r="E359" t="inlineStr">
        <is>
          <t>KATRINEHOLM</t>
        </is>
      </c>
      <c r="G359" t="n">
        <v>7.4</v>
      </c>
      <c r="H359" t="n">
        <v>0</v>
      </c>
      <c r="I359" t="n">
        <v>0</v>
      </c>
      <c r="J359" t="n">
        <v>0</v>
      </c>
      <c r="K359" t="n">
        <v>0</v>
      </c>
      <c r="L359" t="n">
        <v>0</v>
      </c>
      <c r="M359" t="n">
        <v>0</v>
      </c>
      <c r="N359" t="n">
        <v>0</v>
      </c>
      <c r="O359" t="n">
        <v>0</v>
      </c>
      <c r="P359" t="n">
        <v>0</v>
      </c>
      <c r="Q359" t="n">
        <v>0</v>
      </c>
      <c r="R359" s="2" t="inlineStr"/>
    </row>
    <row r="360" ht="15" customHeight="1">
      <c r="A360" t="inlineStr">
        <is>
          <t>A 28304-2024</t>
        </is>
      </c>
      <c r="B360" s="1" t="n">
        <v>45477</v>
      </c>
      <c r="C360" s="1" t="n">
        <v>46145</v>
      </c>
      <c r="D360" t="inlineStr">
        <is>
          <t>SÖDERMANLANDS LÄN</t>
        </is>
      </c>
      <c r="E360" t="inlineStr">
        <is>
          <t>KATRINEHOLM</t>
        </is>
      </c>
      <c r="G360" t="n">
        <v>3.8</v>
      </c>
      <c r="H360" t="n">
        <v>0</v>
      </c>
      <c r="I360" t="n">
        <v>0</v>
      </c>
      <c r="J360" t="n">
        <v>0</v>
      </c>
      <c r="K360" t="n">
        <v>0</v>
      </c>
      <c r="L360" t="n">
        <v>0</v>
      </c>
      <c r="M360" t="n">
        <v>0</v>
      </c>
      <c r="N360" t="n">
        <v>0</v>
      </c>
      <c r="O360" t="n">
        <v>0</v>
      </c>
      <c r="P360" t="n">
        <v>0</v>
      </c>
      <c r="Q360" t="n">
        <v>0</v>
      </c>
      <c r="R360" s="2" t="inlineStr"/>
    </row>
    <row r="361" ht="15" customHeight="1">
      <c r="A361" t="inlineStr">
        <is>
          <t>A 61911-2021</t>
        </is>
      </c>
      <c r="B361" s="1" t="n">
        <v>44502.35746527778</v>
      </c>
      <c r="C361" s="1" t="n">
        <v>46145</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42945-2023</t>
        </is>
      </c>
      <c r="B362" s="1" t="n">
        <v>45182.5793287037</v>
      </c>
      <c r="C362" s="1" t="n">
        <v>46145</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42962-2023</t>
        </is>
      </c>
      <c r="B363" s="1" t="n">
        <v>45182</v>
      </c>
      <c r="C363" s="1" t="n">
        <v>46145</v>
      </c>
      <c r="D363" t="inlineStr">
        <is>
          <t>SÖDERMANLANDS LÄN</t>
        </is>
      </c>
      <c r="E363" t="inlineStr">
        <is>
          <t>KATRINEHOLM</t>
        </is>
      </c>
      <c r="F363" t="inlineStr">
        <is>
          <t>Övriga Aktiebolag</t>
        </is>
      </c>
      <c r="G363" t="n">
        <v>10.6</v>
      </c>
      <c r="H363" t="n">
        <v>0</v>
      </c>
      <c r="I363" t="n">
        <v>0</v>
      </c>
      <c r="J363" t="n">
        <v>0</v>
      </c>
      <c r="K363" t="n">
        <v>0</v>
      </c>
      <c r="L363" t="n">
        <v>0</v>
      </c>
      <c r="M363" t="n">
        <v>0</v>
      </c>
      <c r="N363" t="n">
        <v>0</v>
      </c>
      <c r="O363" t="n">
        <v>0</v>
      </c>
      <c r="P363" t="n">
        <v>0</v>
      </c>
      <c r="Q363" t="n">
        <v>0</v>
      </c>
      <c r="R363" s="2" t="inlineStr"/>
    </row>
    <row r="364" ht="15" customHeight="1">
      <c r="A364" t="inlineStr">
        <is>
          <t>A 44915-2022</t>
        </is>
      </c>
      <c r="B364" s="1" t="n">
        <v>44840</v>
      </c>
      <c r="C364" s="1" t="n">
        <v>46145</v>
      </c>
      <c r="D364" t="inlineStr">
        <is>
          <t>SÖDERMANLANDS LÄN</t>
        </is>
      </c>
      <c r="E364" t="inlineStr">
        <is>
          <t>KATRINEHOLM</t>
        </is>
      </c>
      <c r="G364" t="n">
        <v>6.3</v>
      </c>
      <c r="H364" t="n">
        <v>0</v>
      </c>
      <c r="I364" t="n">
        <v>0</v>
      </c>
      <c r="J364" t="n">
        <v>0</v>
      </c>
      <c r="K364" t="n">
        <v>0</v>
      </c>
      <c r="L364" t="n">
        <v>0</v>
      </c>
      <c r="M364" t="n">
        <v>0</v>
      </c>
      <c r="N364" t="n">
        <v>0</v>
      </c>
      <c r="O364" t="n">
        <v>0</v>
      </c>
      <c r="P364" t="n">
        <v>0</v>
      </c>
      <c r="Q364" t="n">
        <v>0</v>
      </c>
      <c r="R364" s="2" t="inlineStr"/>
    </row>
    <row r="365" ht="15" customHeight="1">
      <c r="A365" t="inlineStr">
        <is>
          <t>A 48097-2023</t>
        </is>
      </c>
      <c r="B365" s="1" t="n">
        <v>45205.31987268518</v>
      </c>
      <c r="C365" s="1" t="n">
        <v>46145</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44071-2025</t>
        </is>
      </c>
      <c r="B366" s="1" t="n">
        <v>45915</v>
      </c>
      <c r="C366" s="1" t="n">
        <v>46145</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45793-2022</t>
        </is>
      </c>
      <c r="B367" s="1" t="n">
        <v>44844</v>
      </c>
      <c r="C367" s="1" t="n">
        <v>46145</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43975-2025</t>
        </is>
      </c>
      <c r="B368" s="1" t="n">
        <v>45915.41148148148</v>
      </c>
      <c r="C368" s="1" t="n">
        <v>46145</v>
      </c>
      <c r="D368" t="inlineStr">
        <is>
          <t>SÖDERMANLANDS LÄN</t>
        </is>
      </c>
      <c r="E368" t="inlineStr">
        <is>
          <t>KATRINEHOLM</t>
        </is>
      </c>
      <c r="G368" t="n">
        <v>1.8</v>
      </c>
      <c r="H368" t="n">
        <v>0</v>
      </c>
      <c r="I368" t="n">
        <v>0</v>
      </c>
      <c r="J368" t="n">
        <v>0</v>
      </c>
      <c r="K368" t="n">
        <v>0</v>
      </c>
      <c r="L368" t="n">
        <v>0</v>
      </c>
      <c r="M368" t="n">
        <v>0</v>
      </c>
      <c r="N368" t="n">
        <v>0</v>
      </c>
      <c r="O368" t="n">
        <v>0</v>
      </c>
      <c r="P368" t="n">
        <v>0</v>
      </c>
      <c r="Q368" t="n">
        <v>0</v>
      </c>
      <c r="R368" s="2" t="inlineStr"/>
    </row>
    <row r="369" ht="15" customHeight="1">
      <c r="A369" t="inlineStr">
        <is>
          <t>A 40393-2022</t>
        </is>
      </c>
      <c r="B369" s="1" t="n">
        <v>44823</v>
      </c>
      <c r="C369" s="1" t="n">
        <v>46145</v>
      </c>
      <c r="D369" t="inlineStr">
        <is>
          <t>SÖDERMANLANDS LÄN</t>
        </is>
      </c>
      <c r="E369" t="inlineStr">
        <is>
          <t>KATRINEHOLM</t>
        </is>
      </c>
      <c r="G369" t="n">
        <v>1.3</v>
      </c>
      <c r="H369" t="n">
        <v>0</v>
      </c>
      <c r="I369" t="n">
        <v>0</v>
      </c>
      <c r="J369" t="n">
        <v>0</v>
      </c>
      <c r="K369" t="n">
        <v>0</v>
      </c>
      <c r="L369" t="n">
        <v>0</v>
      </c>
      <c r="M369" t="n">
        <v>0</v>
      </c>
      <c r="N369" t="n">
        <v>0</v>
      </c>
      <c r="O369" t="n">
        <v>0</v>
      </c>
      <c r="P369" t="n">
        <v>0</v>
      </c>
      <c r="Q369" t="n">
        <v>0</v>
      </c>
      <c r="R369" s="2" t="inlineStr"/>
    </row>
    <row r="370" ht="15" customHeight="1">
      <c r="A370" t="inlineStr">
        <is>
          <t>A 48685-2022</t>
        </is>
      </c>
      <c r="B370" s="1" t="n">
        <v>44859</v>
      </c>
      <c r="C370" s="1" t="n">
        <v>46145</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36133-2021</t>
        </is>
      </c>
      <c r="B371" s="1" t="n">
        <v>44386</v>
      </c>
      <c r="C371" s="1" t="n">
        <v>46145</v>
      </c>
      <c r="D371" t="inlineStr">
        <is>
          <t>SÖDERMANLANDS LÄN</t>
        </is>
      </c>
      <c r="E371" t="inlineStr">
        <is>
          <t>KATRINEHOLM</t>
        </is>
      </c>
      <c r="F371" t="inlineStr">
        <is>
          <t>Övriga Aktiebolag</t>
        </is>
      </c>
      <c r="G371" t="n">
        <v>8.9</v>
      </c>
      <c r="H371" t="n">
        <v>0</v>
      </c>
      <c r="I371" t="n">
        <v>0</v>
      </c>
      <c r="J371" t="n">
        <v>0</v>
      </c>
      <c r="K371" t="n">
        <v>0</v>
      </c>
      <c r="L371" t="n">
        <v>0</v>
      </c>
      <c r="M371" t="n">
        <v>0</v>
      </c>
      <c r="N371" t="n">
        <v>0</v>
      </c>
      <c r="O371" t="n">
        <v>0</v>
      </c>
      <c r="P371" t="n">
        <v>0</v>
      </c>
      <c r="Q371" t="n">
        <v>0</v>
      </c>
      <c r="R371" s="2" t="inlineStr"/>
    </row>
    <row r="372" ht="15" customHeight="1">
      <c r="A372" t="inlineStr">
        <is>
          <t>A 49700-2022</t>
        </is>
      </c>
      <c r="B372" s="1" t="n">
        <v>44862</v>
      </c>
      <c r="C372" s="1" t="n">
        <v>46145</v>
      </c>
      <c r="D372" t="inlineStr">
        <is>
          <t>SÖDERMANLANDS LÄN</t>
        </is>
      </c>
      <c r="E372" t="inlineStr">
        <is>
          <t>KATRINEHOLM</t>
        </is>
      </c>
      <c r="G372" t="n">
        <v>19.5</v>
      </c>
      <c r="H372" t="n">
        <v>0</v>
      </c>
      <c r="I372" t="n">
        <v>0</v>
      </c>
      <c r="J372" t="n">
        <v>0</v>
      </c>
      <c r="K372" t="n">
        <v>0</v>
      </c>
      <c r="L372" t="n">
        <v>0</v>
      </c>
      <c r="M372" t="n">
        <v>0</v>
      </c>
      <c r="N372" t="n">
        <v>0</v>
      </c>
      <c r="O372" t="n">
        <v>0</v>
      </c>
      <c r="P372" t="n">
        <v>0</v>
      </c>
      <c r="Q372" t="n">
        <v>0</v>
      </c>
      <c r="R372" s="2" t="inlineStr"/>
    </row>
    <row r="373" ht="15" customHeight="1">
      <c r="A373" t="inlineStr">
        <is>
          <t>A 30276-2023</t>
        </is>
      </c>
      <c r="B373" s="1" t="n">
        <v>45110</v>
      </c>
      <c r="C373" s="1" t="n">
        <v>46145</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57265-2022</t>
        </is>
      </c>
      <c r="B374" s="1" t="n">
        <v>44895</v>
      </c>
      <c r="C374" s="1" t="n">
        <v>46145</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50316-2023</t>
        </is>
      </c>
      <c r="B375" s="1" t="n">
        <v>45209</v>
      </c>
      <c r="C375" s="1" t="n">
        <v>46145</v>
      </c>
      <c r="D375" t="inlineStr">
        <is>
          <t>SÖDERMANLANDS LÄN</t>
        </is>
      </c>
      <c r="E375" t="inlineStr">
        <is>
          <t>KATRINEHOLM</t>
        </is>
      </c>
      <c r="G375" t="n">
        <v>1.9</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46145</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60160-2022</t>
        </is>
      </c>
      <c r="B377" s="1" t="n">
        <v>44909</v>
      </c>
      <c r="C377" s="1" t="n">
        <v>46145</v>
      </c>
      <c r="D377" t="inlineStr">
        <is>
          <t>SÖDERMANLANDS LÄN</t>
        </is>
      </c>
      <c r="E377" t="inlineStr">
        <is>
          <t>KATRINEHOLM</t>
        </is>
      </c>
      <c r="F377" t="inlineStr">
        <is>
          <t>Allmännings- och besparingsskogar</t>
        </is>
      </c>
      <c r="G377" t="n">
        <v>2</v>
      </c>
      <c r="H377" t="n">
        <v>0</v>
      </c>
      <c r="I377" t="n">
        <v>0</v>
      </c>
      <c r="J377" t="n">
        <v>0</v>
      </c>
      <c r="K377" t="n">
        <v>0</v>
      </c>
      <c r="L377" t="n">
        <v>0</v>
      </c>
      <c r="M377" t="n">
        <v>0</v>
      </c>
      <c r="N377" t="n">
        <v>0</v>
      </c>
      <c r="O377" t="n">
        <v>0</v>
      </c>
      <c r="P377" t="n">
        <v>0</v>
      </c>
      <c r="Q377" t="n">
        <v>0</v>
      </c>
      <c r="R377" s="2" t="inlineStr"/>
    </row>
    <row r="378" ht="15" customHeight="1">
      <c r="A378" t="inlineStr">
        <is>
          <t>A 19442-2023</t>
        </is>
      </c>
      <c r="B378" s="1" t="n">
        <v>45050</v>
      </c>
      <c r="C378" s="1" t="n">
        <v>46145</v>
      </c>
      <c r="D378" t="inlineStr">
        <is>
          <t>SÖDERMANLANDS LÄN</t>
        </is>
      </c>
      <c r="E378" t="inlineStr">
        <is>
          <t>KATRINEHOLM</t>
        </is>
      </c>
      <c r="F378" t="inlineStr">
        <is>
          <t>Holmen skog AB</t>
        </is>
      </c>
      <c r="G378" t="n">
        <v>0.7</v>
      </c>
      <c r="H378" t="n">
        <v>0</v>
      </c>
      <c r="I378" t="n">
        <v>0</v>
      </c>
      <c r="J378" t="n">
        <v>0</v>
      </c>
      <c r="K378" t="n">
        <v>0</v>
      </c>
      <c r="L378" t="n">
        <v>0</v>
      </c>
      <c r="M378" t="n">
        <v>0</v>
      </c>
      <c r="N378" t="n">
        <v>0</v>
      </c>
      <c r="O378" t="n">
        <v>0</v>
      </c>
      <c r="P378" t="n">
        <v>0</v>
      </c>
      <c r="Q378" t="n">
        <v>0</v>
      </c>
      <c r="R378" s="2" t="inlineStr"/>
    </row>
    <row r="379" ht="15" customHeight="1">
      <c r="A379" t="inlineStr">
        <is>
          <t>A 46288-2025</t>
        </is>
      </c>
      <c r="B379" s="1" t="n">
        <v>45925.38545138889</v>
      </c>
      <c r="C379" s="1" t="n">
        <v>46145</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50840-2022</t>
        </is>
      </c>
      <c r="B380" s="1" t="n">
        <v>44862</v>
      </c>
      <c r="C380" s="1" t="n">
        <v>46145</v>
      </c>
      <c r="D380" t="inlineStr">
        <is>
          <t>SÖDERMANLANDS LÄN</t>
        </is>
      </c>
      <c r="E380" t="inlineStr">
        <is>
          <t>KATRINEHOLM</t>
        </is>
      </c>
      <c r="G380" t="n">
        <v>4.2</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46145</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3060-2022</t>
        </is>
      </c>
      <c r="B382" s="1" t="n">
        <v>44582.40109953703</v>
      </c>
      <c r="C382" s="1" t="n">
        <v>46145</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6611-2023</t>
        </is>
      </c>
      <c r="B383" s="1" t="n">
        <v>44963</v>
      </c>
      <c r="C383" s="1" t="n">
        <v>46145</v>
      </c>
      <c r="D383" t="inlineStr">
        <is>
          <t>SÖDERMANLANDS LÄN</t>
        </is>
      </c>
      <c r="E383" t="inlineStr">
        <is>
          <t>KATRINEHOLM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50804-2023</t>
        </is>
      </c>
      <c r="B384" s="1" t="n">
        <v>45211</v>
      </c>
      <c r="C384" s="1" t="n">
        <v>46145</v>
      </c>
      <c r="D384" t="inlineStr">
        <is>
          <t>SÖDERMANLANDS LÄN</t>
        </is>
      </c>
      <c r="E384" t="inlineStr">
        <is>
          <t>KATRINEHOLM</t>
        </is>
      </c>
      <c r="G384" t="n">
        <v>4</v>
      </c>
      <c r="H384" t="n">
        <v>0</v>
      </c>
      <c r="I384" t="n">
        <v>0</v>
      </c>
      <c r="J384" t="n">
        <v>0</v>
      </c>
      <c r="K384" t="n">
        <v>0</v>
      </c>
      <c r="L384" t="n">
        <v>0</v>
      </c>
      <c r="M384" t="n">
        <v>0</v>
      </c>
      <c r="N384" t="n">
        <v>0</v>
      </c>
      <c r="O384" t="n">
        <v>0</v>
      </c>
      <c r="P384" t="n">
        <v>0</v>
      </c>
      <c r="Q384" t="n">
        <v>0</v>
      </c>
      <c r="R384" s="2" t="inlineStr"/>
    </row>
    <row r="385" ht="15" customHeight="1">
      <c r="A385" t="inlineStr">
        <is>
          <t>A 20533-2023</t>
        </is>
      </c>
      <c r="B385" s="1" t="n">
        <v>45057</v>
      </c>
      <c r="C385" s="1" t="n">
        <v>46145</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c r="T385">
        <f>HYPERLINK("https://klasma.github.io/Logging_0483/kartor/A 20533-2023 karta.png", "A 20533-2023")</f>
        <v/>
      </c>
      <c r="V385">
        <f>HYPERLINK("https://klasma.github.io/Logging_0483/klagomål/A 20533-2023 FSC-klagomål.docx", "A 20533-2023")</f>
        <v/>
      </c>
      <c r="W385">
        <f>HYPERLINK("https://klasma.github.io/Logging_0483/klagomålsmail/A 20533-2023 FSC-klagomål mail.docx", "A 20533-2023")</f>
        <v/>
      </c>
      <c r="X385">
        <f>HYPERLINK("https://klasma.github.io/Logging_0483/tillsyn/A 20533-2023 tillsynsbegäran.docx", "A 20533-2023")</f>
        <v/>
      </c>
      <c r="Y385">
        <f>HYPERLINK("https://klasma.github.io/Logging_0483/tillsynsmail/A 20533-2023 tillsynsbegäran mail.docx", "A 20533-2023")</f>
        <v/>
      </c>
      <c r="Z385">
        <f>HYPERLINK("https://klasma.github.io/Logging_0483/fåglar/A 20533-2023 prioriterade fågelarter.docx", "A 20533-2023")</f>
        <v/>
      </c>
    </row>
    <row r="386" ht="15" customHeight="1">
      <c r="A386" t="inlineStr">
        <is>
          <t>A 43499-2021</t>
        </is>
      </c>
      <c r="B386" s="1" t="n">
        <v>44433</v>
      </c>
      <c r="C386" s="1" t="n">
        <v>46145</v>
      </c>
      <c r="D386" t="inlineStr">
        <is>
          <t>SÖDERMANLANDS LÄN</t>
        </is>
      </c>
      <c r="E386" t="inlineStr">
        <is>
          <t>KATRINEHOLM</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53996-2023</t>
        </is>
      </c>
      <c r="B387" s="1" t="n">
        <v>45231</v>
      </c>
      <c r="C387" s="1" t="n">
        <v>46145</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33790-2024</t>
        </is>
      </c>
      <c r="B388" s="1" t="n">
        <v>45520.59179398148</v>
      </c>
      <c r="C388" s="1" t="n">
        <v>46145</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47456-2022</t>
        </is>
      </c>
      <c r="B389" s="1" t="n">
        <v>44852</v>
      </c>
      <c r="C389" s="1" t="n">
        <v>46145</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23347-2023</t>
        </is>
      </c>
      <c r="B390" s="1" t="n">
        <v>45076</v>
      </c>
      <c r="C390" s="1" t="n">
        <v>46145</v>
      </c>
      <c r="D390" t="inlineStr">
        <is>
          <t>SÖDERMANLANDS LÄN</t>
        </is>
      </c>
      <c r="E390" t="inlineStr">
        <is>
          <t>KATRINEHOLM</t>
        </is>
      </c>
      <c r="G390" t="n">
        <v>4.3</v>
      </c>
      <c r="H390" t="n">
        <v>0</v>
      </c>
      <c r="I390" t="n">
        <v>0</v>
      </c>
      <c r="J390" t="n">
        <v>0</v>
      </c>
      <c r="K390" t="n">
        <v>0</v>
      </c>
      <c r="L390" t="n">
        <v>0</v>
      </c>
      <c r="M390" t="n">
        <v>0</v>
      </c>
      <c r="N390" t="n">
        <v>0</v>
      </c>
      <c r="O390" t="n">
        <v>0</v>
      </c>
      <c r="P390" t="n">
        <v>0</v>
      </c>
      <c r="Q390" t="n">
        <v>0</v>
      </c>
      <c r="R390" s="2" t="inlineStr"/>
    </row>
    <row r="391" ht="15" customHeight="1">
      <c r="A391" t="inlineStr">
        <is>
          <t>A 74354-2021</t>
        </is>
      </c>
      <c r="B391" s="1" t="n">
        <v>44559.57041666667</v>
      </c>
      <c r="C391" s="1" t="n">
        <v>46145</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52348-2021</t>
        </is>
      </c>
      <c r="B392" s="1" t="n">
        <v>44464.49756944444</v>
      </c>
      <c r="C392" s="1" t="n">
        <v>46145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56628-2021</t>
        </is>
      </c>
      <c r="B393" s="1" t="n">
        <v>44480</v>
      </c>
      <c r="C393" s="1" t="n">
        <v>46145</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45438-2021</t>
        </is>
      </c>
      <c r="B394" s="1" t="n">
        <v>44440</v>
      </c>
      <c r="C394" s="1" t="n">
        <v>46145</v>
      </c>
      <c r="D394" t="inlineStr">
        <is>
          <t>SÖDERMANLANDS LÄN</t>
        </is>
      </c>
      <c r="E394" t="inlineStr">
        <is>
          <t>KATRINEHOLM</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50061-2022</t>
        </is>
      </c>
      <c r="B395" s="1" t="n">
        <v>44865</v>
      </c>
      <c r="C395" s="1" t="n">
        <v>46145</v>
      </c>
      <c r="D395" t="inlineStr">
        <is>
          <t>SÖDERMANLANDS LÄN</t>
        </is>
      </c>
      <c r="E395" t="inlineStr">
        <is>
          <t>KATRINEHOLM</t>
        </is>
      </c>
      <c r="G395" t="n">
        <v>4.9</v>
      </c>
      <c r="H395" t="n">
        <v>0</v>
      </c>
      <c r="I395" t="n">
        <v>0</v>
      </c>
      <c r="J395" t="n">
        <v>0</v>
      </c>
      <c r="K395" t="n">
        <v>0</v>
      </c>
      <c r="L395" t="n">
        <v>0</v>
      </c>
      <c r="M395" t="n">
        <v>0</v>
      </c>
      <c r="N395" t="n">
        <v>0</v>
      </c>
      <c r="O395" t="n">
        <v>0</v>
      </c>
      <c r="P395" t="n">
        <v>0</v>
      </c>
      <c r="Q395" t="n">
        <v>0</v>
      </c>
      <c r="R395" s="2" t="inlineStr"/>
    </row>
    <row r="396" ht="15" customHeight="1">
      <c r="A396" t="inlineStr">
        <is>
          <t>A 10446-2024</t>
        </is>
      </c>
      <c r="B396" s="1" t="n">
        <v>45366</v>
      </c>
      <c r="C396" s="1" t="n">
        <v>46145</v>
      </c>
      <c r="D396" t="inlineStr">
        <is>
          <t>SÖDERMANLANDS LÄN</t>
        </is>
      </c>
      <c r="E396" t="inlineStr">
        <is>
          <t>KATRINEHOLM</t>
        </is>
      </c>
      <c r="G396" t="n">
        <v>2.3</v>
      </c>
      <c r="H396" t="n">
        <v>0</v>
      </c>
      <c r="I396" t="n">
        <v>0</v>
      </c>
      <c r="J396" t="n">
        <v>0</v>
      </c>
      <c r="K396" t="n">
        <v>0</v>
      </c>
      <c r="L396" t="n">
        <v>0</v>
      </c>
      <c r="M396" t="n">
        <v>0</v>
      </c>
      <c r="N396" t="n">
        <v>0</v>
      </c>
      <c r="O396" t="n">
        <v>0</v>
      </c>
      <c r="P396" t="n">
        <v>0</v>
      </c>
      <c r="Q396" t="n">
        <v>0</v>
      </c>
      <c r="R396" s="2" t="inlineStr"/>
    </row>
    <row r="397" ht="15" customHeight="1">
      <c r="A397" t="inlineStr">
        <is>
          <t>A 53860-2021</t>
        </is>
      </c>
      <c r="B397" s="1" t="n">
        <v>44467</v>
      </c>
      <c r="C397" s="1" t="n">
        <v>46145</v>
      </c>
      <c r="D397" t="inlineStr">
        <is>
          <t>SÖDERMANLANDS LÄN</t>
        </is>
      </c>
      <c r="E397" t="inlineStr">
        <is>
          <t>KATRINEHOLM</t>
        </is>
      </c>
      <c r="G397" t="n">
        <v>1.3</v>
      </c>
      <c r="H397" t="n">
        <v>0</v>
      </c>
      <c r="I397" t="n">
        <v>0</v>
      </c>
      <c r="J397" t="n">
        <v>0</v>
      </c>
      <c r="K397" t="n">
        <v>0</v>
      </c>
      <c r="L397" t="n">
        <v>0</v>
      </c>
      <c r="M397" t="n">
        <v>0</v>
      </c>
      <c r="N397" t="n">
        <v>0</v>
      </c>
      <c r="O397" t="n">
        <v>0</v>
      </c>
      <c r="P397" t="n">
        <v>0</v>
      </c>
      <c r="Q397" t="n">
        <v>0</v>
      </c>
      <c r="R397" s="2" t="inlineStr"/>
    </row>
    <row r="398" ht="15" customHeight="1">
      <c r="A398" t="inlineStr">
        <is>
          <t>A 23842-2023</t>
        </is>
      </c>
      <c r="B398" s="1" t="n">
        <v>45075</v>
      </c>
      <c r="C398" s="1" t="n">
        <v>46145</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46145</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34263-2023</t>
        </is>
      </c>
      <c r="B400" s="1" t="n">
        <v>45138.60248842592</v>
      </c>
      <c r="C400" s="1" t="n">
        <v>46145</v>
      </c>
      <c r="D400" t="inlineStr">
        <is>
          <t>SÖDERMANLANDS LÄN</t>
        </is>
      </c>
      <c r="E400" t="inlineStr">
        <is>
          <t>KATRINEHOLM</t>
        </is>
      </c>
      <c r="G400" t="n">
        <v>0.7</v>
      </c>
      <c r="H400" t="n">
        <v>0</v>
      </c>
      <c r="I400" t="n">
        <v>0</v>
      </c>
      <c r="J400" t="n">
        <v>0</v>
      </c>
      <c r="K400" t="n">
        <v>0</v>
      </c>
      <c r="L400" t="n">
        <v>0</v>
      </c>
      <c r="M400" t="n">
        <v>0</v>
      </c>
      <c r="N400" t="n">
        <v>0</v>
      </c>
      <c r="O400" t="n">
        <v>0</v>
      </c>
      <c r="P400" t="n">
        <v>0</v>
      </c>
      <c r="Q400" t="n">
        <v>0</v>
      </c>
      <c r="R400" s="2" t="inlineStr"/>
    </row>
    <row r="401" ht="15" customHeight="1">
      <c r="A401" t="inlineStr">
        <is>
          <t>A 46899-2022</t>
        </is>
      </c>
      <c r="B401" s="1" t="n">
        <v>44848</v>
      </c>
      <c r="C401" s="1" t="n">
        <v>46145</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55296-2022</t>
        </is>
      </c>
      <c r="B402" s="1" t="n">
        <v>44887</v>
      </c>
      <c r="C402" s="1" t="n">
        <v>46145</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57524-2021</t>
        </is>
      </c>
      <c r="B403" s="1" t="n">
        <v>44483</v>
      </c>
      <c r="C403" s="1" t="n">
        <v>46145</v>
      </c>
      <c r="D403" t="inlineStr">
        <is>
          <t>SÖDERMANLANDS LÄN</t>
        </is>
      </c>
      <c r="E403" t="inlineStr">
        <is>
          <t>KATRINEHOLM</t>
        </is>
      </c>
      <c r="G403" t="n">
        <v>0.4</v>
      </c>
      <c r="H403" t="n">
        <v>0</v>
      </c>
      <c r="I403" t="n">
        <v>0</v>
      </c>
      <c r="J403" t="n">
        <v>0</v>
      </c>
      <c r="K403" t="n">
        <v>0</v>
      </c>
      <c r="L403" t="n">
        <v>0</v>
      </c>
      <c r="M403" t="n">
        <v>0</v>
      </c>
      <c r="N403" t="n">
        <v>0</v>
      </c>
      <c r="O403" t="n">
        <v>0</v>
      </c>
      <c r="P403" t="n">
        <v>0</v>
      </c>
      <c r="Q403" t="n">
        <v>0</v>
      </c>
      <c r="R403" s="2" t="inlineStr"/>
    </row>
    <row r="404" ht="15" customHeight="1">
      <c r="A404" t="inlineStr">
        <is>
          <t>A 931-2023</t>
        </is>
      </c>
      <c r="B404" s="1" t="n">
        <v>44932.74261574074</v>
      </c>
      <c r="C404" s="1" t="n">
        <v>46145</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55171-2023</t>
        </is>
      </c>
      <c r="B405" s="1" t="n">
        <v>45231</v>
      </c>
      <c r="C405" s="1" t="n">
        <v>46145</v>
      </c>
      <c r="D405" t="inlineStr">
        <is>
          <t>SÖDERMANLANDS LÄN</t>
        </is>
      </c>
      <c r="E405" t="inlineStr">
        <is>
          <t>KATRINEHOLM</t>
        </is>
      </c>
      <c r="G405" t="n">
        <v>4.2</v>
      </c>
      <c r="H405" t="n">
        <v>0</v>
      </c>
      <c r="I405" t="n">
        <v>0</v>
      </c>
      <c r="J405" t="n">
        <v>0</v>
      </c>
      <c r="K405" t="n">
        <v>0</v>
      </c>
      <c r="L405" t="n">
        <v>0</v>
      </c>
      <c r="M405" t="n">
        <v>0</v>
      </c>
      <c r="N405" t="n">
        <v>0</v>
      </c>
      <c r="O405" t="n">
        <v>0</v>
      </c>
      <c r="P405" t="n">
        <v>0</v>
      </c>
      <c r="Q405" t="n">
        <v>0</v>
      </c>
      <c r="R405" s="2" t="inlineStr"/>
    </row>
    <row r="406" ht="15" customHeight="1">
      <c r="A406" t="inlineStr">
        <is>
          <t>A 50934-2025</t>
        </is>
      </c>
      <c r="B406" s="1" t="n">
        <v>45946.69195601852</v>
      </c>
      <c r="C406" s="1" t="n">
        <v>46145</v>
      </c>
      <c r="D406" t="inlineStr">
        <is>
          <t>SÖDERMANLANDS LÄN</t>
        </is>
      </c>
      <c r="E406" t="inlineStr">
        <is>
          <t>KATRINEHOLM</t>
        </is>
      </c>
      <c r="G406" t="n">
        <v>2</v>
      </c>
      <c r="H406" t="n">
        <v>0</v>
      </c>
      <c r="I406" t="n">
        <v>0</v>
      </c>
      <c r="J406" t="n">
        <v>0</v>
      </c>
      <c r="K406" t="n">
        <v>0</v>
      </c>
      <c r="L406" t="n">
        <v>0</v>
      </c>
      <c r="M406" t="n">
        <v>0</v>
      </c>
      <c r="N406" t="n">
        <v>0</v>
      </c>
      <c r="O406" t="n">
        <v>0</v>
      </c>
      <c r="P406" t="n">
        <v>0</v>
      </c>
      <c r="Q406" t="n">
        <v>0</v>
      </c>
      <c r="R406" s="2" t="inlineStr"/>
    </row>
    <row r="407" ht="15" customHeight="1">
      <c r="A407" t="inlineStr">
        <is>
          <t>A 53393-2023</t>
        </is>
      </c>
      <c r="B407" s="1" t="n">
        <v>45229</v>
      </c>
      <c r="C407" s="1" t="n">
        <v>46145</v>
      </c>
      <c r="D407" t="inlineStr">
        <is>
          <t>SÖDERMANLANDS LÄN</t>
        </is>
      </c>
      <c r="E407" t="inlineStr">
        <is>
          <t>KATRINEHOLM</t>
        </is>
      </c>
      <c r="F407" t="inlineStr">
        <is>
          <t>Kyrkan</t>
        </is>
      </c>
      <c r="G407" t="n">
        <v>5.6</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46145</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23031-2024</t>
        </is>
      </c>
      <c r="B409" s="1" t="n">
        <v>45450.38120370371</v>
      </c>
      <c r="C409" s="1" t="n">
        <v>46145</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22506-2023</t>
        </is>
      </c>
      <c r="B410" s="1" t="n">
        <v>45071.37393518518</v>
      </c>
      <c r="C410" s="1" t="n">
        <v>46145</v>
      </c>
      <c r="D410" t="inlineStr">
        <is>
          <t>SÖDERMANLANDS LÄN</t>
        </is>
      </c>
      <c r="E410" t="inlineStr">
        <is>
          <t>KATRINEHOLM</t>
        </is>
      </c>
      <c r="F410" t="inlineStr">
        <is>
          <t>Kyrkan</t>
        </is>
      </c>
      <c r="G410" t="n">
        <v>5.9</v>
      </c>
      <c r="H410" t="n">
        <v>0</v>
      </c>
      <c r="I410" t="n">
        <v>0</v>
      </c>
      <c r="J410" t="n">
        <v>0</v>
      </c>
      <c r="K410" t="n">
        <v>0</v>
      </c>
      <c r="L410" t="n">
        <v>0</v>
      </c>
      <c r="M410" t="n">
        <v>0</v>
      </c>
      <c r="N410" t="n">
        <v>0</v>
      </c>
      <c r="O410" t="n">
        <v>0</v>
      </c>
      <c r="P410" t="n">
        <v>0</v>
      </c>
      <c r="Q410" t="n">
        <v>0</v>
      </c>
      <c r="R410" s="2" t="inlineStr"/>
    </row>
    <row r="411" ht="15" customHeight="1">
      <c r="A411" t="inlineStr">
        <is>
          <t>A 12888-2025</t>
        </is>
      </c>
      <c r="B411" s="1" t="n">
        <v>45733</v>
      </c>
      <c r="C411" s="1" t="n">
        <v>46145</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22345-2023</t>
        </is>
      </c>
      <c r="B412" s="1" t="n">
        <v>45070</v>
      </c>
      <c r="C412" s="1" t="n">
        <v>46145</v>
      </c>
      <c r="D412" t="inlineStr">
        <is>
          <t>SÖDERMANLANDS LÄN</t>
        </is>
      </c>
      <c r="E412" t="inlineStr">
        <is>
          <t>KATRINEHOLM</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46145</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19868-2022</t>
        </is>
      </c>
      <c r="B414" s="1" t="n">
        <v>44696</v>
      </c>
      <c r="C414" s="1" t="n">
        <v>46145</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46145</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63188-2021</t>
        </is>
      </c>
      <c r="B416" s="1" t="n">
        <v>44507.56865740741</v>
      </c>
      <c r="C416" s="1" t="n">
        <v>46145</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29843-2023</t>
        </is>
      </c>
      <c r="B417" s="1" t="n">
        <v>45107</v>
      </c>
      <c r="C417" s="1" t="n">
        <v>46145</v>
      </c>
      <c r="D417" t="inlineStr">
        <is>
          <t>SÖDERMANLANDS LÄN</t>
        </is>
      </c>
      <c r="E417" t="inlineStr">
        <is>
          <t>KATRINEHOLM</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51774-2025</t>
        </is>
      </c>
      <c r="B418" s="1" t="n">
        <v>45951.65359953704</v>
      </c>
      <c r="C418" s="1" t="n">
        <v>46145</v>
      </c>
      <c r="D418" t="inlineStr">
        <is>
          <t>SÖDERMANLANDS LÄN</t>
        </is>
      </c>
      <c r="E418" t="inlineStr">
        <is>
          <t>KATRINEHOLM</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51783-2025</t>
        </is>
      </c>
      <c r="B419" s="1" t="n">
        <v>45951.67546296296</v>
      </c>
      <c r="C419" s="1" t="n">
        <v>46145</v>
      </c>
      <c r="D419" t="inlineStr">
        <is>
          <t>SÖDERMANLANDS LÄN</t>
        </is>
      </c>
      <c r="E419" t="inlineStr">
        <is>
          <t>KATRINEHOLM</t>
        </is>
      </c>
      <c r="F419" t="inlineStr">
        <is>
          <t>Allmännings- och besparingsskogar</t>
        </is>
      </c>
      <c r="G419" t="n">
        <v>5.8</v>
      </c>
      <c r="H419" t="n">
        <v>0</v>
      </c>
      <c r="I419" t="n">
        <v>0</v>
      </c>
      <c r="J419" t="n">
        <v>0</v>
      </c>
      <c r="K419" t="n">
        <v>0</v>
      </c>
      <c r="L419" t="n">
        <v>0</v>
      </c>
      <c r="M419" t="n">
        <v>0</v>
      </c>
      <c r="N419" t="n">
        <v>0</v>
      </c>
      <c r="O419" t="n">
        <v>0</v>
      </c>
      <c r="P419" t="n">
        <v>0</v>
      </c>
      <c r="Q419" t="n">
        <v>0</v>
      </c>
      <c r="R419" s="2" t="inlineStr"/>
    </row>
    <row r="420" ht="15" customHeight="1">
      <c r="A420" t="inlineStr">
        <is>
          <t>A 5834-2025</t>
        </is>
      </c>
      <c r="B420" s="1" t="n">
        <v>45694</v>
      </c>
      <c r="C420" s="1" t="n">
        <v>46145</v>
      </c>
      <c r="D420" t="inlineStr">
        <is>
          <t>SÖDERMANLANDS LÄN</t>
        </is>
      </c>
      <c r="E420" t="inlineStr">
        <is>
          <t>KATRINEHOLM</t>
        </is>
      </c>
      <c r="G420" t="n">
        <v>3.3</v>
      </c>
      <c r="H420" t="n">
        <v>0</v>
      </c>
      <c r="I420" t="n">
        <v>0</v>
      </c>
      <c r="J420" t="n">
        <v>0</v>
      </c>
      <c r="K420" t="n">
        <v>0</v>
      </c>
      <c r="L420" t="n">
        <v>0</v>
      </c>
      <c r="M420" t="n">
        <v>0</v>
      </c>
      <c r="N420" t="n">
        <v>0</v>
      </c>
      <c r="O420" t="n">
        <v>0</v>
      </c>
      <c r="P420" t="n">
        <v>0</v>
      </c>
      <c r="Q420" t="n">
        <v>0</v>
      </c>
      <c r="R420" s="2" t="inlineStr"/>
    </row>
    <row r="421" ht="15" customHeight="1">
      <c r="A421" t="inlineStr">
        <is>
          <t>A 34981-2023</t>
        </is>
      </c>
      <c r="B421" s="1" t="n">
        <v>45142</v>
      </c>
      <c r="C421" s="1" t="n">
        <v>46145</v>
      </c>
      <c r="D421" t="inlineStr">
        <is>
          <t>SÖDERMANLANDS LÄN</t>
        </is>
      </c>
      <c r="E421" t="inlineStr">
        <is>
          <t>KATRINEHOLM</t>
        </is>
      </c>
      <c r="G421" t="n">
        <v>10</v>
      </c>
      <c r="H421" t="n">
        <v>0</v>
      </c>
      <c r="I421" t="n">
        <v>0</v>
      </c>
      <c r="J421" t="n">
        <v>0</v>
      </c>
      <c r="K421" t="n">
        <v>0</v>
      </c>
      <c r="L421" t="n">
        <v>0</v>
      </c>
      <c r="M421" t="n">
        <v>0</v>
      </c>
      <c r="N421" t="n">
        <v>0</v>
      </c>
      <c r="O421" t="n">
        <v>0</v>
      </c>
      <c r="P421" t="n">
        <v>0</v>
      </c>
      <c r="Q421" t="n">
        <v>0</v>
      </c>
      <c r="R421" s="2" t="inlineStr"/>
    </row>
    <row r="422" ht="15" customHeight="1">
      <c r="A422" t="inlineStr">
        <is>
          <t>A 52242-2025</t>
        </is>
      </c>
      <c r="B422" s="1" t="n">
        <v>45953.46886574074</v>
      </c>
      <c r="C422" s="1" t="n">
        <v>46145</v>
      </c>
      <c r="D422" t="inlineStr">
        <is>
          <t>SÖDERMANLANDS LÄN</t>
        </is>
      </c>
      <c r="E422" t="inlineStr">
        <is>
          <t>KATRINEHOLM</t>
        </is>
      </c>
      <c r="G422" t="n">
        <v>5.3</v>
      </c>
      <c r="H422" t="n">
        <v>0</v>
      </c>
      <c r="I422" t="n">
        <v>0</v>
      </c>
      <c r="J422" t="n">
        <v>0</v>
      </c>
      <c r="K422" t="n">
        <v>0</v>
      </c>
      <c r="L422" t="n">
        <v>0</v>
      </c>
      <c r="M422" t="n">
        <v>0</v>
      </c>
      <c r="N422" t="n">
        <v>0</v>
      </c>
      <c r="O422" t="n">
        <v>0</v>
      </c>
      <c r="P422" t="n">
        <v>0</v>
      </c>
      <c r="Q422" t="n">
        <v>0</v>
      </c>
      <c r="R422" s="2" t="inlineStr"/>
    </row>
    <row r="423" ht="15" customHeight="1">
      <c r="A423" t="inlineStr">
        <is>
          <t>A 73412-2021</t>
        </is>
      </c>
      <c r="B423" s="1" t="n">
        <v>44551</v>
      </c>
      <c r="C423" s="1" t="n">
        <v>46145</v>
      </c>
      <c r="D423" t="inlineStr">
        <is>
          <t>SÖDERMANLANDS LÄN</t>
        </is>
      </c>
      <c r="E423" t="inlineStr">
        <is>
          <t>KATRINEHOLM</t>
        </is>
      </c>
      <c r="G423" t="n">
        <v>2</v>
      </c>
      <c r="H423" t="n">
        <v>0</v>
      </c>
      <c r="I423" t="n">
        <v>0</v>
      </c>
      <c r="J423" t="n">
        <v>0</v>
      </c>
      <c r="K423" t="n">
        <v>0</v>
      </c>
      <c r="L423" t="n">
        <v>0</v>
      </c>
      <c r="M423" t="n">
        <v>0</v>
      </c>
      <c r="N423" t="n">
        <v>0</v>
      </c>
      <c r="O423" t="n">
        <v>0</v>
      </c>
      <c r="P423" t="n">
        <v>0</v>
      </c>
      <c r="Q423" t="n">
        <v>0</v>
      </c>
      <c r="R423" s="2" t="inlineStr"/>
    </row>
    <row r="424" ht="15" customHeight="1">
      <c r="A424" t="inlineStr">
        <is>
          <t>A 52239-2025</t>
        </is>
      </c>
      <c r="B424" s="1" t="n">
        <v>45953.46193287037</v>
      </c>
      <c r="C424" s="1" t="n">
        <v>46145</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52244-2025</t>
        </is>
      </c>
      <c r="B425" s="1" t="n">
        <v>45953</v>
      </c>
      <c r="C425" s="1" t="n">
        <v>46145</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53750-2022</t>
        </is>
      </c>
      <c r="B426" s="1" t="n">
        <v>44875</v>
      </c>
      <c r="C426" s="1" t="n">
        <v>46145</v>
      </c>
      <c r="D426" t="inlineStr">
        <is>
          <t>SÖDERMANLANDS LÄN</t>
        </is>
      </c>
      <c r="E426" t="inlineStr">
        <is>
          <t>KATRINEHOLM</t>
        </is>
      </c>
      <c r="F426" t="inlineStr">
        <is>
          <t>Övriga Aktiebolag</t>
        </is>
      </c>
      <c r="G426" t="n">
        <v>12.6</v>
      </c>
      <c r="H426" t="n">
        <v>0</v>
      </c>
      <c r="I426" t="n">
        <v>0</v>
      </c>
      <c r="J426" t="n">
        <v>0</v>
      </c>
      <c r="K426" t="n">
        <v>0</v>
      </c>
      <c r="L426" t="n">
        <v>0</v>
      </c>
      <c r="M426" t="n">
        <v>0</v>
      </c>
      <c r="N426" t="n">
        <v>0</v>
      </c>
      <c r="O426" t="n">
        <v>0</v>
      </c>
      <c r="P426" t="n">
        <v>0</v>
      </c>
      <c r="Q426" t="n">
        <v>0</v>
      </c>
      <c r="R426" s="2" t="inlineStr"/>
    </row>
    <row r="427" ht="15" customHeight="1">
      <c r="A427" t="inlineStr">
        <is>
          <t>A 14245-2024</t>
        </is>
      </c>
      <c r="B427" s="1" t="n">
        <v>45393</v>
      </c>
      <c r="C427" s="1" t="n">
        <v>46145</v>
      </c>
      <c r="D427" t="inlineStr">
        <is>
          <t>SÖDERMANLANDS LÄN</t>
        </is>
      </c>
      <c r="E427" t="inlineStr">
        <is>
          <t>KATRINEHOLM</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11104-2023</t>
        </is>
      </c>
      <c r="B428" s="1" t="n">
        <v>44992</v>
      </c>
      <c r="C428" s="1" t="n">
        <v>46145</v>
      </c>
      <c r="D428" t="inlineStr">
        <is>
          <t>SÖDERMANLANDS LÄN</t>
        </is>
      </c>
      <c r="E428" t="inlineStr">
        <is>
          <t>KATRINEHOLM</t>
        </is>
      </c>
      <c r="F428" t="inlineStr">
        <is>
          <t>Allmännings- och besparingsskogar</t>
        </is>
      </c>
      <c r="G428" t="n">
        <v>7.8</v>
      </c>
      <c r="H428" t="n">
        <v>0</v>
      </c>
      <c r="I428" t="n">
        <v>0</v>
      </c>
      <c r="J428" t="n">
        <v>0</v>
      </c>
      <c r="K428" t="n">
        <v>0</v>
      </c>
      <c r="L428" t="n">
        <v>0</v>
      </c>
      <c r="M428" t="n">
        <v>0</v>
      </c>
      <c r="N428" t="n">
        <v>0</v>
      </c>
      <c r="O428" t="n">
        <v>0</v>
      </c>
      <c r="P428" t="n">
        <v>0</v>
      </c>
      <c r="Q428" t="n">
        <v>0</v>
      </c>
      <c r="R428" s="2" t="inlineStr"/>
    </row>
    <row r="429" ht="15" customHeight="1">
      <c r="A429" t="inlineStr">
        <is>
          <t>A 4387-2024</t>
        </is>
      </c>
      <c r="B429" s="1" t="n">
        <v>45327.35068287037</v>
      </c>
      <c r="C429" s="1" t="n">
        <v>46145</v>
      </c>
      <c r="D429" t="inlineStr">
        <is>
          <t>SÖDERMANLANDS LÄN</t>
        </is>
      </c>
      <c r="E429" t="inlineStr">
        <is>
          <t>KATRINEHOLM</t>
        </is>
      </c>
      <c r="G429" t="n">
        <v>1.2</v>
      </c>
      <c r="H429" t="n">
        <v>0</v>
      </c>
      <c r="I429" t="n">
        <v>0</v>
      </c>
      <c r="J429" t="n">
        <v>0</v>
      </c>
      <c r="K429" t="n">
        <v>0</v>
      </c>
      <c r="L429" t="n">
        <v>0</v>
      </c>
      <c r="M429" t="n">
        <v>0</v>
      </c>
      <c r="N429" t="n">
        <v>0</v>
      </c>
      <c r="O429" t="n">
        <v>0</v>
      </c>
      <c r="P429" t="n">
        <v>0</v>
      </c>
      <c r="Q429" t="n">
        <v>0</v>
      </c>
      <c r="R429" s="2" t="inlineStr"/>
    </row>
    <row r="430" ht="15" customHeight="1">
      <c r="A430" t="inlineStr">
        <is>
          <t>A 4872-2024</t>
        </is>
      </c>
      <c r="B430" s="1" t="n">
        <v>45329</v>
      </c>
      <c r="C430" s="1" t="n">
        <v>46145</v>
      </c>
      <c r="D430" t="inlineStr">
        <is>
          <t>SÖDERMANLANDS LÄN</t>
        </is>
      </c>
      <c r="E430" t="inlineStr">
        <is>
          <t>KATRINEHOLM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29702-2021</t>
        </is>
      </c>
      <c r="B431" s="1" t="n">
        <v>44362</v>
      </c>
      <c r="C431" s="1" t="n">
        <v>46145</v>
      </c>
      <c r="D431" t="inlineStr">
        <is>
          <t>SÖDERMANLANDS LÄN</t>
        </is>
      </c>
      <c r="E431" t="inlineStr">
        <is>
          <t>KATRINEHOLM</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3986-2024</t>
        </is>
      </c>
      <c r="B432" s="1" t="n">
        <v>45322</v>
      </c>
      <c r="C432" s="1" t="n">
        <v>46145</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10996-2022</t>
        </is>
      </c>
      <c r="B433" s="1" t="n">
        <v>44628</v>
      </c>
      <c r="C433" s="1" t="n">
        <v>46145</v>
      </c>
      <c r="D433" t="inlineStr">
        <is>
          <t>SÖDERMANLANDS LÄN</t>
        </is>
      </c>
      <c r="E433" t="inlineStr">
        <is>
          <t>KATRINEHOLM</t>
        </is>
      </c>
      <c r="G433" t="n">
        <v>0.3</v>
      </c>
      <c r="H433" t="n">
        <v>0</v>
      </c>
      <c r="I433" t="n">
        <v>0</v>
      </c>
      <c r="J433" t="n">
        <v>0</v>
      </c>
      <c r="K433" t="n">
        <v>0</v>
      </c>
      <c r="L433" t="n">
        <v>0</v>
      </c>
      <c r="M433" t="n">
        <v>0</v>
      </c>
      <c r="N433" t="n">
        <v>0</v>
      </c>
      <c r="O433" t="n">
        <v>0</v>
      </c>
      <c r="P433" t="n">
        <v>0</v>
      </c>
      <c r="Q433" t="n">
        <v>0</v>
      </c>
      <c r="R433" s="2" t="inlineStr"/>
    </row>
    <row r="434" ht="15" customHeight="1">
      <c r="A434" t="inlineStr">
        <is>
          <t>A 52744-2025</t>
        </is>
      </c>
      <c r="B434" s="1" t="n">
        <v>45957.38387731482</v>
      </c>
      <c r="C434" s="1" t="n">
        <v>46145</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42451-2023</t>
        </is>
      </c>
      <c r="B435" s="1" t="n">
        <v>45180</v>
      </c>
      <c r="C435" s="1" t="n">
        <v>46145</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46145</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13113-2023</t>
        </is>
      </c>
      <c r="B437" s="1" t="n">
        <v>45002</v>
      </c>
      <c r="C437" s="1" t="n">
        <v>46145</v>
      </c>
      <c r="D437" t="inlineStr">
        <is>
          <t>SÖDERMANLANDS LÄN</t>
        </is>
      </c>
      <c r="E437" t="inlineStr">
        <is>
          <t>KATRINEHOLM</t>
        </is>
      </c>
      <c r="F437" t="inlineStr">
        <is>
          <t>Allmännings- och besparingsskogar</t>
        </is>
      </c>
      <c r="G437" t="n">
        <v>3.6</v>
      </c>
      <c r="H437" t="n">
        <v>0</v>
      </c>
      <c r="I437" t="n">
        <v>0</v>
      </c>
      <c r="J437" t="n">
        <v>0</v>
      </c>
      <c r="K437" t="n">
        <v>0</v>
      </c>
      <c r="L437" t="n">
        <v>0</v>
      </c>
      <c r="M437" t="n">
        <v>0</v>
      </c>
      <c r="N437" t="n">
        <v>0</v>
      </c>
      <c r="O437" t="n">
        <v>0</v>
      </c>
      <c r="P437" t="n">
        <v>0</v>
      </c>
      <c r="Q437" t="n">
        <v>0</v>
      </c>
      <c r="R437" s="2" t="inlineStr"/>
    </row>
    <row r="438" ht="15" customHeight="1">
      <c r="A438" t="inlineStr">
        <is>
          <t>A 6606-2022</t>
        </is>
      </c>
      <c r="B438" s="1" t="n">
        <v>44601</v>
      </c>
      <c r="C438" s="1" t="n">
        <v>46145</v>
      </c>
      <c r="D438" t="inlineStr">
        <is>
          <t>SÖDERMANLANDS LÄN</t>
        </is>
      </c>
      <c r="E438" t="inlineStr">
        <is>
          <t>KATRINEHOLM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27646-2023</t>
        </is>
      </c>
      <c r="B439" s="1" t="n">
        <v>45097</v>
      </c>
      <c r="C439" s="1" t="n">
        <v>46145</v>
      </c>
      <c r="D439" t="inlineStr">
        <is>
          <t>SÖDERMANLANDS LÄN</t>
        </is>
      </c>
      <c r="E439" t="inlineStr">
        <is>
          <t>KATRINEHOLM</t>
        </is>
      </c>
      <c r="G439" t="n">
        <v>2.4</v>
      </c>
      <c r="H439" t="n">
        <v>0</v>
      </c>
      <c r="I439" t="n">
        <v>0</v>
      </c>
      <c r="J439" t="n">
        <v>0</v>
      </c>
      <c r="K439" t="n">
        <v>0</v>
      </c>
      <c r="L439" t="n">
        <v>0</v>
      </c>
      <c r="M439" t="n">
        <v>0</v>
      </c>
      <c r="N439" t="n">
        <v>0</v>
      </c>
      <c r="O439" t="n">
        <v>0</v>
      </c>
      <c r="P439" t="n">
        <v>0</v>
      </c>
      <c r="Q439" t="n">
        <v>0</v>
      </c>
      <c r="R439" s="2" t="inlineStr"/>
    </row>
    <row r="440" ht="15" customHeight="1">
      <c r="A440" t="inlineStr">
        <is>
          <t>A 15235-2023</t>
        </is>
      </c>
      <c r="B440" s="1" t="n">
        <v>45019</v>
      </c>
      <c r="C440" s="1" t="n">
        <v>46145</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46145</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33129-2025</t>
        </is>
      </c>
      <c r="B442" s="1" t="n">
        <v>45840.50141203704</v>
      </c>
      <c r="C442" s="1" t="n">
        <v>46145</v>
      </c>
      <c r="D442" t="inlineStr">
        <is>
          <t>SÖDERMANLANDS LÄN</t>
        </is>
      </c>
      <c r="E442" t="inlineStr">
        <is>
          <t>KATRINEHOLM</t>
        </is>
      </c>
      <c r="G442" t="n">
        <v>2.6</v>
      </c>
      <c r="H442" t="n">
        <v>0</v>
      </c>
      <c r="I442" t="n">
        <v>0</v>
      </c>
      <c r="J442" t="n">
        <v>0</v>
      </c>
      <c r="K442" t="n">
        <v>0</v>
      </c>
      <c r="L442" t="n">
        <v>0</v>
      </c>
      <c r="M442" t="n">
        <v>0</v>
      </c>
      <c r="N442" t="n">
        <v>0</v>
      </c>
      <c r="O442" t="n">
        <v>0</v>
      </c>
      <c r="P442" t="n">
        <v>0</v>
      </c>
      <c r="Q442" t="n">
        <v>0</v>
      </c>
      <c r="R442" s="2" t="inlineStr"/>
    </row>
    <row r="443" ht="15" customHeight="1">
      <c r="A443" t="inlineStr">
        <is>
          <t>A 25433-2024</t>
        </is>
      </c>
      <c r="B443" s="1" t="n">
        <v>45463</v>
      </c>
      <c r="C443" s="1" t="n">
        <v>46145</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41548-2025</t>
        </is>
      </c>
      <c r="B444" s="1" t="n">
        <v>45901</v>
      </c>
      <c r="C444" s="1" t="n">
        <v>46145</v>
      </c>
      <c r="D444" t="inlineStr">
        <is>
          <t>SÖDERMANLANDS LÄN</t>
        </is>
      </c>
      <c r="E444" t="inlineStr">
        <is>
          <t>KATRINEHOLM</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33096-2025</t>
        </is>
      </c>
      <c r="B445" s="1" t="n">
        <v>45840.47563657408</v>
      </c>
      <c r="C445" s="1" t="n">
        <v>46145</v>
      </c>
      <c r="D445" t="inlineStr">
        <is>
          <t>SÖDERMANLANDS LÄN</t>
        </is>
      </c>
      <c r="E445" t="inlineStr">
        <is>
          <t>KATRINEHOLM</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22304-2024</t>
        </is>
      </c>
      <c r="B446" s="1" t="n">
        <v>45446.56626157407</v>
      </c>
      <c r="C446" s="1" t="n">
        <v>46145</v>
      </c>
      <c r="D446" t="inlineStr">
        <is>
          <t>SÖDERMANLANDS LÄN</t>
        </is>
      </c>
      <c r="E446" t="inlineStr">
        <is>
          <t>KATRINEHOLM</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33077-2025</t>
        </is>
      </c>
      <c r="B447" s="1" t="n">
        <v>45840.45864583334</v>
      </c>
      <c r="C447" s="1" t="n">
        <v>46145</v>
      </c>
      <c r="D447" t="inlineStr">
        <is>
          <t>SÖDERMANLANDS LÄN</t>
        </is>
      </c>
      <c r="E447" t="inlineStr">
        <is>
          <t>KATRINEHOLM</t>
        </is>
      </c>
      <c r="G447" t="n">
        <v>7</v>
      </c>
      <c r="H447" t="n">
        <v>0</v>
      </c>
      <c r="I447" t="n">
        <v>0</v>
      </c>
      <c r="J447" t="n">
        <v>0</v>
      </c>
      <c r="K447" t="n">
        <v>0</v>
      </c>
      <c r="L447" t="n">
        <v>0</v>
      </c>
      <c r="M447" t="n">
        <v>0</v>
      </c>
      <c r="N447" t="n">
        <v>0</v>
      </c>
      <c r="O447" t="n">
        <v>0</v>
      </c>
      <c r="P447" t="n">
        <v>0</v>
      </c>
      <c r="Q447" t="n">
        <v>0</v>
      </c>
      <c r="R447" s="2" t="inlineStr"/>
    </row>
    <row r="448" ht="15" customHeight="1">
      <c r="A448" t="inlineStr">
        <is>
          <t>A 14224-2024</t>
        </is>
      </c>
      <c r="B448" s="1" t="n">
        <v>45393</v>
      </c>
      <c r="C448" s="1" t="n">
        <v>46145</v>
      </c>
      <c r="D448" t="inlineStr">
        <is>
          <t>SÖDERMANLANDS LÄN</t>
        </is>
      </c>
      <c r="E448" t="inlineStr">
        <is>
          <t>KATRINEHOLM</t>
        </is>
      </c>
      <c r="F448" t="inlineStr">
        <is>
          <t>Sveaskog</t>
        </is>
      </c>
      <c r="G448" t="n">
        <v>7.6</v>
      </c>
      <c r="H448" t="n">
        <v>0</v>
      </c>
      <c r="I448" t="n">
        <v>0</v>
      </c>
      <c r="J448" t="n">
        <v>0</v>
      </c>
      <c r="K448" t="n">
        <v>0</v>
      </c>
      <c r="L448" t="n">
        <v>0</v>
      </c>
      <c r="M448" t="n">
        <v>0</v>
      </c>
      <c r="N448" t="n">
        <v>0</v>
      </c>
      <c r="O448" t="n">
        <v>0</v>
      </c>
      <c r="P448" t="n">
        <v>0</v>
      </c>
      <c r="Q448" t="n">
        <v>0</v>
      </c>
      <c r="R448" s="2" t="inlineStr"/>
    </row>
    <row r="449" ht="15" customHeight="1">
      <c r="A449" t="inlineStr">
        <is>
          <t>A 33101-2025</t>
        </is>
      </c>
      <c r="B449" s="1" t="n">
        <v>45840.47953703703</v>
      </c>
      <c r="C449" s="1" t="n">
        <v>46145</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54359-2025</t>
        </is>
      </c>
      <c r="B450" s="1" t="n">
        <v>45964</v>
      </c>
      <c r="C450" s="1" t="n">
        <v>46145</v>
      </c>
      <c r="D450" t="inlineStr">
        <is>
          <t>SÖDERMANLANDS LÄN</t>
        </is>
      </c>
      <c r="E450" t="inlineStr">
        <is>
          <t>KATRINEHOLM</t>
        </is>
      </c>
      <c r="G450" t="n">
        <v>2.5</v>
      </c>
      <c r="H450" t="n">
        <v>0</v>
      </c>
      <c r="I450" t="n">
        <v>0</v>
      </c>
      <c r="J450" t="n">
        <v>0</v>
      </c>
      <c r="K450" t="n">
        <v>0</v>
      </c>
      <c r="L450" t="n">
        <v>0</v>
      </c>
      <c r="M450" t="n">
        <v>0</v>
      </c>
      <c r="N450" t="n">
        <v>0</v>
      </c>
      <c r="O450" t="n">
        <v>0</v>
      </c>
      <c r="P450" t="n">
        <v>0</v>
      </c>
      <c r="Q450" t="n">
        <v>0</v>
      </c>
      <c r="R450" s="2" t="inlineStr"/>
    </row>
    <row r="451" ht="15" customHeight="1">
      <c r="A451" t="inlineStr">
        <is>
          <t>A 54395-2025</t>
        </is>
      </c>
      <c r="B451" s="1" t="n">
        <v>45964</v>
      </c>
      <c r="C451" s="1" t="n">
        <v>46145</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23341-2023</t>
        </is>
      </c>
      <c r="B452" s="1" t="n">
        <v>45076</v>
      </c>
      <c r="C452" s="1" t="n">
        <v>46145</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36366-2023</t>
        </is>
      </c>
      <c r="B453" s="1" t="n">
        <v>45152</v>
      </c>
      <c r="C453" s="1" t="n">
        <v>46145</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36021-2023</t>
        </is>
      </c>
      <c r="B454" s="1" t="n">
        <v>45148</v>
      </c>
      <c r="C454" s="1" t="n">
        <v>46145</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55029-2025</t>
        </is>
      </c>
      <c r="B455" s="1" t="n">
        <v>45967.63784722222</v>
      </c>
      <c r="C455" s="1" t="n">
        <v>46145</v>
      </c>
      <c r="D455" t="inlineStr">
        <is>
          <t>SÖDERMANLANDS LÄN</t>
        </is>
      </c>
      <c r="E455" t="inlineStr">
        <is>
          <t>KATRINEHOLM</t>
        </is>
      </c>
      <c r="G455" t="n">
        <v>10.1</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46145</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46145</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55829-2025</t>
        </is>
      </c>
      <c r="B458" s="1" t="n">
        <v>45972.79274305556</v>
      </c>
      <c r="C458" s="1" t="n">
        <v>46145</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55832-2025</t>
        </is>
      </c>
      <c r="B459" s="1" t="n">
        <v>45972.81768518518</v>
      </c>
      <c r="C459" s="1" t="n">
        <v>46145</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29198-2023</t>
        </is>
      </c>
      <c r="B460" s="1" t="n">
        <v>45105</v>
      </c>
      <c r="C460" s="1" t="n">
        <v>46145</v>
      </c>
      <c r="D460" t="inlineStr">
        <is>
          <t>SÖDERMANLANDS LÄN</t>
        </is>
      </c>
      <c r="E460" t="inlineStr">
        <is>
          <t>KATRINEHOLM</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9992-2022</t>
        </is>
      </c>
      <c r="B461" s="1" t="n">
        <v>44621</v>
      </c>
      <c r="C461" s="1" t="n">
        <v>46145</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41267-2023</t>
        </is>
      </c>
      <c r="B462" s="1" t="n">
        <v>45174</v>
      </c>
      <c r="C462" s="1" t="n">
        <v>46145</v>
      </c>
      <c r="D462" t="inlineStr">
        <is>
          <t>SÖDERMANLANDS LÄN</t>
        </is>
      </c>
      <c r="E462" t="inlineStr">
        <is>
          <t>KATRINEHOLM</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55831-2025</t>
        </is>
      </c>
      <c r="B463" s="1" t="n">
        <v>45972.81034722222</v>
      </c>
      <c r="C463" s="1" t="n">
        <v>46145</v>
      </c>
      <c r="D463" t="inlineStr">
        <is>
          <t>SÖDERMANLANDS LÄN</t>
        </is>
      </c>
      <c r="E463" t="inlineStr">
        <is>
          <t>KATRINEHOLM</t>
        </is>
      </c>
      <c r="G463" t="n">
        <v>6.2</v>
      </c>
      <c r="H463" t="n">
        <v>0</v>
      </c>
      <c r="I463" t="n">
        <v>0</v>
      </c>
      <c r="J463" t="n">
        <v>0</v>
      </c>
      <c r="K463" t="n">
        <v>0</v>
      </c>
      <c r="L463" t="n">
        <v>0</v>
      </c>
      <c r="M463" t="n">
        <v>0</v>
      </c>
      <c r="N463" t="n">
        <v>0</v>
      </c>
      <c r="O463" t="n">
        <v>0</v>
      </c>
      <c r="P463" t="n">
        <v>0</v>
      </c>
      <c r="Q463" t="n">
        <v>0</v>
      </c>
      <c r="R463" s="2" t="inlineStr"/>
    </row>
    <row r="464" ht="15" customHeight="1">
      <c r="A464" t="inlineStr">
        <is>
          <t>A 56330-2025</t>
        </is>
      </c>
      <c r="B464" s="1" t="n">
        <v>45974.64094907408</v>
      </c>
      <c r="C464" s="1" t="n">
        <v>46145</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4650-2024</t>
        </is>
      </c>
      <c r="B465" s="1" t="n">
        <v>45328</v>
      </c>
      <c r="C465" s="1" t="n">
        <v>46145</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4652-2024</t>
        </is>
      </c>
      <c r="B466" s="1" t="n">
        <v>45328</v>
      </c>
      <c r="C466" s="1" t="n">
        <v>46145</v>
      </c>
      <c r="D466" t="inlineStr">
        <is>
          <t>SÖDERMANLANDS LÄN</t>
        </is>
      </c>
      <c r="E466" t="inlineStr">
        <is>
          <t>KATRINEHOLM</t>
        </is>
      </c>
      <c r="F466" t="inlineStr">
        <is>
          <t>Övriga Aktiebolag</t>
        </is>
      </c>
      <c r="G466" t="n">
        <v>6.1</v>
      </c>
      <c r="H466" t="n">
        <v>0</v>
      </c>
      <c r="I466" t="n">
        <v>0</v>
      </c>
      <c r="J466" t="n">
        <v>0</v>
      </c>
      <c r="K466" t="n">
        <v>0</v>
      </c>
      <c r="L466" t="n">
        <v>0</v>
      </c>
      <c r="M466" t="n">
        <v>0</v>
      </c>
      <c r="N466" t="n">
        <v>0</v>
      </c>
      <c r="O466" t="n">
        <v>0</v>
      </c>
      <c r="P466" t="n">
        <v>0</v>
      </c>
      <c r="Q466" t="n">
        <v>0</v>
      </c>
      <c r="R466" s="2" t="inlineStr"/>
    </row>
    <row r="467" ht="15" customHeight="1">
      <c r="A467" t="inlineStr">
        <is>
          <t>A 29008-2024</t>
        </is>
      </c>
      <c r="B467" s="1" t="n">
        <v>45481</v>
      </c>
      <c r="C467" s="1" t="n">
        <v>46145</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9936-2023</t>
        </is>
      </c>
      <c r="B468" s="1" t="n">
        <v>44985.47086805556</v>
      </c>
      <c r="C468" s="1" t="n">
        <v>46145</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56597-2025</t>
        </is>
      </c>
      <c r="B469" s="1" t="n">
        <v>45975.57271990741</v>
      </c>
      <c r="C469" s="1" t="n">
        <v>46145</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4645-2024</t>
        </is>
      </c>
      <c r="B470" s="1" t="n">
        <v>45328</v>
      </c>
      <c r="C470" s="1" t="n">
        <v>46145</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36001-2024</t>
        </is>
      </c>
      <c r="B471" s="1" t="n">
        <v>45533.54609953704</v>
      </c>
      <c r="C471" s="1" t="n">
        <v>46145</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57323-2025</t>
        </is>
      </c>
      <c r="B472" s="1" t="n">
        <v>45980.32501157407</v>
      </c>
      <c r="C472" s="1" t="n">
        <v>46145</v>
      </c>
      <c r="D472" t="inlineStr">
        <is>
          <t>SÖDERMANLANDS LÄN</t>
        </is>
      </c>
      <c r="E472" t="inlineStr">
        <is>
          <t>KATRINEHOLM</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36832-2023</t>
        </is>
      </c>
      <c r="B473" s="1" t="n">
        <v>45153</v>
      </c>
      <c r="C473" s="1" t="n">
        <v>46145</v>
      </c>
      <c r="D473" t="inlineStr">
        <is>
          <t>SÖDERMANLANDS LÄN</t>
        </is>
      </c>
      <c r="E473" t="inlineStr">
        <is>
          <t>KATRINEHOLM</t>
        </is>
      </c>
      <c r="F473" t="inlineStr">
        <is>
          <t>Övriga Aktiebolag</t>
        </is>
      </c>
      <c r="G473" t="n">
        <v>9</v>
      </c>
      <c r="H473" t="n">
        <v>0</v>
      </c>
      <c r="I473" t="n">
        <v>0</v>
      </c>
      <c r="J473" t="n">
        <v>0</v>
      </c>
      <c r="K473" t="n">
        <v>0</v>
      </c>
      <c r="L473" t="n">
        <v>0</v>
      </c>
      <c r="M473" t="n">
        <v>0</v>
      </c>
      <c r="N473" t="n">
        <v>0</v>
      </c>
      <c r="O473" t="n">
        <v>0</v>
      </c>
      <c r="P473" t="n">
        <v>0</v>
      </c>
      <c r="Q473" t="n">
        <v>0</v>
      </c>
      <c r="R473" s="2" t="inlineStr"/>
    </row>
    <row r="474" ht="15" customHeight="1">
      <c r="A474" t="inlineStr">
        <is>
          <t>A 28931-2024</t>
        </is>
      </c>
      <c r="B474" s="1" t="n">
        <v>45479</v>
      </c>
      <c r="C474" s="1" t="n">
        <v>46145</v>
      </c>
      <c r="D474" t="inlineStr">
        <is>
          <t>SÖDERMANLANDS LÄN</t>
        </is>
      </c>
      <c r="E474" t="inlineStr">
        <is>
          <t>KATRINEHOLM</t>
        </is>
      </c>
      <c r="G474" t="n">
        <v>7.4</v>
      </c>
      <c r="H474" t="n">
        <v>0</v>
      </c>
      <c r="I474" t="n">
        <v>0</v>
      </c>
      <c r="J474" t="n">
        <v>0</v>
      </c>
      <c r="K474" t="n">
        <v>0</v>
      </c>
      <c r="L474" t="n">
        <v>0</v>
      </c>
      <c r="M474" t="n">
        <v>0</v>
      </c>
      <c r="N474" t="n">
        <v>0</v>
      </c>
      <c r="O474" t="n">
        <v>0</v>
      </c>
      <c r="P474" t="n">
        <v>0</v>
      </c>
      <c r="Q474" t="n">
        <v>0</v>
      </c>
      <c r="R474" s="2" t="inlineStr"/>
    </row>
    <row r="475" ht="15" customHeight="1">
      <c r="A475" t="inlineStr">
        <is>
          <t>A 57975-2025</t>
        </is>
      </c>
      <c r="B475" s="1" t="n">
        <v>45981</v>
      </c>
      <c r="C475" s="1" t="n">
        <v>46145</v>
      </c>
      <c r="D475" t="inlineStr">
        <is>
          <t>SÖDERMANLANDS LÄN</t>
        </is>
      </c>
      <c r="E475" t="inlineStr">
        <is>
          <t>KATRINEHOLM</t>
        </is>
      </c>
      <c r="G475" t="n">
        <v>3.1</v>
      </c>
      <c r="H475" t="n">
        <v>0</v>
      </c>
      <c r="I475" t="n">
        <v>0</v>
      </c>
      <c r="J475" t="n">
        <v>0</v>
      </c>
      <c r="K475" t="n">
        <v>0</v>
      </c>
      <c r="L475" t="n">
        <v>0</v>
      </c>
      <c r="M475" t="n">
        <v>0</v>
      </c>
      <c r="N475" t="n">
        <v>0</v>
      </c>
      <c r="O475" t="n">
        <v>0</v>
      </c>
      <c r="P475" t="n">
        <v>0</v>
      </c>
      <c r="Q475" t="n">
        <v>0</v>
      </c>
      <c r="R475" s="2" t="inlineStr"/>
    </row>
    <row r="476" ht="15" customHeight="1">
      <c r="A476" t="inlineStr">
        <is>
          <t>A 6810-2023</t>
        </is>
      </c>
      <c r="B476" s="1" t="n">
        <v>44964</v>
      </c>
      <c r="C476" s="1" t="n">
        <v>46145</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32944-2023</t>
        </is>
      </c>
      <c r="B477" s="1" t="n">
        <v>45125</v>
      </c>
      <c r="C477" s="1" t="n">
        <v>46145</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29977-2023</t>
        </is>
      </c>
      <c r="B478" s="1" t="n">
        <v>45108</v>
      </c>
      <c r="C478" s="1" t="n">
        <v>46145</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5788-2022</t>
        </is>
      </c>
      <c r="B479" s="1" t="n">
        <v>44596.54990740741</v>
      </c>
      <c r="C479" s="1" t="n">
        <v>46145</v>
      </c>
      <c r="D479" t="inlineStr">
        <is>
          <t>SÖDERMANLANDS LÄN</t>
        </is>
      </c>
      <c r="E479" t="inlineStr">
        <is>
          <t>KATRINEHOLM</t>
        </is>
      </c>
      <c r="G479" t="n">
        <v>4.1</v>
      </c>
      <c r="H479" t="n">
        <v>0</v>
      </c>
      <c r="I479" t="n">
        <v>0</v>
      </c>
      <c r="J479" t="n">
        <v>0</v>
      </c>
      <c r="K479" t="n">
        <v>0</v>
      </c>
      <c r="L479" t="n">
        <v>0</v>
      </c>
      <c r="M479" t="n">
        <v>0</v>
      </c>
      <c r="N479" t="n">
        <v>0</v>
      </c>
      <c r="O479" t="n">
        <v>0</v>
      </c>
      <c r="P479" t="n">
        <v>0</v>
      </c>
      <c r="Q479" t="n">
        <v>0</v>
      </c>
      <c r="R479" s="2" t="inlineStr"/>
    </row>
    <row r="480" ht="15" customHeight="1">
      <c r="A480" t="inlineStr">
        <is>
          <t>A 20803-2024</t>
        </is>
      </c>
      <c r="B480" s="1" t="n">
        <v>45438</v>
      </c>
      <c r="C480" s="1" t="n">
        <v>46145</v>
      </c>
      <c r="D480" t="inlineStr">
        <is>
          <t>SÖDERMANLANDS LÄN</t>
        </is>
      </c>
      <c r="E480" t="inlineStr">
        <is>
          <t>KATRINEHOLM</t>
        </is>
      </c>
      <c r="G480" t="n">
        <v>1.5</v>
      </c>
      <c r="H480" t="n">
        <v>0</v>
      </c>
      <c r="I480" t="n">
        <v>0</v>
      </c>
      <c r="J480" t="n">
        <v>0</v>
      </c>
      <c r="K480" t="n">
        <v>0</v>
      </c>
      <c r="L480" t="n">
        <v>0</v>
      </c>
      <c r="M480" t="n">
        <v>0</v>
      </c>
      <c r="N480" t="n">
        <v>0</v>
      </c>
      <c r="O480" t="n">
        <v>0</v>
      </c>
      <c r="P480" t="n">
        <v>0</v>
      </c>
      <c r="Q480" t="n">
        <v>0</v>
      </c>
      <c r="R480" s="2" t="inlineStr"/>
    </row>
    <row r="481" ht="15" customHeight="1">
      <c r="A481" t="inlineStr">
        <is>
          <t>A 5795-2022</t>
        </is>
      </c>
      <c r="B481" s="1" t="n">
        <v>44596</v>
      </c>
      <c r="C481" s="1" t="n">
        <v>46145</v>
      </c>
      <c r="D481" t="inlineStr">
        <is>
          <t>SÖDERMANLANDS LÄN</t>
        </is>
      </c>
      <c r="E481" t="inlineStr">
        <is>
          <t>KATRINEHOLM</t>
        </is>
      </c>
      <c r="G481" t="n">
        <v>8.1</v>
      </c>
      <c r="H481" t="n">
        <v>0</v>
      </c>
      <c r="I481" t="n">
        <v>0</v>
      </c>
      <c r="J481" t="n">
        <v>0</v>
      </c>
      <c r="K481" t="n">
        <v>0</v>
      </c>
      <c r="L481" t="n">
        <v>0</v>
      </c>
      <c r="M481" t="n">
        <v>0</v>
      </c>
      <c r="N481" t="n">
        <v>0</v>
      </c>
      <c r="O481" t="n">
        <v>0</v>
      </c>
      <c r="P481" t="n">
        <v>0</v>
      </c>
      <c r="Q481" t="n">
        <v>0</v>
      </c>
      <c r="R481" s="2" t="inlineStr"/>
    </row>
    <row r="482" ht="15" customHeight="1">
      <c r="A482" t="inlineStr">
        <is>
          <t>A 3075-2022</t>
        </is>
      </c>
      <c r="B482" s="1" t="n">
        <v>44582</v>
      </c>
      <c r="C482" s="1" t="n">
        <v>46145</v>
      </c>
      <c r="D482" t="inlineStr">
        <is>
          <t>SÖDERMANLANDS LÄN</t>
        </is>
      </c>
      <c r="E482" t="inlineStr">
        <is>
          <t>KATRINEHOLM</t>
        </is>
      </c>
      <c r="G482" t="n">
        <v>3.5</v>
      </c>
      <c r="H482" t="n">
        <v>0</v>
      </c>
      <c r="I482" t="n">
        <v>0</v>
      </c>
      <c r="J482" t="n">
        <v>0</v>
      </c>
      <c r="K482" t="n">
        <v>0</v>
      </c>
      <c r="L482" t="n">
        <v>0</v>
      </c>
      <c r="M482" t="n">
        <v>0</v>
      </c>
      <c r="N482" t="n">
        <v>0</v>
      </c>
      <c r="O482" t="n">
        <v>0</v>
      </c>
      <c r="P482" t="n">
        <v>0</v>
      </c>
      <c r="Q482" t="n">
        <v>0</v>
      </c>
      <c r="R482" s="2" t="inlineStr"/>
    </row>
    <row r="483" ht="15" customHeight="1">
      <c r="A483" t="inlineStr">
        <is>
          <t>A 73409-2021</t>
        </is>
      </c>
      <c r="B483" s="1" t="n">
        <v>44551</v>
      </c>
      <c r="C483" s="1" t="n">
        <v>46145</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73415-2021</t>
        </is>
      </c>
      <c r="B484" s="1" t="n">
        <v>44551</v>
      </c>
      <c r="C484" s="1" t="n">
        <v>46145</v>
      </c>
      <c r="D484" t="inlineStr">
        <is>
          <t>SÖDERMANLANDS LÄN</t>
        </is>
      </c>
      <c r="E484" t="inlineStr">
        <is>
          <t>KATRINEHOLM</t>
        </is>
      </c>
      <c r="G484" t="n">
        <v>3.2</v>
      </c>
      <c r="H484" t="n">
        <v>0</v>
      </c>
      <c r="I484" t="n">
        <v>0</v>
      </c>
      <c r="J484" t="n">
        <v>0</v>
      </c>
      <c r="K484" t="n">
        <v>0</v>
      </c>
      <c r="L484" t="n">
        <v>0</v>
      </c>
      <c r="M484" t="n">
        <v>0</v>
      </c>
      <c r="N484" t="n">
        <v>0</v>
      </c>
      <c r="O484" t="n">
        <v>0</v>
      </c>
      <c r="P484" t="n">
        <v>0</v>
      </c>
      <c r="Q484" t="n">
        <v>0</v>
      </c>
      <c r="R484" s="2" t="inlineStr"/>
    </row>
    <row r="485" ht="15" customHeight="1">
      <c r="A485" t="inlineStr">
        <is>
          <t>A 8087-2022</t>
        </is>
      </c>
      <c r="B485" s="1" t="n">
        <v>44609.53502314815</v>
      </c>
      <c r="C485" s="1" t="n">
        <v>46145</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50935-2023</t>
        </is>
      </c>
      <c r="B486" s="1" t="n">
        <v>45211</v>
      </c>
      <c r="C486" s="1" t="n">
        <v>46145</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6298-2024</t>
        </is>
      </c>
      <c r="B487" s="1" t="n">
        <v>45338.34245370371</v>
      </c>
      <c r="C487" s="1" t="n">
        <v>46145</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33001-2024</t>
        </is>
      </c>
      <c r="B488" s="1" t="n">
        <v>45517</v>
      </c>
      <c r="C488" s="1" t="n">
        <v>46145</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58175-2024</t>
        </is>
      </c>
      <c r="B489" s="1" t="n">
        <v>45632.46648148148</v>
      </c>
      <c r="C489" s="1" t="n">
        <v>46145</v>
      </c>
      <c r="D489" t="inlineStr">
        <is>
          <t>SÖDERMANLANDS LÄN</t>
        </is>
      </c>
      <c r="E489" t="inlineStr">
        <is>
          <t>KATRINEHOLM</t>
        </is>
      </c>
      <c r="G489" t="n">
        <v>1.3</v>
      </c>
      <c r="H489" t="n">
        <v>0</v>
      </c>
      <c r="I489" t="n">
        <v>0</v>
      </c>
      <c r="J489" t="n">
        <v>0</v>
      </c>
      <c r="K489" t="n">
        <v>0</v>
      </c>
      <c r="L489" t="n">
        <v>0</v>
      </c>
      <c r="M489" t="n">
        <v>0</v>
      </c>
      <c r="N489" t="n">
        <v>0</v>
      </c>
      <c r="O489" t="n">
        <v>0</v>
      </c>
      <c r="P489" t="n">
        <v>0</v>
      </c>
      <c r="Q489" t="n">
        <v>0</v>
      </c>
      <c r="R489" s="2" t="inlineStr"/>
    </row>
    <row r="490" ht="15" customHeight="1">
      <c r="A490" t="inlineStr">
        <is>
          <t>A 53715-2023</t>
        </is>
      </c>
      <c r="B490" s="1" t="n">
        <v>45230</v>
      </c>
      <c r="C490" s="1" t="n">
        <v>46145</v>
      </c>
      <c r="D490" t="inlineStr">
        <is>
          <t>SÖDERMANLANDS LÄN</t>
        </is>
      </c>
      <c r="E490" t="inlineStr">
        <is>
          <t>KATRINEHOLM</t>
        </is>
      </c>
      <c r="F490" t="inlineStr">
        <is>
          <t>Allmännings- och besparingsskogar</t>
        </is>
      </c>
      <c r="G490" t="n">
        <v>5.6</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46145</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23705-2023</t>
        </is>
      </c>
      <c r="B492" s="1" t="n">
        <v>45077</v>
      </c>
      <c r="C492" s="1" t="n">
        <v>46145</v>
      </c>
      <c r="D492" t="inlineStr">
        <is>
          <t>SÖDERMANLANDS LÄN</t>
        </is>
      </c>
      <c r="E492" t="inlineStr">
        <is>
          <t>KATRINEHOLM</t>
        </is>
      </c>
      <c r="F492" t="inlineStr">
        <is>
          <t>Kyrkan</t>
        </is>
      </c>
      <c r="G492" t="n">
        <v>11.9</v>
      </c>
      <c r="H492" t="n">
        <v>0</v>
      </c>
      <c r="I492" t="n">
        <v>0</v>
      </c>
      <c r="J492" t="n">
        <v>0</v>
      </c>
      <c r="K492" t="n">
        <v>0</v>
      </c>
      <c r="L492" t="n">
        <v>0</v>
      </c>
      <c r="M492" t="n">
        <v>0</v>
      </c>
      <c r="N492" t="n">
        <v>0</v>
      </c>
      <c r="O492" t="n">
        <v>0</v>
      </c>
      <c r="P492" t="n">
        <v>0</v>
      </c>
      <c r="Q492" t="n">
        <v>0</v>
      </c>
      <c r="R492" s="2" t="inlineStr"/>
    </row>
    <row r="493" ht="15" customHeight="1">
      <c r="A493" t="inlineStr">
        <is>
          <t>A 60678-2025</t>
        </is>
      </c>
      <c r="B493" s="1" t="n">
        <v>45996.56251157408</v>
      </c>
      <c r="C493" s="1" t="n">
        <v>46145</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61121-2025</t>
        </is>
      </c>
      <c r="B494" s="1" t="n">
        <v>46000.46746527778</v>
      </c>
      <c r="C494" s="1" t="n">
        <v>46145</v>
      </c>
      <c r="D494" t="inlineStr">
        <is>
          <t>SÖDERMANLANDS LÄN</t>
        </is>
      </c>
      <c r="E494" t="inlineStr">
        <is>
          <t>KATRINEHOLM</t>
        </is>
      </c>
      <c r="G494" t="n">
        <v>0.2</v>
      </c>
      <c r="H494" t="n">
        <v>0</v>
      </c>
      <c r="I494" t="n">
        <v>0</v>
      </c>
      <c r="J494" t="n">
        <v>0</v>
      </c>
      <c r="K494" t="n">
        <v>0</v>
      </c>
      <c r="L494" t="n">
        <v>0</v>
      </c>
      <c r="M494" t="n">
        <v>0</v>
      </c>
      <c r="N494" t="n">
        <v>0</v>
      </c>
      <c r="O494" t="n">
        <v>0</v>
      </c>
      <c r="P494" t="n">
        <v>0</v>
      </c>
      <c r="Q494" t="n">
        <v>0</v>
      </c>
      <c r="R494" s="2" t="inlineStr"/>
    </row>
    <row r="495" ht="15" customHeight="1">
      <c r="A495" t="inlineStr">
        <is>
          <t>A 61066-2025</t>
        </is>
      </c>
      <c r="B495" s="1" t="n">
        <v>46000.37695601852</v>
      </c>
      <c r="C495" s="1" t="n">
        <v>46145</v>
      </c>
      <c r="D495" t="inlineStr">
        <is>
          <t>SÖDERMANLANDS LÄN</t>
        </is>
      </c>
      <c r="E495" t="inlineStr">
        <is>
          <t>KATRINEHOLM</t>
        </is>
      </c>
      <c r="F495" t="inlineStr">
        <is>
          <t>Kyrkan</t>
        </is>
      </c>
      <c r="G495" t="n">
        <v>5</v>
      </c>
      <c r="H495" t="n">
        <v>0</v>
      </c>
      <c r="I495" t="n">
        <v>0</v>
      </c>
      <c r="J495" t="n">
        <v>0</v>
      </c>
      <c r="K495" t="n">
        <v>0</v>
      </c>
      <c r="L495" t="n">
        <v>0</v>
      </c>
      <c r="M495" t="n">
        <v>0</v>
      </c>
      <c r="N495" t="n">
        <v>0</v>
      </c>
      <c r="O495" t="n">
        <v>0</v>
      </c>
      <c r="P495" t="n">
        <v>0</v>
      </c>
      <c r="Q495" t="n">
        <v>0</v>
      </c>
      <c r="R495" s="2" t="inlineStr"/>
    </row>
    <row r="496" ht="15" customHeight="1">
      <c r="A496" t="inlineStr">
        <is>
          <t>A 39120-2023</t>
        </is>
      </c>
      <c r="B496" s="1" t="n">
        <v>45165</v>
      </c>
      <c r="C496" s="1" t="n">
        <v>46145</v>
      </c>
      <c r="D496" t="inlineStr">
        <is>
          <t>SÖDERMANLANDS LÄN</t>
        </is>
      </c>
      <c r="E496" t="inlineStr">
        <is>
          <t>KATRINEHOLM</t>
        </is>
      </c>
      <c r="G496" t="n">
        <v>4.4</v>
      </c>
      <c r="H496" t="n">
        <v>0</v>
      </c>
      <c r="I496" t="n">
        <v>0</v>
      </c>
      <c r="J496" t="n">
        <v>0</v>
      </c>
      <c r="K496" t="n">
        <v>0</v>
      </c>
      <c r="L496" t="n">
        <v>0</v>
      </c>
      <c r="M496" t="n">
        <v>0</v>
      </c>
      <c r="N496" t="n">
        <v>0</v>
      </c>
      <c r="O496" t="n">
        <v>0</v>
      </c>
      <c r="P496" t="n">
        <v>0</v>
      </c>
      <c r="Q496" t="n">
        <v>0</v>
      </c>
      <c r="R496" s="2" t="inlineStr"/>
    </row>
    <row r="497" ht="15" customHeight="1">
      <c r="A497" t="inlineStr">
        <is>
          <t>A 61721-2025</t>
        </is>
      </c>
      <c r="B497" s="1" t="n">
        <v>46002.57778935185</v>
      </c>
      <c r="C497" s="1" t="n">
        <v>46145</v>
      </c>
      <c r="D497" t="inlineStr">
        <is>
          <t>SÖDERMANLANDS LÄN</t>
        </is>
      </c>
      <c r="E497" t="inlineStr">
        <is>
          <t>KATRINEHOLM</t>
        </is>
      </c>
      <c r="G497" t="n">
        <v>4.5</v>
      </c>
      <c r="H497" t="n">
        <v>0</v>
      </c>
      <c r="I497" t="n">
        <v>0</v>
      </c>
      <c r="J497" t="n">
        <v>0</v>
      </c>
      <c r="K497" t="n">
        <v>0</v>
      </c>
      <c r="L497" t="n">
        <v>0</v>
      </c>
      <c r="M497" t="n">
        <v>0</v>
      </c>
      <c r="N497" t="n">
        <v>0</v>
      </c>
      <c r="O497" t="n">
        <v>0</v>
      </c>
      <c r="P497" t="n">
        <v>0</v>
      </c>
      <c r="Q497" t="n">
        <v>0</v>
      </c>
      <c r="R497" s="2" t="inlineStr"/>
    </row>
    <row r="498" ht="15" customHeight="1">
      <c r="A498" t="inlineStr">
        <is>
          <t>A 51397-2023</t>
        </is>
      </c>
      <c r="B498" s="1" t="n">
        <v>45214</v>
      </c>
      <c r="C498" s="1" t="n">
        <v>46145</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19452-2023</t>
        </is>
      </c>
      <c r="B499" s="1" t="n">
        <v>45050</v>
      </c>
      <c r="C499" s="1" t="n">
        <v>46145</v>
      </c>
      <c r="D499" t="inlineStr">
        <is>
          <t>SÖDERMANLANDS LÄN</t>
        </is>
      </c>
      <c r="E499" t="inlineStr">
        <is>
          <t>KATRINEHOLM</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52658-2023</t>
        </is>
      </c>
      <c r="B500" s="1" t="n">
        <v>45225</v>
      </c>
      <c r="C500" s="1" t="n">
        <v>46145</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5320-2025</t>
        </is>
      </c>
      <c r="B501" s="1" t="n">
        <v>45692</v>
      </c>
      <c r="C501" s="1" t="n">
        <v>46145</v>
      </c>
      <c r="D501" t="inlineStr">
        <is>
          <t>SÖDERMANLANDS LÄN</t>
        </is>
      </c>
      <c r="E501" t="inlineStr">
        <is>
          <t>KATRINEHOLM</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63945-2025</t>
        </is>
      </c>
      <c r="B502" s="1" t="n">
        <v>46010</v>
      </c>
      <c r="C502" s="1" t="n">
        <v>46145</v>
      </c>
      <c r="D502" t="inlineStr">
        <is>
          <t>SÖDERMANLANDS LÄN</t>
        </is>
      </c>
      <c r="E502" t="inlineStr">
        <is>
          <t>KATRINEHOLM</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63947-2025</t>
        </is>
      </c>
      <c r="B503" s="1" t="n">
        <v>46010</v>
      </c>
      <c r="C503" s="1" t="n">
        <v>46145</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63949-2025</t>
        </is>
      </c>
      <c r="B504" s="1" t="n">
        <v>46010</v>
      </c>
      <c r="C504" s="1" t="n">
        <v>46145</v>
      </c>
      <c r="D504" t="inlineStr">
        <is>
          <t>SÖDERMANLANDS LÄN</t>
        </is>
      </c>
      <c r="E504" t="inlineStr">
        <is>
          <t>KATRINEHOLM</t>
        </is>
      </c>
      <c r="F504" t="inlineStr">
        <is>
          <t>Allmännings- och besparingsskogar</t>
        </is>
      </c>
      <c r="G504" t="n">
        <v>5.1</v>
      </c>
      <c r="H504" t="n">
        <v>0</v>
      </c>
      <c r="I504" t="n">
        <v>0</v>
      </c>
      <c r="J504" t="n">
        <v>0</v>
      </c>
      <c r="K504" t="n">
        <v>0</v>
      </c>
      <c r="L504" t="n">
        <v>0</v>
      </c>
      <c r="M504" t="n">
        <v>0</v>
      </c>
      <c r="N504" t="n">
        <v>0</v>
      </c>
      <c r="O504" t="n">
        <v>0</v>
      </c>
      <c r="P504" t="n">
        <v>0</v>
      </c>
      <c r="Q504" t="n">
        <v>0</v>
      </c>
      <c r="R504" s="2" t="inlineStr"/>
    </row>
    <row r="505" ht="15" customHeight="1">
      <c r="A505" t="inlineStr">
        <is>
          <t>A 2606-2025</t>
        </is>
      </c>
      <c r="B505" s="1" t="n">
        <v>45674</v>
      </c>
      <c r="C505" s="1" t="n">
        <v>46145</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39748-2022</t>
        </is>
      </c>
      <c r="B506" s="1" t="n">
        <v>44817</v>
      </c>
      <c r="C506" s="1" t="n">
        <v>46145</v>
      </c>
      <c r="D506" t="inlineStr">
        <is>
          <t>SÖDERMANLANDS LÄN</t>
        </is>
      </c>
      <c r="E506" t="inlineStr">
        <is>
          <t>KATRINEHOLM</t>
        </is>
      </c>
      <c r="G506" t="n">
        <v>10.2</v>
      </c>
      <c r="H506" t="n">
        <v>0</v>
      </c>
      <c r="I506" t="n">
        <v>0</v>
      </c>
      <c r="J506" t="n">
        <v>0</v>
      </c>
      <c r="K506" t="n">
        <v>0</v>
      </c>
      <c r="L506" t="n">
        <v>0</v>
      </c>
      <c r="M506" t="n">
        <v>0</v>
      </c>
      <c r="N506" t="n">
        <v>0</v>
      </c>
      <c r="O506" t="n">
        <v>0</v>
      </c>
      <c r="P506" t="n">
        <v>0</v>
      </c>
      <c r="Q506" t="n">
        <v>0</v>
      </c>
      <c r="R506" s="2" t="inlineStr"/>
    </row>
    <row r="507" ht="15" customHeight="1">
      <c r="A507" t="inlineStr">
        <is>
          <t>A 34731-2023</t>
        </is>
      </c>
      <c r="B507" s="1" t="n">
        <v>45141</v>
      </c>
      <c r="C507" s="1" t="n">
        <v>46145</v>
      </c>
      <c r="D507" t="inlineStr">
        <is>
          <t>SÖDERMANLANDS LÄN</t>
        </is>
      </c>
      <c r="E507" t="inlineStr">
        <is>
          <t>KATRINEHOLM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34739-2023</t>
        </is>
      </c>
      <c r="B508" s="1" t="n">
        <v>45141</v>
      </c>
      <c r="C508" s="1" t="n">
        <v>46145</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20480-2022</t>
        </is>
      </c>
      <c r="B509" s="1" t="n">
        <v>44699</v>
      </c>
      <c r="C509" s="1" t="n">
        <v>46145</v>
      </c>
      <c r="D509" t="inlineStr">
        <is>
          <t>SÖDERMANLANDS LÄN</t>
        </is>
      </c>
      <c r="E509" t="inlineStr">
        <is>
          <t>KATRINEHOLM</t>
        </is>
      </c>
      <c r="G509" t="n">
        <v>0.8</v>
      </c>
      <c r="H509" t="n">
        <v>0</v>
      </c>
      <c r="I509" t="n">
        <v>0</v>
      </c>
      <c r="J509" t="n">
        <v>0</v>
      </c>
      <c r="K509" t="n">
        <v>0</v>
      </c>
      <c r="L509" t="n">
        <v>0</v>
      </c>
      <c r="M509" t="n">
        <v>0</v>
      </c>
      <c r="N509" t="n">
        <v>0</v>
      </c>
      <c r="O509" t="n">
        <v>0</v>
      </c>
      <c r="P509" t="n">
        <v>0</v>
      </c>
      <c r="Q509" t="n">
        <v>0</v>
      </c>
      <c r="R509" s="2" t="inlineStr"/>
    </row>
    <row r="510" ht="15" customHeight="1">
      <c r="A510" t="inlineStr">
        <is>
          <t>A 63948-2025</t>
        </is>
      </c>
      <c r="B510" s="1" t="n">
        <v>46010</v>
      </c>
      <c r="C510" s="1" t="n">
        <v>46145</v>
      </c>
      <c r="D510" t="inlineStr">
        <is>
          <t>SÖDERMANLANDS LÄN</t>
        </is>
      </c>
      <c r="E510" t="inlineStr">
        <is>
          <t>KATRINEHOLM</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50017-2023</t>
        </is>
      </c>
      <c r="B511" s="1" t="n">
        <v>45215</v>
      </c>
      <c r="C511" s="1" t="n">
        <v>46145</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50018-2023</t>
        </is>
      </c>
      <c r="B512" s="1" t="n">
        <v>45215</v>
      </c>
      <c r="C512" s="1" t="n">
        <v>46145</v>
      </c>
      <c r="D512" t="inlineStr">
        <is>
          <t>SÖDERMANLANDS LÄN</t>
        </is>
      </c>
      <c r="E512" t="inlineStr">
        <is>
          <t>KATRINEHOLM</t>
        </is>
      </c>
      <c r="G512" t="n">
        <v>2.4</v>
      </c>
      <c r="H512" t="n">
        <v>0</v>
      </c>
      <c r="I512" t="n">
        <v>0</v>
      </c>
      <c r="J512" t="n">
        <v>0</v>
      </c>
      <c r="K512" t="n">
        <v>0</v>
      </c>
      <c r="L512" t="n">
        <v>0</v>
      </c>
      <c r="M512" t="n">
        <v>0</v>
      </c>
      <c r="N512" t="n">
        <v>0</v>
      </c>
      <c r="O512" t="n">
        <v>0</v>
      </c>
      <c r="P512" t="n">
        <v>0</v>
      </c>
      <c r="Q512" t="n">
        <v>0</v>
      </c>
      <c r="R512" s="2" t="inlineStr"/>
    </row>
    <row r="513" ht="15" customHeight="1">
      <c r="A513" t="inlineStr">
        <is>
          <t>A 28508-2023</t>
        </is>
      </c>
      <c r="B513" s="1" t="n">
        <v>45103.46788194445</v>
      </c>
      <c r="C513" s="1" t="n">
        <v>46145</v>
      </c>
      <c r="D513" t="inlineStr">
        <is>
          <t>SÖDERMANLANDS LÄN</t>
        </is>
      </c>
      <c r="E513" t="inlineStr">
        <is>
          <t>KATRINEHOLM</t>
        </is>
      </c>
      <c r="F513" t="inlineStr">
        <is>
          <t>Kyrkan</t>
        </is>
      </c>
      <c r="G513" t="n">
        <v>20.5</v>
      </c>
      <c r="H513" t="n">
        <v>0</v>
      </c>
      <c r="I513" t="n">
        <v>0</v>
      </c>
      <c r="J513" t="n">
        <v>0</v>
      </c>
      <c r="K513" t="n">
        <v>0</v>
      </c>
      <c r="L513" t="n">
        <v>0</v>
      </c>
      <c r="M513" t="n">
        <v>0</v>
      </c>
      <c r="N513" t="n">
        <v>0</v>
      </c>
      <c r="O513" t="n">
        <v>0</v>
      </c>
      <c r="P513" t="n">
        <v>0</v>
      </c>
      <c r="Q513" t="n">
        <v>0</v>
      </c>
      <c r="R513" s="2" t="inlineStr"/>
    </row>
    <row r="514" ht="15" customHeight="1">
      <c r="A514" t="inlineStr">
        <is>
          <t>A 46075-2023</t>
        </is>
      </c>
      <c r="B514" s="1" t="n">
        <v>45196</v>
      </c>
      <c r="C514" s="1" t="n">
        <v>46145</v>
      </c>
      <c r="D514" t="inlineStr">
        <is>
          <t>SÖDERMANLANDS LÄN</t>
        </is>
      </c>
      <c r="E514" t="inlineStr">
        <is>
          <t>KATRINEHOLM</t>
        </is>
      </c>
      <c r="F514" t="inlineStr">
        <is>
          <t>Övriga Aktiebolag</t>
        </is>
      </c>
      <c r="G514" t="n">
        <v>9.5</v>
      </c>
      <c r="H514" t="n">
        <v>0</v>
      </c>
      <c r="I514" t="n">
        <v>0</v>
      </c>
      <c r="J514" t="n">
        <v>0</v>
      </c>
      <c r="K514" t="n">
        <v>0</v>
      </c>
      <c r="L514" t="n">
        <v>0</v>
      </c>
      <c r="M514" t="n">
        <v>0</v>
      </c>
      <c r="N514" t="n">
        <v>0</v>
      </c>
      <c r="O514" t="n">
        <v>0</v>
      </c>
      <c r="P514" t="n">
        <v>0</v>
      </c>
      <c r="Q514" t="n">
        <v>0</v>
      </c>
      <c r="R514" s="2" t="inlineStr"/>
    </row>
    <row r="515" ht="15" customHeight="1">
      <c r="A515" t="inlineStr">
        <is>
          <t>A 25823-2023</t>
        </is>
      </c>
      <c r="B515" s="1" t="n">
        <v>45090.55078703703</v>
      </c>
      <c r="C515" s="1" t="n">
        <v>46145</v>
      </c>
      <c r="D515" t="inlineStr">
        <is>
          <t>SÖDERMANLANDS LÄN</t>
        </is>
      </c>
      <c r="E515" t="inlineStr">
        <is>
          <t>KATRINEHOLM</t>
        </is>
      </c>
      <c r="F515" t="inlineStr">
        <is>
          <t>Kyrkan</t>
        </is>
      </c>
      <c r="G515" t="n">
        <v>10.2</v>
      </c>
      <c r="H515" t="n">
        <v>0</v>
      </c>
      <c r="I515" t="n">
        <v>0</v>
      </c>
      <c r="J515" t="n">
        <v>0</v>
      </c>
      <c r="K515" t="n">
        <v>0</v>
      </c>
      <c r="L515" t="n">
        <v>0</v>
      </c>
      <c r="M515" t="n">
        <v>0</v>
      </c>
      <c r="N515" t="n">
        <v>0</v>
      </c>
      <c r="O515" t="n">
        <v>0</v>
      </c>
      <c r="P515" t="n">
        <v>0</v>
      </c>
      <c r="Q515" t="n">
        <v>0</v>
      </c>
      <c r="R515" s="2" t="inlineStr"/>
    </row>
    <row r="516" ht="15" customHeight="1">
      <c r="A516" t="inlineStr">
        <is>
          <t>A 17360-2022</t>
        </is>
      </c>
      <c r="B516" s="1" t="n">
        <v>44678</v>
      </c>
      <c r="C516" s="1" t="n">
        <v>46145</v>
      </c>
      <c r="D516" t="inlineStr">
        <is>
          <t>SÖDERMANLANDS LÄN</t>
        </is>
      </c>
      <c r="E516" t="inlineStr">
        <is>
          <t>KATRINEHOLM</t>
        </is>
      </c>
      <c r="G516" t="n">
        <v>4.5</v>
      </c>
      <c r="H516" t="n">
        <v>0</v>
      </c>
      <c r="I516" t="n">
        <v>0</v>
      </c>
      <c r="J516" t="n">
        <v>0</v>
      </c>
      <c r="K516" t="n">
        <v>0</v>
      </c>
      <c r="L516" t="n">
        <v>0</v>
      </c>
      <c r="M516" t="n">
        <v>0</v>
      </c>
      <c r="N516" t="n">
        <v>0</v>
      </c>
      <c r="O516" t="n">
        <v>0</v>
      </c>
      <c r="P516" t="n">
        <v>0</v>
      </c>
      <c r="Q516" t="n">
        <v>0</v>
      </c>
      <c r="R516" s="2" t="inlineStr"/>
    </row>
    <row r="517" ht="15" customHeight="1">
      <c r="A517" t="inlineStr">
        <is>
          <t>A 63895-2025</t>
        </is>
      </c>
      <c r="B517" s="1" t="n">
        <v>46020</v>
      </c>
      <c r="C517" s="1" t="n">
        <v>46145</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54873-2025</t>
        </is>
      </c>
      <c r="B518" s="1" t="n">
        <v>45967</v>
      </c>
      <c r="C518" s="1" t="n">
        <v>46145</v>
      </c>
      <c r="D518" t="inlineStr">
        <is>
          <t>SÖDERMANLANDS LÄN</t>
        </is>
      </c>
      <c r="E518" t="inlineStr">
        <is>
          <t>KATRINEHOLM</t>
        </is>
      </c>
      <c r="G518" t="n">
        <v>2.7</v>
      </c>
      <c r="H518" t="n">
        <v>0</v>
      </c>
      <c r="I518" t="n">
        <v>0</v>
      </c>
      <c r="J518" t="n">
        <v>0</v>
      </c>
      <c r="K518" t="n">
        <v>0</v>
      </c>
      <c r="L518" t="n">
        <v>0</v>
      </c>
      <c r="M518" t="n">
        <v>0</v>
      </c>
      <c r="N518" t="n">
        <v>0</v>
      </c>
      <c r="O518" t="n">
        <v>0</v>
      </c>
      <c r="P518" t="n">
        <v>0</v>
      </c>
      <c r="Q518" t="n">
        <v>0</v>
      </c>
      <c r="R518" s="2" t="inlineStr"/>
    </row>
    <row r="519" ht="15" customHeight="1">
      <c r="A519" t="inlineStr">
        <is>
          <t>A 22295-2024</t>
        </is>
      </c>
      <c r="B519" s="1" t="n">
        <v>45446.56141203704</v>
      </c>
      <c r="C519" s="1" t="n">
        <v>46145</v>
      </c>
      <c r="D519" t="inlineStr">
        <is>
          <t>SÖDERMANLANDS LÄN</t>
        </is>
      </c>
      <c r="E519" t="inlineStr">
        <is>
          <t>KATRINEHOLM</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1098-2026</t>
        </is>
      </c>
      <c r="B520" s="1" t="n">
        <v>46030.66519675926</v>
      </c>
      <c r="C520" s="1" t="n">
        <v>46145</v>
      </c>
      <c r="D520" t="inlineStr">
        <is>
          <t>SÖDERMANLANDS LÄN</t>
        </is>
      </c>
      <c r="E520" t="inlineStr">
        <is>
          <t>KATRINEHOLM</t>
        </is>
      </c>
      <c r="G520" t="n">
        <v>3.4</v>
      </c>
      <c r="H520" t="n">
        <v>0</v>
      </c>
      <c r="I520" t="n">
        <v>0</v>
      </c>
      <c r="J520" t="n">
        <v>0</v>
      </c>
      <c r="K520" t="n">
        <v>0</v>
      </c>
      <c r="L520" t="n">
        <v>0</v>
      </c>
      <c r="M520" t="n">
        <v>0</v>
      </c>
      <c r="N520" t="n">
        <v>0</v>
      </c>
      <c r="O520" t="n">
        <v>0</v>
      </c>
      <c r="P520" t="n">
        <v>0</v>
      </c>
      <c r="Q520" t="n">
        <v>0</v>
      </c>
      <c r="R520" s="2" t="inlineStr"/>
    </row>
    <row r="521" ht="15" customHeight="1">
      <c r="A521" t="inlineStr">
        <is>
          <t>A 1106-2026</t>
        </is>
      </c>
      <c r="B521" s="1" t="n">
        <v>46030.67123842592</v>
      </c>
      <c r="C521" s="1" t="n">
        <v>46145</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46700-2023</t>
        </is>
      </c>
      <c r="B522" s="1" t="n">
        <v>45194</v>
      </c>
      <c r="C522" s="1" t="n">
        <v>46145</v>
      </c>
      <c r="D522" t="inlineStr">
        <is>
          <t>SÖDERMANLANDS LÄN</t>
        </is>
      </c>
      <c r="E522" t="inlineStr">
        <is>
          <t>KATRINEHOLM</t>
        </is>
      </c>
      <c r="G522" t="n">
        <v>3</v>
      </c>
      <c r="H522" t="n">
        <v>0</v>
      </c>
      <c r="I522" t="n">
        <v>0</v>
      </c>
      <c r="J522" t="n">
        <v>0</v>
      </c>
      <c r="K522" t="n">
        <v>0</v>
      </c>
      <c r="L522" t="n">
        <v>0</v>
      </c>
      <c r="M522" t="n">
        <v>0</v>
      </c>
      <c r="N522" t="n">
        <v>0</v>
      </c>
      <c r="O522" t="n">
        <v>0</v>
      </c>
      <c r="P522" t="n">
        <v>0</v>
      </c>
      <c r="Q522" t="n">
        <v>0</v>
      </c>
      <c r="R522" s="2" t="inlineStr"/>
    </row>
    <row r="523" ht="15" customHeight="1">
      <c r="A523" t="inlineStr">
        <is>
          <t>A 55590-2023</t>
        </is>
      </c>
      <c r="B523" s="1" t="n">
        <v>45238</v>
      </c>
      <c r="C523" s="1" t="n">
        <v>46145</v>
      </c>
      <c r="D523" t="inlineStr">
        <is>
          <t>SÖDERMANLANDS LÄN</t>
        </is>
      </c>
      <c r="E523" t="inlineStr">
        <is>
          <t>KATRINEHOLM</t>
        </is>
      </c>
      <c r="G523" t="n">
        <v>4.5</v>
      </c>
      <c r="H523" t="n">
        <v>0</v>
      </c>
      <c r="I523" t="n">
        <v>0</v>
      </c>
      <c r="J523" t="n">
        <v>0</v>
      </c>
      <c r="K523" t="n">
        <v>0</v>
      </c>
      <c r="L523" t="n">
        <v>0</v>
      </c>
      <c r="M523" t="n">
        <v>0</v>
      </c>
      <c r="N523" t="n">
        <v>0</v>
      </c>
      <c r="O523" t="n">
        <v>0</v>
      </c>
      <c r="P523" t="n">
        <v>0</v>
      </c>
      <c r="Q523" t="n">
        <v>0</v>
      </c>
      <c r="R523" s="2" t="inlineStr"/>
    </row>
    <row r="524" ht="15" customHeight="1">
      <c r="A524" t="inlineStr">
        <is>
          <t>A 1112-2026</t>
        </is>
      </c>
      <c r="B524" s="1" t="n">
        <v>46030.68107638889</v>
      </c>
      <c r="C524" s="1" t="n">
        <v>46145</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46145</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15898-2022</t>
        </is>
      </c>
      <c r="B526" s="1" t="n">
        <v>44664.55688657407</v>
      </c>
      <c r="C526" s="1" t="n">
        <v>46145</v>
      </c>
      <c r="D526" t="inlineStr">
        <is>
          <t>SÖDERMANLANDS LÄN</t>
        </is>
      </c>
      <c r="E526" t="inlineStr">
        <is>
          <t>KATRINEHOLM</t>
        </is>
      </c>
      <c r="G526" t="n">
        <v>6.5</v>
      </c>
      <c r="H526" t="n">
        <v>0</v>
      </c>
      <c r="I526" t="n">
        <v>0</v>
      </c>
      <c r="J526" t="n">
        <v>0</v>
      </c>
      <c r="K526" t="n">
        <v>0</v>
      </c>
      <c r="L526" t="n">
        <v>0</v>
      </c>
      <c r="M526" t="n">
        <v>0</v>
      </c>
      <c r="N526" t="n">
        <v>0</v>
      </c>
      <c r="O526" t="n">
        <v>0</v>
      </c>
      <c r="P526" t="n">
        <v>0</v>
      </c>
      <c r="Q526" t="n">
        <v>0</v>
      </c>
      <c r="R526" s="2" t="inlineStr"/>
    </row>
    <row r="527" ht="15" customHeight="1">
      <c r="A527" t="inlineStr">
        <is>
          <t>A 15910-2022</t>
        </is>
      </c>
      <c r="B527" s="1" t="n">
        <v>44664</v>
      </c>
      <c r="C527" s="1" t="n">
        <v>46145</v>
      </c>
      <c r="D527" t="inlineStr">
        <is>
          <t>SÖDERMANLANDS LÄN</t>
        </is>
      </c>
      <c r="E527" t="inlineStr">
        <is>
          <t>KATRINEHOLM</t>
        </is>
      </c>
      <c r="G527" t="n">
        <v>5.6</v>
      </c>
      <c r="H527" t="n">
        <v>0</v>
      </c>
      <c r="I527" t="n">
        <v>0</v>
      </c>
      <c r="J527" t="n">
        <v>0</v>
      </c>
      <c r="K527" t="n">
        <v>0</v>
      </c>
      <c r="L527" t="n">
        <v>0</v>
      </c>
      <c r="M527" t="n">
        <v>0</v>
      </c>
      <c r="N527" t="n">
        <v>0</v>
      </c>
      <c r="O527" t="n">
        <v>0</v>
      </c>
      <c r="P527" t="n">
        <v>0</v>
      </c>
      <c r="Q527" t="n">
        <v>0</v>
      </c>
      <c r="R527" s="2" t="inlineStr"/>
    </row>
    <row r="528" ht="15" customHeight="1">
      <c r="A528" t="inlineStr">
        <is>
          <t>A 32818-2023</t>
        </is>
      </c>
      <c r="B528" s="1" t="n">
        <v>45124.55633101852</v>
      </c>
      <c r="C528" s="1" t="n">
        <v>46145</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20214-2025</t>
        </is>
      </c>
      <c r="B529" s="1" t="n">
        <v>45772.63540509259</v>
      </c>
      <c r="C529" s="1" t="n">
        <v>46145</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22272-2022</t>
        </is>
      </c>
      <c r="B530" s="1" t="n">
        <v>44712</v>
      </c>
      <c r="C530" s="1" t="n">
        <v>46145</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1668-2026</t>
        </is>
      </c>
      <c r="B531" s="1" t="n">
        <v>46034.55986111111</v>
      </c>
      <c r="C531" s="1" t="n">
        <v>46145</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27334-2023</t>
        </is>
      </c>
      <c r="B532" s="1" t="n">
        <v>45096</v>
      </c>
      <c r="C532" s="1" t="n">
        <v>46145</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40186-2023</t>
        </is>
      </c>
      <c r="B533" s="1" t="n">
        <v>45169</v>
      </c>
      <c r="C533" s="1" t="n">
        <v>46145</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47886-2023</t>
        </is>
      </c>
      <c r="B534" s="1" t="n">
        <v>45204</v>
      </c>
      <c r="C534" s="1" t="n">
        <v>46145</v>
      </c>
      <c r="D534" t="inlineStr">
        <is>
          <t>SÖDERMANLANDS LÄN</t>
        </is>
      </c>
      <c r="E534" t="inlineStr">
        <is>
          <t>KATRINEHOLM</t>
        </is>
      </c>
      <c r="G534" t="n">
        <v>22</v>
      </c>
      <c r="H534" t="n">
        <v>0</v>
      </c>
      <c r="I534" t="n">
        <v>0</v>
      </c>
      <c r="J534" t="n">
        <v>0</v>
      </c>
      <c r="K534" t="n">
        <v>0</v>
      </c>
      <c r="L534" t="n">
        <v>0</v>
      </c>
      <c r="M534" t="n">
        <v>0</v>
      </c>
      <c r="N534" t="n">
        <v>0</v>
      </c>
      <c r="O534" t="n">
        <v>0</v>
      </c>
      <c r="P534" t="n">
        <v>0</v>
      </c>
      <c r="Q534" t="n">
        <v>0</v>
      </c>
      <c r="R534" s="2" t="inlineStr"/>
    </row>
    <row r="535" ht="15" customHeight="1">
      <c r="A535" t="inlineStr">
        <is>
          <t>A 36562-2023</t>
        </is>
      </c>
      <c r="B535" s="1" t="n">
        <v>45153</v>
      </c>
      <c r="C535" s="1" t="n">
        <v>46145</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2645-2026</t>
        </is>
      </c>
      <c r="B536" s="1" t="n">
        <v>46037.62321759259</v>
      </c>
      <c r="C536" s="1" t="n">
        <v>46145</v>
      </c>
      <c r="D536" t="inlineStr">
        <is>
          <t>SÖDERMANLANDS LÄN</t>
        </is>
      </c>
      <c r="E536" t="inlineStr">
        <is>
          <t>KATRINEHOLM</t>
        </is>
      </c>
      <c r="G536" t="n">
        <v>2.1</v>
      </c>
      <c r="H536" t="n">
        <v>0</v>
      </c>
      <c r="I536" t="n">
        <v>0</v>
      </c>
      <c r="J536" t="n">
        <v>0</v>
      </c>
      <c r="K536" t="n">
        <v>0</v>
      </c>
      <c r="L536" t="n">
        <v>0</v>
      </c>
      <c r="M536" t="n">
        <v>0</v>
      </c>
      <c r="N536" t="n">
        <v>0</v>
      </c>
      <c r="O536" t="n">
        <v>0</v>
      </c>
      <c r="P536" t="n">
        <v>0</v>
      </c>
      <c r="Q536" t="n">
        <v>0</v>
      </c>
      <c r="R536" s="2" t="inlineStr"/>
    </row>
    <row r="537" ht="15" customHeight="1">
      <c r="A537" t="inlineStr">
        <is>
          <t>A 2672-2026</t>
        </is>
      </c>
      <c r="B537" s="1" t="n">
        <v>46037</v>
      </c>
      <c r="C537" s="1" t="n">
        <v>46145</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2913-2026</t>
        </is>
      </c>
      <c r="B538" s="1" t="n">
        <v>46038.56913194444</v>
      </c>
      <c r="C538" s="1" t="n">
        <v>46145</v>
      </c>
      <c r="D538" t="inlineStr">
        <is>
          <t>SÖDERMANLANDS LÄN</t>
        </is>
      </c>
      <c r="E538" t="inlineStr">
        <is>
          <t>KATRINEHOLM</t>
        </is>
      </c>
      <c r="F538" t="inlineStr">
        <is>
          <t>Övriga Aktiebolag</t>
        </is>
      </c>
      <c r="G538" t="n">
        <v>6.2</v>
      </c>
      <c r="H538" t="n">
        <v>0</v>
      </c>
      <c r="I538" t="n">
        <v>0</v>
      </c>
      <c r="J538" t="n">
        <v>0</v>
      </c>
      <c r="K538" t="n">
        <v>0</v>
      </c>
      <c r="L538" t="n">
        <v>0</v>
      </c>
      <c r="M538" t="n">
        <v>0</v>
      </c>
      <c r="N538" t="n">
        <v>0</v>
      </c>
      <c r="O538" t="n">
        <v>0</v>
      </c>
      <c r="P538" t="n">
        <v>0</v>
      </c>
      <c r="Q538" t="n">
        <v>0</v>
      </c>
      <c r="R538" s="2" t="inlineStr"/>
    </row>
    <row r="539" ht="15" customHeight="1">
      <c r="A539" t="inlineStr">
        <is>
          <t>A 34539-2022</t>
        </is>
      </c>
      <c r="B539" s="1" t="n">
        <v>44793.50563657407</v>
      </c>
      <c r="C539" s="1" t="n">
        <v>46145</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41205-2021</t>
        </is>
      </c>
      <c r="B540" s="1" t="n">
        <v>44424.38577546296</v>
      </c>
      <c r="C540" s="1" t="n">
        <v>46145</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2473-2026</t>
        </is>
      </c>
      <c r="B541" s="1" t="n">
        <v>46037.37704861111</v>
      </c>
      <c r="C541" s="1" t="n">
        <v>46145</v>
      </c>
      <c r="D541" t="inlineStr">
        <is>
          <t>SÖDERMANLANDS LÄN</t>
        </is>
      </c>
      <c r="E541" t="inlineStr">
        <is>
          <t>KATRINEHOLM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24748-2024</t>
        </is>
      </c>
      <c r="B542" s="1" t="n">
        <v>45460.66567129629</v>
      </c>
      <c r="C542" s="1" t="n">
        <v>46145</v>
      </c>
      <c r="D542" t="inlineStr">
        <is>
          <t>SÖDERMANLANDS LÄN</t>
        </is>
      </c>
      <c r="E542" t="inlineStr">
        <is>
          <t>KATRINEHOLM</t>
        </is>
      </c>
      <c r="G542" t="n">
        <v>3.3</v>
      </c>
      <c r="H542" t="n">
        <v>0</v>
      </c>
      <c r="I542" t="n">
        <v>0</v>
      </c>
      <c r="J542" t="n">
        <v>0</v>
      </c>
      <c r="K542" t="n">
        <v>0</v>
      </c>
      <c r="L542" t="n">
        <v>0</v>
      </c>
      <c r="M542" t="n">
        <v>0</v>
      </c>
      <c r="N542" t="n">
        <v>0</v>
      </c>
      <c r="O542" t="n">
        <v>0</v>
      </c>
      <c r="P542" t="n">
        <v>0</v>
      </c>
      <c r="Q542" t="n">
        <v>0</v>
      </c>
      <c r="R542" s="2" t="inlineStr"/>
    </row>
    <row r="543" ht="15" customHeight="1">
      <c r="A543" t="inlineStr">
        <is>
          <t>A 40402-2022</t>
        </is>
      </c>
      <c r="B543" s="1" t="n">
        <v>44823.44353009259</v>
      </c>
      <c r="C543" s="1" t="n">
        <v>46145</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17792-2025</t>
        </is>
      </c>
      <c r="B544" s="1" t="n">
        <v>45758</v>
      </c>
      <c r="C544" s="1" t="n">
        <v>46145</v>
      </c>
      <c r="D544" t="inlineStr">
        <is>
          <t>SÖDERMANLANDS LÄN</t>
        </is>
      </c>
      <c r="E544" t="inlineStr">
        <is>
          <t>KATRINEHOLM</t>
        </is>
      </c>
      <c r="G544" t="n">
        <v>4.2</v>
      </c>
      <c r="H544" t="n">
        <v>0</v>
      </c>
      <c r="I544" t="n">
        <v>0</v>
      </c>
      <c r="J544" t="n">
        <v>0</v>
      </c>
      <c r="K544" t="n">
        <v>0</v>
      </c>
      <c r="L544" t="n">
        <v>0</v>
      </c>
      <c r="M544" t="n">
        <v>0</v>
      </c>
      <c r="N544" t="n">
        <v>0</v>
      </c>
      <c r="O544" t="n">
        <v>0</v>
      </c>
      <c r="P544" t="n">
        <v>0</v>
      </c>
      <c r="Q544" t="n">
        <v>0</v>
      </c>
      <c r="R544" s="2" t="inlineStr"/>
    </row>
    <row r="545" ht="15" customHeight="1">
      <c r="A545" t="inlineStr">
        <is>
          <t>A 17820-2025</t>
        </is>
      </c>
      <c r="B545" s="1" t="n">
        <v>45758</v>
      </c>
      <c r="C545" s="1" t="n">
        <v>46145</v>
      </c>
      <c r="D545" t="inlineStr">
        <is>
          <t>SÖDERMANLANDS LÄN</t>
        </is>
      </c>
      <c r="E545" t="inlineStr">
        <is>
          <t>KATRINEHOLM</t>
        </is>
      </c>
      <c r="G545" t="n">
        <v>5.9</v>
      </c>
      <c r="H545" t="n">
        <v>0</v>
      </c>
      <c r="I545" t="n">
        <v>0</v>
      </c>
      <c r="J545" t="n">
        <v>0</v>
      </c>
      <c r="K545" t="n">
        <v>0</v>
      </c>
      <c r="L545" t="n">
        <v>0</v>
      </c>
      <c r="M545" t="n">
        <v>0</v>
      </c>
      <c r="N545" t="n">
        <v>0</v>
      </c>
      <c r="O545" t="n">
        <v>0</v>
      </c>
      <c r="P545" t="n">
        <v>0</v>
      </c>
      <c r="Q545" t="n">
        <v>0</v>
      </c>
      <c r="R545" s="2" t="inlineStr"/>
    </row>
    <row r="546" ht="15" customHeight="1">
      <c r="A546" t="inlineStr">
        <is>
          <t>A 30387-2022</t>
        </is>
      </c>
      <c r="B546" s="1" t="n">
        <v>44760</v>
      </c>
      <c r="C546" s="1" t="n">
        <v>46145</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39052-2023</t>
        </is>
      </c>
      <c r="B547" s="1" t="n">
        <v>45163</v>
      </c>
      <c r="C547" s="1" t="n">
        <v>46145</v>
      </c>
      <c r="D547" t="inlineStr">
        <is>
          <t>SÖDERMANLANDS LÄN</t>
        </is>
      </c>
      <c r="E547" t="inlineStr">
        <is>
          <t>KATRINEHOLM</t>
        </is>
      </c>
      <c r="G547" t="n">
        <v>3</v>
      </c>
      <c r="H547" t="n">
        <v>0</v>
      </c>
      <c r="I547" t="n">
        <v>0</v>
      </c>
      <c r="J547" t="n">
        <v>0</v>
      </c>
      <c r="K547" t="n">
        <v>0</v>
      </c>
      <c r="L547" t="n">
        <v>0</v>
      </c>
      <c r="M547" t="n">
        <v>0</v>
      </c>
      <c r="N547" t="n">
        <v>0</v>
      </c>
      <c r="O547" t="n">
        <v>0</v>
      </c>
      <c r="P547" t="n">
        <v>0</v>
      </c>
      <c r="Q547" t="n">
        <v>0</v>
      </c>
      <c r="R547" s="2" t="inlineStr"/>
    </row>
    <row r="548" ht="15" customHeight="1">
      <c r="A548" t="inlineStr">
        <is>
          <t>A 8922-2024</t>
        </is>
      </c>
      <c r="B548" s="1" t="n">
        <v>45357.38601851852</v>
      </c>
      <c r="C548" s="1" t="n">
        <v>46145</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48160-2022</t>
        </is>
      </c>
      <c r="B549" s="1" t="n">
        <v>44853</v>
      </c>
      <c r="C549" s="1" t="n">
        <v>46145</v>
      </c>
      <c r="D549" t="inlineStr">
        <is>
          <t>SÖDERMANLANDS LÄN</t>
        </is>
      </c>
      <c r="E549" t="inlineStr">
        <is>
          <t>KATRINEHOLM</t>
        </is>
      </c>
      <c r="F549" t="inlineStr">
        <is>
          <t>Övriga statliga verk och myndigheter</t>
        </is>
      </c>
      <c r="G549" t="n">
        <v>2.2</v>
      </c>
      <c r="H549" t="n">
        <v>0</v>
      </c>
      <c r="I549" t="n">
        <v>0</v>
      </c>
      <c r="J549" t="n">
        <v>0</v>
      </c>
      <c r="K549" t="n">
        <v>0</v>
      </c>
      <c r="L549" t="n">
        <v>0</v>
      </c>
      <c r="M549" t="n">
        <v>0</v>
      </c>
      <c r="N549" t="n">
        <v>0</v>
      </c>
      <c r="O549" t="n">
        <v>0</v>
      </c>
      <c r="P549" t="n">
        <v>0</v>
      </c>
      <c r="Q549" t="n">
        <v>0</v>
      </c>
      <c r="R549" s="2" t="inlineStr"/>
    </row>
    <row r="550" ht="15" customHeight="1">
      <c r="A550" t="inlineStr">
        <is>
          <t>A 28317-2024</t>
        </is>
      </c>
      <c r="B550" s="1" t="n">
        <v>45477</v>
      </c>
      <c r="C550" s="1" t="n">
        <v>46145</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4889-2026</t>
        </is>
      </c>
      <c r="B551" s="1" t="n">
        <v>46048.66766203703</v>
      </c>
      <c r="C551" s="1" t="n">
        <v>46145</v>
      </c>
      <c r="D551" t="inlineStr">
        <is>
          <t>SÖDERMANLANDS LÄN</t>
        </is>
      </c>
      <c r="E551" t="inlineStr">
        <is>
          <t>KATRINEHOLM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66393-2021</t>
        </is>
      </c>
      <c r="B552" s="1" t="n">
        <v>44518</v>
      </c>
      <c r="C552" s="1" t="n">
        <v>46145</v>
      </c>
      <c r="D552" t="inlineStr">
        <is>
          <t>SÖDERMANLANDS LÄN</t>
        </is>
      </c>
      <c r="E552" t="inlineStr">
        <is>
          <t>KATRINEHOLM</t>
        </is>
      </c>
      <c r="F552" t="inlineStr">
        <is>
          <t>Holmen skog AB</t>
        </is>
      </c>
      <c r="G552" t="n">
        <v>0.4</v>
      </c>
      <c r="H552" t="n">
        <v>0</v>
      </c>
      <c r="I552" t="n">
        <v>0</v>
      </c>
      <c r="J552" t="n">
        <v>0</v>
      </c>
      <c r="K552" t="n">
        <v>0</v>
      </c>
      <c r="L552" t="n">
        <v>0</v>
      </c>
      <c r="M552" t="n">
        <v>0</v>
      </c>
      <c r="N552" t="n">
        <v>0</v>
      </c>
      <c r="O552" t="n">
        <v>0</v>
      </c>
      <c r="P552" t="n">
        <v>0</v>
      </c>
      <c r="Q552" t="n">
        <v>0</v>
      </c>
      <c r="R552" s="2" t="inlineStr"/>
    </row>
    <row r="553" ht="15" customHeight="1">
      <c r="A553" t="inlineStr">
        <is>
          <t>A 47134-2022</t>
        </is>
      </c>
      <c r="B553" s="1" t="n">
        <v>44851</v>
      </c>
      <c r="C553" s="1" t="n">
        <v>46145</v>
      </c>
      <c r="D553" t="inlineStr">
        <is>
          <t>SÖDERMANLANDS LÄN</t>
        </is>
      </c>
      <c r="E553" t="inlineStr">
        <is>
          <t>KATRINEHOLM</t>
        </is>
      </c>
      <c r="F553" t="inlineStr">
        <is>
          <t>Övriga statliga verk och myndigheter</t>
        </is>
      </c>
      <c r="G553" t="n">
        <v>1.5</v>
      </c>
      <c r="H553" t="n">
        <v>0</v>
      </c>
      <c r="I553" t="n">
        <v>0</v>
      </c>
      <c r="J553" t="n">
        <v>0</v>
      </c>
      <c r="K553" t="n">
        <v>0</v>
      </c>
      <c r="L553" t="n">
        <v>0</v>
      </c>
      <c r="M553" t="n">
        <v>0</v>
      </c>
      <c r="N553" t="n">
        <v>0</v>
      </c>
      <c r="O553" t="n">
        <v>0</v>
      </c>
      <c r="P553" t="n">
        <v>0</v>
      </c>
      <c r="Q553" t="n">
        <v>0</v>
      </c>
      <c r="R553" s="2" t="inlineStr"/>
    </row>
    <row r="554" ht="15" customHeight="1">
      <c r="A554" t="inlineStr">
        <is>
          <t>A 1143-2024</t>
        </is>
      </c>
      <c r="B554" s="1" t="n">
        <v>45302</v>
      </c>
      <c r="C554" s="1" t="n">
        <v>46145</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3982-2024</t>
        </is>
      </c>
      <c r="B555" s="1" t="n">
        <v>45322</v>
      </c>
      <c r="C555" s="1" t="n">
        <v>46145</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57263-2022</t>
        </is>
      </c>
      <c r="B556" s="1" t="n">
        <v>44895</v>
      </c>
      <c r="C556" s="1" t="n">
        <v>46145</v>
      </c>
      <c r="D556" t="inlineStr">
        <is>
          <t>SÖDERMANLANDS LÄN</t>
        </is>
      </c>
      <c r="E556" t="inlineStr">
        <is>
          <t>KATRINEHOLM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28431-2024</t>
        </is>
      </c>
      <c r="B557" s="1" t="n">
        <v>45477.65216435185</v>
      </c>
      <c r="C557" s="1" t="n">
        <v>46145</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5703-2026</t>
        </is>
      </c>
      <c r="B558" s="1" t="n">
        <v>46051.50774305555</v>
      </c>
      <c r="C558" s="1" t="n">
        <v>46145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62418-2023</t>
        </is>
      </c>
      <c r="B559" s="1" t="n">
        <v>45268</v>
      </c>
      <c r="C559" s="1" t="n">
        <v>46145</v>
      </c>
      <c r="D559" t="inlineStr">
        <is>
          <t>SÖDERMANLANDS LÄN</t>
        </is>
      </c>
      <c r="E559" t="inlineStr">
        <is>
          <t>KATRINEHOLM</t>
        </is>
      </c>
      <c r="G559" t="n">
        <v>3</v>
      </c>
      <c r="H559" t="n">
        <v>0</v>
      </c>
      <c r="I559" t="n">
        <v>0</v>
      </c>
      <c r="J559" t="n">
        <v>0</v>
      </c>
      <c r="K559" t="n">
        <v>0</v>
      </c>
      <c r="L559" t="n">
        <v>0</v>
      </c>
      <c r="M559" t="n">
        <v>0</v>
      </c>
      <c r="N559" t="n">
        <v>0</v>
      </c>
      <c r="O559" t="n">
        <v>0</v>
      </c>
      <c r="P559" t="n">
        <v>0</v>
      </c>
      <c r="Q559" t="n">
        <v>0</v>
      </c>
      <c r="R559" s="2" t="inlineStr"/>
    </row>
    <row r="560" ht="15" customHeight="1">
      <c r="A560" t="inlineStr">
        <is>
          <t>A 45142-2021</t>
        </is>
      </c>
      <c r="B560" s="1" t="n">
        <v>44439</v>
      </c>
      <c r="C560" s="1" t="n">
        <v>46145</v>
      </c>
      <c r="D560" t="inlineStr">
        <is>
          <t>SÖDERMANLANDS LÄN</t>
        </is>
      </c>
      <c r="E560" t="inlineStr">
        <is>
          <t>KATRINEHOLM</t>
        </is>
      </c>
      <c r="G560" t="n">
        <v>1.8</v>
      </c>
      <c r="H560" t="n">
        <v>0</v>
      </c>
      <c r="I560" t="n">
        <v>0</v>
      </c>
      <c r="J560" t="n">
        <v>0</v>
      </c>
      <c r="K560" t="n">
        <v>0</v>
      </c>
      <c r="L560" t="n">
        <v>0</v>
      </c>
      <c r="M560" t="n">
        <v>0</v>
      </c>
      <c r="N560" t="n">
        <v>0</v>
      </c>
      <c r="O560" t="n">
        <v>0</v>
      </c>
      <c r="P560" t="n">
        <v>0</v>
      </c>
      <c r="Q560" t="n">
        <v>0</v>
      </c>
      <c r="R560" s="2" t="inlineStr"/>
    </row>
    <row r="561" ht="15" customHeight="1">
      <c r="A561" t="inlineStr">
        <is>
          <t>A 7191-2023</t>
        </is>
      </c>
      <c r="B561" s="1" t="n">
        <v>44965</v>
      </c>
      <c r="C561" s="1" t="n">
        <v>46145</v>
      </c>
      <c r="D561" t="inlineStr">
        <is>
          <t>SÖDERMANLANDS LÄN</t>
        </is>
      </c>
      <c r="E561" t="inlineStr">
        <is>
          <t>KATRINEHOLM</t>
        </is>
      </c>
      <c r="G561" t="n">
        <v>14.1</v>
      </c>
      <c r="H561" t="n">
        <v>0</v>
      </c>
      <c r="I561" t="n">
        <v>0</v>
      </c>
      <c r="J561" t="n">
        <v>0</v>
      </c>
      <c r="K561" t="n">
        <v>0</v>
      </c>
      <c r="L561" t="n">
        <v>0</v>
      </c>
      <c r="M561" t="n">
        <v>0</v>
      </c>
      <c r="N561" t="n">
        <v>0</v>
      </c>
      <c r="O561" t="n">
        <v>0</v>
      </c>
      <c r="P561" t="n">
        <v>0</v>
      </c>
      <c r="Q561" t="n">
        <v>0</v>
      </c>
      <c r="R561" s="2" t="inlineStr"/>
    </row>
    <row r="562" ht="15" customHeight="1">
      <c r="A562" t="inlineStr">
        <is>
          <t>A 66540-2021</t>
        </is>
      </c>
      <c r="B562" s="1" t="n">
        <v>44519</v>
      </c>
      <c r="C562" s="1" t="n">
        <v>46145</v>
      </c>
      <c r="D562" t="inlineStr">
        <is>
          <t>SÖDERMANLANDS LÄN</t>
        </is>
      </c>
      <c r="E562" t="inlineStr">
        <is>
          <t>KATRINEHOLM</t>
        </is>
      </c>
      <c r="F562" t="inlineStr">
        <is>
          <t>Holmen skog AB</t>
        </is>
      </c>
      <c r="G562" t="n">
        <v>0.4</v>
      </c>
      <c r="H562" t="n">
        <v>0</v>
      </c>
      <c r="I562" t="n">
        <v>0</v>
      </c>
      <c r="J562" t="n">
        <v>0</v>
      </c>
      <c r="K562" t="n">
        <v>0</v>
      </c>
      <c r="L562" t="n">
        <v>0</v>
      </c>
      <c r="M562" t="n">
        <v>0</v>
      </c>
      <c r="N562" t="n">
        <v>0</v>
      </c>
      <c r="O562" t="n">
        <v>0</v>
      </c>
      <c r="P562" t="n">
        <v>0</v>
      </c>
      <c r="Q562" t="n">
        <v>0</v>
      </c>
      <c r="R562" s="2" t="inlineStr"/>
    </row>
    <row r="563" ht="15" customHeight="1">
      <c r="A563" t="inlineStr">
        <is>
          <t>A 8394-2024</t>
        </is>
      </c>
      <c r="B563" s="1" t="n">
        <v>45352</v>
      </c>
      <c r="C563" s="1" t="n">
        <v>46145</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13658-2023</t>
        </is>
      </c>
      <c r="B564" s="1" t="n">
        <v>45006</v>
      </c>
      <c r="C564" s="1" t="n">
        <v>46145</v>
      </c>
      <c r="D564" t="inlineStr">
        <is>
          <t>SÖDERMANLANDS LÄN</t>
        </is>
      </c>
      <c r="E564" t="inlineStr">
        <is>
          <t>KATRINEHOLM</t>
        </is>
      </c>
      <c r="F564" t="inlineStr">
        <is>
          <t>Kyrkan</t>
        </is>
      </c>
      <c r="G564" t="n">
        <v>24.3</v>
      </c>
      <c r="H564" t="n">
        <v>0</v>
      </c>
      <c r="I564" t="n">
        <v>0</v>
      </c>
      <c r="J564" t="n">
        <v>0</v>
      </c>
      <c r="K564" t="n">
        <v>0</v>
      </c>
      <c r="L564" t="n">
        <v>0</v>
      </c>
      <c r="M564" t="n">
        <v>0</v>
      </c>
      <c r="N564" t="n">
        <v>0</v>
      </c>
      <c r="O564" t="n">
        <v>0</v>
      </c>
      <c r="P564" t="n">
        <v>0</v>
      </c>
      <c r="Q564" t="n">
        <v>0</v>
      </c>
      <c r="R564" s="2" t="inlineStr"/>
    </row>
    <row r="565" ht="15" customHeight="1">
      <c r="A565" t="inlineStr">
        <is>
          <t>A 61385-2023</t>
        </is>
      </c>
      <c r="B565" s="1" t="n">
        <v>45264.64241898148</v>
      </c>
      <c r="C565" s="1" t="n">
        <v>46145</v>
      </c>
      <c r="D565" t="inlineStr">
        <is>
          <t>SÖDERMANLANDS LÄN</t>
        </is>
      </c>
      <c r="E565" t="inlineStr">
        <is>
          <t>KATRINEHOLM</t>
        </is>
      </c>
      <c r="G565" t="n">
        <v>0.4</v>
      </c>
      <c r="H565" t="n">
        <v>0</v>
      </c>
      <c r="I565" t="n">
        <v>0</v>
      </c>
      <c r="J565" t="n">
        <v>0</v>
      </c>
      <c r="K565" t="n">
        <v>0</v>
      </c>
      <c r="L565" t="n">
        <v>0</v>
      </c>
      <c r="M565" t="n">
        <v>0</v>
      </c>
      <c r="N565" t="n">
        <v>0</v>
      </c>
      <c r="O565" t="n">
        <v>0</v>
      </c>
      <c r="P565" t="n">
        <v>0</v>
      </c>
      <c r="Q565" t="n">
        <v>0</v>
      </c>
      <c r="R565" s="2" t="inlineStr"/>
    </row>
    <row r="566" ht="15" customHeight="1">
      <c r="A566" t="inlineStr">
        <is>
          <t>A 55825-2022</t>
        </is>
      </c>
      <c r="B566" s="1" t="n">
        <v>44886</v>
      </c>
      <c r="C566" s="1" t="n">
        <v>46145</v>
      </c>
      <c r="D566" t="inlineStr">
        <is>
          <t>SÖDERMANLANDS LÄN</t>
        </is>
      </c>
      <c r="E566" t="inlineStr">
        <is>
          <t>KATRINEHOLM</t>
        </is>
      </c>
      <c r="G566" t="n">
        <v>1.3</v>
      </c>
      <c r="H566" t="n">
        <v>0</v>
      </c>
      <c r="I566" t="n">
        <v>0</v>
      </c>
      <c r="J566" t="n">
        <v>0</v>
      </c>
      <c r="K566" t="n">
        <v>0</v>
      </c>
      <c r="L566" t="n">
        <v>0</v>
      </c>
      <c r="M566" t="n">
        <v>0</v>
      </c>
      <c r="N566" t="n">
        <v>0</v>
      </c>
      <c r="O566" t="n">
        <v>0</v>
      </c>
      <c r="P566" t="n">
        <v>0</v>
      </c>
      <c r="Q566" t="n">
        <v>0</v>
      </c>
      <c r="R566" s="2" t="inlineStr"/>
    </row>
    <row r="567" ht="15" customHeight="1">
      <c r="A567" t="inlineStr">
        <is>
          <t>A 55856-2022</t>
        </is>
      </c>
      <c r="B567" s="1" t="n">
        <v>44888</v>
      </c>
      <c r="C567" s="1" t="n">
        <v>46145</v>
      </c>
      <c r="D567" t="inlineStr">
        <is>
          <t>SÖDERMANLANDS LÄN</t>
        </is>
      </c>
      <c r="E567" t="inlineStr">
        <is>
          <t>KATRINEHOLM</t>
        </is>
      </c>
      <c r="G567" t="n">
        <v>5.6</v>
      </c>
      <c r="H567" t="n">
        <v>0</v>
      </c>
      <c r="I567" t="n">
        <v>0</v>
      </c>
      <c r="J567" t="n">
        <v>0</v>
      </c>
      <c r="K567" t="n">
        <v>0</v>
      </c>
      <c r="L567" t="n">
        <v>0</v>
      </c>
      <c r="M567" t="n">
        <v>0</v>
      </c>
      <c r="N567" t="n">
        <v>0</v>
      </c>
      <c r="O567" t="n">
        <v>0</v>
      </c>
      <c r="P567" t="n">
        <v>0</v>
      </c>
      <c r="Q567" t="n">
        <v>0</v>
      </c>
      <c r="R567" s="2" t="inlineStr"/>
    </row>
    <row r="568" ht="15" customHeight="1">
      <c r="A568" t="inlineStr">
        <is>
          <t>A 43513-2023</t>
        </is>
      </c>
      <c r="B568" s="1" t="n">
        <v>45184</v>
      </c>
      <c r="C568" s="1" t="n">
        <v>46145</v>
      </c>
      <c r="D568" t="inlineStr">
        <is>
          <t>SÖDERMANLANDS LÄN</t>
        </is>
      </c>
      <c r="E568" t="inlineStr">
        <is>
          <t>KATRINEHOLM</t>
        </is>
      </c>
      <c r="G568" t="n">
        <v>3.8</v>
      </c>
      <c r="H568" t="n">
        <v>0</v>
      </c>
      <c r="I568" t="n">
        <v>0</v>
      </c>
      <c r="J568" t="n">
        <v>0</v>
      </c>
      <c r="K568" t="n">
        <v>0</v>
      </c>
      <c r="L568" t="n">
        <v>0</v>
      </c>
      <c r="M568" t="n">
        <v>0</v>
      </c>
      <c r="N568" t="n">
        <v>0</v>
      </c>
      <c r="O568" t="n">
        <v>0</v>
      </c>
      <c r="P568" t="n">
        <v>0</v>
      </c>
      <c r="Q568" t="n">
        <v>0</v>
      </c>
      <c r="R568" s="2" t="inlineStr"/>
    </row>
    <row r="569" ht="15" customHeight="1">
      <c r="A569" t="inlineStr">
        <is>
          <t>A 8951-2024</t>
        </is>
      </c>
      <c r="B569" s="1" t="n">
        <v>45357.44695601852</v>
      </c>
      <c r="C569" s="1" t="n">
        <v>46145</v>
      </c>
      <c r="D569" t="inlineStr">
        <is>
          <t>SÖDERMANLANDS LÄN</t>
        </is>
      </c>
      <c r="E569" t="inlineStr">
        <is>
          <t>KATRINEHOLM</t>
        </is>
      </c>
      <c r="G569" t="n">
        <v>3.3</v>
      </c>
      <c r="H569" t="n">
        <v>0</v>
      </c>
      <c r="I569" t="n">
        <v>0</v>
      </c>
      <c r="J569" t="n">
        <v>0</v>
      </c>
      <c r="K569" t="n">
        <v>0</v>
      </c>
      <c r="L569" t="n">
        <v>0</v>
      </c>
      <c r="M569" t="n">
        <v>0</v>
      </c>
      <c r="N569" t="n">
        <v>0</v>
      </c>
      <c r="O569" t="n">
        <v>0</v>
      </c>
      <c r="P569" t="n">
        <v>0</v>
      </c>
      <c r="Q569" t="n">
        <v>0</v>
      </c>
      <c r="R569" s="2" t="inlineStr"/>
    </row>
    <row r="570" ht="15" customHeight="1">
      <c r="A570" t="inlineStr">
        <is>
          <t>A 8955-2024</t>
        </is>
      </c>
      <c r="B570" s="1" t="n">
        <v>45357.44873842593</v>
      </c>
      <c r="C570" s="1" t="n">
        <v>46145</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15945-2024</t>
        </is>
      </c>
      <c r="B571" s="1" t="n">
        <v>45405.48912037037</v>
      </c>
      <c r="C571" s="1" t="n">
        <v>46145</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4655-2024</t>
        </is>
      </c>
      <c r="B572" s="1" t="n">
        <v>45328</v>
      </c>
      <c r="C572" s="1" t="n">
        <v>46145</v>
      </c>
      <c r="D572" t="inlineStr">
        <is>
          <t>SÖDERMANLANDS LÄN</t>
        </is>
      </c>
      <c r="E572" t="inlineStr">
        <is>
          <t>KATRINEHOLM</t>
        </is>
      </c>
      <c r="G572" t="n">
        <v>17.7</v>
      </c>
      <c r="H572" t="n">
        <v>0</v>
      </c>
      <c r="I572" t="n">
        <v>0</v>
      </c>
      <c r="J572" t="n">
        <v>0</v>
      </c>
      <c r="K572" t="n">
        <v>0</v>
      </c>
      <c r="L572" t="n">
        <v>0</v>
      </c>
      <c r="M572" t="n">
        <v>0</v>
      </c>
      <c r="N572" t="n">
        <v>0</v>
      </c>
      <c r="O572" t="n">
        <v>0</v>
      </c>
      <c r="P572" t="n">
        <v>0</v>
      </c>
      <c r="Q572" t="n">
        <v>0</v>
      </c>
      <c r="R572" s="2" t="inlineStr"/>
    </row>
    <row r="573" ht="15" customHeight="1">
      <c r="A573" t="inlineStr">
        <is>
          <t>A 53387-2023</t>
        </is>
      </c>
      <c r="B573" s="1" t="n">
        <v>45229</v>
      </c>
      <c r="C573" s="1" t="n">
        <v>46145</v>
      </c>
      <c r="D573" t="inlineStr">
        <is>
          <t>SÖDERMANLANDS LÄN</t>
        </is>
      </c>
      <c r="E573" t="inlineStr">
        <is>
          <t>KATRINEHOLM</t>
        </is>
      </c>
      <c r="F573" t="inlineStr">
        <is>
          <t>Kyrkan</t>
        </is>
      </c>
      <c r="G573" t="n">
        <v>7.4</v>
      </c>
      <c r="H573" t="n">
        <v>0</v>
      </c>
      <c r="I573" t="n">
        <v>0</v>
      </c>
      <c r="J573" t="n">
        <v>0</v>
      </c>
      <c r="K573" t="n">
        <v>0</v>
      </c>
      <c r="L573" t="n">
        <v>0</v>
      </c>
      <c r="M573" t="n">
        <v>0</v>
      </c>
      <c r="N573" t="n">
        <v>0</v>
      </c>
      <c r="O573" t="n">
        <v>0</v>
      </c>
      <c r="P573" t="n">
        <v>0</v>
      </c>
      <c r="Q573" t="n">
        <v>0</v>
      </c>
      <c r="R573" s="2" t="inlineStr"/>
    </row>
    <row r="574" ht="15" customHeight="1">
      <c r="A574" t="inlineStr">
        <is>
          <t>A 7513-2026</t>
        </is>
      </c>
      <c r="B574" s="1" t="n">
        <v>46059.59083333334</v>
      </c>
      <c r="C574" s="1" t="n">
        <v>46145</v>
      </c>
      <c r="D574" t="inlineStr">
        <is>
          <t>SÖDERMANLANDS LÄN</t>
        </is>
      </c>
      <c r="E574" t="inlineStr">
        <is>
          <t>KATRINEHOLM</t>
        </is>
      </c>
      <c r="F574" t="inlineStr">
        <is>
          <t>Övriga Aktiebolag</t>
        </is>
      </c>
      <c r="G574" t="n">
        <v>5</v>
      </c>
      <c r="H574" t="n">
        <v>0</v>
      </c>
      <c r="I574" t="n">
        <v>0</v>
      </c>
      <c r="J574" t="n">
        <v>0</v>
      </c>
      <c r="K574" t="n">
        <v>0</v>
      </c>
      <c r="L574" t="n">
        <v>0</v>
      </c>
      <c r="M574" t="n">
        <v>0</v>
      </c>
      <c r="N574" t="n">
        <v>0</v>
      </c>
      <c r="O574" t="n">
        <v>0</v>
      </c>
      <c r="P574" t="n">
        <v>0</v>
      </c>
      <c r="Q574" t="n">
        <v>0</v>
      </c>
      <c r="R574" s="2" t="inlineStr"/>
    </row>
    <row r="575" ht="15" customHeight="1">
      <c r="A575" t="inlineStr">
        <is>
          <t>A 42590-2022</t>
        </is>
      </c>
      <c r="B575" s="1" t="n">
        <v>44831</v>
      </c>
      <c r="C575" s="1" t="n">
        <v>46145</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38883-2024</t>
        </is>
      </c>
      <c r="B576" s="1" t="n">
        <v>45547</v>
      </c>
      <c r="C576" s="1" t="n">
        <v>46145</v>
      </c>
      <c r="D576" t="inlineStr">
        <is>
          <t>SÖDERMANLANDS LÄN</t>
        </is>
      </c>
      <c r="E576" t="inlineStr">
        <is>
          <t>KATRINEHOLM</t>
        </is>
      </c>
      <c r="G576" t="n">
        <v>3.1</v>
      </c>
      <c r="H576" t="n">
        <v>0</v>
      </c>
      <c r="I576" t="n">
        <v>0</v>
      </c>
      <c r="J576" t="n">
        <v>0</v>
      </c>
      <c r="K576" t="n">
        <v>0</v>
      </c>
      <c r="L576" t="n">
        <v>0</v>
      </c>
      <c r="M576" t="n">
        <v>0</v>
      </c>
      <c r="N576" t="n">
        <v>0</v>
      </c>
      <c r="O576" t="n">
        <v>0</v>
      </c>
      <c r="P576" t="n">
        <v>0</v>
      </c>
      <c r="Q576" t="n">
        <v>0</v>
      </c>
      <c r="R576" s="2" t="inlineStr"/>
    </row>
    <row r="577" ht="15" customHeight="1">
      <c r="A577" t="inlineStr">
        <is>
          <t>A 4667-2024</t>
        </is>
      </c>
      <c r="B577" s="1" t="n">
        <v>45328.47</v>
      </c>
      <c r="C577" s="1" t="n">
        <v>46145</v>
      </c>
      <c r="D577" t="inlineStr">
        <is>
          <t>SÖDERMANLANDS LÄN</t>
        </is>
      </c>
      <c r="E577" t="inlineStr">
        <is>
          <t>KATRINEHOLM</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39704-2023</t>
        </is>
      </c>
      <c r="B578" s="1" t="n">
        <v>45167</v>
      </c>
      <c r="C578" s="1" t="n">
        <v>46145</v>
      </c>
      <c r="D578" t="inlineStr">
        <is>
          <t>SÖDERMANLANDS LÄN</t>
        </is>
      </c>
      <c r="E578" t="inlineStr">
        <is>
          <t>KATRINEHOLM</t>
        </is>
      </c>
      <c r="F578" t="inlineStr">
        <is>
          <t>Övriga Aktiebolag</t>
        </is>
      </c>
      <c r="G578" t="n">
        <v>3.4</v>
      </c>
      <c r="H578" t="n">
        <v>0</v>
      </c>
      <c r="I578" t="n">
        <v>0</v>
      </c>
      <c r="J578" t="n">
        <v>0</v>
      </c>
      <c r="K578" t="n">
        <v>0</v>
      </c>
      <c r="L578" t="n">
        <v>0</v>
      </c>
      <c r="M578" t="n">
        <v>0</v>
      </c>
      <c r="N578" t="n">
        <v>0</v>
      </c>
      <c r="O578" t="n">
        <v>0</v>
      </c>
      <c r="P578" t="n">
        <v>0</v>
      </c>
      <c r="Q578" t="n">
        <v>0</v>
      </c>
      <c r="R578" s="2" t="inlineStr"/>
    </row>
    <row r="579" ht="15" customHeight="1">
      <c r="A579" t="inlineStr">
        <is>
          <t>A 16087-2023</t>
        </is>
      </c>
      <c r="B579" s="1" t="n">
        <v>45026</v>
      </c>
      <c r="C579" s="1" t="n">
        <v>46145</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28652-2024</t>
        </is>
      </c>
      <c r="B580" s="1" t="n">
        <v>45478</v>
      </c>
      <c r="C580" s="1" t="n">
        <v>46145</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15191-2026</t>
        </is>
      </c>
      <c r="B581" s="1" t="n">
        <v>46105.46846064815</v>
      </c>
      <c r="C581" s="1" t="n">
        <v>46145</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42791-2023</t>
        </is>
      </c>
      <c r="B582" s="1" t="n">
        <v>45181.92876157408</v>
      </c>
      <c r="C582" s="1" t="n">
        <v>46145</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42792-2023</t>
        </is>
      </c>
      <c r="B583" s="1" t="n">
        <v>45181.95491898148</v>
      </c>
      <c r="C583" s="1" t="n">
        <v>46145</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31740-2022</t>
        </is>
      </c>
      <c r="B584" s="1" t="n">
        <v>44776</v>
      </c>
      <c r="C584" s="1" t="n">
        <v>46145</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15819-2026</t>
        </is>
      </c>
      <c r="B585" s="1" t="n">
        <v>46107.53678240741</v>
      </c>
      <c r="C585" s="1" t="n">
        <v>46145</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4679-2023</t>
        </is>
      </c>
      <c r="B586" s="1" t="n">
        <v>44957.44885416667</v>
      </c>
      <c r="C586" s="1" t="n">
        <v>46145</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15701-2026</t>
        </is>
      </c>
      <c r="B587" s="1" t="n">
        <v>46106</v>
      </c>
      <c r="C587" s="1" t="n">
        <v>46145</v>
      </c>
      <c r="D587" t="inlineStr">
        <is>
          <t>SÖDERMANLANDS LÄN</t>
        </is>
      </c>
      <c r="E587" t="inlineStr">
        <is>
          <t>KATRINEHOLM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48528-2021</t>
        </is>
      </c>
      <c r="B588" s="1" t="n">
        <v>44449</v>
      </c>
      <c r="C588" s="1" t="n">
        <v>46145</v>
      </c>
      <c r="D588" t="inlineStr">
        <is>
          <t>SÖDERMANLANDS LÄN</t>
        </is>
      </c>
      <c r="E588" t="inlineStr">
        <is>
          <t>KATRINEHOLM</t>
        </is>
      </c>
      <c r="G588" t="n">
        <v>0.7</v>
      </c>
      <c r="H588" t="n">
        <v>0</v>
      </c>
      <c r="I588" t="n">
        <v>0</v>
      </c>
      <c r="J588" t="n">
        <v>0</v>
      </c>
      <c r="K588" t="n">
        <v>0</v>
      </c>
      <c r="L588" t="n">
        <v>0</v>
      </c>
      <c r="M588" t="n">
        <v>0</v>
      </c>
      <c r="N588" t="n">
        <v>0</v>
      </c>
      <c r="O588" t="n">
        <v>0</v>
      </c>
      <c r="P588" t="n">
        <v>0</v>
      </c>
      <c r="Q588" t="n">
        <v>0</v>
      </c>
      <c r="R588" s="2" t="inlineStr"/>
    </row>
    <row r="589" ht="15" customHeight="1">
      <c r="A589" t="inlineStr">
        <is>
          <t>A 48398-2022</t>
        </is>
      </c>
      <c r="B589" s="1" t="n">
        <v>44858.60809027778</v>
      </c>
      <c r="C589" s="1" t="n">
        <v>46145</v>
      </c>
      <c r="D589" t="inlineStr">
        <is>
          <t>SÖDERMANLANDS LÄN</t>
        </is>
      </c>
      <c r="E589" t="inlineStr">
        <is>
          <t>KATRINEHOLM</t>
        </is>
      </c>
      <c r="G589" t="n">
        <v>1.9</v>
      </c>
      <c r="H589" t="n">
        <v>0</v>
      </c>
      <c r="I589" t="n">
        <v>0</v>
      </c>
      <c r="J589" t="n">
        <v>0</v>
      </c>
      <c r="K589" t="n">
        <v>0</v>
      </c>
      <c r="L589" t="n">
        <v>0</v>
      </c>
      <c r="M589" t="n">
        <v>0</v>
      </c>
      <c r="N589" t="n">
        <v>0</v>
      </c>
      <c r="O589" t="n">
        <v>0</v>
      </c>
      <c r="P589" t="n">
        <v>0</v>
      </c>
      <c r="Q589" t="n">
        <v>0</v>
      </c>
      <c r="R589" s="2" t="inlineStr"/>
    </row>
    <row r="590" ht="15" customHeight="1">
      <c r="A590" t="inlineStr">
        <is>
          <t>A 6753-2022</t>
        </is>
      </c>
      <c r="B590" s="1" t="n">
        <v>44602</v>
      </c>
      <c r="C590" s="1" t="n">
        <v>46145</v>
      </c>
      <c r="D590" t="inlineStr">
        <is>
          <t>SÖDERMANLANDS LÄN</t>
        </is>
      </c>
      <c r="E590" t="inlineStr">
        <is>
          <t>KATRINEHOLM</t>
        </is>
      </c>
      <c r="G590" t="n">
        <v>4.3</v>
      </c>
      <c r="H590" t="n">
        <v>0</v>
      </c>
      <c r="I590" t="n">
        <v>0</v>
      </c>
      <c r="J590" t="n">
        <v>0</v>
      </c>
      <c r="K590" t="n">
        <v>0</v>
      </c>
      <c r="L590" t="n">
        <v>0</v>
      </c>
      <c r="M590" t="n">
        <v>0</v>
      </c>
      <c r="N590" t="n">
        <v>0</v>
      </c>
      <c r="O590" t="n">
        <v>0</v>
      </c>
      <c r="P590" t="n">
        <v>0</v>
      </c>
      <c r="Q590" t="n">
        <v>0</v>
      </c>
      <c r="R590" s="2" t="inlineStr"/>
    </row>
    <row r="591" ht="15" customHeight="1">
      <c r="A591" t="inlineStr">
        <is>
          <t>A 15184-2023</t>
        </is>
      </c>
      <c r="B591" s="1" t="n">
        <v>45016</v>
      </c>
      <c r="C591" s="1" t="n">
        <v>46145</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16432-2026</t>
        </is>
      </c>
      <c r="B592" s="1" t="n">
        <v>46111.81027777777</v>
      </c>
      <c r="C592" s="1" t="n">
        <v>46145</v>
      </c>
      <c r="D592" t="inlineStr">
        <is>
          <t>SÖDERMANLANDS LÄN</t>
        </is>
      </c>
      <c r="E592" t="inlineStr">
        <is>
          <t>KATRINEHOLM</t>
        </is>
      </c>
      <c r="G592" t="n">
        <v>2.2</v>
      </c>
      <c r="H592" t="n">
        <v>0</v>
      </c>
      <c r="I592" t="n">
        <v>0</v>
      </c>
      <c r="J592" t="n">
        <v>0</v>
      </c>
      <c r="K592" t="n">
        <v>0</v>
      </c>
      <c r="L592" t="n">
        <v>0</v>
      </c>
      <c r="M592" t="n">
        <v>0</v>
      </c>
      <c r="N592" t="n">
        <v>0</v>
      </c>
      <c r="O592" t="n">
        <v>0</v>
      </c>
      <c r="P592" t="n">
        <v>0</v>
      </c>
      <c r="Q592" t="n">
        <v>0</v>
      </c>
      <c r="R592" s="2" t="inlineStr"/>
    </row>
    <row r="593" ht="15" customHeight="1">
      <c r="A593" t="inlineStr">
        <is>
          <t>A 38826-2021</t>
        </is>
      </c>
      <c r="B593" s="1" t="n">
        <v>44411</v>
      </c>
      <c r="C593" s="1" t="n">
        <v>46145</v>
      </c>
      <c r="D593" t="inlineStr">
        <is>
          <t>SÖDERMANLANDS LÄN</t>
        </is>
      </c>
      <c r="E593" t="inlineStr">
        <is>
          <t>KATRINEHOLM</t>
        </is>
      </c>
      <c r="G593" t="n">
        <v>3.1</v>
      </c>
      <c r="H593" t="n">
        <v>0</v>
      </c>
      <c r="I593" t="n">
        <v>0</v>
      </c>
      <c r="J593" t="n">
        <v>0</v>
      </c>
      <c r="K593" t="n">
        <v>0</v>
      </c>
      <c r="L593" t="n">
        <v>0</v>
      </c>
      <c r="M593" t="n">
        <v>0</v>
      </c>
      <c r="N593" t="n">
        <v>0</v>
      </c>
      <c r="O593" t="n">
        <v>0</v>
      </c>
      <c r="P593" t="n">
        <v>0</v>
      </c>
      <c r="Q593" t="n">
        <v>0</v>
      </c>
      <c r="R593" s="2" t="inlineStr"/>
    </row>
    <row r="594" ht="15" customHeight="1">
      <c r="A594" t="inlineStr">
        <is>
          <t>A 29830-2023</t>
        </is>
      </c>
      <c r="B594" s="1" t="n">
        <v>45107</v>
      </c>
      <c r="C594" s="1" t="n">
        <v>46145</v>
      </c>
      <c r="D594" t="inlineStr">
        <is>
          <t>SÖDERMANLANDS LÄN</t>
        </is>
      </c>
      <c r="E594" t="inlineStr">
        <is>
          <t>KATRINEHOLM</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19098-2022</t>
        </is>
      </c>
      <c r="B595" s="1" t="n">
        <v>44691.52616898148</v>
      </c>
      <c r="C595" s="1" t="n">
        <v>46145</v>
      </c>
      <c r="D595" t="inlineStr">
        <is>
          <t>SÖDERMANLANDS LÄN</t>
        </is>
      </c>
      <c r="E595" t="inlineStr">
        <is>
          <t>KATRINEHOLM</t>
        </is>
      </c>
      <c r="G595" t="n">
        <v>5.5</v>
      </c>
      <c r="H595" t="n">
        <v>0</v>
      </c>
      <c r="I595" t="n">
        <v>0</v>
      </c>
      <c r="J595" t="n">
        <v>0</v>
      </c>
      <c r="K595" t="n">
        <v>0</v>
      </c>
      <c r="L595" t="n">
        <v>0</v>
      </c>
      <c r="M595" t="n">
        <v>0</v>
      </c>
      <c r="N595" t="n">
        <v>0</v>
      </c>
      <c r="O595" t="n">
        <v>0</v>
      </c>
      <c r="P595" t="n">
        <v>0</v>
      </c>
      <c r="Q595" t="n">
        <v>0</v>
      </c>
      <c r="R595" s="2" t="inlineStr"/>
    </row>
    <row r="596" ht="15" customHeight="1">
      <c r="A596" t="inlineStr">
        <is>
          <t>A 6628-2022</t>
        </is>
      </c>
      <c r="B596" s="1" t="n">
        <v>44601.78850694445</v>
      </c>
      <c r="C596" s="1" t="n">
        <v>46145</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16113-2026</t>
        </is>
      </c>
      <c r="B597" s="1" t="n">
        <v>46108</v>
      </c>
      <c r="C597" s="1" t="n">
        <v>46145</v>
      </c>
      <c r="D597" t="inlineStr">
        <is>
          <t>SÖDERMANLANDS LÄN</t>
        </is>
      </c>
      <c r="E597" t="inlineStr">
        <is>
          <t>KATRINEHOLM</t>
        </is>
      </c>
      <c r="G597" t="n">
        <v>4</v>
      </c>
      <c r="H597" t="n">
        <v>0</v>
      </c>
      <c r="I597" t="n">
        <v>0</v>
      </c>
      <c r="J597" t="n">
        <v>0</v>
      </c>
      <c r="K597" t="n">
        <v>0</v>
      </c>
      <c r="L597" t="n">
        <v>0</v>
      </c>
      <c r="M597" t="n">
        <v>0</v>
      </c>
      <c r="N597" t="n">
        <v>0</v>
      </c>
      <c r="O597" t="n">
        <v>0</v>
      </c>
      <c r="P597" t="n">
        <v>0</v>
      </c>
      <c r="Q597" t="n">
        <v>0</v>
      </c>
      <c r="R597" s="2" t="inlineStr"/>
    </row>
    <row r="598" ht="15" customHeight="1">
      <c r="A598" t="inlineStr">
        <is>
          <t>A 72984-2021</t>
        </is>
      </c>
      <c r="B598" s="1" t="n">
        <v>44549.74741898148</v>
      </c>
      <c r="C598" s="1" t="n">
        <v>46145</v>
      </c>
      <c r="D598" t="inlineStr">
        <is>
          <t>SÖDERMANLANDS LÄN</t>
        </is>
      </c>
      <c r="E598" t="inlineStr">
        <is>
          <t>KATRINEHOLM</t>
        </is>
      </c>
      <c r="G598" t="n">
        <v>4.9</v>
      </c>
      <c r="H598" t="n">
        <v>0</v>
      </c>
      <c r="I598" t="n">
        <v>0</v>
      </c>
      <c r="J598" t="n">
        <v>0</v>
      </c>
      <c r="K598" t="n">
        <v>0</v>
      </c>
      <c r="L598" t="n">
        <v>0</v>
      </c>
      <c r="M598" t="n">
        <v>0</v>
      </c>
      <c r="N598" t="n">
        <v>0</v>
      </c>
      <c r="O598" t="n">
        <v>0</v>
      </c>
      <c r="P598" t="n">
        <v>0</v>
      </c>
      <c r="Q598" t="n">
        <v>0</v>
      </c>
      <c r="R598" s="2" t="inlineStr"/>
    </row>
    <row r="599" ht="15" customHeight="1">
      <c r="A599" t="inlineStr">
        <is>
          <t>A 2325-2023</t>
        </is>
      </c>
      <c r="B599" s="1" t="n">
        <v>44942</v>
      </c>
      <c r="C599" s="1" t="n">
        <v>46145</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46011-2021</t>
        </is>
      </c>
      <c r="B600" s="1" t="n">
        <v>44441.88092592593</v>
      </c>
      <c r="C600" s="1" t="n">
        <v>46145</v>
      </c>
      <c r="D600" t="inlineStr">
        <is>
          <t>SÖDERMANLANDS LÄN</t>
        </is>
      </c>
      <c r="E600" t="inlineStr">
        <is>
          <t>KATRINEHOLM</t>
        </is>
      </c>
      <c r="G600" t="n">
        <v>4.7</v>
      </c>
      <c r="H600" t="n">
        <v>0</v>
      </c>
      <c r="I600" t="n">
        <v>0</v>
      </c>
      <c r="J600" t="n">
        <v>0</v>
      </c>
      <c r="K600" t="n">
        <v>0</v>
      </c>
      <c r="L600" t="n">
        <v>0</v>
      </c>
      <c r="M600" t="n">
        <v>0</v>
      </c>
      <c r="N600" t="n">
        <v>0</v>
      </c>
      <c r="O600" t="n">
        <v>0</v>
      </c>
      <c r="P600" t="n">
        <v>0</v>
      </c>
      <c r="Q600" t="n">
        <v>0</v>
      </c>
      <c r="R600" s="2" t="inlineStr"/>
    </row>
    <row r="601" ht="15" customHeight="1">
      <c r="A601" t="inlineStr">
        <is>
          <t>A 62140-2022</t>
        </is>
      </c>
      <c r="B601" s="1" t="n">
        <v>44922</v>
      </c>
      <c r="C601" s="1" t="n">
        <v>46145</v>
      </c>
      <c r="D601" t="inlineStr">
        <is>
          <t>SÖDERMANLANDS LÄN</t>
        </is>
      </c>
      <c r="E601" t="inlineStr">
        <is>
          <t>KATRINEHOLM</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33934-2022</t>
        </is>
      </c>
      <c r="B602" s="1" t="n">
        <v>44790</v>
      </c>
      <c r="C602" s="1" t="n">
        <v>46145</v>
      </c>
      <c r="D602" t="inlineStr">
        <is>
          <t>SÖDERMANLANDS LÄN</t>
        </is>
      </c>
      <c r="E602" t="inlineStr">
        <is>
          <t>KATRINEHOLM</t>
        </is>
      </c>
      <c r="G602" t="n">
        <v>1.4</v>
      </c>
      <c r="H602" t="n">
        <v>0</v>
      </c>
      <c r="I602" t="n">
        <v>0</v>
      </c>
      <c r="J602" t="n">
        <v>0</v>
      </c>
      <c r="K602" t="n">
        <v>0</v>
      </c>
      <c r="L602" t="n">
        <v>0</v>
      </c>
      <c r="M602" t="n">
        <v>0</v>
      </c>
      <c r="N602" t="n">
        <v>0</v>
      </c>
      <c r="O602" t="n">
        <v>0</v>
      </c>
      <c r="P602" t="n">
        <v>0</v>
      </c>
      <c r="Q602" t="n">
        <v>0</v>
      </c>
      <c r="R602" s="2" t="inlineStr"/>
    </row>
    <row r="603" ht="15" customHeight="1">
      <c r="A603" t="inlineStr">
        <is>
          <t>A 13171-2024</t>
        </is>
      </c>
      <c r="B603" s="1" t="n">
        <v>45386</v>
      </c>
      <c r="C603" s="1" t="n">
        <v>46145</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59384-2022</t>
        </is>
      </c>
      <c r="B604" s="1" t="n">
        <v>44905</v>
      </c>
      <c r="C604" s="1" t="n">
        <v>46145</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13086-2023</t>
        </is>
      </c>
      <c r="B605" s="1" t="n">
        <v>45002.42188657408</v>
      </c>
      <c r="C605" s="1" t="n">
        <v>46145</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46145</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19107-2022</t>
        </is>
      </c>
      <c r="B607" s="1" t="n">
        <v>44691.54077546296</v>
      </c>
      <c r="C607" s="1" t="n">
        <v>46145</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10086-2026</t>
        </is>
      </c>
      <c r="B608" s="1" t="n">
        <v>46073.68959490741</v>
      </c>
      <c r="C608" s="1" t="n">
        <v>46145</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30333-2023</t>
        </is>
      </c>
      <c r="B609" s="1" t="n">
        <v>45111</v>
      </c>
      <c r="C609" s="1" t="n">
        <v>46145</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6175-2023</t>
        </is>
      </c>
      <c r="B610" s="1" t="n">
        <v>44964</v>
      </c>
      <c r="C610" s="1" t="n">
        <v>46145</v>
      </c>
      <c r="D610" t="inlineStr">
        <is>
          <t>SÖDERMANLANDS LÄN</t>
        </is>
      </c>
      <c r="E610" t="inlineStr">
        <is>
          <t>KATRINEHOLM</t>
        </is>
      </c>
      <c r="G610" t="n">
        <v>11.2</v>
      </c>
      <c r="H610" t="n">
        <v>0</v>
      </c>
      <c r="I610" t="n">
        <v>0</v>
      </c>
      <c r="J610" t="n">
        <v>0</v>
      </c>
      <c r="K610" t="n">
        <v>0</v>
      </c>
      <c r="L610" t="n">
        <v>0</v>
      </c>
      <c r="M610" t="n">
        <v>0</v>
      </c>
      <c r="N610" t="n">
        <v>0</v>
      </c>
      <c r="O610" t="n">
        <v>0</v>
      </c>
      <c r="P610" t="n">
        <v>0</v>
      </c>
      <c r="Q610" t="n">
        <v>0</v>
      </c>
      <c r="R610" s="2" t="inlineStr"/>
    </row>
    <row r="611" ht="15" customHeight="1">
      <c r="A611" t="inlineStr">
        <is>
          <t>A 11875-2023</t>
        </is>
      </c>
      <c r="B611" s="1" t="n">
        <v>44995</v>
      </c>
      <c r="C611" s="1" t="n">
        <v>46145</v>
      </c>
      <c r="D611" t="inlineStr">
        <is>
          <t>SÖDERMANLANDS LÄN</t>
        </is>
      </c>
      <c r="E611" t="inlineStr">
        <is>
          <t>KATRINEHOLM</t>
        </is>
      </c>
      <c r="F611" t="inlineStr">
        <is>
          <t>Kommuner</t>
        </is>
      </c>
      <c r="G611" t="n">
        <v>1.1</v>
      </c>
      <c r="H611" t="n">
        <v>0</v>
      </c>
      <c r="I611" t="n">
        <v>0</v>
      </c>
      <c r="J611" t="n">
        <v>0</v>
      </c>
      <c r="K611" t="n">
        <v>0</v>
      </c>
      <c r="L611" t="n">
        <v>0</v>
      </c>
      <c r="M611" t="n">
        <v>0</v>
      </c>
      <c r="N611" t="n">
        <v>0</v>
      </c>
      <c r="O611" t="n">
        <v>0</v>
      </c>
      <c r="P611" t="n">
        <v>0</v>
      </c>
      <c r="Q611" t="n">
        <v>0</v>
      </c>
      <c r="R611" s="2" t="inlineStr"/>
    </row>
    <row r="612" ht="15" customHeight="1">
      <c r="A612" t="inlineStr">
        <is>
          <t>A 6796-2022</t>
        </is>
      </c>
      <c r="B612" s="1" t="n">
        <v>44602</v>
      </c>
      <c r="C612" s="1" t="n">
        <v>46145</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13612-2023</t>
        </is>
      </c>
      <c r="B613" s="1" t="n">
        <v>45006</v>
      </c>
      <c r="C613" s="1" t="n">
        <v>46145</v>
      </c>
      <c r="D613" t="inlineStr">
        <is>
          <t>SÖDERMANLANDS LÄN</t>
        </is>
      </c>
      <c r="E613" t="inlineStr">
        <is>
          <t>KATRINEHOLM</t>
        </is>
      </c>
      <c r="G613" t="n">
        <v>2.3</v>
      </c>
      <c r="H613" t="n">
        <v>0</v>
      </c>
      <c r="I613" t="n">
        <v>0</v>
      </c>
      <c r="J613" t="n">
        <v>0</v>
      </c>
      <c r="K613" t="n">
        <v>0</v>
      </c>
      <c r="L613" t="n">
        <v>0</v>
      </c>
      <c r="M613" t="n">
        <v>0</v>
      </c>
      <c r="N613" t="n">
        <v>0</v>
      </c>
      <c r="O613" t="n">
        <v>0</v>
      </c>
      <c r="P613" t="n">
        <v>0</v>
      </c>
      <c r="Q613" t="n">
        <v>0</v>
      </c>
      <c r="R613" s="2" t="inlineStr"/>
    </row>
    <row r="614" ht="15" customHeight="1">
      <c r="A614" t="inlineStr">
        <is>
          <t>A 11130-2026</t>
        </is>
      </c>
      <c r="B614" s="1" t="n">
        <v>46079.70384259259</v>
      </c>
      <c r="C614" s="1" t="n">
        <v>46145</v>
      </c>
      <c r="D614" t="inlineStr">
        <is>
          <t>SÖDERMANLANDS LÄN</t>
        </is>
      </c>
      <c r="E614" t="inlineStr">
        <is>
          <t>KATRINEHOLM</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39068-2022</t>
        </is>
      </c>
      <c r="B615" s="1" t="n">
        <v>44816</v>
      </c>
      <c r="C615" s="1" t="n">
        <v>46145</v>
      </c>
      <c r="D615" t="inlineStr">
        <is>
          <t>SÖDERMANLANDS LÄN</t>
        </is>
      </c>
      <c r="E615" t="inlineStr">
        <is>
          <t>KATRINEHOLM</t>
        </is>
      </c>
      <c r="G615" t="n">
        <v>3.6</v>
      </c>
      <c r="H615" t="n">
        <v>0</v>
      </c>
      <c r="I615" t="n">
        <v>0</v>
      </c>
      <c r="J615" t="n">
        <v>0</v>
      </c>
      <c r="K615" t="n">
        <v>0</v>
      </c>
      <c r="L615" t="n">
        <v>0</v>
      </c>
      <c r="M615" t="n">
        <v>0</v>
      </c>
      <c r="N615" t="n">
        <v>0</v>
      </c>
      <c r="O615" t="n">
        <v>0</v>
      </c>
      <c r="P615" t="n">
        <v>0</v>
      </c>
      <c r="Q615" t="n">
        <v>0</v>
      </c>
      <c r="R615" s="2" t="inlineStr"/>
    </row>
    <row r="616" ht="15" customHeight="1">
      <c r="A616" t="inlineStr">
        <is>
          <t>A 8765-2023</t>
        </is>
      </c>
      <c r="B616" s="1" t="n">
        <v>44978.52131944444</v>
      </c>
      <c r="C616" s="1" t="n">
        <v>46145</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57154-2023</t>
        </is>
      </c>
      <c r="B617" s="1" t="n">
        <v>45245</v>
      </c>
      <c r="C617" s="1" t="n">
        <v>46145</v>
      </c>
      <c r="D617" t="inlineStr">
        <is>
          <t>SÖDERMANLANDS LÄN</t>
        </is>
      </c>
      <c r="E617" t="inlineStr">
        <is>
          <t>KATRINEHOLM</t>
        </is>
      </c>
      <c r="F617" t="inlineStr">
        <is>
          <t>Allmännings- och besparingsskogar</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21959-2022</t>
        </is>
      </c>
      <c r="B618" s="1" t="n">
        <v>44708</v>
      </c>
      <c r="C618" s="1" t="n">
        <v>46145</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51530-2023</t>
        </is>
      </c>
      <c r="B619" s="1" t="n">
        <v>45222</v>
      </c>
      <c r="C619" s="1" t="n">
        <v>46145</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10892-2026</t>
        </is>
      </c>
      <c r="B620" s="1" t="n">
        <v>46078.8040625</v>
      </c>
      <c r="C620" s="1" t="n">
        <v>46145</v>
      </c>
      <c r="D620" t="inlineStr">
        <is>
          <t>SÖDERMANLANDS LÄN</t>
        </is>
      </c>
      <c r="E620" t="inlineStr">
        <is>
          <t>KATRINEHOLM</t>
        </is>
      </c>
      <c r="F620" t="inlineStr">
        <is>
          <t>Allmännings- och besparingsskogar</t>
        </is>
      </c>
      <c r="G620" t="n">
        <v>3</v>
      </c>
      <c r="H620" t="n">
        <v>0</v>
      </c>
      <c r="I620" t="n">
        <v>0</v>
      </c>
      <c r="J620" t="n">
        <v>0</v>
      </c>
      <c r="K620" t="n">
        <v>0</v>
      </c>
      <c r="L620" t="n">
        <v>0</v>
      </c>
      <c r="M620" t="n">
        <v>0</v>
      </c>
      <c r="N620" t="n">
        <v>0</v>
      </c>
      <c r="O620" t="n">
        <v>0</v>
      </c>
      <c r="P620" t="n">
        <v>0</v>
      </c>
      <c r="Q620" t="n">
        <v>0</v>
      </c>
      <c r="R620" s="2" t="inlineStr"/>
    </row>
    <row r="621" ht="15" customHeight="1">
      <c r="A621" t="inlineStr">
        <is>
          <t>A 23916-2023</t>
        </is>
      </c>
      <c r="B621" s="1" t="n">
        <v>45075</v>
      </c>
      <c r="C621" s="1" t="n">
        <v>46145</v>
      </c>
      <c r="D621" t="inlineStr">
        <is>
          <t>SÖDERMANLANDS LÄN</t>
        </is>
      </c>
      <c r="E621" t="inlineStr">
        <is>
          <t>KATRINEHOLM</t>
        </is>
      </c>
      <c r="G621" t="n">
        <v>8</v>
      </c>
      <c r="H621" t="n">
        <v>0</v>
      </c>
      <c r="I621" t="n">
        <v>0</v>
      </c>
      <c r="J621" t="n">
        <v>0</v>
      </c>
      <c r="K621" t="n">
        <v>0</v>
      </c>
      <c r="L621" t="n">
        <v>0</v>
      </c>
      <c r="M621" t="n">
        <v>0</v>
      </c>
      <c r="N621" t="n">
        <v>0</v>
      </c>
      <c r="O621" t="n">
        <v>0</v>
      </c>
      <c r="P621" t="n">
        <v>0</v>
      </c>
      <c r="Q621" t="n">
        <v>0</v>
      </c>
      <c r="R621" s="2" t="inlineStr"/>
    </row>
    <row r="622" ht="15" customHeight="1">
      <c r="A622" t="inlineStr">
        <is>
          <t>A 38879-2024</t>
        </is>
      </c>
      <c r="B622" s="1" t="n">
        <v>45547</v>
      </c>
      <c r="C622" s="1" t="n">
        <v>46145</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13848-2026</t>
        </is>
      </c>
      <c r="B623" s="1" t="n">
        <v>46098.38704861111</v>
      </c>
      <c r="C623" s="1" t="n">
        <v>46145</v>
      </c>
      <c r="D623" t="inlineStr">
        <is>
          <t>SÖDERMANLANDS LÄN</t>
        </is>
      </c>
      <c r="E623" t="inlineStr">
        <is>
          <t>KATRINEHOLM</t>
        </is>
      </c>
      <c r="G623" t="n">
        <v>3.1</v>
      </c>
      <c r="H623" t="n">
        <v>0</v>
      </c>
      <c r="I623" t="n">
        <v>0</v>
      </c>
      <c r="J623" t="n">
        <v>0</v>
      </c>
      <c r="K623" t="n">
        <v>0</v>
      </c>
      <c r="L623" t="n">
        <v>0</v>
      </c>
      <c r="M623" t="n">
        <v>0</v>
      </c>
      <c r="N623" t="n">
        <v>0</v>
      </c>
      <c r="O623" t="n">
        <v>0</v>
      </c>
      <c r="P623" t="n">
        <v>0</v>
      </c>
      <c r="Q623" t="n">
        <v>0</v>
      </c>
      <c r="R623" s="2" t="inlineStr"/>
    </row>
    <row r="624" ht="15" customHeight="1">
      <c r="A624" t="inlineStr">
        <is>
          <t>A 10893-2026</t>
        </is>
      </c>
      <c r="B624" s="1" t="n">
        <v>46078.81072916667</v>
      </c>
      <c r="C624" s="1" t="n">
        <v>46145</v>
      </c>
      <c r="D624" t="inlineStr">
        <is>
          <t>SÖDERMANLANDS LÄN</t>
        </is>
      </c>
      <c r="E624" t="inlineStr">
        <is>
          <t>KATRINEHOLM</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14622-2026</t>
        </is>
      </c>
      <c r="B625" s="1" t="n">
        <v>46101.38826388889</v>
      </c>
      <c r="C625" s="1" t="n">
        <v>46145</v>
      </c>
      <c r="D625" t="inlineStr">
        <is>
          <t>SÖDERMANLANDS LÄN</t>
        </is>
      </c>
      <c r="E625" t="inlineStr">
        <is>
          <t>KATRINEHOLM</t>
        </is>
      </c>
      <c r="G625" t="n">
        <v>2.5</v>
      </c>
      <c r="H625" t="n">
        <v>0</v>
      </c>
      <c r="I625" t="n">
        <v>0</v>
      </c>
      <c r="J625" t="n">
        <v>0</v>
      </c>
      <c r="K625" t="n">
        <v>0</v>
      </c>
      <c r="L625" t="n">
        <v>0</v>
      </c>
      <c r="M625" t="n">
        <v>0</v>
      </c>
      <c r="N625" t="n">
        <v>0</v>
      </c>
      <c r="O625" t="n">
        <v>0</v>
      </c>
      <c r="P625" t="n">
        <v>0</v>
      </c>
      <c r="Q625" t="n">
        <v>0</v>
      </c>
      <c r="R625" s="2" t="inlineStr"/>
    </row>
    <row r="626" ht="15" customHeight="1">
      <c r="A626" t="inlineStr">
        <is>
          <t>A 10891-2026</t>
        </is>
      </c>
      <c r="B626" s="1" t="n">
        <v>46078.78545138889</v>
      </c>
      <c r="C626" s="1" t="n">
        <v>46145</v>
      </c>
      <c r="D626" t="inlineStr">
        <is>
          <t>SÖDERMANLANDS LÄN</t>
        </is>
      </c>
      <c r="E626" t="inlineStr">
        <is>
          <t>KATRINEHOLM</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10721-2026</t>
        </is>
      </c>
      <c r="B627" s="1" t="n">
        <v>46078.46894675926</v>
      </c>
      <c r="C627" s="1" t="n">
        <v>46145</v>
      </c>
      <c r="D627" t="inlineStr">
        <is>
          <t>SÖDERMANLANDS LÄN</t>
        </is>
      </c>
      <c r="E627" t="inlineStr">
        <is>
          <t>KATRINEHOLM</t>
        </is>
      </c>
      <c r="F627" t="inlineStr">
        <is>
          <t>Allmännings- och besparingsskogar</t>
        </is>
      </c>
      <c r="G627" t="n">
        <v>1.8</v>
      </c>
      <c r="H627" t="n">
        <v>0</v>
      </c>
      <c r="I627" t="n">
        <v>0</v>
      </c>
      <c r="J627" t="n">
        <v>0</v>
      </c>
      <c r="K627" t="n">
        <v>0</v>
      </c>
      <c r="L627" t="n">
        <v>0</v>
      </c>
      <c r="M627" t="n">
        <v>0</v>
      </c>
      <c r="N627" t="n">
        <v>0</v>
      </c>
      <c r="O627" t="n">
        <v>0</v>
      </c>
      <c r="P627" t="n">
        <v>0</v>
      </c>
      <c r="Q627" t="n">
        <v>0</v>
      </c>
      <c r="R627" s="2" t="inlineStr"/>
    </row>
    <row r="628" ht="15" customHeight="1">
      <c r="A628" t="inlineStr">
        <is>
          <t>A 9437-2022</t>
        </is>
      </c>
      <c r="B628" s="1" t="n">
        <v>44616.69246527777</v>
      </c>
      <c r="C628" s="1" t="n">
        <v>46145</v>
      </c>
      <c r="D628" t="inlineStr">
        <is>
          <t>SÖDERMANLANDS LÄN</t>
        </is>
      </c>
      <c r="E628" t="inlineStr">
        <is>
          <t>KATRINEHOLM</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25362-2023</t>
        </is>
      </c>
      <c r="B629" s="1" t="n">
        <v>45088.83430555555</v>
      </c>
      <c r="C629" s="1" t="n">
        <v>46145</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4662-2023</t>
        </is>
      </c>
      <c r="B630" s="1" t="n">
        <v>44957</v>
      </c>
      <c r="C630" s="1" t="n">
        <v>46145</v>
      </c>
      <c r="D630" t="inlineStr">
        <is>
          <t>SÖDERMANLANDS LÄN</t>
        </is>
      </c>
      <c r="E630" t="inlineStr">
        <is>
          <t>KATRINEHOLM</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19685-2022</t>
        </is>
      </c>
      <c r="B631" s="1" t="n">
        <v>44694</v>
      </c>
      <c r="C631" s="1" t="n">
        <v>46145</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11666-2026</t>
        </is>
      </c>
      <c r="B632" s="1" t="n">
        <v>46084.55381944445</v>
      </c>
      <c r="C632" s="1" t="n">
        <v>46145</v>
      </c>
      <c r="D632" t="inlineStr">
        <is>
          <t>SÖDERMANLANDS LÄN</t>
        </is>
      </c>
      <c r="E632" t="inlineStr">
        <is>
          <t>KATRINEHOLM</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62419-2023</t>
        </is>
      </c>
      <c r="B633" s="1" t="n">
        <v>45268</v>
      </c>
      <c r="C633" s="1" t="n">
        <v>46145</v>
      </c>
      <c r="D633" t="inlineStr">
        <is>
          <t>SÖDERMANLANDS LÄN</t>
        </is>
      </c>
      <c r="E633" t="inlineStr">
        <is>
          <t>KATRINEHOLM</t>
        </is>
      </c>
      <c r="G633" t="n">
        <v>9</v>
      </c>
      <c r="H633" t="n">
        <v>0</v>
      </c>
      <c r="I633" t="n">
        <v>0</v>
      </c>
      <c r="J633" t="n">
        <v>0</v>
      </c>
      <c r="K633" t="n">
        <v>0</v>
      </c>
      <c r="L633" t="n">
        <v>0</v>
      </c>
      <c r="M633" t="n">
        <v>0</v>
      </c>
      <c r="N633" t="n">
        <v>0</v>
      </c>
      <c r="O633" t="n">
        <v>0</v>
      </c>
      <c r="P633" t="n">
        <v>0</v>
      </c>
      <c r="Q633" t="n">
        <v>0</v>
      </c>
      <c r="R633" s="2" t="inlineStr"/>
    </row>
    <row r="634" ht="15" customHeight="1">
      <c r="A634" t="inlineStr">
        <is>
          <t>A 18383-2026</t>
        </is>
      </c>
      <c r="B634" s="1" t="n">
        <v>46126.64174768519</v>
      </c>
      <c r="C634" s="1" t="n">
        <v>46145</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18308-2026</t>
        </is>
      </c>
      <c r="B635" s="1" t="n">
        <v>46126.46175925926</v>
      </c>
      <c r="C635" s="1" t="n">
        <v>46145</v>
      </c>
      <c r="D635" t="inlineStr">
        <is>
          <t>SÖDERMANLANDS LÄN</t>
        </is>
      </c>
      <c r="E635" t="inlineStr">
        <is>
          <t>KATRINEHOLM</t>
        </is>
      </c>
      <c r="G635" t="n">
        <v>4.2</v>
      </c>
      <c r="H635" t="n">
        <v>0</v>
      </c>
      <c r="I635" t="n">
        <v>0</v>
      </c>
      <c r="J635" t="n">
        <v>0</v>
      </c>
      <c r="K635" t="n">
        <v>0</v>
      </c>
      <c r="L635" t="n">
        <v>0</v>
      </c>
      <c r="M635" t="n">
        <v>0</v>
      </c>
      <c r="N635" t="n">
        <v>0</v>
      </c>
      <c r="O635" t="n">
        <v>0</v>
      </c>
      <c r="P635" t="n">
        <v>0</v>
      </c>
      <c r="Q635" t="n">
        <v>0</v>
      </c>
      <c r="R635" s="2" t="inlineStr"/>
    </row>
    <row r="636" ht="15" customHeight="1">
      <c r="A636" t="inlineStr">
        <is>
          <t>A 11621-2026</t>
        </is>
      </c>
      <c r="B636" s="1" t="n">
        <v>46084.46734953704</v>
      </c>
      <c r="C636" s="1" t="n">
        <v>46145</v>
      </c>
      <c r="D636" t="inlineStr">
        <is>
          <t>SÖDERMANLANDS LÄN</t>
        </is>
      </c>
      <c r="E636" t="inlineStr">
        <is>
          <t>KATRINEHOLM</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46145</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23207-2023</t>
        </is>
      </c>
      <c r="B638" s="1" t="n">
        <v>45071</v>
      </c>
      <c r="C638" s="1" t="n">
        <v>46145</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18309-2026</t>
        </is>
      </c>
      <c r="B639" s="1" t="n">
        <v>46126.46756944444</v>
      </c>
      <c r="C639" s="1" t="n">
        <v>46145</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18301-2026</t>
        </is>
      </c>
      <c r="B640" s="1" t="n">
        <v>46126.45259259259</v>
      </c>
      <c r="C640" s="1" t="n">
        <v>46145</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18302-2026</t>
        </is>
      </c>
      <c r="B641" s="1" t="n">
        <v>46126.45408564815</v>
      </c>
      <c r="C641" s="1" t="n">
        <v>46145</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18316-2026</t>
        </is>
      </c>
      <c r="B642" s="1" t="n">
        <v>46126.47670138889</v>
      </c>
      <c r="C642" s="1" t="n">
        <v>46145</v>
      </c>
      <c r="D642" t="inlineStr">
        <is>
          <t>SÖDERMANLANDS LÄN</t>
        </is>
      </c>
      <c r="E642" t="inlineStr">
        <is>
          <t>KATRINEHOLM</t>
        </is>
      </c>
      <c r="G642" t="n">
        <v>2.8</v>
      </c>
      <c r="H642" t="n">
        <v>0</v>
      </c>
      <c r="I642" t="n">
        <v>0</v>
      </c>
      <c r="J642" t="n">
        <v>0</v>
      </c>
      <c r="K642" t="n">
        <v>0</v>
      </c>
      <c r="L642" t="n">
        <v>0</v>
      </c>
      <c r="M642" t="n">
        <v>0</v>
      </c>
      <c r="N642" t="n">
        <v>0</v>
      </c>
      <c r="O642" t="n">
        <v>0</v>
      </c>
      <c r="P642" t="n">
        <v>0</v>
      </c>
      <c r="Q642" t="n">
        <v>0</v>
      </c>
      <c r="R642" s="2" t="inlineStr"/>
    </row>
    <row r="643" ht="15" customHeight="1">
      <c r="A643" t="inlineStr">
        <is>
          <t>A 42025-2022</t>
        </is>
      </c>
      <c r="B643" s="1" t="n">
        <v>44830.47399305556</v>
      </c>
      <c r="C643" s="1" t="n">
        <v>46145</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18300-2026</t>
        </is>
      </c>
      <c r="B644" s="1" t="n">
        <v>46126.45106481481</v>
      </c>
      <c r="C644" s="1" t="n">
        <v>46145</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11677-2026</t>
        </is>
      </c>
      <c r="B645" s="1" t="n">
        <v>46084.56711805556</v>
      </c>
      <c r="C645" s="1" t="n">
        <v>46145</v>
      </c>
      <c r="D645" t="inlineStr">
        <is>
          <t>SÖDERMANLANDS LÄN</t>
        </is>
      </c>
      <c r="E645" t="inlineStr">
        <is>
          <t>KATRINEHOLM</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8791-2023</t>
        </is>
      </c>
      <c r="B646" s="1" t="n">
        <v>44978</v>
      </c>
      <c r="C646" s="1" t="n">
        <v>46145</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18306-2026</t>
        </is>
      </c>
      <c r="B647" s="1" t="n">
        <v>46126.46039351852</v>
      </c>
      <c r="C647" s="1" t="n">
        <v>46145</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48253-2022</t>
        </is>
      </c>
      <c r="B648" s="1" t="n">
        <v>44858</v>
      </c>
      <c r="C648" s="1" t="n">
        <v>46145</v>
      </c>
      <c r="D648" t="inlineStr">
        <is>
          <t>SÖDERMANLANDS LÄN</t>
        </is>
      </c>
      <c r="E648" t="inlineStr">
        <is>
          <t>KATRINEHOLM</t>
        </is>
      </c>
      <c r="G648" t="n">
        <v>4.7</v>
      </c>
      <c r="H648" t="n">
        <v>0</v>
      </c>
      <c r="I648" t="n">
        <v>0</v>
      </c>
      <c r="J648" t="n">
        <v>0</v>
      </c>
      <c r="K648" t="n">
        <v>0</v>
      </c>
      <c r="L648" t="n">
        <v>0</v>
      </c>
      <c r="M648" t="n">
        <v>0</v>
      </c>
      <c r="N648" t="n">
        <v>0</v>
      </c>
      <c r="O648" t="n">
        <v>0</v>
      </c>
      <c r="P648" t="n">
        <v>0</v>
      </c>
      <c r="Q648" t="n">
        <v>0</v>
      </c>
      <c r="R648" s="2" t="inlineStr"/>
    </row>
    <row r="649" ht="15" customHeight="1">
      <c r="A649" t="inlineStr">
        <is>
          <t>A 18314-2026</t>
        </is>
      </c>
      <c r="B649" s="1" t="n">
        <v>46126.47289351852</v>
      </c>
      <c r="C649" s="1" t="n">
        <v>46145</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53809-2021</t>
        </is>
      </c>
      <c r="B650" s="1" t="n">
        <v>44467</v>
      </c>
      <c r="C650" s="1" t="n">
        <v>46145</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31719-2024</t>
        </is>
      </c>
      <c r="B651" s="1" t="n">
        <v>45509</v>
      </c>
      <c r="C651" s="1" t="n">
        <v>46145</v>
      </c>
      <c r="D651" t="inlineStr">
        <is>
          <t>SÖDERMANLANDS LÄN</t>
        </is>
      </c>
      <c r="E651" t="inlineStr">
        <is>
          <t>KATRINEHOLM</t>
        </is>
      </c>
      <c r="F651" t="inlineStr">
        <is>
          <t>Kyrkan</t>
        </is>
      </c>
      <c r="G651" t="n">
        <v>11.9</v>
      </c>
      <c r="H651" t="n">
        <v>0</v>
      </c>
      <c r="I651" t="n">
        <v>0</v>
      </c>
      <c r="J651" t="n">
        <v>0</v>
      </c>
      <c r="K651" t="n">
        <v>0</v>
      </c>
      <c r="L651" t="n">
        <v>0</v>
      </c>
      <c r="M651" t="n">
        <v>0</v>
      </c>
      <c r="N651" t="n">
        <v>0</v>
      </c>
      <c r="O651" t="n">
        <v>0</v>
      </c>
      <c r="P651" t="n">
        <v>0</v>
      </c>
      <c r="Q651" t="n">
        <v>0</v>
      </c>
      <c r="R651" s="2" t="inlineStr"/>
    </row>
    <row r="652" ht="15" customHeight="1">
      <c r="A652" t="inlineStr">
        <is>
          <t>A 18384-2026</t>
        </is>
      </c>
      <c r="B652" s="1" t="n">
        <v>46126.64513888889</v>
      </c>
      <c r="C652" s="1" t="n">
        <v>46145</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13175-2024</t>
        </is>
      </c>
      <c r="B653" s="1" t="n">
        <v>45386</v>
      </c>
      <c r="C653" s="1" t="n">
        <v>46145</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40744-2022</t>
        </is>
      </c>
      <c r="B654" s="1" t="n">
        <v>44824.55655092592</v>
      </c>
      <c r="C654" s="1" t="n">
        <v>46145</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8761-2023</t>
        </is>
      </c>
      <c r="B655" s="1" t="n">
        <v>44978.49685185185</v>
      </c>
      <c r="C655" s="1" t="n">
        <v>46145</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8778-2023</t>
        </is>
      </c>
      <c r="B656" s="1" t="n">
        <v>44978.5737037037</v>
      </c>
      <c r="C656" s="1" t="n">
        <v>46145</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8457-2023</t>
        </is>
      </c>
      <c r="B657" s="1" t="n">
        <v>44977</v>
      </c>
      <c r="C657" s="1" t="n">
        <v>46145</v>
      </c>
      <c r="D657" t="inlineStr">
        <is>
          <t>SÖDERMANLANDS LÄN</t>
        </is>
      </c>
      <c r="E657" t="inlineStr">
        <is>
          <t>KATRINEHOLM</t>
        </is>
      </c>
      <c r="F657" t="inlineStr">
        <is>
          <t>Allmännings- och besparingsskogar</t>
        </is>
      </c>
      <c r="G657" t="n">
        <v>16.1</v>
      </c>
      <c r="H657" t="n">
        <v>0</v>
      </c>
      <c r="I657" t="n">
        <v>0</v>
      </c>
      <c r="J657" t="n">
        <v>0</v>
      </c>
      <c r="K657" t="n">
        <v>0</v>
      </c>
      <c r="L657" t="n">
        <v>0</v>
      </c>
      <c r="M657" t="n">
        <v>0</v>
      </c>
      <c r="N657" t="n">
        <v>0</v>
      </c>
      <c r="O657" t="n">
        <v>0</v>
      </c>
      <c r="P657" t="n">
        <v>0</v>
      </c>
      <c r="Q657" t="n">
        <v>0</v>
      </c>
      <c r="R657" s="2" t="inlineStr"/>
    </row>
    <row r="658" ht="15" customHeight="1">
      <c r="A658" t="inlineStr">
        <is>
          <t>A 18966-2026</t>
        </is>
      </c>
      <c r="B658" s="1" t="n">
        <v>46129.60259259259</v>
      </c>
      <c r="C658" s="1" t="n">
        <v>46145</v>
      </c>
      <c r="D658" t="inlineStr">
        <is>
          <t>SÖDERMANLANDS LÄN</t>
        </is>
      </c>
      <c r="E658" t="inlineStr">
        <is>
          <t>KATRINEHOLM</t>
        </is>
      </c>
      <c r="G658" t="n">
        <v>1.1</v>
      </c>
      <c r="H658" t="n">
        <v>0</v>
      </c>
      <c r="I658" t="n">
        <v>0</v>
      </c>
      <c r="J658" t="n">
        <v>0</v>
      </c>
      <c r="K658" t="n">
        <v>0</v>
      </c>
      <c r="L658" t="n">
        <v>0</v>
      </c>
      <c r="M658" t="n">
        <v>0</v>
      </c>
      <c r="N658" t="n">
        <v>0</v>
      </c>
      <c r="O658" t="n">
        <v>0</v>
      </c>
      <c r="P658" t="n">
        <v>0</v>
      </c>
      <c r="Q658" t="n">
        <v>0</v>
      </c>
      <c r="R658" s="2" t="inlineStr"/>
    </row>
    <row r="659" ht="15" customHeight="1">
      <c r="A659" t="inlineStr">
        <is>
          <t>A 7056-2022</t>
        </is>
      </c>
      <c r="B659" s="1" t="n">
        <v>44603</v>
      </c>
      <c r="C659" s="1" t="n">
        <v>46145</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19187-2026</t>
        </is>
      </c>
      <c r="B660" s="1" t="n">
        <v>46132.59921296296</v>
      </c>
      <c r="C660" s="1" t="n">
        <v>46145</v>
      </c>
      <c r="D660" t="inlineStr">
        <is>
          <t>SÖDERMANLANDS LÄN</t>
        </is>
      </c>
      <c r="E660" t="inlineStr">
        <is>
          <t>KATRINEHOLM</t>
        </is>
      </c>
      <c r="G660" t="n">
        <v>3.7</v>
      </c>
      <c r="H660" t="n">
        <v>0</v>
      </c>
      <c r="I660" t="n">
        <v>0</v>
      </c>
      <c r="J660" t="n">
        <v>0</v>
      </c>
      <c r="K660" t="n">
        <v>0</v>
      </c>
      <c r="L660" t="n">
        <v>0</v>
      </c>
      <c r="M660" t="n">
        <v>0</v>
      </c>
      <c r="N660" t="n">
        <v>0</v>
      </c>
      <c r="O660" t="n">
        <v>0</v>
      </c>
      <c r="P660" t="n">
        <v>0</v>
      </c>
      <c r="Q660" t="n">
        <v>0</v>
      </c>
      <c r="R660" s="2" t="inlineStr"/>
    </row>
    <row r="661" ht="15" customHeight="1">
      <c r="A661" t="inlineStr">
        <is>
          <t>A 19098-2026</t>
        </is>
      </c>
      <c r="B661" s="1" t="n">
        <v>46132.42950231482</v>
      </c>
      <c r="C661" s="1" t="n">
        <v>46145</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32786-2022</t>
        </is>
      </c>
      <c r="B662" s="1" t="n">
        <v>44784</v>
      </c>
      <c r="C662" s="1" t="n">
        <v>46145</v>
      </c>
      <c r="D662" t="inlineStr">
        <is>
          <t>SÖDERMANLANDS LÄN</t>
        </is>
      </c>
      <c r="E662" t="inlineStr">
        <is>
          <t>KATRINEHOLM</t>
        </is>
      </c>
      <c r="G662" t="n">
        <v>7</v>
      </c>
      <c r="H662" t="n">
        <v>0</v>
      </c>
      <c r="I662" t="n">
        <v>0</v>
      </c>
      <c r="J662" t="n">
        <v>0</v>
      </c>
      <c r="K662" t="n">
        <v>0</v>
      </c>
      <c r="L662" t="n">
        <v>0</v>
      </c>
      <c r="M662" t="n">
        <v>0</v>
      </c>
      <c r="N662" t="n">
        <v>0</v>
      </c>
      <c r="O662" t="n">
        <v>0</v>
      </c>
      <c r="P662" t="n">
        <v>0</v>
      </c>
      <c r="Q662" t="n">
        <v>0</v>
      </c>
      <c r="R662" s="2" t="inlineStr"/>
    </row>
    <row r="663" ht="15" customHeight="1">
      <c r="A663" t="inlineStr">
        <is>
          <t>A 7223-2022</t>
        </is>
      </c>
      <c r="B663" s="1" t="n">
        <v>44603</v>
      </c>
      <c r="C663" s="1" t="n">
        <v>46145</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7459-2022</t>
        </is>
      </c>
      <c r="B664" s="1" t="n">
        <v>44607.35009259259</v>
      </c>
      <c r="C664" s="1" t="n">
        <v>46145</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20768-2022</t>
        </is>
      </c>
      <c r="B665" s="1" t="n">
        <v>44701.36431712963</v>
      </c>
      <c r="C665" s="1" t="n">
        <v>46145</v>
      </c>
      <c r="D665" t="inlineStr">
        <is>
          <t>SÖDERMANLANDS LÄN</t>
        </is>
      </c>
      <c r="E665" t="inlineStr">
        <is>
          <t>KATRINEHOLM</t>
        </is>
      </c>
      <c r="G665" t="n">
        <v>3.5</v>
      </c>
      <c r="H665" t="n">
        <v>0</v>
      </c>
      <c r="I665" t="n">
        <v>0</v>
      </c>
      <c r="J665" t="n">
        <v>0</v>
      </c>
      <c r="K665" t="n">
        <v>0</v>
      </c>
      <c r="L665" t="n">
        <v>0</v>
      </c>
      <c r="M665" t="n">
        <v>0</v>
      </c>
      <c r="N665" t="n">
        <v>0</v>
      </c>
      <c r="O665" t="n">
        <v>0</v>
      </c>
      <c r="P665" t="n">
        <v>0</v>
      </c>
      <c r="Q665" t="n">
        <v>0</v>
      </c>
      <c r="R665" s="2" t="inlineStr"/>
    </row>
    <row r="666" ht="15" customHeight="1">
      <c r="A666" t="inlineStr">
        <is>
          <t>A 15284-2023</t>
        </is>
      </c>
      <c r="B666" s="1" t="n">
        <v>45019</v>
      </c>
      <c r="C666" s="1" t="n">
        <v>46145</v>
      </c>
      <c r="D666" t="inlineStr">
        <is>
          <t>SÖDERMANLANDS LÄN</t>
        </is>
      </c>
      <c r="E666" t="inlineStr">
        <is>
          <t>KATRINEHOLM</t>
        </is>
      </c>
      <c r="F666" t="inlineStr">
        <is>
          <t>Allmännings- och besparingsskogar</t>
        </is>
      </c>
      <c r="G666" t="n">
        <v>17.4</v>
      </c>
      <c r="H666" t="n">
        <v>0</v>
      </c>
      <c r="I666" t="n">
        <v>0</v>
      </c>
      <c r="J666" t="n">
        <v>0</v>
      </c>
      <c r="K666" t="n">
        <v>0</v>
      </c>
      <c r="L666" t="n">
        <v>0</v>
      </c>
      <c r="M666" t="n">
        <v>0</v>
      </c>
      <c r="N666" t="n">
        <v>0</v>
      </c>
      <c r="O666" t="n">
        <v>0</v>
      </c>
      <c r="P666" t="n">
        <v>0</v>
      </c>
      <c r="Q666" t="n">
        <v>0</v>
      </c>
      <c r="R666" s="2" t="inlineStr"/>
    </row>
    <row r="667" ht="15" customHeight="1">
      <c r="A667" t="inlineStr">
        <is>
          <t>A 51613-2022</t>
        </is>
      </c>
      <c r="B667" s="1" t="n">
        <v>44871</v>
      </c>
      <c r="C667" s="1" t="n">
        <v>46145</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37834-2023</t>
        </is>
      </c>
      <c r="B668" s="1" t="n">
        <v>45160</v>
      </c>
      <c r="C668" s="1" t="n">
        <v>46145</v>
      </c>
      <c r="D668" t="inlineStr">
        <is>
          <t>SÖDERMANLANDS LÄN</t>
        </is>
      </c>
      <c r="E668" t="inlineStr">
        <is>
          <t>KATRINEHOLM</t>
        </is>
      </c>
      <c r="F668" t="inlineStr">
        <is>
          <t>Kyrkan</t>
        </is>
      </c>
      <c r="G668" t="n">
        <v>2.8</v>
      </c>
      <c r="H668" t="n">
        <v>0</v>
      </c>
      <c r="I668" t="n">
        <v>0</v>
      </c>
      <c r="J668" t="n">
        <v>0</v>
      </c>
      <c r="K668" t="n">
        <v>0</v>
      </c>
      <c r="L668" t="n">
        <v>0</v>
      </c>
      <c r="M668" t="n">
        <v>0</v>
      </c>
      <c r="N668" t="n">
        <v>0</v>
      </c>
      <c r="O668" t="n">
        <v>0</v>
      </c>
      <c r="P668" t="n">
        <v>0</v>
      </c>
      <c r="Q668" t="n">
        <v>0</v>
      </c>
      <c r="R668" s="2" t="inlineStr"/>
    </row>
    <row r="669" ht="15" customHeight="1">
      <c r="A669" t="inlineStr">
        <is>
          <t>A 12831-2026</t>
        </is>
      </c>
      <c r="B669" s="1" t="n">
        <v>46092.42416666666</v>
      </c>
      <c r="C669" s="1" t="n">
        <v>46145</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8475-2023</t>
        </is>
      </c>
      <c r="B670" s="1" t="n">
        <v>44977</v>
      </c>
      <c r="C670" s="1" t="n">
        <v>46145</v>
      </c>
      <c r="D670" t="inlineStr">
        <is>
          <t>SÖDERMANLANDS LÄN</t>
        </is>
      </c>
      <c r="E670" t="inlineStr">
        <is>
          <t>KATRINEHOLM</t>
        </is>
      </c>
      <c r="F670" t="inlineStr">
        <is>
          <t>Allmännings- och besparingsskogar</t>
        </is>
      </c>
      <c r="G670" t="n">
        <v>8.1</v>
      </c>
      <c r="H670" t="n">
        <v>0</v>
      </c>
      <c r="I670" t="n">
        <v>0</v>
      </c>
      <c r="J670" t="n">
        <v>0</v>
      </c>
      <c r="K670" t="n">
        <v>0</v>
      </c>
      <c r="L670" t="n">
        <v>0</v>
      </c>
      <c r="M670" t="n">
        <v>0</v>
      </c>
      <c r="N670" t="n">
        <v>0</v>
      </c>
      <c r="O670" t="n">
        <v>0</v>
      </c>
      <c r="P670" t="n">
        <v>0</v>
      </c>
      <c r="Q670" t="n">
        <v>0</v>
      </c>
      <c r="R670" s="2" t="inlineStr"/>
    </row>
    <row r="671" ht="15" customHeight="1">
      <c r="A671" t="inlineStr">
        <is>
          <t>A 32890-2024</t>
        </is>
      </c>
      <c r="B671" s="1" t="n">
        <v>45516</v>
      </c>
      <c r="C671" s="1" t="n">
        <v>46145</v>
      </c>
      <c r="D671" t="inlineStr">
        <is>
          <t>SÖDERMANLANDS LÄN</t>
        </is>
      </c>
      <c r="E671" t="inlineStr">
        <is>
          <t>KATRINEHOLM</t>
        </is>
      </c>
      <c r="G671" t="n">
        <v>2.6</v>
      </c>
      <c r="H671" t="n">
        <v>0</v>
      </c>
      <c r="I671" t="n">
        <v>0</v>
      </c>
      <c r="J671" t="n">
        <v>0</v>
      </c>
      <c r="K671" t="n">
        <v>0</v>
      </c>
      <c r="L671" t="n">
        <v>0</v>
      </c>
      <c r="M671" t="n">
        <v>0</v>
      </c>
      <c r="N671" t="n">
        <v>0</v>
      </c>
      <c r="O671" t="n">
        <v>0</v>
      </c>
      <c r="P671" t="n">
        <v>0</v>
      </c>
      <c r="Q671" t="n">
        <v>0</v>
      </c>
      <c r="R671" s="2" t="inlineStr"/>
    </row>
    <row r="672" ht="15" customHeight="1">
      <c r="A672" t="inlineStr">
        <is>
          <t>A 2320-2023</t>
        </is>
      </c>
      <c r="B672" s="1" t="n">
        <v>44942.58850694444</v>
      </c>
      <c r="C672" s="1" t="n">
        <v>46145</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59898-2022</t>
        </is>
      </c>
      <c r="B673" s="1" t="n">
        <v>44908</v>
      </c>
      <c r="C673" s="1" t="n">
        <v>46145</v>
      </c>
      <c r="D673" t="inlineStr">
        <is>
          <t>SÖDERMANLANDS LÄN</t>
        </is>
      </c>
      <c r="E673" t="inlineStr">
        <is>
          <t>KATRINEHOLM</t>
        </is>
      </c>
      <c r="G673" t="n">
        <v>4.8</v>
      </c>
      <c r="H673" t="n">
        <v>0</v>
      </c>
      <c r="I673" t="n">
        <v>0</v>
      </c>
      <c r="J673" t="n">
        <v>0</v>
      </c>
      <c r="K673" t="n">
        <v>0</v>
      </c>
      <c r="L673" t="n">
        <v>0</v>
      </c>
      <c r="M673" t="n">
        <v>0</v>
      </c>
      <c r="N673" t="n">
        <v>0</v>
      </c>
      <c r="O673" t="n">
        <v>0</v>
      </c>
      <c r="P673" t="n">
        <v>0</v>
      </c>
      <c r="Q673" t="n">
        <v>0</v>
      </c>
      <c r="R673" s="2" t="inlineStr"/>
    </row>
    <row r="674" ht="15" customHeight="1">
      <c r="A674" t="inlineStr">
        <is>
          <t>A 20326-2023</t>
        </is>
      </c>
      <c r="B674" s="1" t="n">
        <v>45056.46821759259</v>
      </c>
      <c r="C674" s="1" t="n">
        <v>46145</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15392-2023</t>
        </is>
      </c>
      <c r="B675" s="1" t="n">
        <v>45016</v>
      </c>
      <c r="C675" s="1" t="n">
        <v>46145</v>
      </c>
      <c r="D675" t="inlineStr">
        <is>
          <t>SÖDERMANLANDS LÄN</t>
        </is>
      </c>
      <c r="E675" t="inlineStr">
        <is>
          <t>KATRINEHOLM</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45246-2023</t>
        </is>
      </c>
      <c r="B676" s="1" t="n">
        <v>45191</v>
      </c>
      <c r="C676" s="1" t="n">
        <v>46145</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2735-2025</t>
        </is>
      </c>
      <c r="B677" s="1" t="n">
        <v>45677</v>
      </c>
      <c r="C677" s="1" t="n">
        <v>46145</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49914-2023</t>
        </is>
      </c>
      <c r="B678" s="1" t="n">
        <v>45214</v>
      </c>
      <c r="C678" s="1" t="n">
        <v>46145</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19813-2026</t>
        </is>
      </c>
      <c r="B679" s="1" t="n">
        <v>46135.56923611111</v>
      </c>
      <c r="C679" s="1" t="n">
        <v>46145</v>
      </c>
      <c r="D679" t="inlineStr">
        <is>
          <t>SÖDERMANLANDS LÄN</t>
        </is>
      </c>
      <c r="E679" t="inlineStr">
        <is>
          <t>KATRINEHOLM</t>
        </is>
      </c>
      <c r="G679" t="n">
        <v>4.7</v>
      </c>
      <c r="H679" t="n">
        <v>0</v>
      </c>
      <c r="I679" t="n">
        <v>0</v>
      </c>
      <c r="J679" t="n">
        <v>0</v>
      </c>
      <c r="K679" t="n">
        <v>0</v>
      </c>
      <c r="L679" t="n">
        <v>0</v>
      </c>
      <c r="M679" t="n">
        <v>0</v>
      </c>
      <c r="N679" t="n">
        <v>0</v>
      </c>
      <c r="O679" t="n">
        <v>0</v>
      </c>
      <c r="P679" t="n">
        <v>0</v>
      </c>
      <c r="Q679" t="n">
        <v>0</v>
      </c>
      <c r="R679" s="2" t="inlineStr"/>
    </row>
    <row r="680" ht="15" customHeight="1">
      <c r="A680" t="inlineStr">
        <is>
          <t>A 17335-2023</t>
        </is>
      </c>
      <c r="B680" s="1" t="n">
        <v>45033</v>
      </c>
      <c r="C680" s="1" t="n">
        <v>46145</v>
      </c>
      <c r="D680" t="inlineStr">
        <is>
          <t>SÖDERMANLANDS LÄN</t>
        </is>
      </c>
      <c r="E680" t="inlineStr">
        <is>
          <t>KATRINEHOLM</t>
        </is>
      </c>
      <c r="G680" t="n">
        <v>3.3</v>
      </c>
      <c r="H680" t="n">
        <v>0</v>
      </c>
      <c r="I680" t="n">
        <v>0</v>
      </c>
      <c r="J680" t="n">
        <v>0</v>
      </c>
      <c r="K680" t="n">
        <v>0</v>
      </c>
      <c r="L680" t="n">
        <v>0</v>
      </c>
      <c r="M680" t="n">
        <v>0</v>
      </c>
      <c r="N680" t="n">
        <v>0</v>
      </c>
      <c r="O680" t="n">
        <v>0</v>
      </c>
      <c r="P680" t="n">
        <v>0</v>
      </c>
      <c r="Q680" t="n">
        <v>0</v>
      </c>
      <c r="R680" s="2" t="inlineStr"/>
    </row>
    <row r="681" ht="15" customHeight="1">
      <c r="A681" t="inlineStr">
        <is>
          <t>A 13655-2026</t>
        </is>
      </c>
      <c r="B681" s="1" t="n">
        <v>46097.45415509259</v>
      </c>
      <c r="C681" s="1" t="n">
        <v>46145</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20185-2026</t>
        </is>
      </c>
      <c r="B682" s="1" t="n">
        <v>46136</v>
      </c>
      <c r="C682" s="1" t="n">
        <v>46145</v>
      </c>
      <c r="D682" t="inlineStr">
        <is>
          <t>SÖDERMANLANDS LÄN</t>
        </is>
      </c>
      <c r="E682" t="inlineStr">
        <is>
          <t>KATRINEHOLM</t>
        </is>
      </c>
      <c r="G682" t="n">
        <v>2.7</v>
      </c>
      <c r="H682" t="n">
        <v>0</v>
      </c>
      <c r="I682" t="n">
        <v>0</v>
      </c>
      <c r="J682" t="n">
        <v>0</v>
      </c>
      <c r="K682" t="n">
        <v>0</v>
      </c>
      <c r="L682" t="n">
        <v>0</v>
      </c>
      <c r="M682" t="n">
        <v>0</v>
      </c>
      <c r="N682" t="n">
        <v>0</v>
      </c>
      <c r="O682" t="n">
        <v>0</v>
      </c>
      <c r="P682" t="n">
        <v>0</v>
      </c>
      <c r="Q682" t="n">
        <v>0</v>
      </c>
      <c r="R682" s="2" t="inlineStr"/>
    </row>
    <row r="683" ht="15" customHeight="1">
      <c r="A683" t="inlineStr">
        <is>
          <t>A 13631-2026</t>
        </is>
      </c>
      <c r="B683" s="1" t="n">
        <v>46095</v>
      </c>
      <c r="C683" s="1" t="n">
        <v>46145</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16605-2025</t>
        </is>
      </c>
      <c r="B684" s="1" t="n">
        <v>45753.61614583333</v>
      </c>
      <c r="C684" s="1" t="n">
        <v>46145</v>
      </c>
      <c r="D684" t="inlineStr">
        <is>
          <t>SÖDERMANLANDS LÄN</t>
        </is>
      </c>
      <c r="E684" t="inlineStr">
        <is>
          <t>KATRINEHOLM</t>
        </is>
      </c>
      <c r="G684" t="n">
        <v>5.2</v>
      </c>
      <c r="H684" t="n">
        <v>0</v>
      </c>
      <c r="I684" t="n">
        <v>0</v>
      </c>
      <c r="J684" t="n">
        <v>0</v>
      </c>
      <c r="K684" t="n">
        <v>0</v>
      </c>
      <c r="L684" t="n">
        <v>0</v>
      </c>
      <c r="M684" t="n">
        <v>0</v>
      </c>
      <c r="N684" t="n">
        <v>0</v>
      </c>
      <c r="O684" t="n">
        <v>0</v>
      </c>
      <c r="P684" t="n">
        <v>0</v>
      </c>
      <c r="Q684" t="n">
        <v>0</v>
      </c>
      <c r="R684" s="2" t="inlineStr"/>
    </row>
    <row r="685" ht="15" customHeight="1">
      <c r="A685" t="inlineStr">
        <is>
          <t>A 20200-2026</t>
        </is>
      </c>
      <c r="B685" s="1" t="n">
        <v>46136</v>
      </c>
      <c r="C685" s="1" t="n">
        <v>46145</v>
      </c>
      <c r="D685" t="inlineStr">
        <is>
          <t>SÖDERMANLANDS LÄN</t>
        </is>
      </c>
      <c r="E685" t="inlineStr">
        <is>
          <t>KATRINEHOLM</t>
        </is>
      </c>
      <c r="G685" t="n">
        <v>1.8</v>
      </c>
      <c r="H685" t="n">
        <v>0</v>
      </c>
      <c r="I685" t="n">
        <v>0</v>
      </c>
      <c r="J685" t="n">
        <v>0</v>
      </c>
      <c r="K685" t="n">
        <v>0</v>
      </c>
      <c r="L685" t="n">
        <v>0</v>
      </c>
      <c r="M685" t="n">
        <v>0</v>
      </c>
      <c r="N685" t="n">
        <v>0</v>
      </c>
      <c r="O685" t="n">
        <v>0</v>
      </c>
      <c r="P685" t="n">
        <v>0</v>
      </c>
      <c r="Q685" t="n">
        <v>0</v>
      </c>
      <c r="R685" s="2" t="inlineStr"/>
    </row>
    <row r="686" ht="15" customHeight="1">
      <c r="A686" t="inlineStr">
        <is>
          <t>A 20202-2026</t>
        </is>
      </c>
      <c r="B686" s="1" t="n">
        <v>46136</v>
      </c>
      <c r="C686" s="1" t="n">
        <v>46145</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13633-2026</t>
        </is>
      </c>
      <c r="B687" s="1" t="n">
        <v>46097.38148148148</v>
      </c>
      <c r="C687" s="1" t="n">
        <v>46145</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33141-2023</t>
        </is>
      </c>
      <c r="B688" s="1" t="n">
        <v>45126.65491898148</v>
      </c>
      <c r="C688" s="1" t="n">
        <v>46145</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58528-2024</t>
        </is>
      </c>
      <c r="B689" s="1" t="n">
        <v>45635.44527777778</v>
      </c>
      <c r="C689" s="1" t="n">
        <v>46145</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46145</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13630-2026</t>
        </is>
      </c>
      <c r="B691" s="1" t="n">
        <v>46097.37490740741</v>
      </c>
      <c r="C691" s="1" t="n">
        <v>46145</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13632-2026</t>
        </is>
      </c>
      <c r="B692" s="1" t="n">
        <v>46097.37996527777</v>
      </c>
      <c r="C692" s="1" t="n">
        <v>46145</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20221-2026</t>
        </is>
      </c>
      <c r="B693" s="1" t="n">
        <v>46139.43833333333</v>
      </c>
      <c r="C693" s="1" t="n">
        <v>46145</v>
      </c>
      <c r="D693" t="inlineStr">
        <is>
          <t>SÖDERMANLANDS LÄN</t>
        </is>
      </c>
      <c r="E693" t="inlineStr">
        <is>
          <t>KATRINEHOLM</t>
        </is>
      </c>
      <c r="G693" t="n">
        <v>4.2</v>
      </c>
      <c r="H693" t="n">
        <v>0</v>
      </c>
      <c r="I693" t="n">
        <v>0</v>
      </c>
      <c r="J693" t="n">
        <v>0</v>
      </c>
      <c r="K693" t="n">
        <v>0</v>
      </c>
      <c r="L693" t="n">
        <v>0</v>
      </c>
      <c r="M693" t="n">
        <v>0</v>
      </c>
      <c r="N693" t="n">
        <v>0</v>
      </c>
      <c r="O693" t="n">
        <v>0</v>
      </c>
      <c r="P693" t="n">
        <v>0</v>
      </c>
      <c r="Q693" t="n">
        <v>0</v>
      </c>
      <c r="R693" s="2" t="inlineStr"/>
    </row>
    <row r="694" ht="15" customHeight="1">
      <c r="A694" t="inlineStr">
        <is>
          <t>A 8288-2023</t>
        </is>
      </c>
      <c r="B694" s="1" t="n">
        <v>44974</v>
      </c>
      <c r="C694" s="1" t="n">
        <v>46145</v>
      </c>
      <c r="D694" t="inlineStr">
        <is>
          <t>SÖDERMANLANDS LÄN</t>
        </is>
      </c>
      <c r="E694" t="inlineStr">
        <is>
          <t>KATRINEHOLM</t>
        </is>
      </c>
      <c r="F694" t="inlineStr">
        <is>
          <t>Allmännings- och besparingsskogar</t>
        </is>
      </c>
      <c r="G694" t="n">
        <v>5.6</v>
      </c>
      <c r="H694" t="n">
        <v>0</v>
      </c>
      <c r="I694" t="n">
        <v>0</v>
      </c>
      <c r="J694" t="n">
        <v>0</v>
      </c>
      <c r="K694" t="n">
        <v>0</v>
      </c>
      <c r="L694" t="n">
        <v>0</v>
      </c>
      <c r="M694" t="n">
        <v>0</v>
      </c>
      <c r="N694" t="n">
        <v>0</v>
      </c>
      <c r="O694" t="n">
        <v>0</v>
      </c>
      <c r="P694" t="n">
        <v>0</v>
      </c>
      <c r="Q694" t="n">
        <v>0</v>
      </c>
      <c r="R694" s="2" t="inlineStr"/>
    </row>
    <row r="695" ht="15" customHeight="1">
      <c r="A695" t="inlineStr">
        <is>
          <t>A 3317-2023</t>
        </is>
      </c>
      <c r="B695" s="1" t="n">
        <v>44945</v>
      </c>
      <c r="C695" s="1" t="n">
        <v>46145</v>
      </c>
      <c r="D695" t="inlineStr">
        <is>
          <t>SÖDERMANLANDS LÄN</t>
        </is>
      </c>
      <c r="E695" t="inlineStr">
        <is>
          <t>KATRINEHOLM</t>
        </is>
      </c>
      <c r="G695" t="n">
        <v>3.2</v>
      </c>
      <c r="H695" t="n">
        <v>0</v>
      </c>
      <c r="I695" t="n">
        <v>0</v>
      </c>
      <c r="J695" t="n">
        <v>0</v>
      </c>
      <c r="K695" t="n">
        <v>0</v>
      </c>
      <c r="L695" t="n">
        <v>0</v>
      </c>
      <c r="M695" t="n">
        <v>0</v>
      </c>
      <c r="N695" t="n">
        <v>0</v>
      </c>
      <c r="O695" t="n">
        <v>0</v>
      </c>
      <c r="P695" t="n">
        <v>0</v>
      </c>
      <c r="Q695" t="n">
        <v>0</v>
      </c>
      <c r="R695" s="2" t="inlineStr"/>
    </row>
    <row r="696" ht="15" customHeight="1">
      <c r="A696" t="inlineStr">
        <is>
          <t>A 37185-2023</t>
        </is>
      </c>
      <c r="B696" s="1" t="n">
        <v>45154</v>
      </c>
      <c r="C696" s="1" t="n">
        <v>46145</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51848-2022</t>
        </is>
      </c>
      <c r="B697" s="1" t="n">
        <v>44872.57752314815</v>
      </c>
      <c r="C697" s="1" t="n">
        <v>46145</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49218-2023</t>
        </is>
      </c>
      <c r="B698" s="1" t="n">
        <v>45205</v>
      </c>
      <c r="C698" s="1" t="n">
        <v>46145</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20464-2026</t>
        </is>
      </c>
      <c r="B699" s="1" t="n">
        <v>46140.44986111111</v>
      </c>
      <c r="C699" s="1" t="n">
        <v>46145</v>
      </c>
      <c r="D699" t="inlineStr">
        <is>
          <t>SÖDERMANLANDS LÄN</t>
        </is>
      </c>
      <c r="E699" t="inlineStr">
        <is>
          <t>KATRINEHOLM</t>
        </is>
      </c>
      <c r="G699" t="n">
        <v>9.1</v>
      </c>
      <c r="H699" t="n">
        <v>0</v>
      </c>
      <c r="I699" t="n">
        <v>0</v>
      </c>
      <c r="J699" t="n">
        <v>0</v>
      </c>
      <c r="K699" t="n">
        <v>0</v>
      </c>
      <c r="L699" t="n">
        <v>0</v>
      </c>
      <c r="M699" t="n">
        <v>0</v>
      </c>
      <c r="N699" t="n">
        <v>0</v>
      </c>
      <c r="O699" t="n">
        <v>0</v>
      </c>
      <c r="P699" t="n">
        <v>0</v>
      </c>
      <c r="Q699" t="n">
        <v>0</v>
      </c>
      <c r="R699" s="2" t="inlineStr"/>
    </row>
    <row r="700" ht="15" customHeight="1">
      <c r="A700" t="inlineStr">
        <is>
          <t>A 13841-2026</t>
        </is>
      </c>
      <c r="B700" s="1" t="n">
        <v>46098.37181712963</v>
      </c>
      <c r="C700" s="1" t="n">
        <v>46145</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55169-2022</t>
        </is>
      </c>
      <c r="B701" s="1" t="n">
        <v>44886</v>
      </c>
      <c r="C701" s="1" t="n">
        <v>46145</v>
      </c>
      <c r="D701" t="inlineStr">
        <is>
          <t>SÖDERMANLANDS LÄN</t>
        </is>
      </c>
      <c r="E701" t="inlineStr">
        <is>
          <t>KATRINEHOLM</t>
        </is>
      </c>
      <c r="G701" t="n">
        <v>1.3</v>
      </c>
      <c r="H701" t="n">
        <v>0</v>
      </c>
      <c r="I701" t="n">
        <v>0</v>
      </c>
      <c r="J701" t="n">
        <v>0</v>
      </c>
      <c r="K701" t="n">
        <v>0</v>
      </c>
      <c r="L701" t="n">
        <v>0</v>
      </c>
      <c r="M701" t="n">
        <v>0</v>
      </c>
      <c r="N701" t="n">
        <v>0</v>
      </c>
      <c r="O701" t="n">
        <v>0</v>
      </c>
      <c r="P701" t="n">
        <v>0</v>
      </c>
      <c r="Q701" t="n">
        <v>0</v>
      </c>
      <c r="R701" s="2" t="inlineStr"/>
    </row>
    <row r="702" ht="15" customHeight="1">
      <c r="A702" t="inlineStr">
        <is>
          <t>A 1329-2025</t>
        </is>
      </c>
      <c r="B702" s="1" t="n">
        <v>45667</v>
      </c>
      <c r="C702" s="1" t="n">
        <v>46145</v>
      </c>
      <c r="D702" t="inlineStr">
        <is>
          <t>SÖDERMANLANDS LÄN</t>
        </is>
      </c>
      <c r="E702" t="inlineStr">
        <is>
          <t>KATRINEHOLM</t>
        </is>
      </c>
      <c r="G702" t="n">
        <v>2.7</v>
      </c>
      <c r="H702" t="n">
        <v>0</v>
      </c>
      <c r="I702" t="n">
        <v>0</v>
      </c>
      <c r="J702" t="n">
        <v>0</v>
      </c>
      <c r="K702" t="n">
        <v>0</v>
      </c>
      <c r="L702" t="n">
        <v>0</v>
      </c>
      <c r="M702" t="n">
        <v>0</v>
      </c>
      <c r="N702" t="n">
        <v>0</v>
      </c>
      <c r="O702" t="n">
        <v>0</v>
      </c>
      <c r="P702" t="n">
        <v>0</v>
      </c>
      <c r="Q702" t="n">
        <v>0</v>
      </c>
      <c r="R702" s="2" t="inlineStr"/>
    </row>
    <row r="703" ht="15" customHeight="1">
      <c r="A703" t="inlineStr">
        <is>
          <t>A 61398-2024</t>
        </is>
      </c>
      <c r="B703" s="1" t="n">
        <v>45646.42608796297</v>
      </c>
      <c r="C703" s="1" t="n">
        <v>46145</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20987-2026</t>
        </is>
      </c>
      <c r="B704" s="1" t="n">
        <v>46142.59466435185</v>
      </c>
      <c r="C704" s="1" t="n">
        <v>46145</v>
      </c>
      <c r="D704" t="inlineStr">
        <is>
          <t>SÖDERMANLANDS LÄN</t>
        </is>
      </c>
      <c r="E704" t="inlineStr">
        <is>
          <t>KATRINEHOLM</t>
        </is>
      </c>
      <c r="G704" t="n">
        <v>2.8</v>
      </c>
      <c r="H704" t="n">
        <v>0</v>
      </c>
      <c r="I704" t="n">
        <v>0</v>
      </c>
      <c r="J704" t="n">
        <v>0</v>
      </c>
      <c r="K704" t="n">
        <v>0</v>
      </c>
      <c r="L704" t="n">
        <v>0</v>
      </c>
      <c r="M704" t="n">
        <v>0</v>
      </c>
      <c r="N704" t="n">
        <v>0</v>
      </c>
      <c r="O704" t="n">
        <v>0</v>
      </c>
      <c r="P704" t="n">
        <v>0</v>
      </c>
      <c r="Q704" t="n">
        <v>0</v>
      </c>
      <c r="R704" s="2" t="inlineStr"/>
    </row>
    <row r="705" ht="15" customHeight="1">
      <c r="A705" t="inlineStr">
        <is>
          <t>A 24287-2024</t>
        </is>
      </c>
      <c r="B705" s="1" t="n">
        <v>45457</v>
      </c>
      <c r="C705" s="1" t="n">
        <v>46145</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8518-2023</t>
        </is>
      </c>
      <c r="B706" s="1" t="n">
        <v>44977</v>
      </c>
      <c r="C706" s="1" t="n">
        <v>46145</v>
      </c>
      <c r="D706" t="inlineStr">
        <is>
          <t>SÖDERMANLANDS LÄN</t>
        </is>
      </c>
      <c r="E706" t="inlineStr">
        <is>
          <t>KATRINEHOLM</t>
        </is>
      </c>
      <c r="F706" t="inlineStr">
        <is>
          <t>Allmännings- och besparingsskogar</t>
        </is>
      </c>
      <c r="G706" t="n">
        <v>35.3</v>
      </c>
      <c r="H706" t="n">
        <v>0</v>
      </c>
      <c r="I706" t="n">
        <v>0</v>
      </c>
      <c r="J706" t="n">
        <v>0</v>
      </c>
      <c r="K706" t="n">
        <v>0</v>
      </c>
      <c r="L706" t="n">
        <v>0</v>
      </c>
      <c r="M706" t="n">
        <v>0</v>
      </c>
      <c r="N706" t="n">
        <v>0</v>
      </c>
      <c r="O706" t="n">
        <v>0</v>
      </c>
      <c r="P706" t="n">
        <v>0</v>
      </c>
      <c r="Q706" t="n">
        <v>0</v>
      </c>
      <c r="R706" s="2" t="inlineStr"/>
    </row>
    <row r="707" ht="15" customHeight="1">
      <c r="A707" t="inlineStr">
        <is>
          <t>A 48030-2022</t>
        </is>
      </c>
      <c r="B707" s="1" t="n">
        <v>44855</v>
      </c>
      <c r="C707" s="1" t="n">
        <v>46145</v>
      </c>
      <c r="D707" t="inlineStr">
        <is>
          <t>SÖDERMANLANDS LÄN</t>
        </is>
      </c>
      <c r="E707" t="inlineStr">
        <is>
          <t>KATRINEHOLM</t>
        </is>
      </c>
      <c r="F707" t="inlineStr">
        <is>
          <t>Allmännings- och besparingsskogar</t>
        </is>
      </c>
      <c r="G707" t="n">
        <v>1.5</v>
      </c>
      <c r="H707" t="n">
        <v>0</v>
      </c>
      <c r="I707" t="n">
        <v>0</v>
      </c>
      <c r="J707" t="n">
        <v>0</v>
      </c>
      <c r="K707" t="n">
        <v>0</v>
      </c>
      <c r="L707" t="n">
        <v>0</v>
      </c>
      <c r="M707" t="n">
        <v>0</v>
      </c>
      <c r="N707" t="n">
        <v>0</v>
      </c>
      <c r="O707" t="n">
        <v>0</v>
      </c>
      <c r="P707" t="n">
        <v>0</v>
      </c>
      <c r="Q707" t="n">
        <v>0</v>
      </c>
      <c r="R707" s="2" t="inlineStr"/>
    </row>
    <row r="708" ht="15" customHeight="1">
      <c r="A708" t="inlineStr">
        <is>
          <t>A 14770-2026</t>
        </is>
      </c>
      <c r="B708" s="1" t="n">
        <v>46101.63951388889</v>
      </c>
      <c r="C708" s="1" t="n">
        <v>46145</v>
      </c>
      <c r="D708" t="inlineStr">
        <is>
          <t>SÖDERMANLANDS LÄN</t>
        </is>
      </c>
      <c r="E708" t="inlineStr">
        <is>
          <t>KATRINEHOLM</t>
        </is>
      </c>
      <c r="G708" t="n">
        <v>7.5</v>
      </c>
      <c r="H708" t="n">
        <v>0</v>
      </c>
      <c r="I708" t="n">
        <v>0</v>
      </c>
      <c r="J708" t="n">
        <v>0</v>
      </c>
      <c r="K708" t="n">
        <v>0</v>
      </c>
      <c r="L708" t="n">
        <v>0</v>
      </c>
      <c r="M708" t="n">
        <v>0</v>
      </c>
      <c r="N708" t="n">
        <v>0</v>
      </c>
      <c r="O708" t="n">
        <v>0</v>
      </c>
      <c r="P708" t="n">
        <v>0</v>
      </c>
      <c r="Q708" t="n">
        <v>0</v>
      </c>
      <c r="R708" s="2" t="inlineStr"/>
    </row>
    <row r="709" ht="15" customHeight="1">
      <c r="A709" t="inlineStr">
        <is>
          <t>A 20956-2026</t>
        </is>
      </c>
      <c r="B709" s="1" t="n">
        <v>46142.54052083333</v>
      </c>
      <c r="C709" s="1" t="n">
        <v>46145</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14754-2026</t>
        </is>
      </c>
      <c r="B710" s="1" t="n">
        <v>46101.62297453704</v>
      </c>
      <c r="C710" s="1" t="n">
        <v>46145</v>
      </c>
      <c r="D710" t="inlineStr">
        <is>
          <t>SÖDERMANLANDS LÄN</t>
        </is>
      </c>
      <c r="E710" t="inlineStr">
        <is>
          <t>KATRINEHOLM</t>
        </is>
      </c>
      <c r="G710" t="n">
        <v>4.5</v>
      </c>
      <c r="H710" t="n">
        <v>0</v>
      </c>
      <c r="I710" t="n">
        <v>0</v>
      </c>
      <c r="J710" t="n">
        <v>0</v>
      </c>
      <c r="K710" t="n">
        <v>0</v>
      </c>
      <c r="L710" t="n">
        <v>0</v>
      </c>
      <c r="M710" t="n">
        <v>0</v>
      </c>
      <c r="N710" t="n">
        <v>0</v>
      </c>
      <c r="O710" t="n">
        <v>0</v>
      </c>
      <c r="P710" t="n">
        <v>0</v>
      </c>
      <c r="Q710" t="n">
        <v>0</v>
      </c>
      <c r="R710" s="2" t="inlineStr"/>
    </row>
    <row r="711" ht="15" customHeight="1">
      <c r="A711" t="inlineStr">
        <is>
          <t>A 948-2023</t>
        </is>
      </c>
      <c r="B711" s="1" t="n">
        <v>44934</v>
      </c>
      <c r="C711" s="1" t="n">
        <v>46145</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37542-2022</t>
        </is>
      </c>
      <c r="B712" s="1" t="n">
        <v>44809</v>
      </c>
      <c r="C712" s="1" t="n">
        <v>46145</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14750-2026</t>
        </is>
      </c>
      <c r="B713" s="1" t="n">
        <v>46101.6208912037</v>
      </c>
      <c r="C713" s="1" t="n">
        <v>46145</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14751-2026</t>
        </is>
      </c>
      <c r="B714" s="1" t="n">
        <v>46101.6220949074</v>
      </c>
      <c r="C714" s="1" t="n">
        <v>46145</v>
      </c>
      <c r="D714" t="inlineStr">
        <is>
          <t>SÖDERMANLANDS LÄN</t>
        </is>
      </c>
      <c r="E714" t="inlineStr">
        <is>
          <t>KATRINEHOLM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41229-2022</t>
        </is>
      </c>
      <c r="B715" s="1" t="n">
        <v>44825</v>
      </c>
      <c r="C715" s="1" t="n">
        <v>46145</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64652-2023</t>
        </is>
      </c>
      <c r="B716" s="1" t="n">
        <v>45281</v>
      </c>
      <c r="C716" s="1" t="n">
        <v>46145</v>
      </c>
      <c r="D716" t="inlineStr">
        <is>
          <t>SÖDERMANLANDS LÄN</t>
        </is>
      </c>
      <c r="E716" t="inlineStr">
        <is>
          <t>KATRINEHOLM</t>
        </is>
      </c>
      <c r="F716" t="inlineStr">
        <is>
          <t>Övriga Aktiebolag</t>
        </is>
      </c>
      <c r="G716" t="n">
        <v>2.2</v>
      </c>
      <c r="H716" t="n">
        <v>0</v>
      </c>
      <c r="I716" t="n">
        <v>0</v>
      </c>
      <c r="J716" t="n">
        <v>0</v>
      </c>
      <c r="K716" t="n">
        <v>0</v>
      </c>
      <c r="L716" t="n">
        <v>0</v>
      </c>
      <c r="M716" t="n">
        <v>0</v>
      </c>
      <c r="N716" t="n">
        <v>0</v>
      </c>
      <c r="O716" t="n">
        <v>0</v>
      </c>
      <c r="P716" t="n">
        <v>0</v>
      </c>
      <c r="Q716" t="n">
        <v>0</v>
      </c>
      <c r="R716" s="2" t="inlineStr"/>
    </row>
    <row r="717" ht="15" customHeight="1">
      <c r="A717" t="inlineStr">
        <is>
          <t>A 51404-2023</t>
        </is>
      </c>
      <c r="B717" s="1" t="n">
        <v>45214</v>
      </c>
      <c r="C717" s="1" t="n">
        <v>46145</v>
      </c>
      <c r="D717" t="inlineStr">
        <is>
          <t>SÖDERMANLANDS LÄN</t>
        </is>
      </c>
      <c r="E717" t="inlineStr">
        <is>
          <t>KATRINEHOLM</t>
        </is>
      </c>
      <c r="G717" t="n">
        <v>9</v>
      </c>
      <c r="H717" t="n">
        <v>0</v>
      </c>
      <c r="I717" t="n">
        <v>0</v>
      </c>
      <c r="J717" t="n">
        <v>0</v>
      </c>
      <c r="K717" t="n">
        <v>0</v>
      </c>
      <c r="L717" t="n">
        <v>0</v>
      </c>
      <c r="M717" t="n">
        <v>0</v>
      </c>
      <c r="N717" t="n">
        <v>0</v>
      </c>
      <c r="O717" t="n">
        <v>0</v>
      </c>
      <c r="P717" t="n">
        <v>0</v>
      </c>
      <c r="Q717" t="n">
        <v>0</v>
      </c>
      <c r="R717" s="2" t="inlineStr"/>
    </row>
    <row r="718" ht="15" customHeight="1">
      <c r="A718" t="inlineStr">
        <is>
          <t>A 41946-2022</t>
        </is>
      </c>
      <c r="B718" s="1" t="n">
        <v>44830.38502314815</v>
      </c>
      <c r="C718" s="1" t="n">
        <v>46145</v>
      </c>
      <c r="D718" t="inlineStr">
        <is>
          <t>SÖDERMANLANDS LÄN</t>
        </is>
      </c>
      <c r="E718" t="inlineStr">
        <is>
          <t>KATRINEHOLM</t>
        </is>
      </c>
      <c r="G718" t="n">
        <v>1</v>
      </c>
      <c r="H718" t="n">
        <v>0</v>
      </c>
      <c r="I718" t="n">
        <v>0</v>
      </c>
      <c r="J718" t="n">
        <v>0</v>
      </c>
      <c r="K718" t="n">
        <v>0</v>
      </c>
      <c r="L718" t="n">
        <v>0</v>
      </c>
      <c r="M718" t="n">
        <v>0</v>
      </c>
      <c r="N718" t="n">
        <v>0</v>
      </c>
      <c r="O718" t="n">
        <v>0</v>
      </c>
      <c r="P718" t="n">
        <v>0</v>
      </c>
      <c r="Q718" t="n">
        <v>0</v>
      </c>
      <c r="R718" s="2" t="inlineStr"/>
    </row>
    <row r="719" ht="15" customHeight="1">
      <c r="A719" t="inlineStr">
        <is>
          <t>A 3115-2024</t>
        </is>
      </c>
      <c r="B719" s="1" t="n">
        <v>45316.49630787037</v>
      </c>
      <c r="C719" s="1" t="n">
        <v>46145</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61431-2024</t>
        </is>
      </c>
      <c r="B720" s="1" t="n">
        <v>45646.45950231481</v>
      </c>
      <c r="C720" s="1" t="n">
        <v>46145</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44659-2023</t>
        </is>
      </c>
      <c r="B721" s="1" t="n">
        <v>45189</v>
      </c>
      <c r="C721" s="1" t="n">
        <v>46145</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51446-2023</t>
        </is>
      </c>
      <c r="B722" s="1" t="n">
        <v>45220.48068287037</v>
      </c>
      <c r="C722" s="1" t="n">
        <v>46145</v>
      </c>
      <c r="D722" t="inlineStr">
        <is>
          <t>SÖDERMANLANDS LÄN</t>
        </is>
      </c>
      <c r="E722" t="inlineStr">
        <is>
          <t>KATRINEHOLM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27955-2023</t>
        </is>
      </c>
      <c r="B723" s="1" t="n">
        <v>45098</v>
      </c>
      <c r="C723" s="1" t="n">
        <v>46145</v>
      </c>
      <c r="D723" t="inlineStr">
        <is>
          <t>SÖDERMANLANDS LÄN</t>
        </is>
      </c>
      <c r="E723" t="inlineStr">
        <is>
          <t>KATRINEHOLM</t>
        </is>
      </c>
      <c r="G723" t="n">
        <v>5.9</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46145</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4724-2023</t>
        </is>
      </c>
      <c r="B725" s="1" t="n">
        <v>44957</v>
      </c>
      <c r="C725" s="1" t="n">
        <v>46145</v>
      </c>
      <c r="D725" t="inlineStr">
        <is>
          <t>SÖDERMANLANDS LÄN</t>
        </is>
      </c>
      <c r="E725" t="inlineStr">
        <is>
          <t>KATRINEHOLM</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7197-2023</t>
        </is>
      </c>
      <c r="B726" s="1" t="n">
        <v>44965</v>
      </c>
      <c r="C726" s="1" t="n">
        <v>46145</v>
      </c>
      <c r="D726" t="inlineStr">
        <is>
          <t>SÖDERMANLANDS LÄN</t>
        </is>
      </c>
      <c r="E726" t="inlineStr">
        <is>
          <t>KATRINEHOLM</t>
        </is>
      </c>
      <c r="G726" t="n">
        <v>5.3</v>
      </c>
      <c r="H726" t="n">
        <v>0</v>
      </c>
      <c r="I726" t="n">
        <v>0</v>
      </c>
      <c r="J726" t="n">
        <v>0</v>
      </c>
      <c r="K726" t="n">
        <v>0</v>
      </c>
      <c r="L726" t="n">
        <v>0</v>
      </c>
      <c r="M726" t="n">
        <v>0</v>
      </c>
      <c r="N726" t="n">
        <v>0</v>
      </c>
      <c r="O726" t="n">
        <v>0</v>
      </c>
      <c r="P726" t="n">
        <v>0</v>
      </c>
      <c r="Q726" t="n">
        <v>0</v>
      </c>
      <c r="R726" s="2" t="inlineStr"/>
    </row>
    <row r="727" ht="15" customHeight="1">
      <c r="A727" t="inlineStr">
        <is>
          <t>A 6092-2025</t>
        </is>
      </c>
      <c r="B727" s="1" t="n">
        <v>45697</v>
      </c>
      <c r="C727" s="1" t="n">
        <v>46145</v>
      </c>
      <c r="D727" t="inlineStr">
        <is>
          <t>SÖDERMANLANDS LÄN</t>
        </is>
      </c>
      <c r="E727" t="inlineStr">
        <is>
          <t>KATRINEHOLM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5327-2025</t>
        </is>
      </c>
      <c r="B728" s="1" t="n">
        <v>45692</v>
      </c>
      <c r="C728" s="1" t="n">
        <v>46145</v>
      </c>
      <c r="D728" t="inlineStr">
        <is>
          <t>SÖDERMANLANDS LÄN</t>
        </is>
      </c>
      <c r="E728" t="inlineStr">
        <is>
          <t>KATRINEHOLM</t>
        </is>
      </c>
      <c r="F728" t="inlineStr">
        <is>
          <t>Kommuner</t>
        </is>
      </c>
      <c r="G728" t="n">
        <v>0.5</v>
      </c>
      <c r="H728" t="n">
        <v>0</v>
      </c>
      <c r="I728" t="n">
        <v>0</v>
      </c>
      <c r="J728" t="n">
        <v>0</v>
      </c>
      <c r="K728" t="n">
        <v>0</v>
      </c>
      <c r="L728" t="n">
        <v>0</v>
      </c>
      <c r="M728" t="n">
        <v>0</v>
      </c>
      <c r="N728" t="n">
        <v>0</v>
      </c>
      <c r="O728" t="n">
        <v>0</v>
      </c>
      <c r="P728" t="n">
        <v>0</v>
      </c>
      <c r="Q728" t="n">
        <v>0</v>
      </c>
      <c r="R728" s="2" t="inlineStr"/>
    </row>
    <row r="729" ht="15" customHeight="1">
      <c r="A729" t="inlineStr">
        <is>
          <t>A 12929-2023</t>
        </is>
      </c>
      <c r="B729" s="1" t="n">
        <v>45001</v>
      </c>
      <c r="C729" s="1" t="n">
        <v>46145</v>
      </c>
      <c r="D729" t="inlineStr">
        <is>
          <t>SÖDERMANLANDS LÄN</t>
        </is>
      </c>
      <c r="E729" t="inlineStr">
        <is>
          <t>KATRINEHOLM</t>
        </is>
      </c>
      <c r="G729" t="n">
        <v>3.1</v>
      </c>
      <c r="H729" t="n">
        <v>0</v>
      </c>
      <c r="I729" t="n">
        <v>0</v>
      </c>
      <c r="J729" t="n">
        <v>0</v>
      </c>
      <c r="K729" t="n">
        <v>0</v>
      </c>
      <c r="L729" t="n">
        <v>0</v>
      </c>
      <c r="M729" t="n">
        <v>0</v>
      </c>
      <c r="N729" t="n">
        <v>0</v>
      </c>
      <c r="O729" t="n">
        <v>0</v>
      </c>
      <c r="P729" t="n">
        <v>0</v>
      </c>
      <c r="Q729" t="n">
        <v>0</v>
      </c>
      <c r="R729" s="2" t="inlineStr"/>
    </row>
    <row r="730" ht="15" customHeight="1">
      <c r="A730" t="inlineStr">
        <is>
          <t>A 12932-2023</t>
        </is>
      </c>
      <c r="B730" s="1" t="n">
        <v>45001</v>
      </c>
      <c r="C730" s="1" t="n">
        <v>46145</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50626-2024</t>
        </is>
      </c>
      <c r="B731" s="1" t="n">
        <v>45601</v>
      </c>
      <c r="C731" s="1" t="n">
        <v>46145</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7398-2024</t>
        </is>
      </c>
      <c r="B732" s="1" t="n">
        <v>45345</v>
      </c>
      <c r="C732" s="1" t="n">
        <v>46145</v>
      </c>
      <c r="D732" t="inlineStr">
        <is>
          <t>SÖDERMANLANDS LÄN</t>
        </is>
      </c>
      <c r="E732" t="inlineStr">
        <is>
          <t>KATRINEHOLM</t>
        </is>
      </c>
      <c r="G732" t="n">
        <v>4.4</v>
      </c>
      <c r="H732" t="n">
        <v>0</v>
      </c>
      <c r="I732" t="n">
        <v>0</v>
      </c>
      <c r="J732" t="n">
        <v>0</v>
      </c>
      <c r="K732" t="n">
        <v>0</v>
      </c>
      <c r="L732" t="n">
        <v>0</v>
      </c>
      <c r="M732" t="n">
        <v>0</v>
      </c>
      <c r="N732" t="n">
        <v>0</v>
      </c>
      <c r="O732" t="n">
        <v>0</v>
      </c>
      <c r="P732" t="n">
        <v>0</v>
      </c>
      <c r="Q732" t="n">
        <v>0</v>
      </c>
      <c r="R732" s="2" t="inlineStr"/>
    </row>
    <row r="733" ht="15" customHeight="1">
      <c r="A733" t="inlineStr">
        <is>
          <t>A 14629-2023</t>
        </is>
      </c>
      <c r="B733" s="1" t="n">
        <v>45013</v>
      </c>
      <c r="C733" s="1" t="n">
        <v>46145</v>
      </c>
      <c r="D733" t="inlineStr">
        <is>
          <t>SÖDERMANLANDS LÄN</t>
        </is>
      </c>
      <c r="E733" t="inlineStr">
        <is>
          <t>KATRINEHOLM</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49116-2024</t>
        </is>
      </c>
      <c r="B734" s="1" t="n">
        <v>45594.6605787037</v>
      </c>
      <c r="C734" s="1" t="n">
        <v>46145</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2683-2025</t>
        </is>
      </c>
      <c r="B735" s="1" t="n">
        <v>45677</v>
      </c>
      <c r="C735" s="1" t="n">
        <v>46145</v>
      </c>
      <c r="D735" t="inlineStr">
        <is>
          <t>SÖDERMANLANDS LÄN</t>
        </is>
      </c>
      <c r="E735" t="inlineStr">
        <is>
          <t>KATRINEHOLM</t>
        </is>
      </c>
      <c r="G735" t="n">
        <v>0.8</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46145</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3315-2023</t>
        </is>
      </c>
      <c r="B737" s="1" t="n">
        <v>44945</v>
      </c>
      <c r="C737" s="1" t="n">
        <v>46145</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7867-2024</t>
        </is>
      </c>
      <c r="B738" s="1" t="n">
        <v>45350.32991898148</v>
      </c>
      <c r="C738" s="1" t="n">
        <v>46145</v>
      </c>
      <c r="D738" t="inlineStr">
        <is>
          <t>SÖDERMANLANDS LÄN</t>
        </is>
      </c>
      <c r="E738" t="inlineStr">
        <is>
          <t>KATRINEHOLM</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38869-2024</t>
        </is>
      </c>
      <c r="B739" s="1" t="n">
        <v>45547</v>
      </c>
      <c r="C739" s="1" t="n">
        <v>46145</v>
      </c>
      <c r="D739" t="inlineStr">
        <is>
          <t>SÖDERMANLANDS LÄN</t>
        </is>
      </c>
      <c r="E739" t="inlineStr">
        <is>
          <t>KATRINEHOLM</t>
        </is>
      </c>
      <c r="G739" t="n">
        <v>2.2</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46145</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1091-2025</t>
        </is>
      </c>
      <c r="B741" s="1" t="n">
        <v>45666</v>
      </c>
      <c r="C741" s="1" t="n">
        <v>46145</v>
      </c>
      <c r="D741" t="inlineStr">
        <is>
          <t>SÖDERMANLANDS LÄN</t>
        </is>
      </c>
      <c r="E741" t="inlineStr">
        <is>
          <t>KATRINEHOLM</t>
        </is>
      </c>
      <c r="F741" t="inlineStr">
        <is>
          <t>Övriga Aktiebolag</t>
        </is>
      </c>
      <c r="G741" t="n">
        <v>0.8</v>
      </c>
      <c r="H741" t="n">
        <v>0</v>
      </c>
      <c r="I741" t="n">
        <v>0</v>
      </c>
      <c r="J741" t="n">
        <v>0</v>
      </c>
      <c r="K741" t="n">
        <v>0</v>
      </c>
      <c r="L741" t="n">
        <v>0</v>
      </c>
      <c r="M741" t="n">
        <v>0</v>
      </c>
      <c r="N741" t="n">
        <v>0</v>
      </c>
      <c r="O741" t="n">
        <v>0</v>
      </c>
      <c r="P741" t="n">
        <v>0</v>
      </c>
      <c r="Q741" t="n">
        <v>0</v>
      </c>
      <c r="R741" s="2" t="inlineStr"/>
    </row>
    <row r="742" ht="15" customHeight="1">
      <c r="A742" t="inlineStr">
        <is>
          <t>A 6311-2025</t>
        </is>
      </c>
      <c r="B742" s="1" t="n">
        <v>45698</v>
      </c>
      <c r="C742" s="1" t="n">
        <v>46145</v>
      </c>
      <c r="D742" t="inlineStr">
        <is>
          <t>SÖDERMANLANDS LÄN</t>
        </is>
      </c>
      <c r="E742" t="inlineStr">
        <is>
          <t>KATRINEHOLM</t>
        </is>
      </c>
      <c r="G742" t="n">
        <v>0.3</v>
      </c>
      <c r="H742" t="n">
        <v>0</v>
      </c>
      <c r="I742" t="n">
        <v>0</v>
      </c>
      <c r="J742" t="n">
        <v>0</v>
      </c>
      <c r="K742" t="n">
        <v>0</v>
      </c>
      <c r="L742" t="n">
        <v>0</v>
      </c>
      <c r="M742" t="n">
        <v>0</v>
      </c>
      <c r="N742" t="n">
        <v>0</v>
      </c>
      <c r="O742" t="n">
        <v>0</v>
      </c>
      <c r="P742" t="n">
        <v>0</v>
      </c>
      <c r="Q742" t="n">
        <v>0</v>
      </c>
      <c r="R742" s="2" t="inlineStr"/>
    </row>
    <row r="743" ht="15" customHeight="1">
      <c r="A743" t="inlineStr">
        <is>
          <t>A 23838-2021</t>
        </is>
      </c>
      <c r="B743" s="1" t="n">
        <v>44335</v>
      </c>
      <c r="C743" s="1" t="n">
        <v>46145</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32943-2024</t>
        </is>
      </c>
      <c r="B744" s="1" t="n">
        <v>45517</v>
      </c>
      <c r="C744" s="1" t="n">
        <v>46145</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22119-2025</t>
        </is>
      </c>
      <c r="B745" s="1" t="n">
        <v>45785</v>
      </c>
      <c r="C745" s="1" t="n">
        <v>46145</v>
      </c>
      <c r="D745" t="inlineStr">
        <is>
          <t>SÖDERMANLANDS LÄN</t>
        </is>
      </c>
      <c r="E745" t="inlineStr">
        <is>
          <t>KATRINEHOLM</t>
        </is>
      </c>
      <c r="G745" t="n">
        <v>0.8</v>
      </c>
      <c r="H745" t="n">
        <v>0</v>
      </c>
      <c r="I745" t="n">
        <v>0</v>
      </c>
      <c r="J745" t="n">
        <v>0</v>
      </c>
      <c r="K745" t="n">
        <v>0</v>
      </c>
      <c r="L745" t="n">
        <v>0</v>
      </c>
      <c r="M745" t="n">
        <v>0</v>
      </c>
      <c r="N745" t="n">
        <v>0</v>
      </c>
      <c r="O745" t="n">
        <v>0</v>
      </c>
      <c r="P745" t="n">
        <v>0</v>
      </c>
      <c r="Q745" t="n">
        <v>0</v>
      </c>
      <c r="R745" s="2" t="inlineStr"/>
    </row>
    <row r="746" ht="15" customHeight="1">
      <c r="A746" t="inlineStr">
        <is>
          <t>A 22113-2025</t>
        </is>
      </c>
      <c r="B746" s="1" t="n">
        <v>45785</v>
      </c>
      <c r="C746" s="1" t="n">
        <v>46145</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24983-2024</t>
        </is>
      </c>
      <c r="B747" s="1" t="n">
        <v>45461</v>
      </c>
      <c r="C747" s="1" t="n">
        <v>46145</v>
      </c>
      <c r="D747" t="inlineStr">
        <is>
          <t>SÖDERMANLANDS LÄN</t>
        </is>
      </c>
      <c r="E747" t="inlineStr">
        <is>
          <t>KATRINEHOLM</t>
        </is>
      </c>
      <c r="G747" t="n">
        <v>2.6</v>
      </c>
      <c r="H747" t="n">
        <v>0</v>
      </c>
      <c r="I747" t="n">
        <v>0</v>
      </c>
      <c r="J747" t="n">
        <v>0</v>
      </c>
      <c r="K747" t="n">
        <v>0</v>
      </c>
      <c r="L747" t="n">
        <v>0</v>
      </c>
      <c r="M747" t="n">
        <v>0</v>
      </c>
      <c r="N747" t="n">
        <v>0</v>
      </c>
      <c r="O747" t="n">
        <v>0</v>
      </c>
      <c r="P747" t="n">
        <v>0</v>
      </c>
      <c r="Q747" t="n">
        <v>0</v>
      </c>
      <c r="R747" s="2" t="inlineStr"/>
    </row>
    <row r="748" ht="15" customHeight="1">
      <c r="A748" t="inlineStr">
        <is>
          <t>A 22476-2025</t>
        </is>
      </c>
      <c r="B748" s="1" t="n">
        <v>45786</v>
      </c>
      <c r="C748" s="1" t="n">
        <v>46145</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22336-2025</t>
        </is>
      </c>
      <c r="B749" s="1" t="n">
        <v>45786.44217592593</v>
      </c>
      <c r="C749" s="1" t="n">
        <v>46145</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23050-2025</t>
        </is>
      </c>
      <c r="B750" s="1" t="n">
        <v>45790.69971064815</v>
      </c>
      <c r="C750" s="1" t="n">
        <v>46145</v>
      </c>
      <c r="D750" t="inlineStr">
        <is>
          <t>SÖDERMANLANDS LÄN</t>
        </is>
      </c>
      <c r="E750" t="inlineStr">
        <is>
          <t>KATRINEHOLM</t>
        </is>
      </c>
      <c r="G750" t="n">
        <v>3.7</v>
      </c>
      <c r="H750" t="n">
        <v>0</v>
      </c>
      <c r="I750" t="n">
        <v>0</v>
      </c>
      <c r="J750" t="n">
        <v>0</v>
      </c>
      <c r="K750" t="n">
        <v>0</v>
      </c>
      <c r="L750" t="n">
        <v>0</v>
      </c>
      <c r="M750" t="n">
        <v>0</v>
      </c>
      <c r="N750" t="n">
        <v>0</v>
      </c>
      <c r="O750" t="n">
        <v>0</v>
      </c>
      <c r="P750" t="n">
        <v>0</v>
      </c>
      <c r="Q750" t="n">
        <v>0</v>
      </c>
      <c r="R750" s="2" t="inlineStr"/>
    </row>
    <row r="751" ht="15" customHeight="1">
      <c r="A751" t="inlineStr">
        <is>
          <t>A 24902-2024</t>
        </is>
      </c>
      <c r="B751" s="1" t="n">
        <v>45461</v>
      </c>
      <c r="C751" s="1" t="n">
        <v>46145</v>
      </c>
      <c r="D751" t="inlineStr">
        <is>
          <t>SÖDERMANLANDS LÄN</t>
        </is>
      </c>
      <c r="E751" t="inlineStr">
        <is>
          <t>KATRINEHOLM</t>
        </is>
      </c>
      <c r="G751" t="n">
        <v>3.5</v>
      </c>
      <c r="H751" t="n">
        <v>0</v>
      </c>
      <c r="I751" t="n">
        <v>0</v>
      </c>
      <c r="J751" t="n">
        <v>0</v>
      </c>
      <c r="K751" t="n">
        <v>0</v>
      </c>
      <c r="L751" t="n">
        <v>0</v>
      </c>
      <c r="M751" t="n">
        <v>0</v>
      </c>
      <c r="N751" t="n">
        <v>0</v>
      </c>
      <c r="O751" t="n">
        <v>0</v>
      </c>
      <c r="P751" t="n">
        <v>0</v>
      </c>
      <c r="Q751" t="n">
        <v>0</v>
      </c>
      <c r="R751" s="2" t="inlineStr"/>
    </row>
    <row r="752" ht="15" customHeight="1">
      <c r="A752" t="inlineStr">
        <is>
          <t>A 2603-2025</t>
        </is>
      </c>
      <c r="B752" s="1" t="n">
        <v>45674</v>
      </c>
      <c r="C752" s="1" t="n">
        <v>46145</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24566-2025</t>
        </is>
      </c>
      <c r="B753" s="1" t="n">
        <v>45798.46452546296</v>
      </c>
      <c r="C753" s="1" t="n">
        <v>46145</v>
      </c>
      <c r="D753" t="inlineStr">
        <is>
          <t>SÖDERMANLANDS LÄN</t>
        </is>
      </c>
      <c r="E753" t="inlineStr">
        <is>
          <t>KATRINEHOLM</t>
        </is>
      </c>
      <c r="G753" t="n">
        <v>6.3</v>
      </c>
      <c r="H753" t="n">
        <v>0</v>
      </c>
      <c r="I753" t="n">
        <v>0</v>
      </c>
      <c r="J753" t="n">
        <v>0</v>
      </c>
      <c r="K753" t="n">
        <v>0</v>
      </c>
      <c r="L753" t="n">
        <v>0</v>
      </c>
      <c r="M753" t="n">
        <v>0</v>
      </c>
      <c r="N753" t="n">
        <v>0</v>
      </c>
      <c r="O753" t="n">
        <v>0</v>
      </c>
      <c r="P753" t="n">
        <v>0</v>
      </c>
      <c r="Q753" t="n">
        <v>0</v>
      </c>
      <c r="R753" s="2" t="inlineStr"/>
    </row>
    <row r="754" ht="15" customHeight="1">
      <c r="A754" t="inlineStr">
        <is>
          <t>A 24605-2025</t>
        </is>
      </c>
      <c r="B754" s="1" t="n">
        <v>45798.57403935185</v>
      </c>
      <c r="C754" s="1" t="n">
        <v>46145</v>
      </c>
      <c r="D754" t="inlineStr">
        <is>
          <t>SÖDERMANLANDS LÄN</t>
        </is>
      </c>
      <c r="E754" t="inlineStr">
        <is>
          <t>KATRINEHOLM</t>
        </is>
      </c>
      <c r="G754" t="n">
        <v>7</v>
      </c>
      <c r="H754" t="n">
        <v>0</v>
      </c>
      <c r="I754" t="n">
        <v>0</v>
      </c>
      <c r="J754" t="n">
        <v>0</v>
      </c>
      <c r="K754" t="n">
        <v>0</v>
      </c>
      <c r="L754" t="n">
        <v>0</v>
      </c>
      <c r="M754" t="n">
        <v>0</v>
      </c>
      <c r="N754" t="n">
        <v>0</v>
      </c>
      <c r="O754" t="n">
        <v>0</v>
      </c>
      <c r="P754" t="n">
        <v>0</v>
      </c>
      <c r="Q754" t="n">
        <v>0</v>
      </c>
      <c r="R754" s="2" t="inlineStr"/>
    </row>
    <row r="755" ht="15" customHeight="1">
      <c r="A755" t="inlineStr">
        <is>
          <t>A 56086-2023</t>
        </is>
      </c>
      <c r="B755" s="1" t="n">
        <v>45240</v>
      </c>
      <c r="C755" s="1" t="n">
        <v>46145</v>
      </c>
      <c r="D755" t="inlineStr">
        <is>
          <t>SÖDERMANLANDS LÄN</t>
        </is>
      </c>
      <c r="E755" t="inlineStr">
        <is>
          <t>KATRINEHOLM</t>
        </is>
      </c>
      <c r="F755" t="inlineStr">
        <is>
          <t>Kyrkan</t>
        </is>
      </c>
      <c r="G755" t="n">
        <v>17</v>
      </c>
      <c r="H755" t="n">
        <v>0</v>
      </c>
      <c r="I755" t="n">
        <v>0</v>
      </c>
      <c r="J755" t="n">
        <v>0</v>
      </c>
      <c r="K755" t="n">
        <v>0</v>
      </c>
      <c r="L755" t="n">
        <v>0</v>
      </c>
      <c r="M755" t="n">
        <v>0</v>
      </c>
      <c r="N755" t="n">
        <v>0</v>
      </c>
      <c r="O755" t="n">
        <v>0</v>
      </c>
      <c r="P755" t="n">
        <v>0</v>
      </c>
      <c r="Q755" t="n">
        <v>0</v>
      </c>
      <c r="R755" s="2" t="inlineStr"/>
    </row>
    <row r="756" ht="15" customHeight="1">
      <c r="A756" t="inlineStr">
        <is>
          <t>A 61423-2024</t>
        </is>
      </c>
      <c r="B756" s="1" t="n">
        <v>45646.45209490741</v>
      </c>
      <c r="C756" s="1" t="n">
        <v>46145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41727-2024</t>
        </is>
      </c>
      <c r="B757" s="1" t="n">
        <v>45560</v>
      </c>
      <c r="C757" s="1" t="n">
        <v>46145</v>
      </c>
      <c r="D757" t="inlineStr">
        <is>
          <t>SÖDERMANLANDS LÄN</t>
        </is>
      </c>
      <c r="E757" t="inlineStr">
        <is>
          <t>KATRINEHOLM</t>
        </is>
      </c>
      <c r="G757" t="n">
        <v>3.9</v>
      </c>
      <c r="H757" t="n">
        <v>0</v>
      </c>
      <c r="I757" t="n">
        <v>0</v>
      </c>
      <c r="J757" t="n">
        <v>0</v>
      </c>
      <c r="K757" t="n">
        <v>0</v>
      </c>
      <c r="L757" t="n">
        <v>0</v>
      </c>
      <c r="M757" t="n">
        <v>0</v>
      </c>
      <c r="N757" t="n">
        <v>0</v>
      </c>
      <c r="O757" t="n">
        <v>0</v>
      </c>
      <c r="P757" t="n">
        <v>0</v>
      </c>
      <c r="Q757" t="n">
        <v>0</v>
      </c>
      <c r="R757" s="2" t="inlineStr"/>
    </row>
    <row r="758" ht="15" customHeight="1">
      <c r="A758" t="inlineStr">
        <is>
          <t>A 24717-2025</t>
        </is>
      </c>
      <c r="B758" s="1" t="n">
        <v>45799.27168981481</v>
      </c>
      <c r="C758" s="1" t="n">
        <v>46145</v>
      </c>
      <c r="D758" t="inlineStr">
        <is>
          <t>SÖDERMANLANDS LÄN</t>
        </is>
      </c>
      <c r="E758" t="inlineStr">
        <is>
          <t>KATRINEHOLM</t>
        </is>
      </c>
      <c r="G758" t="n">
        <v>24.5</v>
      </c>
      <c r="H758" t="n">
        <v>0</v>
      </c>
      <c r="I758" t="n">
        <v>0</v>
      </c>
      <c r="J758" t="n">
        <v>0</v>
      </c>
      <c r="K758" t="n">
        <v>0</v>
      </c>
      <c r="L758" t="n">
        <v>0</v>
      </c>
      <c r="M758" t="n">
        <v>0</v>
      </c>
      <c r="N758" t="n">
        <v>0</v>
      </c>
      <c r="O758" t="n">
        <v>0</v>
      </c>
      <c r="P758" t="n">
        <v>0</v>
      </c>
      <c r="Q758" t="n">
        <v>0</v>
      </c>
      <c r="R758" s="2" t="inlineStr"/>
    </row>
    <row r="759" ht="15" customHeight="1">
      <c r="A759" t="inlineStr">
        <is>
          <t>A 53999-2023</t>
        </is>
      </c>
      <c r="B759" s="1" t="n">
        <v>45231</v>
      </c>
      <c r="C759" s="1" t="n">
        <v>46145</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24719-2025</t>
        </is>
      </c>
      <c r="B760" s="1" t="n">
        <v>45799</v>
      </c>
      <c r="C760" s="1" t="n">
        <v>46145</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25786-2025</t>
        </is>
      </c>
      <c r="B761" s="1" t="n">
        <v>45804.37456018518</v>
      </c>
      <c r="C761" s="1" t="n">
        <v>46145</v>
      </c>
      <c r="D761" t="inlineStr">
        <is>
          <t>SÖDERMANLANDS LÄN</t>
        </is>
      </c>
      <c r="E761" t="inlineStr">
        <is>
          <t>KATRINEHOLM</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26154-2025</t>
        </is>
      </c>
      <c r="B762" s="1" t="n">
        <v>45805.43341435185</v>
      </c>
      <c r="C762" s="1" t="n">
        <v>46145</v>
      </c>
      <c r="D762" t="inlineStr">
        <is>
          <t>SÖDERMANLANDS LÄN</t>
        </is>
      </c>
      <c r="E762" t="inlineStr">
        <is>
          <t>KATRINEHOLM</t>
        </is>
      </c>
      <c r="G762" t="n">
        <v>4.5</v>
      </c>
      <c r="H762" t="n">
        <v>0</v>
      </c>
      <c r="I762" t="n">
        <v>0</v>
      </c>
      <c r="J762" t="n">
        <v>0</v>
      </c>
      <c r="K762" t="n">
        <v>0</v>
      </c>
      <c r="L762" t="n">
        <v>0</v>
      </c>
      <c r="M762" t="n">
        <v>0</v>
      </c>
      <c r="N762" t="n">
        <v>0</v>
      </c>
      <c r="O762" t="n">
        <v>0</v>
      </c>
      <c r="P762" t="n">
        <v>0</v>
      </c>
      <c r="Q762" t="n">
        <v>0</v>
      </c>
      <c r="R762" s="2" t="inlineStr"/>
    </row>
    <row r="763" ht="15" customHeight="1">
      <c r="A763" t="inlineStr">
        <is>
          <t>A 26156-2025</t>
        </is>
      </c>
      <c r="B763" s="1" t="n">
        <v>45805.43864583333</v>
      </c>
      <c r="C763" s="1" t="n">
        <v>46145</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46145</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27552-2025</t>
        </is>
      </c>
      <c r="B765" s="1" t="n">
        <v>45813</v>
      </c>
      <c r="C765" s="1" t="n">
        <v>46145</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27636-2025</t>
        </is>
      </c>
      <c r="B766" s="1" t="n">
        <v>45813.57603009259</v>
      </c>
      <c r="C766" s="1" t="n">
        <v>46145</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24600-2025</t>
        </is>
      </c>
      <c r="B767" s="1" t="n">
        <v>45798.56348379629</v>
      </c>
      <c r="C767" s="1" t="n">
        <v>46145</v>
      </c>
      <c r="D767" t="inlineStr">
        <is>
          <t>SÖDERMANLANDS LÄN</t>
        </is>
      </c>
      <c r="E767" t="inlineStr">
        <is>
          <t>KATRINEHOLM</t>
        </is>
      </c>
      <c r="G767" t="n">
        <v>1.7</v>
      </c>
      <c r="H767" t="n">
        <v>0</v>
      </c>
      <c r="I767" t="n">
        <v>0</v>
      </c>
      <c r="J767" t="n">
        <v>0</v>
      </c>
      <c r="K767" t="n">
        <v>0</v>
      </c>
      <c r="L767" t="n">
        <v>0</v>
      </c>
      <c r="M767" t="n">
        <v>0</v>
      </c>
      <c r="N767" t="n">
        <v>0</v>
      </c>
      <c r="O767" t="n">
        <v>0</v>
      </c>
      <c r="P767" t="n">
        <v>0</v>
      </c>
      <c r="Q767" t="n">
        <v>0</v>
      </c>
      <c r="R767" s="2" t="inlineStr"/>
    </row>
    <row r="768" ht="15" customHeight="1">
      <c r="A768" t="inlineStr">
        <is>
          <t>A 35608-2024</t>
        </is>
      </c>
      <c r="B768" s="1" t="n">
        <v>45531</v>
      </c>
      <c r="C768" s="1" t="n">
        <v>46145</v>
      </c>
      <c r="D768" t="inlineStr">
        <is>
          <t>SÖDERMANLANDS LÄN</t>
        </is>
      </c>
      <c r="E768" t="inlineStr">
        <is>
          <t>KATRINEHOLM</t>
        </is>
      </c>
      <c r="G768" t="n">
        <v>2</v>
      </c>
      <c r="H768" t="n">
        <v>0</v>
      </c>
      <c r="I768" t="n">
        <v>0</v>
      </c>
      <c r="J768" t="n">
        <v>0</v>
      </c>
      <c r="K768" t="n">
        <v>0</v>
      </c>
      <c r="L768" t="n">
        <v>0</v>
      </c>
      <c r="M768" t="n">
        <v>0</v>
      </c>
      <c r="N768" t="n">
        <v>0</v>
      </c>
      <c r="O768" t="n">
        <v>0</v>
      </c>
      <c r="P768" t="n">
        <v>0</v>
      </c>
      <c r="Q768" t="n">
        <v>0</v>
      </c>
      <c r="R768" s="2" t="inlineStr"/>
    </row>
    <row r="769" ht="15" customHeight="1">
      <c r="A769" t="inlineStr">
        <is>
          <t>A 12633-2022</t>
        </is>
      </c>
      <c r="B769" s="1" t="n">
        <v>44638</v>
      </c>
      <c r="C769" s="1" t="n">
        <v>46145</v>
      </c>
      <c r="D769" t="inlineStr">
        <is>
          <t>SÖDERMANLANDS LÄN</t>
        </is>
      </c>
      <c r="E769" t="inlineStr">
        <is>
          <t>KATRINEHOLM</t>
        </is>
      </c>
      <c r="G769" t="n">
        <v>6.4</v>
      </c>
      <c r="H769" t="n">
        <v>0</v>
      </c>
      <c r="I769" t="n">
        <v>0</v>
      </c>
      <c r="J769" t="n">
        <v>0</v>
      </c>
      <c r="K769" t="n">
        <v>0</v>
      </c>
      <c r="L769" t="n">
        <v>0</v>
      </c>
      <c r="M769" t="n">
        <v>0</v>
      </c>
      <c r="N769" t="n">
        <v>0</v>
      </c>
      <c r="O769" t="n">
        <v>0</v>
      </c>
      <c r="P769" t="n">
        <v>0</v>
      </c>
      <c r="Q769" t="n">
        <v>0</v>
      </c>
      <c r="R769" s="2" t="inlineStr"/>
    </row>
    <row r="770" ht="15" customHeight="1">
      <c r="A770" t="inlineStr">
        <is>
          <t>A 29189-2025</t>
        </is>
      </c>
      <c r="B770" s="1" t="n">
        <v>45822</v>
      </c>
      <c r="C770" s="1" t="n">
        <v>46145</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30050-2025</t>
        </is>
      </c>
      <c r="B771" s="1" t="n">
        <v>45826.59151620371</v>
      </c>
      <c r="C771" s="1" t="n">
        <v>46145</v>
      </c>
      <c r="D771" t="inlineStr">
        <is>
          <t>SÖDERMANLANDS LÄN</t>
        </is>
      </c>
      <c r="E771" t="inlineStr">
        <is>
          <t>KATRINEHOLM</t>
        </is>
      </c>
      <c r="G771" t="n">
        <v>7.9</v>
      </c>
      <c r="H771" t="n">
        <v>0</v>
      </c>
      <c r="I771" t="n">
        <v>0</v>
      </c>
      <c r="J771" t="n">
        <v>0</v>
      </c>
      <c r="K771" t="n">
        <v>0</v>
      </c>
      <c r="L771" t="n">
        <v>0</v>
      </c>
      <c r="M771" t="n">
        <v>0</v>
      </c>
      <c r="N771" t="n">
        <v>0</v>
      </c>
      <c r="O771" t="n">
        <v>0</v>
      </c>
      <c r="P771" t="n">
        <v>0</v>
      </c>
      <c r="Q771" t="n">
        <v>0</v>
      </c>
      <c r="R771" s="2" t="inlineStr"/>
    </row>
    <row r="772" ht="15" customHeight="1">
      <c r="A772" t="inlineStr">
        <is>
          <t>A 30070-2025</t>
        </is>
      </c>
      <c r="B772" s="1" t="n">
        <v>45826.63324074074</v>
      </c>
      <c r="C772" s="1" t="n">
        <v>46145</v>
      </c>
      <c r="D772" t="inlineStr">
        <is>
          <t>SÖDERMANLANDS LÄN</t>
        </is>
      </c>
      <c r="E772" t="inlineStr">
        <is>
          <t>KATRINEHOLM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30287-2025</t>
        </is>
      </c>
      <c r="B773" s="1" t="n">
        <v>45827</v>
      </c>
      <c r="C773" s="1" t="n">
        <v>46145</v>
      </c>
      <c r="D773" t="inlineStr">
        <is>
          <t>SÖDERMANLANDS LÄN</t>
        </is>
      </c>
      <c r="E773" t="inlineStr">
        <is>
          <t>KATRINEHOLM</t>
        </is>
      </c>
      <c r="G773" t="n">
        <v>10.2</v>
      </c>
      <c r="H773" t="n">
        <v>0</v>
      </c>
      <c r="I773" t="n">
        <v>0</v>
      </c>
      <c r="J773" t="n">
        <v>0</v>
      </c>
      <c r="K773" t="n">
        <v>0</v>
      </c>
      <c r="L773" t="n">
        <v>0</v>
      </c>
      <c r="M773" t="n">
        <v>0</v>
      </c>
      <c r="N773" t="n">
        <v>0</v>
      </c>
      <c r="O773" t="n">
        <v>0</v>
      </c>
      <c r="P773" t="n">
        <v>0</v>
      </c>
      <c r="Q773" t="n">
        <v>0</v>
      </c>
      <c r="R773" s="2" t="inlineStr"/>
    </row>
    <row r="774" ht="15" customHeight="1">
      <c r="A774" t="inlineStr">
        <is>
          <t>A 30350-2025</t>
        </is>
      </c>
      <c r="B774" s="1" t="n">
        <v>45827.53319444445</v>
      </c>
      <c r="C774" s="1" t="n">
        <v>46145</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30352-2025</t>
        </is>
      </c>
      <c r="B775" s="1" t="n">
        <v>45827</v>
      </c>
      <c r="C775" s="1" t="n">
        <v>46145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30386-2025</t>
        </is>
      </c>
      <c r="B776" s="1" t="n">
        <v>45827</v>
      </c>
      <c r="C776" s="1" t="n">
        <v>46145</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30402-2025</t>
        </is>
      </c>
      <c r="B777" s="1" t="n">
        <v>45827</v>
      </c>
      <c r="C777" s="1" t="n">
        <v>46145</v>
      </c>
      <c r="D777" t="inlineStr">
        <is>
          <t>SÖDERMANLANDS LÄN</t>
        </is>
      </c>
      <c r="E777" t="inlineStr">
        <is>
          <t>KATRINEHOLM</t>
        </is>
      </c>
      <c r="G777" t="n">
        <v>7.1</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46145</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31392-2025</t>
        </is>
      </c>
      <c r="B779" s="1" t="n">
        <v>45833</v>
      </c>
      <c r="C779" s="1" t="n">
        <v>46145</v>
      </c>
      <c r="D779" t="inlineStr">
        <is>
          <t>SÖDERMANLANDS LÄN</t>
        </is>
      </c>
      <c r="E779" t="inlineStr">
        <is>
          <t>KATRINEHOLM</t>
        </is>
      </c>
      <c r="G779" t="n">
        <v>5</v>
      </c>
      <c r="H779" t="n">
        <v>0</v>
      </c>
      <c r="I779" t="n">
        <v>0</v>
      </c>
      <c r="J779" t="n">
        <v>0</v>
      </c>
      <c r="K779" t="n">
        <v>0</v>
      </c>
      <c r="L779" t="n">
        <v>0</v>
      </c>
      <c r="M779" t="n">
        <v>0</v>
      </c>
      <c r="N779" t="n">
        <v>0</v>
      </c>
      <c r="O779" t="n">
        <v>0</v>
      </c>
      <c r="P779" t="n">
        <v>0</v>
      </c>
      <c r="Q779" t="n">
        <v>0</v>
      </c>
      <c r="R779" s="2" t="inlineStr"/>
    </row>
    <row r="780" ht="15" customHeight="1">
      <c r="A780" t="inlineStr">
        <is>
          <t>A 31386-2025</t>
        </is>
      </c>
      <c r="B780" s="1" t="n">
        <v>45833.45259259259</v>
      </c>
      <c r="C780" s="1" t="n">
        <v>46145</v>
      </c>
      <c r="D780" t="inlineStr">
        <is>
          <t>SÖDERMANLANDS LÄN</t>
        </is>
      </c>
      <c r="E780" t="inlineStr">
        <is>
          <t>KATRINEHOLM</t>
        </is>
      </c>
      <c r="F780" t="inlineStr">
        <is>
          <t>Övriga Aktiebolag</t>
        </is>
      </c>
      <c r="G780" t="n">
        <v>2.2</v>
      </c>
      <c r="H780" t="n">
        <v>0</v>
      </c>
      <c r="I780" t="n">
        <v>0</v>
      </c>
      <c r="J780" t="n">
        <v>0</v>
      </c>
      <c r="K780" t="n">
        <v>0</v>
      </c>
      <c r="L780" t="n">
        <v>0</v>
      </c>
      <c r="M780" t="n">
        <v>0</v>
      </c>
      <c r="N780" t="n">
        <v>0</v>
      </c>
      <c r="O780" t="n">
        <v>0</v>
      </c>
      <c r="P780" t="n">
        <v>0</v>
      </c>
      <c r="Q780" t="n">
        <v>0</v>
      </c>
      <c r="R780" s="2" t="inlineStr"/>
    </row>
    <row r="781" ht="15" customHeight="1">
      <c r="A781" t="inlineStr">
        <is>
          <t>A 31990-2025</t>
        </is>
      </c>
      <c r="B781" s="1" t="n">
        <v>45835.36697916667</v>
      </c>
      <c r="C781" s="1" t="n">
        <v>46145</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33090-2025</t>
        </is>
      </c>
      <c r="B782" s="1" t="n">
        <v>45840.46840277778</v>
      </c>
      <c r="C782" s="1" t="n">
        <v>46145</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33084-2025</t>
        </is>
      </c>
      <c r="B783" s="1" t="n">
        <v>45840.46559027778</v>
      </c>
      <c r="C783" s="1" t="n">
        <v>46145</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33577-2025</t>
        </is>
      </c>
      <c r="B784" s="1" t="n">
        <v>45841.59056712963</v>
      </c>
      <c r="C784" s="1" t="n">
        <v>46145</v>
      </c>
      <c r="D784" t="inlineStr">
        <is>
          <t>SÖDERMANLANDS LÄN</t>
        </is>
      </c>
      <c r="E784" t="inlineStr">
        <is>
          <t>KATRINEHOLM</t>
        </is>
      </c>
      <c r="F784" t="inlineStr">
        <is>
          <t>Holmen skog AB</t>
        </is>
      </c>
      <c r="G784" t="n">
        <v>0.3</v>
      </c>
      <c r="H784" t="n">
        <v>0</v>
      </c>
      <c r="I784" t="n">
        <v>0</v>
      </c>
      <c r="J784" t="n">
        <v>0</v>
      </c>
      <c r="K784" t="n">
        <v>0</v>
      </c>
      <c r="L784" t="n">
        <v>0</v>
      </c>
      <c r="M784" t="n">
        <v>0</v>
      </c>
      <c r="N784" t="n">
        <v>0</v>
      </c>
      <c r="O784" t="n">
        <v>0</v>
      </c>
      <c r="P784" t="n">
        <v>0</v>
      </c>
      <c r="Q784" t="n">
        <v>0</v>
      </c>
      <c r="R784" s="2" t="inlineStr"/>
    </row>
    <row r="785" ht="15" customHeight="1">
      <c r="A785" t="inlineStr">
        <is>
          <t>A 33812-2025</t>
        </is>
      </c>
      <c r="B785" s="1" t="n">
        <v>45842</v>
      </c>
      <c r="C785" s="1" t="n">
        <v>46145</v>
      </c>
      <c r="D785" t="inlineStr">
        <is>
          <t>SÖDERMANLANDS LÄN</t>
        </is>
      </c>
      <c r="E785" t="inlineStr">
        <is>
          <t>KATRINEHOLM</t>
        </is>
      </c>
      <c r="G785" t="n">
        <v>1.5</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46145</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ht="15" customHeight="1">
      <c r="A787" t="inlineStr">
        <is>
          <t>A 6762-2025</t>
        </is>
      </c>
      <c r="B787" s="1" t="n">
        <v>45700</v>
      </c>
      <c r="C787" s="1" t="n">
        <v>46145</v>
      </c>
      <c r="D787" t="inlineStr">
        <is>
          <t>SÖDERMANLANDS LÄN</t>
        </is>
      </c>
      <c r="E787" t="inlineStr">
        <is>
          <t>KATRINEHOLM</t>
        </is>
      </c>
      <c r="G787" t="n">
        <v>1</v>
      </c>
      <c r="H787" t="n">
        <v>0</v>
      </c>
      <c r="I787" t="n">
        <v>0</v>
      </c>
      <c r="J787" t="n">
        <v>0</v>
      </c>
      <c r="K787" t="n">
        <v>0</v>
      </c>
      <c r="L787" t="n">
        <v>0</v>
      </c>
      <c r="M787" t="n">
        <v>0</v>
      </c>
      <c r="N787" t="n">
        <v>0</v>
      </c>
      <c r="O787" t="n">
        <v>0</v>
      </c>
      <c r="P787" t="n">
        <v>0</v>
      </c>
      <c r="Q787" t="n">
        <v>0</v>
      </c>
      <c r="R787" s="2" t="inlineStr"/>
    </row>
    <row r="788" ht="15" customHeight="1">
      <c r="A788" t="inlineStr">
        <is>
          <t>A 20213-2025</t>
        </is>
      </c>
      <c r="B788" s="1" t="n">
        <v>45772.63453703704</v>
      </c>
      <c r="C788" s="1" t="n">
        <v>46145</v>
      </c>
      <c r="D788" t="inlineStr">
        <is>
          <t>SÖDERMANLANDS LÄN</t>
        </is>
      </c>
      <c r="E788" t="inlineStr">
        <is>
          <t>KATRINEHOLM</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35156-2025</t>
        </is>
      </c>
      <c r="B789" s="1" t="n">
        <v>45852</v>
      </c>
      <c r="C789" s="1" t="n">
        <v>46145</v>
      </c>
      <c r="D789" t="inlineStr">
        <is>
          <t>SÖDERMANLANDS LÄN</t>
        </is>
      </c>
      <c r="E789" t="inlineStr">
        <is>
          <t>KATRINEHOLM</t>
        </is>
      </c>
      <c r="G789" t="n">
        <v>5.7</v>
      </c>
      <c r="H789" t="n">
        <v>0</v>
      </c>
      <c r="I789" t="n">
        <v>0</v>
      </c>
      <c r="J789" t="n">
        <v>0</v>
      </c>
      <c r="K789" t="n">
        <v>0</v>
      </c>
      <c r="L789" t="n">
        <v>0</v>
      </c>
      <c r="M789" t="n">
        <v>0</v>
      </c>
      <c r="N789" t="n">
        <v>0</v>
      </c>
      <c r="O789" t="n">
        <v>0</v>
      </c>
      <c r="P789" t="n">
        <v>0</v>
      </c>
      <c r="Q789" t="n">
        <v>0</v>
      </c>
      <c r="R789" s="2" t="inlineStr"/>
    </row>
    <row r="790" ht="15" customHeight="1">
      <c r="A790" t="inlineStr">
        <is>
          <t>A 35152-2025</t>
        </is>
      </c>
      <c r="B790" s="1" t="n">
        <v>45852</v>
      </c>
      <c r="C790" s="1" t="n">
        <v>46145</v>
      </c>
      <c r="D790" t="inlineStr">
        <is>
          <t>SÖDERMANLANDS LÄN</t>
        </is>
      </c>
      <c r="E790" t="inlineStr">
        <is>
          <t>KATRINEHOLM</t>
        </is>
      </c>
      <c r="G790" t="n">
        <v>4.6</v>
      </c>
      <c r="H790" t="n">
        <v>0</v>
      </c>
      <c r="I790" t="n">
        <v>0</v>
      </c>
      <c r="J790" t="n">
        <v>0</v>
      </c>
      <c r="K790" t="n">
        <v>0</v>
      </c>
      <c r="L790" t="n">
        <v>0</v>
      </c>
      <c r="M790" t="n">
        <v>0</v>
      </c>
      <c r="N790" t="n">
        <v>0</v>
      </c>
      <c r="O790" t="n">
        <v>0</v>
      </c>
      <c r="P790" t="n">
        <v>0</v>
      </c>
      <c r="Q790" t="n">
        <v>0</v>
      </c>
      <c r="R790" s="2" t="inlineStr"/>
    </row>
    <row r="791" ht="15" customHeight="1">
      <c r="A791" t="inlineStr">
        <is>
          <t>A 35165-2025</t>
        </is>
      </c>
      <c r="B791" s="1" t="n">
        <v>45852.72320601852</v>
      </c>
      <c r="C791" s="1" t="n">
        <v>46145</v>
      </c>
      <c r="D791" t="inlineStr">
        <is>
          <t>SÖDERMANLANDS LÄN</t>
        </is>
      </c>
      <c r="E791" t="inlineStr">
        <is>
          <t>KATRINEHOLM</t>
        </is>
      </c>
      <c r="F791" t="inlineStr">
        <is>
          <t>Övriga Aktiebolag</t>
        </is>
      </c>
      <c r="G791" t="n">
        <v>20.7</v>
      </c>
      <c r="H791" t="n">
        <v>0</v>
      </c>
      <c r="I791" t="n">
        <v>0</v>
      </c>
      <c r="J791" t="n">
        <v>0</v>
      </c>
      <c r="K791" t="n">
        <v>0</v>
      </c>
      <c r="L791" t="n">
        <v>0</v>
      </c>
      <c r="M791" t="n">
        <v>0</v>
      </c>
      <c r="N791" t="n">
        <v>0</v>
      </c>
      <c r="O791" t="n">
        <v>0</v>
      </c>
      <c r="P791" t="n">
        <v>0</v>
      </c>
      <c r="Q791" t="n">
        <v>0</v>
      </c>
      <c r="R791" s="2" t="inlineStr"/>
    </row>
    <row r="792" ht="15" customHeight="1">
      <c r="A792" t="inlineStr">
        <is>
          <t>A 35149-2025</t>
        </is>
      </c>
      <c r="B792" s="1" t="n">
        <v>45852</v>
      </c>
      <c r="C792" s="1" t="n">
        <v>46145</v>
      </c>
      <c r="D792" t="inlineStr">
        <is>
          <t>SÖDERMANLANDS LÄN</t>
        </is>
      </c>
      <c r="E792" t="inlineStr">
        <is>
          <t>KATRINEHOLM</t>
        </is>
      </c>
      <c r="G792" t="n">
        <v>2.3</v>
      </c>
      <c r="H792" t="n">
        <v>0</v>
      </c>
      <c r="I792" t="n">
        <v>0</v>
      </c>
      <c r="J792" t="n">
        <v>0</v>
      </c>
      <c r="K792" t="n">
        <v>0</v>
      </c>
      <c r="L792" t="n">
        <v>0</v>
      </c>
      <c r="M792" t="n">
        <v>0</v>
      </c>
      <c r="N792" t="n">
        <v>0</v>
      </c>
      <c r="O792" t="n">
        <v>0</v>
      </c>
      <c r="P792" t="n">
        <v>0</v>
      </c>
      <c r="Q792" t="n">
        <v>0</v>
      </c>
      <c r="R792" s="2" t="inlineStr"/>
    </row>
    <row r="793" ht="15" customHeight="1">
      <c r="A793" t="inlineStr">
        <is>
          <t>A 35161-2025</t>
        </is>
      </c>
      <c r="B793" s="1" t="n">
        <v>45852.70716435185</v>
      </c>
      <c r="C793" s="1" t="n">
        <v>46145</v>
      </c>
      <c r="D793" t="inlineStr">
        <is>
          <t>SÖDERMANLANDS LÄN</t>
        </is>
      </c>
      <c r="E793" t="inlineStr">
        <is>
          <t>KATRINEHOLM</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35084-2025</t>
        </is>
      </c>
      <c r="B794" s="1" t="n">
        <v>45852</v>
      </c>
      <c r="C794" s="1" t="n">
        <v>46145</v>
      </c>
      <c r="D794" t="inlineStr">
        <is>
          <t>SÖDERMANLANDS LÄN</t>
        </is>
      </c>
      <c r="E794" t="inlineStr">
        <is>
          <t>KATRINEHOLM</t>
        </is>
      </c>
      <c r="G794" t="n">
        <v>3.2</v>
      </c>
      <c r="H794" t="n">
        <v>0</v>
      </c>
      <c r="I794" t="n">
        <v>0</v>
      </c>
      <c r="J794" t="n">
        <v>0</v>
      </c>
      <c r="K794" t="n">
        <v>0</v>
      </c>
      <c r="L794" t="n">
        <v>0</v>
      </c>
      <c r="M794" t="n">
        <v>0</v>
      </c>
      <c r="N794" t="n">
        <v>0</v>
      </c>
      <c r="O794" t="n">
        <v>0</v>
      </c>
      <c r="P794" t="n">
        <v>0</v>
      </c>
      <c r="Q794" t="n">
        <v>0</v>
      </c>
      <c r="R794" s="2" t="inlineStr"/>
    </row>
    <row r="795" ht="15" customHeight="1">
      <c r="A795" t="inlineStr">
        <is>
          <t>A 35145-2025</t>
        </is>
      </c>
      <c r="B795" s="1" t="n">
        <v>45852</v>
      </c>
      <c r="C795" s="1" t="n">
        <v>46145</v>
      </c>
      <c r="D795" t="inlineStr">
        <is>
          <t>SÖDERMANLANDS LÄN</t>
        </is>
      </c>
      <c r="E795" t="inlineStr">
        <is>
          <t>KATRINEHOLM</t>
        </is>
      </c>
      <c r="G795" t="n">
        <v>3.1</v>
      </c>
      <c r="H795" t="n">
        <v>0</v>
      </c>
      <c r="I795" t="n">
        <v>0</v>
      </c>
      <c r="J795" t="n">
        <v>0</v>
      </c>
      <c r="K795" t="n">
        <v>0</v>
      </c>
      <c r="L795" t="n">
        <v>0</v>
      </c>
      <c r="M795" t="n">
        <v>0</v>
      </c>
      <c r="N795" t="n">
        <v>0</v>
      </c>
      <c r="O795" t="n">
        <v>0</v>
      </c>
      <c r="P795" t="n">
        <v>0</v>
      </c>
      <c r="Q795" t="n">
        <v>0</v>
      </c>
      <c r="R795" s="2" t="inlineStr"/>
    </row>
    <row r="796" ht="15" customHeight="1">
      <c r="A796" t="inlineStr">
        <is>
          <t>A 34439-2025</t>
        </is>
      </c>
      <c r="B796" s="1" t="n">
        <v>45845</v>
      </c>
      <c r="C796" s="1" t="n">
        <v>46145</v>
      </c>
      <c r="D796" t="inlineStr">
        <is>
          <t>SÖDERMANLANDS LÄN</t>
        </is>
      </c>
      <c r="E796" t="inlineStr">
        <is>
          <t>KATRINEHOLM</t>
        </is>
      </c>
      <c r="G796" t="n">
        <v>1.4</v>
      </c>
      <c r="H796" t="n">
        <v>0</v>
      </c>
      <c r="I796" t="n">
        <v>0</v>
      </c>
      <c r="J796" t="n">
        <v>0</v>
      </c>
      <c r="K796" t="n">
        <v>0</v>
      </c>
      <c r="L796" t="n">
        <v>0</v>
      </c>
      <c r="M796" t="n">
        <v>0</v>
      </c>
      <c r="N796" t="n">
        <v>0</v>
      </c>
      <c r="O796" t="n">
        <v>0</v>
      </c>
      <c r="P796" t="n">
        <v>0</v>
      </c>
      <c r="Q796" t="n">
        <v>0</v>
      </c>
      <c r="R796" s="2" t="inlineStr"/>
    </row>
    <row r="797" ht="15" customHeight="1">
      <c r="A797" t="inlineStr">
        <is>
          <t>A 35157-2025</t>
        </is>
      </c>
      <c r="B797" s="1" t="n">
        <v>45852</v>
      </c>
      <c r="C797" s="1" t="n">
        <v>46145</v>
      </c>
      <c r="D797" t="inlineStr">
        <is>
          <t>SÖDERMANLANDS LÄN</t>
        </is>
      </c>
      <c r="E797" t="inlineStr">
        <is>
          <t>KATRINEHOLM</t>
        </is>
      </c>
      <c r="G797" t="n">
        <v>3.7</v>
      </c>
      <c r="H797" t="n">
        <v>0</v>
      </c>
      <c r="I797" t="n">
        <v>0</v>
      </c>
      <c r="J797" t="n">
        <v>0</v>
      </c>
      <c r="K797" t="n">
        <v>0</v>
      </c>
      <c r="L797" t="n">
        <v>0</v>
      </c>
      <c r="M797" t="n">
        <v>0</v>
      </c>
      <c r="N797" t="n">
        <v>0</v>
      </c>
      <c r="O797" t="n">
        <v>0</v>
      </c>
      <c r="P797" t="n">
        <v>0</v>
      </c>
      <c r="Q797" t="n">
        <v>0</v>
      </c>
      <c r="R797" s="2" t="inlineStr"/>
    </row>
    <row r="798" ht="15" customHeight="1">
      <c r="A798" t="inlineStr">
        <is>
          <t>A 35158-2025</t>
        </is>
      </c>
      <c r="B798" s="1" t="n">
        <v>45852</v>
      </c>
      <c r="C798" s="1" t="n">
        <v>46145</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34176-2025</t>
        </is>
      </c>
      <c r="B799" s="1" t="n">
        <v>45845</v>
      </c>
      <c r="C799" s="1" t="n">
        <v>46145</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44024-2021</t>
        </is>
      </c>
      <c r="B800" s="1" t="n">
        <v>44434</v>
      </c>
      <c r="C800" s="1" t="n">
        <v>46145</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36590-2025</t>
        </is>
      </c>
      <c r="B801" s="1" t="n">
        <v>45870</v>
      </c>
      <c r="C801" s="1" t="n">
        <v>46145</v>
      </c>
      <c r="D801" t="inlineStr">
        <is>
          <t>SÖDERMANLANDS LÄN</t>
        </is>
      </c>
      <c r="E801" t="inlineStr">
        <is>
          <t>KATRINEHOLM</t>
        </is>
      </c>
      <c r="G801" t="n">
        <v>2</v>
      </c>
      <c r="H801" t="n">
        <v>0</v>
      </c>
      <c r="I801" t="n">
        <v>0</v>
      </c>
      <c r="J801" t="n">
        <v>0</v>
      </c>
      <c r="K801" t="n">
        <v>0</v>
      </c>
      <c r="L801" t="n">
        <v>0</v>
      </c>
      <c r="M801" t="n">
        <v>0</v>
      </c>
      <c r="N801" t="n">
        <v>0</v>
      </c>
      <c r="O801" t="n">
        <v>0</v>
      </c>
      <c r="P801" t="n">
        <v>0</v>
      </c>
      <c r="Q801" t="n">
        <v>0</v>
      </c>
      <c r="R801" s="2" t="inlineStr"/>
    </row>
    <row r="802" ht="15" customHeight="1">
      <c r="A802" t="inlineStr">
        <is>
          <t>A 26684-2025</t>
        </is>
      </c>
      <c r="B802" s="1" t="n">
        <v>45810</v>
      </c>
      <c r="C802" s="1" t="n">
        <v>46145</v>
      </c>
      <c r="D802" t="inlineStr">
        <is>
          <t>SÖDERMANLANDS LÄN</t>
        </is>
      </c>
      <c r="E802" t="inlineStr">
        <is>
          <t>KATRINEHOLM</t>
        </is>
      </c>
      <c r="G802" t="n">
        <v>1</v>
      </c>
      <c r="H802" t="n">
        <v>0</v>
      </c>
      <c r="I802" t="n">
        <v>0</v>
      </c>
      <c r="J802" t="n">
        <v>0</v>
      </c>
      <c r="K802" t="n">
        <v>0</v>
      </c>
      <c r="L802" t="n">
        <v>0</v>
      </c>
      <c r="M802" t="n">
        <v>0</v>
      </c>
      <c r="N802" t="n">
        <v>0</v>
      </c>
      <c r="O802" t="n">
        <v>0</v>
      </c>
      <c r="P802" t="n">
        <v>0</v>
      </c>
      <c r="Q802" t="n">
        <v>0</v>
      </c>
      <c r="R802" s="2" t="inlineStr"/>
    </row>
    <row r="803">
      <c r="A803" t="inlineStr">
        <is>
          <t>A 12227-2025</t>
        </is>
      </c>
      <c r="B803" s="1" t="n">
        <v>45729.56836805555</v>
      </c>
      <c r="C803" s="1" t="n">
        <v>46145</v>
      </c>
      <c r="D803" t="inlineStr">
        <is>
          <t>SÖDERMANLANDS LÄN</t>
        </is>
      </c>
      <c r="E803" t="inlineStr">
        <is>
          <t>KATRINEHOLM</t>
        </is>
      </c>
      <c r="G803" t="n">
        <v>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2026-05-03T11:02:48Z</dcterms:created>
  <dcterms:modified xmlns:dcterms="http://purl.org/dc/terms/" xmlns:xsi="http://www.w3.org/2001/XMLSchema-instance" xsi:type="dcterms:W3CDTF">2026-05-03T11:02:48Z</dcterms:modified>
</cp:coreProperties>
</file>