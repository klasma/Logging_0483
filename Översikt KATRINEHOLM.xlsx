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46106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46106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46106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46106</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46106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46106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46106</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46106</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46106</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46106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46106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46106</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14655-2023</t>
        </is>
      </c>
      <c r="B26" s="1" t="n">
        <v>45013</v>
      </c>
      <c r="C26" s="1" t="n">
        <v>46106</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46106</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46106</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46106</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46106</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46106</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46106</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46106</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46106</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46106</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46106</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46106</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7305-2024</t>
        </is>
      </c>
      <c r="B38" s="1" t="n">
        <v>45344</v>
      </c>
      <c r="C38" s="1" t="n">
        <v>46106</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46106</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42055-2025</t>
        </is>
      </c>
      <c r="B40" s="1" t="n">
        <v>45903</v>
      </c>
      <c r="C40" s="1" t="n">
        <v>46106</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12238-2023</t>
        </is>
      </c>
      <c r="B41" s="1" t="n">
        <v>44995</v>
      </c>
      <c r="C41" s="1" t="n">
        <v>46106</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46106</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35163-2025</t>
        </is>
      </c>
      <c r="B43" s="1" t="n">
        <v>45852.71136574074</v>
      </c>
      <c r="C43" s="1" t="n">
        <v>46106</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41980-2025</t>
        </is>
      </c>
      <c r="B44" s="1" t="n">
        <v>45903</v>
      </c>
      <c r="C44" s="1" t="n">
        <v>46106</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48199-2025</t>
        </is>
      </c>
      <c r="B45" s="1" t="n">
        <v>45933.47856481482</v>
      </c>
      <c r="C45" s="1" t="n">
        <v>46106</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33801-2023</t>
        </is>
      </c>
      <c r="B46" s="1" t="n">
        <v>45133</v>
      </c>
      <c r="C46" s="1" t="n">
        <v>46106</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11890-2023</t>
        </is>
      </c>
      <c r="B47" s="1" t="n">
        <v>44995</v>
      </c>
      <c r="C47" s="1" t="n">
        <v>46106</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44413-2024</t>
        </is>
      </c>
      <c r="B48" s="1" t="n">
        <v>45573.77701388889</v>
      </c>
      <c r="C48" s="1" t="n">
        <v>46106</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55700-2025</t>
        </is>
      </c>
      <c r="B49" s="1" t="n">
        <v>45972.45605324074</v>
      </c>
      <c r="C49" s="1" t="n">
        <v>46106</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57519-2021</t>
        </is>
      </c>
      <c r="B50" s="1" t="n">
        <v>44483</v>
      </c>
      <c r="C50" s="1" t="n">
        <v>46106</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44486-2023</t>
        </is>
      </c>
      <c r="B51" s="1" t="n">
        <v>45183</v>
      </c>
      <c r="C51" s="1" t="n">
        <v>46106</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46106</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46106</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46106</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46106</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46106</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46106</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46106</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46106</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46106</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46106</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46106</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46106</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46106</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46106</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46106</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46106</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46106</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46106</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46106</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46106</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46106</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46106</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46106</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46106</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46106</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46106</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46106</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46106</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46106</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46106</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46106</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46106</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46106</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46106</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46106</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46106</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46106</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46106</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46106</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46106</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46106</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46106</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46106</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46106</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46106</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46106</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46106</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46106</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46106</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46106</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46106</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46106</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46106</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46106</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46106</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46106</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46106</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46106</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46106</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46106</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46106</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46106</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46106</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46106</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46106</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46106</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46106</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46106</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46106</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46106</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46106</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46106</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46106</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46106</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46106</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46106</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46106</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46106</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46106</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46106</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46106</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46106</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46106</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46106</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46106</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46106</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46106</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46106</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46106</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46106</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46106</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46106</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46106</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46106</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46106</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46106</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46106</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46106</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46106</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46106</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46106</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46106</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46106</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46106</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46106</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46106</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46106</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46106</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46106</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46106</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46106</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46106</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46106</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46106</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46106</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46106</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46106</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46106</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46106</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46106</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46106</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46106</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46106</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46106</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46106</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46106</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46106</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46106</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46106</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45147-2021</t>
        </is>
      </c>
      <c r="B182" s="1" t="n">
        <v>44439</v>
      </c>
      <c r="C182" s="1" t="n">
        <v>46106</v>
      </c>
      <c r="D182" t="inlineStr">
        <is>
          <t>SÖDERMANLANDS LÄN</t>
        </is>
      </c>
      <c r="E182" t="inlineStr">
        <is>
          <t>KATRINEHOLM</t>
        </is>
      </c>
      <c r="G182" t="n">
        <v>3.2</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46106</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71129-2021</t>
        </is>
      </c>
      <c r="B184" s="1" t="n">
        <v>44539</v>
      </c>
      <c r="C184" s="1" t="n">
        <v>46106</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39120-2023</t>
        </is>
      </c>
      <c r="B185" s="1" t="n">
        <v>45165</v>
      </c>
      <c r="C185" s="1" t="n">
        <v>46106</v>
      </c>
      <c r="D185" t="inlineStr">
        <is>
          <t>SÖDERMANLANDS LÄN</t>
        </is>
      </c>
      <c r="E185" t="inlineStr">
        <is>
          <t>KATRINEHOLM</t>
        </is>
      </c>
      <c r="G185" t="n">
        <v>4.4</v>
      </c>
      <c r="H185" t="n">
        <v>0</v>
      </c>
      <c r="I185" t="n">
        <v>0</v>
      </c>
      <c r="J185" t="n">
        <v>0</v>
      </c>
      <c r="K185" t="n">
        <v>0</v>
      </c>
      <c r="L185" t="n">
        <v>0</v>
      </c>
      <c r="M185" t="n">
        <v>0</v>
      </c>
      <c r="N185" t="n">
        <v>0</v>
      </c>
      <c r="O185" t="n">
        <v>0</v>
      </c>
      <c r="P185" t="n">
        <v>0</v>
      </c>
      <c r="Q185" t="n">
        <v>0</v>
      </c>
      <c r="R185" s="2" t="inlineStr"/>
    </row>
    <row r="186" ht="15" customHeight="1">
      <c r="A186" t="inlineStr">
        <is>
          <t>A 40393-2022</t>
        </is>
      </c>
      <c r="B186" s="1" t="n">
        <v>44823</v>
      </c>
      <c r="C186" s="1" t="n">
        <v>46106</v>
      </c>
      <c r="D186" t="inlineStr">
        <is>
          <t>SÖDERMANLANDS LÄN</t>
        </is>
      </c>
      <c r="E186" t="inlineStr">
        <is>
          <t>KATRINEHOLM</t>
        </is>
      </c>
      <c r="G186" t="n">
        <v>1.3</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46106</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46106</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24287-2024</t>
        </is>
      </c>
      <c r="B189" s="1" t="n">
        <v>45457</v>
      </c>
      <c r="C189" s="1" t="n">
        <v>46106</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6628-2022</t>
        </is>
      </c>
      <c r="B190" s="1" t="n">
        <v>44601.78850694445</v>
      </c>
      <c r="C190" s="1" t="n">
        <v>46106</v>
      </c>
      <c r="D190" t="inlineStr">
        <is>
          <t>SÖDERMANLANDS LÄN</t>
        </is>
      </c>
      <c r="E190" t="inlineStr">
        <is>
          <t>KATRINEHOLM</t>
        </is>
      </c>
      <c r="G190" t="n">
        <v>0.6</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46106</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46106</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46106</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46106</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33934-2022</t>
        </is>
      </c>
      <c r="B195" s="1" t="n">
        <v>44790</v>
      </c>
      <c r="C195" s="1" t="n">
        <v>46106</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74354-2021</t>
        </is>
      </c>
      <c r="B196" s="1" t="n">
        <v>44559.57041666667</v>
      </c>
      <c r="C196" s="1" t="n">
        <v>46106</v>
      </c>
      <c r="D196" t="inlineStr">
        <is>
          <t>SÖDERMANLANDS LÄN</t>
        </is>
      </c>
      <c r="E196" t="inlineStr">
        <is>
          <t>KATRINEHOLM</t>
        </is>
      </c>
      <c r="G196" t="n">
        <v>0.7</v>
      </c>
      <c r="H196" t="n">
        <v>0</v>
      </c>
      <c r="I196" t="n">
        <v>0</v>
      </c>
      <c r="J196" t="n">
        <v>0</v>
      </c>
      <c r="K196" t="n">
        <v>0</v>
      </c>
      <c r="L196" t="n">
        <v>0</v>
      </c>
      <c r="M196" t="n">
        <v>0</v>
      </c>
      <c r="N196" t="n">
        <v>0</v>
      </c>
      <c r="O196" t="n">
        <v>0</v>
      </c>
      <c r="P196" t="n">
        <v>0</v>
      </c>
      <c r="Q196" t="n">
        <v>0</v>
      </c>
      <c r="R196" s="2" t="inlineStr"/>
    </row>
    <row r="197" ht="15" customHeight="1">
      <c r="A197" t="inlineStr">
        <is>
          <t>A 55034-2021</t>
        </is>
      </c>
      <c r="B197" s="1" t="n">
        <v>44474</v>
      </c>
      <c r="C197" s="1" t="n">
        <v>46106</v>
      </c>
      <c r="D197" t="inlineStr">
        <is>
          <t>SÖDERMANLANDS LÄN</t>
        </is>
      </c>
      <c r="E197" t="inlineStr">
        <is>
          <t>KATRINEHOLM</t>
        </is>
      </c>
      <c r="G197" t="n">
        <v>5</v>
      </c>
      <c r="H197" t="n">
        <v>0</v>
      </c>
      <c r="I197" t="n">
        <v>0</v>
      </c>
      <c r="J197" t="n">
        <v>0</v>
      </c>
      <c r="K197" t="n">
        <v>0</v>
      </c>
      <c r="L197" t="n">
        <v>0</v>
      </c>
      <c r="M197" t="n">
        <v>0</v>
      </c>
      <c r="N197" t="n">
        <v>0</v>
      </c>
      <c r="O197" t="n">
        <v>0</v>
      </c>
      <c r="P197" t="n">
        <v>0</v>
      </c>
      <c r="Q197" t="n">
        <v>0</v>
      </c>
      <c r="R197" s="2" t="inlineStr"/>
    </row>
    <row r="198" ht="15" customHeight="1">
      <c r="A198" t="inlineStr">
        <is>
          <t>A 6807-2023</t>
        </is>
      </c>
      <c r="B198" s="1" t="n">
        <v>44964</v>
      </c>
      <c r="C198" s="1" t="n">
        <v>46106</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29397-2024</t>
        </is>
      </c>
      <c r="B199" s="1" t="n">
        <v>45483</v>
      </c>
      <c r="C199" s="1" t="n">
        <v>46106</v>
      </c>
      <c r="D199" t="inlineStr">
        <is>
          <t>SÖDERMANLANDS LÄN</t>
        </is>
      </c>
      <c r="E199" t="inlineStr">
        <is>
          <t>KATRINEHOLM</t>
        </is>
      </c>
      <c r="G199" t="n">
        <v>3.4</v>
      </c>
      <c r="H199" t="n">
        <v>0</v>
      </c>
      <c r="I199" t="n">
        <v>0</v>
      </c>
      <c r="J199" t="n">
        <v>0</v>
      </c>
      <c r="K199" t="n">
        <v>0</v>
      </c>
      <c r="L199" t="n">
        <v>0</v>
      </c>
      <c r="M199" t="n">
        <v>0</v>
      </c>
      <c r="N199" t="n">
        <v>0</v>
      </c>
      <c r="O199" t="n">
        <v>0</v>
      </c>
      <c r="P199" t="n">
        <v>0</v>
      </c>
      <c r="Q199" t="n">
        <v>0</v>
      </c>
      <c r="R199" s="2" t="inlineStr"/>
    </row>
    <row r="200" ht="15" customHeight="1">
      <c r="A200" t="inlineStr">
        <is>
          <t>A 6091-2025</t>
        </is>
      </c>
      <c r="B200" s="1" t="n">
        <v>45697</v>
      </c>
      <c r="C200" s="1" t="n">
        <v>46106</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6093-2025</t>
        </is>
      </c>
      <c r="B201" s="1" t="n">
        <v>45697</v>
      </c>
      <c r="C201" s="1" t="n">
        <v>46106</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24179-2024</t>
        </is>
      </c>
      <c r="B202" s="1" t="n">
        <v>45456.83059027778</v>
      </c>
      <c r="C202" s="1" t="n">
        <v>46106</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13658-2023</t>
        </is>
      </c>
      <c r="B203" s="1" t="n">
        <v>45006</v>
      </c>
      <c r="C203" s="1" t="n">
        <v>46106</v>
      </c>
      <c r="D203" t="inlineStr">
        <is>
          <t>SÖDERMANLANDS LÄN</t>
        </is>
      </c>
      <c r="E203" t="inlineStr">
        <is>
          <t>KATRINEHOLM</t>
        </is>
      </c>
      <c r="F203" t="inlineStr">
        <is>
          <t>Kyrkan</t>
        </is>
      </c>
      <c r="G203" t="n">
        <v>24.3</v>
      </c>
      <c r="H203" t="n">
        <v>0</v>
      </c>
      <c r="I203" t="n">
        <v>0</v>
      </c>
      <c r="J203" t="n">
        <v>0</v>
      </c>
      <c r="K203" t="n">
        <v>0</v>
      </c>
      <c r="L203" t="n">
        <v>0</v>
      </c>
      <c r="M203" t="n">
        <v>0</v>
      </c>
      <c r="N203" t="n">
        <v>0</v>
      </c>
      <c r="O203" t="n">
        <v>0</v>
      </c>
      <c r="P203" t="n">
        <v>0</v>
      </c>
      <c r="Q203" t="n">
        <v>0</v>
      </c>
      <c r="R203" s="2" t="inlineStr"/>
    </row>
    <row r="204" ht="15" customHeight="1">
      <c r="A204" t="inlineStr">
        <is>
          <t>A 7459-2022</t>
        </is>
      </c>
      <c r="B204" s="1" t="n">
        <v>44607.35009259259</v>
      </c>
      <c r="C204" s="1" t="n">
        <v>46106</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30276-2023</t>
        </is>
      </c>
      <c r="B205" s="1" t="n">
        <v>45110</v>
      </c>
      <c r="C205" s="1" t="n">
        <v>46106</v>
      </c>
      <c r="D205" t="inlineStr">
        <is>
          <t>SÖDERMANLANDS LÄN</t>
        </is>
      </c>
      <c r="E205" t="inlineStr">
        <is>
          <t>KATRINEHOLM</t>
        </is>
      </c>
      <c r="G205" t="n">
        <v>2.3</v>
      </c>
      <c r="H205" t="n">
        <v>0</v>
      </c>
      <c r="I205" t="n">
        <v>0</v>
      </c>
      <c r="J205" t="n">
        <v>0</v>
      </c>
      <c r="K205" t="n">
        <v>0</v>
      </c>
      <c r="L205" t="n">
        <v>0</v>
      </c>
      <c r="M205" t="n">
        <v>0</v>
      </c>
      <c r="N205" t="n">
        <v>0</v>
      </c>
      <c r="O205" t="n">
        <v>0</v>
      </c>
      <c r="P205" t="n">
        <v>0</v>
      </c>
      <c r="Q205" t="n">
        <v>0</v>
      </c>
      <c r="R205" s="2" t="inlineStr"/>
    </row>
    <row r="206" ht="15" customHeight="1">
      <c r="A206" t="inlineStr">
        <is>
          <t>A 42791-2023</t>
        </is>
      </c>
      <c r="B206" s="1" t="n">
        <v>45181.92876157408</v>
      </c>
      <c r="C206" s="1" t="n">
        <v>46106</v>
      </c>
      <c r="D206" t="inlineStr">
        <is>
          <t>SÖDERMANLANDS LÄN</t>
        </is>
      </c>
      <c r="E206" t="inlineStr">
        <is>
          <t>KATRINEHOLM</t>
        </is>
      </c>
      <c r="G206" t="n">
        <v>4.1</v>
      </c>
      <c r="H206" t="n">
        <v>0</v>
      </c>
      <c r="I206" t="n">
        <v>0</v>
      </c>
      <c r="J206" t="n">
        <v>0</v>
      </c>
      <c r="K206" t="n">
        <v>0</v>
      </c>
      <c r="L206" t="n">
        <v>0</v>
      </c>
      <c r="M206" t="n">
        <v>0</v>
      </c>
      <c r="N206" t="n">
        <v>0</v>
      </c>
      <c r="O206" t="n">
        <v>0</v>
      </c>
      <c r="P206" t="n">
        <v>0</v>
      </c>
      <c r="Q206" t="n">
        <v>0</v>
      </c>
      <c r="R206" s="2" t="inlineStr"/>
    </row>
    <row r="207" ht="15" customHeight="1">
      <c r="A207" t="inlineStr">
        <is>
          <t>A 42792-2023</t>
        </is>
      </c>
      <c r="B207" s="1" t="n">
        <v>45181.95491898148</v>
      </c>
      <c r="C207" s="1" t="n">
        <v>46106</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32786-2022</t>
        </is>
      </c>
      <c r="B208" s="1" t="n">
        <v>44784</v>
      </c>
      <c r="C208" s="1" t="n">
        <v>46106</v>
      </c>
      <c r="D208" t="inlineStr">
        <is>
          <t>SÖDERMANLANDS LÄN</t>
        </is>
      </c>
      <c r="E208" t="inlineStr">
        <is>
          <t>KATRINEHOLM</t>
        </is>
      </c>
      <c r="G208" t="n">
        <v>7</v>
      </c>
      <c r="H208" t="n">
        <v>0</v>
      </c>
      <c r="I208" t="n">
        <v>0</v>
      </c>
      <c r="J208" t="n">
        <v>0</v>
      </c>
      <c r="K208" t="n">
        <v>0</v>
      </c>
      <c r="L208" t="n">
        <v>0</v>
      </c>
      <c r="M208" t="n">
        <v>0</v>
      </c>
      <c r="N208" t="n">
        <v>0</v>
      </c>
      <c r="O208" t="n">
        <v>0</v>
      </c>
      <c r="P208" t="n">
        <v>0</v>
      </c>
      <c r="Q208" t="n">
        <v>0</v>
      </c>
      <c r="R208" s="2" t="inlineStr"/>
    </row>
    <row r="209" ht="15" customHeight="1">
      <c r="A209" t="inlineStr">
        <is>
          <t>A 42025-2022</t>
        </is>
      </c>
      <c r="B209" s="1" t="n">
        <v>44830.47399305556</v>
      </c>
      <c r="C209" s="1" t="n">
        <v>46106</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32890-2024</t>
        </is>
      </c>
      <c r="B210" s="1" t="n">
        <v>45516</v>
      </c>
      <c r="C210" s="1" t="n">
        <v>46106</v>
      </c>
      <c r="D210" t="inlineStr">
        <is>
          <t>SÖDERMANLANDS LÄN</t>
        </is>
      </c>
      <c r="E210" t="inlineStr">
        <is>
          <t>KATRINEHOLM</t>
        </is>
      </c>
      <c r="G210" t="n">
        <v>2.6</v>
      </c>
      <c r="H210" t="n">
        <v>0</v>
      </c>
      <c r="I210" t="n">
        <v>0</v>
      </c>
      <c r="J210" t="n">
        <v>0</v>
      </c>
      <c r="K210" t="n">
        <v>0</v>
      </c>
      <c r="L210" t="n">
        <v>0</v>
      </c>
      <c r="M210" t="n">
        <v>0</v>
      </c>
      <c r="N210" t="n">
        <v>0</v>
      </c>
      <c r="O210" t="n">
        <v>0</v>
      </c>
      <c r="P210" t="n">
        <v>0</v>
      </c>
      <c r="Q210" t="n">
        <v>0</v>
      </c>
      <c r="R210" s="2" t="inlineStr"/>
    </row>
    <row r="211" ht="15" customHeight="1">
      <c r="A211" t="inlineStr">
        <is>
          <t>A 39704-2023</t>
        </is>
      </c>
      <c r="B211" s="1" t="n">
        <v>45167</v>
      </c>
      <c r="C211" s="1" t="n">
        <v>46106</v>
      </c>
      <c r="D211" t="inlineStr">
        <is>
          <t>SÖDERMANLANDS LÄN</t>
        </is>
      </c>
      <c r="E211" t="inlineStr">
        <is>
          <t>KATRINEHOLM</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15235-2023</t>
        </is>
      </c>
      <c r="B212" s="1" t="n">
        <v>45019</v>
      </c>
      <c r="C212" s="1" t="n">
        <v>46106</v>
      </c>
      <c r="D212" t="inlineStr">
        <is>
          <t>SÖDERMANLANDS LÄN</t>
        </is>
      </c>
      <c r="E212" t="inlineStr">
        <is>
          <t>KATRINEHOLM</t>
        </is>
      </c>
      <c r="F212" t="inlineStr">
        <is>
          <t>Holmen skog AB</t>
        </is>
      </c>
      <c r="G212" t="n">
        <v>0.7</v>
      </c>
      <c r="H212" t="n">
        <v>0</v>
      </c>
      <c r="I212" t="n">
        <v>0</v>
      </c>
      <c r="J212" t="n">
        <v>0</v>
      </c>
      <c r="K212" t="n">
        <v>0</v>
      </c>
      <c r="L212" t="n">
        <v>0</v>
      </c>
      <c r="M212" t="n">
        <v>0</v>
      </c>
      <c r="N212" t="n">
        <v>0</v>
      </c>
      <c r="O212" t="n">
        <v>0</v>
      </c>
      <c r="P212" t="n">
        <v>0</v>
      </c>
      <c r="Q212" t="n">
        <v>0</v>
      </c>
      <c r="R212" s="2" t="inlineStr"/>
    </row>
    <row r="213" ht="15" customHeight="1">
      <c r="A213" t="inlineStr">
        <is>
          <t>A 45793-2022</t>
        </is>
      </c>
      <c r="B213" s="1" t="n">
        <v>44844</v>
      </c>
      <c r="C213" s="1" t="n">
        <v>46106</v>
      </c>
      <c r="D213" t="inlineStr">
        <is>
          <t>SÖDERMANLANDS LÄN</t>
        </is>
      </c>
      <c r="E213" t="inlineStr">
        <is>
          <t>KATRINEHOLM</t>
        </is>
      </c>
      <c r="G213" t="n">
        <v>2.3</v>
      </c>
      <c r="H213" t="n">
        <v>0</v>
      </c>
      <c r="I213" t="n">
        <v>0</v>
      </c>
      <c r="J213" t="n">
        <v>0</v>
      </c>
      <c r="K213" t="n">
        <v>0</v>
      </c>
      <c r="L213" t="n">
        <v>0</v>
      </c>
      <c r="M213" t="n">
        <v>0</v>
      </c>
      <c r="N213" t="n">
        <v>0</v>
      </c>
      <c r="O213" t="n">
        <v>0</v>
      </c>
      <c r="P213" t="n">
        <v>0</v>
      </c>
      <c r="Q213" t="n">
        <v>0</v>
      </c>
      <c r="R213" s="2" t="inlineStr"/>
    </row>
    <row r="214" ht="15" customHeight="1">
      <c r="A214" t="inlineStr">
        <is>
          <t>A 45438-2021</t>
        </is>
      </c>
      <c r="B214" s="1" t="n">
        <v>44440</v>
      </c>
      <c r="C214" s="1" t="n">
        <v>46106</v>
      </c>
      <c r="D214" t="inlineStr">
        <is>
          <t>SÖDERMANLANDS LÄN</t>
        </is>
      </c>
      <c r="E214" t="inlineStr">
        <is>
          <t>KATRINEHOLM</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46106</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24748-2024</t>
        </is>
      </c>
      <c r="B216" s="1" t="n">
        <v>45460.66567129629</v>
      </c>
      <c r="C216" s="1" t="n">
        <v>46106</v>
      </c>
      <c r="D216" t="inlineStr">
        <is>
          <t>SÖDERMANLANDS LÄN</t>
        </is>
      </c>
      <c r="E216" t="inlineStr">
        <is>
          <t>KATRINEHOLM</t>
        </is>
      </c>
      <c r="G216" t="n">
        <v>3.3</v>
      </c>
      <c r="H216" t="n">
        <v>0</v>
      </c>
      <c r="I216" t="n">
        <v>0</v>
      </c>
      <c r="J216" t="n">
        <v>0</v>
      </c>
      <c r="K216" t="n">
        <v>0</v>
      </c>
      <c r="L216" t="n">
        <v>0</v>
      </c>
      <c r="M216" t="n">
        <v>0</v>
      </c>
      <c r="N216" t="n">
        <v>0</v>
      </c>
      <c r="O216" t="n">
        <v>0</v>
      </c>
      <c r="P216" t="n">
        <v>0</v>
      </c>
      <c r="Q216" t="n">
        <v>0</v>
      </c>
      <c r="R216" s="2" t="inlineStr"/>
    </row>
    <row r="217" ht="15" customHeight="1">
      <c r="A217" t="inlineStr">
        <is>
          <t>A 18386-2025</t>
        </is>
      </c>
      <c r="B217" s="1" t="n">
        <v>45762</v>
      </c>
      <c r="C217" s="1" t="n">
        <v>46106</v>
      </c>
      <c r="D217" t="inlineStr">
        <is>
          <t>SÖDERMANLANDS LÄN</t>
        </is>
      </c>
      <c r="E217" t="inlineStr">
        <is>
          <t>KATRINEHOLM</t>
        </is>
      </c>
      <c r="G217" t="n">
        <v>0.5</v>
      </c>
      <c r="H217" t="n">
        <v>0</v>
      </c>
      <c r="I217" t="n">
        <v>0</v>
      </c>
      <c r="J217" t="n">
        <v>0</v>
      </c>
      <c r="K217" t="n">
        <v>0</v>
      </c>
      <c r="L217" t="n">
        <v>0</v>
      </c>
      <c r="M217" t="n">
        <v>0</v>
      </c>
      <c r="N217" t="n">
        <v>0</v>
      </c>
      <c r="O217" t="n">
        <v>0</v>
      </c>
      <c r="P217" t="n">
        <v>0</v>
      </c>
      <c r="Q217" t="n">
        <v>0</v>
      </c>
      <c r="R217" s="2" t="inlineStr"/>
    </row>
    <row r="218" ht="15" customHeight="1">
      <c r="A218" t="inlineStr">
        <is>
          <t>A 4387-2024</t>
        </is>
      </c>
      <c r="B218" s="1" t="n">
        <v>45327.35068287037</v>
      </c>
      <c r="C218" s="1" t="n">
        <v>46106</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14313-2024</t>
        </is>
      </c>
      <c r="B219" s="1" t="n">
        <v>45393</v>
      </c>
      <c r="C219" s="1" t="n">
        <v>46106</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12938-2023</t>
        </is>
      </c>
      <c r="B220" s="1" t="n">
        <v>45001</v>
      </c>
      <c r="C220" s="1" t="n">
        <v>46106</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7398-2024</t>
        </is>
      </c>
      <c r="B221" s="1" t="n">
        <v>45345</v>
      </c>
      <c r="C221" s="1" t="n">
        <v>46106</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8955-2024</t>
        </is>
      </c>
      <c r="B222" s="1" t="n">
        <v>45357.44873842593</v>
      </c>
      <c r="C222" s="1" t="n">
        <v>46106</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3315-2023</t>
        </is>
      </c>
      <c r="B223" s="1" t="n">
        <v>44945</v>
      </c>
      <c r="C223" s="1" t="n">
        <v>46106</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46106</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46569-2022</t>
        </is>
      </c>
      <c r="B225" s="1" t="n">
        <v>44847</v>
      </c>
      <c r="C225" s="1" t="n">
        <v>46106</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36-2023</t>
        </is>
      </c>
      <c r="B226" s="1" t="n">
        <v>44928.36578703704</v>
      </c>
      <c r="C226" s="1" t="n">
        <v>46106</v>
      </c>
      <c r="D226" t="inlineStr">
        <is>
          <t>SÖDERMANLANDS LÄN</t>
        </is>
      </c>
      <c r="E226" t="inlineStr">
        <is>
          <t>KATRINEHOLM</t>
        </is>
      </c>
      <c r="G226" t="n">
        <v>3.7</v>
      </c>
      <c r="H226" t="n">
        <v>0</v>
      </c>
      <c r="I226" t="n">
        <v>0</v>
      </c>
      <c r="J226" t="n">
        <v>0</v>
      </c>
      <c r="K226" t="n">
        <v>0</v>
      </c>
      <c r="L226" t="n">
        <v>0</v>
      </c>
      <c r="M226" t="n">
        <v>0</v>
      </c>
      <c r="N226" t="n">
        <v>0</v>
      </c>
      <c r="O226" t="n">
        <v>0</v>
      </c>
      <c r="P226" t="n">
        <v>0</v>
      </c>
      <c r="Q226" t="n">
        <v>0</v>
      </c>
      <c r="R226" s="2" t="inlineStr"/>
    </row>
    <row r="227" ht="15" customHeight="1">
      <c r="A227" t="inlineStr">
        <is>
          <t>A 19098-2022</t>
        </is>
      </c>
      <c r="B227" s="1" t="n">
        <v>44691.52616898148</v>
      </c>
      <c r="C227" s="1" t="n">
        <v>46106</v>
      </c>
      <c r="D227" t="inlineStr">
        <is>
          <t>SÖDERMANLANDS LÄN</t>
        </is>
      </c>
      <c r="E227" t="inlineStr">
        <is>
          <t>KATRINEHOLM</t>
        </is>
      </c>
      <c r="G227" t="n">
        <v>5.5</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46106</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51530-2023</t>
        </is>
      </c>
      <c r="B229" s="1" t="n">
        <v>45222</v>
      </c>
      <c r="C229" s="1" t="n">
        <v>46106</v>
      </c>
      <c r="D229" t="inlineStr">
        <is>
          <t>SÖDERMANLANDS LÄN</t>
        </is>
      </c>
      <c r="E229" t="inlineStr">
        <is>
          <t>KATRINEHOLM</t>
        </is>
      </c>
      <c r="G229" t="n">
        <v>0.9</v>
      </c>
      <c r="H229" t="n">
        <v>0</v>
      </c>
      <c r="I229" t="n">
        <v>0</v>
      </c>
      <c r="J229" t="n">
        <v>0</v>
      </c>
      <c r="K229" t="n">
        <v>0</v>
      </c>
      <c r="L229" t="n">
        <v>0</v>
      </c>
      <c r="M229" t="n">
        <v>0</v>
      </c>
      <c r="N229" t="n">
        <v>0</v>
      </c>
      <c r="O229" t="n">
        <v>0</v>
      </c>
      <c r="P229" t="n">
        <v>0</v>
      </c>
      <c r="Q229" t="n">
        <v>0</v>
      </c>
      <c r="R229" s="2" t="inlineStr"/>
    </row>
    <row r="230" ht="15" customHeight="1">
      <c r="A230" t="inlineStr">
        <is>
          <t>A 44915-2022</t>
        </is>
      </c>
      <c r="B230" s="1" t="n">
        <v>44840</v>
      </c>
      <c r="C230" s="1" t="n">
        <v>46106</v>
      </c>
      <c r="D230" t="inlineStr">
        <is>
          <t>SÖDERMANLANDS LÄN</t>
        </is>
      </c>
      <c r="E230" t="inlineStr">
        <is>
          <t>KATRINEHOLM</t>
        </is>
      </c>
      <c r="G230" t="n">
        <v>6.3</v>
      </c>
      <c r="H230" t="n">
        <v>0</v>
      </c>
      <c r="I230" t="n">
        <v>0</v>
      </c>
      <c r="J230" t="n">
        <v>0</v>
      </c>
      <c r="K230" t="n">
        <v>0</v>
      </c>
      <c r="L230" t="n">
        <v>0</v>
      </c>
      <c r="M230" t="n">
        <v>0</v>
      </c>
      <c r="N230" t="n">
        <v>0</v>
      </c>
      <c r="O230" t="n">
        <v>0</v>
      </c>
      <c r="P230" t="n">
        <v>0</v>
      </c>
      <c r="Q230" t="n">
        <v>0</v>
      </c>
      <c r="R230" s="2" t="inlineStr"/>
    </row>
    <row r="231" ht="15" customHeight="1">
      <c r="A231" t="inlineStr">
        <is>
          <t>A 20826-2022</t>
        </is>
      </c>
      <c r="B231" s="1" t="n">
        <v>44701.44754629629</v>
      </c>
      <c r="C231" s="1" t="n">
        <v>46106</v>
      </c>
      <c r="D231" t="inlineStr">
        <is>
          <t>SÖDERMANLANDS LÄN</t>
        </is>
      </c>
      <c r="E231" t="inlineStr">
        <is>
          <t>KATRINEHOLM</t>
        </is>
      </c>
      <c r="G231" t="n">
        <v>6.8</v>
      </c>
      <c r="H231" t="n">
        <v>0</v>
      </c>
      <c r="I231" t="n">
        <v>0</v>
      </c>
      <c r="J231" t="n">
        <v>0</v>
      </c>
      <c r="K231" t="n">
        <v>0</v>
      </c>
      <c r="L231" t="n">
        <v>0</v>
      </c>
      <c r="M231" t="n">
        <v>0</v>
      </c>
      <c r="N231" t="n">
        <v>0</v>
      </c>
      <c r="O231" t="n">
        <v>0</v>
      </c>
      <c r="P231" t="n">
        <v>0</v>
      </c>
      <c r="Q231" t="n">
        <v>0</v>
      </c>
      <c r="R231" s="2" t="inlineStr"/>
    </row>
    <row r="232" ht="15" customHeight="1">
      <c r="A232" t="inlineStr">
        <is>
          <t>A 20846-2022</t>
        </is>
      </c>
      <c r="B232" s="1" t="n">
        <v>44701.4744212963</v>
      </c>
      <c r="C232" s="1" t="n">
        <v>46106</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12930-2023</t>
        </is>
      </c>
      <c r="B233" s="1" t="n">
        <v>45001</v>
      </c>
      <c r="C233" s="1" t="n">
        <v>46106</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38308-2021</t>
        </is>
      </c>
      <c r="B234" s="1" t="n">
        <v>44406</v>
      </c>
      <c r="C234" s="1" t="n">
        <v>46106</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17246-2024</t>
        </is>
      </c>
      <c r="B235" s="1" t="n">
        <v>45414</v>
      </c>
      <c r="C235" s="1" t="n">
        <v>46106</v>
      </c>
      <c r="D235" t="inlineStr">
        <is>
          <t>SÖDERMANLANDS LÄN</t>
        </is>
      </c>
      <c r="E235" t="inlineStr">
        <is>
          <t>KATRINEHOLM</t>
        </is>
      </c>
      <c r="F235" t="inlineStr">
        <is>
          <t>Allmännings- och besparingsskogar</t>
        </is>
      </c>
      <c r="G235" t="n">
        <v>13.7</v>
      </c>
      <c r="H235" t="n">
        <v>0</v>
      </c>
      <c r="I235" t="n">
        <v>0</v>
      </c>
      <c r="J235" t="n">
        <v>0</v>
      </c>
      <c r="K235" t="n">
        <v>0</v>
      </c>
      <c r="L235" t="n">
        <v>0</v>
      </c>
      <c r="M235" t="n">
        <v>0</v>
      </c>
      <c r="N235" t="n">
        <v>0</v>
      </c>
      <c r="O235" t="n">
        <v>0</v>
      </c>
      <c r="P235" t="n">
        <v>0</v>
      </c>
      <c r="Q235" t="n">
        <v>0</v>
      </c>
      <c r="R235" s="2" t="inlineStr"/>
    </row>
    <row r="236" ht="15" customHeight="1">
      <c r="A236" t="inlineStr">
        <is>
          <t>A 23031-2024</t>
        </is>
      </c>
      <c r="B236" s="1" t="n">
        <v>45450.38120370371</v>
      </c>
      <c r="C236" s="1" t="n">
        <v>46106</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55856-2022</t>
        </is>
      </c>
      <c r="B237" s="1" t="n">
        <v>44888</v>
      </c>
      <c r="C237" s="1" t="n">
        <v>46106</v>
      </c>
      <c r="D237" t="inlineStr">
        <is>
          <t>SÖDERMANLANDS LÄN</t>
        </is>
      </c>
      <c r="E237" t="inlineStr">
        <is>
          <t>KATRINEHOLM</t>
        </is>
      </c>
      <c r="G237" t="n">
        <v>5.6</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46106</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37542-2022</t>
        </is>
      </c>
      <c r="B239" s="1" t="n">
        <v>44809</v>
      </c>
      <c r="C239" s="1" t="n">
        <v>46106</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34739-2023</t>
        </is>
      </c>
      <c r="B240" s="1" t="n">
        <v>45141</v>
      </c>
      <c r="C240" s="1" t="n">
        <v>46106</v>
      </c>
      <c r="D240" t="inlineStr">
        <is>
          <t>SÖDERMANLANDS LÄN</t>
        </is>
      </c>
      <c r="E240" t="inlineStr">
        <is>
          <t>KATRINEHOLM</t>
        </is>
      </c>
      <c r="G240" t="n">
        <v>1.4</v>
      </c>
      <c r="H240" t="n">
        <v>0</v>
      </c>
      <c r="I240" t="n">
        <v>0</v>
      </c>
      <c r="J240" t="n">
        <v>0</v>
      </c>
      <c r="K240" t="n">
        <v>0</v>
      </c>
      <c r="L240" t="n">
        <v>0</v>
      </c>
      <c r="M240" t="n">
        <v>0</v>
      </c>
      <c r="N240" t="n">
        <v>0</v>
      </c>
      <c r="O240" t="n">
        <v>0</v>
      </c>
      <c r="P240" t="n">
        <v>0</v>
      </c>
      <c r="Q240" t="n">
        <v>0</v>
      </c>
      <c r="R240" s="2" t="inlineStr"/>
    </row>
    <row r="241" ht="15" customHeight="1">
      <c r="A241" t="inlineStr">
        <is>
          <t>A 36366-2023</t>
        </is>
      </c>
      <c r="B241" s="1" t="n">
        <v>45152</v>
      </c>
      <c r="C241" s="1" t="n">
        <v>46106</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9932-2023</t>
        </is>
      </c>
      <c r="B242" s="1" t="n">
        <v>44985.46709490741</v>
      </c>
      <c r="C242" s="1" t="n">
        <v>46106</v>
      </c>
      <c r="D242" t="inlineStr">
        <is>
          <t>SÖDERMANLANDS LÄN</t>
        </is>
      </c>
      <c r="E242" t="inlineStr">
        <is>
          <t>KATRINEHOLM</t>
        </is>
      </c>
      <c r="G242" t="n">
        <v>0.3</v>
      </c>
      <c r="H242" t="n">
        <v>0</v>
      </c>
      <c r="I242" t="n">
        <v>0</v>
      </c>
      <c r="J242" t="n">
        <v>0</v>
      </c>
      <c r="K242" t="n">
        <v>0</v>
      </c>
      <c r="L242" t="n">
        <v>0</v>
      </c>
      <c r="M242" t="n">
        <v>0</v>
      </c>
      <c r="N242" t="n">
        <v>0</v>
      </c>
      <c r="O242" t="n">
        <v>0</v>
      </c>
      <c r="P242" t="n">
        <v>0</v>
      </c>
      <c r="Q242" t="n">
        <v>0</v>
      </c>
      <c r="R242" s="2" t="inlineStr"/>
    </row>
    <row r="243" ht="15" customHeight="1">
      <c r="A243" t="inlineStr">
        <is>
          <t>A 48520-2023</t>
        </is>
      </c>
      <c r="B243" s="1" t="n">
        <v>45208</v>
      </c>
      <c r="C243" s="1" t="n">
        <v>46106</v>
      </c>
      <c r="D243" t="inlineStr">
        <is>
          <t>SÖDERMANLANDS LÄN</t>
        </is>
      </c>
      <c r="E243" t="inlineStr">
        <is>
          <t>KATRINEHOLM</t>
        </is>
      </c>
      <c r="G243" t="n">
        <v>1</v>
      </c>
      <c r="H243" t="n">
        <v>0</v>
      </c>
      <c r="I243" t="n">
        <v>0</v>
      </c>
      <c r="J243" t="n">
        <v>0</v>
      </c>
      <c r="K243" t="n">
        <v>0</v>
      </c>
      <c r="L243" t="n">
        <v>0</v>
      </c>
      <c r="M243" t="n">
        <v>0</v>
      </c>
      <c r="N243" t="n">
        <v>0</v>
      </c>
      <c r="O243" t="n">
        <v>0</v>
      </c>
      <c r="P243" t="n">
        <v>0</v>
      </c>
      <c r="Q243" t="n">
        <v>0</v>
      </c>
      <c r="R243" s="2" t="inlineStr"/>
    </row>
    <row r="244" ht="15" customHeight="1">
      <c r="A244" t="inlineStr">
        <is>
          <t>A 42590-2022</t>
        </is>
      </c>
      <c r="B244" s="1" t="n">
        <v>44831</v>
      </c>
      <c r="C244" s="1" t="n">
        <v>46106</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9693-2024</t>
        </is>
      </c>
      <c r="B245" s="1" t="n">
        <v>45362</v>
      </c>
      <c r="C245" s="1" t="n">
        <v>46106</v>
      </c>
      <c r="D245" t="inlineStr">
        <is>
          <t>SÖDERMANLANDS LÄN</t>
        </is>
      </c>
      <c r="E245" t="inlineStr">
        <is>
          <t>KATRINEHOLM</t>
        </is>
      </c>
      <c r="G245" t="n">
        <v>5.9</v>
      </c>
      <c r="H245" t="n">
        <v>0</v>
      </c>
      <c r="I245" t="n">
        <v>0</v>
      </c>
      <c r="J245" t="n">
        <v>0</v>
      </c>
      <c r="K245" t="n">
        <v>0</v>
      </c>
      <c r="L245" t="n">
        <v>0</v>
      </c>
      <c r="M245" t="n">
        <v>0</v>
      </c>
      <c r="N245" t="n">
        <v>0</v>
      </c>
      <c r="O245" t="n">
        <v>0</v>
      </c>
      <c r="P245" t="n">
        <v>0</v>
      </c>
      <c r="Q245" t="n">
        <v>0</v>
      </c>
      <c r="R245" s="2" t="inlineStr"/>
    </row>
    <row r="246" ht="15" customHeight="1">
      <c r="A246" t="inlineStr">
        <is>
          <t>A 41205-2021</t>
        </is>
      </c>
      <c r="B246" s="1" t="n">
        <v>44424.38577546296</v>
      </c>
      <c r="C246" s="1" t="n">
        <v>46106</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32818-2023</t>
        </is>
      </c>
      <c r="B247" s="1" t="n">
        <v>45124.55633101852</v>
      </c>
      <c r="C247" s="1" t="n">
        <v>46106</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55296-2022</t>
        </is>
      </c>
      <c r="B248" s="1" t="n">
        <v>44887</v>
      </c>
      <c r="C248" s="1" t="n">
        <v>46106</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17360-2022</t>
        </is>
      </c>
      <c r="B249" s="1" t="n">
        <v>44678</v>
      </c>
      <c r="C249" s="1" t="n">
        <v>46106</v>
      </c>
      <c r="D249" t="inlineStr">
        <is>
          <t>SÖDERMANLANDS LÄN</t>
        </is>
      </c>
      <c r="E249" t="inlineStr">
        <is>
          <t>KATRINEHOLM</t>
        </is>
      </c>
      <c r="G249" t="n">
        <v>4.5</v>
      </c>
      <c r="H249" t="n">
        <v>0</v>
      </c>
      <c r="I249" t="n">
        <v>0</v>
      </c>
      <c r="J249" t="n">
        <v>0</v>
      </c>
      <c r="K249" t="n">
        <v>0</v>
      </c>
      <c r="L249" t="n">
        <v>0</v>
      </c>
      <c r="M249" t="n">
        <v>0</v>
      </c>
      <c r="N249" t="n">
        <v>0</v>
      </c>
      <c r="O249" t="n">
        <v>0</v>
      </c>
      <c r="P249" t="n">
        <v>0</v>
      </c>
      <c r="Q249" t="n">
        <v>0</v>
      </c>
      <c r="R249" s="2" t="inlineStr"/>
    </row>
    <row r="250" ht="15" customHeight="1">
      <c r="A250" t="inlineStr">
        <is>
          <t>A 35864-2023</t>
        </is>
      </c>
      <c r="B250" s="1" t="n">
        <v>45147</v>
      </c>
      <c r="C250" s="1" t="n">
        <v>46106</v>
      </c>
      <c r="D250" t="inlineStr">
        <is>
          <t>SÖDERMANLANDS LÄN</t>
        </is>
      </c>
      <c r="E250" t="inlineStr">
        <is>
          <t>KATRINEHOLM</t>
        </is>
      </c>
      <c r="F250" t="inlineStr">
        <is>
          <t>Övriga Aktiebolag</t>
        </is>
      </c>
      <c r="G250" t="n">
        <v>4.7</v>
      </c>
      <c r="H250" t="n">
        <v>0</v>
      </c>
      <c r="I250" t="n">
        <v>0</v>
      </c>
      <c r="J250" t="n">
        <v>0</v>
      </c>
      <c r="K250" t="n">
        <v>0</v>
      </c>
      <c r="L250" t="n">
        <v>0</v>
      </c>
      <c r="M250" t="n">
        <v>0</v>
      </c>
      <c r="N250" t="n">
        <v>0</v>
      </c>
      <c r="O250" t="n">
        <v>0</v>
      </c>
      <c r="P250" t="n">
        <v>0</v>
      </c>
      <c r="Q250" t="n">
        <v>0</v>
      </c>
      <c r="R250" s="2" t="inlineStr"/>
    </row>
    <row r="251" ht="15" customHeight="1">
      <c r="A251" t="inlineStr">
        <is>
          <t>A 3982-2024</t>
        </is>
      </c>
      <c r="B251" s="1" t="n">
        <v>45322</v>
      </c>
      <c r="C251" s="1" t="n">
        <v>46106</v>
      </c>
      <c r="D251" t="inlineStr">
        <is>
          <t>SÖDERMANLANDS LÄN</t>
        </is>
      </c>
      <c r="E251" t="inlineStr">
        <is>
          <t>KATRINEHOLM</t>
        </is>
      </c>
      <c r="G251" t="n">
        <v>3.7</v>
      </c>
      <c r="H251" t="n">
        <v>0</v>
      </c>
      <c r="I251" t="n">
        <v>0</v>
      </c>
      <c r="J251" t="n">
        <v>0</v>
      </c>
      <c r="K251" t="n">
        <v>0</v>
      </c>
      <c r="L251" t="n">
        <v>0</v>
      </c>
      <c r="M251" t="n">
        <v>0</v>
      </c>
      <c r="N251" t="n">
        <v>0</v>
      </c>
      <c r="O251" t="n">
        <v>0</v>
      </c>
      <c r="P251" t="n">
        <v>0</v>
      </c>
      <c r="Q251" t="n">
        <v>0</v>
      </c>
      <c r="R251" s="2" t="inlineStr"/>
    </row>
    <row r="252" ht="15" customHeight="1">
      <c r="A252" t="inlineStr">
        <is>
          <t>A 6810-2023</t>
        </is>
      </c>
      <c r="B252" s="1" t="n">
        <v>44964</v>
      </c>
      <c r="C252" s="1" t="n">
        <v>46106</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11635-2023</t>
        </is>
      </c>
      <c r="B253" s="1" t="n">
        <v>44994</v>
      </c>
      <c r="C253" s="1" t="n">
        <v>46106</v>
      </c>
      <c r="D253" t="inlineStr">
        <is>
          <t>SÖDERMANLANDS LÄN</t>
        </is>
      </c>
      <c r="E253" t="inlineStr">
        <is>
          <t>KATRINEHOLM</t>
        </is>
      </c>
      <c r="G253" t="n">
        <v>4.3</v>
      </c>
      <c r="H253" t="n">
        <v>0</v>
      </c>
      <c r="I253" t="n">
        <v>0</v>
      </c>
      <c r="J253" t="n">
        <v>0</v>
      </c>
      <c r="K253" t="n">
        <v>0</v>
      </c>
      <c r="L253" t="n">
        <v>0</v>
      </c>
      <c r="M253" t="n">
        <v>0</v>
      </c>
      <c r="N253" t="n">
        <v>0</v>
      </c>
      <c r="O253" t="n">
        <v>0</v>
      </c>
      <c r="P253" t="n">
        <v>0</v>
      </c>
      <c r="Q253" t="n">
        <v>0</v>
      </c>
      <c r="R253" s="2" t="inlineStr"/>
    </row>
    <row r="254" ht="15" customHeight="1">
      <c r="A254" t="inlineStr">
        <is>
          <t>A 13086-2023</t>
        </is>
      </c>
      <c r="B254" s="1" t="n">
        <v>45002.42188657408</v>
      </c>
      <c r="C254" s="1" t="n">
        <v>46106</v>
      </c>
      <c r="D254" t="inlineStr">
        <is>
          <t>SÖDERMANLANDS LÄN</t>
        </is>
      </c>
      <c r="E254" t="inlineStr">
        <is>
          <t>KATRINEHOLM</t>
        </is>
      </c>
      <c r="G254" t="n">
        <v>2.2</v>
      </c>
      <c r="H254" t="n">
        <v>0</v>
      </c>
      <c r="I254" t="n">
        <v>0</v>
      </c>
      <c r="J254" t="n">
        <v>0</v>
      </c>
      <c r="K254" t="n">
        <v>0</v>
      </c>
      <c r="L254" t="n">
        <v>0</v>
      </c>
      <c r="M254" t="n">
        <v>0</v>
      </c>
      <c r="N254" t="n">
        <v>0</v>
      </c>
      <c r="O254" t="n">
        <v>0</v>
      </c>
      <c r="P254" t="n">
        <v>0</v>
      </c>
      <c r="Q254" t="n">
        <v>0</v>
      </c>
      <c r="R254" s="2" t="inlineStr"/>
    </row>
    <row r="255" ht="15" customHeight="1">
      <c r="A255" t="inlineStr">
        <is>
          <t>A 34732-2022</t>
        </is>
      </c>
      <c r="B255" s="1" t="n">
        <v>44795</v>
      </c>
      <c r="C255" s="1" t="n">
        <v>46106</v>
      </c>
      <c r="D255" t="inlineStr">
        <is>
          <t>SÖDERMANLANDS LÄN</t>
        </is>
      </c>
      <c r="E255" t="inlineStr">
        <is>
          <t>KATRINEHOLM</t>
        </is>
      </c>
      <c r="G255" t="n">
        <v>3</v>
      </c>
      <c r="H255" t="n">
        <v>0</v>
      </c>
      <c r="I255" t="n">
        <v>0</v>
      </c>
      <c r="J255" t="n">
        <v>0</v>
      </c>
      <c r="K255" t="n">
        <v>0</v>
      </c>
      <c r="L255" t="n">
        <v>0</v>
      </c>
      <c r="M255" t="n">
        <v>0</v>
      </c>
      <c r="N255" t="n">
        <v>0</v>
      </c>
      <c r="O255" t="n">
        <v>0</v>
      </c>
      <c r="P255" t="n">
        <v>0</v>
      </c>
      <c r="Q255" t="n">
        <v>0</v>
      </c>
      <c r="R255" s="2" t="inlineStr"/>
    </row>
    <row r="256" ht="15" customHeight="1">
      <c r="A256" t="inlineStr">
        <is>
          <t>A 27552-2025</t>
        </is>
      </c>
      <c r="B256" s="1" t="n">
        <v>45813</v>
      </c>
      <c r="C256" s="1" t="n">
        <v>46106</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27534-2025</t>
        </is>
      </c>
      <c r="B257" s="1" t="n">
        <v>45813</v>
      </c>
      <c r="C257" s="1" t="n">
        <v>46106</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17820-2025</t>
        </is>
      </c>
      <c r="B258" s="1" t="n">
        <v>45758</v>
      </c>
      <c r="C258" s="1" t="n">
        <v>46106</v>
      </c>
      <c r="D258" t="inlineStr">
        <is>
          <t>SÖDERMANLANDS LÄN</t>
        </is>
      </c>
      <c r="E258" t="inlineStr">
        <is>
          <t>KATRINEHOLM</t>
        </is>
      </c>
      <c r="G258" t="n">
        <v>5.9</v>
      </c>
      <c r="H258" t="n">
        <v>0</v>
      </c>
      <c r="I258" t="n">
        <v>0</v>
      </c>
      <c r="J258" t="n">
        <v>0</v>
      </c>
      <c r="K258" t="n">
        <v>0</v>
      </c>
      <c r="L258" t="n">
        <v>0</v>
      </c>
      <c r="M258" t="n">
        <v>0</v>
      </c>
      <c r="N258" t="n">
        <v>0</v>
      </c>
      <c r="O258" t="n">
        <v>0</v>
      </c>
      <c r="P258" t="n">
        <v>0</v>
      </c>
      <c r="Q258" t="n">
        <v>0</v>
      </c>
      <c r="R258" s="2" t="inlineStr"/>
    </row>
    <row r="259" ht="15" customHeight="1">
      <c r="A259" t="inlineStr">
        <is>
          <t>A 57154-2023</t>
        </is>
      </c>
      <c r="B259" s="1" t="n">
        <v>45245</v>
      </c>
      <c r="C259" s="1" t="n">
        <v>46106</v>
      </c>
      <c r="D259" t="inlineStr">
        <is>
          <t>SÖDERMANLANDS LÄN</t>
        </is>
      </c>
      <c r="E259" t="inlineStr">
        <is>
          <t>KATRINEHOLM</t>
        </is>
      </c>
      <c r="F259" t="inlineStr">
        <is>
          <t>Allmännings- och besparingsskogar</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27636-2025</t>
        </is>
      </c>
      <c r="B260" s="1" t="n">
        <v>45813.57603009259</v>
      </c>
      <c r="C260" s="1" t="n">
        <v>46106</v>
      </c>
      <c r="D260" t="inlineStr">
        <is>
          <t>SÖDERMANLANDS LÄN</t>
        </is>
      </c>
      <c r="E260" t="inlineStr">
        <is>
          <t>KATRINEHOLM</t>
        </is>
      </c>
      <c r="G260" t="n">
        <v>0.6</v>
      </c>
      <c r="H260" t="n">
        <v>0</v>
      </c>
      <c r="I260" t="n">
        <v>0</v>
      </c>
      <c r="J260" t="n">
        <v>0</v>
      </c>
      <c r="K260" t="n">
        <v>0</v>
      </c>
      <c r="L260" t="n">
        <v>0</v>
      </c>
      <c r="M260" t="n">
        <v>0</v>
      </c>
      <c r="N260" t="n">
        <v>0</v>
      </c>
      <c r="O260" t="n">
        <v>0</v>
      </c>
      <c r="P260" t="n">
        <v>0</v>
      </c>
      <c r="Q260" t="n">
        <v>0</v>
      </c>
      <c r="R260" s="2" t="inlineStr"/>
    </row>
    <row r="261" ht="15" customHeight="1">
      <c r="A261" t="inlineStr">
        <is>
          <t>A 13848-2026</t>
        </is>
      </c>
      <c r="B261" s="1" t="n">
        <v>46098.38704861111</v>
      </c>
      <c r="C261" s="1" t="n">
        <v>46106</v>
      </c>
      <c r="D261" t="inlineStr">
        <is>
          <t>SÖDERMANLANDS LÄN</t>
        </is>
      </c>
      <c r="E261" t="inlineStr">
        <is>
          <t>KATRINEHOLM</t>
        </is>
      </c>
      <c r="G261" t="n">
        <v>3.1</v>
      </c>
      <c r="H261" t="n">
        <v>0</v>
      </c>
      <c r="I261" t="n">
        <v>0</v>
      </c>
      <c r="J261" t="n">
        <v>0</v>
      </c>
      <c r="K261" t="n">
        <v>0</v>
      </c>
      <c r="L261" t="n">
        <v>0</v>
      </c>
      <c r="M261" t="n">
        <v>0</v>
      </c>
      <c r="N261" t="n">
        <v>0</v>
      </c>
      <c r="O261" t="n">
        <v>0</v>
      </c>
      <c r="P261" t="n">
        <v>0</v>
      </c>
      <c r="Q261" t="n">
        <v>0</v>
      </c>
      <c r="R261" s="2" t="inlineStr"/>
    </row>
    <row r="262" ht="15" customHeight="1">
      <c r="A262" t="inlineStr">
        <is>
          <t>A 30242-2023</t>
        </is>
      </c>
      <c r="B262" s="1" t="n">
        <v>45099</v>
      </c>
      <c r="C262" s="1" t="n">
        <v>46106</v>
      </c>
      <c r="D262" t="inlineStr">
        <is>
          <t>SÖDERMANLANDS LÄN</t>
        </is>
      </c>
      <c r="E262" t="inlineStr">
        <is>
          <t>KATRINEHOLM</t>
        </is>
      </c>
      <c r="G262" t="n">
        <v>3</v>
      </c>
      <c r="H262" t="n">
        <v>0</v>
      </c>
      <c r="I262" t="n">
        <v>0</v>
      </c>
      <c r="J262" t="n">
        <v>0</v>
      </c>
      <c r="K262" t="n">
        <v>0</v>
      </c>
      <c r="L262" t="n">
        <v>0</v>
      </c>
      <c r="M262" t="n">
        <v>0</v>
      </c>
      <c r="N262" t="n">
        <v>0</v>
      </c>
      <c r="O262" t="n">
        <v>0</v>
      </c>
      <c r="P262" t="n">
        <v>0</v>
      </c>
      <c r="Q262" t="n">
        <v>0</v>
      </c>
      <c r="R262" s="2" t="inlineStr"/>
    </row>
    <row r="263" ht="15" customHeight="1">
      <c r="A263" t="inlineStr">
        <is>
          <t>A 38708-2025</t>
        </is>
      </c>
      <c r="B263" s="1" t="n">
        <v>45885</v>
      </c>
      <c r="C263" s="1" t="n">
        <v>46106</v>
      </c>
      <c r="D263" t="inlineStr">
        <is>
          <t>SÖDERMANLANDS LÄN</t>
        </is>
      </c>
      <c r="E263" t="inlineStr">
        <is>
          <t>KATRINEHOLM</t>
        </is>
      </c>
      <c r="G263" t="n">
        <v>1.9</v>
      </c>
      <c r="H263" t="n">
        <v>0</v>
      </c>
      <c r="I263" t="n">
        <v>0</v>
      </c>
      <c r="J263" t="n">
        <v>0</v>
      </c>
      <c r="K263" t="n">
        <v>0</v>
      </c>
      <c r="L263" t="n">
        <v>0</v>
      </c>
      <c r="M263" t="n">
        <v>0</v>
      </c>
      <c r="N263" t="n">
        <v>0</v>
      </c>
      <c r="O263" t="n">
        <v>0</v>
      </c>
      <c r="P263" t="n">
        <v>0</v>
      </c>
      <c r="Q263" t="n">
        <v>0</v>
      </c>
      <c r="R263" s="2" t="inlineStr"/>
    </row>
    <row r="264" ht="15" customHeight="1">
      <c r="A264" t="inlineStr">
        <is>
          <t>A 24600-2025</t>
        </is>
      </c>
      <c r="B264" s="1" t="n">
        <v>45798.56348379629</v>
      </c>
      <c r="C264" s="1" t="n">
        <v>46106</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57265-2022</t>
        </is>
      </c>
      <c r="B265" s="1" t="n">
        <v>44895</v>
      </c>
      <c r="C265" s="1" t="n">
        <v>46106</v>
      </c>
      <c r="D265" t="inlineStr">
        <is>
          <t>SÖDERMANLANDS LÄN</t>
        </is>
      </c>
      <c r="E265" t="inlineStr">
        <is>
          <t>KATRINEHOLM</t>
        </is>
      </c>
      <c r="G265" t="n">
        <v>2</v>
      </c>
      <c r="H265" t="n">
        <v>0</v>
      </c>
      <c r="I265" t="n">
        <v>0</v>
      </c>
      <c r="J265" t="n">
        <v>0</v>
      </c>
      <c r="K265" t="n">
        <v>0</v>
      </c>
      <c r="L265" t="n">
        <v>0</v>
      </c>
      <c r="M265" t="n">
        <v>0</v>
      </c>
      <c r="N265" t="n">
        <v>0</v>
      </c>
      <c r="O265" t="n">
        <v>0</v>
      </c>
      <c r="P265" t="n">
        <v>0</v>
      </c>
      <c r="Q265" t="n">
        <v>0</v>
      </c>
      <c r="R265" s="2" t="inlineStr"/>
    </row>
    <row r="266" ht="15" customHeight="1">
      <c r="A266" t="inlineStr">
        <is>
          <t>A 6298-2024</t>
        </is>
      </c>
      <c r="B266" s="1" t="n">
        <v>45338.34245370371</v>
      </c>
      <c r="C266" s="1" t="n">
        <v>46106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35608-2024</t>
        </is>
      </c>
      <c r="B267" s="1" t="n">
        <v>45531</v>
      </c>
      <c r="C267" s="1" t="n">
        <v>46106</v>
      </c>
      <c r="D267" t="inlineStr">
        <is>
          <t>SÖDERMANLANDS LÄN</t>
        </is>
      </c>
      <c r="E267" t="inlineStr">
        <is>
          <t>KATRINEHOLM</t>
        </is>
      </c>
      <c r="G267" t="n">
        <v>2</v>
      </c>
      <c r="H267" t="n">
        <v>0</v>
      </c>
      <c r="I267" t="n">
        <v>0</v>
      </c>
      <c r="J267" t="n">
        <v>0</v>
      </c>
      <c r="K267" t="n">
        <v>0</v>
      </c>
      <c r="L267" t="n">
        <v>0</v>
      </c>
      <c r="M267" t="n">
        <v>0</v>
      </c>
      <c r="N267" t="n">
        <v>0</v>
      </c>
      <c r="O267" t="n">
        <v>0</v>
      </c>
      <c r="P267" t="n">
        <v>0</v>
      </c>
      <c r="Q267" t="n">
        <v>0</v>
      </c>
      <c r="R267" s="2" t="inlineStr"/>
    </row>
    <row r="268" ht="15" customHeight="1">
      <c r="A268" t="inlineStr">
        <is>
          <t>A 12633-2022</t>
        </is>
      </c>
      <c r="B268" s="1" t="n">
        <v>44638</v>
      </c>
      <c r="C268" s="1" t="n">
        <v>46106</v>
      </c>
      <c r="D268" t="inlineStr">
        <is>
          <t>SÖDERMANLANDS LÄN</t>
        </is>
      </c>
      <c r="E268" t="inlineStr">
        <is>
          <t>KATRINEHOLM</t>
        </is>
      </c>
      <c r="G268" t="n">
        <v>6.4</v>
      </c>
      <c r="H268" t="n">
        <v>0</v>
      </c>
      <c r="I268" t="n">
        <v>0</v>
      </c>
      <c r="J268" t="n">
        <v>0</v>
      </c>
      <c r="K268" t="n">
        <v>0</v>
      </c>
      <c r="L268" t="n">
        <v>0</v>
      </c>
      <c r="M268" t="n">
        <v>0</v>
      </c>
      <c r="N268" t="n">
        <v>0</v>
      </c>
      <c r="O268" t="n">
        <v>0</v>
      </c>
      <c r="P268" t="n">
        <v>0</v>
      </c>
      <c r="Q268" t="n">
        <v>0</v>
      </c>
      <c r="R268" s="2" t="inlineStr"/>
    </row>
    <row r="269" ht="15" customHeight="1">
      <c r="A269" t="inlineStr">
        <is>
          <t>A 48877-2022</t>
        </is>
      </c>
      <c r="B269" s="1" t="n">
        <v>44859</v>
      </c>
      <c r="C269" s="1" t="n">
        <v>46106</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14754-2026</t>
        </is>
      </c>
      <c r="B270" s="1" t="n">
        <v>46101.62297453704</v>
      </c>
      <c r="C270" s="1" t="n">
        <v>46106</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34539-2022</t>
        </is>
      </c>
      <c r="B271" s="1" t="n">
        <v>44793.50563657407</v>
      </c>
      <c r="C271" s="1" t="n">
        <v>46106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39668-2025</t>
        </is>
      </c>
      <c r="B272" s="1" t="n">
        <v>45890</v>
      </c>
      <c r="C272" s="1" t="n">
        <v>46106</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3115-2024</t>
        </is>
      </c>
      <c r="B273" s="1" t="n">
        <v>45316.49630787037</v>
      </c>
      <c r="C273" s="1" t="n">
        <v>46106</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23705-2023</t>
        </is>
      </c>
      <c r="B274" s="1" t="n">
        <v>45077</v>
      </c>
      <c r="C274" s="1" t="n">
        <v>46106</v>
      </c>
      <c r="D274" t="inlineStr">
        <is>
          <t>SÖDERMANLANDS LÄN</t>
        </is>
      </c>
      <c r="E274" t="inlineStr">
        <is>
          <t>KATRINEHOLM</t>
        </is>
      </c>
      <c r="F274" t="inlineStr">
        <is>
          <t>Kyrkan</t>
        </is>
      </c>
      <c r="G274" t="n">
        <v>11.9</v>
      </c>
      <c r="H274" t="n">
        <v>0</v>
      </c>
      <c r="I274" t="n">
        <v>0</v>
      </c>
      <c r="J274" t="n">
        <v>0</v>
      </c>
      <c r="K274" t="n">
        <v>0</v>
      </c>
      <c r="L274" t="n">
        <v>0</v>
      </c>
      <c r="M274" t="n">
        <v>0</v>
      </c>
      <c r="N274" t="n">
        <v>0</v>
      </c>
      <c r="O274" t="n">
        <v>0</v>
      </c>
      <c r="P274" t="n">
        <v>0</v>
      </c>
      <c r="Q274" t="n">
        <v>0</v>
      </c>
      <c r="R274" s="2" t="inlineStr"/>
    </row>
    <row r="275" ht="15" customHeight="1">
      <c r="A275" t="inlineStr">
        <is>
          <t>A 39737-2025</t>
        </is>
      </c>
      <c r="B275" s="1" t="n">
        <v>45891</v>
      </c>
      <c r="C275" s="1" t="n">
        <v>46106</v>
      </c>
      <c r="D275" t="inlineStr">
        <is>
          <t>SÖDERMANLANDS LÄN</t>
        </is>
      </c>
      <c r="E275" t="inlineStr">
        <is>
          <t>KATRINEHOLM</t>
        </is>
      </c>
      <c r="F275" t="inlineStr">
        <is>
          <t>Holmen skog AB</t>
        </is>
      </c>
      <c r="G275" t="n">
        <v>1.6</v>
      </c>
      <c r="H275" t="n">
        <v>0</v>
      </c>
      <c r="I275" t="n">
        <v>0</v>
      </c>
      <c r="J275" t="n">
        <v>0</v>
      </c>
      <c r="K275" t="n">
        <v>0</v>
      </c>
      <c r="L275" t="n">
        <v>0</v>
      </c>
      <c r="M275" t="n">
        <v>0</v>
      </c>
      <c r="N275" t="n">
        <v>0</v>
      </c>
      <c r="O275" t="n">
        <v>0</v>
      </c>
      <c r="P275" t="n">
        <v>0</v>
      </c>
      <c r="Q275" t="n">
        <v>0</v>
      </c>
      <c r="R275" s="2" t="inlineStr"/>
    </row>
    <row r="276" ht="15" customHeight="1">
      <c r="A276" t="inlineStr">
        <is>
          <t>A 39847-2025</t>
        </is>
      </c>
      <c r="B276" s="1" t="n">
        <v>45891.58381944444</v>
      </c>
      <c r="C276" s="1" t="n">
        <v>46106</v>
      </c>
      <c r="D276" t="inlineStr">
        <is>
          <t>SÖDERMANLANDS LÄN</t>
        </is>
      </c>
      <c r="E276" t="inlineStr">
        <is>
          <t>KATRINEHOLM</t>
        </is>
      </c>
      <c r="F276" t="inlineStr">
        <is>
          <t>Holmen skog AB</t>
        </is>
      </c>
      <c r="G276" t="n">
        <v>2.5</v>
      </c>
      <c r="H276" t="n">
        <v>0</v>
      </c>
      <c r="I276" t="n">
        <v>0</v>
      </c>
      <c r="J276" t="n">
        <v>0</v>
      </c>
      <c r="K276" t="n">
        <v>0</v>
      </c>
      <c r="L276" t="n">
        <v>0</v>
      </c>
      <c r="M276" t="n">
        <v>0</v>
      </c>
      <c r="N276" t="n">
        <v>0</v>
      </c>
      <c r="O276" t="n">
        <v>0</v>
      </c>
      <c r="P276" t="n">
        <v>0</v>
      </c>
      <c r="Q276" t="n">
        <v>0</v>
      </c>
      <c r="R276" s="2" t="inlineStr"/>
    </row>
    <row r="277" ht="15" customHeight="1">
      <c r="A277" t="inlineStr">
        <is>
          <t>A 39663-2025</t>
        </is>
      </c>
      <c r="B277" s="1" t="n">
        <v>45890</v>
      </c>
      <c r="C277" s="1" t="n">
        <v>46106</v>
      </c>
      <c r="D277" t="inlineStr">
        <is>
          <t>SÖDERMANLANDS LÄN</t>
        </is>
      </c>
      <c r="E277" t="inlineStr">
        <is>
          <t>KATRINEHOLM</t>
        </is>
      </c>
      <c r="G277" t="n">
        <v>0.5</v>
      </c>
      <c r="H277" t="n">
        <v>0</v>
      </c>
      <c r="I277" t="n">
        <v>0</v>
      </c>
      <c r="J277" t="n">
        <v>0</v>
      </c>
      <c r="K277" t="n">
        <v>0</v>
      </c>
      <c r="L277" t="n">
        <v>0</v>
      </c>
      <c r="M277" t="n">
        <v>0</v>
      </c>
      <c r="N277" t="n">
        <v>0</v>
      </c>
      <c r="O277" t="n">
        <v>0</v>
      </c>
      <c r="P277" t="n">
        <v>0</v>
      </c>
      <c r="Q277" t="n">
        <v>0</v>
      </c>
      <c r="R277" s="2" t="inlineStr"/>
    </row>
    <row r="278" ht="15" customHeight="1">
      <c r="A278" t="inlineStr">
        <is>
          <t>A 52769-2023</t>
        </is>
      </c>
      <c r="B278" s="1" t="n">
        <v>45226</v>
      </c>
      <c r="C278" s="1" t="n">
        <v>46106</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29189-2025</t>
        </is>
      </c>
      <c r="B279" s="1" t="n">
        <v>45822</v>
      </c>
      <c r="C279" s="1" t="n">
        <v>46106</v>
      </c>
      <c r="D279" t="inlineStr">
        <is>
          <t>SÖDERMANLANDS LÄN</t>
        </is>
      </c>
      <c r="E279" t="inlineStr">
        <is>
          <t>KATRINEHOLM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39645-2025</t>
        </is>
      </c>
      <c r="B280" s="1" t="n">
        <v>45890</v>
      </c>
      <c r="C280" s="1" t="n">
        <v>46106</v>
      </c>
      <c r="D280" t="inlineStr">
        <is>
          <t>SÖDERMANLANDS LÄN</t>
        </is>
      </c>
      <c r="E280" t="inlineStr">
        <is>
          <t>KATRINEHOLM</t>
        </is>
      </c>
      <c r="G280" t="n">
        <v>0.2</v>
      </c>
      <c r="H280" t="n">
        <v>0</v>
      </c>
      <c r="I280" t="n">
        <v>0</v>
      </c>
      <c r="J280" t="n">
        <v>0</v>
      </c>
      <c r="K280" t="n">
        <v>0</v>
      </c>
      <c r="L280" t="n">
        <v>0</v>
      </c>
      <c r="M280" t="n">
        <v>0</v>
      </c>
      <c r="N280" t="n">
        <v>0</v>
      </c>
      <c r="O280" t="n">
        <v>0</v>
      </c>
      <c r="P280" t="n">
        <v>0</v>
      </c>
      <c r="Q280" t="n">
        <v>0</v>
      </c>
      <c r="R280" s="2" t="inlineStr"/>
    </row>
    <row r="281" ht="15" customHeight="1">
      <c r="A281" t="inlineStr">
        <is>
          <t>A 7223-2022</t>
        </is>
      </c>
      <c r="B281" s="1" t="n">
        <v>44603</v>
      </c>
      <c r="C281" s="1" t="n">
        <v>46106</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7513-2026</t>
        </is>
      </c>
      <c r="B282" s="1" t="n">
        <v>46059.59083333334</v>
      </c>
      <c r="C282" s="1" t="n">
        <v>46106</v>
      </c>
      <c r="D282" t="inlineStr">
        <is>
          <t>SÖDERMANLANDS LÄN</t>
        </is>
      </c>
      <c r="E282" t="inlineStr">
        <is>
          <t>KATRINEHOLM</t>
        </is>
      </c>
      <c r="F282" t="inlineStr">
        <is>
          <t>Övriga Aktiebolag</t>
        </is>
      </c>
      <c r="G282" t="n">
        <v>5</v>
      </c>
      <c r="H282" t="n">
        <v>0</v>
      </c>
      <c r="I282" t="n">
        <v>0</v>
      </c>
      <c r="J282" t="n">
        <v>0</v>
      </c>
      <c r="K282" t="n">
        <v>0</v>
      </c>
      <c r="L282" t="n">
        <v>0</v>
      </c>
      <c r="M282" t="n">
        <v>0</v>
      </c>
      <c r="N282" t="n">
        <v>0</v>
      </c>
      <c r="O282" t="n">
        <v>0</v>
      </c>
      <c r="P282" t="n">
        <v>0</v>
      </c>
      <c r="Q282" t="n">
        <v>0</v>
      </c>
      <c r="R282" s="2" t="inlineStr"/>
    </row>
    <row r="283" ht="15" customHeight="1">
      <c r="A283" t="inlineStr">
        <is>
          <t>A 51446-2023</t>
        </is>
      </c>
      <c r="B283" s="1" t="n">
        <v>45220.48068287037</v>
      </c>
      <c r="C283" s="1" t="n">
        <v>46106</v>
      </c>
      <c r="D283" t="inlineStr">
        <is>
          <t>SÖDERMANLANDS LÄN</t>
        </is>
      </c>
      <c r="E283" t="inlineStr">
        <is>
          <t>KATRINEHOLM</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14750-2026</t>
        </is>
      </c>
      <c r="B284" s="1" t="n">
        <v>46101.6208912037</v>
      </c>
      <c r="C284" s="1" t="n">
        <v>46106</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30287-2025</t>
        </is>
      </c>
      <c r="B285" s="1" t="n">
        <v>45827</v>
      </c>
      <c r="C285" s="1" t="n">
        <v>46106</v>
      </c>
      <c r="D285" t="inlineStr">
        <is>
          <t>SÖDERMANLANDS LÄN</t>
        </is>
      </c>
      <c r="E285" t="inlineStr">
        <is>
          <t>KATRINEHOLM</t>
        </is>
      </c>
      <c r="G285" t="n">
        <v>10.2</v>
      </c>
      <c r="H285" t="n">
        <v>0</v>
      </c>
      <c r="I285" t="n">
        <v>0</v>
      </c>
      <c r="J285" t="n">
        <v>0</v>
      </c>
      <c r="K285" t="n">
        <v>0</v>
      </c>
      <c r="L285" t="n">
        <v>0</v>
      </c>
      <c r="M285" t="n">
        <v>0</v>
      </c>
      <c r="N285" t="n">
        <v>0</v>
      </c>
      <c r="O285" t="n">
        <v>0</v>
      </c>
      <c r="P285" t="n">
        <v>0</v>
      </c>
      <c r="Q285" t="n">
        <v>0</v>
      </c>
      <c r="R285" s="2" t="inlineStr"/>
    </row>
    <row r="286" ht="15" customHeight="1">
      <c r="A286" t="inlineStr">
        <is>
          <t>A 30352-2025</t>
        </is>
      </c>
      <c r="B286" s="1" t="n">
        <v>45827</v>
      </c>
      <c r="C286" s="1" t="n">
        <v>46106</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30050-2025</t>
        </is>
      </c>
      <c r="B287" s="1" t="n">
        <v>45826.59151620371</v>
      </c>
      <c r="C287" s="1" t="n">
        <v>46106</v>
      </c>
      <c r="D287" t="inlineStr">
        <is>
          <t>SÖDERMANLANDS LÄN</t>
        </is>
      </c>
      <c r="E287" t="inlineStr">
        <is>
          <t>KATRINEHOLM</t>
        </is>
      </c>
      <c r="G287" t="n">
        <v>7.9</v>
      </c>
      <c r="H287" t="n">
        <v>0</v>
      </c>
      <c r="I287" t="n">
        <v>0</v>
      </c>
      <c r="J287" t="n">
        <v>0</v>
      </c>
      <c r="K287" t="n">
        <v>0</v>
      </c>
      <c r="L287" t="n">
        <v>0</v>
      </c>
      <c r="M287" t="n">
        <v>0</v>
      </c>
      <c r="N287" t="n">
        <v>0</v>
      </c>
      <c r="O287" t="n">
        <v>0</v>
      </c>
      <c r="P287" t="n">
        <v>0</v>
      </c>
      <c r="Q287" t="n">
        <v>0</v>
      </c>
      <c r="R287" s="2" t="inlineStr"/>
    </row>
    <row r="288" ht="15" customHeight="1">
      <c r="A288" t="inlineStr">
        <is>
          <t>A 28931-2024</t>
        </is>
      </c>
      <c r="B288" s="1" t="n">
        <v>45479</v>
      </c>
      <c r="C288" s="1" t="n">
        <v>46106</v>
      </c>
      <c r="D288" t="inlineStr">
        <is>
          <t>SÖDERMANLANDS LÄN</t>
        </is>
      </c>
      <c r="E288" t="inlineStr">
        <is>
          <t>KATRINEHOLM</t>
        </is>
      </c>
      <c r="G288" t="n">
        <v>7.4</v>
      </c>
      <c r="H288" t="n">
        <v>0</v>
      </c>
      <c r="I288" t="n">
        <v>0</v>
      </c>
      <c r="J288" t="n">
        <v>0</v>
      </c>
      <c r="K288" t="n">
        <v>0</v>
      </c>
      <c r="L288" t="n">
        <v>0</v>
      </c>
      <c r="M288" t="n">
        <v>0</v>
      </c>
      <c r="N288" t="n">
        <v>0</v>
      </c>
      <c r="O288" t="n">
        <v>0</v>
      </c>
      <c r="P288" t="n">
        <v>0</v>
      </c>
      <c r="Q288" t="n">
        <v>0</v>
      </c>
      <c r="R288" s="2" t="inlineStr"/>
    </row>
    <row r="289" ht="15" customHeight="1">
      <c r="A289" t="inlineStr">
        <is>
          <t>A 27646-2023</t>
        </is>
      </c>
      <c r="B289" s="1" t="n">
        <v>45097</v>
      </c>
      <c r="C289" s="1" t="n">
        <v>46106</v>
      </c>
      <c r="D289" t="inlineStr">
        <is>
          <t>SÖDERMANLANDS LÄN</t>
        </is>
      </c>
      <c r="E289" t="inlineStr">
        <is>
          <t>KATRINEHOLM</t>
        </is>
      </c>
      <c r="G289" t="n">
        <v>2.4</v>
      </c>
      <c r="H289" t="n">
        <v>0</v>
      </c>
      <c r="I289" t="n">
        <v>0</v>
      </c>
      <c r="J289" t="n">
        <v>0</v>
      </c>
      <c r="K289" t="n">
        <v>0</v>
      </c>
      <c r="L289" t="n">
        <v>0</v>
      </c>
      <c r="M289" t="n">
        <v>0</v>
      </c>
      <c r="N289" t="n">
        <v>0</v>
      </c>
      <c r="O289" t="n">
        <v>0</v>
      </c>
      <c r="P289" t="n">
        <v>0</v>
      </c>
      <c r="Q289" t="n">
        <v>0</v>
      </c>
      <c r="R289" s="2" t="inlineStr"/>
    </row>
    <row r="290" ht="15" customHeight="1">
      <c r="A290" t="inlineStr">
        <is>
          <t>A 50626-2024</t>
        </is>
      </c>
      <c r="B290" s="1" t="n">
        <v>45601</v>
      </c>
      <c r="C290" s="1" t="n">
        <v>46106</v>
      </c>
      <c r="D290" t="inlineStr">
        <is>
          <t>SÖDERMANLANDS LÄN</t>
        </is>
      </c>
      <c r="E290" t="inlineStr">
        <is>
          <t>KATRINEHOLM</t>
        </is>
      </c>
      <c r="G290" t="n">
        <v>1</v>
      </c>
      <c r="H290" t="n">
        <v>0</v>
      </c>
      <c r="I290" t="n">
        <v>0</v>
      </c>
      <c r="J290" t="n">
        <v>0</v>
      </c>
      <c r="K290" t="n">
        <v>0</v>
      </c>
      <c r="L290" t="n">
        <v>0</v>
      </c>
      <c r="M290" t="n">
        <v>0</v>
      </c>
      <c r="N290" t="n">
        <v>0</v>
      </c>
      <c r="O290" t="n">
        <v>0</v>
      </c>
      <c r="P290" t="n">
        <v>0</v>
      </c>
      <c r="Q290" t="n">
        <v>0</v>
      </c>
      <c r="R290" s="2" t="inlineStr"/>
    </row>
    <row r="291" ht="15" customHeight="1">
      <c r="A291" t="inlineStr">
        <is>
          <t>A 35183-2022</t>
        </is>
      </c>
      <c r="B291" s="1" t="n">
        <v>44797</v>
      </c>
      <c r="C291" s="1" t="n">
        <v>46106</v>
      </c>
      <c r="D291" t="inlineStr">
        <is>
          <t>SÖDERMANLANDS LÄN</t>
        </is>
      </c>
      <c r="E291" t="inlineStr">
        <is>
          <t>KATRINEHOLM</t>
        </is>
      </c>
      <c r="G291" t="n">
        <v>4.6</v>
      </c>
      <c r="H291" t="n">
        <v>0</v>
      </c>
      <c r="I291" t="n">
        <v>0</v>
      </c>
      <c r="J291" t="n">
        <v>0</v>
      </c>
      <c r="K291" t="n">
        <v>0</v>
      </c>
      <c r="L291" t="n">
        <v>0</v>
      </c>
      <c r="M291" t="n">
        <v>0</v>
      </c>
      <c r="N291" t="n">
        <v>0</v>
      </c>
      <c r="O291" t="n">
        <v>0</v>
      </c>
      <c r="P291" t="n">
        <v>0</v>
      </c>
      <c r="Q291" t="n">
        <v>0</v>
      </c>
      <c r="R291" s="2" t="inlineStr"/>
    </row>
    <row r="292" ht="15" customHeight="1">
      <c r="A292" t="inlineStr">
        <is>
          <t>A 30350-2025</t>
        </is>
      </c>
      <c r="B292" s="1" t="n">
        <v>45827.53319444445</v>
      </c>
      <c r="C292" s="1" t="n">
        <v>46106</v>
      </c>
      <c r="D292" t="inlineStr">
        <is>
          <t>SÖDERMANLANDS LÄN</t>
        </is>
      </c>
      <c r="E292" t="inlineStr">
        <is>
          <t>KATRINEHOLM</t>
        </is>
      </c>
      <c r="G292" t="n">
        <v>1.2</v>
      </c>
      <c r="H292" t="n">
        <v>0</v>
      </c>
      <c r="I292" t="n">
        <v>0</v>
      </c>
      <c r="J292" t="n">
        <v>0</v>
      </c>
      <c r="K292" t="n">
        <v>0</v>
      </c>
      <c r="L292" t="n">
        <v>0</v>
      </c>
      <c r="M292" t="n">
        <v>0</v>
      </c>
      <c r="N292" t="n">
        <v>0</v>
      </c>
      <c r="O292" t="n">
        <v>0</v>
      </c>
      <c r="P292" t="n">
        <v>0</v>
      </c>
      <c r="Q292" t="n">
        <v>0</v>
      </c>
      <c r="R292" s="2" t="inlineStr"/>
    </row>
    <row r="293" ht="15" customHeight="1">
      <c r="A293" t="inlineStr">
        <is>
          <t>A 30386-2025</t>
        </is>
      </c>
      <c r="B293" s="1" t="n">
        <v>45827</v>
      </c>
      <c r="C293" s="1" t="n">
        <v>46106</v>
      </c>
      <c r="D293" t="inlineStr">
        <is>
          <t>SÖDERMANLANDS LÄN</t>
        </is>
      </c>
      <c r="E293" t="inlineStr">
        <is>
          <t>KATRINEHOLM</t>
        </is>
      </c>
      <c r="G293" t="n">
        <v>5.6</v>
      </c>
      <c r="H293" t="n">
        <v>0</v>
      </c>
      <c r="I293" t="n">
        <v>0</v>
      </c>
      <c r="J293" t="n">
        <v>0</v>
      </c>
      <c r="K293" t="n">
        <v>0</v>
      </c>
      <c r="L293" t="n">
        <v>0</v>
      </c>
      <c r="M293" t="n">
        <v>0</v>
      </c>
      <c r="N293" t="n">
        <v>0</v>
      </c>
      <c r="O293" t="n">
        <v>0</v>
      </c>
      <c r="P293" t="n">
        <v>0</v>
      </c>
      <c r="Q293" t="n">
        <v>0</v>
      </c>
      <c r="R293" s="2" t="inlineStr"/>
    </row>
    <row r="294" ht="15" customHeight="1">
      <c r="A294" t="inlineStr">
        <is>
          <t>A 30070-2025</t>
        </is>
      </c>
      <c r="B294" s="1" t="n">
        <v>45826.63324074074</v>
      </c>
      <c r="C294" s="1" t="n">
        <v>46106</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12888-2025</t>
        </is>
      </c>
      <c r="B295" s="1" t="n">
        <v>45733</v>
      </c>
      <c r="C295" s="1" t="n">
        <v>46106</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30402-2025</t>
        </is>
      </c>
      <c r="B296" s="1" t="n">
        <v>45827</v>
      </c>
      <c r="C296" s="1" t="n">
        <v>46106</v>
      </c>
      <c r="D296" t="inlineStr">
        <is>
          <t>SÖDERMANLANDS LÄN</t>
        </is>
      </c>
      <c r="E296" t="inlineStr">
        <is>
          <t>KATRINEHOLM</t>
        </is>
      </c>
      <c r="G296" t="n">
        <v>7.1</v>
      </c>
      <c r="H296" t="n">
        <v>0</v>
      </c>
      <c r="I296" t="n">
        <v>0</v>
      </c>
      <c r="J296" t="n">
        <v>0</v>
      </c>
      <c r="K296" t="n">
        <v>0</v>
      </c>
      <c r="L296" t="n">
        <v>0</v>
      </c>
      <c r="M296" t="n">
        <v>0</v>
      </c>
      <c r="N296" t="n">
        <v>0</v>
      </c>
      <c r="O296" t="n">
        <v>0</v>
      </c>
      <c r="P296" t="n">
        <v>0</v>
      </c>
      <c r="Q296" t="n">
        <v>0</v>
      </c>
      <c r="R296" s="2" t="inlineStr"/>
    </row>
    <row r="297" ht="15" customHeight="1">
      <c r="A297" t="inlineStr">
        <is>
          <t>A 7197-2023</t>
        </is>
      </c>
      <c r="B297" s="1" t="n">
        <v>44965</v>
      </c>
      <c r="C297" s="1" t="n">
        <v>46106</v>
      </c>
      <c r="D297" t="inlineStr">
        <is>
          <t>SÖDERMANLANDS LÄN</t>
        </is>
      </c>
      <c r="E297" t="inlineStr">
        <is>
          <t>KATRINEHOLM</t>
        </is>
      </c>
      <c r="G297" t="n">
        <v>5.3</v>
      </c>
      <c r="H297" t="n">
        <v>0</v>
      </c>
      <c r="I297" t="n">
        <v>0</v>
      </c>
      <c r="J297" t="n">
        <v>0</v>
      </c>
      <c r="K297" t="n">
        <v>0</v>
      </c>
      <c r="L297" t="n">
        <v>0</v>
      </c>
      <c r="M297" t="n">
        <v>0</v>
      </c>
      <c r="N297" t="n">
        <v>0</v>
      </c>
      <c r="O297" t="n">
        <v>0</v>
      </c>
      <c r="P297" t="n">
        <v>0</v>
      </c>
      <c r="Q297" t="n">
        <v>0</v>
      </c>
      <c r="R297" s="2" t="inlineStr"/>
    </row>
    <row r="298" ht="15" customHeight="1">
      <c r="A298" t="inlineStr">
        <is>
          <t>A 28394-2023</t>
        </is>
      </c>
      <c r="B298" s="1" t="n">
        <v>45100</v>
      </c>
      <c r="C298" s="1" t="n">
        <v>46106</v>
      </c>
      <c r="D298" t="inlineStr">
        <is>
          <t>SÖDERMANLANDS LÄN</t>
        </is>
      </c>
      <c r="E298" t="inlineStr">
        <is>
          <t>KATRINEHOLM</t>
        </is>
      </c>
      <c r="G298" t="n">
        <v>4.2</v>
      </c>
      <c r="H298" t="n">
        <v>0</v>
      </c>
      <c r="I298" t="n">
        <v>0</v>
      </c>
      <c r="J298" t="n">
        <v>0</v>
      </c>
      <c r="K298" t="n">
        <v>0</v>
      </c>
      <c r="L298" t="n">
        <v>0</v>
      </c>
      <c r="M298" t="n">
        <v>0</v>
      </c>
      <c r="N298" t="n">
        <v>0</v>
      </c>
      <c r="O298" t="n">
        <v>0</v>
      </c>
      <c r="P298" t="n">
        <v>0</v>
      </c>
      <c r="Q298" t="n">
        <v>0</v>
      </c>
      <c r="R298" s="2" t="inlineStr"/>
    </row>
    <row r="299" ht="15" customHeight="1">
      <c r="A299" t="inlineStr">
        <is>
          <t>A 25362-2023</t>
        </is>
      </c>
      <c r="B299" s="1" t="n">
        <v>45088.83430555555</v>
      </c>
      <c r="C299" s="1" t="n">
        <v>46106</v>
      </c>
      <c r="D299" t="inlineStr">
        <is>
          <t>SÖDERMANLANDS LÄN</t>
        </is>
      </c>
      <c r="E299" t="inlineStr">
        <is>
          <t>KATRINEHOLM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41074-2025</t>
        </is>
      </c>
      <c r="B300" s="1" t="n">
        <v>45898</v>
      </c>
      <c r="C300" s="1" t="n">
        <v>46106</v>
      </c>
      <c r="D300" t="inlineStr">
        <is>
          <t>SÖDERMANLANDS LÄN</t>
        </is>
      </c>
      <c r="E300" t="inlineStr">
        <is>
          <t>KATRINEHOLM</t>
        </is>
      </c>
      <c r="F300" t="inlineStr">
        <is>
          <t>Allmännings- och besparingsskogar</t>
        </is>
      </c>
      <c r="G300" t="n">
        <v>4.8</v>
      </c>
      <c r="H300" t="n">
        <v>0</v>
      </c>
      <c r="I300" t="n">
        <v>0</v>
      </c>
      <c r="J300" t="n">
        <v>0</v>
      </c>
      <c r="K300" t="n">
        <v>0</v>
      </c>
      <c r="L300" t="n">
        <v>0</v>
      </c>
      <c r="M300" t="n">
        <v>0</v>
      </c>
      <c r="N300" t="n">
        <v>0</v>
      </c>
      <c r="O300" t="n">
        <v>0</v>
      </c>
      <c r="P300" t="n">
        <v>0</v>
      </c>
      <c r="Q300" t="n">
        <v>0</v>
      </c>
      <c r="R300" s="2" t="inlineStr"/>
    </row>
    <row r="301" ht="15" customHeight="1">
      <c r="A301" t="inlineStr">
        <is>
          <t>A 14622-2026</t>
        </is>
      </c>
      <c r="B301" s="1" t="n">
        <v>46101.38826388889</v>
      </c>
      <c r="C301" s="1" t="n">
        <v>46106</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47456-2022</t>
        </is>
      </c>
      <c r="B302" s="1" t="n">
        <v>44852</v>
      </c>
      <c r="C302" s="1" t="n">
        <v>46106</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41633-2025</t>
        </is>
      </c>
      <c r="B303" s="1" t="n">
        <v>45901</v>
      </c>
      <c r="C303" s="1" t="n">
        <v>46106</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4656-2023</t>
        </is>
      </c>
      <c r="B304" s="1" t="n">
        <v>44957</v>
      </c>
      <c r="C304" s="1" t="n">
        <v>46106</v>
      </c>
      <c r="D304" t="inlineStr">
        <is>
          <t>SÖDERMANLANDS LÄN</t>
        </is>
      </c>
      <c r="E304" t="inlineStr">
        <is>
          <t>KATRINEHOLM</t>
        </is>
      </c>
      <c r="F304" t="inlineStr">
        <is>
          <t>Holmen skog AB</t>
        </is>
      </c>
      <c r="G304" t="n">
        <v>1.7</v>
      </c>
      <c r="H304" t="n">
        <v>0</v>
      </c>
      <c r="I304" t="n">
        <v>0</v>
      </c>
      <c r="J304" t="n">
        <v>0</v>
      </c>
      <c r="K304" t="n">
        <v>0</v>
      </c>
      <c r="L304" t="n">
        <v>0</v>
      </c>
      <c r="M304" t="n">
        <v>0</v>
      </c>
      <c r="N304" t="n">
        <v>0</v>
      </c>
      <c r="O304" t="n">
        <v>0</v>
      </c>
      <c r="P304" t="n">
        <v>0</v>
      </c>
      <c r="Q304" t="n">
        <v>0</v>
      </c>
      <c r="R304" s="2" t="inlineStr"/>
    </row>
    <row r="305" ht="15" customHeight="1">
      <c r="A305" t="inlineStr">
        <is>
          <t>A 49078-2024</t>
        </is>
      </c>
      <c r="B305" s="1" t="n">
        <v>45594.62556712963</v>
      </c>
      <c r="C305" s="1" t="n">
        <v>46106</v>
      </c>
      <c r="D305" t="inlineStr">
        <is>
          <t>SÖDERMANLANDS LÄN</t>
        </is>
      </c>
      <c r="E305" t="inlineStr">
        <is>
          <t>KATRINEHOLM</t>
        </is>
      </c>
      <c r="F305" t="inlineStr">
        <is>
          <t>Övriga Aktiebolag</t>
        </is>
      </c>
      <c r="G305" t="n">
        <v>0.4</v>
      </c>
      <c r="H305" t="n">
        <v>0</v>
      </c>
      <c r="I305" t="n">
        <v>0</v>
      </c>
      <c r="J305" t="n">
        <v>0</v>
      </c>
      <c r="K305" t="n">
        <v>0</v>
      </c>
      <c r="L305" t="n">
        <v>0</v>
      </c>
      <c r="M305" t="n">
        <v>0</v>
      </c>
      <c r="N305" t="n">
        <v>0</v>
      </c>
      <c r="O305" t="n">
        <v>0</v>
      </c>
      <c r="P305" t="n">
        <v>0</v>
      </c>
      <c r="Q305" t="n">
        <v>0</v>
      </c>
      <c r="R305" s="2" t="inlineStr"/>
    </row>
    <row r="306" ht="15" customHeight="1">
      <c r="A306" t="inlineStr">
        <is>
          <t>A 31392-2025</t>
        </is>
      </c>
      <c r="B306" s="1" t="n">
        <v>45833</v>
      </c>
      <c r="C306" s="1" t="n">
        <v>46106</v>
      </c>
      <c r="D306" t="inlineStr">
        <is>
          <t>SÖDERMANLANDS LÄN</t>
        </is>
      </c>
      <c r="E306" t="inlineStr">
        <is>
          <t>KATRINEHOLM</t>
        </is>
      </c>
      <c r="G306" t="n">
        <v>5</v>
      </c>
      <c r="H306" t="n">
        <v>0</v>
      </c>
      <c r="I306" t="n">
        <v>0</v>
      </c>
      <c r="J306" t="n">
        <v>0</v>
      </c>
      <c r="K306" t="n">
        <v>0</v>
      </c>
      <c r="L306" t="n">
        <v>0</v>
      </c>
      <c r="M306" t="n">
        <v>0</v>
      </c>
      <c r="N306" t="n">
        <v>0</v>
      </c>
      <c r="O306" t="n">
        <v>0</v>
      </c>
      <c r="P306" t="n">
        <v>0</v>
      </c>
      <c r="Q306" t="n">
        <v>0</v>
      </c>
      <c r="R306" s="2" t="inlineStr"/>
    </row>
    <row r="307" ht="15" customHeight="1">
      <c r="A307" t="inlineStr">
        <is>
          <t>A 35188-2022</t>
        </is>
      </c>
      <c r="B307" s="1" t="n">
        <v>44797</v>
      </c>
      <c r="C307" s="1" t="n">
        <v>46106</v>
      </c>
      <c r="D307" t="inlineStr">
        <is>
          <t>SÖDERMANLANDS LÄN</t>
        </is>
      </c>
      <c r="E307" t="inlineStr">
        <is>
          <t>KATRINEHOLM</t>
        </is>
      </c>
      <c r="G307" t="n">
        <v>3</v>
      </c>
      <c r="H307" t="n">
        <v>0</v>
      </c>
      <c r="I307" t="n">
        <v>0</v>
      </c>
      <c r="J307" t="n">
        <v>0</v>
      </c>
      <c r="K307" t="n">
        <v>0</v>
      </c>
      <c r="L307" t="n">
        <v>0</v>
      </c>
      <c r="M307" t="n">
        <v>0</v>
      </c>
      <c r="N307" t="n">
        <v>0</v>
      </c>
      <c r="O307" t="n">
        <v>0</v>
      </c>
      <c r="P307" t="n">
        <v>0</v>
      </c>
      <c r="Q307" t="n">
        <v>0</v>
      </c>
      <c r="R307" s="2" t="inlineStr"/>
    </row>
    <row r="308" ht="15" customHeight="1">
      <c r="A308" t="inlineStr">
        <is>
          <t>A 31376-2025</t>
        </is>
      </c>
      <c r="B308" s="1" t="n">
        <v>45833</v>
      </c>
      <c r="C308" s="1" t="n">
        <v>46106</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41632-2025</t>
        </is>
      </c>
      <c r="B309" s="1" t="n">
        <v>45901</v>
      </c>
      <c r="C309" s="1" t="n">
        <v>46106</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5327-2025</t>
        </is>
      </c>
      <c r="B310" s="1" t="n">
        <v>45692</v>
      </c>
      <c r="C310" s="1" t="n">
        <v>46106</v>
      </c>
      <c r="D310" t="inlineStr">
        <is>
          <t>SÖDERMANLANDS LÄN</t>
        </is>
      </c>
      <c r="E310" t="inlineStr">
        <is>
          <t>KATRINEHOLM</t>
        </is>
      </c>
      <c r="F310" t="inlineStr">
        <is>
          <t>Kommuner</t>
        </is>
      </c>
      <c r="G310" t="n">
        <v>0.5</v>
      </c>
      <c r="H310" t="n">
        <v>0</v>
      </c>
      <c r="I310" t="n">
        <v>0</v>
      </c>
      <c r="J310" t="n">
        <v>0</v>
      </c>
      <c r="K310" t="n">
        <v>0</v>
      </c>
      <c r="L310" t="n">
        <v>0</v>
      </c>
      <c r="M310" t="n">
        <v>0</v>
      </c>
      <c r="N310" t="n">
        <v>0</v>
      </c>
      <c r="O310" t="n">
        <v>0</v>
      </c>
      <c r="P310" t="n">
        <v>0</v>
      </c>
      <c r="Q310" t="n">
        <v>0</v>
      </c>
      <c r="R310" s="2" t="inlineStr"/>
    </row>
    <row r="311" ht="15" customHeight="1">
      <c r="A311" t="inlineStr">
        <is>
          <t>A 41498-2025</t>
        </is>
      </c>
      <c r="B311" s="1" t="n">
        <v>45901.49755787037</v>
      </c>
      <c r="C311" s="1" t="n">
        <v>46106</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31386-2025</t>
        </is>
      </c>
      <c r="B312" s="1" t="n">
        <v>45833.45259259259</v>
      </c>
      <c r="C312" s="1" t="n">
        <v>46106</v>
      </c>
      <c r="D312" t="inlineStr">
        <is>
          <t>SÖDERMANLANDS LÄN</t>
        </is>
      </c>
      <c r="E312" t="inlineStr">
        <is>
          <t>KATRINEHOLM</t>
        </is>
      </c>
      <c r="F312" t="inlineStr">
        <is>
          <t>Övriga Aktiebolag</t>
        </is>
      </c>
      <c r="G312" t="n">
        <v>2.2</v>
      </c>
      <c r="H312" t="n">
        <v>0</v>
      </c>
      <c r="I312" t="n">
        <v>0</v>
      </c>
      <c r="J312" t="n">
        <v>0</v>
      </c>
      <c r="K312" t="n">
        <v>0</v>
      </c>
      <c r="L312" t="n">
        <v>0</v>
      </c>
      <c r="M312" t="n">
        <v>0</v>
      </c>
      <c r="N312" t="n">
        <v>0</v>
      </c>
      <c r="O312" t="n">
        <v>0</v>
      </c>
      <c r="P312" t="n">
        <v>0</v>
      </c>
      <c r="Q312" t="n">
        <v>0</v>
      </c>
      <c r="R312" s="2" t="inlineStr"/>
    </row>
    <row r="313" ht="15" customHeight="1">
      <c r="A313" t="inlineStr">
        <is>
          <t>A 14751-2026</t>
        </is>
      </c>
      <c r="B313" s="1" t="n">
        <v>46101.6220949074</v>
      </c>
      <c r="C313" s="1" t="n">
        <v>46106</v>
      </c>
      <c r="D313" t="inlineStr">
        <is>
          <t>SÖDERMANLANDS LÄN</t>
        </is>
      </c>
      <c r="E313" t="inlineStr">
        <is>
          <t>KATRINEHOLM</t>
        </is>
      </c>
      <c r="G313" t="n">
        <v>2.1</v>
      </c>
      <c r="H313" t="n">
        <v>0</v>
      </c>
      <c r="I313" t="n">
        <v>0</v>
      </c>
      <c r="J313" t="n">
        <v>0</v>
      </c>
      <c r="K313" t="n">
        <v>0</v>
      </c>
      <c r="L313" t="n">
        <v>0</v>
      </c>
      <c r="M313" t="n">
        <v>0</v>
      </c>
      <c r="N313" t="n">
        <v>0</v>
      </c>
      <c r="O313" t="n">
        <v>0</v>
      </c>
      <c r="P313" t="n">
        <v>0</v>
      </c>
      <c r="Q313" t="n">
        <v>0</v>
      </c>
      <c r="R313" s="2" t="inlineStr"/>
    </row>
    <row r="314" ht="15" customHeight="1">
      <c r="A314" t="inlineStr">
        <is>
          <t>A 14770-2026</t>
        </is>
      </c>
      <c r="B314" s="1" t="n">
        <v>46101.63951388889</v>
      </c>
      <c r="C314" s="1" t="n">
        <v>46106</v>
      </c>
      <c r="D314" t="inlineStr">
        <is>
          <t>SÖDERMANLANDS LÄN</t>
        </is>
      </c>
      <c r="E314" t="inlineStr">
        <is>
          <t>KATRINEHOLM</t>
        </is>
      </c>
      <c r="G314" t="n">
        <v>7.5</v>
      </c>
      <c r="H314" t="n">
        <v>0</v>
      </c>
      <c r="I314" t="n">
        <v>0</v>
      </c>
      <c r="J314" t="n">
        <v>0</v>
      </c>
      <c r="K314" t="n">
        <v>0</v>
      </c>
      <c r="L314" t="n">
        <v>0</v>
      </c>
      <c r="M314" t="n">
        <v>0</v>
      </c>
      <c r="N314" t="n">
        <v>0</v>
      </c>
      <c r="O314" t="n">
        <v>0</v>
      </c>
      <c r="P314" t="n">
        <v>0</v>
      </c>
      <c r="Q314" t="n">
        <v>0</v>
      </c>
      <c r="R314" s="2" t="inlineStr"/>
    </row>
    <row r="315" ht="15" customHeight="1">
      <c r="A315" t="inlineStr">
        <is>
          <t>A 41648-2025</t>
        </is>
      </c>
      <c r="B315" s="1" t="n">
        <v>45902.32601851852</v>
      </c>
      <c r="C315" s="1" t="n">
        <v>46106</v>
      </c>
      <c r="D315" t="inlineStr">
        <is>
          <t>SÖDERMANLANDS LÄN</t>
        </is>
      </c>
      <c r="E315" t="inlineStr">
        <is>
          <t>KATRINEHOLM</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15191-2026</t>
        </is>
      </c>
      <c r="B316" s="1" t="n">
        <v>46105.46846064815</v>
      </c>
      <c r="C316" s="1" t="n">
        <v>46106</v>
      </c>
      <c r="D316" t="inlineStr">
        <is>
          <t>SÖDERMANLANDS LÄN</t>
        </is>
      </c>
      <c r="E316" t="inlineStr">
        <is>
          <t>KATRINEHOLM</t>
        </is>
      </c>
      <c r="G316" t="n">
        <v>3.6</v>
      </c>
      <c r="H316" t="n">
        <v>0</v>
      </c>
      <c r="I316" t="n">
        <v>0</v>
      </c>
      <c r="J316" t="n">
        <v>0</v>
      </c>
      <c r="K316" t="n">
        <v>0</v>
      </c>
      <c r="L316" t="n">
        <v>0</v>
      </c>
      <c r="M316" t="n">
        <v>0</v>
      </c>
      <c r="N316" t="n">
        <v>0</v>
      </c>
      <c r="O316" t="n">
        <v>0</v>
      </c>
      <c r="P316" t="n">
        <v>0</v>
      </c>
      <c r="Q316" t="n">
        <v>0</v>
      </c>
      <c r="R316" s="2" t="inlineStr"/>
    </row>
    <row r="317" ht="15" customHeight="1">
      <c r="A317" t="inlineStr">
        <is>
          <t>A 6175-2023</t>
        </is>
      </c>
      <c r="B317" s="1" t="n">
        <v>44964</v>
      </c>
      <c r="C317" s="1" t="n">
        <v>46106</v>
      </c>
      <c r="D317" t="inlineStr">
        <is>
          <t>SÖDERMANLANDS LÄN</t>
        </is>
      </c>
      <c r="E317" t="inlineStr">
        <is>
          <t>KATRINEHOLM</t>
        </is>
      </c>
      <c r="G317" t="n">
        <v>11.2</v>
      </c>
      <c r="H317" t="n">
        <v>0</v>
      </c>
      <c r="I317" t="n">
        <v>0</v>
      </c>
      <c r="J317" t="n">
        <v>0</v>
      </c>
      <c r="K317" t="n">
        <v>0</v>
      </c>
      <c r="L317" t="n">
        <v>0</v>
      </c>
      <c r="M317" t="n">
        <v>0</v>
      </c>
      <c r="N317" t="n">
        <v>0</v>
      </c>
      <c r="O317" t="n">
        <v>0</v>
      </c>
      <c r="P317" t="n">
        <v>0</v>
      </c>
      <c r="Q317" t="n">
        <v>0</v>
      </c>
      <c r="R317" s="2" t="inlineStr"/>
    </row>
    <row r="318" ht="15" customHeight="1">
      <c r="A318" t="inlineStr">
        <is>
          <t>A 4655-2024</t>
        </is>
      </c>
      <c r="B318" s="1" t="n">
        <v>45328</v>
      </c>
      <c r="C318" s="1" t="n">
        <v>46106</v>
      </c>
      <c r="D318" t="inlineStr">
        <is>
          <t>SÖDERMANLANDS LÄN</t>
        </is>
      </c>
      <c r="E318" t="inlineStr">
        <is>
          <t>KATRINEHOLM</t>
        </is>
      </c>
      <c r="G318" t="n">
        <v>17.7</v>
      </c>
      <c r="H318" t="n">
        <v>0</v>
      </c>
      <c r="I318" t="n">
        <v>0</v>
      </c>
      <c r="J318" t="n">
        <v>0</v>
      </c>
      <c r="K318" t="n">
        <v>0</v>
      </c>
      <c r="L318" t="n">
        <v>0</v>
      </c>
      <c r="M318" t="n">
        <v>0</v>
      </c>
      <c r="N318" t="n">
        <v>0</v>
      </c>
      <c r="O318" t="n">
        <v>0</v>
      </c>
      <c r="P318" t="n">
        <v>0</v>
      </c>
      <c r="Q318" t="n">
        <v>0</v>
      </c>
      <c r="R318" s="2" t="inlineStr"/>
    </row>
    <row r="319" ht="15" customHeight="1">
      <c r="A319" t="inlineStr">
        <is>
          <t>A 49341-2024</t>
        </is>
      </c>
      <c r="B319" s="1" t="n">
        <v>45595</v>
      </c>
      <c r="C319" s="1" t="n">
        <v>46106</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41793-2025</t>
        </is>
      </c>
      <c r="B320" s="1" t="n">
        <v>45902</v>
      </c>
      <c r="C320" s="1" t="n">
        <v>46106</v>
      </c>
      <c r="D320" t="inlineStr">
        <is>
          <t>SÖDERMANLANDS LÄN</t>
        </is>
      </c>
      <c r="E320" t="inlineStr">
        <is>
          <t>KATRINEHOLM</t>
        </is>
      </c>
      <c r="G320" t="n">
        <v>1.1</v>
      </c>
      <c r="H320" t="n">
        <v>0</v>
      </c>
      <c r="I320" t="n">
        <v>0</v>
      </c>
      <c r="J320" t="n">
        <v>0</v>
      </c>
      <c r="K320" t="n">
        <v>0</v>
      </c>
      <c r="L320" t="n">
        <v>0</v>
      </c>
      <c r="M320" t="n">
        <v>0</v>
      </c>
      <c r="N320" t="n">
        <v>0</v>
      </c>
      <c r="O320" t="n">
        <v>0</v>
      </c>
      <c r="P320" t="n">
        <v>0</v>
      </c>
      <c r="Q320" t="n">
        <v>0</v>
      </c>
      <c r="R320" s="2" t="inlineStr"/>
    </row>
    <row r="321" ht="15" customHeight="1">
      <c r="A321" t="inlineStr">
        <is>
          <t>A 50316-2023</t>
        </is>
      </c>
      <c r="B321" s="1" t="n">
        <v>45209</v>
      </c>
      <c r="C321" s="1" t="n">
        <v>46106</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31990-2025</t>
        </is>
      </c>
      <c r="B322" s="1" t="n">
        <v>45835.36697916667</v>
      </c>
      <c r="C322" s="1" t="n">
        <v>46106</v>
      </c>
      <c r="D322" t="inlineStr">
        <is>
          <t>SÖDERMANLANDS LÄN</t>
        </is>
      </c>
      <c r="E322" t="inlineStr">
        <is>
          <t>KATRINEHOLM</t>
        </is>
      </c>
      <c r="G322" t="n">
        <v>0.5</v>
      </c>
      <c r="H322" t="n">
        <v>0</v>
      </c>
      <c r="I322" t="n">
        <v>0</v>
      </c>
      <c r="J322" t="n">
        <v>0</v>
      </c>
      <c r="K322" t="n">
        <v>0</v>
      </c>
      <c r="L322" t="n">
        <v>0</v>
      </c>
      <c r="M322" t="n">
        <v>0</v>
      </c>
      <c r="N322" t="n">
        <v>0</v>
      </c>
      <c r="O322" t="n">
        <v>0</v>
      </c>
      <c r="P322" t="n">
        <v>0</v>
      </c>
      <c r="Q322" t="n">
        <v>0</v>
      </c>
      <c r="R322" s="2" t="inlineStr"/>
    </row>
    <row r="323" ht="15" customHeight="1">
      <c r="A323" t="inlineStr">
        <is>
          <t>A 51404-2023</t>
        </is>
      </c>
      <c r="B323" s="1" t="n">
        <v>45214</v>
      </c>
      <c r="C323" s="1" t="n">
        <v>46106</v>
      </c>
      <c r="D323" t="inlineStr">
        <is>
          <t>SÖDERMANLANDS LÄN</t>
        </is>
      </c>
      <c r="E323" t="inlineStr">
        <is>
          <t>KATRINEHOLM</t>
        </is>
      </c>
      <c r="G323" t="n">
        <v>9</v>
      </c>
      <c r="H323" t="n">
        <v>0</v>
      </c>
      <c r="I323" t="n">
        <v>0</v>
      </c>
      <c r="J323" t="n">
        <v>0</v>
      </c>
      <c r="K323" t="n">
        <v>0</v>
      </c>
      <c r="L323" t="n">
        <v>0</v>
      </c>
      <c r="M323" t="n">
        <v>0</v>
      </c>
      <c r="N323" t="n">
        <v>0</v>
      </c>
      <c r="O323" t="n">
        <v>0</v>
      </c>
      <c r="P323" t="n">
        <v>0</v>
      </c>
      <c r="Q323" t="n">
        <v>0</v>
      </c>
      <c r="R323" s="2" t="inlineStr"/>
    </row>
    <row r="324" ht="15" customHeight="1">
      <c r="A324" t="inlineStr">
        <is>
          <t>A 42474-2025</t>
        </is>
      </c>
      <c r="B324" s="1" t="n">
        <v>45905.46659722222</v>
      </c>
      <c r="C324" s="1" t="n">
        <v>46106</v>
      </c>
      <c r="D324" t="inlineStr">
        <is>
          <t>SÖDERMANLANDS LÄN</t>
        </is>
      </c>
      <c r="E324" t="inlineStr">
        <is>
          <t>KATRINEHOLM</t>
        </is>
      </c>
      <c r="G324" t="n">
        <v>4</v>
      </c>
      <c r="H324" t="n">
        <v>0</v>
      </c>
      <c r="I324" t="n">
        <v>0</v>
      </c>
      <c r="J324" t="n">
        <v>0</v>
      </c>
      <c r="K324" t="n">
        <v>0</v>
      </c>
      <c r="L324" t="n">
        <v>0</v>
      </c>
      <c r="M324" t="n">
        <v>0</v>
      </c>
      <c r="N324" t="n">
        <v>0</v>
      </c>
      <c r="O324" t="n">
        <v>0</v>
      </c>
      <c r="P324" t="n">
        <v>0</v>
      </c>
      <c r="Q324" t="n">
        <v>0</v>
      </c>
      <c r="R324" s="2" t="inlineStr"/>
    </row>
    <row r="325" ht="15" customHeight="1">
      <c r="A325" t="inlineStr">
        <is>
          <t>A 15898-2022</t>
        </is>
      </c>
      <c r="B325" s="1" t="n">
        <v>44664.55688657407</v>
      </c>
      <c r="C325" s="1" t="n">
        <v>46106</v>
      </c>
      <c r="D325" t="inlineStr">
        <is>
          <t>SÖDERMANLANDS LÄN</t>
        </is>
      </c>
      <c r="E325" t="inlineStr">
        <is>
          <t>KATRINEHOLM</t>
        </is>
      </c>
      <c r="G325" t="n">
        <v>6.5</v>
      </c>
      <c r="H325" t="n">
        <v>0</v>
      </c>
      <c r="I325" t="n">
        <v>0</v>
      </c>
      <c r="J325" t="n">
        <v>0</v>
      </c>
      <c r="K325" t="n">
        <v>0</v>
      </c>
      <c r="L325" t="n">
        <v>0</v>
      </c>
      <c r="M325" t="n">
        <v>0</v>
      </c>
      <c r="N325" t="n">
        <v>0</v>
      </c>
      <c r="O325" t="n">
        <v>0</v>
      </c>
      <c r="P325" t="n">
        <v>0</v>
      </c>
      <c r="Q325" t="n">
        <v>0</v>
      </c>
      <c r="R325" s="2" t="inlineStr"/>
    </row>
    <row r="326" ht="15" customHeight="1">
      <c r="A326" t="inlineStr">
        <is>
          <t>A 15910-2022</t>
        </is>
      </c>
      <c r="B326" s="1" t="n">
        <v>44664</v>
      </c>
      <c r="C326" s="1" t="n">
        <v>46106</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64605-2023</t>
        </is>
      </c>
      <c r="B327" s="1" t="n">
        <v>45281</v>
      </c>
      <c r="C327" s="1" t="n">
        <v>46106</v>
      </c>
      <c r="D327" t="inlineStr">
        <is>
          <t>SÖDERMANLANDS LÄN</t>
        </is>
      </c>
      <c r="E327" t="inlineStr">
        <is>
          <t>KATRINEHOLM</t>
        </is>
      </c>
      <c r="G327" t="n">
        <v>0.5</v>
      </c>
      <c r="H327" t="n">
        <v>0</v>
      </c>
      <c r="I327" t="n">
        <v>0</v>
      </c>
      <c r="J327" t="n">
        <v>0</v>
      </c>
      <c r="K327" t="n">
        <v>0</v>
      </c>
      <c r="L327" t="n">
        <v>0</v>
      </c>
      <c r="M327" t="n">
        <v>0</v>
      </c>
      <c r="N327" t="n">
        <v>0</v>
      </c>
      <c r="O327" t="n">
        <v>0</v>
      </c>
      <c r="P327" t="n">
        <v>0</v>
      </c>
      <c r="Q327" t="n">
        <v>0</v>
      </c>
      <c r="R327" s="2" t="inlineStr"/>
    </row>
    <row r="328" ht="15" customHeight="1">
      <c r="A328" t="inlineStr">
        <is>
          <t>A 64652-2023</t>
        </is>
      </c>
      <c r="B328" s="1" t="n">
        <v>45281</v>
      </c>
      <c r="C328" s="1" t="n">
        <v>46106</v>
      </c>
      <c r="D328" t="inlineStr">
        <is>
          <t>SÖDERMANLANDS LÄN</t>
        </is>
      </c>
      <c r="E328" t="inlineStr">
        <is>
          <t>KATRINEHOLM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42799-2025</t>
        </is>
      </c>
      <c r="B329" s="1" t="n">
        <v>45907</v>
      </c>
      <c r="C329" s="1" t="n">
        <v>46106</v>
      </c>
      <c r="D329" t="inlineStr">
        <is>
          <t>SÖDERMANLANDS LÄN</t>
        </is>
      </c>
      <c r="E329" t="inlineStr">
        <is>
          <t>KATRINEHOLM</t>
        </is>
      </c>
      <c r="G329" t="n">
        <v>3.9</v>
      </c>
      <c r="H329" t="n">
        <v>0</v>
      </c>
      <c r="I329" t="n">
        <v>0</v>
      </c>
      <c r="J329" t="n">
        <v>0</v>
      </c>
      <c r="K329" t="n">
        <v>0</v>
      </c>
      <c r="L329" t="n">
        <v>0</v>
      </c>
      <c r="M329" t="n">
        <v>0</v>
      </c>
      <c r="N329" t="n">
        <v>0</v>
      </c>
      <c r="O329" t="n">
        <v>0</v>
      </c>
      <c r="P329" t="n">
        <v>0</v>
      </c>
      <c r="Q329" t="n">
        <v>0</v>
      </c>
      <c r="R329" s="2" t="inlineStr"/>
    </row>
    <row r="330" ht="15" customHeight="1">
      <c r="A330" t="inlineStr">
        <is>
          <t>A 33084-2025</t>
        </is>
      </c>
      <c r="B330" s="1" t="n">
        <v>45840.46559027778</v>
      </c>
      <c r="C330" s="1" t="n">
        <v>46106</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33577-2025</t>
        </is>
      </c>
      <c r="B331" s="1" t="n">
        <v>45841.59056712963</v>
      </c>
      <c r="C331" s="1" t="n">
        <v>46106</v>
      </c>
      <c r="D331" t="inlineStr">
        <is>
          <t>SÖDERMANLANDS LÄN</t>
        </is>
      </c>
      <c r="E331" t="inlineStr">
        <is>
          <t>KATRINEHOLM</t>
        </is>
      </c>
      <c r="F331" t="inlineStr">
        <is>
          <t>Holmen skog AB</t>
        </is>
      </c>
      <c r="G331" t="n">
        <v>0.3</v>
      </c>
      <c r="H331" t="n">
        <v>0</v>
      </c>
      <c r="I331" t="n">
        <v>0</v>
      </c>
      <c r="J331" t="n">
        <v>0</v>
      </c>
      <c r="K331" t="n">
        <v>0</v>
      </c>
      <c r="L331" t="n">
        <v>0</v>
      </c>
      <c r="M331" t="n">
        <v>0</v>
      </c>
      <c r="N331" t="n">
        <v>0</v>
      </c>
      <c r="O331" t="n">
        <v>0</v>
      </c>
      <c r="P331" t="n">
        <v>0</v>
      </c>
      <c r="Q331" t="n">
        <v>0</v>
      </c>
      <c r="R331" s="2" t="inlineStr"/>
    </row>
    <row r="332" ht="15" customHeight="1">
      <c r="A332" t="inlineStr">
        <is>
          <t>A 29830-2023</t>
        </is>
      </c>
      <c r="B332" s="1" t="n">
        <v>45107</v>
      </c>
      <c r="C332" s="1" t="n">
        <v>46106</v>
      </c>
      <c r="D332" t="inlineStr">
        <is>
          <t>SÖDERMANLANDS LÄN</t>
        </is>
      </c>
      <c r="E332" t="inlineStr">
        <is>
          <t>KATRINEHOLM</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33090-2025</t>
        </is>
      </c>
      <c r="B333" s="1" t="n">
        <v>45840.46840277778</v>
      </c>
      <c r="C333" s="1" t="n">
        <v>46106</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28582-2024</t>
        </is>
      </c>
      <c r="B334" s="1" t="n">
        <v>45478.40751157407</v>
      </c>
      <c r="C334" s="1" t="n">
        <v>46106</v>
      </c>
      <c r="D334" t="inlineStr">
        <is>
          <t>SÖDERMANLANDS LÄN</t>
        </is>
      </c>
      <c r="E334" t="inlineStr">
        <is>
          <t>KATRINEHOLM</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29394-2024</t>
        </is>
      </c>
      <c r="B335" s="1" t="n">
        <v>45483</v>
      </c>
      <c r="C335" s="1" t="n">
        <v>46106</v>
      </c>
      <c r="D335" t="inlineStr">
        <is>
          <t>SÖDERMANLANDS LÄN</t>
        </is>
      </c>
      <c r="E335" t="inlineStr">
        <is>
          <t>KATRINEHOLM</t>
        </is>
      </c>
      <c r="G335" t="n">
        <v>0.9</v>
      </c>
      <c r="H335" t="n">
        <v>0</v>
      </c>
      <c r="I335" t="n">
        <v>0</v>
      </c>
      <c r="J335" t="n">
        <v>0</v>
      </c>
      <c r="K335" t="n">
        <v>0</v>
      </c>
      <c r="L335" t="n">
        <v>0</v>
      </c>
      <c r="M335" t="n">
        <v>0</v>
      </c>
      <c r="N335" t="n">
        <v>0</v>
      </c>
      <c r="O335" t="n">
        <v>0</v>
      </c>
      <c r="P335" t="n">
        <v>0</v>
      </c>
      <c r="Q335" t="n">
        <v>0</v>
      </c>
      <c r="R335" s="2" t="inlineStr"/>
    </row>
    <row r="336" ht="15" customHeight="1">
      <c r="A336" t="inlineStr">
        <is>
          <t>A 46011-2021</t>
        </is>
      </c>
      <c r="B336" s="1" t="n">
        <v>44441.88092592593</v>
      </c>
      <c r="C336" s="1" t="n">
        <v>46106</v>
      </c>
      <c r="D336" t="inlineStr">
        <is>
          <t>SÖDERMANLANDS LÄN</t>
        </is>
      </c>
      <c r="E336" t="inlineStr">
        <is>
          <t>KATRINEHOLM</t>
        </is>
      </c>
      <c r="G336" t="n">
        <v>4.7</v>
      </c>
      <c r="H336" t="n">
        <v>0</v>
      </c>
      <c r="I336" t="n">
        <v>0</v>
      </c>
      <c r="J336" t="n">
        <v>0</v>
      </c>
      <c r="K336" t="n">
        <v>0</v>
      </c>
      <c r="L336" t="n">
        <v>0</v>
      </c>
      <c r="M336" t="n">
        <v>0</v>
      </c>
      <c r="N336" t="n">
        <v>0</v>
      </c>
      <c r="O336" t="n">
        <v>0</v>
      </c>
      <c r="P336" t="n">
        <v>0</v>
      </c>
      <c r="Q336" t="n">
        <v>0</v>
      </c>
      <c r="R336" s="2" t="inlineStr"/>
    </row>
    <row r="337" ht="15" customHeight="1">
      <c r="A337" t="inlineStr">
        <is>
          <t>A 33812-2025</t>
        </is>
      </c>
      <c r="B337" s="1" t="n">
        <v>45842</v>
      </c>
      <c r="C337" s="1" t="n">
        <v>46106</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42686-2025</t>
        </is>
      </c>
      <c r="B338" s="1" t="n">
        <v>45908.35550925926</v>
      </c>
      <c r="C338" s="1" t="n">
        <v>46106</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30387-2022</t>
        </is>
      </c>
      <c r="B339" s="1" t="n">
        <v>44760</v>
      </c>
      <c r="C339" s="1" t="n">
        <v>46106</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6762-2025</t>
        </is>
      </c>
      <c r="B340" s="1" t="n">
        <v>45700</v>
      </c>
      <c r="C340" s="1" t="n">
        <v>46106</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33815-2025</t>
        </is>
      </c>
      <c r="B341" s="1" t="n">
        <v>45842</v>
      </c>
      <c r="C341" s="1" t="n">
        <v>46106</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20213-2025</t>
        </is>
      </c>
      <c r="B342" s="1" t="n">
        <v>45772.63453703704</v>
      </c>
      <c r="C342" s="1" t="n">
        <v>46106</v>
      </c>
      <c r="D342" t="inlineStr">
        <is>
          <t>SÖDERMANLANDS LÄN</t>
        </is>
      </c>
      <c r="E342" t="inlineStr">
        <is>
          <t>KATRINEHOLM</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61394-2024</t>
        </is>
      </c>
      <c r="B343" s="1" t="n">
        <v>45646.42061342593</v>
      </c>
      <c r="C343" s="1" t="n">
        <v>46106</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931-2023</t>
        </is>
      </c>
      <c r="B344" s="1" t="n">
        <v>44932.74261574074</v>
      </c>
      <c r="C344" s="1" t="n">
        <v>46106</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38883-2024</t>
        </is>
      </c>
      <c r="B345" s="1" t="n">
        <v>45547</v>
      </c>
      <c r="C345" s="1" t="n">
        <v>46106</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6796-2022</t>
        </is>
      </c>
      <c r="B346" s="1" t="n">
        <v>44602</v>
      </c>
      <c r="C346" s="1" t="n">
        <v>46106</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52857-2021</t>
        </is>
      </c>
      <c r="B347" s="1" t="n">
        <v>44466</v>
      </c>
      <c r="C347" s="1" t="n">
        <v>46106</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43975-2025</t>
        </is>
      </c>
      <c r="B348" s="1" t="n">
        <v>45915.41148148148</v>
      </c>
      <c r="C348" s="1" t="n">
        <v>46106</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42015-2022</t>
        </is>
      </c>
      <c r="B349" s="1" t="n">
        <v>44830.4649074074</v>
      </c>
      <c r="C349" s="1" t="n">
        <v>46106</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42020-2022</t>
        </is>
      </c>
      <c r="B350" s="1" t="n">
        <v>44830.46849537037</v>
      </c>
      <c r="C350" s="1" t="n">
        <v>46106</v>
      </c>
      <c r="D350" t="inlineStr">
        <is>
          <t>SÖDERMANLANDS LÄN</t>
        </is>
      </c>
      <c r="E350" t="inlineStr">
        <is>
          <t>KATRINEHOLM</t>
        </is>
      </c>
      <c r="G350" t="n">
        <v>0.8</v>
      </c>
      <c r="H350" t="n">
        <v>0</v>
      </c>
      <c r="I350" t="n">
        <v>0</v>
      </c>
      <c r="J350" t="n">
        <v>0</v>
      </c>
      <c r="K350" t="n">
        <v>0</v>
      </c>
      <c r="L350" t="n">
        <v>0</v>
      </c>
      <c r="M350" t="n">
        <v>0</v>
      </c>
      <c r="N350" t="n">
        <v>0</v>
      </c>
      <c r="O350" t="n">
        <v>0</v>
      </c>
      <c r="P350" t="n">
        <v>0</v>
      </c>
      <c r="Q350" t="n">
        <v>0</v>
      </c>
      <c r="R350" s="2" t="inlineStr"/>
    </row>
    <row r="351" ht="15" customHeight="1">
      <c r="A351" t="inlineStr">
        <is>
          <t>A 8394-2024</t>
        </is>
      </c>
      <c r="B351" s="1" t="n">
        <v>45352</v>
      </c>
      <c r="C351" s="1" t="n">
        <v>46106</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14239-2024</t>
        </is>
      </c>
      <c r="B352" s="1" t="n">
        <v>45393</v>
      </c>
      <c r="C352" s="1" t="n">
        <v>46106</v>
      </c>
      <c r="D352" t="inlineStr">
        <is>
          <t>SÖDERMANLANDS LÄN</t>
        </is>
      </c>
      <c r="E352" t="inlineStr">
        <is>
          <t>KATRINEHOLM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14248-2024</t>
        </is>
      </c>
      <c r="B353" s="1" t="n">
        <v>45393</v>
      </c>
      <c r="C353" s="1" t="n">
        <v>46106</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25716-2022</t>
        </is>
      </c>
      <c r="B354" s="1" t="n">
        <v>44733.39600694444</v>
      </c>
      <c r="C354" s="1" t="n">
        <v>46106</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35156-2025</t>
        </is>
      </c>
      <c r="B355" s="1" t="n">
        <v>45852</v>
      </c>
      <c r="C355" s="1" t="n">
        <v>46106</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35145-2025</t>
        </is>
      </c>
      <c r="B356" s="1" t="n">
        <v>45852</v>
      </c>
      <c r="C356" s="1" t="n">
        <v>46106</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35157-2025</t>
        </is>
      </c>
      <c r="B357" s="1" t="n">
        <v>45852</v>
      </c>
      <c r="C357" s="1" t="n">
        <v>46106</v>
      </c>
      <c r="D357" t="inlineStr">
        <is>
          <t>SÖDERMANLANDS LÄN</t>
        </is>
      </c>
      <c r="E357" t="inlineStr">
        <is>
          <t>KATRINEHOLM</t>
        </is>
      </c>
      <c r="G357" t="n">
        <v>3.7</v>
      </c>
      <c r="H357" t="n">
        <v>0</v>
      </c>
      <c r="I357" t="n">
        <v>0</v>
      </c>
      <c r="J357" t="n">
        <v>0</v>
      </c>
      <c r="K357" t="n">
        <v>0</v>
      </c>
      <c r="L357" t="n">
        <v>0</v>
      </c>
      <c r="M357" t="n">
        <v>0</v>
      </c>
      <c r="N357" t="n">
        <v>0</v>
      </c>
      <c r="O357" t="n">
        <v>0</v>
      </c>
      <c r="P357" t="n">
        <v>0</v>
      </c>
      <c r="Q357" t="n">
        <v>0</v>
      </c>
      <c r="R357" s="2" t="inlineStr"/>
    </row>
    <row r="358" ht="15" customHeight="1">
      <c r="A358" t="inlineStr">
        <is>
          <t>A 23842-2023</t>
        </is>
      </c>
      <c r="B358" s="1" t="n">
        <v>45075</v>
      </c>
      <c r="C358" s="1" t="n">
        <v>46106</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44071-2025</t>
        </is>
      </c>
      <c r="B359" s="1" t="n">
        <v>45915</v>
      </c>
      <c r="C359" s="1" t="n">
        <v>46106</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46700-2023</t>
        </is>
      </c>
      <c r="B360" s="1" t="n">
        <v>45194</v>
      </c>
      <c r="C360" s="1" t="n">
        <v>46106</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35084-2025</t>
        </is>
      </c>
      <c r="B361" s="1" t="n">
        <v>45852</v>
      </c>
      <c r="C361" s="1" t="n">
        <v>46106</v>
      </c>
      <c r="D361" t="inlineStr">
        <is>
          <t>SÖDERMANLANDS LÄN</t>
        </is>
      </c>
      <c r="E361" t="inlineStr">
        <is>
          <t>KATRINEHOLM</t>
        </is>
      </c>
      <c r="G361" t="n">
        <v>3.2</v>
      </c>
      <c r="H361" t="n">
        <v>0</v>
      </c>
      <c r="I361" t="n">
        <v>0</v>
      </c>
      <c r="J361" t="n">
        <v>0</v>
      </c>
      <c r="K361" t="n">
        <v>0</v>
      </c>
      <c r="L361" t="n">
        <v>0</v>
      </c>
      <c r="M361" t="n">
        <v>0</v>
      </c>
      <c r="N361" t="n">
        <v>0</v>
      </c>
      <c r="O361" t="n">
        <v>0</v>
      </c>
      <c r="P361" t="n">
        <v>0</v>
      </c>
      <c r="Q361" t="n">
        <v>0</v>
      </c>
      <c r="R361" s="2" t="inlineStr"/>
    </row>
    <row r="362" ht="15" customHeight="1">
      <c r="A362" t="inlineStr">
        <is>
          <t>A 35149-2025</t>
        </is>
      </c>
      <c r="B362" s="1" t="n">
        <v>45852</v>
      </c>
      <c r="C362" s="1" t="n">
        <v>46106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35161-2025</t>
        </is>
      </c>
      <c r="B363" s="1" t="n">
        <v>45852.70716435185</v>
      </c>
      <c r="C363" s="1" t="n">
        <v>46106</v>
      </c>
      <c r="D363" t="inlineStr">
        <is>
          <t>SÖDERMANLANDS LÄN</t>
        </is>
      </c>
      <c r="E363" t="inlineStr">
        <is>
          <t>KATRINEHOLM</t>
        </is>
      </c>
      <c r="F363" t="inlineStr">
        <is>
          <t>Övriga Aktiebolag</t>
        </is>
      </c>
      <c r="G363" t="n">
        <v>1.5</v>
      </c>
      <c r="H363" t="n">
        <v>0</v>
      </c>
      <c r="I363" t="n">
        <v>0</v>
      </c>
      <c r="J363" t="n">
        <v>0</v>
      </c>
      <c r="K363" t="n">
        <v>0</v>
      </c>
      <c r="L363" t="n">
        <v>0</v>
      </c>
      <c r="M363" t="n">
        <v>0</v>
      </c>
      <c r="N363" t="n">
        <v>0</v>
      </c>
      <c r="O363" t="n">
        <v>0</v>
      </c>
      <c r="P363" t="n">
        <v>0</v>
      </c>
      <c r="Q363" t="n">
        <v>0</v>
      </c>
      <c r="R363" s="2" t="inlineStr"/>
    </row>
    <row r="364" ht="15" customHeight="1">
      <c r="A364" t="inlineStr">
        <is>
          <t>A 35152-2025</t>
        </is>
      </c>
      <c r="B364" s="1" t="n">
        <v>45852</v>
      </c>
      <c r="C364" s="1" t="n">
        <v>46106</v>
      </c>
      <c r="D364" t="inlineStr">
        <is>
          <t>SÖDERMANLANDS LÄN</t>
        </is>
      </c>
      <c r="E364" t="inlineStr">
        <is>
          <t>KATRINEHOLM</t>
        </is>
      </c>
      <c r="G364" t="n">
        <v>4.6</v>
      </c>
      <c r="H364" t="n">
        <v>0</v>
      </c>
      <c r="I364" t="n">
        <v>0</v>
      </c>
      <c r="J364" t="n">
        <v>0</v>
      </c>
      <c r="K364" t="n">
        <v>0</v>
      </c>
      <c r="L364" t="n">
        <v>0</v>
      </c>
      <c r="M364" t="n">
        <v>0</v>
      </c>
      <c r="N364" t="n">
        <v>0</v>
      </c>
      <c r="O364" t="n">
        <v>0</v>
      </c>
      <c r="P364" t="n">
        <v>0</v>
      </c>
      <c r="Q364" t="n">
        <v>0</v>
      </c>
      <c r="R364" s="2" t="inlineStr"/>
    </row>
    <row r="365" ht="15" customHeight="1">
      <c r="A365" t="inlineStr">
        <is>
          <t>A 35165-2025</t>
        </is>
      </c>
      <c r="B365" s="1" t="n">
        <v>45852.72320601852</v>
      </c>
      <c r="C365" s="1" t="n">
        <v>46106</v>
      </c>
      <c r="D365" t="inlineStr">
        <is>
          <t>SÖDERMANLANDS LÄN</t>
        </is>
      </c>
      <c r="E365" t="inlineStr">
        <is>
          <t>KATRINEHOLM</t>
        </is>
      </c>
      <c r="F365" t="inlineStr">
        <is>
          <t>Övriga Aktiebolag</t>
        </is>
      </c>
      <c r="G365" t="n">
        <v>20.7</v>
      </c>
      <c r="H365" t="n">
        <v>0</v>
      </c>
      <c r="I365" t="n">
        <v>0</v>
      </c>
      <c r="J365" t="n">
        <v>0</v>
      </c>
      <c r="K365" t="n">
        <v>0</v>
      </c>
      <c r="L365" t="n">
        <v>0</v>
      </c>
      <c r="M365" t="n">
        <v>0</v>
      </c>
      <c r="N365" t="n">
        <v>0</v>
      </c>
      <c r="O365" t="n">
        <v>0</v>
      </c>
      <c r="P365" t="n">
        <v>0</v>
      </c>
      <c r="Q365" t="n">
        <v>0</v>
      </c>
      <c r="R365" s="2" t="inlineStr"/>
    </row>
    <row r="366" ht="15" customHeight="1">
      <c r="A366" t="inlineStr">
        <is>
          <t>A 35158-2025</t>
        </is>
      </c>
      <c r="B366" s="1" t="n">
        <v>45852</v>
      </c>
      <c r="C366" s="1" t="n">
        <v>46106</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34439-2025</t>
        </is>
      </c>
      <c r="B367" s="1" t="n">
        <v>45845</v>
      </c>
      <c r="C367" s="1" t="n">
        <v>46106</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50032-2022</t>
        </is>
      </c>
      <c r="B368" s="1" t="n">
        <v>44860</v>
      </c>
      <c r="C368" s="1" t="n">
        <v>46106</v>
      </c>
      <c r="D368" t="inlineStr">
        <is>
          <t>SÖDERMANLANDS LÄN</t>
        </is>
      </c>
      <c r="E368" t="inlineStr">
        <is>
          <t>KATRINEHOLM</t>
        </is>
      </c>
      <c r="G368" t="n">
        <v>7.5</v>
      </c>
      <c r="H368" t="n">
        <v>0</v>
      </c>
      <c r="I368" t="n">
        <v>0</v>
      </c>
      <c r="J368" t="n">
        <v>0</v>
      </c>
      <c r="K368" t="n">
        <v>0</v>
      </c>
      <c r="L368" t="n">
        <v>0</v>
      </c>
      <c r="M368" t="n">
        <v>0</v>
      </c>
      <c r="N368" t="n">
        <v>0</v>
      </c>
      <c r="O368" t="n">
        <v>0</v>
      </c>
      <c r="P368" t="n">
        <v>0</v>
      </c>
      <c r="Q368" t="n">
        <v>0</v>
      </c>
      <c r="R368" s="2" t="inlineStr"/>
    </row>
    <row r="369" ht="15" customHeight="1">
      <c r="A369" t="inlineStr">
        <is>
          <t>A 50804-2023</t>
        </is>
      </c>
      <c r="B369" s="1" t="n">
        <v>45211</v>
      </c>
      <c r="C369" s="1" t="n">
        <v>46106</v>
      </c>
      <c r="D369" t="inlineStr">
        <is>
          <t>SÖDERMANLANDS LÄN</t>
        </is>
      </c>
      <c r="E369" t="inlineStr">
        <is>
          <t>KATRINEHOLM</t>
        </is>
      </c>
      <c r="G369" t="n">
        <v>4</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46106</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29502-2023</t>
        </is>
      </c>
      <c r="B371" s="1" t="n">
        <v>45106</v>
      </c>
      <c r="C371" s="1" t="n">
        <v>46106</v>
      </c>
      <c r="D371" t="inlineStr">
        <is>
          <t>SÖDERMANLANDS LÄN</t>
        </is>
      </c>
      <c r="E371" t="inlineStr">
        <is>
          <t>KATRINEHOLM</t>
        </is>
      </c>
      <c r="G371" t="n">
        <v>2.3</v>
      </c>
      <c r="H371" t="n">
        <v>0</v>
      </c>
      <c r="I371" t="n">
        <v>0</v>
      </c>
      <c r="J371" t="n">
        <v>0</v>
      </c>
      <c r="K371" t="n">
        <v>0</v>
      </c>
      <c r="L371" t="n">
        <v>0</v>
      </c>
      <c r="M371" t="n">
        <v>0</v>
      </c>
      <c r="N371" t="n">
        <v>0</v>
      </c>
      <c r="O371" t="n">
        <v>0</v>
      </c>
      <c r="P371" t="n">
        <v>0</v>
      </c>
      <c r="Q371" t="n">
        <v>0</v>
      </c>
      <c r="R371" s="2" t="inlineStr"/>
    </row>
    <row r="372" ht="15" customHeight="1">
      <c r="A372" t="inlineStr">
        <is>
          <t>A 56074-2022</t>
        </is>
      </c>
      <c r="B372" s="1" t="n">
        <v>44889</v>
      </c>
      <c r="C372" s="1" t="n">
        <v>46106</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c r="T372">
        <f>HYPERLINK("https://klasma.github.io/Logging_0483/kartor/A 56074-2022 karta.png", "A 56074-2022")</f>
        <v/>
      </c>
      <c r="V372">
        <f>HYPERLINK("https://klasma.github.io/Logging_0483/klagomål/A 56074-2022 FSC-klagomål.docx", "A 56074-2022")</f>
        <v/>
      </c>
      <c r="W372">
        <f>HYPERLINK("https://klasma.github.io/Logging_0483/klagomålsmail/A 56074-2022 FSC-klagomål mail.docx", "A 56074-2022")</f>
        <v/>
      </c>
      <c r="X372">
        <f>HYPERLINK("https://klasma.github.io/Logging_0483/tillsyn/A 56074-2022 tillsynsbegäran.docx", "A 56074-2022")</f>
        <v/>
      </c>
      <c r="Y372">
        <f>HYPERLINK("https://klasma.github.io/Logging_0483/tillsynsmail/A 56074-2022 tillsynsbegäran mail.docx", "A 56074-2022")</f>
        <v/>
      </c>
    </row>
    <row r="373" ht="15" customHeight="1">
      <c r="A373" t="inlineStr">
        <is>
          <t>A 8922-2024</t>
        </is>
      </c>
      <c r="B373" s="1" t="n">
        <v>45357.38601851852</v>
      </c>
      <c r="C373" s="1" t="n">
        <v>46106</v>
      </c>
      <c r="D373" t="inlineStr">
        <is>
          <t>SÖDERMANLANDS LÄN</t>
        </is>
      </c>
      <c r="E373" t="inlineStr">
        <is>
          <t>KATRINEHOLM</t>
        </is>
      </c>
      <c r="G373" t="n">
        <v>2.2</v>
      </c>
      <c r="H373" t="n">
        <v>0</v>
      </c>
      <c r="I373" t="n">
        <v>0</v>
      </c>
      <c r="J373" t="n">
        <v>0</v>
      </c>
      <c r="K373" t="n">
        <v>0</v>
      </c>
      <c r="L373" t="n">
        <v>0</v>
      </c>
      <c r="M373" t="n">
        <v>0</v>
      </c>
      <c r="N373" t="n">
        <v>0</v>
      </c>
      <c r="O373" t="n">
        <v>0</v>
      </c>
      <c r="P373" t="n">
        <v>0</v>
      </c>
      <c r="Q373" t="n">
        <v>0</v>
      </c>
      <c r="R373" s="2" t="inlineStr"/>
    </row>
    <row r="374" ht="15" customHeight="1">
      <c r="A374" t="inlineStr">
        <is>
          <t>A 45376-2022</t>
        </is>
      </c>
      <c r="B374" s="1" t="n">
        <v>44844</v>
      </c>
      <c r="C374" s="1" t="n">
        <v>46106</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44024-2021</t>
        </is>
      </c>
      <c r="B375" s="1" t="n">
        <v>44434</v>
      </c>
      <c r="C375" s="1" t="n">
        <v>46106</v>
      </c>
      <c r="D375" t="inlineStr">
        <is>
          <t>SÖDERMANLANDS LÄN</t>
        </is>
      </c>
      <c r="E375" t="inlineStr">
        <is>
          <t>KATRINEHOLM</t>
        </is>
      </c>
      <c r="G375" t="n">
        <v>13</v>
      </c>
      <c r="H375" t="n">
        <v>0</v>
      </c>
      <c r="I375" t="n">
        <v>0</v>
      </c>
      <c r="J375" t="n">
        <v>0</v>
      </c>
      <c r="K375" t="n">
        <v>0</v>
      </c>
      <c r="L375" t="n">
        <v>0</v>
      </c>
      <c r="M375" t="n">
        <v>0</v>
      </c>
      <c r="N375" t="n">
        <v>0</v>
      </c>
      <c r="O375" t="n">
        <v>0</v>
      </c>
      <c r="P375" t="n">
        <v>0</v>
      </c>
      <c r="Q375" t="n">
        <v>0</v>
      </c>
      <c r="R375" s="2" t="inlineStr"/>
    </row>
    <row r="376" ht="15" customHeight="1">
      <c r="A376" t="inlineStr">
        <is>
          <t>A 39748-2022</t>
        </is>
      </c>
      <c r="B376" s="1" t="n">
        <v>44817</v>
      </c>
      <c r="C376" s="1" t="n">
        <v>46106</v>
      </c>
      <c r="D376" t="inlineStr">
        <is>
          <t>SÖDERMANLANDS LÄN</t>
        </is>
      </c>
      <c r="E376" t="inlineStr">
        <is>
          <t>KATRINEHOLM</t>
        </is>
      </c>
      <c r="G376" t="n">
        <v>10.2</v>
      </c>
      <c r="H376" t="n">
        <v>0</v>
      </c>
      <c r="I376" t="n">
        <v>0</v>
      </c>
      <c r="J376" t="n">
        <v>0</v>
      </c>
      <c r="K376" t="n">
        <v>0</v>
      </c>
      <c r="L376" t="n">
        <v>0</v>
      </c>
      <c r="M376" t="n">
        <v>0</v>
      </c>
      <c r="N376" t="n">
        <v>0</v>
      </c>
      <c r="O376" t="n">
        <v>0</v>
      </c>
      <c r="P376" t="n">
        <v>0</v>
      </c>
      <c r="Q376" t="n">
        <v>0</v>
      </c>
      <c r="R376" s="2" t="inlineStr"/>
    </row>
    <row r="377" ht="15" customHeight="1">
      <c r="A377" t="inlineStr">
        <is>
          <t>A 3090-2025</t>
        </is>
      </c>
      <c r="B377" s="1" t="n">
        <v>45678</v>
      </c>
      <c r="C377" s="1" t="n">
        <v>46106</v>
      </c>
      <c r="D377" t="inlineStr">
        <is>
          <t>SÖDERMANLANDS LÄN</t>
        </is>
      </c>
      <c r="E377" t="inlineStr">
        <is>
          <t>KATRINEHOLM</t>
        </is>
      </c>
      <c r="F377" t="inlineStr">
        <is>
          <t>Kyrkan</t>
        </is>
      </c>
      <c r="G377" t="n">
        <v>6.9</v>
      </c>
      <c r="H377" t="n">
        <v>0</v>
      </c>
      <c r="I377" t="n">
        <v>0</v>
      </c>
      <c r="J377" t="n">
        <v>0</v>
      </c>
      <c r="K377" t="n">
        <v>0</v>
      </c>
      <c r="L377" t="n">
        <v>0</v>
      </c>
      <c r="M377" t="n">
        <v>0</v>
      </c>
      <c r="N377" t="n">
        <v>0</v>
      </c>
      <c r="O377" t="n">
        <v>0</v>
      </c>
      <c r="P377" t="n">
        <v>0</v>
      </c>
      <c r="Q377" t="n">
        <v>0</v>
      </c>
      <c r="R377" s="2" t="inlineStr"/>
    </row>
    <row r="378" ht="15" customHeight="1">
      <c r="A378" t="inlineStr">
        <is>
          <t>A 28431-2024</t>
        </is>
      </c>
      <c r="B378" s="1" t="n">
        <v>45477.65216435185</v>
      </c>
      <c r="C378" s="1" t="n">
        <v>46106</v>
      </c>
      <c r="D378" t="inlineStr">
        <is>
          <t>SÖDERMANLANDS LÄN</t>
        </is>
      </c>
      <c r="E378" t="inlineStr">
        <is>
          <t>KATRINEHOLM</t>
        </is>
      </c>
      <c r="G378" t="n">
        <v>3.5</v>
      </c>
      <c r="H378" t="n">
        <v>0</v>
      </c>
      <c r="I378" t="n">
        <v>0</v>
      </c>
      <c r="J378" t="n">
        <v>0</v>
      </c>
      <c r="K378" t="n">
        <v>0</v>
      </c>
      <c r="L378" t="n">
        <v>0</v>
      </c>
      <c r="M378" t="n">
        <v>0</v>
      </c>
      <c r="N378" t="n">
        <v>0</v>
      </c>
      <c r="O378" t="n">
        <v>0</v>
      </c>
      <c r="P378" t="n">
        <v>0</v>
      </c>
      <c r="Q378" t="n">
        <v>0</v>
      </c>
      <c r="R378" s="2" t="inlineStr"/>
    </row>
    <row r="379" ht="15" customHeight="1">
      <c r="A379" t="inlineStr">
        <is>
          <t>A 46288-2025</t>
        </is>
      </c>
      <c r="B379" s="1" t="n">
        <v>45925.38545138889</v>
      </c>
      <c r="C379" s="1" t="n">
        <v>46106</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12227-2025</t>
        </is>
      </c>
      <c r="B380" s="1" t="n">
        <v>45729.56836805555</v>
      </c>
      <c r="C380" s="1" t="n">
        <v>46106</v>
      </c>
      <c r="D380" t="inlineStr">
        <is>
          <t>SÖDERMANLANDS LÄN</t>
        </is>
      </c>
      <c r="E380" t="inlineStr">
        <is>
          <t>KATRINEHOLM</t>
        </is>
      </c>
      <c r="G380" t="n">
        <v>7</v>
      </c>
      <c r="H380" t="n">
        <v>0</v>
      </c>
      <c r="I380" t="n">
        <v>0</v>
      </c>
      <c r="J380" t="n">
        <v>0</v>
      </c>
      <c r="K380" t="n">
        <v>0</v>
      </c>
      <c r="L380" t="n">
        <v>0</v>
      </c>
      <c r="M380" t="n">
        <v>0</v>
      </c>
      <c r="N380" t="n">
        <v>0</v>
      </c>
      <c r="O380" t="n">
        <v>0</v>
      </c>
      <c r="P380" t="n">
        <v>0</v>
      </c>
      <c r="Q380" t="n">
        <v>0</v>
      </c>
      <c r="R380" s="2" t="inlineStr"/>
    </row>
    <row r="381" ht="15" customHeight="1">
      <c r="A381" t="inlineStr">
        <is>
          <t>A 34981-2023</t>
        </is>
      </c>
      <c r="B381" s="1" t="n">
        <v>45142</v>
      </c>
      <c r="C381" s="1" t="n">
        <v>46106</v>
      </c>
      <c r="D381" t="inlineStr">
        <is>
          <t>SÖDERMANLANDS LÄN</t>
        </is>
      </c>
      <c r="E381" t="inlineStr">
        <is>
          <t>KATRINEHOLM</t>
        </is>
      </c>
      <c r="G381" t="n">
        <v>10</v>
      </c>
      <c r="H381" t="n">
        <v>0</v>
      </c>
      <c r="I381" t="n">
        <v>0</v>
      </c>
      <c r="J381" t="n">
        <v>0</v>
      </c>
      <c r="K381" t="n">
        <v>0</v>
      </c>
      <c r="L381" t="n">
        <v>0</v>
      </c>
      <c r="M381" t="n">
        <v>0</v>
      </c>
      <c r="N381" t="n">
        <v>0</v>
      </c>
      <c r="O381" t="n">
        <v>0</v>
      </c>
      <c r="P381" t="n">
        <v>0</v>
      </c>
      <c r="Q381" t="n">
        <v>0</v>
      </c>
      <c r="R381" s="2" t="inlineStr"/>
    </row>
    <row r="382" ht="15" customHeight="1">
      <c r="A382" t="inlineStr">
        <is>
          <t>A 36590-2025</t>
        </is>
      </c>
      <c r="B382" s="1" t="n">
        <v>45870</v>
      </c>
      <c r="C382" s="1" t="n">
        <v>46106</v>
      </c>
      <c r="D382" t="inlineStr">
        <is>
          <t>SÖDERMANLANDS LÄN</t>
        </is>
      </c>
      <c r="E382" t="inlineStr">
        <is>
          <t>KATRINEHOLM</t>
        </is>
      </c>
      <c r="G382" t="n">
        <v>2</v>
      </c>
      <c r="H382" t="n">
        <v>0</v>
      </c>
      <c r="I382" t="n">
        <v>0</v>
      </c>
      <c r="J382" t="n">
        <v>0</v>
      </c>
      <c r="K382" t="n">
        <v>0</v>
      </c>
      <c r="L382" t="n">
        <v>0</v>
      </c>
      <c r="M382" t="n">
        <v>0</v>
      </c>
      <c r="N382" t="n">
        <v>0</v>
      </c>
      <c r="O382" t="n">
        <v>0</v>
      </c>
      <c r="P382" t="n">
        <v>0</v>
      </c>
      <c r="Q382" t="n">
        <v>0</v>
      </c>
      <c r="R382" s="2" t="inlineStr"/>
    </row>
    <row r="383" ht="15" customHeight="1">
      <c r="A383" t="inlineStr">
        <is>
          <t>A 50021-2023</t>
        </is>
      </c>
      <c r="B383" s="1" t="n">
        <v>45215</v>
      </c>
      <c r="C383" s="1" t="n">
        <v>46106</v>
      </c>
      <c r="D383" t="inlineStr">
        <is>
          <t>SÖDERMANLANDS LÄN</t>
        </is>
      </c>
      <c r="E383" t="inlineStr">
        <is>
          <t>KATRINEHOLM</t>
        </is>
      </c>
      <c r="G383" t="n">
        <v>1.6</v>
      </c>
      <c r="H383" t="n">
        <v>0</v>
      </c>
      <c r="I383" t="n">
        <v>0</v>
      </c>
      <c r="J383" t="n">
        <v>0</v>
      </c>
      <c r="K383" t="n">
        <v>0</v>
      </c>
      <c r="L383" t="n">
        <v>0</v>
      </c>
      <c r="M383" t="n">
        <v>0</v>
      </c>
      <c r="N383" t="n">
        <v>0</v>
      </c>
      <c r="O383" t="n">
        <v>0</v>
      </c>
      <c r="P383" t="n">
        <v>0</v>
      </c>
      <c r="Q383" t="n">
        <v>0</v>
      </c>
      <c r="R383" s="2" t="inlineStr"/>
    </row>
    <row r="384" ht="15" customHeight="1">
      <c r="A384" t="inlineStr">
        <is>
          <t>A 26684-2025</t>
        </is>
      </c>
      <c r="B384" s="1" t="n">
        <v>45810</v>
      </c>
      <c r="C384" s="1" t="n">
        <v>46106</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31740-2022</t>
        </is>
      </c>
      <c r="B385" s="1" t="n">
        <v>44776</v>
      </c>
      <c r="C385" s="1" t="n">
        <v>46106</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53750-2022</t>
        </is>
      </c>
      <c r="B386" s="1" t="n">
        <v>44875</v>
      </c>
      <c r="C386" s="1" t="n">
        <v>46106</v>
      </c>
      <c r="D386" t="inlineStr">
        <is>
          <t>SÖDERMANLANDS LÄN</t>
        </is>
      </c>
      <c r="E386" t="inlineStr">
        <is>
          <t>KATRINEHOLM</t>
        </is>
      </c>
      <c r="F386" t="inlineStr">
        <is>
          <t>Övriga Aktiebolag</t>
        </is>
      </c>
      <c r="G386" t="n">
        <v>12.6</v>
      </c>
      <c r="H386" t="n">
        <v>0</v>
      </c>
      <c r="I386" t="n">
        <v>0</v>
      </c>
      <c r="J386" t="n">
        <v>0</v>
      </c>
      <c r="K386" t="n">
        <v>0</v>
      </c>
      <c r="L386" t="n">
        <v>0</v>
      </c>
      <c r="M386" t="n">
        <v>0</v>
      </c>
      <c r="N386" t="n">
        <v>0</v>
      </c>
      <c r="O386" t="n">
        <v>0</v>
      </c>
      <c r="P386" t="n">
        <v>0</v>
      </c>
      <c r="Q386" t="n">
        <v>0</v>
      </c>
      <c r="R386" s="2" t="inlineStr"/>
    </row>
    <row r="387" ht="15" customHeight="1">
      <c r="A387" t="inlineStr">
        <is>
          <t>A 37043-2025</t>
        </is>
      </c>
      <c r="B387" s="1" t="n">
        <v>45875.3396412037</v>
      </c>
      <c r="C387" s="1" t="n">
        <v>46106</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47886-2023</t>
        </is>
      </c>
      <c r="B388" s="1" t="n">
        <v>45204</v>
      </c>
      <c r="C388" s="1" t="n">
        <v>46106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3125-2024</t>
        </is>
      </c>
      <c r="B389" s="1" t="n">
        <v>45316</v>
      </c>
      <c r="C389" s="1" t="n">
        <v>46106</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8087-2022</t>
        </is>
      </c>
      <c r="B390" s="1" t="n">
        <v>44609.53502314815</v>
      </c>
      <c r="C390" s="1" t="n">
        <v>46106</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46524-2025</t>
        </is>
      </c>
      <c r="B391" s="1" t="n">
        <v>45926</v>
      </c>
      <c r="C391" s="1" t="n">
        <v>46106</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27852-2023</t>
        </is>
      </c>
      <c r="B392" s="1" t="n">
        <v>45098</v>
      </c>
      <c r="C392" s="1" t="n">
        <v>46106</v>
      </c>
      <c r="D392" t="inlineStr">
        <is>
          <t>SÖDERMANLANDS LÄN</t>
        </is>
      </c>
      <c r="E392" t="inlineStr">
        <is>
          <t>KATRINEHOLM</t>
        </is>
      </c>
      <c r="G392" t="n">
        <v>7.4</v>
      </c>
      <c r="H392" t="n">
        <v>0</v>
      </c>
      <c r="I392" t="n">
        <v>0</v>
      </c>
      <c r="J392" t="n">
        <v>0</v>
      </c>
      <c r="K392" t="n">
        <v>0</v>
      </c>
      <c r="L392" t="n">
        <v>0</v>
      </c>
      <c r="M392" t="n">
        <v>0</v>
      </c>
      <c r="N392" t="n">
        <v>0</v>
      </c>
      <c r="O392" t="n">
        <v>0</v>
      </c>
      <c r="P392" t="n">
        <v>0</v>
      </c>
      <c r="Q392" t="n">
        <v>0</v>
      </c>
      <c r="R392" s="2" t="inlineStr"/>
    </row>
    <row r="393" ht="15" customHeight="1">
      <c r="A393" t="inlineStr">
        <is>
          <t>A 1143-2024</t>
        </is>
      </c>
      <c r="B393" s="1" t="n">
        <v>45302</v>
      </c>
      <c r="C393" s="1" t="n">
        <v>46106</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37827-2025</t>
        </is>
      </c>
      <c r="B394" s="1" t="n">
        <v>45881.40907407407</v>
      </c>
      <c r="C394" s="1" t="n">
        <v>46106</v>
      </c>
      <c r="D394" t="inlineStr">
        <is>
          <t>SÖDERMANLANDS LÄN</t>
        </is>
      </c>
      <c r="E394" t="inlineStr">
        <is>
          <t>KATRINEHOLM</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3980-2024</t>
        </is>
      </c>
      <c r="B395" s="1" t="n">
        <v>45322</v>
      </c>
      <c r="C395" s="1" t="n">
        <v>46106</v>
      </c>
      <c r="D395" t="inlineStr">
        <is>
          <t>SÖDERMANLANDS LÄN</t>
        </is>
      </c>
      <c r="E395" t="inlineStr">
        <is>
          <t>KATRINEHOLM</t>
        </is>
      </c>
      <c r="G395" t="n">
        <v>0.4</v>
      </c>
      <c r="H395" t="n">
        <v>0</v>
      </c>
      <c r="I395" t="n">
        <v>0</v>
      </c>
      <c r="J395" t="n">
        <v>0</v>
      </c>
      <c r="K395" t="n">
        <v>0</v>
      </c>
      <c r="L395" t="n">
        <v>0</v>
      </c>
      <c r="M395" t="n">
        <v>0</v>
      </c>
      <c r="N395" t="n">
        <v>0</v>
      </c>
      <c r="O395" t="n">
        <v>0</v>
      </c>
      <c r="P395" t="n">
        <v>0</v>
      </c>
      <c r="Q395" t="n">
        <v>0</v>
      </c>
      <c r="R395" s="2" t="inlineStr"/>
    </row>
    <row r="396" ht="15" customHeight="1">
      <c r="A396" t="inlineStr">
        <is>
          <t>A 17335-2023</t>
        </is>
      </c>
      <c r="B396" s="1" t="n">
        <v>45033</v>
      </c>
      <c r="C396" s="1" t="n">
        <v>46106</v>
      </c>
      <c r="D396" t="inlineStr">
        <is>
          <t>SÖDERMANLANDS LÄN</t>
        </is>
      </c>
      <c r="E396" t="inlineStr">
        <is>
          <t>KATRINEHOLM</t>
        </is>
      </c>
      <c r="G396" t="n">
        <v>3.3</v>
      </c>
      <c r="H396" t="n">
        <v>0</v>
      </c>
      <c r="I396" t="n">
        <v>0</v>
      </c>
      <c r="J396" t="n">
        <v>0</v>
      </c>
      <c r="K396" t="n">
        <v>0</v>
      </c>
      <c r="L396" t="n">
        <v>0</v>
      </c>
      <c r="M396" t="n">
        <v>0</v>
      </c>
      <c r="N396" t="n">
        <v>0</v>
      </c>
      <c r="O396" t="n">
        <v>0</v>
      </c>
      <c r="P396" t="n">
        <v>0</v>
      </c>
      <c r="Q396" t="n">
        <v>0</v>
      </c>
      <c r="R396" s="2" t="inlineStr"/>
    </row>
    <row r="397" ht="15" customHeight="1">
      <c r="A397" t="inlineStr">
        <is>
          <t>A 59898-2022</t>
        </is>
      </c>
      <c r="B397" s="1" t="n">
        <v>44908</v>
      </c>
      <c r="C397" s="1" t="n">
        <v>46106</v>
      </c>
      <c r="D397" t="inlineStr">
        <is>
          <t>SÖDERMANLANDS LÄN</t>
        </is>
      </c>
      <c r="E397" t="inlineStr">
        <is>
          <t>KATRINEHOLM</t>
        </is>
      </c>
      <c r="G397" t="n">
        <v>4.8</v>
      </c>
      <c r="H397" t="n">
        <v>0</v>
      </c>
      <c r="I397" t="n">
        <v>0</v>
      </c>
      <c r="J397" t="n">
        <v>0</v>
      </c>
      <c r="K397" t="n">
        <v>0</v>
      </c>
      <c r="L397" t="n">
        <v>0</v>
      </c>
      <c r="M397" t="n">
        <v>0</v>
      </c>
      <c r="N397" t="n">
        <v>0</v>
      </c>
      <c r="O397" t="n">
        <v>0</v>
      </c>
      <c r="P397" t="n">
        <v>0</v>
      </c>
      <c r="Q397" t="n">
        <v>0</v>
      </c>
      <c r="R397" s="2" t="inlineStr"/>
    </row>
    <row r="398" ht="15" customHeight="1">
      <c r="A398" t="inlineStr">
        <is>
          <t>A 73412-2021</t>
        </is>
      </c>
      <c r="B398" s="1" t="n">
        <v>44551</v>
      </c>
      <c r="C398" s="1" t="n">
        <v>46106</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28995-2024</t>
        </is>
      </c>
      <c r="B399" s="1" t="n">
        <v>45481.49899305555</v>
      </c>
      <c r="C399" s="1" t="n">
        <v>46106</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28597-2024</t>
        </is>
      </c>
      <c r="B400" s="1" t="n">
        <v>45478</v>
      </c>
      <c r="C400" s="1" t="n">
        <v>46106</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11543-2025</t>
        </is>
      </c>
      <c r="B401" s="1" t="n">
        <v>45727.34248842593</v>
      </c>
      <c r="C401" s="1" t="n">
        <v>46106</v>
      </c>
      <c r="D401" t="inlineStr">
        <is>
          <t>SÖDERMANLANDS LÄN</t>
        </is>
      </c>
      <c r="E401" t="inlineStr">
        <is>
          <t>KATRINEHOLM</t>
        </is>
      </c>
      <c r="G401" t="n">
        <v>3.6</v>
      </c>
      <c r="H401" t="n">
        <v>0</v>
      </c>
      <c r="I401" t="n">
        <v>0</v>
      </c>
      <c r="J401" t="n">
        <v>0</v>
      </c>
      <c r="K401" t="n">
        <v>0</v>
      </c>
      <c r="L401" t="n">
        <v>0</v>
      </c>
      <c r="M401" t="n">
        <v>0</v>
      </c>
      <c r="N401" t="n">
        <v>0</v>
      </c>
      <c r="O401" t="n">
        <v>0</v>
      </c>
      <c r="P401" t="n">
        <v>0</v>
      </c>
      <c r="Q401" t="n">
        <v>0</v>
      </c>
      <c r="R401" s="2" t="inlineStr"/>
    </row>
    <row r="402" ht="15" customHeight="1">
      <c r="A402" t="inlineStr">
        <is>
          <t>A 35228-2025</t>
        </is>
      </c>
      <c r="B402" s="1" t="n">
        <v>45853</v>
      </c>
      <c r="C402" s="1" t="n">
        <v>46106</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41966-2023</t>
        </is>
      </c>
      <c r="B403" s="1" t="n">
        <v>45177</v>
      </c>
      <c r="C403" s="1" t="n">
        <v>46106</v>
      </c>
      <c r="D403" t="inlineStr">
        <is>
          <t>SÖDERMANLANDS LÄN</t>
        </is>
      </c>
      <c r="E403" t="inlineStr">
        <is>
          <t>KATRINEHOLM</t>
        </is>
      </c>
      <c r="G403" t="n">
        <v>36.9</v>
      </c>
      <c r="H403" t="n">
        <v>0</v>
      </c>
      <c r="I403" t="n">
        <v>0</v>
      </c>
      <c r="J403" t="n">
        <v>0</v>
      </c>
      <c r="K403" t="n">
        <v>0</v>
      </c>
      <c r="L403" t="n">
        <v>0</v>
      </c>
      <c r="M403" t="n">
        <v>0</v>
      </c>
      <c r="N403" t="n">
        <v>0</v>
      </c>
      <c r="O403" t="n">
        <v>0</v>
      </c>
      <c r="P403" t="n">
        <v>0</v>
      </c>
      <c r="Q403" t="n">
        <v>0</v>
      </c>
      <c r="R403" s="2" t="inlineStr"/>
    </row>
    <row r="404" ht="15" customHeight="1">
      <c r="A404" t="inlineStr">
        <is>
          <t>A 10446-2024</t>
        </is>
      </c>
      <c r="B404" s="1" t="n">
        <v>45366</v>
      </c>
      <c r="C404" s="1" t="n">
        <v>46106</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8761-2023</t>
        </is>
      </c>
      <c r="B405" s="1" t="n">
        <v>44978.49685185185</v>
      </c>
      <c r="C405" s="1" t="n">
        <v>46106</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8778-2023</t>
        </is>
      </c>
      <c r="B406" s="1" t="n">
        <v>44978.5737037037</v>
      </c>
      <c r="C406" s="1" t="n">
        <v>46106</v>
      </c>
      <c r="D406" t="inlineStr">
        <is>
          <t>SÖDERMANLANDS LÄN</t>
        </is>
      </c>
      <c r="E406" t="inlineStr">
        <is>
          <t>KATRINEHOLM</t>
        </is>
      </c>
      <c r="G406" t="n">
        <v>4.5</v>
      </c>
      <c r="H406" t="n">
        <v>0</v>
      </c>
      <c r="I406" t="n">
        <v>0</v>
      </c>
      <c r="J406" t="n">
        <v>0</v>
      </c>
      <c r="K406" t="n">
        <v>0</v>
      </c>
      <c r="L406" t="n">
        <v>0</v>
      </c>
      <c r="M406" t="n">
        <v>0</v>
      </c>
      <c r="N406" t="n">
        <v>0</v>
      </c>
      <c r="O406" t="n">
        <v>0</v>
      </c>
      <c r="P406" t="n">
        <v>0</v>
      </c>
      <c r="Q406" t="n">
        <v>0</v>
      </c>
      <c r="R406" s="2" t="inlineStr"/>
    </row>
    <row r="407" ht="15" customHeight="1">
      <c r="A407" t="inlineStr">
        <is>
          <t>A 15399-2022</t>
        </is>
      </c>
      <c r="B407" s="1" t="n">
        <v>44659</v>
      </c>
      <c r="C407" s="1" t="n">
        <v>46106</v>
      </c>
      <c r="D407" t="inlineStr">
        <is>
          <t>SÖDERMANLANDS LÄN</t>
        </is>
      </c>
      <c r="E407" t="inlineStr">
        <is>
          <t>KATRINEHOLM</t>
        </is>
      </c>
      <c r="G407" t="n">
        <v>5.6</v>
      </c>
      <c r="H407" t="n">
        <v>0</v>
      </c>
      <c r="I407" t="n">
        <v>0</v>
      </c>
      <c r="J407" t="n">
        <v>0</v>
      </c>
      <c r="K407" t="n">
        <v>0</v>
      </c>
      <c r="L407" t="n">
        <v>0</v>
      </c>
      <c r="M407" t="n">
        <v>0</v>
      </c>
      <c r="N407" t="n">
        <v>0</v>
      </c>
      <c r="O407" t="n">
        <v>0</v>
      </c>
      <c r="P407" t="n">
        <v>0</v>
      </c>
      <c r="Q407" t="n">
        <v>0</v>
      </c>
      <c r="R407" s="2" t="inlineStr"/>
    </row>
    <row r="408" ht="15" customHeight="1">
      <c r="A408" t="inlineStr">
        <is>
          <t>A 49116-2024</t>
        </is>
      </c>
      <c r="B408" s="1" t="n">
        <v>45594.6605787037</v>
      </c>
      <c r="C408" s="1" t="n">
        <v>46106</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6753-2022</t>
        </is>
      </c>
      <c r="B409" s="1" t="n">
        <v>44602</v>
      </c>
      <c r="C409" s="1" t="n">
        <v>46106</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46106</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39068-2022</t>
        </is>
      </c>
      <c r="B411" s="1" t="n">
        <v>44816</v>
      </c>
      <c r="C411" s="1" t="n">
        <v>46106</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66540-2021</t>
        </is>
      </c>
      <c r="B412" s="1" t="n">
        <v>44519</v>
      </c>
      <c r="C412" s="1" t="n">
        <v>46106</v>
      </c>
      <c r="D412" t="inlineStr">
        <is>
          <t>SÖDERMANLANDS LÄN</t>
        </is>
      </c>
      <c r="E412" t="inlineStr">
        <is>
          <t>KATRINEHOLM</t>
        </is>
      </c>
      <c r="F412" t="inlineStr">
        <is>
          <t>Holmen skog AB</t>
        </is>
      </c>
      <c r="G412" t="n">
        <v>0.4</v>
      </c>
      <c r="H412" t="n">
        <v>0</v>
      </c>
      <c r="I412" t="n">
        <v>0</v>
      </c>
      <c r="J412" t="n">
        <v>0</v>
      </c>
      <c r="K412" t="n">
        <v>0</v>
      </c>
      <c r="L412" t="n">
        <v>0</v>
      </c>
      <c r="M412" t="n">
        <v>0</v>
      </c>
      <c r="N412" t="n">
        <v>0</v>
      </c>
      <c r="O412" t="n">
        <v>0</v>
      </c>
      <c r="P412" t="n">
        <v>0</v>
      </c>
      <c r="Q412" t="n">
        <v>0</v>
      </c>
      <c r="R412" s="2" t="inlineStr"/>
    </row>
    <row r="413" ht="15" customHeight="1">
      <c r="A413" t="inlineStr">
        <is>
          <t>A 49743-2025</t>
        </is>
      </c>
      <c r="B413" s="1" t="n">
        <v>45940</v>
      </c>
      <c r="C413" s="1" t="n">
        <v>46106</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8288-2023</t>
        </is>
      </c>
      <c r="B414" s="1" t="n">
        <v>44974</v>
      </c>
      <c r="C414" s="1" t="n">
        <v>46106</v>
      </c>
      <c r="D414" t="inlineStr">
        <is>
          <t>SÖDERMANLANDS LÄN</t>
        </is>
      </c>
      <c r="E414" t="inlineStr">
        <is>
          <t>KATRINEHOLM</t>
        </is>
      </c>
      <c r="F414" t="inlineStr">
        <is>
          <t>Allmännings- och besparingsskogar</t>
        </is>
      </c>
      <c r="G414" t="n">
        <v>5.6</v>
      </c>
      <c r="H414" t="n">
        <v>0</v>
      </c>
      <c r="I414" t="n">
        <v>0</v>
      </c>
      <c r="J414" t="n">
        <v>0</v>
      </c>
      <c r="K414" t="n">
        <v>0</v>
      </c>
      <c r="L414" t="n">
        <v>0</v>
      </c>
      <c r="M414" t="n">
        <v>0</v>
      </c>
      <c r="N414" t="n">
        <v>0</v>
      </c>
      <c r="O414" t="n">
        <v>0</v>
      </c>
      <c r="P414" t="n">
        <v>0</v>
      </c>
      <c r="Q414" t="n">
        <v>0</v>
      </c>
      <c r="R414" s="2" t="inlineStr"/>
    </row>
    <row r="415" ht="15" customHeight="1">
      <c r="A415" t="inlineStr">
        <is>
          <t>A 45142-2021</t>
        </is>
      </c>
      <c r="B415" s="1" t="n">
        <v>44439</v>
      </c>
      <c r="C415" s="1" t="n">
        <v>46106</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5788-2022</t>
        </is>
      </c>
      <c r="B416" s="1" t="n">
        <v>44596.54990740741</v>
      </c>
      <c r="C416" s="1" t="n">
        <v>46106</v>
      </c>
      <c r="D416" t="inlineStr">
        <is>
          <t>SÖDERMANLANDS LÄN</t>
        </is>
      </c>
      <c r="E416" t="inlineStr">
        <is>
          <t>KATRINEHOLM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5790-2022</t>
        </is>
      </c>
      <c r="B417" s="1" t="n">
        <v>44596.55368055555</v>
      </c>
      <c r="C417" s="1" t="n">
        <v>46106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53387-2023</t>
        </is>
      </c>
      <c r="B418" s="1" t="n">
        <v>45229</v>
      </c>
      <c r="C418" s="1" t="n">
        <v>46106</v>
      </c>
      <c r="D418" t="inlineStr">
        <is>
          <t>SÖDERMANLANDS LÄN</t>
        </is>
      </c>
      <c r="E418" t="inlineStr">
        <is>
          <t>KATRINEHOLM</t>
        </is>
      </c>
      <c r="F418" t="inlineStr">
        <is>
          <t>Kyrkan</t>
        </is>
      </c>
      <c r="G418" t="n">
        <v>7.4</v>
      </c>
      <c r="H418" t="n">
        <v>0</v>
      </c>
      <c r="I418" t="n">
        <v>0</v>
      </c>
      <c r="J418" t="n">
        <v>0</v>
      </c>
      <c r="K418" t="n">
        <v>0</v>
      </c>
      <c r="L418" t="n">
        <v>0</v>
      </c>
      <c r="M418" t="n">
        <v>0</v>
      </c>
      <c r="N418" t="n">
        <v>0</v>
      </c>
      <c r="O418" t="n">
        <v>0</v>
      </c>
      <c r="P418" t="n">
        <v>0</v>
      </c>
      <c r="Q418" t="n">
        <v>0</v>
      </c>
      <c r="R418" s="2" t="inlineStr"/>
    </row>
    <row r="419" ht="15" customHeight="1">
      <c r="A419" t="inlineStr">
        <is>
          <t>A 55169-2022</t>
        </is>
      </c>
      <c r="B419" s="1" t="n">
        <v>44886</v>
      </c>
      <c r="C419" s="1" t="n">
        <v>46106</v>
      </c>
      <c r="D419" t="inlineStr">
        <is>
          <t>SÖDERMANLANDS LÄN</t>
        </is>
      </c>
      <c r="E419" t="inlineStr">
        <is>
          <t>KATRINEHOLM</t>
        </is>
      </c>
      <c r="G419" t="n">
        <v>1.3</v>
      </c>
      <c r="H419" t="n">
        <v>0</v>
      </c>
      <c r="I419" t="n">
        <v>0</v>
      </c>
      <c r="J419" t="n">
        <v>0</v>
      </c>
      <c r="K419" t="n">
        <v>0</v>
      </c>
      <c r="L419" t="n">
        <v>0</v>
      </c>
      <c r="M419" t="n">
        <v>0</v>
      </c>
      <c r="N419" t="n">
        <v>0</v>
      </c>
      <c r="O419" t="n">
        <v>0</v>
      </c>
      <c r="P419" t="n">
        <v>0</v>
      </c>
      <c r="Q419" t="n">
        <v>0</v>
      </c>
      <c r="R419" s="2" t="inlineStr"/>
    </row>
    <row r="420" ht="15" customHeight="1">
      <c r="A420" t="inlineStr">
        <is>
          <t>A 13612-2023</t>
        </is>
      </c>
      <c r="B420" s="1" t="n">
        <v>45006</v>
      </c>
      <c r="C420" s="1" t="n">
        <v>46106</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20949-2021</t>
        </is>
      </c>
      <c r="B421" s="1" t="n">
        <v>44319</v>
      </c>
      <c r="C421" s="1" t="n">
        <v>46106</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7747-2024</t>
        </is>
      </c>
      <c r="B422" s="1" t="n">
        <v>45348</v>
      </c>
      <c r="C422" s="1" t="n">
        <v>46106</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28427-2024</t>
        </is>
      </c>
      <c r="B423" s="1" t="n">
        <v>45477.64910879629</v>
      </c>
      <c r="C423" s="1" t="n">
        <v>46106</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4650-2024</t>
        </is>
      </c>
      <c r="B424" s="1" t="n">
        <v>45328</v>
      </c>
      <c r="C424" s="1" t="n">
        <v>46106</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4652-2024</t>
        </is>
      </c>
      <c r="B425" s="1" t="n">
        <v>45328</v>
      </c>
      <c r="C425" s="1" t="n">
        <v>46106</v>
      </c>
      <c r="D425" t="inlineStr">
        <is>
          <t>SÖDERMANLANDS LÄN</t>
        </is>
      </c>
      <c r="E425" t="inlineStr">
        <is>
          <t>KATRINEHOLM</t>
        </is>
      </c>
      <c r="F425" t="inlineStr">
        <is>
          <t>Övriga Aktiebolag</t>
        </is>
      </c>
      <c r="G425" t="n">
        <v>6.1</v>
      </c>
      <c r="H425" t="n">
        <v>0</v>
      </c>
      <c r="I425" t="n">
        <v>0</v>
      </c>
      <c r="J425" t="n">
        <v>0</v>
      </c>
      <c r="K425" t="n">
        <v>0</v>
      </c>
      <c r="L425" t="n">
        <v>0</v>
      </c>
      <c r="M425" t="n">
        <v>0</v>
      </c>
      <c r="N425" t="n">
        <v>0</v>
      </c>
      <c r="O425" t="n">
        <v>0</v>
      </c>
      <c r="P425" t="n">
        <v>0</v>
      </c>
      <c r="Q425" t="n">
        <v>0</v>
      </c>
      <c r="R425" s="2" t="inlineStr"/>
    </row>
    <row r="426" ht="15" customHeight="1">
      <c r="A426" t="inlineStr">
        <is>
          <t>A 48253-2022</t>
        </is>
      </c>
      <c r="B426" s="1" t="n">
        <v>44858</v>
      </c>
      <c r="C426" s="1" t="n">
        <v>46106</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32166-2022</t>
        </is>
      </c>
      <c r="B427" s="1" t="n">
        <v>44781</v>
      </c>
      <c r="C427" s="1" t="n">
        <v>46106</v>
      </c>
      <c r="D427" t="inlineStr">
        <is>
          <t>SÖDERMANLANDS LÄN</t>
        </is>
      </c>
      <c r="E427" t="inlineStr">
        <is>
          <t>KATRINEHOLM</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59384-2022</t>
        </is>
      </c>
      <c r="B428" s="1" t="n">
        <v>44905</v>
      </c>
      <c r="C428" s="1" t="n">
        <v>46106</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10996-2022</t>
        </is>
      </c>
      <c r="B429" s="1" t="n">
        <v>44628</v>
      </c>
      <c r="C429" s="1" t="n">
        <v>46106</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50934-2025</t>
        </is>
      </c>
      <c r="B430" s="1" t="n">
        <v>45946.69195601852</v>
      </c>
      <c r="C430" s="1" t="n">
        <v>46106</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25363-2023</t>
        </is>
      </c>
      <c r="B431" s="1" t="n">
        <v>45088.83840277778</v>
      </c>
      <c r="C431" s="1" t="n">
        <v>46106</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51774-2025</t>
        </is>
      </c>
      <c r="B432" s="1" t="n">
        <v>45951.65359953704</v>
      </c>
      <c r="C432" s="1" t="n">
        <v>46106</v>
      </c>
      <c r="D432" t="inlineStr">
        <is>
          <t>SÖDERMANLANDS LÄN</t>
        </is>
      </c>
      <c r="E432" t="inlineStr">
        <is>
          <t>KATRINEHOLM</t>
        </is>
      </c>
      <c r="F432" t="inlineStr">
        <is>
          <t>Allmännings- och besparingsskogar</t>
        </is>
      </c>
      <c r="G432" t="n">
        <v>3.7</v>
      </c>
      <c r="H432" t="n">
        <v>0</v>
      </c>
      <c r="I432" t="n">
        <v>0</v>
      </c>
      <c r="J432" t="n">
        <v>0</v>
      </c>
      <c r="K432" t="n">
        <v>0</v>
      </c>
      <c r="L432" t="n">
        <v>0</v>
      </c>
      <c r="M432" t="n">
        <v>0</v>
      </c>
      <c r="N432" t="n">
        <v>0</v>
      </c>
      <c r="O432" t="n">
        <v>0</v>
      </c>
      <c r="P432" t="n">
        <v>0</v>
      </c>
      <c r="Q432" t="n">
        <v>0</v>
      </c>
      <c r="R432" s="2" t="inlineStr"/>
    </row>
    <row r="433" ht="15" customHeight="1">
      <c r="A433" t="inlineStr">
        <is>
          <t>A 51783-2025</t>
        </is>
      </c>
      <c r="B433" s="1" t="n">
        <v>45951.67546296296</v>
      </c>
      <c r="C433" s="1" t="n">
        <v>46106</v>
      </c>
      <c r="D433" t="inlineStr">
        <is>
          <t>SÖDERMANLANDS LÄN</t>
        </is>
      </c>
      <c r="E433" t="inlineStr">
        <is>
          <t>KATRINEHOLM</t>
        </is>
      </c>
      <c r="F433" t="inlineStr">
        <is>
          <t>Allmännings- och besparingsskogar</t>
        </is>
      </c>
      <c r="G433" t="n">
        <v>5.8</v>
      </c>
      <c r="H433" t="n">
        <v>0</v>
      </c>
      <c r="I433" t="n">
        <v>0</v>
      </c>
      <c r="J433" t="n">
        <v>0</v>
      </c>
      <c r="K433" t="n">
        <v>0</v>
      </c>
      <c r="L433" t="n">
        <v>0</v>
      </c>
      <c r="M433" t="n">
        <v>0</v>
      </c>
      <c r="N433" t="n">
        <v>0</v>
      </c>
      <c r="O433" t="n">
        <v>0</v>
      </c>
      <c r="P433" t="n">
        <v>0</v>
      </c>
      <c r="Q433" t="n">
        <v>0</v>
      </c>
      <c r="R433" s="2" t="inlineStr"/>
    </row>
    <row r="434" ht="15" customHeight="1">
      <c r="A434" t="inlineStr">
        <is>
          <t>A 51367-2025</t>
        </is>
      </c>
      <c r="B434" s="1" t="n">
        <v>45950.44700231482</v>
      </c>
      <c r="C434" s="1" t="n">
        <v>46106</v>
      </c>
      <c r="D434" t="inlineStr">
        <is>
          <t>SÖDERMANLANDS LÄN</t>
        </is>
      </c>
      <c r="E434" t="inlineStr">
        <is>
          <t>KATRINEHOLM</t>
        </is>
      </c>
      <c r="G434" t="n">
        <v>2.7</v>
      </c>
      <c r="H434" t="n">
        <v>0</v>
      </c>
      <c r="I434" t="n">
        <v>0</v>
      </c>
      <c r="J434" t="n">
        <v>0</v>
      </c>
      <c r="K434" t="n">
        <v>0</v>
      </c>
      <c r="L434" t="n">
        <v>0</v>
      </c>
      <c r="M434" t="n">
        <v>0</v>
      </c>
      <c r="N434" t="n">
        <v>0</v>
      </c>
      <c r="O434" t="n">
        <v>0</v>
      </c>
      <c r="P434" t="n">
        <v>0</v>
      </c>
      <c r="Q434" t="n">
        <v>0</v>
      </c>
      <c r="R434" s="2" t="inlineStr"/>
    </row>
    <row r="435" ht="15" customHeight="1">
      <c r="A435" t="inlineStr">
        <is>
          <t>A 51780-2025</t>
        </is>
      </c>
      <c r="B435" s="1" t="n">
        <v>45951.65725694445</v>
      </c>
      <c r="C435" s="1" t="n">
        <v>46106</v>
      </c>
      <c r="D435" t="inlineStr">
        <is>
          <t>SÖDERMANLANDS LÄN</t>
        </is>
      </c>
      <c r="E435" t="inlineStr">
        <is>
          <t>KATRINEHOLM</t>
        </is>
      </c>
      <c r="F435" t="inlineStr">
        <is>
          <t>Allmännings- och besparingsskogar</t>
        </is>
      </c>
      <c r="G435" t="n">
        <v>1.3</v>
      </c>
      <c r="H435" t="n">
        <v>0</v>
      </c>
      <c r="I435" t="n">
        <v>0</v>
      </c>
      <c r="J435" t="n">
        <v>0</v>
      </c>
      <c r="K435" t="n">
        <v>0</v>
      </c>
      <c r="L435" t="n">
        <v>0</v>
      </c>
      <c r="M435" t="n">
        <v>0</v>
      </c>
      <c r="N435" t="n">
        <v>0</v>
      </c>
      <c r="O435" t="n">
        <v>0</v>
      </c>
      <c r="P435" t="n">
        <v>0</v>
      </c>
      <c r="Q435" t="n">
        <v>0</v>
      </c>
      <c r="R435" s="2" t="inlineStr"/>
    </row>
    <row r="436" ht="15" customHeight="1">
      <c r="A436" t="inlineStr">
        <is>
          <t>A 48398-2022</t>
        </is>
      </c>
      <c r="B436" s="1" t="n">
        <v>44858.60809027778</v>
      </c>
      <c r="C436" s="1" t="n">
        <v>46106</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15945-2024</t>
        </is>
      </c>
      <c r="B437" s="1" t="n">
        <v>45405.48912037037</v>
      </c>
      <c r="C437" s="1" t="n">
        <v>46106</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1329-2025</t>
        </is>
      </c>
      <c r="B438" s="1" t="n">
        <v>45667</v>
      </c>
      <c r="C438" s="1" t="n">
        <v>46106</v>
      </c>
      <c r="D438" t="inlineStr">
        <is>
          <t>SÖDERMANLANDS LÄN</t>
        </is>
      </c>
      <c r="E438" t="inlineStr">
        <is>
          <t>KATRINEHOLM</t>
        </is>
      </c>
      <c r="G438" t="n">
        <v>2.7</v>
      </c>
      <c r="H438" t="n">
        <v>0</v>
      </c>
      <c r="I438" t="n">
        <v>0</v>
      </c>
      <c r="J438" t="n">
        <v>0</v>
      </c>
      <c r="K438" t="n">
        <v>0</v>
      </c>
      <c r="L438" t="n">
        <v>0</v>
      </c>
      <c r="M438" t="n">
        <v>0</v>
      </c>
      <c r="N438" t="n">
        <v>0</v>
      </c>
      <c r="O438" t="n">
        <v>0</v>
      </c>
      <c r="P438" t="n">
        <v>0</v>
      </c>
      <c r="Q438" t="n">
        <v>0</v>
      </c>
      <c r="R438" s="2" t="inlineStr"/>
    </row>
    <row r="439" ht="15" customHeight="1">
      <c r="A439" t="inlineStr">
        <is>
          <t>A 52239-2025</t>
        </is>
      </c>
      <c r="B439" s="1" t="n">
        <v>45953.46193287037</v>
      </c>
      <c r="C439" s="1" t="n">
        <v>46106</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52242-2025</t>
        </is>
      </c>
      <c r="B440" s="1" t="n">
        <v>45953.46886574074</v>
      </c>
      <c r="C440" s="1" t="n">
        <v>46106</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52244-2025</t>
        </is>
      </c>
      <c r="B441" s="1" t="n">
        <v>45953</v>
      </c>
      <c r="C441" s="1" t="n">
        <v>46106</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8475-2023</t>
        </is>
      </c>
      <c r="B442" s="1" t="n">
        <v>44977</v>
      </c>
      <c r="C442" s="1" t="n">
        <v>46106</v>
      </c>
      <c r="D442" t="inlineStr">
        <is>
          <t>SÖDERMANLANDS LÄN</t>
        </is>
      </c>
      <c r="E442" t="inlineStr">
        <is>
          <t>KATRINEHOLM</t>
        </is>
      </c>
      <c r="F442" t="inlineStr">
        <is>
          <t>Allmännings- och besparingsskogar</t>
        </is>
      </c>
      <c r="G442" t="n">
        <v>8.1</v>
      </c>
      <c r="H442" t="n">
        <v>0</v>
      </c>
      <c r="I442" t="n">
        <v>0</v>
      </c>
      <c r="J442" t="n">
        <v>0</v>
      </c>
      <c r="K442" t="n">
        <v>0</v>
      </c>
      <c r="L442" t="n">
        <v>0</v>
      </c>
      <c r="M442" t="n">
        <v>0</v>
      </c>
      <c r="N442" t="n">
        <v>0</v>
      </c>
      <c r="O442" t="n">
        <v>0</v>
      </c>
      <c r="P442" t="n">
        <v>0</v>
      </c>
      <c r="Q442" t="n">
        <v>0</v>
      </c>
      <c r="R442" s="2" t="inlineStr"/>
    </row>
    <row r="443" ht="15" customHeight="1">
      <c r="A443" t="inlineStr">
        <is>
          <t>A 8518-2023</t>
        </is>
      </c>
      <c r="B443" s="1" t="n">
        <v>44977</v>
      </c>
      <c r="C443" s="1" t="n">
        <v>46106</v>
      </c>
      <c r="D443" t="inlineStr">
        <is>
          <t>SÖDERMANLANDS LÄN</t>
        </is>
      </c>
      <c r="E443" t="inlineStr">
        <is>
          <t>KATRINEHOLM</t>
        </is>
      </c>
      <c r="F443" t="inlineStr">
        <is>
          <t>Allmännings- och besparingsskogar</t>
        </is>
      </c>
      <c r="G443" t="n">
        <v>35.3</v>
      </c>
      <c r="H443" t="n">
        <v>0</v>
      </c>
      <c r="I443" t="n">
        <v>0</v>
      </c>
      <c r="J443" t="n">
        <v>0</v>
      </c>
      <c r="K443" t="n">
        <v>0</v>
      </c>
      <c r="L443" t="n">
        <v>0</v>
      </c>
      <c r="M443" t="n">
        <v>0</v>
      </c>
      <c r="N443" t="n">
        <v>0</v>
      </c>
      <c r="O443" t="n">
        <v>0</v>
      </c>
      <c r="P443" t="n">
        <v>0</v>
      </c>
      <c r="Q443" t="n">
        <v>0</v>
      </c>
      <c r="R443" s="2" t="inlineStr"/>
    </row>
    <row r="444" ht="15" customHeight="1">
      <c r="A444" t="inlineStr">
        <is>
          <t>A 46670-2021</t>
        </is>
      </c>
      <c r="B444" s="1" t="n">
        <v>44445</v>
      </c>
      <c r="C444" s="1" t="n">
        <v>46106</v>
      </c>
      <c r="D444" t="inlineStr">
        <is>
          <t>SÖDERMANLANDS LÄN</t>
        </is>
      </c>
      <c r="E444" t="inlineStr">
        <is>
          <t>KATRINEHOLM</t>
        </is>
      </c>
      <c r="G444" t="n">
        <v>4.4</v>
      </c>
      <c r="H444" t="n">
        <v>0</v>
      </c>
      <c r="I444" t="n">
        <v>0</v>
      </c>
      <c r="J444" t="n">
        <v>0</v>
      </c>
      <c r="K444" t="n">
        <v>0</v>
      </c>
      <c r="L444" t="n">
        <v>0</v>
      </c>
      <c r="M444" t="n">
        <v>0</v>
      </c>
      <c r="N444" t="n">
        <v>0</v>
      </c>
      <c r="O444" t="n">
        <v>0</v>
      </c>
      <c r="P444" t="n">
        <v>0</v>
      </c>
      <c r="Q444" t="n">
        <v>0</v>
      </c>
      <c r="R444" s="2" t="inlineStr"/>
    </row>
    <row r="445" ht="15" customHeight="1">
      <c r="A445" t="inlineStr">
        <is>
          <t>A 52744-2025</t>
        </is>
      </c>
      <c r="B445" s="1" t="n">
        <v>45957.38387731482</v>
      </c>
      <c r="C445" s="1" t="n">
        <v>46106</v>
      </c>
      <c r="D445" t="inlineStr">
        <is>
          <t>SÖDERMANLANDS LÄN</t>
        </is>
      </c>
      <c r="E445" t="inlineStr">
        <is>
          <t>KATRINEHOLM</t>
        </is>
      </c>
      <c r="G445" t="n">
        <v>4</v>
      </c>
      <c r="H445" t="n">
        <v>0</v>
      </c>
      <c r="I445" t="n">
        <v>0</v>
      </c>
      <c r="J445" t="n">
        <v>0</v>
      </c>
      <c r="K445" t="n">
        <v>0</v>
      </c>
      <c r="L445" t="n">
        <v>0</v>
      </c>
      <c r="M445" t="n">
        <v>0</v>
      </c>
      <c r="N445" t="n">
        <v>0</v>
      </c>
      <c r="O445" t="n">
        <v>0</v>
      </c>
      <c r="P445" t="n">
        <v>0</v>
      </c>
      <c r="Q445" t="n">
        <v>0</v>
      </c>
      <c r="R445" s="2" t="inlineStr"/>
    </row>
    <row r="446" ht="15" customHeight="1">
      <c r="A446" t="inlineStr">
        <is>
          <t>A 61911-2021</t>
        </is>
      </c>
      <c r="B446" s="1" t="n">
        <v>44502.35746527778</v>
      </c>
      <c r="C446" s="1" t="n">
        <v>46106</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43513-2023</t>
        </is>
      </c>
      <c r="B447" s="1" t="n">
        <v>45184</v>
      </c>
      <c r="C447" s="1" t="n">
        <v>46106</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49122-2024</t>
        </is>
      </c>
      <c r="B448" s="1" t="n">
        <v>45594</v>
      </c>
      <c r="C448" s="1" t="n">
        <v>46106</v>
      </c>
      <c r="D448" t="inlineStr">
        <is>
          <t>SÖDERMANLANDS LÄN</t>
        </is>
      </c>
      <c r="E448" t="inlineStr">
        <is>
          <t>KATRINEHOLM</t>
        </is>
      </c>
      <c r="G448" t="n">
        <v>19.4</v>
      </c>
      <c r="H448" t="n">
        <v>0</v>
      </c>
      <c r="I448" t="n">
        <v>0</v>
      </c>
      <c r="J448" t="n">
        <v>0</v>
      </c>
      <c r="K448" t="n">
        <v>0</v>
      </c>
      <c r="L448" t="n">
        <v>0</v>
      </c>
      <c r="M448" t="n">
        <v>0</v>
      </c>
      <c r="N448" t="n">
        <v>0</v>
      </c>
      <c r="O448" t="n">
        <v>0</v>
      </c>
      <c r="P448" t="n">
        <v>0</v>
      </c>
      <c r="Q448" t="n">
        <v>0</v>
      </c>
      <c r="R448" s="2" t="inlineStr"/>
    </row>
    <row r="449" ht="15" customHeight="1">
      <c r="A449" t="inlineStr">
        <is>
          <t>A 8791-2023</t>
        </is>
      </c>
      <c r="B449" s="1" t="n">
        <v>44978</v>
      </c>
      <c r="C449" s="1" t="n">
        <v>46106</v>
      </c>
      <c r="D449" t="inlineStr">
        <is>
          <t>SÖDERMANLANDS LÄN</t>
        </is>
      </c>
      <c r="E449" t="inlineStr">
        <is>
          <t>KATRINEHOLM</t>
        </is>
      </c>
      <c r="G449" t="n">
        <v>1.4</v>
      </c>
      <c r="H449" t="n">
        <v>0</v>
      </c>
      <c r="I449" t="n">
        <v>0</v>
      </c>
      <c r="J449" t="n">
        <v>0</v>
      </c>
      <c r="K449" t="n">
        <v>0</v>
      </c>
      <c r="L449" t="n">
        <v>0</v>
      </c>
      <c r="M449" t="n">
        <v>0</v>
      </c>
      <c r="N449" t="n">
        <v>0</v>
      </c>
      <c r="O449" t="n">
        <v>0</v>
      </c>
      <c r="P449" t="n">
        <v>0</v>
      </c>
      <c r="Q449" t="n">
        <v>0</v>
      </c>
      <c r="R449" s="2" t="inlineStr"/>
    </row>
    <row r="450" ht="15" customHeight="1">
      <c r="A450" t="inlineStr">
        <is>
          <t>A 55825-2022</t>
        </is>
      </c>
      <c r="B450" s="1" t="n">
        <v>44886</v>
      </c>
      <c r="C450" s="1" t="n">
        <v>46106</v>
      </c>
      <c r="D450" t="inlineStr">
        <is>
          <t>SÖDERMANLANDS LÄN</t>
        </is>
      </c>
      <c r="E450" t="inlineStr">
        <is>
          <t>KATRINEHOLM</t>
        </is>
      </c>
      <c r="G450" t="n">
        <v>1.3</v>
      </c>
      <c r="H450" t="n">
        <v>0</v>
      </c>
      <c r="I450" t="n">
        <v>0</v>
      </c>
      <c r="J450" t="n">
        <v>0</v>
      </c>
      <c r="K450" t="n">
        <v>0</v>
      </c>
      <c r="L450" t="n">
        <v>0</v>
      </c>
      <c r="M450" t="n">
        <v>0</v>
      </c>
      <c r="N450" t="n">
        <v>0</v>
      </c>
      <c r="O450" t="n">
        <v>0</v>
      </c>
      <c r="P450" t="n">
        <v>0</v>
      </c>
      <c r="Q450" t="n">
        <v>0</v>
      </c>
      <c r="R450" s="2" t="inlineStr"/>
    </row>
    <row r="451" ht="15" customHeight="1">
      <c r="A451" t="inlineStr">
        <is>
          <t>A 62954-2023</t>
        </is>
      </c>
      <c r="B451" s="1" t="n">
        <v>45272.55362268518</v>
      </c>
      <c r="C451" s="1" t="n">
        <v>46106</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53338-2025</t>
        </is>
      </c>
      <c r="B452" s="1" t="n">
        <v>45959.40447916667</v>
      </c>
      <c r="C452" s="1" t="n">
        <v>46106</v>
      </c>
      <c r="D452" t="inlineStr">
        <is>
          <t>SÖDERMANLANDS LÄN</t>
        </is>
      </c>
      <c r="E452" t="inlineStr">
        <is>
          <t>KATRINEHOLM</t>
        </is>
      </c>
      <c r="G452" t="n">
        <v>2.9</v>
      </c>
      <c r="H452" t="n">
        <v>0</v>
      </c>
      <c r="I452" t="n">
        <v>0</v>
      </c>
      <c r="J452" t="n">
        <v>0</v>
      </c>
      <c r="K452" t="n">
        <v>0</v>
      </c>
      <c r="L452" t="n">
        <v>0</v>
      </c>
      <c r="M452" t="n">
        <v>0</v>
      </c>
      <c r="N452" t="n">
        <v>0</v>
      </c>
      <c r="O452" t="n">
        <v>0</v>
      </c>
      <c r="P452" t="n">
        <v>0</v>
      </c>
      <c r="Q452" t="n">
        <v>0</v>
      </c>
      <c r="R452" s="2" t="inlineStr"/>
    </row>
    <row r="453" ht="15" customHeight="1">
      <c r="A453" t="inlineStr">
        <is>
          <t>A 7191-2023</t>
        </is>
      </c>
      <c r="B453" s="1" t="n">
        <v>44965</v>
      </c>
      <c r="C453" s="1" t="n">
        <v>46106</v>
      </c>
      <c r="D453" t="inlineStr">
        <is>
          <t>SÖDERMANLANDS LÄN</t>
        </is>
      </c>
      <c r="E453" t="inlineStr">
        <is>
          <t>KATRINEHOLM</t>
        </is>
      </c>
      <c r="G453" t="n">
        <v>14.1</v>
      </c>
      <c r="H453" t="n">
        <v>0</v>
      </c>
      <c r="I453" t="n">
        <v>0</v>
      </c>
      <c r="J453" t="n">
        <v>0</v>
      </c>
      <c r="K453" t="n">
        <v>0</v>
      </c>
      <c r="L453" t="n">
        <v>0</v>
      </c>
      <c r="M453" t="n">
        <v>0</v>
      </c>
      <c r="N453" t="n">
        <v>0</v>
      </c>
      <c r="O453" t="n">
        <v>0</v>
      </c>
      <c r="P453" t="n">
        <v>0</v>
      </c>
      <c r="Q453" t="n">
        <v>0</v>
      </c>
      <c r="R453" s="2" t="inlineStr"/>
    </row>
    <row r="454" ht="15" customHeight="1">
      <c r="A454" t="inlineStr">
        <is>
          <t>A 33469-2025</t>
        </is>
      </c>
      <c r="B454" s="1" t="n">
        <v>45841.48686342593</v>
      </c>
      <c r="C454" s="1" t="n">
        <v>46106</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54395-2025</t>
        </is>
      </c>
      <c r="B455" s="1" t="n">
        <v>45964</v>
      </c>
      <c r="C455" s="1" t="n">
        <v>46106</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41548-2025</t>
        </is>
      </c>
      <c r="B456" s="1" t="n">
        <v>45901</v>
      </c>
      <c r="C456" s="1" t="n">
        <v>46106</v>
      </c>
      <c r="D456" t="inlineStr">
        <is>
          <t>SÖDERMANLANDS LÄN</t>
        </is>
      </c>
      <c r="E456" t="inlineStr">
        <is>
          <t>KATRINEHOLM</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33101-2025</t>
        </is>
      </c>
      <c r="B457" s="1" t="n">
        <v>45840.47953703703</v>
      </c>
      <c r="C457" s="1" t="n">
        <v>46106</v>
      </c>
      <c r="D457" t="inlineStr">
        <is>
          <t>SÖDERMANLANDS LÄN</t>
        </is>
      </c>
      <c r="E457" t="inlineStr">
        <is>
          <t>KATRINEHOLM</t>
        </is>
      </c>
      <c r="G457" t="n">
        <v>4.4</v>
      </c>
      <c r="H457" t="n">
        <v>0</v>
      </c>
      <c r="I457" t="n">
        <v>0</v>
      </c>
      <c r="J457" t="n">
        <v>0</v>
      </c>
      <c r="K457" t="n">
        <v>0</v>
      </c>
      <c r="L457" t="n">
        <v>0</v>
      </c>
      <c r="M457" t="n">
        <v>0</v>
      </c>
      <c r="N457" t="n">
        <v>0</v>
      </c>
      <c r="O457" t="n">
        <v>0</v>
      </c>
      <c r="P457" t="n">
        <v>0</v>
      </c>
      <c r="Q457" t="n">
        <v>0</v>
      </c>
      <c r="R457" s="2" t="inlineStr"/>
    </row>
    <row r="458" ht="15" customHeight="1">
      <c r="A458" t="inlineStr">
        <is>
          <t>A 54359-2025</t>
        </is>
      </c>
      <c r="B458" s="1" t="n">
        <v>45964</v>
      </c>
      <c r="C458" s="1" t="n">
        <v>46106</v>
      </c>
      <c r="D458" t="inlineStr">
        <is>
          <t>SÖDERMANLANDS LÄN</t>
        </is>
      </c>
      <c r="E458" t="inlineStr">
        <is>
          <t>KATRINEHOLM</t>
        </is>
      </c>
      <c r="G458" t="n">
        <v>2.5</v>
      </c>
      <c r="H458" t="n">
        <v>0</v>
      </c>
      <c r="I458" t="n">
        <v>0</v>
      </c>
      <c r="J458" t="n">
        <v>0</v>
      </c>
      <c r="K458" t="n">
        <v>0</v>
      </c>
      <c r="L458" t="n">
        <v>0</v>
      </c>
      <c r="M458" t="n">
        <v>0</v>
      </c>
      <c r="N458" t="n">
        <v>0</v>
      </c>
      <c r="O458" t="n">
        <v>0</v>
      </c>
      <c r="P458" t="n">
        <v>0</v>
      </c>
      <c r="Q458" t="n">
        <v>0</v>
      </c>
      <c r="R458" s="2" t="inlineStr"/>
    </row>
    <row r="459" ht="15" customHeight="1">
      <c r="A459" t="inlineStr">
        <is>
          <t>A 37834-2023</t>
        </is>
      </c>
      <c r="B459" s="1" t="n">
        <v>45160</v>
      </c>
      <c r="C459" s="1" t="n">
        <v>46106</v>
      </c>
      <c r="D459" t="inlineStr">
        <is>
          <t>SÖDERMANLANDS LÄN</t>
        </is>
      </c>
      <c r="E459" t="inlineStr">
        <is>
          <t>KATRINEHOLM</t>
        </is>
      </c>
      <c r="F459" t="inlineStr">
        <is>
          <t>Kyrkan</t>
        </is>
      </c>
      <c r="G459" t="n">
        <v>2.8</v>
      </c>
      <c r="H459" t="n">
        <v>0</v>
      </c>
      <c r="I459" t="n">
        <v>0</v>
      </c>
      <c r="J459" t="n">
        <v>0</v>
      </c>
      <c r="K459" t="n">
        <v>0</v>
      </c>
      <c r="L459" t="n">
        <v>0</v>
      </c>
      <c r="M459" t="n">
        <v>0</v>
      </c>
      <c r="N459" t="n">
        <v>0</v>
      </c>
      <c r="O459" t="n">
        <v>0</v>
      </c>
      <c r="P459" t="n">
        <v>0</v>
      </c>
      <c r="Q459" t="n">
        <v>0</v>
      </c>
      <c r="R459" s="2" t="inlineStr"/>
    </row>
    <row r="460" ht="15" customHeight="1">
      <c r="A460" t="inlineStr">
        <is>
          <t>A 33096-2025</t>
        </is>
      </c>
      <c r="B460" s="1" t="n">
        <v>45840.47563657408</v>
      </c>
      <c r="C460" s="1" t="n">
        <v>46106</v>
      </c>
      <c r="D460" t="inlineStr">
        <is>
          <t>SÖDERMANLANDS LÄN</t>
        </is>
      </c>
      <c r="E460" t="inlineStr">
        <is>
          <t>KATRINEHOLM</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36210-2022</t>
        </is>
      </c>
      <c r="B461" s="1" t="n">
        <v>44803.47950231482</v>
      </c>
      <c r="C461" s="1" t="n">
        <v>46106</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33077-2025</t>
        </is>
      </c>
      <c r="B462" s="1" t="n">
        <v>45840.45864583334</v>
      </c>
      <c r="C462" s="1" t="n">
        <v>46106</v>
      </c>
      <c r="D462" t="inlineStr">
        <is>
          <t>SÖDERMANLANDS LÄN</t>
        </is>
      </c>
      <c r="E462" t="inlineStr">
        <is>
          <t>KATRINEHOLM</t>
        </is>
      </c>
      <c r="G462" t="n">
        <v>7</v>
      </c>
      <c r="H462" t="n">
        <v>0</v>
      </c>
      <c r="I462" t="n">
        <v>0</v>
      </c>
      <c r="J462" t="n">
        <v>0</v>
      </c>
      <c r="K462" t="n">
        <v>0</v>
      </c>
      <c r="L462" t="n">
        <v>0</v>
      </c>
      <c r="M462" t="n">
        <v>0</v>
      </c>
      <c r="N462" t="n">
        <v>0</v>
      </c>
      <c r="O462" t="n">
        <v>0</v>
      </c>
      <c r="P462" t="n">
        <v>0</v>
      </c>
      <c r="Q462" t="n">
        <v>0</v>
      </c>
      <c r="R462" s="2" t="inlineStr"/>
    </row>
    <row r="463" ht="15" customHeight="1">
      <c r="A463" t="inlineStr">
        <is>
          <t>A 33129-2025</t>
        </is>
      </c>
      <c r="B463" s="1" t="n">
        <v>45840.50141203704</v>
      </c>
      <c r="C463" s="1" t="n">
        <v>46106</v>
      </c>
      <c r="D463" t="inlineStr">
        <is>
          <t>SÖDERMANLANDS LÄN</t>
        </is>
      </c>
      <c r="E463" t="inlineStr">
        <is>
          <t>KATRINEHOLM</t>
        </is>
      </c>
      <c r="G463" t="n">
        <v>2.6</v>
      </c>
      <c r="H463" t="n">
        <v>0</v>
      </c>
      <c r="I463" t="n">
        <v>0</v>
      </c>
      <c r="J463" t="n">
        <v>0</v>
      </c>
      <c r="K463" t="n">
        <v>0</v>
      </c>
      <c r="L463" t="n">
        <v>0</v>
      </c>
      <c r="M463" t="n">
        <v>0</v>
      </c>
      <c r="N463" t="n">
        <v>0</v>
      </c>
      <c r="O463" t="n">
        <v>0</v>
      </c>
      <c r="P463" t="n">
        <v>0</v>
      </c>
      <c r="Q463" t="n">
        <v>0</v>
      </c>
      <c r="R463" s="2" t="inlineStr"/>
    </row>
    <row r="464" ht="15" customHeight="1">
      <c r="A464" t="inlineStr">
        <is>
          <t>A 19685-2022</t>
        </is>
      </c>
      <c r="B464" s="1" t="n">
        <v>44694</v>
      </c>
      <c r="C464" s="1" t="n">
        <v>46106</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54999-2025</t>
        </is>
      </c>
      <c r="B465" s="1" t="n">
        <v>45967.59880787037</v>
      </c>
      <c r="C465" s="1" t="n">
        <v>46106</v>
      </c>
      <c r="D465" t="inlineStr">
        <is>
          <t>SÖDERMANLANDS LÄN</t>
        </is>
      </c>
      <c r="E465" t="inlineStr">
        <is>
          <t>KATRINEHOLM</t>
        </is>
      </c>
      <c r="G465" t="n">
        <v>8.5</v>
      </c>
      <c r="H465" t="n">
        <v>0</v>
      </c>
      <c r="I465" t="n">
        <v>0</v>
      </c>
      <c r="J465" t="n">
        <v>0</v>
      </c>
      <c r="K465" t="n">
        <v>0</v>
      </c>
      <c r="L465" t="n">
        <v>0</v>
      </c>
      <c r="M465" t="n">
        <v>0</v>
      </c>
      <c r="N465" t="n">
        <v>0</v>
      </c>
      <c r="O465" t="n">
        <v>0</v>
      </c>
      <c r="P465" t="n">
        <v>0</v>
      </c>
      <c r="Q465" t="n">
        <v>0</v>
      </c>
      <c r="R465" s="2" t="inlineStr"/>
    </row>
    <row r="466" ht="15" customHeight="1">
      <c r="A466" t="inlineStr">
        <is>
          <t>A 8951-2024</t>
        </is>
      </c>
      <c r="B466" s="1" t="n">
        <v>45357.44695601852</v>
      </c>
      <c r="C466" s="1" t="n">
        <v>46106</v>
      </c>
      <c r="D466" t="inlineStr">
        <is>
          <t>SÖDERMANLANDS LÄN</t>
        </is>
      </c>
      <c r="E466" t="inlineStr">
        <is>
          <t>KATRINEHOLM</t>
        </is>
      </c>
      <c r="G466" t="n">
        <v>3.3</v>
      </c>
      <c r="H466" t="n">
        <v>0</v>
      </c>
      <c r="I466" t="n">
        <v>0</v>
      </c>
      <c r="J466" t="n">
        <v>0</v>
      </c>
      <c r="K466" t="n">
        <v>0</v>
      </c>
      <c r="L466" t="n">
        <v>0</v>
      </c>
      <c r="M466" t="n">
        <v>0</v>
      </c>
      <c r="N466" t="n">
        <v>0</v>
      </c>
      <c r="O466" t="n">
        <v>0</v>
      </c>
      <c r="P466" t="n">
        <v>0</v>
      </c>
      <c r="Q466" t="n">
        <v>0</v>
      </c>
      <c r="R466" s="2" t="inlineStr"/>
    </row>
    <row r="467" ht="15" customHeight="1">
      <c r="A467" t="inlineStr">
        <is>
          <t>A 14224-2024</t>
        </is>
      </c>
      <c r="B467" s="1" t="n">
        <v>45393</v>
      </c>
      <c r="C467" s="1" t="n">
        <v>46106</v>
      </c>
      <c r="D467" t="inlineStr">
        <is>
          <t>SÖDERMANLANDS LÄN</t>
        </is>
      </c>
      <c r="E467" t="inlineStr">
        <is>
          <t>KATRINEHOLM</t>
        </is>
      </c>
      <c r="F467" t="inlineStr">
        <is>
          <t>Sveaskog</t>
        </is>
      </c>
      <c r="G467" t="n">
        <v>7.6</v>
      </c>
      <c r="H467" t="n">
        <v>0</v>
      </c>
      <c r="I467" t="n">
        <v>0</v>
      </c>
      <c r="J467" t="n">
        <v>0</v>
      </c>
      <c r="K467" t="n">
        <v>0</v>
      </c>
      <c r="L467" t="n">
        <v>0</v>
      </c>
      <c r="M467" t="n">
        <v>0</v>
      </c>
      <c r="N467" t="n">
        <v>0</v>
      </c>
      <c r="O467" t="n">
        <v>0</v>
      </c>
      <c r="P467" t="n">
        <v>0</v>
      </c>
      <c r="Q467" t="n">
        <v>0</v>
      </c>
      <c r="R467" s="2" t="inlineStr"/>
    </row>
    <row r="468" ht="15" customHeight="1">
      <c r="A468" t="inlineStr">
        <is>
          <t>A 44989-2022</t>
        </is>
      </c>
      <c r="B468" s="1" t="n">
        <v>44840</v>
      </c>
      <c r="C468" s="1" t="n">
        <v>46106</v>
      </c>
      <c r="D468" t="inlineStr">
        <is>
          <t>SÖDERMANLANDS LÄN</t>
        </is>
      </c>
      <c r="E468" t="inlineStr">
        <is>
          <t>KATRINEHOLM</t>
        </is>
      </c>
      <c r="G468" t="n">
        <v>6</v>
      </c>
      <c r="H468" t="n">
        <v>0</v>
      </c>
      <c r="I468" t="n">
        <v>0</v>
      </c>
      <c r="J468" t="n">
        <v>0</v>
      </c>
      <c r="K468" t="n">
        <v>0</v>
      </c>
      <c r="L468" t="n">
        <v>0</v>
      </c>
      <c r="M468" t="n">
        <v>0</v>
      </c>
      <c r="N468" t="n">
        <v>0</v>
      </c>
      <c r="O468" t="n">
        <v>0</v>
      </c>
      <c r="P468" t="n">
        <v>0</v>
      </c>
      <c r="Q468" t="n">
        <v>0</v>
      </c>
      <c r="R468" s="2" t="inlineStr"/>
    </row>
    <row r="469" ht="15" customHeight="1">
      <c r="A469" t="inlineStr">
        <is>
          <t>A 57263-2022</t>
        </is>
      </c>
      <c r="B469" s="1" t="n">
        <v>44895</v>
      </c>
      <c r="C469" s="1" t="n">
        <v>46106</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55029-2025</t>
        </is>
      </c>
      <c r="B470" s="1" t="n">
        <v>45967.63784722222</v>
      </c>
      <c r="C470" s="1" t="n">
        <v>46106</v>
      </c>
      <c r="D470" t="inlineStr">
        <is>
          <t>SÖDERMANLANDS LÄN</t>
        </is>
      </c>
      <c r="E470" t="inlineStr">
        <is>
          <t>KATRINEHOLM</t>
        </is>
      </c>
      <c r="G470" t="n">
        <v>10.1</v>
      </c>
      <c r="H470" t="n">
        <v>0</v>
      </c>
      <c r="I470" t="n">
        <v>0</v>
      </c>
      <c r="J470" t="n">
        <v>0</v>
      </c>
      <c r="K470" t="n">
        <v>0</v>
      </c>
      <c r="L470" t="n">
        <v>0</v>
      </c>
      <c r="M470" t="n">
        <v>0</v>
      </c>
      <c r="N470" t="n">
        <v>0</v>
      </c>
      <c r="O470" t="n">
        <v>0</v>
      </c>
      <c r="P470" t="n">
        <v>0</v>
      </c>
      <c r="Q470" t="n">
        <v>0</v>
      </c>
      <c r="R470" s="2" t="inlineStr"/>
    </row>
    <row r="471" ht="15" customHeight="1">
      <c r="A471" t="inlineStr">
        <is>
          <t>A 49218-2023</t>
        </is>
      </c>
      <c r="B471" s="1" t="n">
        <v>45205</v>
      </c>
      <c r="C471" s="1" t="n">
        <v>46106</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4679-2023</t>
        </is>
      </c>
      <c r="B472" s="1" t="n">
        <v>44957.44885416667</v>
      </c>
      <c r="C472" s="1" t="n">
        <v>46106</v>
      </c>
      <c r="D472" t="inlineStr">
        <is>
          <t>SÖDERMANLANDS LÄN</t>
        </is>
      </c>
      <c r="E472" t="inlineStr">
        <is>
          <t>KATRINEHOLM</t>
        </is>
      </c>
      <c r="G472" t="n">
        <v>5.3</v>
      </c>
      <c r="H472" t="n">
        <v>0</v>
      </c>
      <c r="I472" t="n">
        <v>0</v>
      </c>
      <c r="J472" t="n">
        <v>0</v>
      </c>
      <c r="K472" t="n">
        <v>0</v>
      </c>
      <c r="L472" t="n">
        <v>0</v>
      </c>
      <c r="M472" t="n">
        <v>0</v>
      </c>
      <c r="N472" t="n">
        <v>0</v>
      </c>
      <c r="O472" t="n">
        <v>0</v>
      </c>
      <c r="P472" t="n">
        <v>0</v>
      </c>
      <c r="Q472" t="n">
        <v>0</v>
      </c>
      <c r="R472" s="2" t="inlineStr"/>
    </row>
    <row r="473" ht="15" customHeight="1">
      <c r="A473" t="inlineStr">
        <is>
          <t>A 2320-2023</t>
        </is>
      </c>
      <c r="B473" s="1" t="n">
        <v>44942.58850694444</v>
      </c>
      <c r="C473" s="1" t="n">
        <v>46106</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2325-2023</t>
        </is>
      </c>
      <c r="B474" s="1" t="n">
        <v>44942</v>
      </c>
      <c r="C474" s="1" t="n">
        <v>46106</v>
      </c>
      <c r="D474" t="inlineStr">
        <is>
          <t>SÖDERMANLANDS LÄN</t>
        </is>
      </c>
      <c r="E474" t="inlineStr">
        <is>
          <t>KATRINEHOLM</t>
        </is>
      </c>
      <c r="G474" t="n">
        <v>5.6</v>
      </c>
      <c r="H474" t="n">
        <v>0</v>
      </c>
      <c r="I474" t="n">
        <v>0</v>
      </c>
      <c r="J474" t="n">
        <v>0</v>
      </c>
      <c r="K474" t="n">
        <v>0</v>
      </c>
      <c r="L474" t="n">
        <v>0</v>
      </c>
      <c r="M474" t="n">
        <v>0</v>
      </c>
      <c r="N474" t="n">
        <v>0</v>
      </c>
      <c r="O474" t="n">
        <v>0</v>
      </c>
      <c r="P474" t="n">
        <v>0</v>
      </c>
      <c r="Q474" t="n">
        <v>0</v>
      </c>
      <c r="R474" s="2" t="inlineStr"/>
    </row>
    <row r="475" ht="15" customHeight="1">
      <c r="A475" t="inlineStr">
        <is>
          <t>A 55829-2025</t>
        </is>
      </c>
      <c r="B475" s="1" t="n">
        <v>45972.79274305556</v>
      </c>
      <c r="C475" s="1" t="n">
        <v>46106</v>
      </c>
      <c r="D475" t="inlineStr">
        <is>
          <t>SÖDERMANLANDS LÄN</t>
        </is>
      </c>
      <c r="E475" t="inlineStr">
        <is>
          <t>KATRINEHOLM</t>
        </is>
      </c>
      <c r="G475" t="n">
        <v>3.2</v>
      </c>
      <c r="H475" t="n">
        <v>0</v>
      </c>
      <c r="I475" t="n">
        <v>0</v>
      </c>
      <c r="J475" t="n">
        <v>0</v>
      </c>
      <c r="K475" t="n">
        <v>0</v>
      </c>
      <c r="L475" t="n">
        <v>0</v>
      </c>
      <c r="M475" t="n">
        <v>0</v>
      </c>
      <c r="N475" t="n">
        <v>0</v>
      </c>
      <c r="O475" t="n">
        <v>0</v>
      </c>
      <c r="P475" t="n">
        <v>0</v>
      </c>
      <c r="Q475" t="n">
        <v>0</v>
      </c>
      <c r="R475" s="2" t="inlineStr"/>
    </row>
    <row r="476" ht="15" customHeight="1">
      <c r="A476" t="inlineStr">
        <is>
          <t>A 55832-2025</t>
        </is>
      </c>
      <c r="B476" s="1" t="n">
        <v>45972.81768518518</v>
      </c>
      <c r="C476" s="1" t="n">
        <v>46106</v>
      </c>
      <c r="D476" t="inlineStr">
        <is>
          <t>SÖDERMANLANDS LÄN</t>
        </is>
      </c>
      <c r="E476" t="inlineStr">
        <is>
          <t>KATRINEHOLM</t>
        </is>
      </c>
      <c r="G476" t="n">
        <v>2</v>
      </c>
      <c r="H476" t="n">
        <v>0</v>
      </c>
      <c r="I476" t="n">
        <v>0</v>
      </c>
      <c r="J476" t="n">
        <v>0</v>
      </c>
      <c r="K476" t="n">
        <v>0</v>
      </c>
      <c r="L476" t="n">
        <v>0</v>
      </c>
      <c r="M476" t="n">
        <v>0</v>
      </c>
      <c r="N476" t="n">
        <v>0</v>
      </c>
      <c r="O476" t="n">
        <v>0</v>
      </c>
      <c r="P476" t="n">
        <v>0</v>
      </c>
      <c r="Q476" t="n">
        <v>0</v>
      </c>
      <c r="R476" s="2" t="inlineStr"/>
    </row>
    <row r="477" ht="15" customHeight="1">
      <c r="A477" t="inlineStr">
        <is>
          <t>A 55831-2025</t>
        </is>
      </c>
      <c r="B477" s="1" t="n">
        <v>45972.81034722222</v>
      </c>
      <c r="C477" s="1" t="n">
        <v>46106</v>
      </c>
      <c r="D477" t="inlineStr">
        <is>
          <t>SÖDERMANLANDS LÄN</t>
        </is>
      </c>
      <c r="E477" t="inlineStr">
        <is>
          <t>KATRINEHOLM</t>
        </is>
      </c>
      <c r="G477" t="n">
        <v>6.2</v>
      </c>
      <c r="H477" t="n">
        <v>0</v>
      </c>
      <c r="I477" t="n">
        <v>0</v>
      </c>
      <c r="J477" t="n">
        <v>0</v>
      </c>
      <c r="K477" t="n">
        <v>0</v>
      </c>
      <c r="L477" t="n">
        <v>0</v>
      </c>
      <c r="M477" t="n">
        <v>0</v>
      </c>
      <c r="N477" t="n">
        <v>0</v>
      </c>
      <c r="O477" t="n">
        <v>0</v>
      </c>
      <c r="P477" t="n">
        <v>0</v>
      </c>
      <c r="Q477" t="n">
        <v>0</v>
      </c>
      <c r="R477" s="2" t="inlineStr"/>
    </row>
    <row r="478" ht="15" customHeight="1">
      <c r="A478" t="inlineStr">
        <is>
          <t>A 56330-2025</t>
        </is>
      </c>
      <c r="B478" s="1" t="n">
        <v>45974.64094907408</v>
      </c>
      <c r="C478" s="1" t="n">
        <v>46106</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56597-2025</t>
        </is>
      </c>
      <c r="B479" s="1" t="n">
        <v>45975.57271990741</v>
      </c>
      <c r="C479" s="1" t="n">
        <v>46106</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55732-2023</t>
        </is>
      </c>
      <c r="B480" s="1" t="n">
        <v>45239</v>
      </c>
      <c r="C480" s="1" t="n">
        <v>46106</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17792-2025</t>
        </is>
      </c>
      <c r="B481" s="1" t="n">
        <v>45758</v>
      </c>
      <c r="C481" s="1" t="n">
        <v>46106</v>
      </c>
      <c r="D481" t="inlineStr">
        <is>
          <t>SÖDERMANLANDS LÄN</t>
        </is>
      </c>
      <c r="E481" t="inlineStr">
        <is>
          <t>KATRINEHOLM</t>
        </is>
      </c>
      <c r="G481" t="n">
        <v>4.2</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46106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53860-2021</t>
        </is>
      </c>
      <c r="B483" s="1" t="n">
        <v>44467</v>
      </c>
      <c r="C483" s="1" t="n">
        <v>46106</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20533-2023</t>
        </is>
      </c>
      <c r="B484" s="1" t="n">
        <v>45057</v>
      </c>
      <c r="C484" s="1" t="n">
        <v>46106</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c r="T484">
        <f>HYPERLINK("https://klasma.github.io/Logging_0483/kartor/A 20533-2023 karta.png", "A 20533-2023")</f>
        <v/>
      </c>
      <c r="V484">
        <f>HYPERLINK("https://klasma.github.io/Logging_0483/klagomål/A 20533-2023 FSC-klagomål.docx", "A 20533-2023")</f>
        <v/>
      </c>
      <c r="W484">
        <f>HYPERLINK("https://klasma.github.io/Logging_0483/klagomålsmail/A 20533-2023 FSC-klagomål mail.docx", "A 20533-2023")</f>
        <v/>
      </c>
      <c r="X484">
        <f>HYPERLINK("https://klasma.github.io/Logging_0483/tillsyn/A 20533-2023 tillsynsbegäran.docx", "A 20533-2023")</f>
        <v/>
      </c>
      <c r="Y484">
        <f>HYPERLINK("https://klasma.github.io/Logging_0483/tillsynsmail/A 20533-2023 tillsynsbegäran mail.docx", "A 20533-2023")</f>
        <v/>
      </c>
      <c r="Z484">
        <f>HYPERLINK("https://klasma.github.io/Logging_0483/fåglar/A 20533-2023 prioriterade fågelarter.docx", "A 20533-2023")</f>
        <v/>
      </c>
    </row>
    <row r="485" ht="15" customHeight="1">
      <c r="A485" t="inlineStr">
        <is>
          <t>A 57323-2025</t>
        </is>
      </c>
      <c r="B485" s="1" t="n">
        <v>45980.32501157407</v>
      </c>
      <c r="C485" s="1" t="n">
        <v>46106</v>
      </c>
      <c r="D485" t="inlineStr">
        <is>
          <t>SÖDERMANLANDS LÄN</t>
        </is>
      </c>
      <c r="E485" t="inlineStr">
        <is>
          <t>KATRINEHOLM</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57975-2025</t>
        </is>
      </c>
      <c r="B486" s="1" t="n">
        <v>45981</v>
      </c>
      <c r="C486" s="1" t="n">
        <v>46106</v>
      </c>
      <c r="D486" t="inlineStr">
        <is>
          <t>SÖDERMANLANDS LÄN</t>
        </is>
      </c>
      <c r="E486" t="inlineStr">
        <is>
          <t>KATRINEHOLM</t>
        </is>
      </c>
      <c r="G486" t="n">
        <v>3.1</v>
      </c>
      <c r="H486" t="n">
        <v>0</v>
      </c>
      <c r="I486" t="n">
        <v>0</v>
      </c>
      <c r="J486" t="n">
        <v>0</v>
      </c>
      <c r="K486" t="n">
        <v>0</v>
      </c>
      <c r="L486" t="n">
        <v>0</v>
      </c>
      <c r="M486" t="n">
        <v>0</v>
      </c>
      <c r="N486" t="n">
        <v>0</v>
      </c>
      <c r="O486" t="n">
        <v>0</v>
      </c>
      <c r="P486" t="n">
        <v>0</v>
      </c>
      <c r="Q486" t="n">
        <v>0</v>
      </c>
      <c r="R486" s="2" t="inlineStr"/>
    </row>
    <row r="487" ht="15" customHeight="1">
      <c r="A487" t="inlineStr">
        <is>
          <t>A 29702-2021</t>
        </is>
      </c>
      <c r="B487" s="1" t="n">
        <v>44362</v>
      </c>
      <c r="C487" s="1" t="n">
        <v>46106</v>
      </c>
      <c r="D487" t="inlineStr">
        <is>
          <t>SÖDERMANLANDS LÄN</t>
        </is>
      </c>
      <c r="E487" t="inlineStr">
        <is>
          <t>KATRINEHOLM</t>
        </is>
      </c>
      <c r="F487" t="inlineStr">
        <is>
          <t>Holmen skog AB</t>
        </is>
      </c>
      <c r="G487" t="n">
        <v>0.3</v>
      </c>
      <c r="H487" t="n">
        <v>0</v>
      </c>
      <c r="I487" t="n">
        <v>0</v>
      </c>
      <c r="J487" t="n">
        <v>0</v>
      </c>
      <c r="K487" t="n">
        <v>0</v>
      </c>
      <c r="L487" t="n">
        <v>0</v>
      </c>
      <c r="M487" t="n">
        <v>0</v>
      </c>
      <c r="N487" t="n">
        <v>0</v>
      </c>
      <c r="O487" t="n">
        <v>0</v>
      </c>
      <c r="P487" t="n">
        <v>0</v>
      </c>
      <c r="Q487" t="n">
        <v>0</v>
      </c>
      <c r="R487" s="2" t="inlineStr"/>
    </row>
    <row r="488" ht="15" customHeight="1">
      <c r="A488" t="inlineStr">
        <is>
          <t>A 4662-2023</t>
        </is>
      </c>
      <c r="B488" s="1" t="n">
        <v>44957</v>
      </c>
      <c r="C488" s="1" t="n">
        <v>46106</v>
      </c>
      <c r="D488" t="inlineStr">
        <is>
          <t>SÖDERMANLANDS LÄN</t>
        </is>
      </c>
      <c r="E488" t="inlineStr">
        <is>
          <t>KATRINEHOLM</t>
        </is>
      </c>
      <c r="F488" t="inlineStr">
        <is>
          <t>Holmen skog AB</t>
        </is>
      </c>
      <c r="G488" t="n">
        <v>0.4</v>
      </c>
      <c r="H488" t="n">
        <v>0</v>
      </c>
      <c r="I488" t="n">
        <v>0</v>
      </c>
      <c r="J488" t="n">
        <v>0</v>
      </c>
      <c r="K488" t="n">
        <v>0</v>
      </c>
      <c r="L488" t="n">
        <v>0</v>
      </c>
      <c r="M488" t="n">
        <v>0</v>
      </c>
      <c r="N488" t="n">
        <v>0</v>
      </c>
      <c r="O488" t="n">
        <v>0</v>
      </c>
      <c r="P488" t="n">
        <v>0</v>
      </c>
      <c r="Q488" t="n">
        <v>0</v>
      </c>
      <c r="R488" s="2" t="inlineStr"/>
    </row>
    <row r="489" ht="15" customHeight="1">
      <c r="A489" t="inlineStr">
        <is>
          <t>A 22304-2024</t>
        </is>
      </c>
      <c r="B489" s="1" t="n">
        <v>45446.56626157407</v>
      </c>
      <c r="C489" s="1" t="n">
        <v>46106</v>
      </c>
      <c r="D489" t="inlineStr">
        <is>
          <t>SÖDERMANLANDS LÄN</t>
        </is>
      </c>
      <c r="E489" t="inlineStr">
        <is>
          <t>KATRINEHOLM</t>
        </is>
      </c>
      <c r="F489" t="inlineStr">
        <is>
          <t>Kommuner</t>
        </is>
      </c>
      <c r="G489" t="n">
        <v>0.7</v>
      </c>
      <c r="H489" t="n">
        <v>0</v>
      </c>
      <c r="I489" t="n">
        <v>0</v>
      </c>
      <c r="J489" t="n">
        <v>0</v>
      </c>
      <c r="K489" t="n">
        <v>0</v>
      </c>
      <c r="L489" t="n">
        <v>0</v>
      </c>
      <c r="M489" t="n">
        <v>0</v>
      </c>
      <c r="N489" t="n">
        <v>0</v>
      </c>
      <c r="O489" t="n">
        <v>0</v>
      </c>
      <c r="P489" t="n">
        <v>0</v>
      </c>
      <c r="Q489" t="n">
        <v>0</v>
      </c>
      <c r="R489" s="2" t="inlineStr"/>
    </row>
    <row r="490" ht="15" customHeight="1">
      <c r="A490" t="inlineStr">
        <is>
          <t>A 13171-2024</t>
        </is>
      </c>
      <c r="B490" s="1" t="n">
        <v>45386</v>
      </c>
      <c r="C490" s="1" t="n">
        <v>46106</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33752-2023</t>
        </is>
      </c>
      <c r="B491" s="1" t="n">
        <v>45120</v>
      </c>
      <c r="C491" s="1" t="n">
        <v>46106</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28652-2024</t>
        </is>
      </c>
      <c r="B492" s="1" t="n">
        <v>45478</v>
      </c>
      <c r="C492" s="1" t="n">
        <v>46106</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9936-2023</t>
        </is>
      </c>
      <c r="B493" s="1" t="n">
        <v>44985.47086805556</v>
      </c>
      <c r="C493" s="1" t="n">
        <v>46106</v>
      </c>
      <c r="D493" t="inlineStr">
        <is>
          <t>SÖDERMANLANDS LÄN</t>
        </is>
      </c>
      <c r="E493" t="inlineStr">
        <is>
          <t>KATRINEHOLM</t>
        </is>
      </c>
      <c r="G493" t="n">
        <v>0.4</v>
      </c>
      <c r="H493" t="n">
        <v>0</v>
      </c>
      <c r="I493" t="n">
        <v>0</v>
      </c>
      <c r="J493" t="n">
        <v>0</v>
      </c>
      <c r="K493" t="n">
        <v>0</v>
      </c>
      <c r="L493" t="n">
        <v>0</v>
      </c>
      <c r="M493" t="n">
        <v>0</v>
      </c>
      <c r="N493" t="n">
        <v>0</v>
      </c>
      <c r="O493" t="n">
        <v>0</v>
      </c>
      <c r="P493" t="n">
        <v>0</v>
      </c>
      <c r="Q493" t="n">
        <v>0</v>
      </c>
      <c r="R493" s="2" t="inlineStr"/>
    </row>
    <row r="494" ht="15" customHeight="1">
      <c r="A494" t="inlineStr">
        <is>
          <t>A 9192-2023</t>
        </is>
      </c>
      <c r="B494" s="1" t="n">
        <v>44980</v>
      </c>
      <c r="C494" s="1" t="n">
        <v>46106</v>
      </c>
      <c r="D494" t="inlineStr">
        <is>
          <t>SÖDERMANLANDS LÄN</t>
        </is>
      </c>
      <c r="E494" t="inlineStr">
        <is>
          <t>KATRINEHOLM</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72984-2021</t>
        </is>
      </c>
      <c r="B495" s="1" t="n">
        <v>44549.74741898148</v>
      </c>
      <c r="C495" s="1" t="n">
        <v>46106</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33712-2022</t>
        </is>
      </c>
      <c r="B496" s="1" t="n">
        <v>44789</v>
      </c>
      <c r="C496" s="1" t="n">
        <v>46106</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33717-2022</t>
        </is>
      </c>
      <c r="B497" s="1" t="n">
        <v>44789</v>
      </c>
      <c r="C497" s="1" t="n">
        <v>46106</v>
      </c>
      <c r="D497" t="inlineStr">
        <is>
          <t>SÖDERMANLANDS LÄN</t>
        </is>
      </c>
      <c r="E497" t="inlineStr">
        <is>
          <t>KATRINEHOLM</t>
        </is>
      </c>
      <c r="G497" t="n">
        <v>4.4</v>
      </c>
      <c r="H497" t="n">
        <v>0</v>
      </c>
      <c r="I497" t="n">
        <v>0</v>
      </c>
      <c r="J497" t="n">
        <v>0</v>
      </c>
      <c r="K497" t="n">
        <v>0</v>
      </c>
      <c r="L497" t="n">
        <v>0</v>
      </c>
      <c r="M497" t="n">
        <v>0</v>
      </c>
      <c r="N497" t="n">
        <v>0</v>
      </c>
      <c r="O497" t="n">
        <v>0</v>
      </c>
      <c r="P497" t="n">
        <v>0</v>
      </c>
      <c r="Q497" t="n">
        <v>0</v>
      </c>
      <c r="R497" s="2" t="inlineStr"/>
    </row>
    <row r="498" ht="15" customHeight="1">
      <c r="A498" t="inlineStr">
        <is>
          <t>A 51440-2024</t>
        </is>
      </c>
      <c r="B498" s="1" t="n">
        <v>45604</v>
      </c>
      <c r="C498" s="1" t="n">
        <v>46106</v>
      </c>
      <c r="D498" t="inlineStr">
        <is>
          <t>SÖDERMANLANDS LÄN</t>
        </is>
      </c>
      <c r="E498" t="inlineStr">
        <is>
          <t>KATRINEHOLM</t>
        </is>
      </c>
      <c r="G498" t="n">
        <v>4.7</v>
      </c>
      <c r="H498" t="n">
        <v>0</v>
      </c>
      <c r="I498" t="n">
        <v>0</v>
      </c>
      <c r="J498" t="n">
        <v>0</v>
      </c>
      <c r="K498" t="n">
        <v>0</v>
      </c>
      <c r="L498" t="n">
        <v>0</v>
      </c>
      <c r="M498" t="n">
        <v>0</v>
      </c>
      <c r="N498" t="n">
        <v>0</v>
      </c>
      <c r="O498" t="n">
        <v>0</v>
      </c>
      <c r="P498" t="n">
        <v>0</v>
      </c>
      <c r="Q498" t="n">
        <v>0</v>
      </c>
      <c r="R498" s="2" t="inlineStr"/>
    </row>
    <row r="499" ht="15" customHeight="1">
      <c r="A499" t="inlineStr">
        <is>
          <t>A 51260-2021</t>
        </is>
      </c>
      <c r="B499" s="1" t="n">
        <v>44461</v>
      </c>
      <c r="C499" s="1" t="n">
        <v>46106</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38879-2024</t>
        </is>
      </c>
      <c r="B500" s="1" t="n">
        <v>45547</v>
      </c>
      <c r="C500" s="1" t="n">
        <v>46106</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42945-2023</t>
        </is>
      </c>
      <c r="B501" s="1" t="n">
        <v>45182.5793287037</v>
      </c>
      <c r="C501" s="1" t="n">
        <v>46106</v>
      </c>
      <c r="D501" t="inlineStr">
        <is>
          <t>SÖDERMANLANDS LÄN</t>
        </is>
      </c>
      <c r="E501" t="inlineStr">
        <is>
          <t>KATRINEHOLM</t>
        </is>
      </c>
      <c r="F501" t="inlineStr">
        <is>
          <t>Övriga Aktiebolag</t>
        </is>
      </c>
      <c r="G501" t="n">
        <v>2.2</v>
      </c>
      <c r="H501" t="n">
        <v>0</v>
      </c>
      <c r="I501" t="n">
        <v>0</v>
      </c>
      <c r="J501" t="n">
        <v>0</v>
      </c>
      <c r="K501" t="n">
        <v>0</v>
      </c>
      <c r="L501" t="n">
        <v>0</v>
      </c>
      <c r="M501" t="n">
        <v>0</v>
      </c>
      <c r="N501" t="n">
        <v>0</v>
      </c>
      <c r="O501" t="n">
        <v>0</v>
      </c>
      <c r="P501" t="n">
        <v>0</v>
      </c>
      <c r="Q501" t="n">
        <v>0</v>
      </c>
      <c r="R501" s="2" t="inlineStr"/>
    </row>
    <row r="502" ht="15" customHeight="1">
      <c r="A502" t="inlineStr">
        <is>
          <t>A 42962-2023</t>
        </is>
      </c>
      <c r="B502" s="1" t="n">
        <v>45182</v>
      </c>
      <c r="C502" s="1" t="n">
        <v>46106</v>
      </c>
      <c r="D502" t="inlineStr">
        <is>
          <t>SÖDERMANLANDS LÄN</t>
        </is>
      </c>
      <c r="E502" t="inlineStr">
        <is>
          <t>KATRINEHOLM</t>
        </is>
      </c>
      <c r="F502" t="inlineStr">
        <is>
          <t>Övriga Aktiebolag</t>
        </is>
      </c>
      <c r="G502" t="n">
        <v>10.6</v>
      </c>
      <c r="H502" t="n">
        <v>0</v>
      </c>
      <c r="I502" t="n">
        <v>0</v>
      </c>
      <c r="J502" t="n">
        <v>0</v>
      </c>
      <c r="K502" t="n">
        <v>0</v>
      </c>
      <c r="L502" t="n">
        <v>0</v>
      </c>
      <c r="M502" t="n">
        <v>0</v>
      </c>
      <c r="N502" t="n">
        <v>0</v>
      </c>
      <c r="O502" t="n">
        <v>0</v>
      </c>
      <c r="P502" t="n">
        <v>0</v>
      </c>
      <c r="Q502" t="n">
        <v>0</v>
      </c>
      <c r="R502" s="2" t="inlineStr"/>
    </row>
    <row r="503" ht="15" customHeight="1">
      <c r="A503" t="inlineStr">
        <is>
          <t>A 33538-2022</t>
        </is>
      </c>
      <c r="B503" s="1" t="n">
        <v>44789</v>
      </c>
      <c r="C503" s="1" t="n">
        <v>46106</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16605-2025</t>
        </is>
      </c>
      <c r="B504" s="1" t="n">
        <v>45753.61614583333</v>
      </c>
      <c r="C504" s="1" t="n">
        <v>46106</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73409-2021</t>
        </is>
      </c>
      <c r="B505" s="1" t="n">
        <v>44551</v>
      </c>
      <c r="C505" s="1" t="n">
        <v>46106</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73415-2021</t>
        </is>
      </c>
      <c r="B506" s="1" t="n">
        <v>44551</v>
      </c>
      <c r="C506" s="1" t="n">
        <v>46106</v>
      </c>
      <c r="D506" t="inlineStr">
        <is>
          <t>SÖDERMANLANDS LÄN</t>
        </is>
      </c>
      <c r="E506" t="inlineStr">
        <is>
          <t>KATRINEHOLM</t>
        </is>
      </c>
      <c r="G506" t="n">
        <v>3.2</v>
      </c>
      <c r="H506" t="n">
        <v>0</v>
      </c>
      <c r="I506" t="n">
        <v>0</v>
      </c>
      <c r="J506" t="n">
        <v>0</v>
      </c>
      <c r="K506" t="n">
        <v>0</v>
      </c>
      <c r="L506" t="n">
        <v>0</v>
      </c>
      <c r="M506" t="n">
        <v>0</v>
      </c>
      <c r="N506" t="n">
        <v>0</v>
      </c>
      <c r="O506" t="n">
        <v>0</v>
      </c>
      <c r="P506" t="n">
        <v>0</v>
      </c>
      <c r="Q506" t="n">
        <v>0</v>
      </c>
      <c r="R506" s="2" t="inlineStr"/>
    </row>
    <row r="507" ht="15" customHeight="1">
      <c r="A507" t="inlineStr">
        <is>
          <t>A 63188-2021</t>
        </is>
      </c>
      <c r="B507" s="1" t="n">
        <v>44507.56865740741</v>
      </c>
      <c r="C507" s="1" t="n">
        <v>46106</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64713-2023</t>
        </is>
      </c>
      <c r="B508" s="1" t="n">
        <v>45281</v>
      </c>
      <c r="C508" s="1" t="n">
        <v>46106</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28304-2024</t>
        </is>
      </c>
      <c r="B509" s="1" t="n">
        <v>45477</v>
      </c>
      <c r="C509" s="1" t="n">
        <v>46106</v>
      </c>
      <c r="D509" t="inlineStr">
        <is>
          <t>SÖDERMANLANDS LÄN</t>
        </is>
      </c>
      <c r="E509" t="inlineStr">
        <is>
          <t>KATRINEHOLM</t>
        </is>
      </c>
      <c r="G509" t="n">
        <v>3.8</v>
      </c>
      <c r="H509" t="n">
        <v>0</v>
      </c>
      <c r="I509" t="n">
        <v>0</v>
      </c>
      <c r="J509" t="n">
        <v>0</v>
      </c>
      <c r="K509" t="n">
        <v>0</v>
      </c>
      <c r="L509" t="n">
        <v>0</v>
      </c>
      <c r="M509" t="n">
        <v>0</v>
      </c>
      <c r="N509" t="n">
        <v>0</v>
      </c>
      <c r="O509" t="n">
        <v>0</v>
      </c>
      <c r="P509" t="n">
        <v>0</v>
      </c>
      <c r="Q509" t="n">
        <v>0</v>
      </c>
      <c r="R509" s="2" t="inlineStr"/>
    </row>
    <row r="510" ht="15" customHeight="1">
      <c r="A510" t="inlineStr">
        <is>
          <t>A 8457-2023</t>
        </is>
      </c>
      <c r="B510" s="1" t="n">
        <v>44977</v>
      </c>
      <c r="C510" s="1" t="n">
        <v>46106</v>
      </c>
      <c r="D510" t="inlineStr">
        <is>
          <t>SÖDERMANLANDS LÄN</t>
        </is>
      </c>
      <c r="E510" t="inlineStr">
        <is>
          <t>KATRINEHOLM</t>
        </is>
      </c>
      <c r="F510" t="inlineStr">
        <is>
          <t>Allmännings- och besparingsskogar</t>
        </is>
      </c>
      <c r="G510" t="n">
        <v>16.1</v>
      </c>
      <c r="H510" t="n">
        <v>0</v>
      </c>
      <c r="I510" t="n">
        <v>0</v>
      </c>
      <c r="J510" t="n">
        <v>0</v>
      </c>
      <c r="K510" t="n">
        <v>0</v>
      </c>
      <c r="L510" t="n">
        <v>0</v>
      </c>
      <c r="M510" t="n">
        <v>0</v>
      </c>
      <c r="N510" t="n">
        <v>0</v>
      </c>
      <c r="O510" t="n">
        <v>0</v>
      </c>
      <c r="P510" t="n">
        <v>0</v>
      </c>
      <c r="Q510" t="n">
        <v>0</v>
      </c>
      <c r="R510" s="2" t="inlineStr"/>
    </row>
    <row r="511" ht="15" customHeight="1">
      <c r="A511" t="inlineStr">
        <is>
          <t>A 59967-2025</t>
        </is>
      </c>
      <c r="B511" s="1" t="n">
        <v>45993.48525462963</v>
      </c>
      <c r="C511" s="1" t="n">
        <v>46106</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7322-2023</t>
        </is>
      </c>
      <c r="B512" s="1" t="n">
        <v>44970</v>
      </c>
      <c r="C512" s="1" t="n">
        <v>46106</v>
      </c>
      <c r="D512" t="inlineStr">
        <is>
          <t>SÖDERMANLANDS LÄN</t>
        </is>
      </c>
      <c r="E512" t="inlineStr">
        <is>
          <t>KATRINEHOLM</t>
        </is>
      </c>
      <c r="G512" t="n">
        <v>2.1</v>
      </c>
      <c r="H512" t="n">
        <v>0</v>
      </c>
      <c r="I512" t="n">
        <v>0</v>
      </c>
      <c r="J512" t="n">
        <v>0</v>
      </c>
      <c r="K512" t="n">
        <v>0</v>
      </c>
      <c r="L512" t="n">
        <v>0</v>
      </c>
      <c r="M512" t="n">
        <v>0</v>
      </c>
      <c r="N512" t="n">
        <v>0</v>
      </c>
      <c r="O512" t="n">
        <v>0</v>
      </c>
      <c r="P512" t="n">
        <v>0</v>
      </c>
      <c r="Q512" t="n">
        <v>0</v>
      </c>
      <c r="R512" s="2" t="inlineStr"/>
    </row>
    <row r="513" ht="15" customHeight="1">
      <c r="A513" t="inlineStr">
        <is>
          <t>A 60160-2022</t>
        </is>
      </c>
      <c r="B513" s="1" t="n">
        <v>44909</v>
      </c>
      <c r="C513" s="1" t="n">
        <v>46106</v>
      </c>
      <c r="D513" t="inlineStr">
        <is>
          <t>SÖDERMANLANDS LÄN</t>
        </is>
      </c>
      <c r="E513" t="inlineStr">
        <is>
          <t>KATRINEHOLM</t>
        </is>
      </c>
      <c r="F513" t="inlineStr">
        <is>
          <t>Allmännings- och besparingsskogar</t>
        </is>
      </c>
      <c r="G513" t="n">
        <v>2</v>
      </c>
      <c r="H513" t="n">
        <v>0</v>
      </c>
      <c r="I513" t="n">
        <v>0</v>
      </c>
      <c r="J513" t="n">
        <v>0</v>
      </c>
      <c r="K513" t="n">
        <v>0</v>
      </c>
      <c r="L513" t="n">
        <v>0</v>
      </c>
      <c r="M513" t="n">
        <v>0</v>
      </c>
      <c r="N513" t="n">
        <v>0</v>
      </c>
      <c r="O513" t="n">
        <v>0</v>
      </c>
      <c r="P513" t="n">
        <v>0</v>
      </c>
      <c r="Q513" t="n">
        <v>0</v>
      </c>
      <c r="R513" s="2" t="inlineStr"/>
    </row>
    <row r="514" ht="15" customHeight="1">
      <c r="A514" t="inlineStr">
        <is>
          <t>A 48685-2022</t>
        </is>
      </c>
      <c r="B514" s="1" t="n">
        <v>44859</v>
      </c>
      <c r="C514" s="1" t="n">
        <v>46106</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42519-2024</t>
        </is>
      </c>
      <c r="B515" s="1" t="n">
        <v>45565</v>
      </c>
      <c r="C515" s="1" t="n">
        <v>46106</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43499-2021</t>
        </is>
      </c>
      <c r="B516" s="1" t="n">
        <v>44433</v>
      </c>
      <c r="C516" s="1" t="n">
        <v>46106</v>
      </c>
      <c r="D516" t="inlineStr">
        <is>
          <t>SÖDERMANLANDS LÄN</t>
        </is>
      </c>
      <c r="E516" t="inlineStr">
        <is>
          <t>KATRINEHOLM</t>
        </is>
      </c>
      <c r="F516" t="inlineStr">
        <is>
          <t>Övriga Aktiebolag</t>
        </is>
      </c>
      <c r="G516" t="n">
        <v>1.4</v>
      </c>
      <c r="H516" t="n">
        <v>0</v>
      </c>
      <c r="I516" t="n">
        <v>0</v>
      </c>
      <c r="J516" t="n">
        <v>0</v>
      </c>
      <c r="K516" t="n">
        <v>0</v>
      </c>
      <c r="L516" t="n">
        <v>0</v>
      </c>
      <c r="M516" t="n">
        <v>0</v>
      </c>
      <c r="N516" t="n">
        <v>0</v>
      </c>
      <c r="O516" t="n">
        <v>0</v>
      </c>
      <c r="P516" t="n">
        <v>0</v>
      </c>
      <c r="Q516" t="n">
        <v>0</v>
      </c>
      <c r="R516" s="2" t="inlineStr"/>
    </row>
    <row r="517" ht="15" customHeight="1">
      <c r="A517" t="inlineStr">
        <is>
          <t>A 32169-2022</t>
        </is>
      </c>
      <c r="B517" s="1" t="n">
        <v>44781</v>
      </c>
      <c r="C517" s="1" t="n">
        <v>46106</v>
      </c>
      <c r="D517" t="inlineStr">
        <is>
          <t>SÖDERMANLANDS LÄN</t>
        </is>
      </c>
      <c r="E517" t="inlineStr">
        <is>
          <t>KATRINEHOLM</t>
        </is>
      </c>
      <c r="F517" t="inlineStr">
        <is>
          <t>Kommuner</t>
        </is>
      </c>
      <c r="G517" t="n">
        <v>0.9</v>
      </c>
      <c r="H517" t="n">
        <v>0</v>
      </c>
      <c r="I517" t="n">
        <v>0</v>
      </c>
      <c r="J517" t="n">
        <v>0</v>
      </c>
      <c r="K517" t="n">
        <v>0</v>
      </c>
      <c r="L517" t="n">
        <v>0</v>
      </c>
      <c r="M517" t="n">
        <v>0</v>
      </c>
      <c r="N517" t="n">
        <v>0</v>
      </c>
      <c r="O517" t="n">
        <v>0</v>
      </c>
      <c r="P517" t="n">
        <v>0</v>
      </c>
      <c r="Q517" t="n">
        <v>0</v>
      </c>
      <c r="R517" s="2" t="inlineStr"/>
    </row>
    <row r="518" ht="15" customHeight="1">
      <c r="A518" t="inlineStr">
        <is>
          <t>A 55122-2022</t>
        </is>
      </c>
      <c r="B518" s="1" t="n">
        <v>44886.65092592593</v>
      </c>
      <c r="C518" s="1" t="n">
        <v>46106</v>
      </c>
      <c r="D518" t="inlineStr">
        <is>
          <t>SÖDERMANLANDS LÄN</t>
        </is>
      </c>
      <c r="E518" t="inlineStr">
        <is>
          <t>KATRINEHOLM</t>
        </is>
      </c>
      <c r="G518" t="n">
        <v>6.5</v>
      </c>
      <c r="H518" t="n">
        <v>0</v>
      </c>
      <c r="I518" t="n">
        <v>0</v>
      </c>
      <c r="J518" t="n">
        <v>0</v>
      </c>
      <c r="K518" t="n">
        <v>0</v>
      </c>
      <c r="L518" t="n">
        <v>0</v>
      </c>
      <c r="M518" t="n">
        <v>0</v>
      </c>
      <c r="N518" t="n">
        <v>0</v>
      </c>
      <c r="O518" t="n">
        <v>0</v>
      </c>
      <c r="P518" t="n">
        <v>0</v>
      </c>
      <c r="Q518" t="n">
        <v>0</v>
      </c>
      <c r="R518" s="2" t="inlineStr"/>
    </row>
    <row r="519" ht="15" customHeight="1">
      <c r="A519" t="inlineStr">
        <is>
          <t>A 60678-2025</t>
        </is>
      </c>
      <c r="B519" s="1" t="n">
        <v>45996.56251157408</v>
      </c>
      <c r="C519" s="1" t="n">
        <v>46106</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61066-2025</t>
        </is>
      </c>
      <c r="B520" s="1" t="n">
        <v>46000.37695601852</v>
      </c>
      <c r="C520" s="1" t="n">
        <v>46106</v>
      </c>
      <c r="D520" t="inlineStr">
        <is>
          <t>SÖDERMANLANDS LÄN</t>
        </is>
      </c>
      <c r="E520" t="inlineStr">
        <is>
          <t>KATRINEHOLM</t>
        </is>
      </c>
      <c r="F520" t="inlineStr">
        <is>
          <t>Kyrkan</t>
        </is>
      </c>
      <c r="G520" t="n">
        <v>5</v>
      </c>
      <c r="H520" t="n">
        <v>0</v>
      </c>
      <c r="I520" t="n">
        <v>0</v>
      </c>
      <c r="J520" t="n">
        <v>0</v>
      </c>
      <c r="K520" t="n">
        <v>0</v>
      </c>
      <c r="L520" t="n">
        <v>0</v>
      </c>
      <c r="M520" t="n">
        <v>0</v>
      </c>
      <c r="N520" t="n">
        <v>0</v>
      </c>
      <c r="O520" t="n">
        <v>0</v>
      </c>
      <c r="P520" t="n">
        <v>0</v>
      </c>
      <c r="Q520" t="n">
        <v>0</v>
      </c>
      <c r="R520" s="2" t="inlineStr"/>
    </row>
    <row r="521" ht="15" customHeight="1">
      <c r="A521" t="inlineStr">
        <is>
          <t>A 43964-2022</t>
        </is>
      </c>
      <c r="B521" s="1" t="n">
        <v>44837</v>
      </c>
      <c r="C521" s="1" t="n">
        <v>46106</v>
      </c>
      <c r="D521" t="inlineStr">
        <is>
          <t>SÖDERMANLANDS LÄN</t>
        </is>
      </c>
      <c r="E521" t="inlineStr">
        <is>
          <t>KATRINEHOLM</t>
        </is>
      </c>
      <c r="G521" t="n">
        <v>3.6</v>
      </c>
      <c r="H521" t="n">
        <v>0</v>
      </c>
      <c r="I521" t="n">
        <v>0</v>
      </c>
      <c r="J521" t="n">
        <v>0</v>
      </c>
      <c r="K521" t="n">
        <v>0</v>
      </c>
      <c r="L521" t="n">
        <v>0</v>
      </c>
      <c r="M521" t="n">
        <v>0</v>
      </c>
      <c r="N521" t="n">
        <v>0</v>
      </c>
      <c r="O521" t="n">
        <v>0</v>
      </c>
      <c r="P521" t="n">
        <v>0</v>
      </c>
      <c r="Q521" t="n">
        <v>0</v>
      </c>
      <c r="R521" s="2" t="inlineStr"/>
    </row>
    <row r="522" ht="15" customHeight="1">
      <c r="A522" t="inlineStr">
        <is>
          <t>A 46075-2023</t>
        </is>
      </c>
      <c r="B522" s="1" t="n">
        <v>45196</v>
      </c>
      <c r="C522" s="1" t="n">
        <v>46106</v>
      </c>
      <c r="D522" t="inlineStr">
        <is>
          <t>SÖDERMANLANDS LÄN</t>
        </is>
      </c>
      <c r="E522" t="inlineStr">
        <is>
          <t>KATRINEHOLM</t>
        </is>
      </c>
      <c r="F522" t="inlineStr">
        <is>
          <t>Övriga Aktiebolag</t>
        </is>
      </c>
      <c r="G522" t="n">
        <v>9.5</v>
      </c>
      <c r="H522" t="n">
        <v>0</v>
      </c>
      <c r="I522" t="n">
        <v>0</v>
      </c>
      <c r="J522" t="n">
        <v>0</v>
      </c>
      <c r="K522" t="n">
        <v>0</v>
      </c>
      <c r="L522" t="n">
        <v>0</v>
      </c>
      <c r="M522" t="n">
        <v>0</v>
      </c>
      <c r="N522" t="n">
        <v>0</v>
      </c>
      <c r="O522" t="n">
        <v>0</v>
      </c>
      <c r="P522" t="n">
        <v>0</v>
      </c>
      <c r="Q522" t="n">
        <v>0</v>
      </c>
      <c r="R522" s="2" t="inlineStr"/>
    </row>
    <row r="523" ht="15" customHeight="1">
      <c r="A523" t="inlineStr">
        <is>
          <t>A 9992-2022</t>
        </is>
      </c>
      <c r="B523" s="1" t="n">
        <v>44621</v>
      </c>
      <c r="C523" s="1" t="n">
        <v>46106</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44659-2023</t>
        </is>
      </c>
      <c r="B524" s="1" t="n">
        <v>45189</v>
      </c>
      <c r="C524" s="1" t="n">
        <v>46106</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61121-2025</t>
        </is>
      </c>
      <c r="B525" s="1" t="n">
        <v>46000.46746527778</v>
      </c>
      <c r="C525" s="1" t="n">
        <v>46106</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48682-2022</t>
        </is>
      </c>
      <c r="B526" s="1" t="n">
        <v>44859</v>
      </c>
      <c r="C526" s="1" t="n">
        <v>46106</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61721-2025</t>
        </is>
      </c>
      <c r="B527" s="1" t="n">
        <v>46002.57778935185</v>
      </c>
      <c r="C527" s="1" t="n">
        <v>46106</v>
      </c>
      <c r="D527" t="inlineStr">
        <is>
          <t>SÖDERMANLANDS LÄN</t>
        </is>
      </c>
      <c r="E527" t="inlineStr">
        <is>
          <t>KATRINEHOLM</t>
        </is>
      </c>
      <c r="G527" t="n">
        <v>4.5</v>
      </c>
      <c r="H527" t="n">
        <v>0</v>
      </c>
      <c r="I527" t="n">
        <v>0</v>
      </c>
      <c r="J527" t="n">
        <v>0</v>
      </c>
      <c r="K527" t="n">
        <v>0</v>
      </c>
      <c r="L527" t="n">
        <v>0</v>
      </c>
      <c r="M527" t="n">
        <v>0</v>
      </c>
      <c r="N527" t="n">
        <v>0</v>
      </c>
      <c r="O527" t="n">
        <v>0</v>
      </c>
      <c r="P527" t="n">
        <v>0</v>
      </c>
      <c r="Q527" t="n">
        <v>0</v>
      </c>
      <c r="R527" s="2" t="inlineStr"/>
    </row>
    <row r="528" ht="15" customHeight="1">
      <c r="A528" t="inlineStr">
        <is>
          <t>A 14629-2023</t>
        </is>
      </c>
      <c r="B528" s="1" t="n">
        <v>45013</v>
      </c>
      <c r="C528" s="1" t="n">
        <v>46106</v>
      </c>
      <c r="D528" t="inlineStr">
        <is>
          <t>SÖDERMANLANDS LÄN</t>
        </is>
      </c>
      <c r="E528" t="inlineStr">
        <is>
          <t>KATRINEHOLM</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57524-2021</t>
        </is>
      </c>
      <c r="B529" s="1" t="n">
        <v>44483</v>
      </c>
      <c r="C529" s="1" t="n">
        <v>46106</v>
      </c>
      <c r="D529" t="inlineStr">
        <is>
          <t>SÖDERMANLANDS LÄN</t>
        </is>
      </c>
      <c r="E529" t="inlineStr">
        <is>
          <t>KATRINEHOLM</t>
        </is>
      </c>
      <c r="G529" t="n">
        <v>0.4</v>
      </c>
      <c r="H529" t="n">
        <v>0</v>
      </c>
      <c r="I529" t="n">
        <v>0</v>
      </c>
      <c r="J529" t="n">
        <v>0</v>
      </c>
      <c r="K529" t="n">
        <v>0</v>
      </c>
      <c r="L529" t="n">
        <v>0</v>
      </c>
      <c r="M529" t="n">
        <v>0</v>
      </c>
      <c r="N529" t="n">
        <v>0</v>
      </c>
      <c r="O529" t="n">
        <v>0</v>
      </c>
      <c r="P529" t="n">
        <v>0</v>
      </c>
      <c r="Q529" t="n">
        <v>0</v>
      </c>
      <c r="R529" s="2" t="inlineStr"/>
    </row>
    <row r="530" ht="15" customHeight="1">
      <c r="A530" t="inlineStr">
        <is>
          <t>A 27345-2023</t>
        </is>
      </c>
      <c r="B530" s="1" t="n">
        <v>45096</v>
      </c>
      <c r="C530" s="1" t="n">
        <v>46106</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53996-2023</t>
        </is>
      </c>
      <c r="B531" s="1" t="n">
        <v>45231</v>
      </c>
      <c r="C531" s="1" t="n">
        <v>46106</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11127-2023</t>
        </is>
      </c>
      <c r="B532" s="1" t="n">
        <v>44987</v>
      </c>
      <c r="C532" s="1" t="n">
        <v>46106</v>
      </c>
      <c r="D532" t="inlineStr">
        <is>
          <t>SÖDERMANLANDS LÄN</t>
        </is>
      </c>
      <c r="E532" t="inlineStr">
        <is>
          <t>KATRINEHOLM</t>
        </is>
      </c>
      <c r="G532" t="n">
        <v>4.3</v>
      </c>
      <c r="H532" t="n">
        <v>0</v>
      </c>
      <c r="I532" t="n">
        <v>0</v>
      </c>
      <c r="J532" t="n">
        <v>0</v>
      </c>
      <c r="K532" t="n">
        <v>0</v>
      </c>
      <c r="L532" t="n">
        <v>0</v>
      </c>
      <c r="M532" t="n">
        <v>0</v>
      </c>
      <c r="N532" t="n">
        <v>0</v>
      </c>
      <c r="O532" t="n">
        <v>0</v>
      </c>
      <c r="P532" t="n">
        <v>0</v>
      </c>
      <c r="Q532" t="n">
        <v>0</v>
      </c>
      <c r="R532" s="2" t="inlineStr"/>
    </row>
    <row r="533" ht="15" customHeight="1">
      <c r="A533" t="inlineStr">
        <is>
          <t>A 37185-2023</t>
        </is>
      </c>
      <c r="B533" s="1" t="n">
        <v>45154</v>
      </c>
      <c r="C533" s="1" t="n">
        <v>46106</v>
      </c>
      <c r="D533" t="inlineStr">
        <is>
          <t>SÖDERMANLANDS LÄN</t>
        </is>
      </c>
      <c r="E533" t="inlineStr">
        <is>
          <t>KATRINEHOLM</t>
        </is>
      </c>
      <c r="G533" t="n">
        <v>3</v>
      </c>
      <c r="H533" t="n">
        <v>0</v>
      </c>
      <c r="I533" t="n">
        <v>0</v>
      </c>
      <c r="J533" t="n">
        <v>0</v>
      </c>
      <c r="K533" t="n">
        <v>0</v>
      </c>
      <c r="L533" t="n">
        <v>0</v>
      </c>
      <c r="M533" t="n">
        <v>0</v>
      </c>
      <c r="N533" t="n">
        <v>0</v>
      </c>
      <c r="O533" t="n">
        <v>0</v>
      </c>
      <c r="P533" t="n">
        <v>0</v>
      </c>
      <c r="Q533" t="n">
        <v>0</v>
      </c>
      <c r="R533" s="2" t="inlineStr"/>
    </row>
    <row r="534" ht="15" customHeight="1">
      <c r="A534" t="inlineStr">
        <is>
          <t>A 63945-2025</t>
        </is>
      </c>
      <c r="B534" s="1" t="n">
        <v>46010</v>
      </c>
      <c r="C534" s="1" t="n">
        <v>46106</v>
      </c>
      <c r="D534" t="inlineStr">
        <is>
          <t>SÖDERMANLANDS LÄN</t>
        </is>
      </c>
      <c r="E534" t="inlineStr">
        <is>
          <t>KATRINEHOLM</t>
        </is>
      </c>
      <c r="F534" t="inlineStr">
        <is>
          <t>Allmännings- och besparingsskogar</t>
        </is>
      </c>
      <c r="G534" t="n">
        <v>1.2</v>
      </c>
      <c r="H534" t="n">
        <v>0</v>
      </c>
      <c r="I534" t="n">
        <v>0</v>
      </c>
      <c r="J534" t="n">
        <v>0</v>
      </c>
      <c r="K534" t="n">
        <v>0</v>
      </c>
      <c r="L534" t="n">
        <v>0</v>
      </c>
      <c r="M534" t="n">
        <v>0</v>
      </c>
      <c r="N534" t="n">
        <v>0</v>
      </c>
      <c r="O534" t="n">
        <v>0</v>
      </c>
      <c r="P534" t="n">
        <v>0</v>
      </c>
      <c r="Q534" t="n">
        <v>0</v>
      </c>
      <c r="R534" s="2" t="inlineStr"/>
    </row>
    <row r="535" ht="15" customHeight="1">
      <c r="A535" t="inlineStr">
        <is>
          <t>A 63947-2025</t>
        </is>
      </c>
      <c r="B535" s="1" t="n">
        <v>46010</v>
      </c>
      <c r="C535" s="1" t="n">
        <v>46106</v>
      </c>
      <c r="D535" t="inlineStr">
        <is>
          <t>SÖDERMANLANDS LÄN</t>
        </is>
      </c>
      <c r="E535" t="inlineStr">
        <is>
          <t>KATRINEHOLM</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63949-2025</t>
        </is>
      </c>
      <c r="B536" s="1" t="n">
        <v>46010</v>
      </c>
      <c r="C536" s="1" t="n">
        <v>46106</v>
      </c>
      <c r="D536" t="inlineStr">
        <is>
          <t>SÖDERMANLANDS LÄN</t>
        </is>
      </c>
      <c r="E536" t="inlineStr">
        <is>
          <t>KATRINEHOLM</t>
        </is>
      </c>
      <c r="F536" t="inlineStr">
        <is>
          <t>Allmännings- och besparingsskogar</t>
        </is>
      </c>
      <c r="G536" t="n">
        <v>5.1</v>
      </c>
      <c r="H536" t="n">
        <v>0</v>
      </c>
      <c r="I536" t="n">
        <v>0</v>
      </c>
      <c r="J536" t="n">
        <v>0</v>
      </c>
      <c r="K536" t="n">
        <v>0</v>
      </c>
      <c r="L536" t="n">
        <v>0</v>
      </c>
      <c r="M536" t="n">
        <v>0</v>
      </c>
      <c r="N536" t="n">
        <v>0</v>
      </c>
      <c r="O536" t="n">
        <v>0</v>
      </c>
      <c r="P536" t="n">
        <v>0</v>
      </c>
      <c r="Q536" t="n">
        <v>0</v>
      </c>
      <c r="R536" s="2" t="inlineStr"/>
    </row>
    <row r="537" ht="15" customHeight="1">
      <c r="A537" t="inlineStr">
        <is>
          <t>A 63948-2025</t>
        </is>
      </c>
      <c r="B537" s="1" t="n">
        <v>46010</v>
      </c>
      <c r="C537" s="1" t="n">
        <v>46106</v>
      </c>
      <c r="D537" t="inlineStr">
        <is>
          <t>SÖDERMANLANDS LÄN</t>
        </is>
      </c>
      <c r="E537" t="inlineStr">
        <is>
          <t>KATRINEHOLM</t>
        </is>
      </c>
      <c r="F537" t="inlineStr">
        <is>
          <t>Allmännings- och besparingsskogar</t>
        </is>
      </c>
      <c r="G537" t="n">
        <v>4.9</v>
      </c>
      <c r="H537" t="n">
        <v>0</v>
      </c>
      <c r="I537" t="n">
        <v>0</v>
      </c>
      <c r="J537" t="n">
        <v>0</v>
      </c>
      <c r="K537" t="n">
        <v>0</v>
      </c>
      <c r="L537" t="n">
        <v>0</v>
      </c>
      <c r="M537" t="n">
        <v>0</v>
      </c>
      <c r="N537" t="n">
        <v>0</v>
      </c>
      <c r="O537" t="n">
        <v>0</v>
      </c>
      <c r="P537" t="n">
        <v>0</v>
      </c>
      <c r="Q537" t="n">
        <v>0</v>
      </c>
      <c r="R537" s="2" t="inlineStr"/>
    </row>
    <row r="538" ht="15" customHeight="1">
      <c r="A538" t="inlineStr">
        <is>
          <t>A 24284-2024</t>
        </is>
      </c>
      <c r="B538" s="1" t="n">
        <v>45457</v>
      </c>
      <c r="C538" s="1" t="n">
        <v>46106</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66393-2021</t>
        </is>
      </c>
      <c r="B539" s="1" t="n">
        <v>44518</v>
      </c>
      <c r="C539" s="1" t="n">
        <v>46106</v>
      </c>
      <c r="D539" t="inlineStr">
        <is>
          <t>SÖDERMANLANDS LÄN</t>
        </is>
      </c>
      <c r="E539" t="inlineStr">
        <is>
          <t>KATRINEHOLM</t>
        </is>
      </c>
      <c r="F539" t="inlineStr">
        <is>
          <t>Holmen skog AB</t>
        </is>
      </c>
      <c r="G539" t="n">
        <v>0.4</v>
      </c>
      <c r="H539" t="n">
        <v>0</v>
      </c>
      <c r="I539" t="n">
        <v>0</v>
      </c>
      <c r="J539" t="n">
        <v>0</v>
      </c>
      <c r="K539" t="n">
        <v>0</v>
      </c>
      <c r="L539" t="n">
        <v>0</v>
      </c>
      <c r="M539" t="n">
        <v>0</v>
      </c>
      <c r="N539" t="n">
        <v>0</v>
      </c>
      <c r="O539" t="n">
        <v>0</v>
      </c>
      <c r="P539" t="n">
        <v>0</v>
      </c>
      <c r="Q539" t="n">
        <v>0</v>
      </c>
      <c r="R539" s="2" t="inlineStr"/>
    </row>
    <row r="540" ht="15" customHeight="1">
      <c r="A540" t="inlineStr">
        <is>
          <t>A 50840-2022</t>
        </is>
      </c>
      <c r="B540" s="1" t="n">
        <v>44862</v>
      </c>
      <c r="C540" s="1" t="n">
        <v>46106</v>
      </c>
      <c r="D540" t="inlineStr">
        <is>
          <t>SÖDERMANLANDS LÄN</t>
        </is>
      </c>
      <c r="E540" t="inlineStr">
        <is>
          <t>KATRINEHOLM</t>
        </is>
      </c>
      <c r="G540" t="n">
        <v>4.2</v>
      </c>
      <c r="H540" t="n">
        <v>0</v>
      </c>
      <c r="I540" t="n">
        <v>0</v>
      </c>
      <c r="J540" t="n">
        <v>0</v>
      </c>
      <c r="K540" t="n">
        <v>0</v>
      </c>
      <c r="L540" t="n">
        <v>0</v>
      </c>
      <c r="M540" t="n">
        <v>0</v>
      </c>
      <c r="N540" t="n">
        <v>0</v>
      </c>
      <c r="O540" t="n">
        <v>0</v>
      </c>
      <c r="P540" t="n">
        <v>0</v>
      </c>
      <c r="Q540" t="n">
        <v>0</v>
      </c>
      <c r="R540" s="2" t="inlineStr"/>
    </row>
    <row r="541" ht="15" customHeight="1">
      <c r="A541" t="inlineStr">
        <is>
          <t>A 13113-2023</t>
        </is>
      </c>
      <c r="B541" s="1" t="n">
        <v>45002</v>
      </c>
      <c r="C541" s="1" t="n">
        <v>46106</v>
      </c>
      <c r="D541" t="inlineStr">
        <is>
          <t>SÖDERMANLANDS LÄN</t>
        </is>
      </c>
      <c r="E541" t="inlineStr">
        <is>
          <t>KATRINEHOLM</t>
        </is>
      </c>
      <c r="F541" t="inlineStr">
        <is>
          <t>Allmännings- och besparingsskogar</t>
        </is>
      </c>
      <c r="G541" t="n">
        <v>3.6</v>
      </c>
      <c r="H541" t="n">
        <v>0</v>
      </c>
      <c r="I541" t="n">
        <v>0</v>
      </c>
      <c r="J541" t="n">
        <v>0</v>
      </c>
      <c r="K541" t="n">
        <v>0</v>
      </c>
      <c r="L541" t="n">
        <v>0</v>
      </c>
      <c r="M541" t="n">
        <v>0</v>
      </c>
      <c r="N541" t="n">
        <v>0</v>
      </c>
      <c r="O541" t="n">
        <v>0</v>
      </c>
      <c r="P541" t="n">
        <v>0</v>
      </c>
      <c r="Q541" t="n">
        <v>0</v>
      </c>
      <c r="R541" s="2" t="inlineStr"/>
    </row>
    <row r="542" ht="15" customHeight="1">
      <c r="A542" t="inlineStr">
        <is>
          <t>A 14245-2024</t>
        </is>
      </c>
      <c r="B542" s="1" t="n">
        <v>45393</v>
      </c>
      <c r="C542" s="1" t="n">
        <v>46106</v>
      </c>
      <c r="D542" t="inlineStr">
        <is>
          <t>SÖDERMANLANDS LÄN</t>
        </is>
      </c>
      <c r="E542" t="inlineStr">
        <is>
          <t>KATRINEHOLM</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36832-2023</t>
        </is>
      </c>
      <c r="B543" s="1" t="n">
        <v>45153</v>
      </c>
      <c r="C543" s="1" t="n">
        <v>46106</v>
      </c>
      <c r="D543" t="inlineStr">
        <is>
          <t>SÖDERMANLANDS LÄN</t>
        </is>
      </c>
      <c r="E543" t="inlineStr">
        <is>
          <t>KATRINEHOLM</t>
        </is>
      </c>
      <c r="F543" t="inlineStr">
        <is>
          <t>Övriga Aktiebolag</t>
        </is>
      </c>
      <c r="G543" t="n">
        <v>9</v>
      </c>
      <c r="H543" t="n">
        <v>0</v>
      </c>
      <c r="I543" t="n">
        <v>0</v>
      </c>
      <c r="J543" t="n">
        <v>0</v>
      </c>
      <c r="K543" t="n">
        <v>0</v>
      </c>
      <c r="L543" t="n">
        <v>0</v>
      </c>
      <c r="M543" t="n">
        <v>0</v>
      </c>
      <c r="N543" t="n">
        <v>0</v>
      </c>
      <c r="O543" t="n">
        <v>0</v>
      </c>
      <c r="P543" t="n">
        <v>0</v>
      </c>
      <c r="Q543" t="n">
        <v>0</v>
      </c>
      <c r="R543" s="2" t="inlineStr"/>
    </row>
    <row r="544" ht="15" customHeight="1">
      <c r="A544" t="inlineStr">
        <is>
          <t>A 63895-2025</t>
        </is>
      </c>
      <c r="B544" s="1" t="n">
        <v>46020</v>
      </c>
      <c r="C544" s="1" t="n">
        <v>46106</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39052-2023</t>
        </is>
      </c>
      <c r="B545" s="1" t="n">
        <v>45163</v>
      </c>
      <c r="C545" s="1" t="n">
        <v>46106</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41946-2022</t>
        </is>
      </c>
      <c r="B546" s="1" t="n">
        <v>44830.38502314815</v>
      </c>
      <c r="C546" s="1" t="n">
        <v>46106</v>
      </c>
      <c r="D546" t="inlineStr">
        <is>
          <t>SÖDERMANLANDS LÄN</t>
        </is>
      </c>
      <c r="E546" t="inlineStr">
        <is>
          <t>KATRINEHOLM</t>
        </is>
      </c>
      <c r="G546" t="n">
        <v>1</v>
      </c>
      <c r="H546" t="n">
        <v>0</v>
      </c>
      <c r="I546" t="n">
        <v>0</v>
      </c>
      <c r="J546" t="n">
        <v>0</v>
      </c>
      <c r="K546" t="n">
        <v>0</v>
      </c>
      <c r="L546" t="n">
        <v>0</v>
      </c>
      <c r="M546" t="n">
        <v>0</v>
      </c>
      <c r="N546" t="n">
        <v>0</v>
      </c>
      <c r="O546" t="n">
        <v>0</v>
      </c>
      <c r="P546" t="n">
        <v>0</v>
      </c>
      <c r="Q546" t="n">
        <v>0</v>
      </c>
      <c r="R546" s="2" t="inlineStr"/>
    </row>
    <row r="547" ht="15" customHeight="1">
      <c r="A547" t="inlineStr">
        <is>
          <t>A 54873-2025</t>
        </is>
      </c>
      <c r="B547" s="1" t="n">
        <v>45967</v>
      </c>
      <c r="C547" s="1" t="n">
        <v>46106</v>
      </c>
      <c r="D547" t="inlineStr">
        <is>
          <t>SÖDERMANLANDS LÄN</t>
        </is>
      </c>
      <c r="E547" t="inlineStr">
        <is>
          <t>KATRINEHOLM</t>
        </is>
      </c>
      <c r="G547" t="n">
        <v>2.7</v>
      </c>
      <c r="H547" t="n">
        <v>0</v>
      </c>
      <c r="I547" t="n">
        <v>0</v>
      </c>
      <c r="J547" t="n">
        <v>0</v>
      </c>
      <c r="K547" t="n">
        <v>0</v>
      </c>
      <c r="L547" t="n">
        <v>0</v>
      </c>
      <c r="M547" t="n">
        <v>0</v>
      </c>
      <c r="N547" t="n">
        <v>0</v>
      </c>
      <c r="O547" t="n">
        <v>0</v>
      </c>
      <c r="P547" t="n">
        <v>0</v>
      </c>
      <c r="Q547" t="n">
        <v>0</v>
      </c>
      <c r="R547" s="2" t="inlineStr"/>
    </row>
    <row r="548" ht="15" customHeight="1">
      <c r="A548" t="inlineStr">
        <is>
          <t>A 51613-2022</t>
        </is>
      </c>
      <c r="B548" s="1" t="n">
        <v>44871</v>
      </c>
      <c r="C548" s="1" t="n">
        <v>46106</v>
      </c>
      <c r="D548" t="inlineStr">
        <is>
          <t>SÖDERMANLANDS LÄN</t>
        </is>
      </c>
      <c r="E548" t="inlineStr">
        <is>
          <t>KATRINEHOLM</t>
        </is>
      </c>
      <c r="G548" t="n">
        <v>3</v>
      </c>
      <c r="H548" t="n">
        <v>0</v>
      </c>
      <c r="I548" t="n">
        <v>0</v>
      </c>
      <c r="J548" t="n">
        <v>0</v>
      </c>
      <c r="K548" t="n">
        <v>0</v>
      </c>
      <c r="L548" t="n">
        <v>0</v>
      </c>
      <c r="M548" t="n">
        <v>0</v>
      </c>
      <c r="N548" t="n">
        <v>0</v>
      </c>
      <c r="O548" t="n">
        <v>0</v>
      </c>
      <c r="P548" t="n">
        <v>0</v>
      </c>
      <c r="Q548" t="n">
        <v>0</v>
      </c>
      <c r="R548" s="2" t="inlineStr"/>
    </row>
    <row r="549" ht="15" customHeight="1">
      <c r="A549" t="inlineStr">
        <is>
          <t>A 27886-2024</t>
        </is>
      </c>
      <c r="B549" s="1" t="n">
        <v>45475</v>
      </c>
      <c r="C549" s="1" t="n">
        <v>46106</v>
      </c>
      <c r="D549" t="inlineStr">
        <is>
          <t>SÖDERMANLANDS LÄN</t>
        </is>
      </c>
      <c r="E549" t="inlineStr">
        <is>
          <t>KATRINEHOLM</t>
        </is>
      </c>
      <c r="G549" t="n">
        <v>10.3</v>
      </c>
      <c r="H549" t="n">
        <v>0</v>
      </c>
      <c r="I549" t="n">
        <v>0</v>
      </c>
      <c r="J549" t="n">
        <v>0</v>
      </c>
      <c r="K549" t="n">
        <v>0</v>
      </c>
      <c r="L549" t="n">
        <v>0</v>
      </c>
      <c r="M549" t="n">
        <v>0</v>
      </c>
      <c r="N549" t="n">
        <v>0</v>
      </c>
      <c r="O549" t="n">
        <v>0</v>
      </c>
      <c r="P549" t="n">
        <v>0</v>
      </c>
      <c r="Q549" t="n">
        <v>0</v>
      </c>
      <c r="R549" s="2" t="inlineStr"/>
    </row>
    <row r="550" ht="15" customHeight="1">
      <c r="A550" t="inlineStr">
        <is>
          <t>A 19868-2022</t>
        </is>
      </c>
      <c r="B550" s="1" t="n">
        <v>44696</v>
      </c>
      <c r="C550" s="1" t="n">
        <v>46106</v>
      </c>
      <c r="D550" t="inlineStr">
        <is>
          <t>SÖDERMANLANDS LÄN</t>
        </is>
      </c>
      <c r="E550" t="inlineStr">
        <is>
          <t>KATRINEHOLM</t>
        </is>
      </c>
      <c r="G550" t="n">
        <v>13</v>
      </c>
      <c r="H550" t="n">
        <v>0</v>
      </c>
      <c r="I550" t="n">
        <v>0</v>
      </c>
      <c r="J550" t="n">
        <v>0</v>
      </c>
      <c r="K550" t="n">
        <v>0</v>
      </c>
      <c r="L550" t="n">
        <v>0</v>
      </c>
      <c r="M550" t="n">
        <v>0</v>
      </c>
      <c r="N550" t="n">
        <v>0</v>
      </c>
      <c r="O550" t="n">
        <v>0</v>
      </c>
      <c r="P550" t="n">
        <v>0</v>
      </c>
      <c r="Q550" t="n">
        <v>0</v>
      </c>
      <c r="R550" s="2" t="inlineStr"/>
    </row>
    <row r="551" ht="15" customHeight="1">
      <c r="A551" t="inlineStr">
        <is>
          <t>A 58651-2023</t>
        </is>
      </c>
      <c r="B551" s="1" t="n">
        <v>45247</v>
      </c>
      <c r="C551" s="1" t="n">
        <v>46106</v>
      </c>
      <c r="D551" t="inlineStr">
        <is>
          <t>SÖDERMANLANDS LÄN</t>
        </is>
      </c>
      <c r="E551" t="inlineStr">
        <is>
          <t>KATRINEHOLM</t>
        </is>
      </c>
      <c r="G551" t="n">
        <v>2.7</v>
      </c>
      <c r="H551" t="n">
        <v>0</v>
      </c>
      <c r="I551" t="n">
        <v>0</v>
      </c>
      <c r="J551" t="n">
        <v>0</v>
      </c>
      <c r="K551" t="n">
        <v>0</v>
      </c>
      <c r="L551" t="n">
        <v>0</v>
      </c>
      <c r="M551" t="n">
        <v>0</v>
      </c>
      <c r="N551" t="n">
        <v>0</v>
      </c>
      <c r="O551" t="n">
        <v>0</v>
      </c>
      <c r="P551" t="n">
        <v>0</v>
      </c>
      <c r="Q551" t="n">
        <v>0</v>
      </c>
      <c r="R551" s="2" t="inlineStr"/>
    </row>
    <row r="552" ht="15" customHeight="1">
      <c r="A552" t="inlineStr">
        <is>
          <t>A 8765-2023</t>
        </is>
      </c>
      <c r="B552" s="1" t="n">
        <v>44978.52131944444</v>
      </c>
      <c r="C552" s="1" t="n">
        <v>46106</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28992-2024</t>
        </is>
      </c>
      <c r="B553" s="1" t="n">
        <v>45481.49289351852</v>
      </c>
      <c r="C553" s="1" t="n">
        <v>46106</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25433-2024</t>
        </is>
      </c>
      <c r="B554" s="1" t="n">
        <v>45463</v>
      </c>
      <c r="C554" s="1" t="n">
        <v>46106</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10086-2026</t>
        </is>
      </c>
      <c r="B555" s="1" t="n">
        <v>46073.68959490741</v>
      </c>
      <c r="C555" s="1" t="n">
        <v>46106</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42111-2022</t>
        </is>
      </c>
      <c r="B556" s="1" t="n">
        <v>44830</v>
      </c>
      <c r="C556" s="1" t="n">
        <v>46106</v>
      </c>
      <c r="D556" t="inlineStr">
        <is>
          <t>SÖDERMANLANDS LÄN</t>
        </is>
      </c>
      <c r="E556" t="inlineStr">
        <is>
          <t>KATRINEHOLM</t>
        </is>
      </c>
      <c r="G556" t="n">
        <v>2.5</v>
      </c>
      <c r="H556" t="n">
        <v>0</v>
      </c>
      <c r="I556" t="n">
        <v>0</v>
      </c>
      <c r="J556" t="n">
        <v>0</v>
      </c>
      <c r="K556" t="n">
        <v>0</v>
      </c>
      <c r="L556" t="n">
        <v>0</v>
      </c>
      <c r="M556" t="n">
        <v>0</v>
      </c>
      <c r="N556" t="n">
        <v>0</v>
      </c>
      <c r="O556" t="n">
        <v>0</v>
      </c>
      <c r="P556" t="n">
        <v>0</v>
      </c>
      <c r="Q556" t="n">
        <v>0</v>
      </c>
      <c r="R556" s="2" t="inlineStr"/>
    </row>
    <row r="557" ht="15" customHeight="1">
      <c r="A557" t="inlineStr">
        <is>
          <t>A 1114-2026</t>
        </is>
      </c>
      <c r="B557" s="1" t="n">
        <v>46030.684375</v>
      </c>
      <c r="C557" s="1" t="n">
        <v>46106</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10091-2026</t>
        </is>
      </c>
      <c r="B558" s="1" t="n">
        <v>46073.70451388889</v>
      </c>
      <c r="C558" s="1" t="n">
        <v>46106</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1112-2026</t>
        </is>
      </c>
      <c r="B559" s="1" t="n">
        <v>46030.68107638889</v>
      </c>
      <c r="C559" s="1" t="n">
        <v>46106</v>
      </c>
      <c r="D559" t="inlineStr">
        <is>
          <t>SÖDERMANLANDS LÄN</t>
        </is>
      </c>
      <c r="E559" t="inlineStr">
        <is>
          <t>KATRINEHOLM</t>
        </is>
      </c>
      <c r="G559" t="n">
        <v>3.2</v>
      </c>
      <c r="H559" t="n">
        <v>0</v>
      </c>
      <c r="I559" t="n">
        <v>0</v>
      </c>
      <c r="J559" t="n">
        <v>0</v>
      </c>
      <c r="K559" t="n">
        <v>0</v>
      </c>
      <c r="L559" t="n">
        <v>0</v>
      </c>
      <c r="M559" t="n">
        <v>0</v>
      </c>
      <c r="N559" t="n">
        <v>0</v>
      </c>
      <c r="O559" t="n">
        <v>0</v>
      </c>
      <c r="P559" t="n">
        <v>0</v>
      </c>
      <c r="Q559" t="n">
        <v>0</v>
      </c>
      <c r="R559" s="2" t="inlineStr"/>
    </row>
    <row r="560" ht="15" customHeight="1">
      <c r="A560" t="inlineStr">
        <is>
          <t>A 1098-2026</t>
        </is>
      </c>
      <c r="B560" s="1" t="n">
        <v>46030.66519675926</v>
      </c>
      <c r="C560" s="1" t="n">
        <v>46106</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36021-2023</t>
        </is>
      </c>
      <c r="B561" s="1" t="n">
        <v>45148</v>
      </c>
      <c r="C561" s="1" t="n">
        <v>46106</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1106-2026</t>
        </is>
      </c>
      <c r="B562" s="1" t="n">
        <v>46030.67123842592</v>
      </c>
      <c r="C562" s="1" t="n">
        <v>46106</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40402-2022</t>
        </is>
      </c>
      <c r="B563" s="1" t="n">
        <v>44823.44353009259</v>
      </c>
      <c r="C563" s="1" t="n">
        <v>46106</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27334-2023</t>
        </is>
      </c>
      <c r="B564" s="1" t="n">
        <v>45096</v>
      </c>
      <c r="C564" s="1" t="n">
        <v>46106</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1668-2026</t>
        </is>
      </c>
      <c r="B565" s="1" t="n">
        <v>46034.55986111111</v>
      </c>
      <c r="C565" s="1" t="n">
        <v>46106</v>
      </c>
      <c r="D565" t="inlineStr">
        <is>
          <t>SÖDERMANLANDS LÄN</t>
        </is>
      </c>
      <c r="E565" t="inlineStr">
        <is>
          <t>KATRINEHOLM</t>
        </is>
      </c>
      <c r="G565" t="n">
        <v>4.1</v>
      </c>
      <c r="H565" t="n">
        <v>0</v>
      </c>
      <c r="I565" t="n">
        <v>0</v>
      </c>
      <c r="J565" t="n">
        <v>0</v>
      </c>
      <c r="K565" t="n">
        <v>0</v>
      </c>
      <c r="L565" t="n">
        <v>0</v>
      </c>
      <c r="M565" t="n">
        <v>0</v>
      </c>
      <c r="N565" t="n">
        <v>0</v>
      </c>
      <c r="O565" t="n">
        <v>0</v>
      </c>
      <c r="P565" t="n">
        <v>0</v>
      </c>
      <c r="Q565" t="n">
        <v>0</v>
      </c>
      <c r="R565" s="2" t="inlineStr"/>
    </row>
    <row r="566" ht="15" customHeight="1">
      <c r="A566" t="inlineStr">
        <is>
          <t>A 7704-2023</t>
        </is>
      </c>
      <c r="B566" s="1" t="n">
        <v>44968</v>
      </c>
      <c r="C566" s="1" t="n">
        <v>46106</v>
      </c>
      <c r="D566" t="inlineStr">
        <is>
          <t>SÖDERMANLANDS LÄN</t>
        </is>
      </c>
      <c r="E566" t="inlineStr">
        <is>
          <t>KATRINEHOLM</t>
        </is>
      </c>
      <c r="G566" t="n">
        <v>7.3</v>
      </c>
      <c r="H566" t="n">
        <v>0</v>
      </c>
      <c r="I566" t="n">
        <v>0</v>
      </c>
      <c r="J566" t="n">
        <v>0</v>
      </c>
      <c r="K566" t="n">
        <v>0</v>
      </c>
      <c r="L566" t="n">
        <v>0</v>
      </c>
      <c r="M566" t="n">
        <v>0</v>
      </c>
      <c r="N566" t="n">
        <v>0</v>
      </c>
      <c r="O566" t="n">
        <v>0</v>
      </c>
      <c r="P566" t="n">
        <v>0</v>
      </c>
      <c r="Q566" t="n">
        <v>0</v>
      </c>
      <c r="R566" s="2" t="inlineStr"/>
    </row>
    <row r="567" ht="15" customHeight="1">
      <c r="A567" t="inlineStr">
        <is>
          <t>A 58528-2024</t>
        </is>
      </c>
      <c r="B567" s="1" t="n">
        <v>45635.44527777778</v>
      </c>
      <c r="C567" s="1" t="n">
        <v>46106</v>
      </c>
      <c r="D567" t="inlineStr">
        <is>
          <t>SÖDERMANLANDS LÄN</t>
        </is>
      </c>
      <c r="E567" t="inlineStr">
        <is>
          <t>KATRINEHOLM</t>
        </is>
      </c>
      <c r="G567" t="n">
        <v>2.4</v>
      </c>
      <c r="H567" t="n">
        <v>0</v>
      </c>
      <c r="I567" t="n">
        <v>0</v>
      </c>
      <c r="J567" t="n">
        <v>0</v>
      </c>
      <c r="K567" t="n">
        <v>0</v>
      </c>
      <c r="L567" t="n">
        <v>0</v>
      </c>
      <c r="M567" t="n">
        <v>0</v>
      </c>
      <c r="N567" t="n">
        <v>0</v>
      </c>
      <c r="O567" t="n">
        <v>0</v>
      </c>
      <c r="P567" t="n">
        <v>0</v>
      </c>
      <c r="Q567" t="n">
        <v>0</v>
      </c>
      <c r="R567" s="2" t="inlineStr"/>
    </row>
    <row r="568" ht="15" customHeight="1">
      <c r="A568" t="inlineStr">
        <is>
          <t>A 11130-2026</t>
        </is>
      </c>
      <c r="B568" s="1" t="n">
        <v>46079.70384259259</v>
      </c>
      <c r="C568" s="1" t="n">
        <v>46106</v>
      </c>
      <c r="D568" t="inlineStr">
        <is>
          <t>SÖDERMANLANDS LÄN</t>
        </is>
      </c>
      <c r="E568" t="inlineStr">
        <is>
          <t>KATRINEHOLM</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14478-2023</t>
        </is>
      </c>
      <c r="B569" s="1" t="n">
        <v>45012.66421296296</v>
      </c>
      <c r="C569" s="1" t="n">
        <v>46106</v>
      </c>
      <c r="D569" t="inlineStr">
        <is>
          <t>SÖDERMANLANDS LÄN</t>
        </is>
      </c>
      <c r="E569" t="inlineStr">
        <is>
          <t>KATRINEHOLM</t>
        </is>
      </c>
      <c r="G569" t="n">
        <v>3.9</v>
      </c>
      <c r="H569" t="n">
        <v>0</v>
      </c>
      <c r="I569" t="n">
        <v>0</v>
      </c>
      <c r="J569" t="n">
        <v>0</v>
      </c>
      <c r="K569" t="n">
        <v>0</v>
      </c>
      <c r="L569" t="n">
        <v>0</v>
      </c>
      <c r="M569" t="n">
        <v>0</v>
      </c>
      <c r="N569" t="n">
        <v>0</v>
      </c>
      <c r="O569" t="n">
        <v>0</v>
      </c>
      <c r="P569" t="n">
        <v>0</v>
      </c>
      <c r="Q569" t="n">
        <v>0</v>
      </c>
      <c r="R569" s="2" t="inlineStr"/>
    </row>
    <row r="570" ht="15" customHeight="1">
      <c r="A570" t="inlineStr">
        <is>
          <t>A 39055-2022</t>
        </is>
      </c>
      <c r="B570" s="1" t="n">
        <v>44817</v>
      </c>
      <c r="C570" s="1" t="n">
        <v>46106</v>
      </c>
      <c r="D570" t="inlineStr">
        <is>
          <t>SÖDERMANLANDS LÄN</t>
        </is>
      </c>
      <c r="E570" t="inlineStr">
        <is>
          <t>KATRINEHOLM</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10891-2026</t>
        </is>
      </c>
      <c r="B571" s="1" t="n">
        <v>46078.78545138889</v>
      </c>
      <c r="C571" s="1" t="n">
        <v>46106</v>
      </c>
      <c r="D571" t="inlineStr">
        <is>
          <t>SÖDERMANLANDS LÄN</t>
        </is>
      </c>
      <c r="E571" t="inlineStr">
        <is>
          <t>KATRINEHOLM</t>
        </is>
      </c>
      <c r="F571" t="inlineStr">
        <is>
          <t>Allmännings- och besparingsskogar</t>
        </is>
      </c>
      <c r="G571" t="n">
        <v>1.6</v>
      </c>
      <c r="H571" t="n">
        <v>0</v>
      </c>
      <c r="I571" t="n">
        <v>0</v>
      </c>
      <c r="J571" t="n">
        <v>0</v>
      </c>
      <c r="K571" t="n">
        <v>0</v>
      </c>
      <c r="L571" t="n">
        <v>0</v>
      </c>
      <c r="M571" t="n">
        <v>0</v>
      </c>
      <c r="N571" t="n">
        <v>0</v>
      </c>
      <c r="O571" t="n">
        <v>0</v>
      </c>
      <c r="P571" t="n">
        <v>0</v>
      </c>
      <c r="Q571" t="n">
        <v>0</v>
      </c>
      <c r="R571" s="2" t="inlineStr"/>
    </row>
    <row r="572" ht="15" customHeight="1">
      <c r="A572" t="inlineStr">
        <is>
          <t>A 10892-2026</t>
        </is>
      </c>
      <c r="B572" s="1" t="n">
        <v>46078.8040625</v>
      </c>
      <c r="C572" s="1" t="n">
        <v>46106</v>
      </c>
      <c r="D572" t="inlineStr">
        <is>
          <t>SÖDERMANLANDS LÄN</t>
        </is>
      </c>
      <c r="E572" t="inlineStr">
        <is>
          <t>KATRINEHOLM</t>
        </is>
      </c>
      <c r="F572" t="inlineStr">
        <is>
          <t>Allmännings- och besparingsskogar</t>
        </is>
      </c>
      <c r="G572" t="n">
        <v>3</v>
      </c>
      <c r="H572" t="n">
        <v>0</v>
      </c>
      <c r="I572" t="n">
        <v>0</v>
      </c>
      <c r="J572" t="n">
        <v>0</v>
      </c>
      <c r="K572" t="n">
        <v>0</v>
      </c>
      <c r="L572" t="n">
        <v>0</v>
      </c>
      <c r="M572" t="n">
        <v>0</v>
      </c>
      <c r="N572" t="n">
        <v>0</v>
      </c>
      <c r="O572" t="n">
        <v>0</v>
      </c>
      <c r="P572" t="n">
        <v>0</v>
      </c>
      <c r="Q572" t="n">
        <v>0</v>
      </c>
      <c r="R572" s="2" t="inlineStr"/>
    </row>
    <row r="573" ht="15" customHeight="1">
      <c r="A573" t="inlineStr">
        <is>
          <t>A 7056-2022</t>
        </is>
      </c>
      <c r="B573" s="1" t="n">
        <v>44603</v>
      </c>
      <c r="C573" s="1" t="n">
        <v>46106</v>
      </c>
      <c r="D573" t="inlineStr">
        <is>
          <t>SÖDERMANLANDS LÄN</t>
        </is>
      </c>
      <c r="E573" t="inlineStr">
        <is>
          <t>KATRINEHOLM</t>
        </is>
      </c>
      <c r="G573" t="n">
        <v>0.5</v>
      </c>
      <c r="H573" t="n">
        <v>0</v>
      </c>
      <c r="I573" t="n">
        <v>0</v>
      </c>
      <c r="J573" t="n">
        <v>0</v>
      </c>
      <c r="K573" t="n">
        <v>0</v>
      </c>
      <c r="L573" t="n">
        <v>0</v>
      </c>
      <c r="M573" t="n">
        <v>0</v>
      </c>
      <c r="N573" t="n">
        <v>0</v>
      </c>
      <c r="O573" t="n">
        <v>0</v>
      </c>
      <c r="P573" t="n">
        <v>0</v>
      </c>
      <c r="Q573" t="n">
        <v>0</v>
      </c>
      <c r="R573" s="2" t="inlineStr"/>
    </row>
    <row r="574" ht="15" customHeight="1">
      <c r="A574" t="inlineStr">
        <is>
          <t>A 10721-2026</t>
        </is>
      </c>
      <c r="B574" s="1" t="n">
        <v>46078.46894675926</v>
      </c>
      <c r="C574" s="1" t="n">
        <v>46106</v>
      </c>
      <c r="D574" t="inlineStr">
        <is>
          <t>SÖDERMANLANDS LÄN</t>
        </is>
      </c>
      <c r="E574" t="inlineStr">
        <is>
          <t>KATRINEHOLM</t>
        </is>
      </c>
      <c r="F574" t="inlineStr">
        <is>
          <t>Allmännings- och besparingsskogar</t>
        </is>
      </c>
      <c r="G574" t="n">
        <v>1.8</v>
      </c>
      <c r="H574" t="n">
        <v>0</v>
      </c>
      <c r="I574" t="n">
        <v>0</v>
      </c>
      <c r="J574" t="n">
        <v>0</v>
      </c>
      <c r="K574" t="n">
        <v>0</v>
      </c>
      <c r="L574" t="n">
        <v>0</v>
      </c>
      <c r="M574" t="n">
        <v>0</v>
      </c>
      <c r="N574" t="n">
        <v>0</v>
      </c>
      <c r="O574" t="n">
        <v>0</v>
      </c>
      <c r="P574" t="n">
        <v>0</v>
      </c>
      <c r="Q574" t="n">
        <v>0</v>
      </c>
      <c r="R574" s="2" t="inlineStr"/>
    </row>
    <row r="575" ht="15" customHeight="1">
      <c r="A575" t="inlineStr">
        <is>
          <t>A 12937-2023</t>
        </is>
      </c>
      <c r="B575" s="1" t="n">
        <v>45001</v>
      </c>
      <c r="C575" s="1" t="n">
        <v>46106</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2473-2026</t>
        </is>
      </c>
      <c r="B576" s="1" t="n">
        <v>46037.37704861111</v>
      </c>
      <c r="C576" s="1" t="n">
        <v>46106</v>
      </c>
      <c r="D576" t="inlineStr">
        <is>
          <t>SÖDERMANLANDS LÄN</t>
        </is>
      </c>
      <c r="E576" t="inlineStr">
        <is>
          <t>KATRINEHOLM</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10893-2026</t>
        </is>
      </c>
      <c r="B577" s="1" t="n">
        <v>46078.81072916667</v>
      </c>
      <c r="C577" s="1" t="n">
        <v>46106</v>
      </c>
      <c r="D577" t="inlineStr">
        <is>
          <t>SÖDERMANLANDS LÄN</t>
        </is>
      </c>
      <c r="E577" t="inlineStr">
        <is>
          <t>KATRINEHOLM</t>
        </is>
      </c>
      <c r="F577" t="inlineStr">
        <is>
          <t>Allmännings- och besparingsskogar</t>
        </is>
      </c>
      <c r="G577" t="n">
        <v>2</v>
      </c>
      <c r="H577" t="n">
        <v>0</v>
      </c>
      <c r="I577" t="n">
        <v>0</v>
      </c>
      <c r="J577" t="n">
        <v>0</v>
      </c>
      <c r="K577" t="n">
        <v>0</v>
      </c>
      <c r="L577" t="n">
        <v>0</v>
      </c>
      <c r="M577" t="n">
        <v>0</v>
      </c>
      <c r="N577" t="n">
        <v>0</v>
      </c>
      <c r="O577" t="n">
        <v>0</v>
      </c>
      <c r="P577" t="n">
        <v>0</v>
      </c>
      <c r="Q577" t="n">
        <v>0</v>
      </c>
      <c r="R577" s="2" t="inlineStr"/>
    </row>
    <row r="578" ht="15" customHeight="1">
      <c r="A578" t="inlineStr">
        <is>
          <t>A 42896-2024</t>
        </is>
      </c>
      <c r="B578" s="1" t="n">
        <v>45566.82973379629</v>
      </c>
      <c r="C578" s="1" t="n">
        <v>46106</v>
      </c>
      <c r="D578" t="inlineStr">
        <is>
          <t>SÖDERMANLANDS LÄN</t>
        </is>
      </c>
      <c r="E578" t="inlineStr">
        <is>
          <t>KATRINEHOLM</t>
        </is>
      </c>
      <c r="G578" t="n">
        <v>4.3</v>
      </c>
      <c r="H578" t="n">
        <v>0</v>
      </c>
      <c r="I578" t="n">
        <v>0</v>
      </c>
      <c r="J578" t="n">
        <v>0</v>
      </c>
      <c r="K578" t="n">
        <v>0</v>
      </c>
      <c r="L578" t="n">
        <v>0</v>
      </c>
      <c r="M578" t="n">
        <v>0</v>
      </c>
      <c r="N578" t="n">
        <v>0</v>
      </c>
      <c r="O578" t="n">
        <v>0</v>
      </c>
      <c r="P578" t="n">
        <v>0</v>
      </c>
      <c r="Q578" t="n">
        <v>0</v>
      </c>
      <c r="R578" s="2" t="inlineStr"/>
    </row>
    <row r="579" ht="15" customHeight="1">
      <c r="A579" t="inlineStr">
        <is>
          <t>A 29008-2024</t>
        </is>
      </c>
      <c r="B579" s="1" t="n">
        <v>45481</v>
      </c>
      <c r="C579" s="1" t="n">
        <v>46106</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62419-2023</t>
        </is>
      </c>
      <c r="B580" s="1" t="n">
        <v>45268</v>
      </c>
      <c r="C580" s="1" t="n">
        <v>46106</v>
      </c>
      <c r="D580" t="inlineStr">
        <is>
          <t>SÖDERMANLANDS LÄN</t>
        </is>
      </c>
      <c r="E580" t="inlineStr">
        <is>
          <t>KATRINEHOLM</t>
        </is>
      </c>
      <c r="G580" t="n">
        <v>9</v>
      </c>
      <c r="H580" t="n">
        <v>0</v>
      </c>
      <c r="I580" t="n">
        <v>0</v>
      </c>
      <c r="J580" t="n">
        <v>0</v>
      </c>
      <c r="K580" t="n">
        <v>0</v>
      </c>
      <c r="L580" t="n">
        <v>0</v>
      </c>
      <c r="M580" t="n">
        <v>0</v>
      </c>
      <c r="N580" t="n">
        <v>0</v>
      </c>
      <c r="O580" t="n">
        <v>0</v>
      </c>
      <c r="P580" t="n">
        <v>0</v>
      </c>
      <c r="Q580" t="n">
        <v>0</v>
      </c>
      <c r="R580" s="2" t="inlineStr"/>
    </row>
    <row r="581" ht="15" customHeight="1">
      <c r="A581" t="inlineStr">
        <is>
          <t>A 53722-2023</t>
        </is>
      </c>
      <c r="B581" s="1" t="n">
        <v>45230</v>
      </c>
      <c r="C581" s="1" t="n">
        <v>46106</v>
      </c>
      <c r="D581" t="inlineStr">
        <is>
          <t>SÖDERMANLANDS LÄN</t>
        </is>
      </c>
      <c r="E581" t="inlineStr">
        <is>
          <t>KATRINEHOLM</t>
        </is>
      </c>
      <c r="F581" t="inlineStr">
        <is>
          <t>Allmännings- och besparingsskogar</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2645-2026</t>
        </is>
      </c>
      <c r="B582" s="1" t="n">
        <v>46037.62321759259</v>
      </c>
      <c r="C582" s="1" t="n">
        <v>46106</v>
      </c>
      <c r="D582" t="inlineStr">
        <is>
          <t>SÖDERMANLANDS LÄN</t>
        </is>
      </c>
      <c r="E582" t="inlineStr">
        <is>
          <t>KATRINEHOLM</t>
        </is>
      </c>
      <c r="G582" t="n">
        <v>2.1</v>
      </c>
      <c r="H582" t="n">
        <v>0</v>
      </c>
      <c r="I582" t="n">
        <v>0</v>
      </c>
      <c r="J582" t="n">
        <v>0</v>
      </c>
      <c r="K582" t="n">
        <v>0</v>
      </c>
      <c r="L582" t="n">
        <v>0</v>
      </c>
      <c r="M582" t="n">
        <v>0</v>
      </c>
      <c r="N582" t="n">
        <v>0</v>
      </c>
      <c r="O582" t="n">
        <v>0</v>
      </c>
      <c r="P582" t="n">
        <v>0</v>
      </c>
      <c r="Q582" t="n">
        <v>0</v>
      </c>
      <c r="R582" s="2" t="inlineStr"/>
    </row>
    <row r="583" ht="15" customHeight="1">
      <c r="A583" t="inlineStr">
        <is>
          <t>A 2672-2026</t>
        </is>
      </c>
      <c r="B583" s="1" t="n">
        <v>46037</v>
      </c>
      <c r="C583" s="1" t="n">
        <v>46106</v>
      </c>
      <c r="D583" t="inlineStr">
        <is>
          <t>SÖDERMANLANDS LÄN</t>
        </is>
      </c>
      <c r="E583" t="inlineStr">
        <is>
          <t>KATRINEHOLM</t>
        </is>
      </c>
      <c r="G583" t="n">
        <v>2.1</v>
      </c>
      <c r="H583" t="n">
        <v>0</v>
      </c>
      <c r="I583" t="n">
        <v>0</v>
      </c>
      <c r="J583" t="n">
        <v>0</v>
      </c>
      <c r="K583" t="n">
        <v>0</v>
      </c>
      <c r="L583" t="n">
        <v>0</v>
      </c>
      <c r="M583" t="n">
        <v>0</v>
      </c>
      <c r="N583" t="n">
        <v>0</v>
      </c>
      <c r="O583" t="n">
        <v>0</v>
      </c>
      <c r="P583" t="n">
        <v>0</v>
      </c>
      <c r="Q583" t="n">
        <v>0</v>
      </c>
      <c r="R583" s="2" t="inlineStr"/>
    </row>
    <row r="584" ht="15" customHeight="1">
      <c r="A584" t="inlineStr">
        <is>
          <t>A 38869-2024</t>
        </is>
      </c>
      <c r="B584" s="1" t="n">
        <v>45547</v>
      </c>
      <c r="C584" s="1" t="n">
        <v>46106</v>
      </c>
      <c r="D584" t="inlineStr">
        <is>
          <t>SÖDERMANLANDS LÄN</t>
        </is>
      </c>
      <c r="E584" t="inlineStr">
        <is>
          <t>KATRINEHOLM</t>
        </is>
      </c>
      <c r="G584" t="n">
        <v>2.2</v>
      </c>
      <c r="H584" t="n">
        <v>0</v>
      </c>
      <c r="I584" t="n">
        <v>0</v>
      </c>
      <c r="J584" t="n">
        <v>0</v>
      </c>
      <c r="K584" t="n">
        <v>0</v>
      </c>
      <c r="L584" t="n">
        <v>0</v>
      </c>
      <c r="M584" t="n">
        <v>0</v>
      </c>
      <c r="N584" t="n">
        <v>0</v>
      </c>
      <c r="O584" t="n">
        <v>0</v>
      </c>
      <c r="P584" t="n">
        <v>0</v>
      </c>
      <c r="Q584" t="n">
        <v>0</v>
      </c>
      <c r="R584" s="2" t="inlineStr"/>
    </row>
    <row r="585" ht="15" customHeight="1">
      <c r="A585" t="inlineStr">
        <is>
          <t>A 20214-2025</t>
        </is>
      </c>
      <c r="B585" s="1" t="n">
        <v>45772.63540509259</v>
      </c>
      <c r="C585" s="1" t="n">
        <v>46106</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62140-2022</t>
        </is>
      </c>
      <c r="B586" s="1" t="n">
        <v>44922</v>
      </c>
      <c r="C586" s="1" t="n">
        <v>46106</v>
      </c>
      <c r="D586" t="inlineStr">
        <is>
          <t>SÖDERMANLANDS LÄN</t>
        </is>
      </c>
      <c r="E586" t="inlineStr">
        <is>
          <t>KATRINEHOLM</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27375-2024</t>
        </is>
      </c>
      <c r="B587" s="1" t="n">
        <v>45473.87645833333</v>
      </c>
      <c r="C587" s="1" t="n">
        <v>46106</v>
      </c>
      <c r="D587" t="inlineStr">
        <is>
          <t>SÖDERMANLANDS LÄN</t>
        </is>
      </c>
      <c r="E587" t="inlineStr">
        <is>
          <t>KATRINEHOLM</t>
        </is>
      </c>
      <c r="F587" t="inlineStr">
        <is>
          <t>Kommuner</t>
        </is>
      </c>
      <c r="G587" t="n">
        <v>1.9</v>
      </c>
      <c r="H587" t="n">
        <v>0</v>
      </c>
      <c r="I587" t="n">
        <v>0</v>
      </c>
      <c r="J587" t="n">
        <v>0</v>
      </c>
      <c r="K587" t="n">
        <v>0</v>
      </c>
      <c r="L587" t="n">
        <v>0</v>
      </c>
      <c r="M587" t="n">
        <v>0</v>
      </c>
      <c r="N587" t="n">
        <v>0</v>
      </c>
      <c r="O587" t="n">
        <v>0</v>
      </c>
      <c r="P587" t="n">
        <v>0</v>
      </c>
      <c r="Q587" t="n">
        <v>0</v>
      </c>
      <c r="R587" s="2" t="inlineStr"/>
    </row>
    <row r="588" ht="15" customHeight="1">
      <c r="A588" t="inlineStr">
        <is>
          <t>A 7867-2024</t>
        </is>
      </c>
      <c r="B588" s="1" t="n">
        <v>45350.32991898148</v>
      </c>
      <c r="C588" s="1" t="n">
        <v>46106</v>
      </c>
      <c r="D588" t="inlineStr">
        <is>
          <t>SÖDERMANLANDS LÄN</t>
        </is>
      </c>
      <c r="E588" t="inlineStr">
        <is>
          <t>KATRINEHOLM</t>
        </is>
      </c>
      <c r="F588" t="inlineStr">
        <is>
          <t>Kyrkan</t>
        </is>
      </c>
      <c r="G588" t="n">
        <v>3.3</v>
      </c>
      <c r="H588" t="n">
        <v>0</v>
      </c>
      <c r="I588" t="n">
        <v>0</v>
      </c>
      <c r="J588" t="n">
        <v>0</v>
      </c>
      <c r="K588" t="n">
        <v>0</v>
      </c>
      <c r="L588" t="n">
        <v>0</v>
      </c>
      <c r="M588" t="n">
        <v>0</v>
      </c>
      <c r="N588" t="n">
        <v>0</v>
      </c>
      <c r="O588" t="n">
        <v>0</v>
      </c>
      <c r="P588" t="n">
        <v>0</v>
      </c>
      <c r="Q588" t="n">
        <v>0</v>
      </c>
      <c r="R588" s="2" t="inlineStr"/>
    </row>
    <row r="589" ht="15" customHeight="1">
      <c r="A589" t="inlineStr">
        <is>
          <t>A 8957-2024</t>
        </is>
      </c>
      <c r="B589" s="1" t="n">
        <v>45357.45089120371</v>
      </c>
      <c r="C589" s="1" t="n">
        <v>46106</v>
      </c>
      <c r="D589" t="inlineStr">
        <is>
          <t>SÖDERMANLANDS LÄN</t>
        </is>
      </c>
      <c r="E589" t="inlineStr">
        <is>
          <t>KATRINEHOLM</t>
        </is>
      </c>
      <c r="G589" t="n">
        <v>3.6</v>
      </c>
      <c r="H589" t="n">
        <v>0</v>
      </c>
      <c r="I589" t="n">
        <v>0</v>
      </c>
      <c r="J589" t="n">
        <v>0</v>
      </c>
      <c r="K589" t="n">
        <v>0</v>
      </c>
      <c r="L589" t="n">
        <v>0</v>
      </c>
      <c r="M589" t="n">
        <v>0</v>
      </c>
      <c r="N589" t="n">
        <v>0</v>
      </c>
      <c r="O589" t="n">
        <v>0</v>
      </c>
      <c r="P589" t="n">
        <v>0</v>
      </c>
      <c r="Q589" t="n">
        <v>0</v>
      </c>
      <c r="R589" s="2" t="inlineStr"/>
    </row>
    <row r="590" ht="15" customHeight="1">
      <c r="A590" t="inlineStr">
        <is>
          <t>A 23341-2023</t>
        </is>
      </c>
      <c r="B590" s="1" t="n">
        <v>45076</v>
      </c>
      <c r="C590" s="1" t="n">
        <v>46106</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2913-2026</t>
        </is>
      </c>
      <c r="B591" s="1" t="n">
        <v>46038.56913194444</v>
      </c>
      <c r="C591" s="1" t="n">
        <v>46106</v>
      </c>
      <c r="D591" t="inlineStr">
        <is>
          <t>SÖDERMANLANDS LÄN</t>
        </is>
      </c>
      <c r="E591" t="inlineStr">
        <is>
          <t>KATRINEHOLM</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60677-2021</t>
        </is>
      </c>
      <c r="B592" s="1" t="n">
        <v>44495</v>
      </c>
      <c r="C592" s="1" t="n">
        <v>46106</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3986-2024</t>
        </is>
      </c>
      <c r="B593" s="1" t="n">
        <v>45322</v>
      </c>
      <c r="C593" s="1" t="n">
        <v>46106</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11621-2026</t>
        </is>
      </c>
      <c r="B594" s="1" t="n">
        <v>46084.46734953704</v>
      </c>
      <c r="C594" s="1" t="n">
        <v>46106</v>
      </c>
      <c r="D594" t="inlineStr">
        <is>
          <t>SÖDERMANLANDS LÄN</t>
        </is>
      </c>
      <c r="E594" t="inlineStr">
        <is>
          <t>KATRINEHOLM</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11666-2026</t>
        </is>
      </c>
      <c r="B595" s="1" t="n">
        <v>46084.55381944445</v>
      </c>
      <c r="C595" s="1" t="n">
        <v>46106</v>
      </c>
      <c r="D595" t="inlineStr">
        <is>
          <t>SÖDERMANLANDS LÄN</t>
        </is>
      </c>
      <c r="E595" t="inlineStr">
        <is>
          <t>KATRINEHOLM</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11677-2026</t>
        </is>
      </c>
      <c r="B596" s="1" t="n">
        <v>46084.56711805556</v>
      </c>
      <c r="C596" s="1" t="n">
        <v>46106</v>
      </c>
      <c r="D596" t="inlineStr">
        <is>
          <t>SÖDERMANLANDS LÄN</t>
        </is>
      </c>
      <c r="E596" t="inlineStr">
        <is>
          <t>KATRINEHOLM</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3939-2022</t>
        </is>
      </c>
      <c r="B597" s="1" t="n">
        <v>44587</v>
      </c>
      <c r="C597" s="1" t="n">
        <v>46106</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2683-2025</t>
        </is>
      </c>
      <c r="B598" s="1" t="n">
        <v>45677</v>
      </c>
      <c r="C598" s="1" t="n">
        <v>46106</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3317-2023</t>
        </is>
      </c>
      <c r="B599" s="1" t="n">
        <v>44945</v>
      </c>
      <c r="C599" s="1" t="n">
        <v>46106</v>
      </c>
      <c r="D599" t="inlineStr">
        <is>
          <t>SÖDERMANLANDS LÄN</t>
        </is>
      </c>
      <c r="E599" t="inlineStr">
        <is>
          <t>KATRINEHOLM</t>
        </is>
      </c>
      <c r="G599" t="n">
        <v>3.2</v>
      </c>
      <c r="H599" t="n">
        <v>0</v>
      </c>
      <c r="I599" t="n">
        <v>0</v>
      </c>
      <c r="J599" t="n">
        <v>0</v>
      </c>
      <c r="K599" t="n">
        <v>0</v>
      </c>
      <c r="L599" t="n">
        <v>0</v>
      </c>
      <c r="M599" t="n">
        <v>0</v>
      </c>
      <c r="N599" t="n">
        <v>0</v>
      </c>
      <c r="O599" t="n">
        <v>0</v>
      </c>
      <c r="P599" t="n">
        <v>0</v>
      </c>
      <c r="Q599" t="n">
        <v>0</v>
      </c>
      <c r="R599" s="2" t="inlineStr"/>
    </row>
    <row r="600" ht="15" customHeight="1">
      <c r="A600" t="inlineStr">
        <is>
          <t>A 32944-2023</t>
        </is>
      </c>
      <c r="B600" s="1" t="n">
        <v>45125</v>
      </c>
      <c r="C600" s="1" t="n">
        <v>46106</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29198-2023</t>
        </is>
      </c>
      <c r="B601" s="1" t="n">
        <v>45105</v>
      </c>
      <c r="C601" s="1" t="n">
        <v>46106</v>
      </c>
      <c r="D601" t="inlineStr">
        <is>
          <t>SÖDERMANLANDS LÄN</t>
        </is>
      </c>
      <c r="E601" t="inlineStr">
        <is>
          <t>KATRINEHOLM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56661-2021</t>
        </is>
      </c>
      <c r="B602" s="1" t="n">
        <v>44481.24327546296</v>
      </c>
      <c r="C602" s="1" t="n">
        <v>46106</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45246-2023</t>
        </is>
      </c>
      <c r="B603" s="1" t="n">
        <v>45191</v>
      </c>
      <c r="C603" s="1" t="n">
        <v>46106</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55171-2023</t>
        </is>
      </c>
      <c r="B604" s="1" t="n">
        <v>45231</v>
      </c>
      <c r="C604" s="1" t="n">
        <v>46106</v>
      </c>
      <c r="D604" t="inlineStr">
        <is>
          <t>SÖDERMANLANDS LÄN</t>
        </is>
      </c>
      <c r="E604" t="inlineStr">
        <is>
          <t>KATRINEHOLM</t>
        </is>
      </c>
      <c r="G604" t="n">
        <v>4.2</v>
      </c>
      <c r="H604" t="n">
        <v>0</v>
      </c>
      <c r="I604" t="n">
        <v>0</v>
      </c>
      <c r="J604" t="n">
        <v>0</v>
      </c>
      <c r="K604" t="n">
        <v>0</v>
      </c>
      <c r="L604" t="n">
        <v>0</v>
      </c>
      <c r="M604" t="n">
        <v>0</v>
      </c>
      <c r="N604" t="n">
        <v>0</v>
      </c>
      <c r="O604" t="n">
        <v>0</v>
      </c>
      <c r="P604" t="n">
        <v>0</v>
      </c>
      <c r="Q604" t="n">
        <v>0</v>
      </c>
      <c r="R604" s="2" t="inlineStr"/>
    </row>
    <row r="605" ht="15" customHeight="1">
      <c r="A605" t="inlineStr">
        <is>
          <t>A 27376-2024</t>
        </is>
      </c>
      <c r="B605" s="1" t="n">
        <v>45473.88313657408</v>
      </c>
      <c r="C605" s="1" t="n">
        <v>46106</v>
      </c>
      <c r="D605" t="inlineStr">
        <is>
          <t>SÖDERMANLANDS LÄN</t>
        </is>
      </c>
      <c r="E605" t="inlineStr">
        <is>
          <t>KATRINEHOLM</t>
        </is>
      </c>
      <c r="F605" t="inlineStr">
        <is>
          <t>Kommuner</t>
        </is>
      </c>
      <c r="G605" t="n">
        <v>2.8</v>
      </c>
      <c r="H605" t="n">
        <v>0</v>
      </c>
      <c r="I605" t="n">
        <v>0</v>
      </c>
      <c r="J605" t="n">
        <v>0</v>
      </c>
      <c r="K605" t="n">
        <v>0</v>
      </c>
      <c r="L605" t="n">
        <v>0</v>
      </c>
      <c r="M605" t="n">
        <v>0</v>
      </c>
      <c r="N605" t="n">
        <v>0</v>
      </c>
      <c r="O605" t="n">
        <v>0</v>
      </c>
      <c r="P605" t="n">
        <v>0</v>
      </c>
      <c r="Q605" t="n">
        <v>0</v>
      </c>
      <c r="R605" s="2" t="inlineStr"/>
    </row>
    <row r="606" ht="15" customHeight="1">
      <c r="A606" t="inlineStr">
        <is>
          <t>A 48097-2023</t>
        </is>
      </c>
      <c r="B606" s="1" t="n">
        <v>45205.31987268518</v>
      </c>
      <c r="C606" s="1" t="n">
        <v>46106</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7753-2024</t>
        </is>
      </c>
      <c r="B607" s="1" t="n">
        <v>45348</v>
      </c>
      <c r="C607" s="1" t="n">
        <v>46106</v>
      </c>
      <c r="D607" t="inlineStr">
        <is>
          <t>SÖDERMANLANDS LÄN</t>
        </is>
      </c>
      <c r="E607" t="inlineStr">
        <is>
          <t>KATRINEHOLM</t>
        </is>
      </c>
      <c r="G607" t="n">
        <v>13.4</v>
      </c>
      <c r="H607" t="n">
        <v>0</v>
      </c>
      <c r="I607" t="n">
        <v>0</v>
      </c>
      <c r="J607" t="n">
        <v>0</v>
      </c>
      <c r="K607" t="n">
        <v>0</v>
      </c>
      <c r="L607" t="n">
        <v>0</v>
      </c>
      <c r="M607" t="n">
        <v>0</v>
      </c>
      <c r="N607" t="n">
        <v>0</v>
      </c>
      <c r="O607" t="n">
        <v>0</v>
      </c>
      <c r="P607" t="n">
        <v>0</v>
      </c>
      <c r="Q607" t="n">
        <v>0</v>
      </c>
      <c r="R607" s="2" t="inlineStr"/>
    </row>
    <row r="608" ht="15" customHeight="1">
      <c r="A608" t="inlineStr">
        <is>
          <t>A 61915-2021</t>
        </is>
      </c>
      <c r="B608" s="1" t="n">
        <v>44502.36780092592</v>
      </c>
      <c r="C608" s="1" t="n">
        <v>46106</v>
      </c>
      <c r="D608" t="inlineStr">
        <is>
          <t>SÖDERMANLANDS LÄN</t>
        </is>
      </c>
      <c r="E608" t="inlineStr">
        <is>
          <t>KATRINEHOLM</t>
        </is>
      </c>
      <c r="G608" t="n">
        <v>2.6</v>
      </c>
      <c r="H608" t="n">
        <v>0</v>
      </c>
      <c r="I608" t="n">
        <v>0</v>
      </c>
      <c r="J608" t="n">
        <v>0</v>
      </c>
      <c r="K608" t="n">
        <v>0</v>
      </c>
      <c r="L608" t="n">
        <v>0</v>
      </c>
      <c r="M608" t="n">
        <v>0</v>
      </c>
      <c r="N608" t="n">
        <v>0</v>
      </c>
      <c r="O608" t="n">
        <v>0</v>
      </c>
      <c r="P608" t="n">
        <v>0</v>
      </c>
      <c r="Q608" t="n">
        <v>0</v>
      </c>
      <c r="R608" s="2" t="inlineStr"/>
    </row>
    <row r="609" ht="15" customHeight="1">
      <c r="A609" t="inlineStr">
        <is>
          <t>A 55795-2023</t>
        </is>
      </c>
      <c r="B609" s="1" t="n">
        <v>45239.54861111111</v>
      </c>
      <c r="C609" s="1" t="n">
        <v>46106</v>
      </c>
      <c r="D609" t="inlineStr">
        <is>
          <t>SÖDERMANLANDS LÄN</t>
        </is>
      </c>
      <c r="E609" t="inlineStr">
        <is>
          <t>KATRINEHOLM</t>
        </is>
      </c>
      <c r="G609" t="n">
        <v>7</v>
      </c>
      <c r="H609" t="n">
        <v>0</v>
      </c>
      <c r="I609" t="n">
        <v>0</v>
      </c>
      <c r="J609" t="n">
        <v>0</v>
      </c>
      <c r="K609" t="n">
        <v>0</v>
      </c>
      <c r="L609" t="n">
        <v>0</v>
      </c>
      <c r="M609" t="n">
        <v>0</v>
      </c>
      <c r="N609" t="n">
        <v>0</v>
      </c>
      <c r="O609" t="n">
        <v>0</v>
      </c>
      <c r="P609" t="n">
        <v>0</v>
      </c>
      <c r="Q609" t="n">
        <v>0</v>
      </c>
      <c r="R609" s="2" t="inlineStr"/>
    </row>
    <row r="610" ht="15" customHeight="1">
      <c r="A610" t="inlineStr">
        <is>
          <t>A 20768-2022</t>
        </is>
      </c>
      <c r="B610" s="1" t="n">
        <v>44701.36431712963</v>
      </c>
      <c r="C610" s="1" t="n">
        <v>46106</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55846-2022</t>
        </is>
      </c>
      <c r="B611" s="1" t="n">
        <v>44888</v>
      </c>
      <c r="C611" s="1" t="n">
        <v>46106</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19452-2023</t>
        </is>
      </c>
      <c r="B612" s="1" t="n">
        <v>45050</v>
      </c>
      <c r="C612" s="1" t="n">
        <v>46106</v>
      </c>
      <c r="D612" t="inlineStr">
        <is>
          <t>SÖDERMANLANDS LÄN</t>
        </is>
      </c>
      <c r="E612" t="inlineStr">
        <is>
          <t>KATRINEHOLM</t>
        </is>
      </c>
      <c r="F612" t="inlineStr">
        <is>
          <t>Holmen skog AB</t>
        </is>
      </c>
      <c r="G612" t="n">
        <v>4.7</v>
      </c>
      <c r="H612" t="n">
        <v>0</v>
      </c>
      <c r="I612" t="n">
        <v>0</v>
      </c>
      <c r="J612" t="n">
        <v>0</v>
      </c>
      <c r="K612" t="n">
        <v>0</v>
      </c>
      <c r="L612" t="n">
        <v>0</v>
      </c>
      <c r="M612" t="n">
        <v>0</v>
      </c>
      <c r="N612" t="n">
        <v>0</v>
      </c>
      <c r="O612" t="n">
        <v>0</v>
      </c>
      <c r="P612" t="n">
        <v>0</v>
      </c>
      <c r="Q612" t="n">
        <v>0</v>
      </c>
      <c r="R612" s="2" t="inlineStr"/>
    </row>
    <row r="613" ht="15" customHeight="1">
      <c r="A613" t="inlineStr">
        <is>
          <t>A 31719-2024</t>
        </is>
      </c>
      <c r="B613" s="1" t="n">
        <v>45509</v>
      </c>
      <c r="C613" s="1" t="n">
        <v>46106</v>
      </c>
      <c r="D613" t="inlineStr">
        <is>
          <t>SÖDERMANLANDS LÄN</t>
        </is>
      </c>
      <c r="E613" t="inlineStr">
        <is>
          <t>KATRINEHOLM</t>
        </is>
      </c>
      <c r="F613" t="inlineStr">
        <is>
          <t>Kyrkan</t>
        </is>
      </c>
      <c r="G613" t="n">
        <v>11.9</v>
      </c>
      <c r="H613" t="n">
        <v>0</v>
      </c>
      <c r="I613" t="n">
        <v>0</v>
      </c>
      <c r="J613" t="n">
        <v>0</v>
      </c>
      <c r="K613" t="n">
        <v>0</v>
      </c>
      <c r="L613" t="n">
        <v>0</v>
      </c>
      <c r="M613" t="n">
        <v>0</v>
      </c>
      <c r="N613" t="n">
        <v>0</v>
      </c>
      <c r="O613" t="n">
        <v>0</v>
      </c>
      <c r="P613" t="n">
        <v>0</v>
      </c>
      <c r="Q613" t="n">
        <v>0</v>
      </c>
      <c r="R613" s="2" t="inlineStr"/>
    </row>
    <row r="614" ht="15" customHeight="1">
      <c r="A614" t="inlineStr">
        <is>
          <t>A 43837-2022</t>
        </is>
      </c>
      <c r="B614" s="1" t="n">
        <v>44838</v>
      </c>
      <c r="C614" s="1" t="n">
        <v>46106</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51397-2023</t>
        </is>
      </c>
      <c r="B615" s="1" t="n">
        <v>45214</v>
      </c>
      <c r="C615" s="1" t="n">
        <v>46106</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19670-2022</t>
        </is>
      </c>
      <c r="B616" s="1" t="n">
        <v>44694</v>
      </c>
      <c r="C616" s="1" t="n">
        <v>46106</v>
      </c>
      <c r="D616" t="inlineStr">
        <is>
          <t>SÖDERMANLANDS LÄN</t>
        </is>
      </c>
      <c r="E616" t="inlineStr">
        <is>
          <t>KATRINEHOLM</t>
        </is>
      </c>
      <c r="G616" t="n">
        <v>13.6</v>
      </c>
      <c r="H616" t="n">
        <v>0</v>
      </c>
      <c r="I616" t="n">
        <v>0</v>
      </c>
      <c r="J616" t="n">
        <v>0</v>
      </c>
      <c r="K616" t="n">
        <v>0</v>
      </c>
      <c r="L616" t="n">
        <v>0</v>
      </c>
      <c r="M616" t="n">
        <v>0</v>
      </c>
      <c r="N616" t="n">
        <v>0</v>
      </c>
      <c r="O616" t="n">
        <v>0</v>
      </c>
      <c r="P616" t="n">
        <v>0</v>
      </c>
      <c r="Q616" t="n">
        <v>0</v>
      </c>
      <c r="R616" s="2" t="inlineStr"/>
    </row>
    <row r="617" ht="15" customHeight="1">
      <c r="A617" t="inlineStr">
        <is>
          <t>A 4889-2026</t>
        </is>
      </c>
      <c r="B617" s="1" t="n">
        <v>46048.66766203703</v>
      </c>
      <c r="C617" s="1" t="n">
        <v>46106</v>
      </c>
      <c r="D617" t="inlineStr">
        <is>
          <t>SÖDERMANLANDS LÄN</t>
        </is>
      </c>
      <c r="E617" t="inlineStr">
        <is>
          <t>KATRINEHOLM</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6606-2022</t>
        </is>
      </c>
      <c r="B618" s="1" t="n">
        <v>44601</v>
      </c>
      <c r="C618" s="1" t="n">
        <v>46106</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4122-2023</t>
        </is>
      </c>
      <c r="B619" s="1" t="n">
        <v>44952</v>
      </c>
      <c r="C619" s="1" t="n">
        <v>46106</v>
      </c>
      <c r="D619" t="inlineStr">
        <is>
          <t>SÖDERMANLANDS LÄN</t>
        </is>
      </c>
      <c r="E619" t="inlineStr">
        <is>
          <t>KATRINEHOLM</t>
        </is>
      </c>
      <c r="G619" t="n">
        <v>9</v>
      </c>
      <c r="H619" t="n">
        <v>0</v>
      </c>
      <c r="I619" t="n">
        <v>0</v>
      </c>
      <c r="J619" t="n">
        <v>0</v>
      </c>
      <c r="K619" t="n">
        <v>0</v>
      </c>
      <c r="L619" t="n">
        <v>0</v>
      </c>
      <c r="M619" t="n">
        <v>0</v>
      </c>
      <c r="N619" t="n">
        <v>0</v>
      </c>
      <c r="O619" t="n">
        <v>0</v>
      </c>
      <c r="P619" t="n">
        <v>0</v>
      </c>
      <c r="Q619" t="n">
        <v>0</v>
      </c>
      <c r="R619" s="2" t="inlineStr"/>
    </row>
    <row r="620" ht="15" customHeight="1">
      <c r="A620" t="inlineStr">
        <is>
          <t>A 5703-2026</t>
        </is>
      </c>
      <c r="B620" s="1" t="n">
        <v>46051.50774305555</v>
      </c>
      <c r="C620" s="1" t="n">
        <v>46106</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23347-2023</t>
        </is>
      </c>
      <c r="B621" s="1" t="n">
        <v>45076</v>
      </c>
      <c r="C621" s="1" t="n">
        <v>46106</v>
      </c>
      <c r="D621" t="inlineStr">
        <is>
          <t>SÖDERMANLANDS LÄN</t>
        </is>
      </c>
      <c r="E621" t="inlineStr">
        <is>
          <t>KATRINEHOLM</t>
        </is>
      </c>
      <c r="G621" t="n">
        <v>4.3</v>
      </c>
      <c r="H621" t="n">
        <v>0</v>
      </c>
      <c r="I621" t="n">
        <v>0</v>
      </c>
      <c r="J621" t="n">
        <v>0</v>
      </c>
      <c r="K621" t="n">
        <v>0</v>
      </c>
      <c r="L621" t="n">
        <v>0</v>
      </c>
      <c r="M621" t="n">
        <v>0</v>
      </c>
      <c r="N621" t="n">
        <v>0</v>
      </c>
      <c r="O621" t="n">
        <v>0</v>
      </c>
      <c r="P621" t="n">
        <v>0</v>
      </c>
      <c r="Q621" t="n">
        <v>0</v>
      </c>
      <c r="R621" s="2" t="inlineStr"/>
    </row>
    <row r="622" ht="15" customHeight="1">
      <c r="A622" t="inlineStr">
        <is>
          <t>A 23916-2023</t>
        </is>
      </c>
      <c r="B622" s="1" t="n">
        <v>45075</v>
      </c>
      <c r="C622" s="1" t="n">
        <v>46106</v>
      </c>
      <c r="D622" t="inlineStr">
        <is>
          <t>SÖDERMANLANDS LÄN</t>
        </is>
      </c>
      <c r="E622" t="inlineStr">
        <is>
          <t>KATRINEHOLM</t>
        </is>
      </c>
      <c r="G622" t="n">
        <v>8</v>
      </c>
      <c r="H622" t="n">
        <v>0</v>
      </c>
      <c r="I622" t="n">
        <v>0</v>
      </c>
      <c r="J622" t="n">
        <v>0</v>
      </c>
      <c r="K622" t="n">
        <v>0</v>
      </c>
      <c r="L622" t="n">
        <v>0</v>
      </c>
      <c r="M622" t="n">
        <v>0</v>
      </c>
      <c r="N622" t="n">
        <v>0</v>
      </c>
      <c r="O622" t="n">
        <v>0</v>
      </c>
      <c r="P622" t="n">
        <v>0</v>
      </c>
      <c r="Q622" t="n">
        <v>0</v>
      </c>
      <c r="R622" s="2" t="inlineStr"/>
    </row>
    <row r="623" ht="15" customHeight="1">
      <c r="A623" t="inlineStr">
        <is>
          <t>A 33278-2024</t>
        </is>
      </c>
      <c r="B623" s="1" t="n">
        <v>45518</v>
      </c>
      <c r="C623" s="1" t="n">
        <v>46106</v>
      </c>
      <c r="D623" t="inlineStr">
        <is>
          <t>SÖDERMANLANDS LÄN</t>
        </is>
      </c>
      <c r="E623" t="inlineStr">
        <is>
          <t>KATRINEHOLM</t>
        </is>
      </c>
      <c r="G623" t="n">
        <v>2.1</v>
      </c>
      <c r="H623" t="n">
        <v>0</v>
      </c>
      <c r="I623" t="n">
        <v>0</v>
      </c>
      <c r="J623" t="n">
        <v>0</v>
      </c>
      <c r="K623" t="n">
        <v>0</v>
      </c>
      <c r="L623" t="n">
        <v>0</v>
      </c>
      <c r="M623" t="n">
        <v>0</v>
      </c>
      <c r="N623" t="n">
        <v>0</v>
      </c>
      <c r="O623" t="n">
        <v>0</v>
      </c>
      <c r="P623" t="n">
        <v>0</v>
      </c>
      <c r="Q623" t="n">
        <v>0</v>
      </c>
      <c r="R623" s="2" t="inlineStr"/>
    </row>
    <row r="624" ht="15" customHeight="1">
      <c r="A624" t="inlineStr">
        <is>
          <t>A 40186-2023</t>
        </is>
      </c>
      <c r="B624" s="1" t="n">
        <v>45169</v>
      </c>
      <c r="C624" s="1" t="n">
        <v>46106</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49700-2022</t>
        </is>
      </c>
      <c r="B625" s="1" t="n">
        <v>44862</v>
      </c>
      <c r="C625" s="1" t="n">
        <v>46106</v>
      </c>
      <c r="D625" t="inlineStr">
        <is>
          <t>SÖDERMANLANDS LÄN</t>
        </is>
      </c>
      <c r="E625" t="inlineStr">
        <is>
          <t>KATRINEHOLM</t>
        </is>
      </c>
      <c r="G625" t="n">
        <v>19.5</v>
      </c>
      <c r="H625" t="n">
        <v>0</v>
      </c>
      <c r="I625" t="n">
        <v>0</v>
      </c>
      <c r="J625" t="n">
        <v>0</v>
      </c>
      <c r="K625" t="n">
        <v>0</v>
      </c>
      <c r="L625" t="n">
        <v>0</v>
      </c>
      <c r="M625" t="n">
        <v>0</v>
      </c>
      <c r="N625" t="n">
        <v>0</v>
      </c>
      <c r="O625" t="n">
        <v>0</v>
      </c>
      <c r="P625" t="n">
        <v>0</v>
      </c>
      <c r="Q625" t="n">
        <v>0</v>
      </c>
      <c r="R625" s="2" t="inlineStr"/>
    </row>
    <row r="626" ht="15" customHeight="1">
      <c r="A626" t="inlineStr">
        <is>
          <t>A 12831-2026</t>
        </is>
      </c>
      <c r="B626" s="1" t="n">
        <v>46092.42416666666</v>
      </c>
      <c r="C626" s="1" t="n">
        <v>46106</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27955-2023</t>
        </is>
      </c>
      <c r="B627" s="1" t="n">
        <v>45098</v>
      </c>
      <c r="C627" s="1" t="n">
        <v>46106</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33141-2023</t>
        </is>
      </c>
      <c r="B628" s="1" t="n">
        <v>45126.65491898148</v>
      </c>
      <c r="C628" s="1" t="n">
        <v>46106</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46106</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9714-2024</t>
        </is>
      </c>
      <c r="B630" s="1" t="n">
        <v>45362</v>
      </c>
      <c r="C630" s="1" t="n">
        <v>46106</v>
      </c>
      <c r="D630" t="inlineStr">
        <is>
          <t>SÖDERMANLANDS LÄN</t>
        </is>
      </c>
      <c r="E630" t="inlineStr">
        <is>
          <t>KATRINEHOLM</t>
        </is>
      </c>
      <c r="G630" t="n">
        <v>4</v>
      </c>
      <c r="H630" t="n">
        <v>0</v>
      </c>
      <c r="I630" t="n">
        <v>0</v>
      </c>
      <c r="J630" t="n">
        <v>0</v>
      </c>
      <c r="K630" t="n">
        <v>0</v>
      </c>
      <c r="L630" t="n">
        <v>0</v>
      </c>
      <c r="M630" t="n">
        <v>0</v>
      </c>
      <c r="N630" t="n">
        <v>0</v>
      </c>
      <c r="O630" t="n">
        <v>0</v>
      </c>
      <c r="P630" t="n">
        <v>0</v>
      </c>
      <c r="Q630" t="n">
        <v>0</v>
      </c>
      <c r="R630" s="2" t="inlineStr"/>
    </row>
    <row r="631" ht="15" customHeight="1">
      <c r="A631" t="inlineStr">
        <is>
          <t>A 39897-2023</t>
        </is>
      </c>
      <c r="B631" s="1" t="n">
        <v>45168</v>
      </c>
      <c r="C631" s="1" t="n">
        <v>46106</v>
      </c>
      <c r="D631" t="inlineStr">
        <is>
          <t>SÖDERMANLANDS LÄN</t>
        </is>
      </c>
      <c r="E631" t="inlineStr">
        <is>
          <t>KATRINEHOLM</t>
        </is>
      </c>
      <c r="G631" t="n">
        <v>15.6</v>
      </c>
      <c r="H631" t="n">
        <v>0</v>
      </c>
      <c r="I631" t="n">
        <v>0</v>
      </c>
      <c r="J631" t="n">
        <v>0</v>
      </c>
      <c r="K631" t="n">
        <v>0</v>
      </c>
      <c r="L631" t="n">
        <v>0</v>
      </c>
      <c r="M631" t="n">
        <v>0</v>
      </c>
      <c r="N631" t="n">
        <v>0</v>
      </c>
      <c r="O631" t="n">
        <v>0</v>
      </c>
      <c r="P631" t="n">
        <v>0</v>
      </c>
      <c r="Q631" t="n">
        <v>0</v>
      </c>
      <c r="R631" s="2" t="inlineStr"/>
    </row>
    <row r="632" ht="15" customHeight="1">
      <c r="A632" t="inlineStr">
        <is>
          <t>A 2735-2025</t>
        </is>
      </c>
      <c r="B632" s="1" t="n">
        <v>45677</v>
      </c>
      <c r="C632" s="1" t="n">
        <v>46106</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20326-2023</t>
        </is>
      </c>
      <c r="B633" s="1" t="n">
        <v>45056.46821759259</v>
      </c>
      <c r="C633" s="1" t="n">
        <v>46106</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67337-2021</t>
        </is>
      </c>
      <c r="B634" s="1" t="n">
        <v>44523</v>
      </c>
      <c r="C634" s="1" t="n">
        <v>46106</v>
      </c>
      <c r="D634" t="inlineStr">
        <is>
          <t>SÖDERMANLANDS LÄN</t>
        </is>
      </c>
      <c r="E634" t="inlineStr">
        <is>
          <t>KATRINEHOLM</t>
        </is>
      </c>
      <c r="G634" t="n">
        <v>5.2</v>
      </c>
      <c r="H634" t="n">
        <v>0</v>
      </c>
      <c r="I634" t="n">
        <v>0</v>
      </c>
      <c r="J634" t="n">
        <v>0</v>
      </c>
      <c r="K634" t="n">
        <v>0</v>
      </c>
      <c r="L634" t="n">
        <v>0</v>
      </c>
      <c r="M634" t="n">
        <v>0</v>
      </c>
      <c r="N634" t="n">
        <v>0</v>
      </c>
      <c r="O634" t="n">
        <v>0</v>
      </c>
      <c r="P634" t="n">
        <v>0</v>
      </c>
      <c r="Q634" t="n">
        <v>0</v>
      </c>
      <c r="R634" s="2" t="inlineStr"/>
    </row>
    <row r="635" ht="15" customHeight="1">
      <c r="A635" t="inlineStr">
        <is>
          <t>A 9044-2022</t>
        </is>
      </c>
      <c r="B635" s="1" t="n">
        <v>44602</v>
      </c>
      <c r="C635" s="1" t="n">
        <v>46106</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69117-2021</t>
        </is>
      </c>
      <c r="B636" s="1" t="n">
        <v>44530.82445601852</v>
      </c>
      <c r="C636" s="1" t="n">
        <v>46106</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12559-2023</t>
        </is>
      </c>
      <c r="B637" s="1" t="n">
        <v>45000.36373842593</v>
      </c>
      <c r="C637" s="1" t="n">
        <v>46106</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6722-2022</t>
        </is>
      </c>
      <c r="B638" s="1" t="n">
        <v>44602</v>
      </c>
      <c r="C638" s="1" t="n">
        <v>46106</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13655-2026</t>
        </is>
      </c>
      <c r="B639" s="1" t="n">
        <v>46097.45415509259</v>
      </c>
      <c r="C639" s="1" t="n">
        <v>46106</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11872-2023</t>
        </is>
      </c>
      <c r="B640" s="1" t="n">
        <v>44995</v>
      </c>
      <c r="C640" s="1" t="n">
        <v>46106</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51848-2022</t>
        </is>
      </c>
      <c r="B641" s="1" t="n">
        <v>44872.57752314815</v>
      </c>
      <c r="C641" s="1" t="n">
        <v>46106</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13630-2026</t>
        </is>
      </c>
      <c r="B642" s="1" t="n">
        <v>46097.37490740741</v>
      </c>
      <c r="C642" s="1" t="n">
        <v>46106</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13631-2026</t>
        </is>
      </c>
      <c r="B643" s="1" t="n">
        <v>46095</v>
      </c>
      <c r="C643" s="1" t="n">
        <v>46106</v>
      </c>
      <c r="D643" t="inlineStr">
        <is>
          <t>SÖDERMANLANDS LÄN</t>
        </is>
      </c>
      <c r="E643" t="inlineStr">
        <is>
          <t>KATRINEHOLM</t>
        </is>
      </c>
      <c r="G643" t="n">
        <v>2.1</v>
      </c>
      <c r="H643" t="n">
        <v>0</v>
      </c>
      <c r="I643" t="n">
        <v>0</v>
      </c>
      <c r="J643" t="n">
        <v>0</v>
      </c>
      <c r="K643" t="n">
        <v>0</v>
      </c>
      <c r="L643" t="n">
        <v>0</v>
      </c>
      <c r="M643" t="n">
        <v>0</v>
      </c>
      <c r="N643" t="n">
        <v>0</v>
      </c>
      <c r="O643" t="n">
        <v>0</v>
      </c>
      <c r="P643" t="n">
        <v>0</v>
      </c>
      <c r="Q643" t="n">
        <v>0</v>
      </c>
      <c r="R643" s="2" t="inlineStr"/>
    </row>
    <row r="644" ht="15" customHeight="1">
      <c r="A644" t="inlineStr">
        <is>
          <t>A 13632-2026</t>
        </is>
      </c>
      <c r="B644" s="1" t="n">
        <v>46097.37996527777</v>
      </c>
      <c r="C644" s="1" t="n">
        <v>46106</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13633-2026</t>
        </is>
      </c>
      <c r="B645" s="1" t="n">
        <v>46097.38148148148</v>
      </c>
      <c r="C645" s="1" t="n">
        <v>46106</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16087-2023</t>
        </is>
      </c>
      <c r="B646" s="1" t="n">
        <v>45026</v>
      </c>
      <c r="C646" s="1" t="n">
        <v>46106</v>
      </c>
      <c r="D646" t="inlineStr">
        <is>
          <t>SÖDERMANLANDS LÄN</t>
        </is>
      </c>
      <c r="E646" t="inlineStr">
        <is>
          <t>KATRINEHOLM</t>
        </is>
      </c>
      <c r="G646" t="n">
        <v>2</v>
      </c>
      <c r="H646" t="n">
        <v>0</v>
      </c>
      <c r="I646" t="n">
        <v>0</v>
      </c>
      <c r="J646" t="n">
        <v>0</v>
      </c>
      <c r="K646" t="n">
        <v>0</v>
      </c>
      <c r="L646" t="n">
        <v>0</v>
      </c>
      <c r="M646" t="n">
        <v>0</v>
      </c>
      <c r="N646" t="n">
        <v>0</v>
      </c>
      <c r="O646" t="n">
        <v>0</v>
      </c>
      <c r="P646" t="n">
        <v>0</v>
      </c>
      <c r="Q646" t="n">
        <v>0</v>
      </c>
      <c r="R646" s="2" t="inlineStr"/>
    </row>
    <row r="647" ht="15" customHeight="1">
      <c r="A647" t="inlineStr">
        <is>
          <t>A 13841-2026</t>
        </is>
      </c>
      <c r="B647" s="1" t="n">
        <v>46098.37181712963</v>
      </c>
      <c r="C647" s="1" t="n">
        <v>46106</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21959-2022</t>
        </is>
      </c>
      <c r="B648" s="1" t="n">
        <v>44708</v>
      </c>
      <c r="C648" s="1" t="n">
        <v>46106</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42451-2023</t>
        </is>
      </c>
      <c r="B649" s="1" t="n">
        <v>45180</v>
      </c>
      <c r="C649" s="1" t="n">
        <v>46106</v>
      </c>
      <c r="D649" t="inlineStr">
        <is>
          <t>SÖDERMANLANDS LÄN</t>
        </is>
      </c>
      <c r="E649" t="inlineStr">
        <is>
          <t>KATRINEHOLM</t>
        </is>
      </c>
      <c r="G649" t="n">
        <v>3.8</v>
      </c>
      <c r="H649" t="n">
        <v>0</v>
      </c>
      <c r="I649" t="n">
        <v>0</v>
      </c>
      <c r="J649" t="n">
        <v>0</v>
      </c>
      <c r="K649" t="n">
        <v>0</v>
      </c>
      <c r="L649" t="n">
        <v>0</v>
      </c>
      <c r="M649" t="n">
        <v>0</v>
      </c>
      <c r="N649" t="n">
        <v>0</v>
      </c>
      <c r="O649" t="n">
        <v>0</v>
      </c>
      <c r="P649" t="n">
        <v>0</v>
      </c>
      <c r="Q649" t="n">
        <v>0</v>
      </c>
      <c r="R649" s="2" t="inlineStr"/>
    </row>
    <row r="650" ht="15" customHeight="1">
      <c r="A650" t="inlineStr">
        <is>
          <t>A 22506-2023</t>
        </is>
      </c>
      <c r="B650" s="1" t="n">
        <v>45071.37393518518</v>
      </c>
      <c r="C650" s="1" t="n">
        <v>46106</v>
      </c>
      <c r="D650" t="inlineStr">
        <is>
          <t>SÖDERMANLANDS LÄN</t>
        </is>
      </c>
      <c r="E650" t="inlineStr">
        <is>
          <t>KATRINEHOLM</t>
        </is>
      </c>
      <c r="F650" t="inlineStr">
        <is>
          <t>Kyrkan</t>
        </is>
      </c>
      <c r="G650" t="n">
        <v>5.9</v>
      </c>
      <c r="H650" t="n">
        <v>0</v>
      </c>
      <c r="I650" t="n">
        <v>0</v>
      </c>
      <c r="J650" t="n">
        <v>0</v>
      </c>
      <c r="K650" t="n">
        <v>0</v>
      </c>
      <c r="L650" t="n">
        <v>0</v>
      </c>
      <c r="M650" t="n">
        <v>0</v>
      </c>
      <c r="N650" t="n">
        <v>0</v>
      </c>
      <c r="O650" t="n">
        <v>0</v>
      </c>
      <c r="P650" t="n">
        <v>0</v>
      </c>
      <c r="Q650" t="n">
        <v>0</v>
      </c>
      <c r="R650" s="2" t="inlineStr"/>
    </row>
    <row r="651" ht="15" customHeight="1">
      <c r="A651" t="inlineStr">
        <is>
          <t>A 26713-2024</t>
        </is>
      </c>
      <c r="B651" s="1" t="n">
        <v>45470</v>
      </c>
      <c r="C651" s="1" t="n">
        <v>46106</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1151-2025</t>
        </is>
      </c>
      <c r="B652" s="1" t="n">
        <v>45666</v>
      </c>
      <c r="C652" s="1" t="n">
        <v>46106</v>
      </c>
      <c r="D652" t="inlineStr">
        <is>
          <t>SÖDERMANLANDS LÄN</t>
        </is>
      </c>
      <c r="E652" t="inlineStr">
        <is>
          <t>KATRINEHOLM</t>
        </is>
      </c>
      <c r="G652" t="n">
        <v>1.9</v>
      </c>
      <c r="H652" t="n">
        <v>0</v>
      </c>
      <c r="I652" t="n">
        <v>0</v>
      </c>
      <c r="J652" t="n">
        <v>0</v>
      </c>
      <c r="K652" t="n">
        <v>0</v>
      </c>
      <c r="L652" t="n">
        <v>0</v>
      </c>
      <c r="M652" t="n">
        <v>0</v>
      </c>
      <c r="N652" t="n">
        <v>0</v>
      </c>
      <c r="O652" t="n">
        <v>0</v>
      </c>
      <c r="P652" t="n">
        <v>0</v>
      </c>
      <c r="Q652" t="n">
        <v>0</v>
      </c>
      <c r="R652" s="2" t="inlineStr"/>
    </row>
    <row r="653" ht="15" customHeight="1">
      <c r="A653" t="inlineStr">
        <is>
          <t>A 36133-2021</t>
        </is>
      </c>
      <c r="B653" s="1" t="n">
        <v>44386</v>
      </c>
      <c r="C653" s="1" t="n">
        <v>46106</v>
      </c>
      <c r="D653" t="inlineStr">
        <is>
          <t>SÖDERMANLANDS LÄN</t>
        </is>
      </c>
      <c r="E653" t="inlineStr">
        <is>
          <t>KATRINEHOLM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50017-2023</t>
        </is>
      </c>
      <c r="B654" s="1" t="n">
        <v>45215</v>
      </c>
      <c r="C654" s="1" t="n">
        <v>46106</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50018-2023</t>
        </is>
      </c>
      <c r="B655" s="1" t="n">
        <v>45215</v>
      </c>
      <c r="C655" s="1" t="n">
        <v>46106</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29843-2023</t>
        </is>
      </c>
      <c r="B656" s="1" t="n">
        <v>45107</v>
      </c>
      <c r="C656" s="1" t="n">
        <v>46106</v>
      </c>
      <c r="D656" t="inlineStr">
        <is>
          <t>SÖDERMANLANDS LÄN</t>
        </is>
      </c>
      <c r="E656" t="inlineStr">
        <is>
          <t>KATRINEHOLM</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56628-2021</t>
        </is>
      </c>
      <c r="B657" s="1" t="n">
        <v>44480</v>
      </c>
      <c r="C657" s="1" t="n">
        <v>46106</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62418-2023</t>
        </is>
      </c>
      <c r="B658" s="1" t="n">
        <v>45268</v>
      </c>
      <c r="C658" s="1" t="n">
        <v>46106</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48091-2024</t>
        </is>
      </c>
      <c r="B659" s="1" t="n">
        <v>45590</v>
      </c>
      <c r="C659" s="1" t="n">
        <v>46106</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48160-2022</t>
        </is>
      </c>
      <c r="B660" s="1" t="n">
        <v>44853</v>
      </c>
      <c r="C660" s="1" t="n">
        <v>46106</v>
      </c>
      <c r="D660" t="inlineStr">
        <is>
          <t>SÖDERMANLANDS LÄN</t>
        </is>
      </c>
      <c r="E660" t="inlineStr">
        <is>
          <t>KATRINEHOLM</t>
        </is>
      </c>
      <c r="F660" t="inlineStr">
        <is>
          <t>Övriga statliga verk och myndigheter</t>
        </is>
      </c>
      <c r="G660" t="n">
        <v>2.2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46106</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46106</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46106</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46106</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46106</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46106</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46106</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46106</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22295-2024</t>
        </is>
      </c>
      <c r="B669" s="1" t="n">
        <v>45446.56141203704</v>
      </c>
      <c r="C669" s="1" t="n">
        <v>46106</v>
      </c>
      <c r="D669" t="inlineStr">
        <is>
          <t>SÖDERMANLANDS LÄN</t>
        </is>
      </c>
      <c r="E669" t="inlineStr">
        <is>
          <t>KATRINEHOLM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22272-2022</t>
        </is>
      </c>
      <c r="B670" s="1" t="n">
        <v>44712</v>
      </c>
      <c r="C670" s="1" t="n">
        <v>46106</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53715-2023</t>
        </is>
      </c>
      <c r="B671" s="1" t="n">
        <v>45230</v>
      </c>
      <c r="C671" s="1" t="n">
        <v>46106</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58175-2024</t>
        </is>
      </c>
      <c r="B672" s="1" t="n">
        <v>45632.46648148148</v>
      </c>
      <c r="C672" s="1" t="n">
        <v>46106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59474-2021</t>
        </is>
      </c>
      <c r="B673" s="1" t="n">
        <v>44491</v>
      </c>
      <c r="C673" s="1" t="n">
        <v>46106</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51923-2023</t>
        </is>
      </c>
      <c r="B674" s="1" t="n">
        <v>45223</v>
      </c>
      <c r="C674" s="1" t="n">
        <v>46106</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27875-2024</t>
        </is>
      </c>
      <c r="B675" s="1" t="n">
        <v>45475</v>
      </c>
      <c r="C675" s="1" t="n">
        <v>46106</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43088-2022</t>
        </is>
      </c>
      <c r="B676" s="1" t="n">
        <v>44833</v>
      </c>
      <c r="C676" s="1" t="n">
        <v>46106</v>
      </c>
      <c r="D676" t="inlineStr">
        <is>
          <t>SÖDERMANLANDS LÄN</t>
        </is>
      </c>
      <c r="E676" t="inlineStr">
        <is>
          <t>KATRINEHOLM</t>
        </is>
      </c>
      <c r="G676" t="n">
        <v>6.6</v>
      </c>
      <c r="H676" t="n">
        <v>0</v>
      </c>
      <c r="I676" t="n">
        <v>0</v>
      </c>
      <c r="J676" t="n">
        <v>0</v>
      </c>
      <c r="K676" t="n">
        <v>0</v>
      </c>
      <c r="L676" t="n">
        <v>0</v>
      </c>
      <c r="M676" t="n">
        <v>0</v>
      </c>
      <c r="N676" t="n">
        <v>0</v>
      </c>
      <c r="O676" t="n">
        <v>0</v>
      </c>
      <c r="P676" t="n">
        <v>0</v>
      </c>
      <c r="Q676" t="n">
        <v>0</v>
      </c>
      <c r="R676" s="2" t="inlineStr"/>
    </row>
    <row r="677" ht="15" customHeight="1">
      <c r="A677" t="inlineStr">
        <is>
          <t>A 52658-2023</t>
        </is>
      </c>
      <c r="B677" s="1" t="n">
        <v>45225</v>
      </c>
      <c r="C677" s="1" t="n">
        <v>46106</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61385-2023</t>
        </is>
      </c>
      <c r="B678" s="1" t="n">
        <v>45264.64241898148</v>
      </c>
      <c r="C678" s="1" t="n">
        <v>46106</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48030-2022</t>
        </is>
      </c>
      <c r="B679" s="1" t="n">
        <v>44855</v>
      </c>
      <c r="C679" s="1" t="n">
        <v>46106</v>
      </c>
      <c r="D679" t="inlineStr">
        <is>
          <t>SÖDERMANLANDS LÄN</t>
        </is>
      </c>
      <c r="E679" t="inlineStr">
        <is>
          <t>KATRINEHOLM</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10932-2023</t>
        </is>
      </c>
      <c r="B680" s="1" t="n">
        <v>44985</v>
      </c>
      <c r="C680" s="1" t="n">
        <v>46106</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36767-2022</t>
        </is>
      </c>
      <c r="B681" s="1" t="n">
        <v>44805</v>
      </c>
      <c r="C681" s="1" t="n">
        <v>46106</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5834-2025</t>
        </is>
      </c>
      <c r="B682" s="1" t="n">
        <v>45694</v>
      </c>
      <c r="C682" s="1" t="n">
        <v>46106</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9899-2023</t>
        </is>
      </c>
      <c r="B683" s="1" t="n">
        <v>44985</v>
      </c>
      <c r="C683" s="1" t="n">
        <v>46106</v>
      </c>
      <c r="D683" t="inlineStr">
        <is>
          <t>SÖDERMANLANDS LÄN</t>
        </is>
      </c>
      <c r="E683" t="inlineStr">
        <is>
          <t>KATRINEHOLM</t>
        </is>
      </c>
      <c r="F683" t="inlineStr">
        <is>
          <t>Allmännings- och besparingsskogar</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34263-2023</t>
        </is>
      </c>
      <c r="B684" s="1" t="n">
        <v>45138.60248842592</v>
      </c>
      <c r="C684" s="1" t="n">
        <v>46106</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6092-2025</t>
        </is>
      </c>
      <c r="B685" s="1" t="n">
        <v>45697</v>
      </c>
      <c r="C685" s="1" t="n">
        <v>46106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55863-2022</t>
        </is>
      </c>
      <c r="B686" s="1" t="n">
        <v>44888</v>
      </c>
      <c r="C686" s="1" t="n">
        <v>46106</v>
      </c>
      <c r="D686" t="inlineStr">
        <is>
          <t>SÖDERMANLANDS LÄN</t>
        </is>
      </c>
      <c r="E686" t="inlineStr">
        <is>
          <t>KATRINEHOLM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55865-2022</t>
        </is>
      </c>
      <c r="B687" s="1" t="n">
        <v>44888</v>
      </c>
      <c r="C687" s="1" t="n">
        <v>46106</v>
      </c>
      <c r="D687" t="inlineStr">
        <is>
          <t>SÖDERMANLANDS LÄN</t>
        </is>
      </c>
      <c r="E687" t="inlineStr">
        <is>
          <t>KATRINEHOLM</t>
        </is>
      </c>
      <c r="G687" t="n">
        <v>9.1</v>
      </c>
      <c r="H687" t="n">
        <v>0</v>
      </c>
      <c r="I687" t="n">
        <v>0</v>
      </c>
      <c r="J687" t="n">
        <v>0</v>
      </c>
      <c r="K687" t="n">
        <v>0</v>
      </c>
      <c r="L687" t="n">
        <v>0</v>
      </c>
      <c r="M687" t="n">
        <v>0</v>
      </c>
      <c r="N687" t="n">
        <v>0</v>
      </c>
      <c r="O687" t="n">
        <v>0</v>
      </c>
      <c r="P687" t="n">
        <v>0</v>
      </c>
      <c r="Q687" t="n">
        <v>0</v>
      </c>
      <c r="R687" s="2" t="inlineStr"/>
    </row>
    <row r="688" ht="15" customHeight="1">
      <c r="A688" t="inlineStr">
        <is>
          <t>A 10341-2022</t>
        </is>
      </c>
      <c r="B688" s="1" t="n">
        <v>44623</v>
      </c>
      <c r="C688" s="1" t="n">
        <v>46106</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9437-2022</t>
        </is>
      </c>
      <c r="B689" s="1" t="n">
        <v>44616.69246527777</v>
      </c>
      <c r="C689" s="1" t="n">
        <v>46106</v>
      </c>
      <c r="D689" t="inlineStr">
        <is>
          <t>SÖDERMANLANDS LÄN</t>
        </is>
      </c>
      <c r="E689" t="inlineStr">
        <is>
          <t>KATRINEHOLM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22345-2023</t>
        </is>
      </c>
      <c r="B690" s="1" t="n">
        <v>45070</v>
      </c>
      <c r="C690" s="1" t="n">
        <v>46106</v>
      </c>
      <c r="D690" t="inlineStr">
        <is>
          <t>SÖDERMANLANDS LÄN</t>
        </is>
      </c>
      <c r="E690" t="inlineStr">
        <is>
          <t>KATRINEHOLM</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48528-2021</t>
        </is>
      </c>
      <c r="B691" s="1" t="n">
        <v>44449</v>
      </c>
      <c r="C691" s="1" t="n">
        <v>46106</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28675-2024</t>
        </is>
      </c>
      <c r="B692" s="1" t="n">
        <v>45478</v>
      </c>
      <c r="C692" s="1" t="n">
        <v>46106</v>
      </c>
      <c r="D692" t="inlineStr">
        <is>
          <t>SÖDERMANLANDS LÄN</t>
        </is>
      </c>
      <c r="E692" t="inlineStr">
        <is>
          <t>KATRINEHOLM</t>
        </is>
      </c>
      <c r="F692" t="inlineStr">
        <is>
          <t>Övriga Aktiebolag</t>
        </is>
      </c>
      <c r="G692" t="n">
        <v>3.5</v>
      </c>
      <c r="H692" t="n">
        <v>0</v>
      </c>
      <c r="I692" t="n">
        <v>0</v>
      </c>
      <c r="J692" t="n">
        <v>0</v>
      </c>
      <c r="K692" t="n">
        <v>0</v>
      </c>
      <c r="L692" t="n">
        <v>0</v>
      </c>
      <c r="M692" t="n">
        <v>0</v>
      </c>
      <c r="N692" t="n">
        <v>0</v>
      </c>
      <c r="O692" t="n">
        <v>0</v>
      </c>
      <c r="P692" t="n">
        <v>0</v>
      </c>
      <c r="Q692" t="n">
        <v>0</v>
      </c>
      <c r="R692" s="2" t="inlineStr"/>
    </row>
    <row r="693" ht="15" customHeight="1">
      <c r="A693" t="inlineStr">
        <is>
          <t>A 33790-2024</t>
        </is>
      </c>
      <c r="B693" s="1" t="n">
        <v>45520.59179398148</v>
      </c>
      <c r="C693" s="1" t="n">
        <v>46106</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41267-2023</t>
        </is>
      </c>
      <c r="B694" s="1" t="n">
        <v>45174</v>
      </c>
      <c r="C694" s="1" t="n">
        <v>46106</v>
      </c>
      <c r="D694" t="inlineStr">
        <is>
          <t>SÖDERMANLANDS LÄN</t>
        </is>
      </c>
      <c r="E694" t="inlineStr">
        <is>
          <t>KATRINEHOLM</t>
        </is>
      </c>
      <c r="F694" t="inlineStr">
        <is>
          <t>Holmen skog AB</t>
        </is>
      </c>
      <c r="G694" t="n">
        <v>4.5</v>
      </c>
      <c r="H694" t="n">
        <v>0</v>
      </c>
      <c r="I694" t="n">
        <v>0</v>
      </c>
      <c r="J694" t="n">
        <v>0</v>
      </c>
      <c r="K694" t="n">
        <v>0</v>
      </c>
      <c r="L694" t="n">
        <v>0</v>
      </c>
      <c r="M694" t="n">
        <v>0</v>
      </c>
      <c r="N694" t="n">
        <v>0</v>
      </c>
      <c r="O694" t="n">
        <v>0</v>
      </c>
      <c r="P694" t="n">
        <v>0</v>
      </c>
      <c r="Q694" t="n">
        <v>0</v>
      </c>
      <c r="R694" s="2" t="inlineStr"/>
    </row>
    <row r="695" ht="15" customHeight="1">
      <c r="A695" t="inlineStr">
        <is>
          <t>A 53809-2021</t>
        </is>
      </c>
      <c r="B695" s="1" t="n">
        <v>44467</v>
      </c>
      <c r="C695" s="1" t="n">
        <v>46106</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4758-2025</t>
        </is>
      </c>
      <c r="B696" s="1" t="n">
        <v>45688</v>
      </c>
      <c r="C696" s="1" t="n">
        <v>46106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28317-2024</t>
        </is>
      </c>
      <c r="B697" s="1" t="n">
        <v>45477</v>
      </c>
      <c r="C697" s="1" t="n">
        <v>46106</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52348-2021</t>
        </is>
      </c>
      <c r="B698" s="1" t="n">
        <v>44464.49756944444</v>
      </c>
      <c r="C698" s="1" t="n">
        <v>46106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5795-2022</t>
        </is>
      </c>
      <c r="B699" s="1" t="n">
        <v>44596</v>
      </c>
      <c r="C699" s="1" t="n">
        <v>46106</v>
      </c>
      <c r="D699" t="inlineStr">
        <is>
          <t>SÖDERMANLANDS LÄN</t>
        </is>
      </c>
      <c r="E699" t="inlineStr">
        <is>
          <t>KATRINEHOLM</t>
        </is>
      </c>
      <c r="G699" t="n">
        <v>8.1</v>
      </c>
      <c r="H699" t="n">
        <v>0</v>
      </c>
      <c r="I699" t="n">
        <v>0</v>
      </c>
      <c r="J699" t="n">
        <v>0</v>
      </c>
      <c r="K699" t="n">
        <v>0</v>
      </c>
      <c r="L699" t="n">
        <v>0</v>
      </c>
      <c r="M699" t="n">
        <v>0</v>
      </c>
      <c r="N699" t="n">
        <v>0</v>
      </c>
      <c r="O699" t="n">
        <v>0</v>
      </c>
      <c r="P699" t="n">
        <v>0</v>
      </c>
      <c r="Q699" t="n">
        <v>0</v>
      </c>
      <c r="R699" s="2" t="inlineStr"/>
    </row>
    <row r="700" ht="15" customHeight="1">
      <c r="A700" t="inlineStr">
        <is>
          <t>A 55590-2023</t>
        </is>
      </c>
      <c r="B700" s="1" t="n">
        <v>45238</v>
      </c>
      <c r="C700" s="1" t="n">
        <v>46106</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46257-2021</t>
        </is>
      </c>
      <c r="B701" s="1" t="n">
        <v>44442</v>
      </c>
      <c r="C701" s="1" t="n">
        <v>46106</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5320-2025</t>
        </is>
      </c>
      <c r="B702" s="1" t="n">
        <v>45692</v>
      </c>
      <c r="C702" s="1" t="n">
        <v>46106</v>
      </c>
      <c r="D702" t="inlineStr">
        <is>
          <t>SÖDERMANLANDS LÄN</t>
        </is>
      </c>
      <c r="E702" t="inlineStr">
        <is>
          <t>KATRINEHOLM</t>
        </is>
      </c>
      <c r="F702" t="inlineStr">
        <is>
          <t>Kommuner</t>
        </is>
      </c>
      <c r="G702" t="n">
        <v>0.9</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46106</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44637-2023</t>
        </is>
      </c>
      <c r="B704" s="1" t="n">
        <v>45189</v>
      </c>
      <c r="C704" s="1" t="n">
        <v>46106</v>
      </c>
      <c r="D704" t="inlineStr">
        <is>
          <t>SÖDERMANLANDS LÄN</t>
        </is>
      </c>
      <c r="E704" t="inlineStr">
        <is>
          <t>KATRINEHOLM</t>
        </is>
      </c>
      <c r="G704" t="n">
        <v>5.1</v>
      </c>
      <c r="H704" t="n">
        <v>0</v>
      </c>
      <c r="I704" t="n">
        <v>0</v>
      </c>
      <c r="J704" t="n">
        <v>0</v>
      </c>
      <c r="K704" t="n">
        <v>0</v>
      </c>
      <c r="L704" t="n">
        <v>0</v>
      </c>
      <c r="M704" t="n">
        <v>0</v>
      </c>
      <c r="N704" t="n">
        <v>0</v>
      </c>
      <c r="O704" t="n">
        <v>0</v>
      </c>
      <c r="P704" t="n">
        <v>0</v>
      </c>
      <c r="Q704" t="n">
        <v>0</v>
      </c>
      <c r="R704" s="2" t="inlineStr"/>
    </row>
    <row r="705" ht="15" customHeight="1">
      <c r="A705" t="inlineStr">
        <is>
          <t>A 58522-2024</t>
        </is>
      </c>
      <c r="B705" s="1" t="n">
        <v>45635.43770833333</v>
      </c>
      <c r="C705" s="1" t="n">
        <v>46106</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20921-2023</t>
        </is>
      </c>
      <c r="B706" s="1" t="n">
        <v>45061</v>
      </c>
      <c r="C706" s="1" t="n">
        <v>46106</v>
      </c>
      <c r="D706" t="inlineStr">
        <is>
          <t>SÖDERMANLANDS LÄN</t>
        </is>
      </c>
      <c r="E706" t="inlineStr">
        <is>
          <t>KATRINEHOLM</t>
        </is>
      </c>
      <c r="G706" t="n">
        <v>8.9</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46106</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46106</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6446-2022</t>
        </is>
      </c>
      <c r="B709" s="1" t="n">
        <v>44600</v>
      </c>
      <c r="C709" s="1" t="n">
        <v>46106</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4724-2023</t>
        </is>
      </c>
      <c r="B710" s="1" t="n">
        <v>44957</v>
      </c>
      <c r="C710" s="1" t="n">
        <v>46106</v>
      </c>
      <c r="D710" t="inlineStr">
        <is>
          <t>SÖDERMANLANDS LÄN</t>
        </is>
      </c>
      <c r="E710" t="inlineStr">
        <is>
          <t>KATRINEHOLM</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61431-2024</t>
        </is>
      </c>
      <c r="B711" s="1" t="n">
        <v>45646.45950231481</v>
      </c>
      <c r="C711" s="1" t="n">
        <v>46106</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24097-2022</t>
        </is>
      </c>
      <c r="B712" s="1" t="n">
        <v>44725.39371527778</v>
      </c>
      <c r="C712" s="1" t="n">
        <v>46106</v>
      </c>
      <c r="D712" t="inlineStr">
        <is>
          <t>SÖDERMANLANDS LÄN</t>
        </is>
      </c>
      <c r="E712" t="inlineStr">
        <is>
          <t>KATRINEHOLM</t>
        </is>
      </c>
      <c r="G712" t="n">
        <v>6.5</v>
      </c>
      <c r="H712" t="n">
        <v>0</v>
      </c>
      <c r="I712" t="n">
        <v>0</v>
      </c>
      <c r="J712" t="n">
        <v>0</v>
      </c>
      <c r="K712" t="n">
        <v>0</v>
      </c>
      <c r="L712" t="n">
        <v>0</v>
      </c>
      <c r="M712" t="n">
        <v>0</v>
      </c>
      <c r="N712" t="n">
        <v>0</v>
      </c>
      <c r="O712" t="n">
        <v>0</v>
      </c>
      <c r="P712" t="n">
        <v>0</v>
      </c>
      <c r="Q712" t="n">
        <v>0</v>
      </c>
      <c r="R712" s="2" t="inlineStr"/>
    </row>
    <row r="713" ht="15" customHeight="1">
      <c r="A713" t="inlineStr">
        <is>
          <t>A 53393-2023</t>
        </is>
      </c>
      <c r="B713" s="1" t="n">
        <v>45229</v>
      </c>
      <c r="C713" s="1" t="n">
        <v>46106</v>
      </c>
      <c r="D713" t="inlineStr">
        <is>
          <t>SÖDERMANLANDS LÄN</t>
        </is>
      </c>
      <c r="E713" t="inlineStr">
        <is>
          <t>KATRINEHOLM</t>
        </is>
      </c>
      <c r="F713" t="inlineStr">
        <is>
          <t>Kyrkan</t>
        </is>
      </c>
      <c r="G713" t="n">
        <v>5.6</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46106</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20803-2024</t>
        </is>
      </c>
      <c r="B715" s="1" t="n">
        <v>45438</v>
      </c>
      <c r="C715" s="1" t="n">
        <v>46106</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15392-2023</t>
        </is>
      </c>
      <c r="B716" s="1" t="n">
        <v>45016</v>
      </c>
      <c r="C716" s="1" t="n">
        <v>46106</v>
      </c>
      <c r="D716" t="inlineStr">
        <is>
          <t>SÖDERMANLANDS LÄN</t>
        </is>
      </c>
      <c r="E716" t="inlineStr">
        <is>
          <t>KATRINEHOLM</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4645-2024</t>
        </is>
      </c>
      <c r="B717" s="1" t="n">
        <v>45328</v>
      </c>
      <c r="C717" s="1" t="n">
        <v>46106</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28508-2023</t>
        </is>
      </c>
      <c r="B718" s="1" t="n">
        <v>45103.46788194445</v>
      </c>
      <c r="C718" s="1" t="n">
        <v>46106</v>
      </c>
      <c r="D718" t="inlineStr">
        <is>
          <t>SÖDERMANLANDS LÄN</t>
        </is>
      </c>
      <c r="E718" t="inlineStr">
        <is>
          <t>KATRINEHOLM</t>
        </is>
      </c>
      <c r="F718" t="inlineStr">
        <is>
          <t>Kyrkan</t>
        </is>
      </c>
      <c r="G718" t="n">
        <v>20.5</v>
      </c>
      <c r="H718" t="n">
        <v>0</v>
      </c>
      <c r="I718" t="n">
        <v>0</v>
      </c>
      <c r="J718" t="n">
        <v>0</v>
      </c>
      <c r="K718" t="n">
        <v>0</v>
      </c>
      <c r="L718" t="n">
        <v>0</v>
      </c>
      <c r="M718" t="n">
        <v>0</v>
      </c>
      <c r="N718" t="n">
        <v>0</v>
      </c>
      <c r="O718" t="n">
        <v>0</v>
      </c>
      <c r="P718" t="n">
        <v>0</v>
      </c>
      <c r="Q718" t="n">
        <v>0</v>
      </c>
      <c r="R718" s="2" t="inlineStr"/>
    </row>
    <row r="719" ht="15" customHeight="1">
      <c r="A719" t="inlineStr">
        <is>
          <t>A 47889-2023</t>
        </is>
      </c>
      <c r="B719" s="1" t="n">
        <v>45204</v>
      </c>
      <c r="C719" s="1" t="n">
        <v>46106</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12975-2022</t>
        </is>
      </c>
      <c r="B720" s="1" t="n">
        <v>44643</v>
      </c>
      <c r="C720" s="1" t="n">
        <v>46106</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9668-2023</t>
        </is>
      </c>
      <c r="B721" s="1" t="n">
        <v>44984.41238425926</v>
      </c>
      <c r="C721" s="1" t="n">
        <v>46106</v>
      </c>
      <c r="D721" t="inlineStr">
        <is>
          <t>SÖDERMANLANDS LÄN</t>
        </is>
      </c>
      <c r="E721" t="inlineStr">
        <is>
          <t>KATRINEHOLM</t>
        </is>
      </c>
      <c r="G721" t="n">
        <v>4.8</v>
      </c>
      <c r="H721" t="n">
        <v>0</v>
      </c>
      <c r="I721" t="n">
        <v>0</v>
      </c>
      <c r="J721" t="n">
        <v>0</v>
      </c>
      <c r="K721" t="n">
        <v>0</v>
      </c>
      <c r="L721" t="n">
        <v>0</v>
      </c>
      <c r="M721" t="n">
        <v>0</v>
      </c>
      <c r="N721" t="n">
        <v>0</v>
      </c>
      <c r="O721" t="n">
        <v>0</v>
      </c>
      <c r="P721" t="n">
        <v>0</v>
      </c>
      <c r="Q721" t="n">
        <v>0</v>
      </c>
      <c r="R721" s="2" t="inlineStr"/>
    </row>
    <row r="722" ht="15" customHeight="1">
      <c r="A722" t="inlineStr">
        <is>
          <t>A 29977-2023</t>
        </is>
      </c>
      <c r="B722" s="1" t="n">
        <v>45108</v>
      </c>
      <c r="C722" s="1" t="n">
        <v>46106</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46106</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46106</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6087-2022</t>
        </is>
      </c>
      <c r="B725" s="1" t="n">
        <v>44599.61034722222</v>
      </c>
      <c r="C725" s="1" t="n">
        <v>46106</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47134-2022</t>
        </is>
      </c>
      <c r="B726" s="1" t="n">
        <v>44851</v>
      </c>
      <c r="C726" s="1" t="n">
        <v>46106</v>
      </c>
      <c r="D726" t="inlineStr">
        <is>
          <t>SÖDERMANLANDS LÄN</t>
        </is>
      </c>
      <c r="E726" t="inlineStr">
        <is>
          <t>KATRINEHOLM</t>
        </is>
      </c>
      <c r="F726" t="inlineStr">
        <is>
          <t>Övriga statliga verk och myndigheter</t>
        </is>
      </c>
      <c r="G726" t="n">
        <v>1.5</v>
      </c>
      <c r="H726" t="n">
        <v>0</v>
      </c>
      <c r="I726" t="n">
        <v>0</v>
      </c>
      <c r="J726" t="n">
        <v>0</v>
      </c>
      <c r="K726" t="n">
        <v>0</v>
      </c>
      <c r="L726" t="n">
        <v>0</v>
      </c>
      <c r="M726" t="n">
        <v>0</v>
      </c>
      <c r="N726" t="n">
        <v>0</v>
      </c>
      <c r="O726" t="n">
        <v>0</v>
      </c>
      <c r="P726" t="n">
        <v>0</v>
      </c>
      <c r="Q726" t="n">
        <v>0</v>
      </c>
      <c r="R726" s="2" t="inlineStr"/>
    </row>
    <row r="727" ht="15" customHeight="1">
      <c r="A727" t="inlineStr">
        <is>
          <t>A 12835-2024</t>
        </is>
      </c>
      <c r="B727" s="1" t="n">
        <v>45384</v>
      </c>
      <c r="C727" s="1" t="n">
        <v>46106</v>
      </c>
      <c r="D727" t="inlineStr">
        <is>
          <t>SÖDERMANLANDS LÄN</t>
        </is>
      </c>
      <c r="E727" t="inlineStr">
        <is>
          <t>KATRINEHOLM</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46106</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46106</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46106</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46106</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46106</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46106</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46106</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46106</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46106</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46106</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46106</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46106</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46106</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46106</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46106</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46106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46106</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46106</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46106</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46106</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46106</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46106</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13175-2024</t>
        </is>
      </c>
      <c r="B750" s="1" t="n">
        <v>45386</v>
      </c>
      <c r="C750" s="1" t="n">
        <v>46106</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26081-2024</t>
        </is>
      </c>
      <c r="B751" s="1" t="n">
        <v>45462</v>
      </c>
      <c r="C751" s="1" t="n">
        <v>46106</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4667-2024</t>
        </is>
      </c>
      <c r="B752" s="1" t="n">
        <v>45328.47</v>
      </c>
      <c r="C752" s="1" t="n">
        <v>46106</v>
      </c>
      <c r="D752" t="inlineStr">
        <is>
          <t>SÖDERMANLANDS LÄN</t>
        </is>
      </c>
      <c r="E752" t="inlineStr">
        <is>
          <t>KATRINEHOLM</t>
        </is>
      </c>
      <c r="F752" t="inlineStr">
        <is>
          <t>Övriga Aktiebolag</t>
        </is>
      </c>
      <c r="G752" t="n">
        <v>10.2</v>
      </c>
      <c r="H752" t="n">
        <v>0</v>
      </c>
      <c r="I752" t="n">
        <v>0</v>
      </c>
      <c r="J752" t="n">
        <v>0</v>
      </c>
      <c r="K752" t="n">
        <v>0</v>
      </c>
      <c r="L752" t="n">
        <v>0</v>
      </c>
      <c r="M752" t="n">
        <v>0</v>
      </c>
      <c r="N752" t="n">
        <v>0</v>
      </c>
      <c r="O752" t="n">
        <v>0</v>
      </c>
      <c r="P752" t="n">
        <v>0</v>
      </c>
      <c r="Q752" t="n">
        <v>0</v>
      </c>
      <c r="R752" s="2" t="inlineStr"/>
    </row>
    <row r="753" ht="15" customHeight="1">
      <c r="A753" t="inlineStr">
        <is>
          <t>A 19107-2022</t>
        </is>
      </c>
      <c r="B753" s="1" t="n">
        <v>44691.54077546296</v>
      </c>
      <c r="C753" s="1" t="n">
        <v>46106</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19442-2023</t>
        </is>
      </c>
      <c r="B754" s="1" t="n">
        <v>45050</v>
      </c>
      <c r="C754" s="1" t="n">
        <v>46106</v>
      </c>
      <c r="D754" t="inlineStr">
        <is>
          <t>SÖDERMANLANDS LÄN</t>
        </is>
      </c>
      <c r="E754" t="inlineStr">
        <is>
          <t>KATRINEHOLM</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59093-2024</t>
        </is>
      </c>
      <c r="B755" s="1" t="n">
        <v>45636</v>
      </c>
      <c r="C755" s="1" t="n">
        <v>46106</v>
      </c>
      <c r="D755" t="inlineStr">
        <is>
          <t>SÖDERMANLANDS LÄN</t>
        </is>
      </c>
      <c r="E755" t="inlineStr">
        <is>
          <t>KATRINEHOLM</t>
        </is>
      </c>
      <c r="G755" t="n">
        <v>2.8</v>
      </c>
      <c r="H755" t="n">
        <v>0</v>
      </c>
      <c r="I755" t="n">
        <v>0</v>
      </c>
      <c r="J755" t="n">
        <v>0</v>
      </c>
      <c r="K755" t="n">
        <v>0</v>
      </c>
      <c r="L755" t="n">
        <v>0</v>
      </c>
      <c r="M755" t="n">
        <v>0</v>
      </c>
      <c r="N755" t="n">
        <v>0</v>
      </c>
      <c r="O755" t="n">
        <v>0</v>
      </c>
      <c r="P755" t="n">
        <v>0</v>
      </c>
      <c r="Q755" t="n">
        <v>0</v>
      </c>
      <c r="R755" s="2" t="inlineStr"/>
    </row>
    <row r="756" ht="15" customHeight="1">
      <c r="A756" t="inlineStr">
        <is>
          <t>A 2606-2025</t>
        </is>
      </c>
      <c r="B756" s="1" t="n">
        <v>45674</v>
      </c>
      <c r="C756" s="1" t="n">
        <v>46106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48763-2024</t>
        </is>
      </c>
      <c r="B757" s="1" t="n">
        <v>45593.60288194445</v>
      </c>
      <c r="C757" s="1" t="n">
        <v>46106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38872-2024</t>
        </is>
      </c>
      <c r="B758" s="1" t="n">
        <v>45547</v>
      </c>
      <c r="C758" s="1" t="n">
        <v>46106</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46106</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46106</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39010-2021</t>
        </is>
      </c>
      <c r="B761" s="1" t="n">
        <v>44412</v>
      </c>
      <c r="C761" s="1" t="n">
        <v>46106</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6311-2025</t>
        </is>
      </c>
      <c r="B762" s="1" t="n">
        <v>45698</v>
      </c>
      <c r="C762" s="1" t="n">
        <v>46106</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46106</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46106</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24983-2024</t>
        </is>
      </c>
      <c r="B765" s="1" t="n">
        <v>45461</v>
      </c>
      <c r="C765" s="1" t="n">
        <v>46106</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46106</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32943-2024</t>
        </is>
      </c>
      <c r="B767" s="1" t="n">
        <v>45517</v>
      </c>
      <c r="C767" s="1" t="n">
        <v>46106</v>
      </c>
      <c r="D767" t="inlineStr">
        <is>
          <t>SÖDERMANLANDS LÄN</t>
        </is>
      </c>
      <c r="E767" t="inlineStr">
        <is>
          <t>KATRINEHOLM</t>
        </is>
      </c>
      <c r="G767" t="n">
        <v>1.8</v>
      </c>
      <c r="H767" t="n">
        <v>0</v>
      </c>
      <c r="I767" t="n">
        <v>0</v>
      </c>
      <c r="J767" t="n">
        <v>0</v>
      </c>
      <c r="K767" t="n">
        <v>0</v>
      </c>
      <c r="L767" t="n">
        <v>0</v>
      </c>
      <c r="M767" t="n">
        <v>0</v>
      </c>
      <c r="N767" t="n">
        <v>0</v>
      </c>
      <c r="O767" t="n">
        <v>0</v>
      </c>
      <c r="P767" t="n">
        <v>0</v>
      </c>
      <c r="Q767" t="n">
        <v>0</v>
      </c>
      <c r="R767" s="2" t="inlineStr"/>
    </row>
    <row r="768" ht="15" customHeight="1">
      <c r="A768" t="inlineStr">
        <is>
          <t>A 22476-2025</t>
        </is>
      </c>
      <c r="B768" s="1" t="n">
        <v>45786</v>
      </c>
      <c r="C768" s="1" t="n">
        <v>46106</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23838-2021</t>
        </is>
      </c>
      <c r="B769" s="1" t="n">
        <v>44335</v>
      </c>
      <c r="C769" s="1" t="n">
        <v>46106</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23050-2025</t>
        </is>
      </c>
      <c r="B770" s="1" t="n">
        <v>45790.69971064815</v>
      </c>
      <c r="C770" s="1" t="n">
        <v>46106</v>
      </c>
      <c r="D770" t="inlineStr">
        <is>
          <t>SÖDERMANLANDS LÄN</t>
        </is>
      </c>
      <c r="E770" t="inlineStr">
        <is>
          <t>KATRINEHOLM</t>
        </is>
      </c>
      <c r="G770" t="n">
        <v>3.7</v>
      </c>
      <c r="H770" t="n">
        <v>0</v>
      </c>
      <c r="I770" t="n">
        <v>0</v>
      </c>
      <c r="J770" t="n">
        <v>0</v>
      </c>
      <c r="K770" t="n">
        <v>0</v>
      </c>
      <c r="L770" t="n">
        <v>0</v>
      </c>
      <c r="M770" t="n">
        <v>0</v>
      </c>
      <c r="N770" t="n">
        <v>0</v>
      </c>
      <c r="O770" t="n">
        <v>0</v>
      </c>
      <c r="P770" t="n">
        <v>0</v>
      </c>
      <c r="Q770" t="n">
        <v>0</v>
      </c>
      <c r="R770" s="2" t="inlineStr"/>
    </row>
    <row r="771" ht="15" customHeight="1">
      <c r="A771" t="inlineStr">
        <is>
          <t>A 24902-2024</t>
        </is>
      </c>
      <c r="B771" s="1" t="n">
        <v>45461</v>
      </c>
      <c r="C771" s="1" t="n">
        <v>46106</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2603-2025</t>
        </is>
      </c>
      <c r="B772" s="1" t="n">
        <v>45674</v>
      </c>
      <c r="C772" s="1" t="n">
        <v>46106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61423-2024</t>
        </is>
      </c>
      <c r="B773" s="1" t="n">
        <v>45646.45209490741</v>
      </c>
      <c r="C773" s="1" t="n">
        <v>46106</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24605-2025</t>
        </is>
      </c>
      <c r="B774" s="1" t="n">
        <v>45798.57403935185</v>
      </c>
      <c r="C774" s="1" t="n">
        <v>46106</v>
      </c>
      <c r="D774" t="inlineStr">
        <is>
          <t>SÖDERMANLANDS LÄN</t>
        </is>
      </c>
      <c r="E774" t="inlineStr">
        <is>
          <t>KATRINEHOLM</t>
        </is>
      </c>
      <c r="G774" t="n">
        <v>7</v>
      </c>
      <c r="H774" t="n">
        <v>0</v>
      </c>
      <c r="I774" t="n">
        <v>0</v>
      </c>
      <c r="J774" t="n">
        <v>0</v>
      </c>
      <c r="K774" t="n">
        <v>0</v>
      </c>
      <c r="L774" t="n">
        <v>0</v>
      </c>
      <c r="M774" t="n">
        <v>0</v>
      </c>
      <c r="N774" t="n">
        <v>0</v>
      </c>
      <c r="O774" t="n">
        <v>0</v>
      </c>
      <c r="P774" t="n">
        <v>0</v>
      </c>
      <c r="Q774" t="n">
        <v>0</v>
      </c>
      <c r="R774" s="2" t="inlineStr"/>
    </row>
    <row r="775" ht="15" customHeight="1">
      <c r="A775" t="inlineStr">
        <is>
          <t>A 53999-2023</t>
        </is>
      </c>
      <c r="B775" s="1" t="n">
        <v>45231</v>
      </c>
      <c r="C775" s="1" t="n">
        <v>46106</v>
      </c>
      <c r="D775" t="inlineStr">
        <is>
          <t>SÖDERMANLANDS LÄN</t>
        </is>
      </c>
      <c r="E775" t="inlineStr">
        <is>
          <t>KATRINEHOLM</t>
        </is>
      </c>
      <c r="G775" t="n">
        <v>5.4</v>
      </c>
      <c r="H775" t="n">
        <v>0</v>
      </c>
      <c r="I775" t="n">
        <v>0</v>
      </c>
      <c r="J775" t="n">
        <v>0</v>
      </c>
      <c r="K775" t="n">
        <v>0</v>
      </c>
      <c r="L775" t="n">
        <v>0</v>
      </c>
      <c r="M775" t="n">
        <v>0</v>
      </c>
      <c r="N775" t="n">
        <v>0</v>
      </c>
      <c r="O775" t="n">
        <v>0</v>
      </c>
      <c r="P775" t="n">
        <v>0</v>
      </c>
      <c r="Q775" t="n">
        <v>0</v>
      </c>
      <c r="R775" s="2" t="inlineStr"/>
    </row>
    <row r="776" ht="15" customHeight="1">
      <c r="A776" t="inlineStr">
        <is>
          <t>A 41727-2024</t>
        </is>
      </c>
      <c r="B776" s="1" t="n">
        <v>45560</v>
      </c>
      <c r="C776" s="1" t="n">
        <v>46106</v>
      </c>
      <c r="D776" t="inlineStr">
        <is>
          <t>SÖDERMANLANDS LÄN</t>
        </is>
      </c>
      <c r="E776" t="inlineStr">
        <is>
          <t>KATRINEHOLM</t>
        </is>
      </c>
      <c r="G776" t="n">
        <v>3.9</v>
      </c>
      <c r="H776" t="n">
        <v>0</v>
      </c>
      <c r="I776" t="n">
        <v>0</v>
      </c>
      <c r="J776" t="n">
        <v>0</v>
      </c>
      <c r="K776" t="n">
        <v>0</v>
      </c>
      <c r="L776" t="n">
        <v>0</v>
      </c>
      <c r="M776" t="n">
        <v>0</v>
      </c>
      <c r="N776" t="n">
        <v>0</v>
      </c>
      <c r="O776" t="n">
        <v>0</v>
      </c>
      <c r="P776" t="n">
        <v>0</v>
      </c>
      <c r="Q776" t="n">
        <v>0</v>
      </c>
      <c r="R776" s="2" t="inlineStr"/>
    </row>
    <row r="777" ht="15" customHeight="1">
      <c r="A777" t="inlineStr">
        <is>
          <t>A 24566-2025</t>
        </is>
      </c>
      <c r="B777" s="1" t="n">
        <v>45798.46452546296</v>
      </c>
      <c r="C777" s="1" t="n">
        <v>46106</v>
      </c>
      <c r="D777" t="inlineStr">
        <is>
          <t>SÖDERMANLANDS LÄN</t>
        </is>
      </c>
      <c r="E777" t="inlineStr">
        <is>
          <t>KATRINEHOLM</t>
        </is>
      </c>
      <c r="G777" t="n">
        <v>6.3</v>
      </c>
      <c r="H777" t="n">
        <v>0</v>
      </c>
      <c r="I777" t="n">
        <v>0</v>
      </c>
      <c r="J777" t="n">
        <v>0</v>
      </c>
      <c r="K777" t="n">
        <v>0</v>
      </c>
      <c r="L777" t="n">
        <v>0</v>
      </c>
      <c r="M777" t="n">
        <v>0</v>
      </c>
      <c r="N777" t="n">
        <v>0</v>
      </c>
      <c r="O777" t="n">
        <v>0</v>
      </c>
      <c r="P777" t="n">
        <v>0</v>
      </c>
      <c r="Q777" t="n">
        <v>0</v>
      </c>
      <c r="R777" s="2" t="inlineStr"/>
    </row>
    <row r="778" ht="15" customHeight="1">
      <c r="A778" t="inlineStr">
        <is>
          <t>A 56086-2023</t>
        </is>
      </c>
      <c r="B778" s="1" t="n">
        <v>45240</v>
      </c>
      <c r="C778" s="1" t="n">
        <v>46106</v>
      </c>
      <c r="D778" t="inlineStr">
        <is>
          <t>SÖDERMANLANDS LÄN</t>
        </is>
      </c>
      <c r="E778" t="inlineStr">
        <is>
          <t>KATRINEHOLM</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24719-2025</t>
        </is>
      </c>
      <c r="B779" s="1" t="n">
        <v>45799</v>
      </c>
      <c r="C779" s="1" t="n">
        <v>46106</v>
      </c>
      <c r="D779" t="inlineStr">
        <is>
          <t>SÖDERMANLANDS LÄN</t>
        </is>
      </c>
      <c r="E779" t="inlineStr">
        <is>
          <t>KATRINEHOLM</t>
        </is>
      </c>
      <c r="G779" t="n">
        <v>1.8</v>
      </c>
      <c r="H779" t="n">
        <v>0</v>
      </c>
      <c r="I779" t="n">
        <v>0</v>
      </c>
      <c r="J779" t="n">
        <v>0</v>
      </c>
      <c r="K779" t="n">
        <v>0</v>
      </c>
      <c r="L779" t="n">
        <v>0</v>
      </c>
      <c r="M779" t="n">
        <v>0</v>
      </c>
      <c r="N779" t="n">
        <v>0</v>
      </c>
      <c r="O779" t="n">
        <v>0</v>
      </c>
      <c r="P779" t="n">
        <v>0</v>
      </c>
      <c r="Q779" t="n">
        <v>0</v>
      </c>
      <c r="R779" s="2" t="inlineStr"/>
    </row>
    <row r="780" ht="15" customHeight="1">
      <c r="A780" t="inlineStr">
        <is>
          <t>A 24717-2025</t>
        </is>
      </c>
      <c r="B780" s="1" t="n">
        <v>45799.27168981481</v>
      </c>
      <c r="C780" s="1" t="n">
        <v>46106</v>
      </c>
      <c r="D780" t="inlineStr">
        <is>
          <t>SÖDERMANLANDS LÄN</t>
        </is>
      </c>
      <c r="E780" t="inlineStr">
        <is>
          <t>KATRINEHOLM</t>
        </is>
      </c>
      <c r="G780" t="n">
        <v>24.5</v>
      </c>
      <c r="H780" t="n">
        <v>0</v>
      </c>
      <c r="I780" t="n">
        <v>0</v>
      </c>
      <c r="J780" t="n">
        <v>0</v>
      </c>
      <c r="K780" t="n">
        <v>0</v>
      </c>
      <c r="L780" t="n">
        <v>0</v>
      </c>
      <c r="M780" t="n">
        <v>0</v>
      </c>
      <c r="N780" t="n">
        <v>0</v>
      </c>
      <c r="O780" t="n">
        <v>0</v>
      </c>
      <c r="P780" t="n">
        <v>0</v>
      </c>
      <c r="Q780" t="n">
        <v>0</v>
      </c>
      <c r="R780" s="2" t="inlineStr"/>
    </row>
    <row r="781" ht="15" customHeight="1">
      <c r="A781" t="inlineStr">
        <is>
          <t>A 25786-2025</t>
        </is>
      </c>
      <c r="B781" s="1" t="n">
        <v>45804.37456018518</v>
      </c>
      <c r="C781" s="1" t="n">
        <v>46106</v>
      </c>
      <c r="D781" t="inlineStr">
        <is>
          <t>SÖDERMANLANDS LÄN</t>
        </is>
      </c>
      <c r="E781" t="inlineStr">
        <is>
          <t>KATRINEHOLM</t>
        </is>
      </c>
      <c r="F781" t="inlineStr">
        <is>
          <t>Holmen skog AB</t>
        </is>
      </c>
      <c r="G781" t="n">
        <v>1.3</v>
      </c>
      <c r="H781" t="n">
        <v>0</v>
      </c>
      <c r="I781" t="n">
        <v>0</v>
      </c>
      <c r="J781" t="n">
        <v>0</v>
      </c>
      <c r="K781" t="n">
        <v>0</v>
      </c>
      <c r="L781" t="n">
        <v>0</v>
      </c>
      <c r="M781" t="n">
        <v>0</v>
      </c>
      <c r="N781" t="n">
        <v>0</v>
      </c>
      <c r="O781" t="n">
        <v>0</v>
      </c>
      <c r="P781" t="n">
        <v>0</v>
      </c>
      <c r="Q781" t="n">
        <v>0</v>
      </c>
      <c r="R781" s="2" t="inlineStr"/>
    </row>
    <row r="782" ht="15" customHeight="1">
      <c r="A782" t="inlineStr">
        <is>
          <t>A 26154-2025</t>
        </is>
      </c>
      <c r="B782" s="1" t="n">
        <v>45805.43341435185</v>
      </c>
      <c r="C782" s="1" t="n">
        <v>46106</v>
      </c>
      <c r="D782" t="inlineStr">
        <is>
          <t>SÖDERMANLANDS LÄN</t>
        </is>
      </c>
      <c r="E782" t="inlineStr">
        <is>
          <t>KATRINEHOLM</t>
        </is>
      </c>
      <c r="G782" t="n">
        <v>4.5</v>
      </c>
      <c r="H782" t="n">
        <v>0</v>
      </c>
      <c r="I782" t="n">
        <v>0</v>
      </c>
      <c r="J782" t="n">
        <v>0</v>
      </c>
      <c r="K782" t="n">
        <v>0</v>
      </c>
      <c r="L782" t="n">
        <v>0</v>
      </c>
      <c r="M782" t="n">
        <v>0</v>
      </c>
      <c r="N782" t="n">
        <v>0</v>
      </c>
      <c r="O782" t="n">
        <v>0</v>
      </c>
      <c r="P782" t="n">
        <v>0</v>
      </c>
      <c r="Q782" t="n">
        <v>0</v>
      </c>
      <c r="R782" s="2" t="inlineStr"/>
    </row>
    <row r="783">
      <c r="A783" t="inlineStr">
        <is>
          <t>A 26156-2025</t>
        </is>
      </c>
      <c r="B783" s="1" t="n">
        <v>45805.43864583333</v>
      </c>
      <c r="C783" s="1" t="n">
        <v>46106</v>
      </c>
      <c r="D783" t="inlineStr">
        <is>
          <t>SÖDERMANLANDS LÄN</t>
        </is>
      </c>
      <c r="E783" t="inlineStr">
        <is>
          <t>KATRINEHOLM</t>
        </is>
      </c>
      <c r="G783" t="n">
        <v>4.1</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2026-03-25T11:36:24Z</dcterms:created>
  <dcterms:modified xmlns:dcterms="http://purl.org/dc/terms/" xmlns:xsi="http://www.w3.org/2001/XMLSchema-instance" xsi:type="dcterms:W3CDTF">2026-03-25T11:36:24Z</dcterms:modified>
</cp:coreProperties>
</file>