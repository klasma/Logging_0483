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46130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46130</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46130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46130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46130</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46130</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46130</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46130</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46130</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1150-2025</t>
        </is>
      </c>
      <c r="B27" s="1" t="n">
        <v>45666</v>
      </c>
      <c r="C27" s="1" t="n">
        <v>46130</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46130</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46130</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46130</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46130</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46130</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46130</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46130</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22474-2025</t>
        </is>
      </c>
      <c r="B35" s="1" t="n">
        <v>45786.62152777778</v>
      </c>
      <c r="C35" s="1" t="n">
        <v>46130</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46130</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46130</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27926-2025</t>
        </is>
      </c>
      <c r="B38" s="1" t="n">
        <v>45814</v>
      </c>
      <c r="C38" s="1" t="n">
        <v>46130</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41980-2025</t>
        </is>
      </c>
      <c r="B39" s="1" t="n">
        <v>45903</v>
      </c>
      <c r="C39" s="1" t="n">
        <v>46130</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8917-2024</t>
        </is>
      </c>
      <c r="B40" s="1" t="n">
        <v>45357.37618055556</v>
      </c>
      <c r="C40" s="1" t="n">
        <v>46130</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46130</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55700-2025</t>
        </is>
      </c>
      <c r="B42" s="1" t="n">
        <v>45972.45605324074</v>
      </c>
      <c r="C42" s="1" t="n">
        <v>46130</v>
      </c>
      <c r="D42" t="inlineStr">
        <is>
          <t>SÖDERMANLANDS LÄN</t>
        </is>
      </c>
      <c r="E42" t="inlineStr">
        <is>
          <t>KATRINEHOLM</t>
        </is>
      </c>
      <c r="F42" t="inlineStr">
        <is>
          <t>Kyrkan</t>
        </is>
      </c>
      <c r="G42" t="n">
        <v>6</v>
      </c>
      <c r="H42" t="n">
        <v>0</v>
      </c>
      <c r="I42" t="n">
        <v>0</v>
      </c>
      <c r="J42" t="n">
        <v>0</v>
      </c>
      <c r="K42" t="n">
        <v>1</v>
      </c>
      <c r="L42" t="n">
        <v>0</v>
      </c>
      <c r="M42" t="n">
        <v>0</v>
      </c>
      <c r="N42" t="n">
        <v>0</v>
      </c>
      <c r="O42" t="n">
        <v>1</v>
      </c>
      <c r="P42" t="n">
        <v>1</v>
      </c>
      <c r="Q42" t="n">
        <v>1</v>
      </c>
      <c r="R42" s="2" t="inlineStr">
        <is>
          <t>Ljungsnärja</t>
        </is>
      </c>
      <c r="S42">
        <f>HYPERLINK("https://klasma.github.io/Logging_0483/artfynd/A 55700-2025 artfynd.xlsx", "A 55700-2025")</f>
        <v/>
      </c>
      <c r="T42">
        <f>HYPERLINK("https://klasma.github.io/Logging_0483/kartor/A 55700-2025 karta.png", "A 55700-2025")</f>
        <v/>
      </c>
      <c r="V42">
        <f>HYPERLINK("https://klasma.github.io/Logging_0483/klagomål/A 55700-2025 FSC-klagomål.docx", "A 55700-2025")</f>
        <v/>
      </c>
      <c r="W42">
        <f>HYPERLINK("https://klasma.github.io/Logging_0483/klagomålsmail/A 55700-2025 FSC-klagomål mail.docx", "A 55700-2025")</f>
        <v/>
      </c>
      <c r="X42">
        <f>HYPERLINK("https://klasma.github.io/Logging_0483/tillsyn/A 55700-2025 tillsynsbegäran.docx", "A 55700-2025")</f>
        <v/>
      </c>
      <c r="Y42">
        <f>HYPERLINK("https://klasma.github.io/Logging_0483/tillsynsmail/A 55700-2025 tillsynsbegäran mail.docx", "A 55700-2025")</f>
        <v/>
      </c>
    </row>
    <row r="43" ht="15" customHeight="1">
      <c r="A43" t="inlineStr">
        <is>
          <t>A 48199-2025</t>
        </is>
      </c>
      <c r="B43" s="1" t="n">
        <v>45933.47856481482</v>
      </c>
      <c r="C43" s="1" t="n">
        <v>46130</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23568-2023</t>
        </is>
      </c>
      <c r="B44" s="1" t="n">
        <v>45077</v>
      </c>
      <c r="C44" s="1" t="n">
        <v>46130</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57519-2021</t>
        </is>
      </c>
      <c r="B45" s="1" t="n">
        <v>44483</v>
      </c>
      <c r="C45" s="1" t="n">
        <v>46130</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35163-2025</t>
        </is>
      </c>
      <c r="B46" s="1" t="n">
        <v>45852.71136574074</v>
      </c>
      <c r="C46" s="1" t="n">
        <v>46130</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44486-2023</t>
        </is>
      </c>
      <c r="B47" s="1" t="n">
        <v>45183</v>
      </c>
      <c r="C47" s="1" t="n">
        <v>46130</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46130</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33801-2023</t>
        </is>
      </c>
      <c r="B49" s="1" t="n">
        <v>45133</v>
      </c>
      <c r="C49" s="1" t="n">
        <v>46130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63946-2025</t>
        </is>
      </c>
      <c r="B50" s="1" t="n">
        <v>46010</v>
      </c>
      <c r="C50" s="1" t="n">
        <v>46130</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46130</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36220-2022</t>
        </is>
      </c>
      <c r="B52" s="1" t="n">
        <v>44803</v>
      </c>
      <c r="C52" s="1" t="n">
        <v>46130</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1260-2026</t>
        </is>
      </c>
      <c r="B53" s="1" t="n">
        <v>46031.45652777778</v>
      </c>
      <c r="C53" s="1" t="n">
        <v>46130</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45530-2023</t>
        </is>
      </c>
      <c r="B54" s="1" t="n">
        <v>45188</v>
      </c>
      <c r="C54" s="1" t="n">
        <v>46130</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7305-2024</t>
        </is>
      </c>
      <c r="B55" s="1" t="n">
        <v>45344</v>
      </c>
      <c r="C55" s="1" t="n">
        <v>46130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Gröngöling</t>
        </is>
      </c>
      <c r="S55">
        <f>HYPERLINK("https://klasma.github.io/Logging_0483/artfynd/A 7305-2024 artfynd.xlsx", "A 7305-2024")</f>
        <v/>
      </c>
      <c r="T55">
        <f>HYPERLINK("https://klasma.github.io/Logging_0483/kartor/A 7305-2024 karta.png", "A 7305-2024")</f>
        <v/>
      </c>
      <c r="V55">
        <f>HYPERLINK("https://klasma.github.io/Logging_0483/klagomål/A 7305-2024 FSC-klagomål.docx", "A 7305-2024")</f>
        <v/>
      </c>
      <c r="W55">
        <f>HYPERLINK("https://klasma.github.io/Logging_0483/klagomålsmail/A 7305-2024 FSC-klagomål mail.docx", "A 7305-2024")</f>
        <v/>
      </c>
      <c r="X55">
        <f>HYPERLINK("https://klasma.github.io/Logging_0483/tillsyn/A 7305-2024 tillsynsbegäran.docx", "A 7305-2024")</f>
        <v/>
      </c>
      <c r="Y55">
        <f>HYPERLINK("https://klasma.github.io/Logging_0483/tillsynsmail/A 7305-2024 tillsynsbegäran mail.docx", "A 7305-2024")</f>
        <v/>
      </c>
      <c r="Z55">
        <f>HYPERLINK("https://klasma.github.io/Logging_0483/fåglar/A 7305-2024 prioriterade fågelarter.docx", "A 7305-2024")</f>
        <v/>
      </c>
    </row>
    <row r="56" ht="15" customHeight="1">
      <c r="A56" t="inlineStr">
        <is>
          <t>A 53990-2023</t>
        </is>
      </c>
      <c r="B56" s="1" t="n">
        <v>45231</v>
      </c>
      <c r="C56" s="1" t="n">
        <v>46130</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46130</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11890-2023</t>
        </is>
      </c>
      <c r="B58" s="1" t="n">
        <v>44995</v>
      </c>
      <c r="C58" s="1" t="n">
        <v>46130</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6076-2022</t>
        </is>
      </c>
      <c r="B59" s="1" t="n">
        <v>44599</v>
      </c>
      <c r="C59" s="1" t="n">
        <v>46130</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46130</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27375-2024</t>
        </is>
      </c>
      <c r="B61" s="1" t="n">
        <v>45473.87645833333</v>
      </c>
      <c r="C61" s="1" t="n">
        <v>46130</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12238-2023</t>
        </is>
      </c>
      <c r="B62" s="1" t="n">
        <v>44995</v>
      </c>
      <c r="C62" s="1" t="n">
        <v>46130</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28985-2022</t>
        </is>
      </c>
      <c r="B63" s="1" t="n">
        <v>44749</v>
      </c>
      <c r="C63" s="1" t="n">
        <v>46130</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44413-2024</t>
        </is>
      </c>
      <c r="B64" s="1" t="n">
        <v>45573.77701388889</v>
      </c>
      <c r="C64" s="1" t="n">
        <v>46130</v>
      </c>
      <c r="D64" t="inlineStr">
        <is>
          <t>SÖDERMANLANDS LÄN</t>
        </is>
      </c>
      <c r="E64" t="inlineStr">
        <is>
          <t>KATRINEHOLM</t>
        </is>
      </c>
      <c r="G64" t="n">
        <v>0.7</v>
      </c>
      <c r="H64" t="n">
        <v>1</v>
      </c>
      <c r="I64" t="n">
        <v>0</v>
      </c>
      <c r="J64" t="n">
        <v>0</v>
      </c>
      <c r="K64" t="n">
        <v>1</v>
      </c>
      <c r="L64" t="n">
        <v>0</v>
      </c>
      <c r="M64" t="n">
        <v>0</v>
      </c>
      <c r="N64" t="n">
        <v>0</v>
      </c>
      <c r="O64" t="n">
        <v>1</v>
      </c>
      <c r="P64" t="n">
        <v>1</v>
      </c>
      <c r="Q64" t="n">
        <v>1</v>
      </c>
      <c r="R64" s="2" t="inlineStr">
        <is>
          <t>Knärot</t>
        </is>
      </c>
      <c r="S64">
        <f>HYPERLINK("https://klasma.github.io/Logging_0483/artfynd/A 44413-2024 artfynd.xlsx", "A 44413-2024")</f>
        <v/>
      </c>
      <c r="T64">
        <f>HYPERLINK("https://klasma.github.io/Logging_0483/kartor/A 44413-2024 karta.png", "A 44413-2024")</f>
        <v/>
      </c>
      <c r="U64">
        <f>HYPERLINK("https://klasma.github.io/Logging_0483/knärot/A 44413-2024 karta knärot.png", "A 44413-2024")</f>
        <v/>
      </c>
      <c r="V64">
        <f>HYPERLINK("https://klasma.github.io/Logging_0483/klagomål/A 44413-2024 FSC-klagomål.docx", "A 44413-2024")</f>
        <v/>
      </c>
      <c r="W64">
        <f>HYPERLINK("https://klasma.github.io/Logging_0483/klagomålsmail/A 44413-2024 FSC-klagomål mail.docx", "A 44413-2024")</f>
        <v/>
      </c>
      <c r="X64">
        <f>HYPERLINK("https://klasma.github.io/Logging_0483/tillsyn/A 44413-2024 tillsynsbegäran.docx", "A 44413-2024")</f>
        <v/>
      </c>
      <c r="Y64">
        <f>HYPERLINK("https://klasma.github.io/Logging_0483/tillsynsmail/A 44413-2024 tillsynsbegäran mail.docx", "A 44413-2024")</f>
        <v/>
      </c>
    </row>
    <row r="65" ht="15" customHeight="1">
      <c r="A65" t="inlineStr">
        <is>
          <t>A 36856-2021</t>
        </is>
      </c>
      <c r="B65" s="1" t="n">
        <v>44393</v>
      </c>
      <c r="C65" s="1" t="n">
        <v>46130</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46130</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46130</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40814-2022</t>
        </is>
      </c>
      <c r="B68" s="1" t="n">
        <v>44824</v>
      </c>
      <c r="C68" s="1" t="n">
        <v>46130</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46130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46130</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46130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46130</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46130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46130</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46130</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46130</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46130</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46130</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46130</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46130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46130</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46130</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46130</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46130</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46130</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46130</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46130</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46130</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46130</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46130</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46130</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46130</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46130</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46130</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46130</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46130</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46130</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46130</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46130</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46130</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46130</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46130</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46130</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46130</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46130</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46130</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46130</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46130</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46130</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46130</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46130</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46130</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46130</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46130</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46130</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46130</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46130</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46130</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46130</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46130</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46130</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46130</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46130</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46130</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46130</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46130</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46130</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46130</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46130</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46130</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46130</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46130</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46130</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46130</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46130</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46130</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46130</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46130</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46130</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46130</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46130</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46130</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46130</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46130</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46130</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46130</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46130</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46130</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46130</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46130</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46130</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46130</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46130</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46130</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46130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46130</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46130</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46130</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46130</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46130</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46130</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46130</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46130</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46130</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46130</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46130</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46130</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58473-2021</t>
        </is>
      </c>
      <c r="B183" s="1" t="n">
        <v>44488</v>
      </c>
      <c r="C183" s="1" t="n">
        <v>46130</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33538-2022</t>
        </is>
      </c>
      <c r="B184" s="1" t="n">
        <v>44789</v>
      </c>
      <c r="C184" s="1" t="n">
        <v>46130</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46130</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46130</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46130</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36210-2022</t>
        </is>
      </c>
      <c r="B188" s="1" t="n">
        <v>44803.47950231482</v>
      </c>
      <c r="C188" s="1" t="n">
        <v>46130</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46130</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46130</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9693-2024</t>
        </is>
      </c>
      <c r="B191" s="1" t="n">
        <v>45362</v>
      </c>
      <c r="C191" s="1" t="n">
        <v>46130</v>
      </c>
      <c r="D191" t="inlineStr">
        <is>
          <t>SÖDERMANLANDS LÄN</t>
        </is>
      </c>
      <c r="E191" t="inlineStr">
        <is>
          <t>KATRINEHOLM</t>
        </is>
      </c>
      <c r="G191" t="n">
        <v>5.9</v>
      </c>
      <c r="H191" t="n">
        <v>0</v>
      </c>
      <c r="I191" t="n">
        <v>0</v>
      </c>
      <c r="J191" t="n">
        <v>0</v>
      </c>
      <c r="K191" t="n">
        <v>0</v>
      </c>
      <c r="L191" t="n">
        <v>0</v>
      </c>
      <c r="M191" t="n">
        <v>0</v>
      </c>
      <c r="N191" t="n">
        <v>0</v>
      </c>
      <c r="O191" t="n">
        <v>0</v>
      </c>
      <c r="P191" t="n">
        <v>0</v>
      </c>
      <c r="Q191" t="n">
        <v>0</v>
      </c>
      <c r="R191" s="2" t="inlineStr"/>
    </row>
    <row r="192" ht="15" customHeight="1">
      <c r="A192" t="inlineStr">
        <is>
          <t>A 43964-2022</t>
        </is>
      </c>
      <c r="B192" s="1" t="n">
        <v>44837</v>
      </c>
      <c r="C192" s="1" t="n">
        <v>46130</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17246-2024</t>
        </is>
      </c>
      <c r="B193" s="1" t="n">
        <v>45414</v>
      </c>
      <c r="C193" s="1" t="n">
        <v>46130</v>
      </c>
      <c r="D193" t="inlineStr">
        <is>
          <t>SÖDERMANLANDS LÄN</t>
        </is>
      </c>
      <c r="E193" t="inlineStr">
        <is>
          <t>KATRINEHOLM</t>
        </is>
      </c>
      <c r="F193" t="inlineStr">
        <is>
          <t>Allmännings- och besparingsskogar</t>
        </is>
      </c>
      <c r="G193" t="n">
        <v>13.7</v>
      </c>
      <c r="H193" t="n">
        <v>0</v>
      </c>
      <c r="I193" t="n">
        <v>0</v>
      </c>
      <c r="J193" t="n">
        <v>0</v>
      </c>
      <c r="K193" t="n">
        <v>0</v>
      </c>
      <c r="L193" t="n">
        <v>0</v>
      </c>
      <c r="M193" t="n">
        <v>0</v>
      </c>
      <c r="N193" t="n">
        <v>0</v>
      </c>
      <c r="O193" t="n">
        <v>0</v>
      </c>
      <c r="P193" t="n">
        <v>0</v>
      </c>
      <c r="Q193" t="n">
        <v>0</v>
      </c>
      <c r="R193" s="2" t="inlineStr"/>
    </row>
    <row r="194" ht="15" customHeight="1">
      <c r="A194" t="inlineStr">
        <is>
          <t>A 20460-2025</t>
        </is>
      </c>
      <c r="B194" s="1" t="n">
        <v>45775.52854166667</v>
      </c>
      <c r="C194" s="1" t="n">
        <v>46130</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46130</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46130</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55846-2022</t>
        </is>
      </c>
      <c r="B197" s="1" t="n">
        <v>44888</v>
      </c>
      <c r="C197" s="1" t="n">
        <v>46130</v>
      </c>
      <c r="D197" t="inlineStr">
        <is>
          <t>SÖDERMANLANDS LÄN</t>
        </is>
      </c>
      <c r="E197" t="inlineStr">
        <is>
          <t>KATRINEHOLM</t>
        </is>
      </c>
      <c r="G197" t="n">
        <v>6.5</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46130</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46130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46130</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53722-2023</t>
        </is>
      </c>
      <c r="B201" s="1" t="n">
        <v>45230</v>
      </c>
      <c r="C201" s="1" t="n">
        <v>46130</v>
      </c>
      <c r="D201" t="inlineStr">
        <is>
          <t>SÖDERMANLANDS LÄN</t>
        </is>
      </c>
      <c r="E201" t="inlineStr">
        <is>
          <t>KATRINEHOLM</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6311-2025</t>
        </is>
      </c>
      <c r="B202" s="1" t="n">
        <v>45698</v>
      </c>
      <c r="C202" s="1" t="n">
        <v>46130</v>
      </c>
      <c r="D202" t="inlineStr">
        <is>
          <t>SÖDERMANLANDS LÄN</t>
        </is>
      </c>
      <c r="E202" t="inlineStr">
        <is>
          <t>KATRINEHOLM</t>
        </is>
      </c>
      <c r="G202" t="n">
        <v>0.3</v>
      </c>
      <c r="H202" t="n">
        <v>0</v>
      </c>
      <c r="I202" t="n">
        <v>0</v>
      </c>
      <c r="J202" t="n">
        <v>0</v>
      </c>
      <c r="K202" t="n">
        <v>0</v>
      </c>
      <c r="L202" t="n">
        <v>0</v>
      </c>
      <c r="M202" t="n">
        <v>0</v>
      </c>
      <c r="N202" t="n">
        <v>0</v>
      </c>
      <c r="O202" t="n">
        <v>0</v>
      </c>
      <c r="P202" t="n">
        <v>0</v>
      </c>
      <c r="Q202" t="n">
        <v>0</v>
      </c>
      <c r="R202" s="2" t="inlineStr"/>
    </row>
    <row r="203" ht="15" customHeight="1">
      <c r="A203" t="inlineStr">
        <is>
          <t>A 55863-2022</t>
        </is>
      </c>
      <c r="B203" s="1" t="n">
        <v>44888</v>
      </c>
      <c r="C203" s="1" t="n">
        <v>46130</v>
      </c>
      <c r="D203" t="inlineStr">
        <is>
          <t>SÖDERMANLANDS LÄN</t>
        </is>
      </c>
      <c r="E203" t="inlineStr">
        <is>
          <t>KATRINEHOLM</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55865-2022</t>
        </is>
      </c>
      <c r="B204" s="1" t="n">
        <v>44888</v>
      </c>
      <c r="C204" s="1" t="n">
        <v>46130</v>
      </c>
      <c r="D204" t="inlineStr">
        <is>
          <t>SÖDERMANLANDS LÄN</t>
        </is>
      </c>
      <c r="E204" t="inlineStr">
        <is>
          <t>KATRINEHOLM</t>
        </is>
      </c>
      <c r="G204" t="n">
        <v>9.1</v>
      </c>
      <c r="H204" t="n">
        <v>0</v>
      </c>
      <c r="I204" t="n">
        <v>0</v>
      </c>
      <c r="J204" t="n">
        <v>0</v>
      </c>
      <c r="K204" t="n">
        <v>0</v>
      </c>
      <c r="L204" t="n">
        <v>0</v>
      </c>
      <c r="M204" t="n">
        <v>0</v>
      </c>
      <c r="N204" t="n">
        <v>0</v>
      </c>
      <c r="O204" t="n">
        <v>0</v>
      </c>
      <c r="P204" t="n">
        <v>0</v>
      </c>
      <c r="Q204" t="n">
        <v>0</v>
      </c>
      <c r="R204" s="2" t="inlineStr"/>
    </row>
    <row r="205" ht="15" customHeight="1">
      <c r="A205" t="inlineStr">
        <is>
          <t>A 35228-2025</t>
        </is>
      </c>
      <c r="B205" s="1" t="n">
        <v>45853</v>
      </c>
      <c r="C205" s="1" t="n">
        <v>46130</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48520-2023</t>
        </is>
      </c>
      <c r="B206" s="1" t="n">
        <v>45208</v>
      </c>
      <c r="C206" s="1" t="n">
        <v>46130</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56661-2021</t>
        </is>
      </c>
      <c r="B207" s="1" t="n">
        <v>44481.24327546296</v>
      </c>
      <c r="C207" s="1" t="n">
        <v>46130</v>
      </c>
      <c r="D207" t="inlineStr">
        <is>
          <t>SÖDERMANLANDS LÄN</t>
        </is>
      </c>
      <c r="E207" t="inlineStr">
        <is>
          <t>KATRINEHOLM</t>
        </is>
      </c>
      <c r="G207" t="n">
        <v>5.8</v>
      </c>
      <c r="H207" t="n">
        <v>0</v>
      </c>
      <c r="I207" t="n">
        <v>0</v>
      </c>
      <c r="J207" t="n">
        <v>0</v>
      </c>
      <c r="K207" t="n">
        <v>0</v>
      </c>
      <c r="L207" t="n">
        <v>0</v>
      </c>
      <c r="M207" t="n">
        <v>0</v>
      </c>
      <c r="N207" t="n">
        <v>0</v>
      </c>
      <c r="O207" t="n">
        <v>0</v>
      </c>
      <c r="P207" t="n">
        <v>0</v>
      </c>
      <c r="Q207" t="n">
        <v>0</v>
      </c>
      <c r="R207" s="2" t="inlineStr"/>
    </row>
    <row r="208" ht="15" customHeight="1">
      <c r="A208" t="inlineStr">
        <is>
          <t>A 28394-2023</t>
        </is>
      </c>
      <c r="B208" s="1" t="n">
        <v>45100</v>
      </c>
      <c r="C208" s="1" t="n">
        <v>46130</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4122-2023</t>
        </is>
      </c>
      <c r="B209" s="1" t="n">
        <v>44952</v>
      </c>
      <c r="C209" s="1" t="n">
        <v>46130</v>
      </c>
      <c r="D209" t="inlineStr">
        <is>
          <t>SÖDERMANLANDS LÄN</t>
        </is>
      </c>
      <c r="E209" t="inlineStr">
        <is>
          <t>KATRINEHOLM</t>
        </is>
      </c>
      <c r="G209" t="n">
        <v>9</v>
      </c>
      <c r="H209" t="n">
        <v>0</v>
      </c>
      <c r="I209" t="n">
        <v>0</v>
      </c>
      <c r="J209" t="n">
        <v>0</v>
      </c>
      <c r="K209" t="n">
        <v>0</v>
      </c>
      <c r="L209" t="n">
        <v>0</v>
      </c>
      <c r="M209" t="n">
        <v>0</v>
      </c>
      <c r="N209" t="n">
        <v>0</v>
      </c>
      <c r="O209" t="n">
        <v>0</v>
      </c>
      <c r="P209" t="n">
        <v>0</v>
      </c>
      <c r="Q209" t="n">
        <v>0</v>
      </c>
      <c r="R209" s="2" t="inlineStr"/>
    </row>
    <row r="210" ht="15" customHeight="1">
      <c r="A210" t="inlineStr">
        <is>
          <t>A 23838-2021</t>
        </is>
      </c>
      <c r="B210" s="1" t="n">
        <v>44335</v>
      </c>
      <c r="C210" s="1" t="n">
        <v>46130</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32943-2024</t>
        </is>
      </c>
      <c r="B211" s="1" t="n">
        <v>45517</v>
      </c>
      <c r="C211" s="1" t="n">
        <v>46130</v>
      </c>
      <c r="D211" t="inlineStr">
        <is>
          <t>SÖDERMANLANDS LÄN</t>
        </is>
      </c>
      <c r="E211" t="inlineStr">
        <is>
          <t>KATRINEHOLM</t>
        </is>
      </c>
      <c r="G211" t="n">
        <v>1.8</v>
      </c>
      <c r="H211" t="n">
        <v>0</v>
      </c>
      <c r="I211" t="n">
        <v>0</v>
      </c>
      <c r="J211" t="n">
        <v>0</v>
      </c>
      <c r="K211" t="n">
        <v>0</v>
      </c>
      <c r="L211" t="n">
        <v>0</v>
      </c>
      <c r="M211" t="n">
        <v>0</v>
      </c>
      <c r="N211" t="n">
        <v>0</v>
      </c>
      <c r="O211" t="n">
        <v>0</v>
      </c>
      <c r="P211" t="n">
        <v>0</v>
      </c>
      <c r="Q211" t="n">
        <v>0</v>
      </c>
      <c r="R211" s="2" t="inlineStr"/>
    </row>
    <row r="212" ht="15" customHeight="1">
      <c r="A212" t="inlineStr">
        <is>
          <t>A 51780-2025</t>
        </is>
      </c>
      <c r="B212" s="1" t="n">
        <v>45951.65725694445</v>
      </c>
      <c r="C212" s="1" t="n">
        <v>46130</v>
      </c>
      <c r="D212" t="inlineStr">
        <is>
          <t>SÖDERMANLANDS LÄN</t>
        </is>
      </c>
      <c r="E212" t="inlineStr">
        <is>
          <t>KATRINEHOLM</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55795-2023</t>
        </is>
      </c>
      <c r="B213" s="1" t="n">
        <v>45239.54861111111</v>
      </c>
      <c r="C213" s="1" t="n">
        <v>46130</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46130</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22119-2025</t>
        </is>
      </c>
      <c r="B215" s="1" t="n">
        <v>45785</v>
      </c>
      <c r="C215" s="1" t="n">
        <v>46130</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46130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46130</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51774-2025</t>
        </is>
      </c>
      <c r="B218" s="1" t="n">
        <v>45951.65359953704</v>
      </c>
      <c r="C218" s="1" t="n">
        <v>46130</v>
      </c>
      <c r="D218" t="inlineStr">
        <is>
          <t>SÖDERMANLANDS LÄN</t>
        </is>
      </c>
      <c r="E218" t="inlineStr">
        <is>
          <t>KATRINEHOLM</t>
        </is>
      </c>
      <c r="F218" t="inlineStr">
        <is>
          <t>Allmännings- och besparingsskogar</t>
        </is>
      </c>
      <c r="G218" t="n">
        <v>3.7</v>
      </c>
      <c r="H218" t="n">
        <v>0</v>
      </c>
      <c r="I218" t="n">
        <v>0</v>
      </c>
      <c r="J218" t="n">
        <v>0</v>
      </c>
      <c r="K218" t="n">
        <v>0</v>
      </c>
      <c r="L218" t="n">
        <v>0</v>
      </c>
      <c r="M218" t="n">
        <v>0</v>
      </c>
      <c r="N218" t="n">
        <v>0</v>
      </c>
      <c r="O218" t="n">
        <v>0</v>
      </c>
      <c r="P218" t="n">
        <v>0</v>
      </c>
      <c r="Q218" t="n">
        <v>0</v>
      </c>
      <c r="R218" s="2" t="inlineStr"/>
    </row>
    <row r="219" ht="15" customHeight="1">
      <c r="A219" t="inlineStr">
        <is>
          <t>A 51783-2025</t>
        </is>
      </c>
      <c r="B219" s="1" t="n">
        <v>45951.67546296296</v>
      </c>
      <c r="C219" s="1" t="n">
        <v>46130</v>
      </c>
      <c r="D219" t="inlineStr">
        <is>
          <t>SÖDERMANLANDS LÄN</t>
        </is>
      </c>
      <c r="E219" t="inlineStr">
        <is>
          <t>KATRINEHOLM</t>
        </is>
      </c>
      <c r="F219" t="inlineStr">
        <is>
          <t>Allmännings- och besparingsskogar</t>
        </is>
      </c>
      <c r="G219" t="n">
        <v>5.8</v>
      </c>
      <c r="H219" t="n">
        <v>0</v>
      </c>
      <c r="I219" t="n">
        <v>0</v>
      </c>
      <c r="J219" t="n">
        <v>0</v>
      </c>
      <c r="K219" t="n">
        <v>0</v>
      </c>
      <c r="L219" t="n">
        <v>0</v>
      </c>
      <c r="M219" t="n">
        <v>0</v>
      </c>
      <c r="N219" t="n">
        <v>0</v>
      </c>
      <c r="O219" t="n">
        <v>0</v>
      </c>
      <c r="P219" t="n">
        <v>0</v>
      </c>
      <c r="Q219" t="n">
        <v>0</v>
      </c>
      <c r="R219" s="2" t="inlineStr"/>
    </row>
    <row r="220" ht="15" customHeight="1">
      <c r="A220" t="inlineStr">
        <is>
          <t>A 36767-2022</t>
        </is>
      </c>
      <c r="B220" s="1" t="n">
        <v>44805</v>
      </c>
      <c r="C220" s="1" t="n">
        <v>46130</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33712-2022</t>
        </is>
      </c>
      <c r="B221" s="1" t="n">
        <v>44789</v>
      </c>
      <c r="C221" s="1" t="n">
        <v>46130</v>
      </c>
      <c r="D221" t="inlineStr">
        <is>
          <t>SÖDERMANLANDS LÄN</t>
        </is>
      </c>
      <c r="E221" t="inlineStr">
        <is>
          <t>KATRINEHOLM</t>
        </is>
      </c>
      <c r="G221" t="n">
        <v>4.3</v>
      </c>
      <c r="H221" t="n">
        <v>0</v>
      </c>
      <c r="I221" t="n">
        <v>0</v>
      </c>
      <c r="J221" t="n">
        <v>0</v>
      </c>
      <c r="K221" t="n">
        <v>0</v>
      </c>
      <c r="L221" t="n">
        <v>0</v>
      </c>
      <c r="M221" t="n">
        <v>0</v>
      </c>
      <c r="N221" t="n">
        <v>0</v>
      </c>
      <c r="O221" t="n">
        <v>0</v>
      </c>
      <c r="P221" t="n">
        <v>0</v>
      </c>
      <c r="Q221" t="n">
        <v>0</v>
      </c>
      <c r="R221" s="2" t="inlineStr"/>
    </row>
    <row r="222" ht="15" customHeight="1">
      <c r="A222" t="inlineStr">
        <is>
          <t>A 55034-2021</t>
        </is>
      </c>
      <c r="B222" s="1" t="n">
        <v>44474</v>
      </c>
      <c r="C222" s="1" t="n">
        <v>46130</v>
      </c>
      <c r="D222" t="inlineStr">
        <is>
          <t>SÖDERMANLANDS LÄN</t>
        </is>
      </c>
      <c r="E222" t="inlineStr">
        <is>
          <t>KATRINEHOLM</t>
        </is>
      </c>
      <c r="G222" t="n">
        <v>5</v>
      </c>
      <c r="H222" t="n">
        <v>0</v>
      </c>
      <c r="I222" t="n">
        <v>0</v>
      </c>
      <c r="J222" t="n">
        <v>0</v>
      </c>
      <c r="K222" t="n">
        <v>0</v>
      </c>
      <c r="L222" t="n">
        <v>0</v>
      </c>
      <c r="M222" t="n">
        <v>0</v>
      </c>
      <c r="N222" t="n">
        <v>0</v>
      </c>
      <c r="O222" t="n">
        <v>0</v>
      </c>
      <c r="P222" t="n">
        <v>0</v>
      </c>
      <c r="Q222" t="n">
        <v>0</v>
      </c>
      <c r="R222" s="2" t="inlineStr"/>
    </row>
    <row r="223" ht="15" customHeight="1">
      <c r="A223" t="inlineStr">
        <is>
          <t>A 33717-2022</t>
        </is>
      </c>
      <c r="B223" s="1" t="n">
        <v>44789</v>
      </c>
      <c r="C223" s="1" t="n">
        <v>46130</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22113-2025</t>
        </is>
      </c>
      <c r="B224" s="1" t="n">
        <v>45785</v>
      </c>
      <c r="C224" s="1" t="n">
        <v>46130</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33752-2023</t>
        </is>
      </c>
      <c r="B225" s="1" t="n">
        <v>45120</v>
      </c>
      <c r="C225" s="1" t="n">
        <v>46130</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45376-2022</t>
        </is>
      </c>
      <c r="B226" s="1" t="n">
        <v>44844</v>
      </c>
      <c r="C226" s="1" t="n">
        <v>46130</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55122-2022</t>
        </is>
      </c>
      <c r="B227" s="1" t="n">
        <v>44886.65092592593</v>
      </c>
      <c r="C227" s="1" t="n">
        <v>46130</v>
      </c>
      <c r="D227" t="inlineStr">
        <is>
          <t>SÖDERMANLANDS LÄN</t>
        </is>
      </c>
      <c r="E227" t="inlineStr">
        <is>
          <t>KATRINEHOLM</t>
        </is>
      </c>
      <c r="G227" t="n">
        <v>6.5</v>
      </c>
      <c r="H227" t="n">
        <v>0</v>
      </c>
      <c r="I227" t="n">
        <v>0</v>
      </c>
      <c r="J227" t="n">
        <v>0</v>
      </c>
      <c r="K227" t="n">
        <v>0</v>
      </c>
      <c r="L227" t="n">
        <v>0</v>
      </c>
      <c r="M227" t="n">
        <v>0</v>
      </c>
      <c r="N227" t="n">
        <v>0</v>
      </c>
      <c r="O227" t="n">
        <v>0</v>
      </c>
      <c r="P227" t="n">
        <v>0</v>
      </c>
      <c r="Q227" t="n">
        <v>0</v>
      </c>
      <c r="R227" s="2" t="inlineStr"/>
    </row>
    <row r="228" ht="15" customHeight="1">
      <c r="A228" t="inlineStr">
        <is>
          <t>A 17746-2024</t>
        </is>
      </c>
      <c r="B228" s="1" t="n">
        <v>45415</v>
      </c>
      <c r="C228" s="1" t="n">
        <v>46130</v>
      </c>
      <c r="D228" t="inlineStr">
        <is>
          <t>SÖDERMANLANDS LÄN</t>
        </is>
      </c>
      <c r="E228" t="inlineStr">
        <is>
          <t>KATRINEHOLM</t>
        </is>
      </c>
      <c r="G228" t="n">
        <v>7.8</v>
      </c>
      <c r="H228" t="n">
        <v>0</v>
      </c>
      <c r="I228" t="n">
        <v>0</v>
      </c>
      <c r="J228" t="n">
        <v>0</v>
      </c>
      <c r="K228" t="n">
        <v>0</v>
      </c>
      <c r="L228" t="n">
        <v>0</v>
      </c>
      <c r="M228" t="n">
        <v>0</v>
      </c>
      <c r="N228" t="n">
        <v>0</v>
      </c>
      <c r="O228" t="n">
        <v>0</v>
      </c>
      <c r="P228" t="n">
        <v>0</v>
      </c>
      <c r="Q228" t="n">
        <v>0</v>
      </c>
      <c r="R228" s="2" t="inlineStr"/>
    </row>
    <row r="229" ht="15" customHeight="1">
      <c r="A229" t="inlineStr">
        <is>
          <t>A 24983-2024</t>
        </is>
      </c>
      <c r="B229" s="1" t="n">
        <v>45461</v>
      </c>
      <c r="C229" s="1" t="n">
        <v>46130</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46130</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24179-2024</t>
        </is>
      </c>
      <c r="B231" s="1" t="n">
        <v>45456.83059027778</v>
      </c>
      <c r="C231" s="1" t="n">
        <v>46130</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28427-2024</t>
        </is>
      </c>
      <c r="B232" s="1" t="n">
        <v>45477.64910879629</v>
      </c>
      <c r="C232" s="1" t="n">
        <v>46130</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51264-2021</t>
        </is>
      </c>
      <c r="B233" s="1" t="n">
        <v>44461</v>
      </c>
      <c r="C233" s="1" t="n">
        <v>46130</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22336-2025</t>
        </is>
      </c>
      <c r="B234" s="1" t="n">
        <v>45786.44217592593</v>
      </c>
      <c r="C234" s="1" t="n">
        <v>46130</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38708-2025</t>
        </is>
      </c>
      <c r="B235" s="1" t="n">
        <v>45885</v>
      </c>
      <c r="C235" s="1" t="n">
        <v>46130</v>
      </c>
      <c r="D235" t="inlineStr">
        <is>
          <t>SÖDERMANLANDS LÄN</t>
        </is>
      </c>
      <c r="E235" t="inlineStr">
        <is>
          <t>KATRINEHOLM</t>
        </is>
      </c>
      <c r="G235" t="n">
        <v>1.9</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46130</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46130</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52242-2025</t>
        </is>
      </c>
      <c r="B238" s="1" t="n">
        <v>45953.46886574074</v>
      </c>
      <c r="C238" s="1" t="n">
        <v>46130</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52239-2025</t>
        </is>
      </c>
      <c r="B239" s="1" t="n">
        <v>45953.46193287037</v>
      </c>
      <c r="C239" s="1" t="n">
        <v>46130</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3980-2024</t>
        </is>
      </c>
      <c r="B240" s="1" t="n">
        <v>45322</v>
      </c>
      <c r="C240" s="1" t="n">
        <v>46130</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64713-2023</t>
        </is>
      </c>
      <c r="B241" s="1" t="n">
        <v>45281</v>
      </c>
      <c r="C241" s="1" t="n">
        <v>46130</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52244-2025</t>
        </is>
      </c>
      <c r="B242" s="1" t="n">
        <v>45953</v>
      </c>
      <c r="C242" s="1" t="n">
        <v>46130</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60677-2021</t>
        </is>
      </c>
      <c r="B243" s="1" t="n">
        <v>44495</v>
      </c>
      <c r="C243" s="1" t="n">
        <v>46130</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43088-2022</t>
        </is>
      </c>
      <c r="B244" s="1" t="n">
        <v>44833</v>
      </c>
      <c r="C244" s="1" t="n">
        <v>46130</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46130</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46130</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39663-2025</t>
        </is>
      </c>
      <c r="B247" s="1" t="n">
        <v>45890</v>
      </c>
      <c r="C247" s="1" t="n">
        <v>46130</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39668-2025</t>
        </is>
      </c>
      <c r="B248" s="1" t="n">
        <v>45890</v>
      </c>
      <c r="C248" s="1" t="n">
        <v>46130</v>
      </c>
      <c r="D248" t="inlineStr">
        <is>
          <t>SÖDERMANLANDS LÄN</t>
        </is>
      </c>
      <c r="E248" t="inlineStr">
        <is>
          <t>KATRINEHOLM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28582-2024</t>
        </is>
      </c>
      <c r="B249" s="1" t="n">
        <v>45478.40751157407</v>
      </c>
      <c r="C249" s="1" t="n">
        <v>46130</v>
      </c>
      <c r="D249" t="inlineStr">
        <is>
          <t>SÖDERMANLANDS LÄN</t>
        </is>
      </c>
      <c r="E249" t="inlineStr">
        <is>
          <t>KATRINEHOLM</t>
        </is>
      </c>
      <c r="F249" t="inlineStr">
        <is>
          <t>Övriga Aktiebolag</t>
        </is>
      </c>
      <c r="G249" t="n">
        <v>4</v>
      </c>
      <c r="H249" t="n">
        <v>0</v>
      </c>
      <c r="I249" t="n">
        <v>0</v>
      </c>
      <c r="J249" t="n">
        <v>0</v>
      </c>
      <c r="K249" t="n">
        <v>0</v>
      </c>
      <c r="L249" t="n">
        <v>0</v>
      </c>
      <c r="M249" t="n">
        <v>0</v>
      </c>
      <c r="N249" t="n">
        <v>0</v>
      </c>
      <c r="O249" t="n">
        <v>0</v>
      </c>
      <c r="P249" t="n">
        <v>0</v>
      </c>
      <c r="Q249" t="n">
        <v>0</v>
      </c>
      <c r="R249" s="2" t="inlineStr"/>
    </row>
    <row r="250" ht="15" customHeight="1">
      <c r="A250" t="inlineStr">
        <is>
          <t>A 26081-2024</t>
        </is>
      </c>
      <c r="B250" s="1" t="n">
        <v>45462</v>
      </c>
      <c r="C250" s="1" t="n">
        <v>46130</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39737-2025</t>
        </is>
      </c>
      <c r="B251" s="1" t="n">
        <v>45891</v>
      </c>
      <c r="C251" s="1" t="n">
        <v>46130</v>
      </c>
      <c r="D251" t="inlineStr">
        <is>
          <t>SÖDERMANLANDS LÄN</t>
        </is>
      </c>
      <c r="E251" t="inlineStr">
        <is>
          <t>KATRINEHOLM</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39847-2025</t>
        </is>
      </c>
      <c r="B252" s="1" t="n">
        <v>45891.58381944444</v>
      </c>
      <c r="C252" s="1" t="n">
        <v>46130</v>
      </c>
      <c r="D252" t="inlineStr">
        <is>
          <t>SÖDERMANLANDS LÄN</t>
        </is>
      </c>
      <c r="E252" t="inlineStr">
        <is>
          <t>KATRINEHOLM</t>
        </is>
      </c>
      <c r="F252" t="inlineStr">
        <is>
          <t>Holmen skog AB</t>
        </is>
      </c>
      <c r="G252" t="n">
        <v>2.5</v>
      </c>
      <c r="H252" t="n">
        <v>0</v>
      </c>
      <c r="I252" t="n">
        <v>0</v>
      </c>
      <c r="J252" t="n">
        <v>0</v>
      </c>
      <c r="K252" t="n">
        <v>0</v>
      </c>
      <c r="L252" t="n">
        <v>0</v>
      </c>
      <c r="M252" t="n">
        <v>0</v>
      </c>
      <c r="N252" t="n">
        <v>0</v>
      </c>
      <c r="O252" t="n">
        <v>0</v>
      </c>
      <c r="P252" t="n">
        <v>0</v>
      </c>
      <c r="Q252" t="n">
        <v>0</v>
      </c>
      <c r="R252" s="2" t="inlineStr"/>
    </row>
    <row r="253" ht="15" customHeight="1">
      <c r="A253" t="inlineStr">
        <is>
          <t>A 24902-2024</t>
        </is>
      </c>
      <c r="B253" s="1" t="n">
        <v>45461</v>
      </c>
      <c r="C253" s="1" t="n">
        <v>46130</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46130</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69117-2021</t>
        </is>
      </c>
      <c r="B255" s="1" t="n">
        <v>44530.82445601852</v>
      </c>
      <c r="C255" s="1" t="n">
        <v>46130</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38308-2021</t>
        </is>
      </c>
      <c r="B256" s="1" t="n">
        <v>44406</v>
      </c>
      <c r="C256" s="1" t="n">
        <v>46130</v>
      </c>
      <c r="D256" t="inlineStr">
        <is>
          <t>SÖDERMANLANDS LÄN</t>
        </is>
      </c>
      <c r="E256" t="inlineStr">
        <is>
          <t>KATRINEHOLM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55172-2022</t>
        </is>
      </c>
      <c r="B257" s="1" t="n">
        <v>44886</v>
      </c>
      <c r="C257" s="1" t="n">
        <v>46130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67337-2021</t>
        </is>
      </c>
      <c r="B258" s="1" t="n">
        <v>44523</v>
      </c>
      <c r="C258" s="1" t="n">
        <v>46130</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29394-2024</t>
        </is>
      </c>
      <c r="B259" s="1" t="n">
        <v>45483</v>
      </c>
      <c r="C259" s="1" t="n">
        <v>46130</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50032-2022</t>
        </is>
      </c>
      <c r="B260" s="1" t="n">
        <v>44860</v>
      </c>
      <c r="C260" s="1" t="n">
        <v>46130</v>
      </c>
      <c r="D260" t="inlineStr">
        <is>
          <t>SÖDERMANLANDS LÄN</t>
        </is>
      </c>
      <c r="E260" t="inlineStr">
        <is>
          <t>KATRINEHOLM</t>
        </is>
      </c>
      <c r="G260" t="n">
        <v>7.5</v>
      </c>
      <c r="H260" t="n">
        <v>0</v>
      </c>
      <c r="I260" t="n">
        <v>0</v>
      </c>
      <c r="J260" t="n">
        <v>0</v>
      </c>
      <c r="K260" t="n">
        <v>0</v>
      </c>
      <c r="L260" t="n">
        <v>0</v>
      </c>
      <c r="M260" t="n">
        <v>0</v>
      </c>
      <c r="N260" t="n">
        <v>0</v>
      </c>
      <c r="O260" t="n">
        <v>0</v>
      </c>
      <c r="P260" t="n">
        <v>0</v>
      </c>
      <c r="Q260" t="n">
        <v>0</v>
      </c>
      <c r="R260" s="2" t="inlineStr"/>
    </row>
    <row r="261" ht="15" customHeight="1">
      <c r="A261" t="inlineStr">
        <is>
          <t>A 26713-2024</t>
        </is>
      </c>
      <c r="B261" s="1" t="n">
        <v>45470</v>
      </c>
      <c r="C261" s="1" t="n">
        <v>46130</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43837-2022</t>
        </is>
      </c>
      <c r="B262" s="1" t="n">
        <v>44838</v>
      </c>
      <c r="C262" s="1" t="n">
        <v>46130</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57510-2021</t>
        </is>
      </c>
      <c r="B263" s="1" t="n">
        <v>44483</v>
      </c>
      <c r="C263" s="1" t="n">
        <v>46130</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2603-2025</t>
        </is>
      </c>
      <c r="B264" s="1" t="n">
        <v>45674</v>
      </c>
      <c r="C264" s="1" t="n">
        <v>46130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55732-2023</t>
        </is>
      </c>
      <c r="B265" s="1" t="n">
        <v>45239</v>
      </c>
      <c r="C265" s="1" t="n">
        <v>46130</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40159-2023</t>
        </is>
      </c>
      <c r="B266" s="1" t="n">
        <v>45169</v>
      </c>
      <c r="C266" s="1" t="n">
        <v>46130</v>
      </c>
      <c r="D266" t="inlineStr">
        <is>
          <t>SÖDERMANLANDS LÄN</t>
        </is>
      </c>
      <c r="E266" t="inlineStr">
        <is>
          <t>KATRINEHOLM</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28675-2024</t>
        </is>
      </c>
      <c r="B267" s="1" t="n">
        <v>45478</v>
      </c>
      <c r="C267" s="1" t="n">
        <v>46130</v>
      </c>
      <c r="D267" t="inlineStr">
        <is>
          <t>SÖDERMANLANDS LÄN</t>
        </is>
      </c>
      <c r="E267" t="inlineStr">
        <is>
          <t>KATRINEHOLM</t>
        </is>
      </c>
      <c r="F267" t="inlineStr">
        <is>
          <t>Övriga Aktiebolag</t>
        </is>
      </c>
      <c r="G267" t="n">
        <v>3.5</v>
      </c>
      <c r="H267" t="n">
        <v>0</v>
      </c>
      <c r="I267" t="n">
        <v>0</v>
      </c>
      <c r="J267" t="n">
        <v>0</v>
      </c>
      <c r="K267" t="n">
        <v>0</v>
      </c>
      <c r="L267" t="n">
        <v>0</v>
      </c>
      <c r="M267" t="n">
        <v>0</v>
      </c>
      <c r="N267" t="n">
        <v>0</v>
      </c>
      <c r="O267" t="n">
        <v>0</v>
      </c>
      <c r="P267" t="n">
        <v>0</v>
      </c>
      <c r="Q267" t="n">
        <v>0</v>
      </c>
      <c r="R267" s="2" t="inlineStr"/>
    </row>
    <row r="268" ht="15" customHeight="1">
      <c r="A268" t="inlineStr">
        <is>
          <t>A 41074-2025</t>
        </is>
      </c>
      <c r="B268" s="1" t="n">
        <v>45898</v>
      </c>
      <c r="C268" s="1" t="n">
        <v>46130</v>
      </c>
      <c r="D268" t="inlineStr">
        <is>
          <t>SÖDERMANLANDS LÄN</t>
        </is>
      </c>
      <c r="E268" t="inlineStr">
        <is>
          <t>KATRINEHOLM</t>
        </is>
      </c>
      <c r="F268" t="inlineStr">
        <is>
          <t>Allmännings- och besparingsskogar</t>
        </is>
      </c>
      <c r="G268" t="n">
        <v>4.8</v>
      </c>
      <c r="H268" t="n">
        <v>0</v>
      </c>
      <c r="I268" t="n">
        <v>0</v>
      </c>
      <c r="J268" t="n">
        <v>0</v>
      </c>
      <c r="K268" t="n">
        <v>0</v>
      </c>
      <c r="L268" t="n">
        <v>0</v>
      </c>
      <c r="M268" t="n">
        <v>0</v>
      </c>
      <c r="N268" t="n">
        <v>0</v>
      </c>
      <c r="O268" t="n">
        <v>0</v>
      </c>
      <c r="P268" t="n">
        <v>0</v>
      </c>
      <c r="Q268" t="n">
        <v>0</v>
      </c>
      <c r="R268" s="2" t="inlineStr"/>
    </row>
    <row r="269" ht="15" customHeight="1">
      <c r="A269" t="inlineStr">
        <is>
          <t>A 24566-2025</t>
        </is>
      </c>
      <c r="B269" s="1" t="n">
        <v>45798.46452546296</v>
      </c>
      <c r="C269" s="1" t="n">
        <v>46130</v>
      </c>
      <c r="D269" t="inlineStr">
        <is>
          <t>SÖDERMANLANDS LÄN</t>
        </is>
      </c>
      <c r="E269" t="inlineStr">
        <is>
          <t>KATRINEHOLM</t>
        </is>
      </c>
      <c r="G269" t="n">
        <v>6.3</v>
      </c>
      <c r="H269" t="n">
        <v>0</v>
      </c>
      <c r="I269" t="n">
        <v>0</v>
      </c>
      <c r="J269" t="n">
        <v>0</v>
      </c>
      <c r="K269" t="n">
        <v>0</v>
      </c>
      <c r="L269" t="n">
        <v>0</v>
      </c>
      <c r="M269" t="n">
        <v>0</v>
      </c>
      <c r="N269" t="n">
        <v>0</v>
      </c>
      <c r="O269" t="n">
        <v>0</v>
      </c>
      <c r="P269" t="n">
        <v>0</v>
      </c>
      <c r="Q269" t="n">
        <v>0</v>
      </c>
      <c r="R269" s="2" t="inlineStr"/>
    </row>
    <row r="270" ht="15" customHeight="1">
      <c r="A270" t="inlineStr">
        <is>
          <t>A 27875-2024</t>
        </is>
      </c>
      <c r="B270" s="1" t="n">
        <v>45475</v>
      </c>
      <c r="C270" s="1" t="n">
        <v>46130</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27376-2024</t>
        </is>
      </c>
      <c r="B271" s="1" t="n">
        <v>45473.88313657408</v>
      </c>
      <c r="C271" s="1" t="n">
        <v>46130</v>
      </c>
      <c r="D271" t="inlineStr">
        <is>
          <t>SÖDERMANLANDS LÄN</t>
        </is>
      </c>
      <c r="E271" t="inlineStr">
        <is>
          <t>KATRINEHOLM</t>
        </is>
      </c>
      <c r="F271" t="inlineStr">
        <is>
          <t>Kommuner</t>
        </is>
      </c>
      <c r="G271" t="n">
        <v>2.8</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46130</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28995-2024</t>
        </is>
      </c>
      <c r="B273" s="1" t="n">
        <v>45481.49899305555</v>
      </c>
      <c r="C273" s="1" t="n">
        <v>46130</v>
      </c>
      <c r="D273" t="inlineStr">
        <is>
          <t>SÖDERMANLANDS LÄN</t>
        </is>
      </c>
      <c r="E273" t="inlineStr">
        <is>
          <t>KATRINEHOLM</t>
        </is>
      </c>
      <c r="G273" t="n">
        <v>0.9</v>
      </c>
      <c r="H273" t="n">
        <v>0</v>
      </c>
      <c r="I273" t="n">
        <v>0</v>
      </c>
      <c r="J273" t="n">
        <v>0</v>
      </c>
      <c r="K273" t="n">
        <v>0</v>
      </c>
      <c r="L273" t="n">
        <v>0</v>
      </c>
      <c r="M273" t="n">
        <v>0</v>
      </c>
      <c r="N273" t="n">
        <v>0</v>
      </c>
      <c r="O273" t="n">
        <v>0</v>
      </c>
      <c r="P273" t="n">
        <v>0</v>
      </c>
      <c r="Q273" t="n">
        <v>0</v>
      </c>
      <c r="R273" s="2" t="inlineStr"/>
    </row>
    <row r="274" ht="15" customHeight="1">
      <c r="A274" t="inlineStr">
        <is>
          <t>A 44989-2022</t>
        </is>
      </c>
      <c r="B274" s="1" t="n">
        <v>44840</v>
      </c>
      <c r="C274" s="1" t="n">
        <v>46130</v>
      </c>
      <c r="D274" t="inlineStr">
        <is>
          <t>SÖDERMANLANDS LÄN</t>
        </is>
      </c>
      <c r="E274" t="inlineStr">
        <is>
          <t>KATRINEHOLM</t>
        </is>
      </c>
      <c r="G274" t="n">
        <v>6</v>
      </c>
      <c r="H274" t="n">
        <v>0</v>
      </c>
      <c r="I274" t="n">
        <v>0</v>
      </c>
      <c r="J274" t="n">
        <v>0</v>
      </c>
      <c r="K274" t="n">
        <v>0</v>
      </c>
      <c r="L274" t="n">
        <v>0</v>
      </c>
      <c r="M274" t="n">
        <v>0</v>
      </c>
      <c r="N274" t="n">
        <v>0</v>
      </c>
      <c r="O274" t="n">
        <v>0</v>
      </c>
      <c r="P274" t="n">
        <v>0</v>
      </c>
      <c r="Q274" t="n">
        <v>0</v>
      </c>
      <c r="R274" s="2" t="inlineStr"/>
    </row>
    <row r="275" ht="15" customHeight="1">
      <c r="A275" t="inlineStr">
        <is>
          <t>A 48259-2022</t>
        </is>
      </c>
      <c r="B275" s="1" t="n">
        <v>44858</v>
      </c>
      <c r="C275" s="1" t="n">
        <v>46130</v>
      </c>
      <c r="D275" t="inlineStr">
        <is>
          <t>SÖDERMANLANDS LÄN</t>
        </is>
      </c>
      <c r="E275" t="inlineStr">
        <is>
          <t>KATRINEHOLM</t>
        </is>
      </c>
      <c r="G275" t="n">
        <v>3.5</v>
      </c>
      <c r="H275" t="n">
        <v>0</v>
      </c>
      <c r="I275" t="n">
        <v>0</v>
      </c>
      <c r="J275" t="n">
        <v>0</v>
      </c>
      <c r="K275" t="n">
        <v>0</v>
      </c>
      <c r="L275" t="n">
        <v>0</v>
      </c>
      <c r="M275" t="n">
        <v>0</v>
      </c>
      <c r="N275" t="n">
        <v>0</v>
      </c>
      <c r="O275" t="n">
        <v>0</v>
      </c>
      <c r="P275" t="n">
        <v>0</v>
      </c>
      <c r="Q275" t="n">
        <v>0</v>
      </c>
      <c r="R275" s="2" t="inlineStr"/>
    </row>
    <row r="276" ht="15" customHeight="1">
      <c r="A276" t="inlineStr">
        <is>
          <t>A 41498-2025</t>
        </is>
      </c>
      <c r="B276" s="1" t="n">
        <v>45901.49755787037</v>
      </c>
      <c r="C276" s="1" t="n">
        <v>46130</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28992-2024</t>
        </is>
      </c>
      <c r="B277" s="1" t="n">
        <v>45481.49289351852</v>
      </c>
      <c r="C277" s="1" t="n">
        <v>46130</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56086-2023</t>
        </is>
      </c>
      <c r="B278" s="1" t="n">
        <v>45240</v>
      </c>
      <c r="C278" s="1" t="n">
        <v>46130</v>
      </c>
      <c r="D278" t="inlineStr">
        <is>
          <t>SÖDERMANLANDS LÄN</t>
        </is>
      </c>
      <c r="E278" t="inlineStr">
        <is>
          <t>KATRINEHOLM</t>
        </is>
      </c>
      <c r="F278" t="inlineStr">
        <is>
          <t>Kyrkan</t>
        </is>
      </c>
      <c r="G278" t="n">
        <v>17</v>
      </c>
      <c r="H278" t="n">
        <v>0</v>
      </c>
      <c r="I278" t="n">
        <v>0</v>
      </c>
      <c r="J278" t="n">
        <v>0</v>
      </c>
      <c r="K278" t="n">
        <v>0</v>
      </c>
      <c r="L278" t="n">
        <v>0</v>
      </c>
      <c r="M278" t="n">
        <v>0</v>
      </c>
      <c r="N278" t="n">
        <v>0</v>
      </c>
      <c r="O278" t="n">
        <v>0</v>
      </c>
      <c r="P278" t="n">
        <v>0</v>
      </c>
      <c r="Q278" t="n">
        <v>0</v>
      </c>
      <c r="R278" s="2" t="inlineStr"/>
    </row>
    <row r="279" ht="15" customHeight="1">
      <c r="A279" t="inlineStr">
        <is>
          <t>A 7322-2023</t>
        </is>
      </c>
      <c r="B279" s="1" t="n">
        <v>44970</v>
      </c>
      <c r="C279" s="1" t="n">
        <v>46130</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2093-2025</t>
        </is>
      </c>
      <c r="B280" s="1" t="n">
        <v>45672</v>
      </c>
      <c r="C280" s="1" t="n">
        <v>46130</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49341-2024</t>
        </is>
      </c>
      <c r="B281" s="1" t="n">
        <v>45595</v>
      </c>
      <c r="C281" s="1" t="n">
        <v>46130</v>
      </c>
      <c r="D281" t="inlineStr">
        <is>
          <t>SÖDERMANLANDS LÄN</t>
        </is>
      </c>
      <c r="E281" t="inlineStr">
        <is>
          <t>KATRINEHOLM</t>
        </is>
      </c>
      <c r="G281" t="n">
        <v>10</v>
      </c>
      <c r="H281" t="n">
        <v>0</v>
      </c>
      <c r="I281" t="n">
        <v>0</v>
      </c>
      <c r="J281" t="n">
        <v>0</v>
      </c>
      <c r="K281" t="n">
        <v>0</v>
      </c>
      <c r="L281" t="n">
        <v>0</v>
      </c>
      <c r="M281" t="n">
        <v>0</v>
      </c>
      <c r="N281" t="n">
        <v>0</v>
      </c>
      <c r="O281" t="n">
        <v>0</v>
      </c>
      <c r="P281" t="n">
        <v>0</v>
      </c>
      <c r="Q281" t="n">
        <v>0</v>
      </c>
      <c r="R281" s="2" t="inlineStr"/>
    </row>
    <row r="282" ht="15" customHeight="1">
      <c r="A282" t="inlineStr">
        <is>
          <t>A 41633-2025</t>
        </is>
      </c>
      <c r="B282" s="1" t="n">
        <v>45901</v>
      </c>
      <c r="C282" s="1" t="n">
        <v>46130</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41632-2025</t>
        </is>
      </c>
      <c r="B283" s="1" t="n">
        <v>45901</v>
      </c>
      <c r="C283" s="1" t="n">
        <v>46130</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27886-2024</t>
        </is>
      </c>
      <c r="B284" s="1" t="n">
        <v>45475</v>
      </c>
      <c r="C284" s="1" t="n">
        <v>46130</v>
      </c>
      <c r="D284" t="inlineStr">
        <is>
          <t>SÖDERMANLANDS LÄN</t>
        </is>
      </c>
      <c r="E284" t="inlineStr">
        <is>
          <t>KATRINEHOLM</t>
        </is>
      </c>
      <c r="G284" t="n">
        <v>10.3</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46130</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61423-2024</t>
        </is>
      </c>
      <c r="B286" s="1" t="n">
        <v>45646.45209490741</v>
      </c>
      <c r="C286" s="1" t="n">
        <v>46130</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46130</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41727-2024</t>
        </is>
      </c>
      <c r="B288" s="1" t="n">
        <v>45560</v>
      </c>
      <c r="C288" s="1" t="n">
        <v>46130</v>
      </c>
      <c r="D288" t="inlineStr">
        <is>
          <t>SÖDERMANLANDS LÄN</t>
        </is>
      </c>
      <c r="E288" t="inlineStr">
        <is>
          <t>KATRINEHOLM</t>
        </is>
      </c>
      <c r="G288" t="n">
        <v>3.9</v>
      </c>
      <c r="H288" t="n">
        <v>0</v>
      </c>
      <c r="I288" t="n">
        <v>0</v>
      </c>
      <c r="J288" t="n">
        <v>0</v>
      </c>
      <c r="K288" t="n">
        <v>0</v>
      </c>
      <c r="L288" t="n">
        <v>0</v>
      </c>
      <c r="M288" t="n">
        <v>0</v>
      </c>
      <c r="N288" t="n">
        <v>0</v>
      </c>
      <c r="O288" t="n">
        <v>0</v>
      </c>
      <c r="P288" t="n">
        <v>0</v>
      </c>
      <c r="Q288" t="n">
        <v>0</v>
      </c>
      <c r="R288" s="2" t="inlineStr"/>
    </row>
    <row r="289" ht="15" customHeight="1">
      <c r="A289" t="inlineStr">
        <is>
          <t>A 25363-2023</t>
        </is>
      </c>
      <c r="B289" s="1" t="n">
        <v>45088.83840277778</v>
      </c>
      <c r="C289" s="1" t="n">
        <v>46130</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6722-2022</t>
        </is>
      </c>
      <c r="B290" s="1" t="n">
        <v>44602</v>
      </c>
      <c r="C290" s="1" t="n">
        <v>46130</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6763-2022</t>
        </is>
      </c>
      <c r="B291" s="1" t="n">
        <v>44602</v>
      </c>
      <c r="C291" s="1" t="n">
        <v>46130</v>
      </c>
      <c r="D291" t="inlineStr">
        <is>
          <t>SÖDERMANLANDS LÄN</t>
        </is>
      </c>
      <c r="E291" t="inlineStr">
        <is>
          <t>KATRINEHOLM</t>
        </is>
      </c>
      <c r="G291" t="n">
        <v>6.7</v>
      </c>
      <c r="H291" t="n">
        <v>0</v>
      </c>
      <c r="I291" t="n">
        <v>0</v>
      </c>
      <c r="J291" t="n">
        <v>0</v>
      </c>
      <c r="K291" t="n">
        <v>0</v>
      </c>
      <c r="L291" t="n">
        <v>0</v>
      </c>
      <c r="M291" t="n">
        <v>0</v>
      </c>
      <c r="N291" t="n">
        <v>0</v>
      </c>
      <c r="O291" t="n">
        <v>0</v>
      </c>
      <c r="P291" t="n">
        <v>0</v>
      </c>
      <c r="Q291" t="n">
        <v>0</v>
      </c>
      <c r="R291" s="2" t="inlineStr"/>
    </row>
    <row r="292" ht="15" customHeight="1">
      <c r="A292" t="inlineStr">
        <is>
          <t>A 24717-2025</t>
        </is>
      </c>
      <c r="B292" s="1" t="n">
        <v>45799.27168981481</v>
      </c>
      <c r="C292" s="1" t="n">
        <v>46130</v>
      </c>
      <c r="D292" t="inlineStr">
        <is>
          <t>SÖDERMANLANDS LÄN</t>
        </is>
      </c>
      <c r="E292" t="inlineStr">
        <is>
          <t>KATRINEHOLM</t>
        </is>
      </c>
      <c r="G292" t="n">
        <v>24.5</v>
      </c>
      <c r="H292" t="n">
        <v>0</v>
      </c>
      <c r="I292" t="n">
        <v>0</v>
      </c>
      <c r="J292" t="n">
        <v>0</v>
      </c>
      <c r="K292" t="n">
        <v>0</v>
      </c>
      <c r="L292" t="n">
        <v>0</v>
      </c>
      <c r="M292" t="n">
        <v>0</v>
      </c>
      <c r="N292" t="n">
        <v>0</v>
      </c>
      <c r="O292" t="n">
        <v>0</v>
      </c>
      <c r="P292" t="n">
        <v>0</v>
      </c>
      <c r="Q292" t="n">
        <v>0</v>
      </c>
      <c r="R292" s="2" t="inlineStr"/>
    </row>
    <row r="293" ht="15" customHeight="1">
      <c r="A293" t="inlineStr">
        <is>
          <t>A 5790-2022</t>
        </is>
      </c>
      <c r="B293" s="1" t="n">
        <v>44596.55368055555</v>
      </c>
      <c r="C293" s="1" t="n">
        <v>46130</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53999-2023</t>
        </is>
      </c>
      <c r="B294" s="1" t="n">
        <v>45231</v>
      </c>
      <c r="C294" s="1" t="n">
        <v>46130</v>
      </c>
      <c r="D294" t="inlineStr">
        <is>
          <t>SÖDERMANLANDS LÄN</t>
        </is>
      </c>
      <c r="E294" t="inlineStr">
        <is>
          <t>KATRINEHOLM</t>
        </is>
      </c>
      <c r="G294" t="n">
        <v>5.4</v>
      </c>
      <c r="H294" t="n">
        <v>0</v>
      </c>
      <c r="I294" t="n">
        <v>0</v>
      </c>
      <c r="J294" t="n">
        <v>0</v>
      </c>
      <c r="K294" t="n">
        <v>0</v>
      </c>
      <c r="L294" t="n">
        <v>0</v>
      </c>
      <c r="M294" t="n">
        <v>0</v>
      </c>
      <c r="N294" t="n">
        <v>0</v>
      </c>
      <c r="O294" t="n">
        <v>0</v>
      </c>
      <c r="P294" t="n">
        <v>0</v>
      </c>
      <c r="Q294" t="n">
        <v>0</v>
      </c>
      <c r="R294" s="2" t="inlineStr"/>
    </row>
    <row r="295" ht="15" customHeight="1">
      <c r="A295" t="inlineStr">
        <is>
          <t>A 24719-2025</t>
        </is>
      </c>
      <c r="B295" s="1" t="n">
        <v>45799</v>
      </c>
      <c r="C295" s="1" t="n">
        <v>46130</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46130</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29397-2024</t>
        </is>
      </c>
      <c r="B297" s="1" t="n">
        <v>45483</v>
      </c>
      <c r="C297" s="1" t="n">
        <v>46130</v>
      </c>
      <c r="D297" t="inlineStr">
        <is>
          <t>SÖDERMANLANDS LÄN</t>
        </is>
      </c>
      <c r="E297" t="inlineStr">
        <is>
          <t>KATRINEHOLM</t>
        </is>
      </c>
      <c r="G297" t="n">
        <v>3.4</v>
      </c>
      <c r="H297" t="n">
        <v>0</v>
      </c>
      <c r="I297" t="n">
        <v>0</v>
      </c>
      <c r="J297" t="n">
        <v>0</v>
      </c>
      <c r="K297" t="n">
        <v>0</v>
      </c>
      <c r="L297" t="n">
        <v>0</v>
      </c>
      <c r="M297" t="n">
        <v>0</v>
      </c>
      <c r="N297" t="n">
        <v>0</v>
      </c>
      <c r="O297" t="n">
        <v>0</v>
      </c>
      <c r="P297" t="n">
        <v>0</v>
      </c>
      <c r="Q297" t="n">
        <v>0</v>
      </c>
      <c r="R297" s="2" t="inlineStr"/>
    </row>
    <row r="298" ht="15" customHeight="1">
      <c r="A298" t="inlineStr">
        <is>
          <t>A 33278-2024</t>
        </is>
      </c>
      <c r="B298" s="1" t="n">
        <v>45518</v>
      </c>
      <c r="C298" s="1" t="n">
        <v>46130</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9714-2024</t>
        </is>
      </c>
      <c r="B299" s="1" t="n">
        <v>45362</v>
      </c>
      <c r="C299" s="1" t="n">
        <v>46130</v>
      </c>
      <c r="D299" t="inlineStr">
        <is>
          <t>SÖDERMANLANDS LÄN</t>
        </is>
      </c>
      <c r="E299" t="inlineStr">
        <is>
          <t>KATRINEHOLM</t>
        </is>
      </c>
      <c r="G299" t="n">
        <v>4</v>
      </c>
      <c r="H299" t="n">
        <v>0</v>
      </c>
      <c r="I299" t="n">
        <v>0</v>
      </c>
      <c r="J299" t="n">
        <v>0</v>
      </c>
      <c r="K299" t="n">
        <v>0</v>
      </c>
      <c r="L299" t="n">
        <v>0</v>
      </c>
      <c r="M299" t="n">
        <v>0</v>
      </c>
      <c r="N299" t="n">
        <v>0</v>
      </c>
      <c r="O299" t="n">
        <v>0</v>
      </c>
      <c r="P299" t="n">
        <v>0</v>
      </c>
      <c r="Q299" t="n">
        <v>0</v>
      </c>
      <c r="R299" s="2" t="inlineStr"/>
    </row>
    <row r="300" ht="15" customHeight="1">
      <c r="A300" t="inlineStr">
        <is>
          <t>A 25786-2025</t>
        </is>
      </c>
      <c r="B300" s="1" t="n">
        <v>45804.37456018518</v>
      </c>
      <c r="C300" s="1" t="n">
        <v>46130</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24619-2024</t>
        </is>
      </c>
      <c r="B301" s="1" t="n">
        <v>45460</v>
      </c>
      <c r="C301" s="1" t="n">
        <v>46130</v>
      </c>
      <c r="D301" t="inlineStr">
        <is>
          <t>SÖDERMANLANDS LÄN</t>
        </is>
      </c>
      <c r="E301" t="inlineStr">
        <is>
          <t>KATRINEHOLM</t>
        </is>
      </c>
      <c r="G301" t="n">
        <v>4.7</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46130</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42799-2025</t>
        </is>
      </c>
      <c r="B303" s="1" t="n">
        <v>45907</v>
      </c>
      <c r="C303" s="1" t="n">
        <v>46130</v>
      </c>
      <c r="D303" t="inlineStr">
        <is>
          <t>SÖDERMANLANDS LÄN</t>
        </is>
      </c>
      <c r="E303" t="inlineStr">
        <is>
          <t>KATRINEHOLM</t>
        </is>
      </c>
      <c r="G303" t="n">
        <v>3.9</v>
      </c>
      <c r="H303" t="n">
        <v>0</v>
      </c>
      <c r="I303" t="n">
        <v>0</v>
      </c>
      <c r="J303" t="n">
        <v>0</v>
      </c>
      <c r="K303" t="n">
        <v>0</v>
      </c>
      <c r="L303" t="n">
        <v>0</v>
      </c>
      <c r="M303" t="n">
        <v>0</v>
      </c>
      <c r="N303" t="n">
        <v>0</v>
      </c>
      <c r="O303" t="n">
        <v>0</v>
      </c>
      <c r="P303" t="n">
        <v>0</v>
      </c>
      <c r="Q303" t="n">
        <v>0</v>
      </c>
      <c r="R303" s="2" t="inlineStr"/>
    </row>
    <row r="304" ht="15" customHeight="1">
      <c r="A304" t="inlineStr">
        <is>
          <t>A 9699-2024</t>
        </is>
      </c>
      <c r="B304" s="1" t="n">
        <v>45362</v>
      </c>
      <c r="C304" s="1" t="n">
        <v>46130</v>
      </c>
      <c r="D304" t="inlineStr">
        <is>
          <t>SÖDERMANLANDS LÄN</t>
        </is>
      </c>
      <c r="E304" t="inlineStr">
        <is>
          <t>KATRINEHOLM</t>
        </is>
      </c>
      <c r="G304" t="n">
        <v>7.7</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46130</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46130</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42474-2025</t>
        </is>
      </c>
      <c r="B307" s="1" t="n">
        <v>45905.46659722222</v>
      </c>
      <c r="C307" s="1" t="n">
        <v>46130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52744-2025</t>
        </is>
      </c>
      <c r="B308" s="1" t="n">
        <v>45957.38387731482</v>
      </c>
      <c r="C308" s="1" t="n">
        <v>46130</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59474-2021</t>
        </is>
      </c>
      <c r="B309" s="1" t="n">
        <v>44491</v>
      </c>
      <c r="C309" s="1" t="n">
        <v>46130</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14239-2024</t>
        </is>
      </c>
      <c r="B310" s="1" t="n">
        <v>45393</v>
      </c>
      <c r="C310" s="1" t="n">
        <v>46130</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14248-2024</t>
        </is>
      </c>
      <c r="B311" s="1" t="n">
        <v>45393</v>
      </c>
      <c r="C311" s="1" t="n">
        <v>46130</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11635-2023</t>
        </is>
      </c>
      <c r="B312" s="1" t="n">
        <v>44994</v>
      </c>
      <c r="C312" s="1" t="n">
        <v>46130</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10932-2023</t>
        </is>
      </c>
      <c r="B313" s="1" t="n">
        <v>44985</v>
      </c>
      <c r="C313" s="1" t="n">
        <v>46130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6087-2022</t>
        </is>
      </c>
      <c r="B314" s="1" t="n">
        <v>44599.61034722222</v>
      </c>
      <c r="C314" s="1" t="n">
        <v>46130</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8957-2024</t>
        </is>
      </c>
      <c r="B315" s="1" t="n">
        <v>45357.45089120371</v>
      </c>
      <c r="C315" s="1" t="n">
        <v>46130</v>
      </c>
      <c r="D315" t="inlineStr">
        <is>
          <t>SÖDERMANLANDS LÄN</t>
        </is>
      </c>
      <c r="E315" t="inlineStr">
        <is>
          <t>KATRINEHOLM</t>
        </is>
      </c>
      <c r="G315" t="n">
        <v>3.6</v>
      </c>
      <c r="H315" t="n">
        <v>0</v>
      </c>
      <c r="I315" t="n">
        <v>0</v>
      </c>
      <c r="J315" t="n">
        <v>0</v>
      </c>
      <c r="K315" t="n">
        <v>0</v>
      </c>
      <c r="L315" t="n">
        <v>0</v>
      </c>
      <c r="M315" t="n">
        <v>0</v>
      </c>
      <c r="N315" t="n">
        <v>0</v>
      </c>
      <c r="O315" t="n">
        <v>0</v>
      </c>
      <c r="P315" t="n">
        <v>0</v>
      </c>
      <c r="Q315" t="n">
        <v>0</v>
      </c>
      <c r="R315" s="2" t="inlineStr"/>
    </row>
    <row r="316" ht="15" customHeight="1">
      <c r="A316" t="inlineStr">
        <is>
          <t>A 42896-2024</t>
        </is>
      </c>
      <c r="B316" s="1" t="n">
        <v>45566.82973379629</v>
      </c>
      <c r="C316" s="1" t="n">
        <v>46130</v>
      </c>
      <c r="D316" t="inlineStr">
        <is>
          <t>SÖDERMANLANDS LÄN</t>
        </is>
      </c>
      <c r="E316" t="inlineStr">
        <is>
          <t>KATRINEHOLM</t>
        </is>
      </c>
      <c r="G316" t="n">
        <v>4.3</v>
      </c>
      <c r="H316" t="n">
        <v>0</v>
      </c>
      <c r="I316" t="n">
        <v>0</v>
      </c>
      <c r="J316" t="n">
        <v>0</v>
      </c>
      <c r="K316" t="n">
        <v>0</v>
      </c>
      <c r="L316" t="n">
        <v>0</v>
      </c>
      <c r="M316" t="n">
        <v>0</v>
      </c>
      <c r="N316" t="n">
        <v>0</v>
      </c>
      <c r="O316" t="n">
        <v>0</v>
      </c>
      <c r="P316" t="n">
        <v>0</v>
      </c>
      <c r="Q316" t="n">
        <v>0</v>
      </c>
      <c r="R316" s="2" t="inlineStr"/>
    </row>
    <row r="317" ht="15" customHeight="1">
      <c r="A317" t="inlineStr">
        <is>
          <t>A 53338-2025</t>
        </is>
      </c>
      <c r="B317" s="1" t="n">
        <v>45959.40447916667</v>
      </c>
      <c r="C317" s="1" t="n">
        <v>46130</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33469-2025</t>
        </is>
      </c>
      <c r="B318" s="1" t="n">
        <v>45841.48686342593</v>
      </c>
      <c r="C318" s="1" t="n">
        <v>46130</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7747-2024</t>
        </is>
      </c>
      <c r="B319" s="1" t="n">
        <v>45348</v>
      </c>
      <c r="C319" s="1" t="n">
        <v>46130</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7753-2024</t>
        </is>
      </c>
      <c r="B320" s="1" t="n">
        <v>45348</v>
      </c>
      <c r="C320" s="1" t="n">
        <v>46130</v>
      </c>
      <c r="D320" t="inlineStr">
        <is>
          <t>SÖDERMANLANDS LÄN</t>
        </is>
      </c>
      <c r="E320" t="inlineStr">
        <is>
          <t>KATRINEHOLM</t>
        </is>
      </c>
      <c r="G320" t="n">
        <v>13.4</v>
      </c>
      <c r="H320" t="n">
        <v>0</v>
      </c>
      <c r="I320" t="n">
        <v>0</v>
      </c>
      <c r="J320" t="n">
        <v>0</v>
      </c>
      <c r="K320" t="n">
        <v>0</v>
      </c>
      <c r="L320" t="n">
        <v>0</v>
      </c>
      <c r="M320" t="n">
        <v>0</v>
      </c>
      <c r="N320" t="n">
        <v>0</v>
      </c>
      <c r="O320" t="n">
        <v>0</v>
      </c>
      <c r="P320" t="n">
        <v>0</v>
      </c>
      <c r="Q320" t="n">
        <v>0</v>
      </c>
      <c r="R320" s="2" t="inlineStr"/>
    </row>
    <row r="321" ht="15" customHeight="1">
      <c r="A321" t="inlineStr">
        <is>
          <t>A 33129-2025</t>
        </is>
      </c>
      <c r="B321" s="1" t="n">
        <v>45840.50141203704</v>
      </c>
      <c r="C321" s="1" t="n">
        <v>46130</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41548-2025</t>
        </is>
      </c>
      <c r="B322" s="1" t="n">
        <v>45901</v>
      </c>
      <c r="C322" s="1" t="n">
        <v>46130</v>
      </c>
      <c r="D322" t="inlineStr">
        <is>
          <t>SÖDERMANLANDS LÄN</t>
        </is>
      </c>
      <c r="E322" t="inlineStr">
        <is>
          <t>KATRINEHOLM</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33096-2025</t>
        </is>
      </c>
      <c r="B323" s="1" t="n">
        <v>45840.47563657408</v>
      </c>
      <c r="C323" s="1" t="n">
        <v>46130</v>
      </c>
      <c r="D323" t="inlineStr">
        <is>
          <t>SÖDERMANLANDS LÄN</t>
        </is>
      </c>
      <c r="E323" t="inlineStr">
        <is>
          <t>KATRINEHOLM</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33077-2025</t>
        </is>
      </c>
      <c r="B324" s="1" t="n">
        <v>45840.45864583334</v>
      </c>
      <c r="C324" s="1" t="n">
        <v>46130</v>
      </c>
      <c r="D324" t="inlineStr">
        <is>
          <t>SÖDERMANLANDS LÄN</t>
        </is>
      </c>
      <c r="E324" t="inlineStr">
        <is>
          <t>KATRINEHOLM</t>
        </is>
      </c>
      <c r="G324" t="n">
        <v>7</v>
      </c>
      <c r="H324" t="n">
        <v>0</v>
      </c>
      <c r="I324" t="n">
        <v>0</v>
      </c>
      <c r="J324" t="n">
        <v>0</v>
      </c>
      <c r="K324" t="n">
        <v>0</v>
      </c>
      <c r="L324" t="n">
        <v>0</v>
      </c>
      <c r="M324" t="n">
        <v>0</v>
      </c>
      <c r="N324" t="n">
        <v>0</v>
      </c>
      <c r="O324" t="n">
        <v>0</v>
      </c>
      <c r="P324" t="n">
        <v>0</v>
      </c>
      <c r="Q324" t="n">
        <v>0</v>
      </c>
      <c r="R324" s="2" t="inlineStr"/>
    </row>
    <row r="325" ht="15" customHeight="1">
      <c r="A325" t="inlineStr">
        <is>
          <t>A 33101-2025</t>
        </is>
      </c>
      <c r="B325" s="1" t="n">
        <v>45840.47953703703</v>
      </c>
      <c r="C325" s="1" t="n">
        <v>46130</v>
      </c>
      <c r="D325" t="inlineStr">
        <is>
          <t>SÖDERMANLANDS LÄN</t>
        </is>
      </c>
      <c r="E325" t="inlineStr">
        <is>
          <t>KATRINEHOLM</t>
        </is>
      </c>
      <c r="G325" t="n">
        <v>4.4</v>
      </c>
      <c r="H325" t="n">
        <v>0</v>
      </c>
      <c r="I325" t="n">
        <v>0</v>
      </c>
      <c r="J325" t="n">
        <v>0</v>
      </c>
      <c r="K325" t="n">
        <v>0</v>
      </c>
      <c r="L325" t="n">
        <v>0</v>
      </c>
      <c r="M325" t="n">
        <v>0</v>
      </c>
      <c r="N325" t="n">
        <v>0</v>
      </c>
      <c r="O325" t="n">
        <v>0</v>
      </c>
      <c r="P325" t="n">
        <v>0</v>
      </c>
      <c r="Q325" t="n">
        <v>0</v>
      </c>
      <c r="R325" s="2" t="inlineStr"/>
    </row>
    <row r="326" ht="15" customHeight="1">
      <c r="A326" t="inlineStr">
        <is>
          <t>A 54359-2025</t>
        </is>
      </c>
      <c r="B326" s="1" t="n">
        <v>45964</v>
      </c>
      <c r="C326" s="1" t="n">
        <v>46130</v>
      </c>
      <c r="D326" t="inlineStr">
        <is>
          <t>SÖDERMANLANDS LÄN</t>
        </is>
      </c>
      <c r="E326" t="inlineStr">
        <is>
          <t>KATRINEHOLM</t>
        </is>
      </c>
      <c r="G326" t="n">
        <v>2.5</v>
      </c>
      <c r="H326" t="n">
        <v>0</v>
      </c>
      <c r="I326" t="n">
        <v>0</v>
      </c>
      <c r="J326" t="n">
        <v>0</v>
      </c>
      <c r="K326" t="n">
        <v>0</v>
      </c>
      <c r="L326" t="n">
        <v>0</v>
      </c>
      <c r="M326" t="n">
        <v>0</v>
      </c>
      <c r="N326" t="n">
        <v>0</v>
      </c>
      <c r="O326" t="n">
        <v>0</v>
      </c>
      <c r="P326" t="n">
        <v>0</v>
      </c>
      <c r="Q326" t="n">
        <v>0</v>
      </c>
      <c r="R326" s="2" t="inlineStr"/>
    </row>
    <row r="327" ht="15" customHeight="1">
      <c r="A327" t="inlineStr">
        <is>
          <t>A 54395-2025</t>
        </is>
      </c>
      <c r="B327" s="1" t="n">
        <v>45964</v>
      </c>
      <c r="C327" s="1" t="n">
        <v>46130</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5935-2023</t>
        </is>
      </c>
      <c r="B328" s="1" t="n">
        <v>44963</v>
      </c>
      <c r="C328" s="1" t="n">
        <v>46130</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46130</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10732-2022</t>
        </is>
      </c>
      <c r="B330" s="1" t="n">
        <v>44627.34033564815</v>
      </c>
      <c r="C330" s="1" t="n">
        <v>46130</v>
      </c>
      <c r="D330" t="inlineStr">
        <is>
          <t>SÖDERMANLANDS LÄN</t>
        </is>
      </c>
      <c r="E330" t="inlineStr">
        <is>
          <t>KATRINEHOLM</t>
        </is>
      </c>
      <c r="G330" t="n">
        <v>2.4</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46130</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55029-2025</t>
        </is>
      </c>
      <c r="B332" s="1" t="n">
        <v>45967.63784722222</v>
      </c>
      <c r="C332" s="1" t="n">
        <v>46130</v>
      </c>
      <c r="D332" t="inlineStr">
        <is>
          <t>SÖDERMANLANDS LÄN</t>
        </is>
      </c>
      <c r="E332" t="inlineStr">
        <is>
          <t>KATRINEHOLM</t>
        </is>
      </c>
      <c r="G332" t="n">
        <v>10.1</v>
      </c>
      <c r="H332" t="n">
        <v>0</v>
      </c>
      <c r="I332" t="n">
        <v>0</v>
      </c>
      <c r="J332" t="n">
        <v>0</v>
      </c>
      <c r="K332" t="n">
        <v>0</v>
      </c>
      <c r="L332" t="n">
        <v>0</v>
      </c>
      <c r="M332" t="n">
        <v>0</v>
      </c>
      <c r="N332" t="n">
        <v>0</v>
      </c>
      <c r="O332" t="n">
        <v>0</v>
      </c>
      <c r="P332" t="n">
        <v>0</v>
      </c>
      <c r="Q332" t="n">
        <v>0</v>
      </c>
      <c r="R332" s="2" t="inlineStr"/>
    </row>
    <row r="333" ht="15" customHeight="1">
      <c r="A333" t="inlineStr">
        <is>
          <t>A 54999-2025</t>
        </is>
      </c>
      <c r="B333" s="1" t="n">
        <v>45967.59880787037</v>
      </c>
      <c r="C333" s="1" t="n">
        <v>46130</v>
      </c>
      <c r="D333" t="inlineStr">
        <is>
          <t>SÖDERMANLANDS LÄN</t>
        </is>
      </c>
      <c r="E333" t="inlineStr">
        <is>
          <t>KATRINEHOLM</t>
        </is>
      </c>
      <c r="G333" t="n">
        <v>8.5</v>
      </c>
      <c r="H333" t="n">
        <v>0</v>
      </c>
      <c r="I333" t="n">
        <v>0</v>
      </c>
      <c r="J333" t="n">
        <v>0</v>
      </c>
      <c r="K333" t="n">
        <v>0</v>
      </c>
      <c r="L333" t="n">
        <v>0</v>
      </c>
      <c r="M333" t="n">
        <v>0</v>
      </c>
      <c r="N333" t="n">
        <v>0</v>
      </c>
      <c r="O333" t="n">
        <v>0</v>
      </c>
      <c r="P333" t="n">
        <v>0</v>
      </c>
      <c r="Q333" t="n">
        <v>0</v>
      </c>
      <c r="R333" s="2" t="inlineStr"/>
    </row>
    <row r="334" ht="15" customHeight="1">
      <c r="A334" t="inlineStr">
        <is>
          <t>A 27534-2025</t>
        </is>
      </c>
      <c r="B334" s="1" t="n">
        <v>45813</v>
      </c>
      <c r="C334" s="1" t="n">
        <v>46130</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27552-2025</t>
        </is>
      </c>
      <c r="B335" s="1" t="n">
        <v>45813</v>
      </c>
      <c r="C335" s="1" t="n">
        <v>46130</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3939-2022</t>
        </is>
      </c>
      <c r="B336" s="1" t="n">
        <v>44587</v>
      </c>
      <c r="C336" s="1" t="n">
        <v>46130</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56074-2022</t>
        </is>
      </c>
      <c r="B337" s="1" t="n">
        <v>44889</v>
      </c>
      <c r="C337" s="1" t="n">
        <v>46130</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c r="T337">
        <f>HYPERLINK("https://klasma.github.io/Logging_0483/kartor/A 56074-2022 karta.png", "A 56074-2022")</f>
        <v/>
      </c>
      <c r="V337">
        <f>HYPERLINK("https://klasma.github.io/Logging_0483/klagomål/A 56074-2022 FSC-klagomål.docx", "A 56074-2022")</f>
        <v/>
      </c>
      <c r="W337">
        <f>HYPERLINK("https://klasma.github.io/Logging_0483/klagomålsmail/A 56074-2022 FSC-klagomål mail.docx", "A 56074-2022")</f>
        <v/>
      </c>
      <c r="X337">
        <f>HYPERLINK("https://klasma.github.io/Logging_0483/tillsyn/A 56074-2022 tillsynsbegäran.docx", "A 56074-2022")</f>
        <v/>
      </c>
      <c r="Y337">
        <f>HYPERLINK("https://klasma.github.io/Logging_0483/tillsynsmail/A 56074-2022 tillsynsbegäran mail.docx", "A 56074-2022")</f>
        <v/>
      </c>
    </row>
    <row r="338" ht="15" customHeight="1">
      <c r="A338" t="inlineStr">
        <is>
          <t>A 27636-2025</t>
        </is>
      </c>
      <c r="B338" s="1" t="n">
        <v>45813.57603009259</v>
      </c>
      <c r="C338" s="1" t="n">
        <v>46130</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24600-2025</t>
        </is>
      </c>
      <c r="B339" s="1" t="n">
        <v>45798.56348379629</v>
      </c>
      <c r="C339" s="1" t="n">
        <v>46130</v>
      </c>
      <c r="D339" t="inlineStr">
        <is>
          <t>SÖDERMANLANDS LÄN</t>
        </is>
      </c>
      <c r="E339" t="inlineStr">
        <is>
          <t>KATRINEHOLM</t>
        </is>
      </c>
      <c r="G339" t="n">
        <v>1.7</v>
      </c>
      <c r="H339" t="n">
        <v>0</v>
      </c>
      <c r="I339" t="n">
        <v>0</v>
      </c>
      <c r="J339" t="n">
        <v>0</v>
      </c>
      <c r="K339" t="n">
        <v>0</v>
      </c>
      <c r="L339" t="n">
        <v>0</v>
      </c>
      <c r="M339" t="n">
        <v>0</v>
      </c>
      <c r="N339" t="n">
        <v>0</v>
      </c>
      <c r="O339" t="n">
        <v>0</v>
      </c>
      <c r="P339" t="n">
        <v>0</v>
      </c>
      <c r="Q339" t="n">
        <v>0</v>
      </c>
      <c r="R339" s="2" t="inlineStr"/>
    </row>
    <row r="340" ht="15" customHeight="1">
      <c r="A340" t="inlineStr">
        <is>
          <t>A 61915-2021</t>
        </is>
      </c>
      <c r="B340" s="1" t="n">
        <v>44502.36780092592</v>
      </c>
      <c r="C340" s="1" t="n">
        <v>46130</v>
      </c>
      <c r="D340" t="inlineStr">
        <is>
          <t>SÖDERMANLANDS LÄN</t>
        </is>
      </c>
      <c r="E340" t="inlineStr">
        <is>
          <t>KATRINEHOLM</t>
        </is>
      </c>
      <c r="G340" t="n">
        <v>2.6</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46130</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4656-2023</t>
        </is>
      </c>
      <c r="B342" s="1" t="n">
        <v>44957</v>
      </c>
      <c r="C342" s="1" t="n">
        <v>46130</v>
      </c>
      <c r="D342" t="inlineStr">
        <is>
          <t>SÖDERMANLANDS LÄN</t>
        </is>
      </c>
      <c r="E342" t="inlineStr">
        <is>
          <t>KATRINEHOLM</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12633-2022</t>
        </is>
      </c>
      <c r="B343" s="1" t="n">
        <v>44638</v>
      </c>
      <c r="C343" s="1" t="n">
        <v>46130</v>
      </c>
      <c r="D343" t="inlineStr">
        <is>
          <t>SÖDERMANLANDS LÄN</t>
        </is>
      </c>
      <c r="E343" t="inlineStr">
        <is>
          <t>KATRINEHOLM</t>
        </is>
      </c>
      <c r="G343" t="n">
        <v>6.4</v>
      </c>
      <c r="H343" t="n">
        <v>0</v>
      </c>
      <c r="I343" t="n">
        <v>0</v>
      </c>
      <c r="J343" t="n">
        <v>0</v>
      </c>
      <c r="K343" t="n">
        <v>0</v>
      </c>
      <c r="L343" t="n">
        <v>0</v>
      </c>
      <c r="M343" t="n">
        <v>0</v>
      </c>
      <c r="N343" t="n">
        <v>0</v>
      </c>
      <c r="O343" t="n">
        <v>0</v>
      </c>
      <c r="P343" t="n">
        <v>0</v>
      </c>
      <c r="Q343" t="n">
        <v>0</v>
      </c>
      <c r="R343" s="2" t="inlineStr"/>
    </row>
    <row r="344" ht="15" customHeight="1">
      <c r="A344" t="inlineStr">
        <is>
          <t>A 59093-2024</t>
        </is>
      </c>
      <c r="B344" s="1" t="n">
        <v>45636</v>
      </c>
      <c r="C344" s="1" t="n">
        <v>46130</v>
      </c>
      <c r="D344" t="inlineStr">
        <is>
          <t>SÖDERMANLANDS LÄN</t>
        </is>
      </c>
      <c r="E344" t="inlineStr">
        <is>
          <t>KATRINEHOLM</t>
        </is>
      </c>
      <c r="G344" t="n">
        <v>2.8</v>
      </c>
      <c r="H344" t="n">
        <v>0</v>
      </c>
      <c r="I344" t="n">
        <v>0</v>
      </c>
      <c r="J344" t="n">
        <v>0</v>
      </c>
      <c r="K344" t="n">
        <v>0</v>
      </c>
      <c r="L344" t="n">
        <v>0</v>
      </c>
      <c r="M344" t="n">
        <v>0</v>
      </c>
      <c r="N344" t="n">
        <v>0</v>
      </c>
      <c r="O344" t="n">
        <v>0</v>
      </c>
      <c r="P344" t="n">
        <v>0</v>
      </c>
      <c r="Q344" t="n">
        <v>0</v>
      </c>
      <c r="R344" s="2" t="inlineStr"/>
    </row>
    <row r="345" ht="15" customHeight="1">
      <c r="A345" t="inlineStr">
        <is>
          <t>A 38872-2024</t>
        </is>
      </c>
      <c r="B345" s="1" t="n">
        <v>45547</v>
      </c>
      <c r="C345" s="1" t="n">
        <v>46130</v>
      </c>
      <c r="D345" t="inlineStr">
        <is>
          <t>SÖDERMANLANDS LÄN</t>
        </is>
      </c>
      <c r="E345" t="inlineStr">
        <is>
          <t>KATRINEHOLM</t>
        </is>
      </c>
      <c r="G345" t="n">
        <v>5.7</v>
      </c>
      <c r="H345" t="n">
        <v>0</v>
      </c>
      <c r="I345" t="n">
        <v>0</v>
      </c>
      <c r="J345" t="n">
        <v>0</v>
      </c>
      <c r="K345" t="n">
        <v>0</v>
      </c>
      <c r="L345" t="n">
        <v>0</v>
      </c>
      <c r="M345" t="n">
        <v>0</v>
      </c>
      <c r="N345" t="n">
        <v>0</v>
      </c>
      <c r="O345" t="n">
        <v>0</v>
      </c>
      <c r="P345" t="n">
        <v>0</v>
      </c>
      <c r="Q345" t="n">
        <v>0</v>
      </c>
      <c r="R345" s="2" t="inlineStr"/>
    </row>
    <row r="346" ht="15" customHeight="1">
      <c r="A346" t="inlineStr">
        <is>
          <t>A 46288-2025</t>
        </is>
      </c>
      <c r="B346" s="1" t="n">
        <v>45925.38545138889</v>
      </c>
      <c r="C346" s="1" t="n">
        <v>46130</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29189-2025</t>
        </is>
      </c>
      <c r="B347" s="1" t="n">
        <v>45822</v>
      </c>
      <c r="C347" s="1" t="n">
        <v>46130</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46524-2025</t>
        </is>
      </c>
      <c r="B348" s="1" t="n">
        <v>45926</v>
      </c>
      <c r="C348" s="1" t="n">
        <v>46130</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9932-2023</t>
        </is>
      </c>
      <c r="B349" s="1" t="n">
        <v>44985.46709490741</v>
      </c>
      <c r="C349" s="1" t="n">
        <v>46130</v>
      </c>
      <c r="D349" t="inlineStr">
        <is>
          <t>SÖDERMANLANDS LÄN</t>
        </is>
      </c>
      <c r="E349" t="inlineStr">
        <is>
          <t>KATRINEHOLM</t>
        </is>
      </c>
      <c r="G349" t="n">
        <v>0.3</v>
      </c>
      <c r="H349" t="n">
        <v>0</v>
      </c>
      <c r="I349" t="n">
        <v>0</v>
      </c>
      <c r="J349" t="n">
        <v>0</v>
      </c>
      <c r="K349" t="n">
        <v>0</v>
      </c>
      <c r="L349" t="n">
        <v>0</v>
      </c>
      <c r="M349" t="n">
        <v>0</v>
      </c>
      <c r="N349" t="n">
        <v>0</v>
      </c>
      <c r="O349" t="n">
        <v>0</v>
      </c>
      <c r="P349" t="n">
        <v>0</v>
      </c>
      <c r="Q349" t="n">
        <v>0</v>
      </c>
      <c r="R349" s="2" t="inlineStr"/>
    </row>
    <row r="350" ht="15" customHeight="1">
      <c r="A350" t="inlineStr">
        <is>
          <t>A 30050-2025</t>
        </is>
      </c>
      <c r="B350" s="1" t="n">
        <v>45826.59151620371</v>
      </c>
      <c r="C350" s="1" t="n">
        <v>46130</v>
      </c>
      <c r="D350" t="inlineStr">
        <is>
          <t>SÖDERMANLANDS LÄN</t>
        </is>
      </c>
      <c r="E350" t="inlineStr">
        <is>
          <t>KATRINEHOLM</t>
        </is>
      </c>
      <c r="G350" t="n">
        <v>7.9</v>
      </c>
      <c r="H350" t="n">
        <v>0</v>
      </c>
      <c r="I350" t="n">
        <v>0</v>
      </c>
      <c r="J350" t="n">
        <v>0</v>
      </c>
      <c r="K350" t="n">
        <v>0</v>
      </c>
      <c r="L350" t="n">
        <v>0</v>
      </c>
      <c r="M350" t="n">
        <v>0</v>
      </c>
      <c r="N350" t="n">
        <v>0</v>
      </c>
      <c r="O350" t="n">
        <v>0</v>
      </c>
      <c r="P350" t="n">
        <v>0</v>
      </c>
      <c r="Q350" t="n">
        <v>0</v>
      </c>
      <c r="R350" s="2" t="inlineStr"/>
    </row>
    <row r="351" ht="15" customHeight="1">
      <c r="A351" t="inlineStr">
        <is>
          <t>A 9192-2023</t>
        </is>
      </c>
      <c r="B351" s="1" t="n">
        <v>44980</v>
      </c>
      <c r="C351" s="1" t="n">
        <v>46130</v>
      </c>
      <c r="D351" t="inlineStr">
        <is>
          <t>SÖDERMANLANDS LÄN</t>
        </is>
      </c>
      <c r="E351" t="inlineStr">
        <is>
          <t>KATRINEHOLM</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15399-2022</t>
        </is>
      </c>
      <c r="B352" s="1" t="n">
        <v>44659</v>
      </c>
      <c r="C352" s="1" t="n">
        <v>46130</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30070-2025</t>
        </is>
      </c>
      <c r="B353" s="1" t="n">
        <v>45826.63324074074</v>
      </c>
      <c r="C353" s="1" t="n">
        <v>46130</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11872-2023</t>
        </is>
      </c>
      <c r="B354" s="1" t="n">
        <v>44995</v>
      </c>
      <c r="C354" s="1" t="n">
        <v>46130</v>
      </c>
      <c r="D354" t="inlineStr">
        <is>
          <t>SÖDERMANLANDS LÄN</t>
        </is>
      </c>
      <c r="E354" t="inlineStr">
        <is>
          <t>KATRINEHOLM</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49092-2024</t>
        </is>
      </c>
      <c r="B355" s="1" t="n">
        <v>45594.63619212963</v>
      </c>
      <c r="C355" s="1" t="n">
        <v>46130</v>
      </c>
      <c r="D355" t="inlineStr">
        <is>
          <t>SÖDERMANLANDS LÄN</t>
        </is>
      </c>
      <c r="E355" t="inlineStr">
        <is>
          <t>KATRINEHOLM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49095-2024</t>
        </is>
      </c>
      <c r="B356" s="1" t="n">
        <v>45594.63828703704</v>
      </c>
      <c r="C356" s="1" t="n">
        <v>46130</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30287-2025</t>
        </is>
      </c>
      <c r="B357" s="1" t="n">
        <v>45827</v>
      </c>
      <c r="C357" s="1" t="n">
        <v>46130</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30350-2025</t>
        </is>
      </c>
      <c r="B358" s="1" t="n">
        <v>45827.53319444445</v>
      </c>
      <c r="C358" s="1" t="n">
        <v>46130</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30352-2025</t>
        </is>
      </c>
      <c r="B359" s="1" t="n">
        <v>45827</v>
      </c>
      <c r="C359" s="1" t="n">
        <v>46130</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30386-2025</t>
        </is>
      </c>
      <c r="B360" s="1" t="n">
        <v>45827</v>
      </c>
      <c r="C360" s="1" t="n">
        <v>46130</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36-2023</t>
        </is>
      </c>
      <c r="B361" s="1" t="n">
        <v>44928.36578703704</v>
      </c>
      <c r="C361" s="1" t="n">
        <v>46130</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30402-2025</t>
        </is>
      </c>
      <c r="B362" s="1" t="n">
        <v>45827</v>
      </c>
      <c r="C362" s="1" t="n">
        <v>46130</v>
      </c>
      <c r="D362" t="inlineStr">
        <is>
          <t>SÖDERMANLANDS LÄN</t>
        </is>
      </c>
      <c r="E362" t="inlineStr">
        <is>
          <t>KATRINEHOLM</t>
        </is>
      </c>
      <c r="G362" t="n">
        <v>7.1</v>
      </c>
      <c r="H362" t="n">
        <v>0</v>
      </c>
      <c r="I362" t="n">
        <v>0</v>
      </c>
      <c r="J362" t="n">
        <v>0</v>
      </c>
      <c r="K362" t="n">
        <v>0</v>
      </c>
      <c r="L362" t="n">
        <v>0</v>
      </c>
      <c r="M362" t="n">
        <v>0</v>
      </c>
      <c r="N362" t="n">
        <v>0</v>
      </c>
      <c r="O362" t="n">
        <v>0</v>
      </c>
      <c r="P362" t="n">
        <v>0</v>
      </c>
      <c r="Q362" t="n">
        <v>0</v>
      </c>
      <c r="R362" s="2" t="inlineStr"/>
    </row>
    <row r="363" ht="15" customHeight="1">
      <c r="A363" t="inlineStr">
        <is>
          <t>A 10341-2022</t>
        </is>
      </c>
      <c r="B363" s="1" t="n">
        <v>44623</v>
      </c>
      <c r="C363" s="1" t="n">
        <v>46130</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46130</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46130</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6807-2023</t>
        </is>
      </c>
      <c r="B366" s="1" t="n">
        <v>44964</v>
      </c>
      <c r="C366" s="1" t="n">
        <v>46130</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9668-2023</t>
        </is>
      </c>
      <c r="B367" s="1" t="n">
        <v>44984.41238425926</v>
      </c>
      <c r="C367" s="1" t="n">
        <v>46130</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9044-2022</t>
        </is>
      </c>
      <c r="B368" s="1" t="n">
        <v>44602</v>
      </c>
      <c r="C368" s="1" t="n">
        <v>46130</v>
      </c>
      <c r="D368" t="inlineStr">
        <is>
          <t>SÖDERMANLANDS LÄN</t>
        </is>
      </c>
      <c r="E368" t="inlineStr">
        <is>
          <t>KATRINEHOLM</t>
        </is>
      </c>
      <c r="G368" t="n">
        <v>5.8</v>
      </c>
      <c r="H368" t="n">
        <v>0</v>
      </c>
      <c r="I368" t="n">
        <v>0</v>
      </c>
      <c r="J368" t="n">
        <v>0</v>
      </c>
      <c r="K368" t="n">
        <v>0</v>
      </c>
      <c r="L368" t="n">
        <v>0</v>
      </c>
      <c r="M368" t="n">
        <v>0</v>
      </c>
      <c r="N368" t="n">
        <v>0</v>
      </c>
      <c r="O368" t="n">
        <v>0</v>
      </c>
      <c r="P368" t="n">
        <v>0</v>
      </c>
      <c r="Q368" t="n">
        <v>0</v>
      </c>
      <c r="R368" s="2" t="inlineStr"/>
    </row>
    <row r="369" ht="15" customHeight="1">
      <c r="A369" t="inlineStr">
        <is>
          <t>A 55829-2025</t>
        </is>
      </c>
      <c r="B369" s="1" t="n">
        <v>45972.79274305556</v>
      </c>
      <c r="C369" s="1" t="n">
        <v>46130</v>
      </c>
      <c r="D369" t="inlineStr">
        <is>
          <t>SÖDERMANLANDS LÄN</t>
        </is>
      </c>
      <c r="E369" t="inlineStr">
        <is>
          <t>KATRINEHOLM</t>
        </is>
      </c>
      <c r="G369" t="n">
        <v>3.2</v>
      </c>
      <c r="H369" t="n">
        <v>0</v>
      </c>
      <c r="I369" t="n">
        <v>0</v>
      </c>
      <c r="J369" t="n">
        <v>0</v>
      </c>
      <c r="K369" t="n">
        <v>0</v>
      </c>
      <c r="L369" t="n">
        <v>0</v>
      </c>
      <c r="M369" t="n">
        <v>0</v>
      </c>
      <c r="N369" t="n">
        <v>0</v>
      </c>
      <c r="O369" t="n">
        <v>0</v>
      </c>
      <c r="P369" t="n">
        <v>0</v>
      </c>
      <c r="Q369" t="n">
        <v>0</v>
      </c>
      <c r="R369" s="2" t="inlineStr"/>
    </row>
    <row r="370" ht="15" customHeight="1">
      <c r="A370" t="inlineStr">
        <is>
          <t>A 55832-2025</t>
        </is>
      </c>
      <c r="B370" s="1" t="n">
        <v>45972.81768518518</v>
      </c>
      <c r="C370" s="1" t="n">
        <v>46130</v>
      </c>
      <c r="D370" t="inlineStr">
        <is>
          <t>SÖDERMANLANDS LÄN</t>
        </is>
      </c>
      <c r="E370" t="inlineStr">
        <is>
          <t>KATRINEHOLM</t>
        </is>
      </c>
      <c r="G370" t="n">
        <v>2</v>
      </c>
      <c r="H370" t="n">
        <v>0</v>
      </c>
      <c r="I370" t="n">
        <v>0</v>
      </c>
      <c r="J370" t="n">
        <v>0</v>
      </c>
      <c r="K370" t="n">
        <v>0</v>
      </c>
      <c r="L370" t="n">
        <v>0</v>
      </c>
      <c r="M370" t="n">
        <v>0</v>
      </c>
      <c r="N370" t="n">
        <v>0</v>
      </c>
      <c r="O370" t="n">
        <v>0</v>
      </c>
      <c r="P370" t="n">
        <v>0</v>
      </c>
      <c r="Q370" t="n">
        <v>0</v>
      </c>
      <c r="R370" s="2" t="inlineStr"/>
    </row>
    <row r="371" ht="15" customHeight="1">
      <c r="A371" t="inlineStr">
        <is>
          <t>A 31376-2025</t>
        </is>
      </c>
      <c r="B371" s="1" t="n">
        <v>45833</v>
      </c>
      <c r="C371" s="1" t="n">
        <v>46130</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48091-2024</t>
        </is>
      </c>
      <c r="B372" s="1" t="n">
        <v>45590</v>
      </c>
      <c r="C372" s="1" t="n">
        <v>46130</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24097-2022</t>
        </is>
      </c>
      <c r="B373" s="1" t="n">
        <v>44725.39371527778</v>
      </c>
      <c r="C373" s="1" t="n">
        <v>46130</v>
      </c>
      <c r="D373" t="inlineStr">
        <is>
          <t>SÖDERMANLANDS LÄN</t>
        </is>
      </c>
      <c r="E373" t="inlineStr">
        <is>
          <t>KATRINEHOLM</t>
        </is>
      </c>
      <c r="G373" t="n">
        <v>6.5</v>
      </c>
      <c r="H373" t="n">
        <v>0</v>
      </c>
      <c r="I373" t="n">
        <v>0</v>
      </c>
      <c r="J373" t="n">
        <v>0</v>
      </c>
      <c r="K373" t="n">
        <v>0</v>
      </c>
      <c r="L373" t="n">
        <v>0</v>
      </c>
      <c r="M373" t="n">
        <v>0</v>
      </c>
      <c r="N373" t="n">
        <v>0</v>
      </c>
      <c r="O373" t="n">
        <v>0</v>
      </c>
      <c r="P373" t="n">
        <v>0</v>
      </c>
      <c r="Q373" t="n">
        <v>0</v>
      </c>
      <c r="R373" s="2" t="inlineStr"/>
    </row>
    <row r="374" ht="15" customHeight="1">
      <c r="A374" t="inlineStr">
        <is>
          <t>A 31392-2025</t>
        </is>
      </c>
      <c r="B374" s="1" t="n">
        <v>45833</v>
      </c>
      <c r="C374" s="1" t="n">
        <v>46130</v>
      </c>
      <c r="D374" t="inlineStr">
        <is>
          <t>SÖDERMANLANDS LÄN</t>
        </is>
      </c>
      <c r="E374" t="inlineStr">
        <is>
          <t>KATRINEHOLM</t>
        </is>
      </c>
      <c r="G374" t="n">
        <v>5</v>
      </c>
      <c r="H374" t="n">
        <v>0</v>
      </c>
      <c r="I374" t="n">
        <v>0</v>
      </c>
      <c r="J374" t="n">
        <v>0</v>
      </c>
      <c r="K374" t="n">
        <v>0</v>
      </c>
      <c r="L374" t="n">
        <v>0</v>
      </c>
      <c r="M374" t="n">
        <v>0</v>
      </c>
      <c r="N374" t="n">
        <v>0</v>
      </c>
      <c r="O374" t="n">
        <v>0</v>
      </c>
      <c r="P374" t="n">
        <v>0</v>
      </c>
      <c r="Q374" t="n">
        <v>0</v>
      </c>
      <c r="R374" s="2" t="inlineStr"/>
    </row>
    <row r="375" ht="15" customHeight="1">
      <c r="A375" t="inlineStr">
        <is>
          <t>A 46670-2021</t>
        </is>
      </c>
      <c r="B375" s="1" t="n">
        <v>44445</v>
      </c>
      <c r="C375" s="1" t="n">
        <v>46130</v>
      </c>
      <c r="D375" t="inlineStr">
        <is>
          <t>SÖDERMANLANDS LÄN</t>
        </is>
      </c>
      <c r="E375" t="inlineStr">
        <is>
          <t>KATRINEHOLM</t>
        </is>
      </c>
      <c r="G375" t="n">
        <v>4.4</v>
      </c>
      <c r="H375" t="n">
        <v>0</v>
      </c>
      <c r="I375" t="n">
        <v>0</v>
      </c>
      <c r="J375" t="n">
        <v>0</v>
      </c>
      <c r="K375" t="n">
        <v>0</v>
      </c>
      <c r="L375" t="n">
        <v>0</v>
      </c>
      <c r="M375" t="n">
        <v>0</v>
      </c>
      <c r="N375" t="n">
        <v>0</v>
      </c>
      <c r="O375" t="n">
        <v>0</v>
      </c>
      <c r="P375" t="n">
        <v>0</v>
      </c>
      <c r="Q375" t="n">
        <v>0</v>
      </c>
      <c r="R375" s="2" t="inlineStr"/>
    </row>
    <row r="376" ht="15" customHeight="1">
      <c r="A376" t="inlineStr">
        <is>
          <t>A 31386-2025</t>
        </is>
      </c>
      <c r="B376" s="1" t="n">
        <v>45833.45259259259</v>
      </c>
      <c r="C376" s="1" t="n">
        <v>46130</v>
      </c>
      <c r="D376" t="inlineStr">
        <is>
          <t>SÖDERMANLANDS LÄN</t>
        </is>
      </c>
      <c r="E376" t="inlineStr">
        <is>
          <t>KATRINEHOLM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62954-2023</t>
        </is>
      </c>
      <c r="B377" s="1" t="n">
        <v>45272.55362268518</v>
      </c>
      <c r="C377" s="1" t="n">
        <v>46130</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58651-2023</t>
        </is>
      </c>
      <c r="B378" s="1" t="n">
        <v>45247</v>
      </c>
      <c r="C378" s="1" t="n">
        <v>46130</v>
      </c>
      <c r="D378" t="inlineStr">
        <is>
          <t>SÖDERMANLANDS LÄN</t>
        </is>
      </c>
      <c r="E378" t="inlineStr">
        <is>
          <t>KATRINEHOLM</t>
        </is>
      </c>
      <c r="G378" t="n">
        <v>2.7</v>
      </c>
      <c r="H378" t="n">
        <v>0</v>
      </c>
      <c r="I378" t="n">
        <v>0</v>
      </c>
      <c r="J378" t="n">
        <v>0</v>
      </c>
      <c r="K378" t="n">
        <v>0</v>
      </c>
      <c r="L378" t="n">
        <v>0</v>
      </c>
      <c r="M378" t="n">
        <v>0</v>
      </c>
      <c r="N378" t="n">
        <v>0</v>
      </c>
      <c r="O378" t="n">
        <v>0</v>
      </c>
      <c r="P378" t="n">
        <v>0</v>
      </c>
      <c r="Q378" t="n">
        <v>0</v>
      </c>
      <c r="R378" s="2" t="inlineStr"/>
    </row>
    <row r="379" ht="15" customHeight="1">
      <c r="A379" t="inlineStr">
        <is>
          <t>A 49743-2025</t>
        </is>
      </c>
      <c r="B379" s="1" t="n">
        <v>45940</v>
      </c>
      <c r="C379" s="1" t="n">
        <v>46130</v>
      </c>
      <c r="D379" t="inlineStr">
        <is>
          <t>SÖDERMANLANDS LÄN</t>
        </is>
      </c>
      <c r="E379" t="inlineStr">
        <is>
          <t>KATRINEHOLM</t>
        </is>
      </c>
      <c r="G379" t="n">
        <v>1.1</v>
      </c>
      <c r="H379" t="n">
        <v>0</v>
      </c>
      <c r="I379" t="n">
        <v>0</v>
      </c>
      <c r="J379" t="n">
        <v>0</v>
      </c>
      <c r="K379" t="n">
        <v>0</v>
      </c>
      <c r="L379" t="n">
        <v>0</v>
      </c>
      <c r="M379" t="n">
        <v>0</v>
      </c>
      <c r="N379" t="n">
        <v>0</v>
      </c>
      <c r="O379" t="n">
        <v>0</v>
      </c>
      <c r="P379" t="n">
        <v>0</v>
      </c>
      <c r="Q379" t="n">
        <v>0</v>
      </c>
      <c r="R379" s="2" t="inlineStr"/>
    </row>
    <row r="380" ht="15" customHeight="1">
      <c r="A380" t="inlineStr">
        <is>
          <t>A 31990-2025</t>
        </is>
      </c>
      <c r="B380" s="1" t="n">
        <v>45835.36697916667</v>
      </c>
      <c r="C380" s="1" t="n">
        <v>46130</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6446-2022</t>
        </is>
      </c>
      <c r="B381" s="1" t="n">
        <v>44600</v>
      </c>
      <c r="C381" s="1" t="n">
        <v>46130</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51923-2023</t>
        </is>
      </c>
      <c r="B382" s="1" t="n">
        <v>45223</v>
      </c>
      <c r="C382" s="1" t="n">
        <v>46130</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33090-2025</t>
        </is>
      </c>
      <c r="B383" s="1" t="n">
        <v>45840.46840277778</v>
      </c>
      <c r="C383" s="1" t="n">
        <v>46130</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33084-2025</t>
        </is>
      </c>
      <c r="B384" s="1" t="n">
        <v>45840.46559027778</v>
      </c>
      <c r="C384" s="1" t="n">
        <v>46130</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50934-2025</t>
        </is>
      </c>
      <c r="B385" s="1" t="n">
        <v>45946.69195601852</v>
      </c>
      <c r="C385" s="1" t="n">
        <v>46130</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18386-2025</t>
        </is>
      </c>
      <c r="B386" s="1" t="n">
        <v>45762</v>
      </c>
      <c r="C386" s="1" t="n">
        <v>46130</v>
      </c>
      <c r="D386" t="inlineStr">
        <is>
          <t>SÖDERMANLANDS LÄN</t>
        </is>
      </c>
      <c r="E386" t="inlineStr">
        <is>
          <t>KATRINEHOLM</t>
        </is>
      </c>
      <c r="G386" t="n">
        <v>0.5</v>
      </c>
      <c r="H386" t="n">
        <v>0</v>
      </c>
      <c r="I386" t="n">
        <v>0</v>
      </c>
      <c r="J386" t="n">
        <v>0</v>
      </c>
      <c r="K386" t="n">
        <v>0</v>
      </c>
      <c r="L386" t="n">
        <v>0</v>
      </c>
      <c r="M386" t="n">
        <v>0</v>
      </c>
      <c r="N386" t="n">
        <v>0</v>
      </c>
      <c r="O386" t="n">
        <v>0</v>
      </c>
      <c r="P386" t="n">
        <v>0</v>
      </c>
      <c r="Q386" t="n">
        <v>0</v>
      </c>
      <c r="R386" s="2" t="inlineStr"/>
    </row>
    <row r="387" ht="15" customHeight="1">
      <c r="A387" t="inlineStr">
        <is>
          <t>A 3125-2024</t>
        </is>
      </c>
      <c r="B387" s="1" t="n">
        <v>45316</v>
      </c>
      <c r="C387" s="1" t="n">
        <v>46130</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33577-2025</t>
        </is>
      </c>
      <c r="B388" s="1" t="n">
        <v>45841.59056712963</v>
      </c>
      <c r="C388" s="1" t="n">
        <v>46130</v>
      </c>
      <c r="D388" t="inlineStr">
        <is>
          <t>SÖDERMANLANDS LÄN</t>
        </is>
      </c>
      <c r="E388" t="inlineStr">
        <is>
          <t>KATRINEHOLM</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35183-2022</t>
        </is>
      </c>
      <c r="B389" s="1" t="n">
        <v>44797</v>
      </c>
      <c r="C389" s="1" t="n">
        <v>46130</v>
      </c>
      <c r="D389" t="inlineStr">
        <is>
          <t>SÖDERMANLANDS LÄN</t>
        </is>
      </c>
      <c r="E389" t="inlineStr">
        <is>
          <t>KATRINEHOLM</t>
        </is>
      </c>
      <c r="G389" t="n">
        <v>4.6</v>
      </c>
      <c r="H389" t="n">
        <v>0</v>
      </c>
      <c r="I389" t="n">
        <v>0</v>
      </c>
      <c r="J389" t="n">
        <v>0</v>
      </c>
      <c r="K389" t="n">
        <v>0</v>
      </c>
      <c r="L389" t="n">
        <v>0</v>
      </c>
      <c r="M389" t="n">
        <v>0</v>
      </c>
      <c r="N389" t="n">
        <v>0</v>
      </c>
      <c r="O389" t="n">
        <v>0</v>
      </c>
      <c r="P389" t="n">
        <v>0</v>
      </c>
      <c r="Q389" t="n">
        <v>0</v>
      </c>
      <c r="R389" s="2" t="inlineStr"/>
    </row>
    <row r="390" ht="15" customHeight="1">
      <c r="A390" t="inlineStr">
        <is>
          <t>A 55831-2025</t>
        </is>
      </c>
      <c r="B390" s="1" t="n">
        <v>45972.81034722222</v>
      </c>
      <c r="C390" s="1" t="n">
        <v>46130</v>
      </c>
      <c r="D390" t="inlineStr">
        <is>
          <t>SÖDERMANLANDS LÄN</t>
        </is>
      </c>
      <c r="E390" t="inlineStr">
        <is>
          <t>KATRINEHOLM</t>
        </is>
      </c>
      <c r="G390" t="n">
        <v>6.2</v>
      </c>
      <c r="H390" t="n">
        <v>0</v>
      </c>
      <c r="I390" t="n">
        <v>0</v>
      </c>
      <c r="J390" t="n">
        <v>0</v>
      </c>
      <c r="K390" t="n">
        <v>0</v>
      </c>
      <c r="L390" t="n">
        <v>0</v>
      </c>
      <c r="M390" t="n">
        <v>0</v>
      </c>
      <c r="N390" t="n">
        <v>0</v>
      </c>
      <c r="O390" t="n">
        <v>0</v>
      </c>
      <c r="P390" t="n">
        <v>0</v>
      </c>
      <c r="Q390" t="n">
        <v>0</v>
      </c>
      <c r="R390" s="2" t="inlineStr"/>
    </row>
    <row r="391" ht="15" customHeight="1">
      <c r="A391" t="inlineStr">
        <is>
          <t>A 42519-2024</t>
        </is>
      </c>
      <c r="B391" s="1" t="n">
        <v>45565</v>
      </c>
      <c r="C391" s="1" t="n">
        <v>46130</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33812-2025</t>
        </is>
      </c>
      <c r="B392" s="1" t="n">
        <v>45842</v>
      </c>
      <c r="C392" s="1" t="n">
        <v>46130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33815-2025</t>
        </is>
      </c>
      <c r="B393" s="1" t="n">
        <v>45842</v>
      </c>
      <c r="C393" s="1" t="n">
        <v>46130</v>
      </c>
      <c r="D393" t="inlineStr">
        <is>
          <t>SÖDERMANLANDS LÄN</t>
        </is>
      </c>
      <c r="E393" t="inlineStr">
        <is>
          <t>KATRINEHOLM</t>
        </is>
      </c>
      <c r="G393" t="n">
        <v>3.4</v>
      </c>
      <c r="H393" t="n">
        <v>0</v>
      </c>
      <c r="I393" t="n">
        <v>0</v>
      </c>
      <c r="J393" t="n">
        <v>0</v>
      </c>
      <c r="K393" t="n">
        <v>0</v>
      </c>
      <c r="L393" t="n">
        <v>0</v>
      </c>
      <c r="M393" t="n">
        <v>0</v>
      </c>
      <c r="N393" t="n">
        <v>0</v>
      </c>
      <c r="O393" t="n">
        <v>0</v>
      </c>
      <c r="P393" t="n">
        <v>0</v>
      </c>
      <c r="Q393" t="n">
        <v>0</v>
      </c>
      <c r="R393" s="2" t="inlineStr"/>
    </row>
    <row r="394" ht="15" customHeight="1">
      <c r="A394" t="inlineStr">
        <is>
          <t>A 20826-2022</t>
        </is>
      </c>
      <c r="B394" s="1" t="n">
        <v>44701.44754629629</v>
      </c>
      <c r="C394" s="1" t="n">
        <v>46130</v>
      </c>
      <c r="D394" t="inlineStr">
        <is>
          <t>SÖDERMANLANDS LÄN</t>
        </is>
      </c>
      <c r="E394" t="inlineStr">
        <is>
          <t>KATRINEHOLM</t>
        </is>
      </c>
      <c r="G394" t="n">
        <v>6.8</v>
      </c>
      <c r="H394" t="n">
        <v>0</v>
      </c>
      <c r="I394" t="n">
        <v>0</v>
      </c>
      <c r="J394" t="n">
        <v>0</v>
      </c>
      <c r="K394" t="n">
        <v>0</v>
      </c>
      <c r="L394" t="n">
        <v>0</v>
      </c>
      <c r="M394" t="n">
        <v>0</v>
      </c>
      <c r="N394" t="n">
        <v>0</v>
      </c>
      <c r="O394" t="n">
        <v>0</v>
      </c>
      <c r="P394" t="n">
        <v>0</v>
      </c>
      <c r="Q394" t="n">
        <v>0</v>
      </c>
      <c r="R394" s="2" t="inlineStr"/>
    </row>
    <row r="395" ht="15" customHeight="1">
      <c r="A395" t="inlineStr">
        <is>
          <t>A 20846-2022</t>
        </is>
      </c>
      <c r="B395" s="1" t="n">
        <v>44701.4744212963</v>
      </c>
      <c r="C395" s="1" t="n">
        <v>46130</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6762-2025</t>
        </is>
      </c>
      <c r="B396" s="1" t="n">
        <v>45700</v>
      </c>
      <c r="C396" s="1" t="n">
        <v>46130</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20213-2025</t>
        </is>
      </c>
      <c r="B397" s="1" t="n">
        <v>45772.63453703704</v>
      </c>
      <c r="C397" s="1" t="n">
        <v>46130</v>
      </c>
      <c r="D397" t="inlineStr">
        <is>
          <t>SÖDERMANLANDS LÄN</t>
        </is>
      </c>
      <c r="E397" t="inlineStr">
        <is>
          <t>KATRINEHOLM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51367-2025</t>
        </is>
      </c>
      <c r="B398" s="1" t="n">
        <v>45950.44700231482</v>
      </c>
      <c r="C398" s="1" t="n">
        <v>46130</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46130</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51440-2024</t>
        </is>
      </c>
      <c r="B400" s="1" t="n">
        <v>45604</v>
      </c>
      <c r="C400" s="1" t="n">
        <v>46130</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56330-2025</t>
        </is>
      </c>
      <c r="B401" s="1" t="n">
        <v>45974.64094907408</v>
      </c>
      <c r="C401" s="1" t="n">
        <v>46130</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47879-2023</t>
        </is>
      </c>
      <c r="B402" s="1" t="n">
        <v>45204</v>
      </c>
      <c r="C402" s="1" t="n">
        <v>46130</v>
      </c>
      <c r="D402" t="inlineStr">
        <is>
          <t>SÖDERMANLANDS LÄN</t>
        </is>
      </c>
      <c r="E402" t="inlineStr">
        <is>
          <t>KATRINEHOLM</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12975-2022</t>
        </is>
      </c>
      <c r="B403" s="1" t="n">
        <v>44643</v>
      </c>
      <c r="C403" s="1" t="n">
        <v>46130</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51260-2021</t>
        </is>
      </c>
      <c r="B404" s="1" t="n">
        <v>44461</v>
      </c>
      <c r="C404" s="1" t="n">
        <v>46130</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53843-2023</t>
        </is>
      </c>
      <c r="B405" s="1" t="n">
        <v>45230</v>
      </c>
      <c r="C405" s="1" t="n">
        <v>46130</v>
      </c>
      <c r="D405" t="inlineStr">
        <is>
          <t>SÖDERMANLANDS LÄN</t>
        </is>
      </c>
      <c r="E405" t="inlineStr">
        <is>
          <t>KATRINEHOLM</t>
        </is>
      </c>
      <c r="G405" t="n">
        <v>14.2</v>
      </c>
      <c r="H405" t="n">
        <v>0</v>
      </c>
      <c r="I405" t="n">
        <v>0</v>
      </c>
      <c r="J405" t="n">
        <v>0</v>
      </c>
      <c r="K405" t="n">
        <v>0</v>
      </c>
      <c r="L405" t="n">
        <v>0</v>
      </c>
      <c r="M405" t="n">
        <v>0</v>
      </c>
      <c r="N405" t="n">
        <v>0</v>
      </c>
      <c r="O405" t="n">
        <v>0</v>
      </c>
      <c r="P405" t="n">
        <v>0</v>
      </c>
      <c r="Q405" t="n">
        <v>0</v>
      </c>
      <c r="R405" s="2" t="inlineStr"/>
    </row>
    <row r="406" ht="15" customHeight="1">
      <c r="A406" t="inlineStr">
        <is>
          <t>A 48763-2024</t>
        </is>
      </c>
      <c r="B406" s="1" t="n">
        <v>45593.60288194445</v>
      </c>
      <c r="C406" s="1" t="n">
        <v>46130</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14478-2023</t>
        </is>
      </c>
      <c r="B407" s="1" t="n">
        <v>45012.66421296296</v>
      </c>
      <c r="C407" s="1" t="n">
        <v>46130</v>
      </c>
      <c r="D407" t="inlineStr">
        <is>
          <t>SÖDERMANLANDS LÄN</t>
        </is>
      </c>
      <c r="E407" t="inlineStr">
        <is>
          <t>KATRINEHOLM</t>
        </is>
      </c>
      <c r="G407" t="n">
        <v>3.9</v>
      </c>
      <c r="H407" t="n">
        <v>0</v>
      </c>
      <c r="I407" t="n">
        <v>0</v>
      </c>
      <c r="J407" t="n">
        <v>0</v>
      </c>
      <c r="K407" t="n">
        <v>0</v>
      </c>
      <c r="L407" t="n">
        <v>0</v>
      </c>
      <c r="M407" t="n">
        <v>0</v>
      </c>
      <c r="N407" t="n">
        <v>0</v>
      </c>
      <c r="O407" t="n">
        <v>0</v>
      </c>
      <c r="P407" t="n">
        <v>0</v>
      </c>
      <c r="Q407" t="n">
        <v>0</v>
      </c>
      <c r="R407" s="2" t="inlineStr"/>
    </row>
    <row r="408" ht="15" customHeight="1">
      <c r="A408" t="inlineStr">
        <is>
          <t>A 20921-2023</t>
        </is>
      </c>
      <c r="B408" s="1" t="n">
        <v>45061</v>
      </c>
      <c r="C408" s="1" t="n">
        <v>46130</v>
      </c>
      <c r="D408" t="inlineStr">
        <is>
          <t>SÖDERMANLANDS LÄN</t>
        </is>
      </c>
      <c r="E408" t="inlineStr">
        <is>
          <t>KATRINEHOLM</t>
        </is>
      </c>
      <c r="G408" t="n">
        <v>8.9</v>
      </c>
      <c r="H408" t="n">
        <v>0</v>
      </c>
      <c r="I408" t="n">
        <v>0</v>
      </c>
      <c r="J408" t="n">
        <v>0</v>
      </c>
      <c r="K408" t="n">
        <v>0</v>
      </c>
      <c r="L408" t="n">
        <v>0</v>
      </c>
      <c r="M408" t="n">
        <v>0</v>
      </c>
      <c r="N408" t="n">
        <v>0</v>
      </c>
      <c r="O408" t="n">
        <v>0</v>
      </c>
      <c r="P408" t="n">
        <v>0</v>
      </c>
      <c r="Q408" t="n">
        <v>0</v>
      </c>
      <c r="R408" s="2" t="inlineStr"/>
    </row>
    <row r="409" ht="15" customHeight="1">
      <c r="A409" t="inlineStr">
        <is>
          <t>A 12930-2023</t>
        </is>
      </c>
      <c r="B409" s="1" t="n">
        <v>45001</v>
      </c>
      <c r="C409" s="1" t="n">
        <v>46130</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12938-2023</t>
        </is>
      </c>
      <c r="B410" s="1" t="n">
        <v>45001</v>
      </c>
      <c r="C410" s="1" t="n">
        <v>46130</v>
      </c>
      <c r="D410" t="inlineStr">
        <is>
          <t>SÖDERMANLANDS LÄN</t>
        </is>
      </c>
      <c r="E410" t="inlineStr">
        <is>
          <t>KATRINEHOLM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12559-2023</t>
        </is>
      </c>
      <c r="B411" s="1" t="n">
        <v>45000.36373842593</v>
      </c>
      <c r="C411" s="1" t="n">
        <v>46130</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7704-2023</t>
        </is>
      </c>
      <c r="B412" s="1" t="n">
        <v>44968</v>
      </c>
      <c r="C412" s="1" t="n">
        <v>46130</v>
      </c>
      <c r="D412" t="inlineStr">
        <is>
          <t>SÖDERMANLANDS LÄN</t>
        </is>
      </c>
      <c r="E412" t="inlineStr">
        <is>
          <t>KATRINEHOLM</t>
        </is>
      </c>
      <c r="G412" t="n">
        <v>7.3</v>
      </c>
      <c r="H412" t="n">
        <v>0</v>
      </c>
      <c r="I412" t="n">
        <v>0</v>
      </c>
      <c r="J412" t="n">
        <v>0</v>
      </c>
      <c r="K412" t="n">
        <v>0</v>
      </c>
      <c r="L412" t="n">
        <v>0</v>
      </c>
      <c r="M412" t="n">
        <v>0</v>
      </c>
      <c r="N412" t="n">
        <v>0</v>
      </c>
      <c r="O412" t="n">
        <v>0</v>
      </c>
      <c r="P412" t="n">
        <v>0</v>
      </c>
      <c r="Q412" t="n">
        <v>0</v>
      </c>
      <c r="R412" s="2" t="inlineStr"/>
    </row>
    <row r="413" ht="15" customHeight="1">
      <c r="A413" t="inlineStr">
        <is>
          <t>A 49122-2024</t>
        </is>
      </c>
      <c r="B413" s="1" t="n">
        <v>45594</v>
      </c>
      <c r="C413" s="1" t="n">
        <v>46130</v>
      </c>
      <c r="D413" t="inlineStr">
        <is>
          <t>SÖDERMANLANDS LÄN</t>
        </is>
      </c>
      <c r="E413" t="inlineStr">
        <is>
          <t>KATRINEHOLM</t>
        </is>
      </c>
      <c r="G413" t="n">
        <v>19.4</v>
      </c>
      <c r="H413" t="n">
        <v>0</v>
      </c>
      <c r="I413" t="n">
        <v>0</v>
      </c>
      <c r="J413" t="n">
        <v>0</v>
      </c>
      <c r="K413" t="n">
        <v>0</v>
      </c>
      <c r="L413" t="n">
        <v>0</v>
      </c>
      <c r="M413" t="n">
        <v>0</v>
      </c>
      <c r="N413" t="n">
        <v>0</v>
      </c>
      <c r="O413" t="n">
        <v>0</v>
      </c>
      <c r="P413" t="n">
        <v>0</v>
      </c>
      <c r="Q413" t="n">
        <v>0</v>
      </c>
      <c r="R413" s="2" t="inlineStr"/>
    </row>
    <row r="414" ht="15" customHeight="1">
      <c r="A414" t="inlineStr">
        <is>
          <t>A 12937-2023</t>
        </is>
      </c>
      <c r="B414" s="1" t="n">
        <v>45001</v>
      </c>
      <c r="C414" s="1" t="n">
        <v>46130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11127-2023</t>
        </is>
      </c>
      <c r="B415" s="1" t="n">
        <v>44987</v>
      </c>
      <c r="C415" s="1" t="n">
        <v>46130</v>
      </c>
      <c r="D415" t="inlineStr">
        <is>
          <t>SÖDERMANLANDS LÄN</t>
        </is>
      </c>
      <c r="E415" t="inlineStr">
        <is>
          <t>KATRINEHOLM</t>
        </is>
      </c>
      <c r="G415" t="n">
        <v>4.3</v>
      </c>
      <c r="H415" t="n">
        <v>0</v>
      </c>
      <c r="I415" t="n">
        <v>0</v>
      </c>
      <c r="J415" t="n">
        <v>0</v>
      </c>
      <c r="K415" t="n">
        <v>0</v>
      </c>
      <c r="L415" t="n">
        <v>0</v>
      </c>
      <c r="M415" t="n">
        <v>0</v>
      </c>
      <c r="N415" t="n">
        <v>0</v>
      </c>
      <c r="O415" t="n">
        <v>0</v>
      </c>
      <c r="P415" t="n">
        <v>0</v>
      </c>
      <c r="Q415" t="n">
        <v>0</v>
      </c>
      <c r="R415" s="2" t="inlineStr"/>
    </row>
    <row r="416" ht="15" customHeight="1">
      <c r="A416" t="inlineStr">
        <is>
          <t>A 35156-2025</t>
        </is>
      </c>
      <c r="B416" s="1" t="n">
        <v>45852</v>
      </c>
      <c r="C416" s="1" t="n">
        <v>46130</v>
      </c>
      <c r="D416" t="inlineStr">
        <is>
          <t>SÖDERMANLANDS LÄN</t>
        </is>
      </c>
      <c r="E416" t="inlineStr">
        <is>
          <t>KATRINEHOLM</t>
        </is>
      </c>
      <c r="G416" t="n">
        <v>5.7</v>
      </c>
      <c r="H416" t="n">
        <v>0</v>
      </c>
      <c r="I416" t="n">
        <v>0</v>
      </c>
      <c r="J416" t="n">
        <v>0</v>
      </c>
      <c r="K416" t="n">
        <v>0</v>
      </c>
      <c r="L416" t="n">
        <v>0</v>
      </c>
      <c r="M416" t="n">
        <v>0</v>
      </c>
      <c r="N416" t="n">
        <v>0</v>
      </c>
      <c r="O416" t="n">
        <v>0</v>
      </c>
      <c r="P416" t="n">
        <v>0</v>
      </c>
      <c r="Q416" t="n">
        <v>0</v>
      </c>
      <c r="R416" s="2" t="inlineStr"/>
    </row>
    <row r="417" ht="15" customHeight="1">
      <c r="A417" t="inlineStr">
        <is>
          <t>A 56597-2025</t>
        </is>
      </c>
      <c r="B417" s="1" t="n">
        <v>45975.57271990741</v>
      </c>
      <c r="C417" s="1" t="n">
        <v>46130</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35152-2025</t>
        </is>
      </c>
      <c r="B418" s="1" t="n">
        <v>45852</v>
      </c>
      <c r="C418" s="1" t="n">
        <v>46130</v>
      </c>
      <c r="D418" t="inlineStr">
        <is>
          <t>SÖDERMANLANDS LÄN</t>
        </is>
      </c>
      <c r="E418" t="inlineStr">
        <is>
          <t>KATRINEHOLM</t>
        </is>
      </c>
      <c r="G418" t="n">
        <v>4.6</v>
      </c>
      <c r="H418" t="n">
        <v>0</v>
      </c>
      <c r="I418" t="n">
        <v>0</v>
      </c>
      <c r="J418" t="n">
        <v>0</v>
      </c>
      <c r="K418" t="n">
        <v>0</v>
      </c>
      <c r="L418" t="n">
        <v>0</v>
      </c>
      <c r="M418" t="n">
        <v>0</v>
      </c>
      <c r="N418" t="n">
        <v>0</v>
      </c>
      <c r="O418" t="n">
        <v>0</v>
      </c>
      <c r="P418" t="n">
        <v>0</v>
      </c>
      <c r="Q418" t="n">
        <v>0</v>
      </c>
      <c r="R418" s="2" t="inlineStr"/>
    </row>
    <row r="419" ht="15" customHeight="1">
      <c r="A419" t="inlineStr">
        <is>
          <t>A 35165-2025</t>
        </is>
      </c>
      <c r="B419" s="1" t="n">
        <v>45852.72320601852</v>
      </c>
      <c r="C419" s="1" t="n">
        <v>46130</v>
      </c>
      <c r="D419" t="inlineStr">
        <is>
          <t>SÖDERMANLANDS LÄN</t>
        </is>
      </c>
      <c r="E419" t="inlineStr">
        <is>
          <t>KATRINEHOLM</t>
        </is>
      </c>
      <c r="F419" t="inlineStr">
        <is>
          <t>Övriga Aktiebolag</t>
        </is>
      </c>
      <c r="G419" t="n">
        <v>20.7</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46130</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46130</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46130</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46130</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46130</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35157-2025</t>
        </is>
      </c>
      <c r="B425" s="1" t="n">
        <v>45852</v>
      </c>
      <c r="C425" s="1" t="n">
        <v>46130</v>
      </c>
      <c r="D425" t="inlineStr">
        <is>
          <t>SÖDERMANLANDS LÄN</t>
        </is>
      </c>
      <c r="E425" t="inlineStr">
        <is>
          <t>KATRINEHOLM</t>
        </is>
      </c>
      <c r="G425" t="n">
        <v>3.7</v>
      </c>
      <c r="H425" t="n">
        <v>0</v>
      </c>
      <c r="I425" t="n">
        <v>0</v>
      </c>
      <c r="J425" t="n">
        <v>0</v>
      </c>
      <c r="K425" t="n">
        <v>0</v>
      </c>
      <c r="L425" t="n">
        <v>0</v>
      </c>
      <c r="M425" t="n">
        <v>0</v>
      </c>
      <c r="N425" t="n">
        <v>0</v>
      </c>
      <c r="O425" t="n">
        <v>0</v>
      </c>
      <c r="P425" t="n">
        <v>0</v>
      </c>
      <c r="Q425" t="n">
        <v>0</v>
      </c>
      <c r="R425" s="2" t="inlineStr"/>
    </row>
    <row r="426" ht="15" customHeight="1">
      <c r="A426" t="inlineStr">
        <is>
          <t>A 35158-2025</t>
        </is>
      </c>
      <c r="B426" s="1" t="n">
        <v>45852</v>
      </c>
      <c r="C426" s="1" t="n">
        <v>46130</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27345-2023</t>
        </is>
      </c>
      <c r="B427" s="1" t="n">
        <v>45096</v>
      </c>
      <c r="C427" s="1" t="n">
        <v>46130</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1151-2025</t>
        </is>
      </c>
      <c r="B428" s="1" t="n">
        <v>45666</v>
      </c>
      <c r="C428" s="1" t="n">
        <v>46130</v>
      </c>
      <c r="D428" t="inlineStr">
        <is>
          <t>SÖDERMANLANDS LÄN</t>
        </is>
      </c>
      <c r="E428" t="inlineStr">
        <is>
          <t>KATRINEHOLM</t>
        </is>
      </c>
      <c r="G428" t="n">
        <v>1.9</v>
      </c>
      <c r="H428" t="n">
        <v>0</v>
      </c>
      <c r="I428" t="n">
        <v>0</v>
      </c>
      <c r="J428" t="n">
        <v>0</v>
      </c>
      <c r="K428" t="n">
        <v>0</v>
      </c>
      <c r="L428" t="n">
        <v>0</v>
      </c>
      <c r="M428" t="n">
        <v>0</v>
      </c>
      <c r="N428" t="n">
        <v>0</v>
      </c>
      <c r="O428" t="n">
        <v>0</v>
      </c>
      <c r="P428" t="n">
        <v>0</v>
      </c>
      <c r="Q428" t="n">
        <v>0</v>
      </c>
      <c r="R428" s="2" t="inlineStr"/>
    </row>
    <row r="429" ht="15" customHeight="1">
      <c r="A429" t="inlineStr">
        <is>
          <t>A 6808-2023</t>
        </is>
      </c>
      <c r="B429" s="1" t="n">
        <v>44964</v>
      </c>
      <c r="C429" s="1" t="n">
        <v>46130</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61394-2024</t>
        </is>
      </c>
      <c r="B430" s="1" t="n">
        <v>45646.42061342593</v>
      </c>
      <c r="C430" s="1" t="n">
        <v>46130</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34176-2025</t>
        </is>
      </c>
      <c r="B431" s="1" t="n">
        <v>45845</v>
      </c>
      <c r="C431" s="1" t="n">
        <v>46130</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46130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57323-2025</t>
        </is>
      </c>
      <c r="B433" s="1" t="n">
        <v>45980.32501157407</v>
      </c>
      <c r="C433" s="1" t="n">
        <v>46130</v>
      </c>
      <c r="D433" t="inlineStr">
        <is>
          <t>SÖDERMANLANDS LÄN</t>
        </is>
      </c>
      <c r="E433" t="inlineStr">
        <is>
          <t>KATRINEHOLM</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18339-2023</t>
        </is>
      </c>
      <c r="B434" s="1" t="n">
        <v>45041</v>
      </c>
      <c r="C434" s="1" t="n">
        <v>46130</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58522-2024</t>
        </is>
      </c>
      <c r="B435" s="1" t="n">
        <v>45635.43770833333</v>
      </c>
      <c r="C435" s="1" t="n">
        <v>46130</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36590-2025</t>
        </is>
      </c>
      <c r="B436" s="1" t="n">
        <v>45870</v>
      </c>
      <c r="C436" s="1" t="n">
        <v>46130</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26684-2025</t>
        </is>
      </c>
      <c r="B437" s="1" t="n">
        <v>45810</v>
      </c>
      <c r="C437" s="1" t="n">
        <v>46130</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47889-2023</t>
        </is>
      </c>
      <c r="B438" s="1" t="n">
        <v>45204</v>
      </c>
      <c r="C438" s="1" t="n">
        <v>46130</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34732-2022</t>
        </is>
      </c>
      <c r="B439" s="1" t="n">
        <v>44795</v>
      </c>
      <c r="C439" s="1" t="n">
        <v>46130</v>
      </c>
      <c r="D439" t="inlineStr">
        <is>
          <t>SÖDERMANLANDS LÄN</t>
        </is>
      </c>
      <c r="E439" t="inlineStr">
        <is>
          <t>KATRINEHOLM</t>
        </is>
      </c>
      <c r="G439" t="n">
        <v>3</v>
      </c>
      <c r="H439" t="n">
        <v>0</v>
      </c>
      <c r="I439" t="n">
        <v>0</v>
      </c>
      <c r="J439" t="n">
        <v>0</v>
      </c>
      <c r="K439" t="n">
        <v>0</v>
      </c>
      <c r="L439" t="n">
        <v>0</v>
      </c>
      <c r="M439" t="n">
        <v>0</v>
      </c>
      <c r="N439" t="n">
        <v>0</v>
      </c>
      <c r="O439" t="n">
        <v>0</v>
      </c>
      <c r="P439" t="n">
        <v>0</v>
      </c>
      <c r="Q439" t="n">
        <v>0</v>
      </c>
      <c r="R439" s="2" t="inlineStr"/>
    </row>
    <row r="440" ht="15" customHeight="1">
      <c r="A440" t="inlineStr">
        <is>
          <t>A 12227-2025</t>
        </is>
      </c>
      <c r="B440" s="1" t="n">
        <v>45729.56836805555</v>
      </c>
      <c r="C440" s="1" t="n">
        <v>46130</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32166-2022</t>
        </is>
      </c>
      <c r="B441" s="1" t="n">
        <v>44781</v>
      </c>
      <c r="C441" s="1" t="n">
        <v>46130</v>
      </c>
      <c r="D441" t="inlineStr">
        <is>
          <t>SÖDERMANLANDS LÄN</t>
        </is>
      </c>
      <c r="E441" t="inlineStr">
        <is>
          <t>KATRINEHOLM</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32169-2022</t>
        </is>
      </c>
      <c r="B442" s="1" t="n">
        <v>44781</v>
      </c>
      <c r="C442" s="1" t="n">
        <v>46130</v>
      </c>
      <c r="D442" t="inlineStr">
        <is>
          <t>SÖDERMANLANDS LÄN</t>
        </is>
      </c>
      <c r="E442" t="inlineStr">
        <is>
          <t>KATRINEHOLM</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35864-2023</t>
        </is>
      </c>
      <c r="B443" s="1" t="n">
        <v>45147</v>
      </c>
      <c r="C443" s="1" t="n">
        <v>46130</v>
      </c>
      <c r="D443" t="inlineStr">
        <is>
          <t>SÖDERMANLANDS LÄN</t>
        </is>
      </c>
      <c r="E443" t="inlineStr">
        <is>
          <t>KATRINEHOLM</t>
        </is>
      </c>
      <c r="F443" t="inlineStr">
        <is>
          <t>Övriga Aktiebolag</t>
        </is>
      </c>
      <c r="G443" t="n">
        <v>4.7</v>
      </c>
      <c r="H443" t="n">
        <v>0</v>
      </c>
      <c r="I443" t="n">
        <v>0</v>
      </c>
      <c r="J443" t="n">
        <v>0</v>
      </c>
      <c r="K443" t="n">
        <v>0</v>
      </c>
      <c r="L443" t="n">
        <v>0</v>
      </c>
      <c r="M443" t="n">
        <v>0</v>
      </c>
      <c r="N443" t="n">
        <v>0</v>
      </c>
      <c r="O443" t="n">
        <v>0</v>
      </c>
      <c r="P443" t="n">
        <v>0</v>
      </c>
      <c r="Q443" t="n">
        <v>0</v>
      </c>
      <c r="R443" s="2" t="inlineStr"/>
    </row>
    <row r="444" ht="15" customHeight="1">
      <c r="A444" t="inlineStr">
        <is>
          <t>A 44637-2023</t>
        </is>
      </c>
      <c r="B444" s="1" t="n">
        <v>45189</v>
      </c>
      <c r="C444" s="1" t="n">
        <v>46130</v>
      </c>
      <c r="D444" t="inlineStr">
        <is>
          <t>SÖDERMANLANDS LÄN</t>
        </is>
      </c>
      <c r="E444" t="inlineStr">
        <is>
          <t>KATRINEHOLM</t>
        </is>
      </c>
      <c r="G444" t="n">
        <v>5.1</v>
      </c>
      <c r="H444" t="n">
        <v>0</v>
      </c>
      <c r="I444" t="n">
        <v>0</v>
      </c>
      <c r="J444" t="n">
        <v>0</v>
      </c>
      <c r="K444" t="n">
        <v>0</v>
      </c>
      <c r="L444" t="n">
        <v>0</v>
      </c>
      <c r="M444" t="n">
        <v>0</v>
      </c>
      <c r="N444" t="n">
        <v>0</v>
      </c>
      <c r="O444" t="n">
        <v>0</v>
      </c>
      <c r="P444" t="n">
        <v>0</v>
      </c>
      <c r="Q444" t="n">
        <v>0</v>
      </c>
      <c r="R444" s="2" t="inlineStr"/>
    </row>
    <row r="445" ht="15" customHeight="1">
      <c r="A445" t="inlineStr">
        <is>
          <t>A 50021-2023</t>
        </is>
      </c>
      <c r="B445" s="1" t="n">
        <v>45215</v>
      </c>
      <c r="C445" s="1" t="n">
        <v>46130</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37043-2025</t>
        </is>
      </c>
      <c r="B446" s="1" t="n">
        <v>45875.3396412037</v>
      </c>
      <c r="C446" s="1" t="n">
        <v>46130</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57975-2025</t>
        </is>
      </c>
      <c r="B447" s="1" t="n">
        <v>45981</v>
      </c>
      <c r="C447" s="1" t="n">
        <v>46130</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39055-2022</t>
        </is>
      </c>
      <c r="B448" s="1" t="n">
        <v>44817</v>
      </c>
      <c r="C448" s="1" t="n">
        <v>46130</v>
      </c>
      <c r="D448" t="inlineStr">
        <is>
          <t>SÖDERMANLANDS LÄN</t>
        </is>
      </c>
      <c r="E448" t="inlineStr">
        <is>
          <t>KATRINEHOLM</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46257-2021</t>
        </is>
      </c>
      <c r="B449" s="1" t="n">
        <v>44442</v>
      </c>
      <c r="C449" s="1" t="n">
        <v>46130</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11543-2025</t>
        </is>
      </c>
      <c r="B450" s="1" t="n">
        <v>45727.34248842593</v>
      </c>
      <c r="C450" s="1" t="n">
        <v>46130</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52769-2023</t>
        </is>
      </c>
      <c r="B451" s="1" t="n">
        <v>45226</v>
      </c>
      <c r="C451" s="1" t="n">
        <v>46130</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4758-2025</t>
        </is>
      </c>
      <c r="B452" s="1" t="n">
        <v>45688</v>
      </c>
      <c r="C452" s="1" t="n">
        <v>46130</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46130</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28304-2024</t>
        </is>
      </c>
      <c r="B454" s="1" t="n">
        <v>45477</v>
      </c>
      <c r="C454" s="1" t="n">
        <v>46130</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37827-2025</t>
        </is>
      </c>
      <c r="B455" s="1" t="n">
        <v>45881.40907407407</v>
      </c>
      <c r="C455" s="1" t="n">
        <v>46130</v>
      </c>
      <c r="D455" t="inlineStr">
        <is>
          <t>SÖDERMANLANDS LÄN</t>
        </is>
      </c>
      <c r="E455" t="inlineStr">
        <is>
          <t>KATRINEHOLM</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61911-2021</t>
        </is>
      </c>
      <c r="B456" s="1" t="n">
        <v>44502.35746527778</v>
      </c>
      <c r="C456" s="1" t="n">
        <v>46130</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42945-2023</t>
        </is>
      </c>
      <c r="B457" s="1" t="n">
        <v>45182.5793287037</v>
      </c>
      <c r="C457" s="1" t="n">
        <v>46130</v>
      </c>
      <c r="D457" t="inlineStr">
        <is>
          <t>SÖDERMANLANDS LÄN</t>
        </is>
      </c>
      <c r="E457" t="inlineStr">
        <is>
          <t>KATRINEHOLM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42962-2023</t>
        </is>
      </c>
      <c r="B458" s="1" t="n">
        <v>45182</v>
      </c>
      <c r="C458" s="1" t="n">
        <v>46130</v>
      </c>
      <c r="D458" t="inlineStr">
        <is>
          <t>SÖDERMANLANDS LÄN</t>
        </is>
      </c>
      <c r="E458" t="inlineStr">
        <is>
          <t>KATRINEHOLM</t>
        </is>
      </c>
      <c r="F458" t="inlineStr">
        <is>
          <t>Övriga Aktiebolag</t>
        </is>
      </c>
      <c r="G458" t="n">
        <v>10.6</v>
      </c>
      <c r="H458" t="n">
        <v>0</v>
      </c>
      <c r="I458" t="n">
        <v>0</v>
      </c>
      <c r="J458" t="n">
        <v>0</v>
      </c>
      <c r="K458" t="n">
        <v>0</v>
      </c>
      <c r="L458" t="n">
        <v>0</v>
      </c>
      <c r="M458" t="n">
        <v>0</v>
      </c>
      <c r="N458" t="n">
        <v>0</v>
      </c>
      <c r="O458" t="n">
        <v>0</v>
      </c>
      <c r="P458" t="n">
        <v>0</v>
      </c>
      <c r="Q458" t="n">
        <v>0</v>
      </c>
      <c r="R458" s="2" t="inlineStr"/>
    </row>
    <row r="459" ht="15" customHeight="1">
      <c r="A459" t="inlineStr">
        <is>
          <t>A 44915-2022</t>
        </is>
      </c>
      <c r="B459" s="1" t="n">
        <v>44840</v>
      </c>
      <c r="C459" s="1" t="n">
        <v>46130</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48097-2023</t>
        </is>
      </c>
      <c r="B460" s="1" t="n">
        <v>45205.31987268518</v>
      </c>
      <c r="C460" s="1" t="n">
        <v>46130</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45793-2022</t>
        </is>
      </c>
      <c r="B461" s="1" t="n">
        <v>44844</v>
      </c>
      <c r="C461" s="1" t="n">
        <v>46130</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40393-2022</t>
        </is>
      </c>
      <c r="B462" s="1" t="n">
        <v>44823</v>
      </c>
      <c r="C462" s="1" t="n">
        <v>46130</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48685-2022</t>
        </is>
      </c>
      <c r="B463" s="1" t="n">
        <v>44859</v>
      </c>
      <c r="C463" s="1" t="n">
        <v>46130</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36133-2021</t>
        </is>
      </c>
      <c r="B464" s="1" t="n">
        <v>44386</v>
      </c>
      <c r="C464" s="1" t="n">
        <v>46130</v>
      </c>
      <c r="D464" t="inlineStr">
        <is>
          <t>SÖDERMANLANDS LÄN</t>
        </is>
      </c>
      <c r="E464" t="inlineStr">
        <is>
          <t>KATRINEHOLM</t>
        </is>
      </c>
      <c r="F464" t="inlineStr">
        <is>
          <t>Övriga Aktiebolag</t>
        </is>
      </c>
      <c r="G464" t="n">
        <v>8.9</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46130</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59967-2025</t>
        </is>
      </c>
      <c r="B466" s="1" t="n">
        <v>45993.48525462963</v>
      </c>
      <c r="C466" s="1" t="n">
        <v>46130</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60678-2025</t>
        </is>
      </c>
      <c r="B467" s="1" t="n">
        <v>45996.56251157408</v>
      </c>
      <c r="C467" s="1" t="n">
        <v>46130</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30276-2023</t>
        </is>
      </c>
      <c r="B468" s="1" t="n">
        <v>45110</v>
      </c>
      <c r="C468" s="1" t="n">
        <v>46130</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61121-2025</t>
        </is>
      </c>
      <c r="B469" s="1" t="n">
        <v>46000.46746527778</v>
      </c>
      <c r="C469" s="1" t="n">
        <v>46130</v>
      </c>
      <c r="D469" t="inlineStr">
        <is>
          <t>SÖDERMANLANDS LÄN</t>
        </is>
      </c>
      <c r="E469" t="inlineStr">
        <is>
          <t>KATRINEHOLM</t>
        </is>
      </c>
      <c r="G469" t="n">
        <v>0.2</v>
      </c>
      <c r="H469" t="n">
        <v>0</v>
      </c>
      <c r="I469" t="n">
        <v>0</v>
      </c>
      <c r="J469" t="n">
        <v>0</v>
      </c>
      <c r="K469" t="n">
        <v>0</v>
      </c>
      <c r="L469" t="n">
        <v>0</v>
      </c>
      <c r="M469" t="n">
        <v>0</v>
      </c>
      <c r="N469" t="n">
        <v>0</v>
      </c>
      <c r="O469" t="n">
        <v>0</v>
      </c>
      <c r="P469" t="n">
        <v>0</v>
      </c>
      <c r="Q469" t="n">
        <v>0</v>
      </c>
      <c r="R469" s="2" t="inlineStr"/>
    </row>
    <row r="470" ht="15" customHeight="1">
      <c r="A470" t="inlineStr">
        <is>
          <t>A 61066-2025</t>
        </is>
      </c>
      <c r="B470" s="1" t="n">
        <v>46000.37695601852</v>
      </c>
      <c r="C470" s="1" t="n">
        <v>46130</v>
      </c>
      <c r="D470" t="inlineStr">
        <is>
          <t>SÖDERMANLANDS LÄN</t>
        </is>
      </c>
      <c r="E470" t="inlineStr">
        <is>
          <t>KATRINEHOLM</t>
        </is>
      </c>
      <c r="F470" t="inlineStr">
        <is>
          <t>Kyrkan</t>
        </is>
      </c>
      <c r="G470" t="n">
        <v>5</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46130</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50316-2023</t>
        </is>
      </c>
      <c r="B472" s="1" t="n">
        <v>45209</v>
      </c>
      <c r="C472" s="1" t="n">
        <v>46130</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46130</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46130</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46130</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50840-2022</t>
        </is>
      </c>
      <c r="B476" s="1" t="n">
        <v>44862</v>
      </c>
      <c r="C476" s="1" t="n">
        <v>46130</v>
      </c>
      <c r="D476" t="inlineStr">
        <is>
          <t>SÖDERMANLANDS LÄN</t>
        </is>
      </c>
      <c r="E476" t="inlineStr">
        <is>
          <t>KATRINEHOLM</t>
        </is>
      </c>
      <c r="G476" t="n">
        <v>4.2</v>
      </c>
      <c r="H476" t="n">
        <v>0</v>
      </c>
      <c r="I476" t="n">
        <v>0</v>
      </c>
      <c r="J476" t="n">
        <v>0</v>
      </c>
      <c r="K476" t="n">
        <v>0</v>
      </c>
      <c r="L476" t="n">
        <v>0</v>
      </c>
      <c r="M476" t="n">
        <v>0</v>
      </c>
      <c r="N476" t="n">
        <v>0</v>
      </c>
      <c r="O476" t="n">
        <v>0</v>
      </c>
      <c r="P476" t="n">
        <v>0</v>
      </c>
      <c r="Q476" t="n">
        <v>0</v>
      </c>
      <c r="R476" s="2" t="inlineStr"/>
    </row>
    <row r="477" ht="15" customHeight="1">
      <c r="A477" t="inlineStr">
        <is>
          <t>A 61721-2025</t>
        </is>
      </c>
      <c r="B477" s="1" t="n">
        <v>46002.57778935185</v>
      </c>
      <c r="C477" s="1" t="n">
        <v>46130</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3060-2022</t>
        </is>
      </c>
      <c r="B478" s="1" t="n">
        <v>44582.40109953703</v>
      </c>
      <c r="C478" s="1" t="n">
        <v>46130</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6611-2023</t>
        </is>
      </c>
      <c r="B479" s="1" t="n">
        <v>44963</v>
      </c>
      <c r="C479" s="1" t="n">
        <v>46130</v>
      </c>
      <c r="D479" t="inlineStr">
        <is>
          <t>SÖDERMANLANDS LÄN</t>
        </is>
      </c>
      <c r="E479" t="inlineStr">
        <is>
          <t>KATRINEHOLM</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50804-2023</t>
        </is>
      </c>
      <c r="B480" s="1" t="n">
        <v>45211</v>
      </c>
      <c r="C480" s="1" t="n">
        <v>46130</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20533-2023</t>
        </is>
      </c>
      <c r="B481" s="1" t="n">
        <v>45057</v>
      </c>
      <c r="C481" s="1" t="n">
        <v>46130</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c r="T481">
        <f>HYPERLINK("https://klasma.github.io/Logging_0483/kartor/A 20533-2023 karta.png", "A 20533-2023")</f>
        <v/>
      </c>
      <c r="V481">
        <f>HYPERLINK("https://klasma.github.io/Logging_0483/klagomål/A 20533-2023 FSC-klagomål.docx", "A 20533-2023")</f>
        <v/>
      </c>
      <c r="W481">
        <f>HYPERLINK("https://klasma.github.io/Logging_0483/klagomålsmail/A 20533-2023 FSC-klagomål mail.docx", "A 20533-2023")</f>
        <v/>
      </c>
      <c r="X481">
        <f>HYPERLINK("https://klasma.github.io/Logging_0483/tillsyn/A 20533-2023 tillsynsbegäran.docx", "A 20533-2023")</f>
        <v/>
      </c>
      <c r="Y481">
        <f>HYPERLINK("https://klasma.github.io/Logging_0483/tillsynsmail/A 20533-2023 tillsynsbegäran mail.docx", "A 20533-2023")</f>
        <v/>
      </c>
      <c r="Z481">
        <f>HYPERLINK("https://klasma.github.io/Logging_0483/fåglar/A 20533-2023 prioriterade fågelarter.docx", "A 20533-2023")</f>
        <v/>
      </c>
    </row>
    <row r="482" ht="15" customHeight="1">
      <c r="A482" t="inlineStr">
        <is>
          <t>A 43499-2021</t>
        </is>
      </c>
      <c r="B482" s="1" t="n">
        <v>44433</v>
      </c>
      <c r="C482" s="1" t="n">
        <v>46130</v>
      </c>
      <c r="D482" t="inlineStr">
        <is>
          <t>SÖDERMANLANDS LÄN</t>
        </is>
      </c>
      <c r="E482" t="inlineStr">
        <is>
          <t>KATRINEHOLM</t>
        </is>
      </c>
      <c r="F482" t="inlineStr">
        <is>
          <t>Övriga Aktiebolag</t>
        </is>
      </c>
      <c r="G482" t="n">
        <v>1.4</v>
      </c>
      <c r="H482" t="n">
        <v>0</v>
      </c>
      <c r="I482" t="n">
        <v>0</v>
      </c>
      <c r="J482" t="n">
        <v>0</v>
      </c>
      <c r="K482" t="n">
        <v>0</v>
      </c>
      <c r="L482" t="n">
        <v>0</v>
      </c>
      <c r="M482" t="n">
        <v>0</v>
      </c>
      <c r="N482" t="n">
        <v>0</v>
      </c>
      <c r="O482" t="n">
        <v>0</v>
      </c>
      <c r="P482" t="n">
        <v>0</v>
      </c>
      <c r="Q482" t="n">
        <v>0</v>
      </c>
      <c r="R482" s="2" t="inlineStr"/>
    </row>
    <row r="483" ht="15" customHeight="1">
      <c r="A483" t="inlineStr">
        <is>
          <t>A 53996-2023</t>
        </is>
      </c>
      <c r="B483" s="1" t="n">
        <v>45231</v>
      </c>
      <c r="C483" s="1" t="n">
        <v>46130</v>
      </c>
      <c r="D483" t="inlineStr">
        <is>
          <t>SÖDERMANLANDS LÄN</t>
        </is>
      </c>
      <c r="E483" t="inlineStr">
        <is>
          <t>KATRINEHOLM</t>
        </is>
      </c>
      <c r="G483" t="n">
        <v>4.9</v>
      </c>
      <c r="H483" t="n">
        <v>0</v>
      </c>
      <c r="I483" t="n">
        <v>0</v>
      </c>
      <c r="J483" t="n">
        <v>0</v>
      </c>
      <c r="K483" t="n">
        <v>0</v>
      </c>
      <c r="L483" t="n">
        <v>0</v>
      </c>
      <c r="M483" t="n">
        <v>0</v>
      </c>
      <c r="N483" t="n">
        <v>0</v>
      </c>
      <c r="O483" t="n">
        <v>0</v>
      </c>
      <c r="P483" t="n">
        <v>0</v>
      </c>
      <c r="Q483" t="n">
        <v>0</v>
      </c>
      <c r="R483" s="2" t="inlineStr"/>
    </row>
    <row r="484" ht="15" customHeight="1">
      <c r="A484" t="inlineStr">
        <is>
          <t>A 33790-2024</t>
        </is>
      </c>
      <c r="B484" s="1" t="n">
        <v>45520.59179398148</v>
      </c>
      <c r="C484" s="1" t="n">
        <v>46130</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47456-2022</t>
        </is>
      </c>
      <c r="B485" s="1" t="n">
        <v>44852</v>
      </c>
      <c r="C485" s="1" t="n">
        <v>46130</v>
      </c>
      <c r="D485" t="inlineStr">
        <is>
          <t>SÖDERMANLANDS LÄN</t>
        </is>
      </c>
      <c r="E485" t="inlineStr">
        <is>
          <t>KATRINEHOLM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23347-2023</t>
        </is>
      </c>
      <c r="B486" s="1" t="n">
        <v>45076</v>
      </c>
      <c r="C486" s="1" t="n">
        <v>46130</v>
      </c>
      <c r="D486" t="inlineStr">
        <is>
          <t>SÖDERMANLANDS LÄN</t>
        </is>
      </c>
      <c r="E486" t="inlineStr">
        <is>
          <t>KATRINEHOLM</t>
        </is>
      </c>
      <c r="G486" t="n">
        <v>4.3</v>
      </c>
      <c r="H486" t="n">
        <v>0</v>
      </c>
      <c r="I486" t="n">
        <v>0</v>
      </c>
      <c r="J486" t="n">
        <v>0</v>
      </c>
      <c r="K486" t="n">
        <v>0</v>
      </c>
      <c r="L486" t="n">
        <v>0</v>
      </c>
      <c r="M486" t="n">
        <v>0</v>
      </c>
      <c r="N486" t="n">
        <v>0</v>
      </c>
      <c r="O486" t="n">
        <v>0</v>
      </c>
      <c r="P486" t="n">
        <v>0</v>
      </c>
      <c r="Q486" t="n">
        <v>0</v>
      </c>
      <c r="R486" s="2" t="inlineStr"/>
    </row>
    <row r="487" ht="15" customHeight="1">
      <c r="A487" t="inlineStr">
        <is>
          <t>A 74354-2021</t>
        </is>
      </c>
      <c r="B487" s="1" t="n">
        <v>44559.57041666667</v>
      </c>
      <c r="C487" s="1" t="n">
        <v>46130</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46130</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56628-2021</t>
        </is>
      </c>
      <c r="B489" s="1" t="n">
        <v>44480</v>
      </c>
      <c r="C489" s="1" t="n">
        <v>46130</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45438-2021</t>
        </is>
      </c>
      <c r="B490" s="1" t="n">
        <v>44440</v>
      </c>
      <c r="C490" s="1" t="n">
        <v>46130</v>
      </c>
      <c r="D490" t="inlineStr">
        <is>
          <t>SÖDERMANLANDS LÄN</t>
        </is>
      </c>
      <c r="E490" t="inlineStr">
        <is>
          <t>KATRINEHOLM</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63945-2025</t>
        </is>
      </c>
      <c r="B491" s="1" t="n">
        <v>46010</v>
      </c>
      <c r="C491" s="1" t="n">
        <v>46130</v>
      </c>
      <c r="D491" t="inlineStr">
        <is>
          <t>SÖDERMANLANDS LÄN</t>
        </is>
      </c>
      <c r="E491" t="inlineStr">
        <is>
          <t>KATRINEHOLM</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63947-2025</t>
        </is>
      </c>
      <c r="B492" s="1" t="n">
        <v>46010</v>
      </c>
      <c r="C492" s="1" t="n">
        <v>46130</v>
      </c>
      <c r="D492" t="inlineStr">
        <is>
          <t>SÖDERMANLANDS LÄN</t>
        </is>
      </c>
      <c r="E492" t="inlineStr">
        <is>
          <t>KATRINEHOLM</t>
        </is>
      </c>
      <c r="F492" t="inlineStr">
        <is>
          <t>Allmännings- och besparingsskogar</t>
        </is>
      </c>
      <c r="G492" t="n">
        <v>4.8</v>
      </c>
      <c r="H492" t="n">
        <v>0</v>
      </c>
      <c r="I492" t="n">
        <v>0</v>
      </c>
      <c r="J492" t="n">
        <v>0</v>
      </c>
      <c r="K492" t="n">
        <v>0</v>
      </c>
      <c r="L492" t="n">
        <v>0</v>
      </c>
      <c r="M492" t="n">
        <v>0</v>
      </c>
      <c r="N492" t="n">
        <v>0</v>
      </c>
      <c r="O492" t="n">
        <v>0</v>
      </c>
      <c r="P492" t="n">
        <v>0</v>
      </c>
      <c r="Q492" t="n">
        <v>0</v>
      </c>
      <c r="R492" s="2" t="inlineStr"/>
    </row>
    <row r="493" ht="15" customHeight="1">
      <c r="A493" t="inlineStr">
        <is>
          <t>A 63949-2025</t>
        </is>
      </c>
      <c r="B493" s="1" t="n">
        <v>46010</v>
      </c>
      <c r="C493" s="1" t="n">
        <v>46130</v>
      </c>
      <c r="D493" t="inlineStr">
        <is>
          <t>SÖDERMANLANDS LÄN</t>
        </is>
      </c>
      <c r="E493" t="inlineStr">
        <is>
          <t>KATRINEHOLM</t>
        </is>
      </c>
      <c r="F493" t="inlineStr">
        <is>
          <t>Allmännings- och besparingsskogar</t>
        </is>
      </c>
      <c r="G493" t="n">
        <v>5.1</v>
      </c>
      <c r="H493" t="n">
        <v>0</v>
      </c>
      <c r="I493" t="n">
        <v>0</v>
      </c>
      <c r="J493" t="n">
        <v>0</v>
      </c>
      <c r="K493" t="n">
        <v>0</v>
      </c>
      <c r="L493" t="n">
        <v>0</v>
      </c>
      <c r="M493" t="n">
        <v>0</v>
      </c>
      <c r="N493" t="n">
        <v>0</v>
      </c>
      <c r="O493" t="n">
        <v>0</v>
      </c>
      <c r="P493" t="n">
        <v>0</v>
      </c>
      <c r="Q493" t="n">
        <v>0</v>
      </c>
      <c r="R493" s="2" t="inlineStr"/>
    </row>
    <row r="494" ht="15" customHeight="1">
      <c r="A494" t="inlineStr">
        <is>
          <t>A 50061-2022</t>
        </is>
      </c>
      <c r="B494" s="1" t="n">
        <v>44865</v>
      </c>
      <c r="C494" s="1" t="n">
        <v>46130</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10446-2024</t>
        </is>
      </c>
      <c r="B495" s="1" t="n">
        <v>45366</v>
      </c>
      <c r="C495" s="1" t="n">
        <v>46130</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63948-2025</t>
        </is>
      </c>
      <c r="B496" s="1" t="n">
        <v>46010</v>
      </c>
      <c r="C496" s="1" t="n">
        <v>46130</v>
      </c>
      <c r="D496" t="inlineStr">
        <is>
          <t>SÖDERMANLANDS LÄN</t>
        </is>
      </c>
      <c r="E496" t="inlineStr">
        <is>
          <t>KATRINEHOLM</t>
        </is>
      </c>
      <c r="F496" t="inlineStr">
        <is>
          <t>Allmännings- och besparingsskogar</t>
        </is>
      </c>
      <c r="G496" t="n">
        <v>4.9</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46130</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23842-2023</t>
        </is>
      </c>
      <c r="B498" s="1" t="n">
        <v>45075</v>
      </c>
      <c r="C498" s="1" t="n">
        <v>46130</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34263-2023</t>
        </is>
      </c>
      <c r="B499" s="1" t="n">
        <v>45138.60248842592</v>
      </c>
      <c r="C499" s="1" t="n">
        <v>46130</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46899-2022</t>
        </is>
      </c>
      <c r="B500" s="1" t="n">
        <v>44848</v>
      </c>
      <c r="C500" s="1" t="n">
        <v>46130</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55296-2022</t>
        </is>
      </c>
      <c r="B501" s="1" t="n">
        <v>44887</v>
      </c>
      <c r="C501" s="1" t="n">
        <v>46130</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57524-2021</t>
        </is>
      </c>
      <c r="B502" s="1" t="n">
        <v>44483</v>
      </c>
      <c r="C502" s="1" t="n">
        <v>46130</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931-2023</t>
        </is>
      </c>
      <c r="B503" s="1" t="n">
        <v>44932.74261574074</v>
      </c>
      <c r="C503" s="1" t="n">
        <v>46130</v>
      </c>
      <c r="D503" t="inlineStr">
        <is>
          <t>SÖDERMANLANDS LÄN</t>
        </is>
      </c>
      <c r="E503" t="inlineStr">
        <is>
          <t>KATRINEHOLM</t>
        </is>
      </c>
      <c r="G503" t="n">
        <v>4</v>
      </c>
      <c r="H503" t="n">
        <v>0</v>
      </c>
      <c r="I503" t="n">
        <v>0</v>
      </c>
      <c r="J503" t="n">
        <v>0</v>
      </c>
      <c r="K503" t="n">
        <v>0</v>
      </c>
      <c r="L503" t="n">
        <v>0</v>
      </c>
      <c r="M503" t="n">
        <v>0</v>
      </c>
      <c r="N503" t="n">
        <v>0</v>
      </c>
      <c r="O503" t="n">
        <v>0</v>
      </c>
      <c r="P503" t="n">
        <v>0</v>
      </c>
      <c r="Q503" t="n">
        <v>0</v>
      </c>
      <c r="R503" s="2" t="inlineStr"/>
    </row>
    <row r="504" ht="15" customHeight="1">
      <c r="A504" t="inlineStr">
        <is>
          <t>A 55171-2023</t>
        </is>
      </c>
      <c r="B504" s="1" t="n">
        <v>45231</v>
      </c>
      <c r="C504" s="1" t="n">
        <v>46130</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53393-2023</t>
        </is>
      </c>
      <c r="B505" s="1" t="n">
        <v>45229</v>
      </c>
      <c r="C505" s="1" t="n">
        <v>46130</v>
      </c>
      <c r="D505" t="inlineStr">
        <is>
          <t>SÖDERMANLANDS LÄN</t>
        </is>
      </c>
      <c r="E505" t="inlineStr">
        <is>
          <t>KATRINEHOLM</t>
        </is>
      </c>
      <c r="F505" t="inlineStr">
        <is>
          <t>Kyrkan</t>
        </is>
      </c>
      <c r="G505" t="n">
        <v>5.6</v>
      </c>
      <c r="H505" t="n">
        <v>0</v>
      </c>
      <c r="I505" t="n">
        <v>0</v>
      </c>
      <c r="J505" t="n">
        <v>0</v>
      </c>
      <c r="K505" t="n">
        <v>0</v>
      </c>
      <c r="L505" t="n">
        <v>0</v>
      </c>
      <c r="M505" t="n">
        <v>0</v>
      </c>
      <c r="N505" t="n">
        <v>0</v>
      </c>
      <c r="O505" t="n">
        <v>0</v>
      </c>
      <c r="P505" t="n">
        <v>0</v>
      </c>
      <c r="Q505" t="n">
        <v>0</v>
      </c>
      <c r="R505" s="2" t="inlineStr"/>
    </row>
    <row r="506" ht="15" customHeight="1">
      <c r="A506" t="inlineStr">
        <is>
          <t>A 63895-2025</t>
        </is>
      </c>
      <c r="B506" s="1" t="n">
        <v>46020</v>
      </c>
      <c r="C506" s="1" t="n">
        <v>46130</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54873-2025</t>
        </is>
      </c>
      <c r="B507" s="1" t="n">
        <v>45967</v>
      </c>
      <c r="C507" s="1" t="n">
        <v>46130</v>
      </c>
      <c r="D507" t="inlineStr">
        <is>
          <t>SÖDERMANLANDS LÄN</t>
        </is>
      </c>
      <c r="E507" t="inlineStr">
        <is>
          <t>KATRINEHOLM</t>
        </is>
      </c>
      <c r="G507" t="n">
        <v>2.7</v>
      </c>
      <c r="H507" t="n">
        <v>0</v>
      </c>
      <c r="I507" t="n">
        <v>0</v>
      </c>
      <c r="J507" t="n">
        <v>0</v>
      </c>
      <c r="K507" t="n">
        <v>0</v>
      </c>
      <c r="L507" t="n">
        <v>0</v>
      </c>
      <c r="M507" t="n">
        <v>0</v>
      </c>
      <c r="N507" t="n">
        <v>0</v>
      </c>
      <c r="O507" t="n">
        <v>0</v>
      </c>
      <c r="P507" t="n">
        <v>0</v>
      </c>
      <c r="Q507" t="n">
        <v>0</v>
      </c>
      <c r="R507" s="2" t="inlineStr"/>
    </row>
    <row r="508" ht="15" customHeight="1">
      <c r="A508" t="inlineStr">
        <is>
          <t>A 23031-2024</t>
        </is>
      </c>
      <c r="B508" s="1" t="n">
        <v>45450.38120370371</v>
      </c>
      <c r="C508" s="1" t="n">
        <v>46130</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1098-2026</t>
        </is>
      </c>
      <c r="B509" s="1" t="n">
        <v>46030.66519675926</v>
      </c>
      <c r="C509" s="1" t="n">
        <v>46130</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1106-2026</t>
        </is>
      </c>
      <c r="B510" s="1" t="n">
        <v>46030.67123842592</v>
      </c>
      <c r="C510" s="1" t="n">
        <v>46130</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22506-2023</t>
        </is>
      </c>
      <c r="B511" s="1" t="n">
        <v>45071.37393518518</v>
      </c>
      <c r="C511" s="1" t="n">
        <v>46130</v>
      </c>
      <c r="D511" t="inlineStr">
        <is>
          <t>SÖDERMANLANDS LÄN</t>
        </is>
      </c>
      <c r="E511" t="inlineStr">
        <is>
          <t>KATRINEHOLM</t>
        </is>
      </c>
      <c r="F511" t="inlineStr">
        <is>
          <t>Kyrkan</t>
        </is>
      </c>
      <c r="G511" t="n">
        <v>5.9</v>
      </c>
      <c r="H511" t="n">
        <v>0</v>
      </c>
      <c r="I511" t="n">
        <v>0</v>
      </c>
      <c r="J511" t="n">
        <v>0</v>
      </c>
      <c r="K511" t="n">
        <v>0</v>
      </c>
      <c r="L511" t="n">
        <v>0</v>
      </c>
      <c r="M511" t="n">
        <v>0</v>
      </c>
      <c r="N511" t="n">
        <v>0</v>
      </c>
      <c r="O511" t="n">
        <v>0</v>
      </c>
      <c r="P511" t="n">
        <v>0</v>
      </c>
      <c r="Q511" t="n">
        <v>0</v>
      </c>
      <c r="R511" s="2" t="inlineStr"/>
    </row>
    <row r="512" ht="15" customHeight="1">
      <c r="A512" t="inlineStr">
        <is>
          <t>A 12888-2025</t>
        </is>
      </c>
      <c r="B512" s="1" t="n">
        <v>45733</v>
      </c>
      <c r="C512" s="1" t="n">
        <v>46130</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22345-2023</t>
        </is>
      </c>
      <c r="B513" s="1" t="n">
        <v>45070</v>
      </c>
      <c r="C513" s="1" t="n">
        <v>46130</v>
      </c>
      <c r="D513" t="inlineStr">
        <is>
          <t>SÖDERMANLANDS LÄN</t>
        </is>
      </c>
      <c r="E513" t="inlineStr">
        <is>
          <t>KATRINEHOLM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1112-2026</t>
        </is>
      </c>
      <c r="B514" s="1" t="n">
        <v>46030.68107638889</v>
      </c>
      <c r="C514" s="1" t="n">
        <v>46130</v>
      </c>
      <c r="D514" t="inlineStr">
        <is>
          <t>SÖDERMANLANDS LÄN</t>
        </is>
      </c>
      <c r="E514" t="inlineStr">
        <is>
          <t>KATRINEHOLM</t>
        </is>
      </c>
      <c r="G514" t="n">
        <v>3.2</v>
      </c>
      <c r="H514" t="n">
        <v>0</v>
      </c>
      <c r="I514" t="n">
        <v>0</v>
      </c>
      <c r="J514" t="n">
        <v>0</v>
      </c>
      <c r="K514" t="n">
        <v>0</v>
      </c>
      <c r="L514" t="n">
        <v>0</v>
      </c>
      <c r="M514" t="n">
        <v>0</v>
      </c>
      <c r="N514" t="n">
        <v>0</v>
      </c>
      <c r="O514" t="n">
        <v>0</v>
      </c>
      <c r="P514" t="n">
        <v>0</v>
      </c>
      <c r="Q514" t="n">
        <v>0</v>
      </c>
      <c r="R514" s="2" t="inlineStr"/>
    </row>
    <row r="515" ht="15" customHeight="1">
      <c r="A515" t="inlineStr">
        <is>
          <t>A 1114-2026</t>
        </is>
      </c>
      <c r="B515" s="1" t="n">
        <v>46030.684375</v>
      </c>
      <c r="C515" s="1" t="n">
        <v>46130</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46130</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46130</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46130</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46130</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46130</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1668-2026</t>
        </is>
      </c>
      <c r="B521" s="1" t="n">
        <v>46034.55986111111</v>
      </c>
      <c r="C521" s="1" t="n">
        <v>46130</v>
      </c>
      <c r="D521" t="inlineStr">
        <is>
          <t>SÖDERMANLANDS LÄN</t>
        </is>
      </c>
      <c r="E521" t="inlineStr">
        <is>
          <t>KATRINEHOLM</t>
        </is>
      </c>
      <c r="G521" t="n">
        <v>4.1</v>
      </c>
      <c r="H521" t="n">
        <v>0</v>
      </c>
      <c r="I521" t="n">
        <v>0</v>
      </c>
      <c r="J521" t="n">
        <v>0</v>
      </c>
      <c r="K521" t="n">
        <v>0</v>
      </c>
      <c r="L521" t="n">
        <v>0</v>
      </c>
      <c r="M521" t="n">
        <v>0</v>
      </c>
      <c r="N521" t="n">
        <v>0</v>
      </c>
      <c r="O521" t="n">
        <v>0</v>
      </c>
      <c r="P521" t="n">
        <v>0</v>
      </c>
      <c r="Q521" t="n">
        <v>0</v>
      </c>
      <c r="R521" s="2" t="inlineStr"/>
    </row>
    <row r="522" ht="15" customHeight="1">
      <c r="A522" t="inlineStr">
        <is>
          <t>A 34981-2023</t>
        </is>
      </c>
      <c r="B522" s="1" t="n">
        <v>45142</v>
      </c>
      <c r="C522" s="1" t="n">
        <v>46130</v>
      </c>
      <c r="D522" t="inlineStr">
        <is>
          <t>SÖDERMANLANDS LÄN</t>
        </is>
      </c>
      <c r="E522" t="inlineStr">
        <is>
          <t>KATRINEHOLM</t>
        </is>
      </c>
      <c r="G522" t="n">
        <v>10</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46130</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53750-2022</t>
        </is>
      </c>
      <c r="B524" s="1" t="n">
        <v>44875</v>
      </c>
      <c r="C524" s="1" t="n">
        <v>46130</v>
      </c>
      <c r="D524" t="inlineStr">
        <is>
          <t>SÖDERMANLANDS LÄN</t>
        </is>
      </c>
      <c r="E524" t="inlineStr">
        <is>
          <t>KATRINEHOLM</t>
        </is>
      </c>
      <c r="F524" t="inlineStr">
        <is>
          <t>Övriga Aktiebolag</t>
        </is>
      </c>
      <c r="G524" t="n">
        <v>12.6</v>
      </c>
      <c r="H524" t="n">
        <v>0</v>
      </c>
      <c r="I524" t="n">
        <v>0</v>
      </c>
      <c r="J524" t="n">
        <v>0</v>
      </c>
      <c r="K524" t="n">
        <v>0</v>
      </c>
      <c r="L524" t="n">
        <v>0</v>
      </c>
      <c r="M524" t="n">
        <v>0</v>
      </c>
      <c r="N524" t="n">
        <v>0</v>
      </c>
      <c r="O524" t="n">
        <v>0</v>
      </c>
      <c r="P524" t="n">
        <v>0</v>
      </c>
      <c r="Q524" t="n">
        <v>0</v>
      </c>
      <c r="R524" s="2" t="inlineStr"/>
    </row>
    <row r="525" ht="15" customHeight="1">
      <c r="A525" t="inlineStr">
        <is>
          <t>A 14245-2024</t>
        </is>
      </c>
      <c r="B525" s="1" t="n">
        <v>45393</v>
      </c>
      <c r="C525" s="1" t="n">
        <v>46130</v>
      </c>
      <c r="D525" t="inlineStr">
        <is>
          <t>SÖDERMANLANDS LÄN</t>
        </is>
      </c>
      <c r="E525" t="inlineStr">
        <is>
          <t>KATRINEHOLM</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11104-2023</t>
        </is>
      </c>
      <c r="B526" s="1" t="n">
        <v>44992</v>
      </c>
      <c r="C526" s="1" t="n">
        <v>46130</v>
      </c>
      <c r="D526" t="inlineStr">
        <is>
          <t>SÖDERMANLANDS LÄN</t>
        </is>
      </c>
      <c r="E526" t="inlineStr">
        <is>
          <t>KATRINEHOLM</t>
        </is>
      </c>
      <c r="F526" t="inlineStr">
        <is>
          <t>Allmännings- och besparingsskogar</t>
        </is>
      </c>
      <c r="G526" t="n">
        <v>7.8</v>
      </c>
      <c r="H526" t="n">
        <v>0</v>
      </c>
      <c r="I526" t="n">
        <v>0</v>
      </c>
      <c r="J526" t="n">
        <v>0</v>
      </c>
      <c r="K526" t="n">
        <v>0</v>
      </c>
      <c r="L526" t="n">
        <v>0</v>
      </c>
      <c r="M526" t="n">
        <v>0</v>
      </c>
      <c r="N526" t="n">
        <v>0</v>
      </c>
      <c r="O526" t="n">
        <v>0</v>
      </c>
      <c r="P526" t="n">
        <v>0</v>
      </c>
      <c r="Q526" t="n">
        <v>0</v>
      </c>
      <c r="R526" s="2" t="inlineStr"/>
    </row>
    <row r="527" ht="15" customHeight="1">
      <c r="A527" t="inlineStr">
        <is>
          <t>A 4387-2024</t>
        </is>
      </c>
      <c r="B527" s="1" t="n">
        <v>45327.35068287037</v>
      </c>
      <c r="C527" s="1" t="n">
        <v>46130</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4872-2024</t>
        </is>
      </c>
      <c r="B528" s="1" t="n">
        <v>45329</v>
      </c>
      <c r="C528" s="1" t="n">
        <v>46130</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29702-2021</t>
        </is>
      </c>
      <c r="B529" s="1" t="n">
        <v>44362</v>
      </c>
      <c r="C529" s="1" t="n">
        <v>46130</v>
      </c>
      <c r="D529" t="inlineStr">
        <is>
          <t>SÖDERMANLANDS LÄN</t>
        </is>
      </c>
      <c r="E529" t="inlineStr">
        <is>
          <t>KATRINEHOLM</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3986-2024</t>
        </is>
      </c>
      <c r="B530" s="1" t="n">
        <v>45322</v>
      </c>
      <c r="C530" s="1" t="n">
        <v>46130</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2645-2026</t>
        </is>
      </c>
      <c r="B531" s="1" t="n">
        <v>46037.62321759259</v>
      </c>
      <c r="C531" s="1" t="n">
        <v>46130</v>
      </c>
      <c r="D531" t="inlineStr">
        <is>
          <t>SÖDERMANLANDS LÄN</t>
        </is>
      </c>
      <c r="E531" t="inlineStr">
        <is>
          <t>KATRINEHOLM</t>
        </is>
      </c>
      <c r="G531" t="n">
        <v>2.1</v>
      </c>
      <c r="H531" t="n">
        <v>0</v>
      </c>
      <c r="I531" t="n">
        <v>0</v>
      </c>
      <c r="J531" t="n">
        <v>0</v>
      </c>
      <c r="K531" t="n">
        <v>0</v>
      </c>
      <c r="L531" t="n">
        <v>0</v>
      </c>
      <c r="M531" t="n">
        <v>0</v>
      </c>
      <c r="N531" t="n">
        <v>0</v>
      </c>
      <c r="O531" t="n">
        <v>0</v>
      </c>
      <c r="P531" t="n">
        <v>0</v>
      </c>
      <c r="Q531" t="n">
        <v>0</v>
      </c>
      <c r="R531" s="2" t="inlineStr"/>
    </row>
    <row r="532" ht="15" customHeight="1">
      <c r="A532" t="inlineStr">
        <is>
          <t>A 2672-2026</t>
        </is>
      </c>
      <c r="B532" s="1" t="n">
        <v>46037</v>
      </c>
      <c r="C532" s="1" t="n">
        <v>46130</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2913-2026</t>
        </is>
      </c>
      <c r="B533" s="1" t="n">
        <v>46038.56913194444</v>
      </c>
      <c r="C533" s="1" t="n">
        <v>46130</v>
      </c>
      <c r="D533" t="inlineStr">
        <is>
          <t>SÖDERMANLANDS LÄN</t>
        </is>
      </c>
      <c r="E533" t="inlineStr">
        <is>
          <t>KATRINEHOLM</t>
        </is>
      </c>
      <c r="F533" t="inlineStr">
        <is>
          <t>Övriga Aktiebolag</t>
        </is>
      </c>
      <c r="G533" t="n">
        <v>6.2</v>
      </c>
      <c r="H533" t="n">
        <v>0</v>
      </c>
      <c r="I533" t="n">
        <v>0</v>
      </c>
      <c r="J533" t="n">
        <v>0</v>
      </c>
      <c r="K533" t="n">
        <v>0</v>
      </c>
      <c r="L533" t="n">
        <v>0</v>
      </c>
      <c r="M533" t="n">
        <v>0</v>
      </c>
      <c r="N533" t="n">
        <v>0</v>
      </c>
      <c r="O533" t="n">
        <v>0</v>
      </c>
      <c r="P533" t="n">
        <v>0</v>
      </c>
      <c r="Q533" t="n">
        <v>0</v>
      </c>
      <c r="R533" s="2" t="inlineStr"/>
    </row>
    <row r="534" ht="15" customHeight="1">
      <c r="A534" t="inlineStr">
        <is>
          <t>A 10996-2022</t>
        </is>
      </c>
      <c r="B534" s="1" t="n">
        <v>44628</v>
      </c>
      <c r="C534" s="1" t="n">
        <v>46130</v>
      </c>
      <c r="D534" t="inlineStr">
        <is>
          <t>SÖDERMANLANDS LÄN</t>
        </is>
      </c>
      <c r="E534" t="inlineStr">
        <is>
          <t>KATRINEHOLM</t>
        </is>
      </c>
      <c r="G534" t="n">
        <v>0.3</v>
      </c>
      <c r="H534" t="n">
        <v>0</v>
      </c>
      <c r="I534" t="n">
        <v>0</v>
      </c>
      <c r="J534" t="n">
        <v>0</v>
      </c>
      <c r="K534" t="n">
        <v>0</v>
      </c>
      <c r="L534" t="n">
        <v>0</v>
      </c>
      <c r="M534" t="n">
        <v>0</v>
      </c>
      <c r="N534" t="n">
        <v>0</v>
      </c>
      <c r="O534" t="n">
        <v>0</v>
      </c>
      <c r="P534" t="n">
        <v>0</v>
      </c>
      <c r="Q534" t="n">
        <v>0</v>
      </c>
      <c r="R534" s="2" t="inlineStr"/>
    </row>
    <row r="535" ht="15" customHeight="1">
      <c r="A535" t="inlineStr">
        <is>
          <t>A 42451-2023</t>
        </is>
      </c>
      <c r="B535" s="1" t="n">
        <v>45180</v>
      </c>
      <c r="C535" s="1" t="n">
        <v>46130</v>
      </c>
      <c r="D535" t="inlineStr">
        <is>
          <t>SÖDERMANLANDS LÄN</t>
        </is>
      </c>
      <c r="E535" t="inlineStr">
        <is>
          <t>KATRINEHOLM</t>
        </is>
      </c>
      <c r="G535" t="n">
        <v>3.8</v>
      </c>
      <c r="H535" t="n">
        <v>0</v>
      </c>
      <c r="I535" t="n">
        <v>0</v>
      </c>
      <c r="J535" t="n">
        <v>0</v>
      </c>
      <c r="K535" t="n">
        <v>0</v>
      </c>
      <c r="L535" t="n">
        <v>0</v>
      </c>
      <c r="M535" t="n">
        <v>0</v>
      </c>
      <c r="N535" t="n">
        <v>0</v>
      </c>
      <c r="O535" t="n">
        <v>0</v>
      </c>
      <c r="P535" t="n">
        <v>0</v>
      </c>
      <c r="Q535" t="n">
        <v>0</v>
      </c>
      <c r="R535" s="2" t="inlineStr"/>
    </row>
    <row r="536" ht="15" customHeight="1">
      <c r="A536" t="inlineStr">
        <is>
          <t>A 2473-2026</t>
        </is>
      </c>
      <c r="B536" s="1" t="n">
        <v>46037.37704861111</v>
      </c>
      <c r="C536" s="1" t="n">
        <v>46130</v>
      </c>
      <c r="D536" t="inlineStr">
        <is>
          <t>SÖDERMANLANDS LÄN</t>
        </is>
      </c>
      <c r="E536" t="inlineStr">
        <is>
          <t>KATRINEHOLM</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46130</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46130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46130</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46130</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46130</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46130</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46130</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46130</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46130</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46130</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46130</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46130</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4889-2026</t>
        </is>
      </c>
      <c r="B549" s="1" t="n">
        <v>46048.66766203703</v>
      </c>
      <c r="C549" s="1" t="n">
        <v>46130</v>
      </c>
      <c r="D549" t="inlineStr">
        <is>
          <t>SÖDERMANLANDS LÄN</t>
        </is>
      </c>
      <c r="E549" t="inlineStr">
        <is>
          <t>KATRINEHOLM</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46130</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41267-2023</t>
        </is>
      </c>
      <c r="B551" s="1" t="n">
        <v>45174</v>
      </c>
      <c r="C551" s="1" t="n">
        <v>46130</v>
      </c>
      <c r="D551" t="inlineStr">
        <is>
          <t>SÖDERMANLANDS LÄN</t>
        </is>
      </c>
      <c r="E551" t="inlineStr">
        <is>
          <t>KATRINEHOLM</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4650-2024</t>
        </is>
      </c>
      <c r="B552" s="1" t="n">
        <v>45328</v>
      </c>
      <c r="C552" s="1" t="n">
        <v>46130</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4652-2024</t>
        </is>
      </c>
      <c r="B553" s="1" t="n">
        <v>45328</v>
      </c>
      <c r="C553" s="1" t="n">
        <v>46130</v>
      </c>
      <c r="D553" t="inlineStr">
        <is>
          <t>SÖDERMANLANDS LÄN</t>
        </is>
      </c>
      <c r="E553" t="inlineStr">
        <is>
          <t>KATRINEHOLM</t>
        </is>
      </c>
      <c r="F553" t="inlineStr">
        <is>
          <t>Övriga Aktiebolag</t>
        </is>
      </c>
      <c r="G553" t="n">
        <v>6.1</v>
      </c>
      <c r="H553" t="n">
        <v>0</v>
      </c>
      <c r="I553" t="n">
        <v>0</v>
      </c>
      <c r="J553" t="n">
        <v>0</v>
      </c>
      <c r="K553" t="n">
        <v>0</v>
      </c>
      <c r="L553" t="n">
        <v>0</v>
      </c>
      <c r="M553" t="n">
        <v>0</v>
      </c>
      <c r="N553" t="n">
        <v>0</v>
      </c>
      <c r="O553" t="n">
        <v>0</v>
      </c>
      <c r="P553" t="n">
        <v>0</v>
      </c>
      <c r="Q553" t="n">
        <v>0</v>
      </c>
      <c r="R553" s="2" t="inlineStr"/>
    </row>
    <row r="554" ht="15" customHeight="1">
      <c r="A554" t="inlineStr">
        <is>
          <t>A 12831-2026</t>
        </is>
      </c>
      <c r="B554" s="1" t="n">
        <v>46092.42416666666</v>
      </c>
      <c r="C554" s="1" t="n">
        <v>46130</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5703-2026</t>
        </is>
      </c>
      <c r="B555" s="1" t="n">
        <v>46051.50774305555</v>
      </c>
      <c r="C555" s="1" t="n">
        <v>46130</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29008-2024</t>
        </is>
      </c>
      <c r="B556" s="1" t="n">
        <v>45481</v>
      </c>
      <c r="C556" s="1" t="n">
        <v>46130</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9936-2023</t>
        </is>
      </c>
      <c r="B557" s="1" t="n">
        <v>44985.47086805556</v>
      </c>
      <c r="C557" s="1" t="n">
        <v>46130</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4645-2024</t>
        </is>
      </c>
      <c r="B558" s="1" t="n">
        <v>45328</v>
      </c>
      <c r="C558" s="1" t="n">
        <v>46130</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36001-2024</t>
        </is>
      </c>
      <c r="B559" s="1" t="n">
        <v>45533.54609953704</v>
      </c>
      <c r="C559" s="1" t="n">
        <v>46130</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36832-2023</t>
        </is>
      </c>
      <c r="B560" s="1" t="n">
        <v>45153</v>
      </c>
      <c r="C560" s="1" t="n">
        <v>46130</v>
      </c>
      <c r="D560" t="inlineStr">
        <is>
          <t>SÖDERMANLANDS LÄN</t>
        </is>
      </c>
      <c r="E560" t="inlineStr">
        <is>
          <t>KATRINEHOLM</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28931-2024</t>
        </is>
      </c>
      <c r="B561" s="1" t="n">
        <v>45479</v>
      </c>
      <c r="C561" s="1" t="n">
        <v>46130</v>
      </c>
      <c r="D561" t="inlineStr">
        <is>
          <t>SÖDERMANLANDS LÄN</t>
        </is>
      </c>
      <c r="E561" t="inlineStr">
        <is>
          <t>KATRINEHOLM</t>
        </is>
      </c>
      <c r="G561" t="n">
        <v>7.4</v>
      </c>
      <c r="H561" t="n">
        <v>0</v>
      </c>
      <c r="I561" t="n">
        <v>0</v>
      </c>
      <c r="J561" t="n">
        <v>0</v>
      </c>
      <c r="K561" t="n">
        <v>0</v>
      </c>
      <c r="L561" t="n">
        <v>0</v>
      </c>
      <c r="M561" t="n">
        <v>0</v>
      </c>
      <c r="N561" t="n">
        <v>0</v>
      </c>
      <c r="O561" t="n">
        <v>0</v>
      </c>
      <c r="P561" t="n">
        <v>0</v>
      </c>
      <c r="Q561" t="n">
        <v>0</v>
      </c>
      <c r="R561" s="2" t="inlineStr"/>
    </row>
    <row r="562" ht="15" customHeight="1">
      <c r="A562" t="inlineStr">
        <is>
          <t>A 13841-2026</t>
        </is>
      </c>
      <c r="B562" s="1" t="n">
        <v>46098.37181712963</v>
      </c>
      <c r="C562" s="1" t="n">
        <v>46130</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6810-2023</t>
        </is>
      </c>
      <c r="B563" s="1" t="n">
        <v>44964</v>
      </c>
      <c r="C563" s="1" t="n">
        <v>46130</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32944-2023</t>
        </is>
      </c>
      <c r="B564" s="1" t="n">
        <v>45125</v>
      </c>
      <c r="C564" s="1" t="n">
        <v>46130</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29977-2023</t>
        </is>
      </c>
      <c r="B565" s="1" t="n">
        <v>45108</v>
      </c>
      <c r="C565" s="1" t="n">
        <v>46130</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13630-2026</t>
        </is>
      </c>
      <c r="B566" s="1" t="n">
        <v>46097.37490740741</v>
      </c>
      <c r="C566" s="1" t="n">
        <v>46130</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13631-2026</t>
        </is>
      </c>
      <c r="B567" s="1" t="n">
        <v>46095</v>
      </c>
      <c r="C567" s="1" t="n">
        <v>46130</v>
      </c>
      <c r="D567" t="inlineStr">
        <is>
          <t>SÖDERMANLANDS LÄN</t>
        </is>
      </c>
      <c r="E567" t="inlineStr">
        <is>
          <t>KATRINEHOLM</t>
        </is>
      </c>
      <c r="G567" t="n">
        <v>2.1</v>
      </c>
      <c r="H567" t="n">
        <v>0</v>
      </c>
      <c r="I567" t="n">
        <v>0</v>
      </c>
      <c r="J567" t="n">
        <v>0</v>
      </c>
      <c r="K567" t="n">
        <v>0</v>
      </c>
      <c r="L567" t="n">
        <v>0</v>
      </c>
      <c r="M567" t="n">
        <v>0</v>
      </c>
      <c r="N567" t="n">
        <v>0</v>
      </c>
      <c r="O567" t="n">
        <v>0</v>
      </c>
      <c r="P567" t="n">
        <v>0</v>
      </c>
      <c r="Q567" t="n">
        <v>0</v>
      </c>
      <c r="R567" s="2" t="inlineStr"/>
    </row>
    <row r="568" ht="15" customHeight="1">
      <c r="A568" t="inlineStr">
        <is>
          <t>A 13632-2026</t>
        </is>
      </c>
      <c r="B568" s="1" t="n">
        <v>46097.37996527777</v>
      </c>
      <c r="C568" s="1" t="n">
        <v>46130</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5788-2022</t>
        </is>
      </c>
      <c r="B569" s="1" t="n">
        <v>44596.54990740741</v>
      </c>
      <c r="C569" s="1" t="n">
        <v>46130</v>
      </c>
      <c r="D569" t="inlineStr">
        <is>
          <t>SÖDERMANLANDS LÄN</t>
        </is>
      </c>
      <c r="E569" t="inlineStr">
        <is>
          <t>KATRINEHOLM</t>
        </is>
      </c>
      <c r="G569" t="n">
        <v>4.1</v>
      </c>
      <c r="H569" t="n">
        <v>0</v>
      </c>
      <c r="I569" t="n">
        <v>0</v>
      </c>
      <c r="J569" t="n">
        <v>0</v>
      </c>
      <c r="K569" t="n">
        <v>0</v>
      </c>
      <c r="L569" t="n">
        <v>0</v>
      </c>
      <c r="M569" t="n">
        <v>0</v>
      </c>
      <c r="N569" t="n">
        <v>0</v>
      </c>
      <c r="O569" t="n">
        <v>0</v>
      </c>
      <c r="P569" t="n">
        <v>0</v>
      </c>
      <c r="Q569" t="n">
        <v>0</v>
      </c>
      <c r="R569" s="2" t="inlineStr"/>
    </row>
    <row r="570" ht="15" customHeight="1">
      <c r="A570" t="inlineStr">
        <is>
          <t>A 20803-2024</t>
        </is>
      </c>
      <c r="B570" s="1" t="n">
        <v>45438</v>
      </c>
      <c r="C570" s="1" t="n">
        <v>46130</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13633-2026</t>
        </is>
      </c>
      <c r="B571" s="1" t="n">
        <v>46097.38148148148</v>
      </c>
      <c r="C571" s="1" t="n">
        <v>46130</v>
      </c>
      <c r="D571" t="inlineStr">
        <is>
          <t>SÖDERMANLANDS LÄN</t>
        </is>
      </c>
      <c r="E571" t="inlineStr">
        <is>
          <t>KATRINEHOLM</t>
        </is>
      </c>
      <c r="G571" t="n">
        <v>1.9</v>
      </c>
      <c r="H571" t="n">
        <v>0</v>
      </c>
      <c r="I571" t="n">
        <v>0</v>
      </c>
      <c r="J571" t="n">
        <v>0</v>
      </c>
      <c r="K571" t="n">
        <v>0</v>
      </c>
      <c r="L571" t="n">
        <v>0</v>
      </c>
      <c r="M571" t="n">
        <v>0</v>
      </c>
      <c r="N571" t="n">
        <v>0</v>
      </c>
      <c r="O571" t="n">
        <v>0</v>
      </c>
      <c r="P571" t="n">
        <v>0</v>
      </c>
      <c r="Q571" t="n">
        <v>0</v>
      </c>
      <c r="R571" s="2" t="inlineStr"/>
    </row>
    <row r="572" ht="15" customHeight="1">
      <c r="A572" t="inlineStr">
        <is>
          <t>A 5795-2022</t>
        </is>
      </c>
      <c r="B572" s="1" t="n">
        <v>44596</v>
      </c>
      <c r="C572" s="1" t="n">
        <v>46130</v>
      </c>
      <c r="D572" t="inlineStr">
        <is>
          <t>SÖDERMANLANDS LÄN</t>
        </is>
      </c>
      <c r="E572" t="inlineStr">
        <is>
          <t>KATRINEHOLM</t>
        </is>
      </c>
      <c r="G572" t="n">
        <v>8.1</v>
      </c>
      <c r="H572" t="n">
        <v>0</v>
      </c>
      <c r="I572" t="n">
        <v>0</v>
      </c>
      <c r="J572" t="n">
        <v>0</v>
      </c>
      <c r="K572" t="n">
        <v>0</v>
      </c>
      <c r="L572" t="n">
        <v>0</v>
      </c>
      <c r="M572" t="n">
        <v>0</v>
      </c>
      <c r="N572" t="n">
        <v>0</v>
      </c>
      <c r="O572" t="n">
        <v>0</v>
      </c>
      <c r="P572" t="n">
        <v>0</v>
      </c>
      <c r="Q572" t="n">
        <v>0</v>
      </c>
      <c r="R572" s="2" t="inlineStr"/>
    </row>
    <row r="573" ht="15" customHeight="1">
      <c r="A573" t="inlineStr">
        <is>
          <t>A 13655-2026</t>
        </is>
      </c>
      <c r="B573" s="1" t="n">
        <v>46097.45415509259</v>
      </c>
      <c r="C573" s="1" t="n">
        <v>46130</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3075-2022</t>
        </is>
      </c>
      <c r="B574" s="1" t="n">
        <v>44582</v>
      </c>
      <c r="C574" s="1" t="n">
        <v>46130</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73409-2021</t>
        </is>
      </c>
      <c r="B575" s="1" t="n">
        <v>44551</v>
      </c>
      <c r="C575" s="1" t="n">
        <v>46130</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73415-2021</t>
        </is>
      </c>
      <c r="B576" s="1" t="n">
        <v>44551</v>
      </c>
      <c r="C576" s="1" t="n">
        <v>46130</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44609.53502314815</v>
      </c>
      <c r="C577" s="1" t="n">
        <v>46130</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50935-2023</t>
        </is>
      </c>
      <c r="B578" s="1" t="n">
        <v>45211</v>
      </c>
      <c r="C578" s="1" t="n">
        <v>46130</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6298-2024</t>
        </is>
      </c>
      <c r="B579" s="1" t="n">
        <v>45338.34245370371</v>
      </c>
      <c r="C579" s="1" t="n">
        <v>46130</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33001-2024</t>
        </is>
      </c>
      <c r="B580" s="1" t="n">
        <v>45517</v>
      </c>
      <c r="C580" s="1" t="n">
        <v>46130</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58175-2024</t>
        </is>
      </c>
      <c r="B581" s="1" t="n">
        <v>45632.46648148148</v>
      </c>
      <c r="C581" s="1" t="n">
        <v>46130</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14754-2026</t>
        </is>
      </c>
      <c r="B582" s="1" t="n">
        <v>46101.62297453704</v>
      </c>
      <c r="C582" s="1" t="n">
        <v>46130</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53715-2023</t>
        </is>
      </c>
      <c r="B583" s="1" t="n">
        <v>45230</v>
      </c>
      <c r="C583" s="1" t="n">
        <v>46130</v>
      </c>
      <c r="D583" t="inlineStr">
        <is>
          <t>SÖDERMANLANDS LÄN</t>
        </is>
      </c>
      <c r="E583" t="inlineStr">
        <is>
          <t>KATRINEHOLM</t>
        </is>
      </c>
      <c r="F583" t="inlineStr">
        <is>
          <t>Allmännings- och besparingsskogar</t>
        </is>
      </c>
      <c r="G583" t="n">
        <v>5.6</v>
      </c>
      <c r="H583" t="n">
        <v>0</v>
      </c>
      <c r="I583" t="n">
        <v>0</v>
      </c>
      <c r="J583" t="n">
        <v>0</v>
      </c>
      <c r="K583" t="n">
        <v>0</v>
      </c>
      <c r="L583" t="n">
        <v>0</v>
      </c>
      <c r="M583" t="n">
        <v>0</v>
      </c>
      <c r="N583" t="n">
        <v>0</v>
      </c>
      <c r="O583" t="n">
        <v>0</v>
      </c>
      <c r="P583" t="n">
        <v>0</v>
      </c>
      <c r="Q583" t="n">
        <v>0</v>
      </c>
      <c r="R583" s="2" t="inlineStr"/>
    </row>
    <row r="584" ht="15" customHeight="1">
      <c r="A584" t="inlineStr">
        <is>
          <t>A 7513-2026</t>
        </is>
      </c>
      <c r="B584" s="1" t="n">
        <v>46059.59083333334</v>
      </c>
      <c r="C584" s="1" t="n">
        <v>46130</v>
      </c>
      <c r="D584" t="inlineStr">
        <is>
          <t>SÖDERMANLANDS LÄN</t>
        </is>
      </c>
      <c r="E584" t="inlineStr">
        <is>
          <t>KATRINEHOLM</t>
        </is>
      </c>
      <c r="F584" t="inlineStr">
        <is>
          <t>Övriga Aktiebolag</t>
        </is>
      </c>
      <c r="G584" t="n">
        <v>5</v>
      </c>
      <c r="H584" t="n">
        <v>0</v>
      </c>
      <c r="I584" t="n">
        <v>0</v>
      </c>
      <c r="J584" t="n">
        <v>0</v>
      </c>
      <c r="K584" t="n">
        <v>0</v>
      </c>
      <c r="L584" t="n">
        <v>0</v>
      </c>
      <c r="M584" t="n">
        <v>0</v>
      </c>
      <c r="N584" t="n">
        <v>0</v>
      </c>
      <c r="O584" t="n">
        <v>0</v>
      </c>
      <c r="P584" t="n">
        <v>0</v>
      </c>
      <c r="Q584" t="n">
        <v>0</v>
      </c>
      <c r="R584" s="2" t="inlineStr"/>
    </row>
    <row r="585" ht="15" customHeight="1">
      <c r="A585" t="inlineStr">
        <is>
          <t>A 14750-2026</t>
        </is>
      </c>
      <c r="B585" s="1" t="n">
        <v>46101.6208912037</v>
      </c>
      <c r="C585" s="1" t="n">
        <v>46130</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23705-2023</t>
        </is>
      </c>
      <c r="B586" s="1" t="n">
        <v>45077</v>
      </c>
      <c r="C586" s="1" t="n">
        <v>46130</v>
      </c>
      <c r="D586" t="inlineStr">
        <is>
          <t>SÖDERMANLANDS LÄN</t>
        </is>
      </c>
      <c r="E586" t="inlineStr">
        <is>
          <t>KATRINEHOLM</t>
        </is>
      </c>
      <c r="F586" t="inlineStr">
        <is>
          <t>Kyrkan</t>
        </is>
      </c>
      <c r="G586" t="n">
        <v>11.9</v>
      </c>
      <c r="H586" t="n">
        <v>0</v>
      </c>
      <c r="I586" t="n">
        <v>0</v>
      </c>
      <c r="J586" t="n">
        <v>0</v>
      </c>
      <c r="K586" t="n">
        <v>0</v>
      </c>
      <c r="L586" t="n">
        <v>0</v>
      </c>
      <c r="M586" t="n">
        <v>0</v>
      </c>
      <c r="N586" t="n">
        <v>0</v>
      </c>
      <c r="O586" t="n">
        <v>0</v>
      </c>
      <c r="P586" t="n">
        <v>0</v>
      </c>
      <c r="Q586" t="n">
        <v>0</v>
      </c>
      <c r="R586" s="2" t="inlineStr"/>
    </row>
    <row r="587" ht="15" customHeight="1">
      <c r="A587" t="inlineStr">
        <is>
          <t>A 14770-2026</t>
        </is>
      </c>
      <c r="B587" s="1" t="n">
        <v>46101.63951388889</v>
      </c>
      <c r="C587" s="1" t="n">
        <v>46130</v>
      </c>
      <c r="D587" t="inlineStr">
        <is>
          <t>SÖDERMANLANDS LÄN</t>
        </is>
      </c>
      <c r="E587" t="inlineStr">
        <is>
          <t>KATRINEHOLM</t>
        </is>
      </c>
      <c r="G587" t="n">
        <v>7.5</v>
      </c>
      <c r="H587" t="n">
        <v>0</v>
      </c>
      <c r="I587" t="n">
        <v>0</v>
      </c>
      <c r="J587" t="n">
        <v>0</v>
      </c>
      <c r="K587" t="n">
        <v>0</v>
      </c>
      <c r="L587" t="n">
        <v>0</v>
      </c>
      <c r="M587" t="n">
        <v>0</v>
      </c>
      <c r="N587" t="n">
        <v>0</v>
      </c>
      <c r="O587" t="n">
        <v>0</v>
      </c>
      <c r="P587" t="n">
        <v>0</v>
      </c>
      <c r="Q587" t="n">
        <v>0</v>
      </c>
      <c r="R587" s="2" t="inlineStr"/>
    </row>
    <row r="588" ht="15" customHeight="1">
      <c r="A588" t="inlineStr">
        <is>
          <t>A 14751-2026</t>
        </is>
      </c>
      <c r="B588" s="1" t="n">
        <v>46101.6220949074</v>
      </c>
      <c r="C588" s="1" t="n">
        <v>46130</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39120-2023</t>
        </is>
      </c>
      <c r="B589" s="1" t="n">
        <v>45165</v>
      </c>
      <c r="C589" s="1" t="n">
        <v>46130</v>
      </c>
      <c r="D589" t="inlineStr">
        <is>
          <t>SÖDERMANLANDS LÄN</t>
        </is>
      </c>
      <c r="E589" t="inlineStr">
        <is>
          <t>KATRINEHOLM</t>
        </is>
      </c>
      <c r="G589" t="n">
        <v>4.4</v>
      </c>
      <c r="H589" t="n">
        <v>0</v>
      </c>
      <c r="I589" t="n">
        <v>0</v>
      </c>
      <c r="J589" t="n">
        <v>0</v>
      </c>
      <c r="K589" t="n">
        <v>0</v>
      </c>
      <c r="L589" t="n">
        <v>0</v>
      </c>
      <c r="M589" t="n">
        <v>0</v>
      </c>
      <c r="N589" t="n">
        <v>0</v>
      </c>
      <c r="O589" t="n">
        <v>0</v>
      </c>
      <c r="P589" t="n">
        <v>0</v>
      </c>
      <c r="Q589" t="n">
        <v>0</v>
      </c>
      <c r="R589" s="2" t="inlineStr"/>
    </row>
    <row r="590" ht="15" customHeight="1">
      <c r="A590" t="inlineStr">
        <is>
          <t>A 15191-2026</t>
        </is>
      </c>
      <c r="B590" s="1" t="n">
        <v>46105.46846064815</v>
      </c>
      <c r="C590" s="1" t="n">
        <v>46130</v>
      </c>
      <c r="D590" t="inlineStr">
        <is>
          <t>SÖDERMANLANDS LÄN</t>
        </is>
      </c>
      <c r="E590" t="inlineStr">
        <is>
          <t>KATRINEHOLM</t>
        </is>
      </c>
      <c r="G590" t="n">
        <v>3.6</v>
      </c>
      <c r="H590" t="n">
        <v>0</v>
      </c>
      <c r="I590" t="n">
        <v>0</v>
      </c>
      <c r="J590" t="n">
        <v>0</v>
      </c>
      <c r="K590" t="n">
        <v>0</v>
      </c>
      <c r="L590" t="n">
        <v>0</v>
      </c>
      <c r="M590" t="n">
        <v>0</v>
      </c>
      <c r="N590" t="n">
        <v>0</v>
      </c>
      <c r="O590" t="n">
        <v>0</v>
      </c>
      <c r="P590" t="n">
        <v>0</v>
      </c>
      <c r="Q590" t="n">
        <v>0</v>
      </c>
      <c r="R590" s="2" t="inlineStr"/>
    </row>
    <row r="591" ht="15" customHeight="1">
      <c r="A591" t="inlineStr">
        <is>
          <t>A 15819-2026</t>
        </is>
      </c>
      <c r="B591" s="1" t="n">
        <v>46107.53678240741</v>
      </c>
      <c r="C591" s="1" t="n">
        <v>46130</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46130</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19452-2023</t>
        </is>
      </c>
      <c r="B593" s="1" t="n">
        <v>45050</v>
      </c>
      <c r="C593" s="1" t="n">
        <v>46130</v>
      </c>
      <c r="D593" t="inlineStr">
        <is>
          <t>SÖDERMANLANDS LÄN</t>
        </is>
      </c>
      <c r="E593" t="inlineStr">
        <is>
          <t>KATRINEHOLM</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15701-2026</t>
        </is>
      </c>
      <c r="B594" s="1" t="n">
        <v>46106</v>
      </c>
      <c r="C594" s="1" t="n">
        <v>46130</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52658-2023</t>
        </is>
      </c>
      <c r="B595" s="1" t="n">
        <v>45225</v>
      </c>
      <c r="C595" s="1" t="n">
        <v>46130</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16432-2026</t>
        </is>
      </c>
      <c r="B596" s="1" t="n">
        <v>46111.81027777777</v>
      </c>
      <c r="C596" s="1" t="n">
        <v>46130</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5320-2025</t>
        </is>
      </c>
      <c r="B597" s="1" t="n">
        <v>45692</v>
      </c>
      <c r="C597" s="1" t="n">
        <v>46130</v>
      </c>
      <c r="D597" t="inlineStr">
        <is>
          <t>SÖDERMANLANDS LÄN</t>
        </is>
      </c>
      <c r="E597" t="inlineStr">
        <is>
          <t>KATRINEHOLM</t>
        </is>
      </c>
      <c r="F597" t="inlineStr">
        <is>
          <t>Kommuner</t>
        </is>
      </c>
      <c r="G597" t="n">
        <v>0.9</v>
      </c>
      <c r="H597" t="n">
        <v>0</v>
      </c>
      <c r="I597" t="n">
        <v>0</v>
      </c>
      <c r="J597" t="n">
        <v>0</v>
      </c>
      <c r="K597" t="n">
        <v>0</v>
      </c>
      <c r="L597" t="n">
        <v>0</v>
      </c>
      <c r="M597" t="n">
        <v>0</v>
      </c>
      <c r="N597" t="n">
        <v>0</v>
      </c>
      <c r="O597" t="n">
        <v>0</v>
      </c>
      <c r="P597" t="n">
        <v>0</v>
      </c>
      <c r="Q597" t="n">
        <v>0</v>
      </c>
      <c r="R597" s="2" t="inlineStr"/>
    </row>
    <row r="598" ht="15" customHeight="1">
      <c r="A598" t="inlineStr">
        <is>
          <t>A 2606-2025</t>
        </is>
      </c>
      <c r="B598" s="1" t="n">
        <v>45674</v>
      </c>
      <c r="C598" s="1" t="n">
        <v>46130</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39748-2022</t>
        </is>
      </c>
      <c r="B599" s="1" t="n">
        <v>44817</v>
      </c>
      <c r="C599" s="1" t="n">
        <v>46130</v>
      </c>
      <c r="D599" t="inlineStr">
        <is>
          <t>SÖDERMANLANDS LÄN</t>
        </is>
      </c>
      <c r="E599" t="inlineStr">
        <is>
          <t>KATRINEHOLM</t>
        </is>
      </c>
      <c r="G599" t="n">
        <v>10.2</v>
      </c>
      <c r="H599" t="n">
        <v>0</v>
      </c>
      <c r="I599" t="n">
        <v>0</v>
      </c>
      <c r="J599" t="n">
        <v>0</v>
      </c>
      <c r="K599" t="n">
        <v>0</v>
      </c>
      <c r="L599" t="n">
        <v>0</v>
      </c>
      <c r="M599" t="n">
        <v>0</v>
      </c>
      <c r="N599" t="n">
        <v>0</v>
      </c>
      <c r="O599" t="n">
        <v>0</v>
      </c>
      <c r="P599" t="n">
        <v>0</v>
      </c>
      <c r="Q599" t="n">
        <v>0</v>
      </c>
      <c r="R599" s="2" t="inlineStr"/>
    </row>
    <row r="600" ht="15" customHeight="1">
      <c r="A600" t="inlineStr">
        <is>
          <t>A 34731-2023</t>
        </is>
      </c>
      <c r="B600" s="1" t="n">
        <v>45141</v>
      </c>
      <c r="C600" s="1" t="n">
        <v>46130</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34739-2023</t>
        </is>
      </c>
      <c r="B601" s="1" t="n">
        <v>45141</v>
      </c>
      <c r="C601" s="1" t="n">
        <v>46130</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20480-2022</t>
        </is>
      </c>
      <c r="B602" s="1" t="n">
        <v>44699</v>
      </c>
      <c r="C602" s="1" t="n">
        <v>46130</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50017-2023</t>
        </is>
      </c>
      <c r="B603" s="1" t="n">
        <v>45215</v>
      </c>
      <c r="C603" s="1" t="n">
        <v>46130</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50018-2023</t>
        </is>
      </c>
      <c r="B604" s="1" t="n">
        <v>45215</v>
      </c>
      <c r="C604" s="1" t="n">
        <v>46130</v>
      </c>
      <c r="D604" t="inlineStr">
        <is>
          <t>SÖDERMANLANDS LÄN</t>
        </is>
      </c>
      <c r="E604" t="inlineStr">
        <is>
          <t>KATRINEHOLM</t>
        </is>
      </c>
      <c r="G604" t="n">
        <v>2.4</v>
      </c>
      <c r="H604" t="n">
        <v>0</v>
      </c>
      <c r="I604" t="n">
        <v>0</v>
      </c>
      <c r="J604" t="n">
        <v>0</v>
      </c>
      <c r="K604" t="n">
        <v>0</v>
      </c>
      <c r="L604" t="n">
        <v>0</v>
      </c>
      <c r="M604" t="n">
        <v>0</v>
      </c>
      <c r="N604" t="n">
        <v>0</v>
      </c>
      <c r="O604" t="n">
        <v>0</v>
      </c>
      <c r="P604" t="n">
        <v>0</v>
      </c>
      <c r="Q604" t="n">
        <v>0</v>
      </c>
      <c r="R604" s="2" t="inlineStr"/>
    </row>
    <row r="605" ht="15" customHeight="1">
      <c r="A605" t="inlineStr">
        <is>
          <t>A 28508-2023</t>
        </is>
      </c>
      <c r="B605" s="1" t="n">
        <v>45103.46788194445</v>
      </c>
      <c r="C605" s="1" t="n">
        <v>46130</v>
      </c>
      <c r="D605" t="inlineStr">
        <is>
          <t>SÖDERMANLANDS LÄN</t>
        </is>
      </c>
      <c r="E605" t="inlineStr">
        <is>
          <t>KATRINEHOLM</t>
        </is>
      </c>
      <c r="F605" t="inlineStr">
        <is>
          <t>Kyrkan</t>
        </is>
      </c>
      <c r="G605" t="n">
        <v>20.5</v>
      </c>
      <c r="H605" t="n">
        <v>0</v>
      </c>
      <c r="I605" t="n">
        <v>0</v>
      </c>
      <c r="J605" t="n">
        <v>0</v>
      </c>
      <c r="K605" t="n">
        <v>0</v>
      </c>
      <c r="L605" t="n">
        <v>0</v>
      </c>
      <c r="M605" t="n">
        <v>0</v>
      </c>
      <c r="N605" t="n">
        <v>0</v>
      </c>
      <c r="O605" t="n">
        <v>0</v>
      </c>
      <c r="P605" t="n">
        <v>0</v>
      </c>
      <c r="Q605" t="n">
        <v>0</v>
      </c>
      <c r="R605" s="2" t="inlineStr"/>
    </row>
    <row r="606" ht="15" customHeight="1">
      <c r="A606" t="inlineStr">
        <is>
          <t>A 46075-2023</t>
        </is>
      </c>
      <c r="B606" s="1" t="n">
        <v>45196</v>
      </c>
      <c r="C606" s="1" t="n">
        <v>46130</v>
      </c>
      <c r="D606" t="inlineStr">
        <is>
          <t>SÖDERMANLANDS LÄN</t>
        </is>
      </c>
      <c r="E606" t="inlineStr">
        <is>
          <t>KATRINEHOLM</t>
        </is>
      </c>
      <c r="F606" t="inlineStr">
        <is>
          <t>Övriga Aktiebolag</t>
        </is>
      </c>
      <c r="G606" t="n">
        <v>9.5</v>
      </c>
      <c r="H606" t="n">
        <v>0</v>
      </c>
      <c r="I606" t="n">
        <v>0</v>
      </c>
      <c r="J606" t="n">
        <v>0</v>
      </c>
      <c r="K606" t="n">
        <v>0</v>
      </c>
      <c r="L606" t="n">
        <v>0</v>
      </c>
      <c r="M606" t="n">
        <v>0</v>
      </c>
      <c r="N606" t="n">
        <v>0</v>
      </c>
      <c r="O606" t="n">
        <v>0</v>
      </c>
      <c r="P606" t="n">
        <v>0</v>
      </c>
      <c r="Q606" t="n">
        <v>0</v>
      </c>
      <c r="R606" s="2" t="inlineStr"/>
    </row>
    <row r="607" ht="15" customHeight="1">
      <c r="A607" t="inlineStr">
        <is>
          <t>A 25823-2023</t>
        </is>
      </c>
      <c r="B607" s="1" t="n">
        <v>45090.55078703703</v>
      </c>
      <c r="C607" s="1" t="n">
        <v>46130</v>
      </c>
      <c r="D607" t="inlineStr">
        <is>
          <t>SÖDERMANLANDS LÄN</t>
        </is>
      </c>
      <c r="E607" t="inlineStr">
        <is>
          <t>KATRINEHOLM</t>
        </is>
      </c>
      <c r="F607" t="inlineStr">
        <is>
          <t>Kyrkan</t>
        </is>
      </c>
      <c r="G607" t="n">
        <v>10.2</v>
      </c>
      <c r="H607" t="n">
        <v>0</v>
      </c>
      <c r="I607" t="n">
        <v>0</v>
      </c>
      <c r="J607" t="n">
        <v>0</v>
      </c>
      <c r="K607" t="n">
        <v>0</v>
      </c>
      <c r="L607" t="n">
        <v>0</v>
      </c>
      <c r="M607" t="n">
        <v>0</v>
      </c>
      <c r="N607" t="n">
        <v>0</v>
      </c>
      <c r="O607" t="n">
        <v>0</v>
      </c>
      <c r="P607" t="n">
        <v>0</v>
      </c>
      <c r="Q607" t="n">
        <v>0</v>
      </c>
      <c r="R607" s="2" t="inlineStr"/>
    </row>
    <row r="608" ht="15" customHeight="1">
      <c r="A608" t="inlineStr">
        <is>
          <t>A 16113-2026</t>
        </is>
      </c>
      <c r="B608" s="1" t="n">
        <v>46108</v>
      </c>
      <c r="C608" s="1" t="n">
        <v>46130</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46130</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22295-2024</t>
        </is>
      </c>
      <c r="B610" s="1" t="n">
        <v>45446.56141203704</v>
      </c>
      <c r="C610" s="1" t="n">
        <v>46130</v>
      </c>
      <c r="D610" t="inlineStr">
        <is>
          <t>SÖDERMANLANDS LÄN</t>
        </is>
      </c>
      <c r="E610" t="inlineStr">
        <is>
          <t>KATRINEHOLM</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46700-2023</t>
        </is>
      </c>
      <c r="B611" s="1" t="n">
        <v>45194</v>
      </c>
      <c r="C611" s="1" t="n">
        <v>46130</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46130</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46130</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46130</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10086-2026</t>
        </is>
      </c>
      <c r="B615" s="1" t="n">
        <v>46073.68959490741</v>
      </c>
      <c r="C615" s="1" t="n">
        <v>46130</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32818-2023</t>
        </is>
      </c>
      <c r="B616" s="1" t="n">
        <v>45124.55633101852</v>
      </c>
      <c r="C616" s="1" t="n">
        <v>46130</v>
      </c>
      <c r="D616" t="inlineStr">
        <is>
          <t>SÖDERMANLANDS LÄN</t>
        </is>
      </c>
      <c r="E616" t="inlineStr">
        <is>
          <t>KATRINEHOLM</t>
        </is>
      </c>
      <c r="G616" t="n">
        <v>3.4</v>
      </c>
      <c r="H616" t="n">
        <v>0</v>
      </c>
      <c r="I616" t="n">
        <v>0</v>
      </c>
      <c r="J616" t="n">
        <v>0</v>
      </c>
      <c r="K616" t="n">
        <v>0</v>
      </c>
      <c r="L616" t="n">
        <v>0</v>
      </c>
      <c r="M616" t="n">
        <v>0</v>
      </c>
      <c r="N616" t="n">
        <v>0</v>
      </c>
      <c r="O616" t="n">
        <v>0</v>
      </c>
      <c r="P616" t="n">
        <v>0</v>
      </c>
      <c r="Q616" t="n">
        <v>0</v>
      </c>
      <c r="R616" s="2" t="inlineStr"/>
    </row>
    <row r="617" ht="15" customHeight="1">
      <c r="A617" t="inlineStr">
        <is>
          <t>A 20214-2025</t>
        </is>
      </c>
      <c r="B617" s="1" t="n">
        <v>45772.63540509259</v>
      </c>
      <c r="C617" s="1" t="n">
        <v>46130</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46130</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27334-2023</t>
        </is>
      </c>
      <c r="B619" s="1" t="n">
        <v>45096</v>
      </c>
      <c r="C619" s="1" t="n">
        <v>46130</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11130-2026</t>
        </is>
      </c>
      <c r="B620" s="1" t="n">
        <v>46079.70384259259</v>
      </c>
      <c r="C620" s="1" t="n">
        <v>46130</v>
      </c>
      <c r="D620" t="inlineStr">
        <is>
          <t>SÖDERMANLANDS LÄN</t>
        </is>
      </c>
      <c r="E620" t="inlineStr">
        <is>
          <t>KATRINEHOLM</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40186-2023</t>
        </is>
      </c>
      <c r="B621" s="1" t="n">
        <v>45169</v>
      </c>
      <c r="C621" s="1" t="n">
        <v>46130</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47886-2023</t>
        </is>
      </c>
      <c r="B622" s="1" t="n">
        <v>45204</v>
      </c>
      <c r="C622" s="1" t="n">
        <v>46130</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36562-2023</t>
        </is>
      </c>
      <c r="B623" s="1" t="n">
        <v>45153</v>
      </c>
      <c r="C623" s="1" t="n">
        <v>46130</v>
      </c>
      <c r="D623" t="inlineStr">
        <is>
          <t>SÖDERMANLANDS LÄN</t>
        </is>
      </c>
      <c r="E623" t="inlineStr">
        <is>
          <t>KATRINEHOLM</t>
        </is>
      </c>
      <c r="G623" t="n">
        <v>5.8</v>
      </c>
      <c r="H623" t="n">
        <v>0</v>
      </c>
      <c r="I623" t="n">
        <v>0</v>
      </c>
      <c r="J623" t="n">
        <v>0</v>
      </c>
      <c r="K623" t="n">
        <v>0</v>
      </c>
      <c r="L623" t="n">
        <v>0</v>
      </c>
      <c r="M623" t="n">
        <v>0</v>
      </c>
      <c r="N623" t="n">
        <v>0</v>
      </c>
      <c r="O623" t="n">
        <v>0</v>
      </c>
      <c r="P623" t="n">
        <v>0</v>
      </c>
      <c r="Q623" t="n">
        <v>0</v>
      </c>
      <c r="R623" s="2" t="inlineStr"/>
    </row>
    <row r="624" ht="15" customHeight="1">
      <c r="A624" t="inlineStr">
        <is>
          <t>A 34539-2022</t>
        </is>
      </c>
      <c r="B624" s="1" t="n">
        <v>44793.50563657407</v>
      </c>
      <c r="C624" s="1" t="n">
        <v>46130</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41205-2021</t>
        </is>
      </c>
      <c r="B625" s="1" t="n">
        <v>44424.38577546296</v>
      </c>
      <c r="C625" s="1" t="n">
        <v>46130</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24748-2024</t>
        </is>
      </c>
      <c r="B626" s="1" t="n">
        <v>45460.66567129629</v>
      </c>
      <c r="C626" s="1" t="n">
        <v>46130</v>
      </c>
      <c r="D626" t="inlineStr">
        <is>
          <t>SÖDERMANLANDS LÄN</t>
        </is>
      </c>
      <c r="E626" t="inlineStr">
        <is>
          <t>KATRINEHOLM</t>
        </is>
      </c>
      <c r="G626" t="n">
        <v>3.3</v>
      </c>
      <c r="H626" t="n">
        <v>0</v>
      </c>
      <c r="I626" t="n">
        <v>0</v>
      </c>
      <c r="J626" t="n">
        <v>0</v>
      </c>
      <c r="K626" t="n">
        <v>0</v>
      </c>
      <c r="L626" t="n">
        <v>0</v>
      </c>
      <c r="M626" t="n">
        <v>0</v>
      </c>
      <c r="N626" t="n">
        <v>0</v>
      </c>
      <c r="O626" t="n">
        <v>0</v>
      </c>
      <c r="P626" t="n">
        <v>0</v>
      </c>
      <c r="Q626" t="n">
        <v>0</v>
      </c>
      <c r="R626" s="2" t="inlineStr"/>
    </row>
    <row r="627" ht="15" customHeight="1">
      <c r="A627" t="inlineStr">
        <is>
          <t>A 10892-2026</t>
        </is>
      </c>
      <c r="B627" s="1" t="n">
        <v>46078.8040625</v>
      </c>
      <c r="C627" s="1" t="n">
        <v>46130</v>
      </c>
      <c r="D627" t="inlineStr">
        <is>
          <t>SÖDERMANLANDS LÄN</t>
        </is>
      </c>
      <c r="E627" t="inlineStr">
        <is>
          <t>KATRINEHOLM</t>
        </is>
      </c>
      <c r="F627" t="inlineStr">
        <is>
          <t>Allmännings- och besparingsskogar</t>
        </is>
      </c>
      <c r="G627" t="n">
        <v>3</v>
      </c>
      <c r="H627" t="n">
        <v>0</v>
      </c>
      <c r="I627" t="n">
        <v>0</v>
      </c>
      <c r="J627" t="n">
        <v>0</v>
      </c>
      <c r="K627" t="n">
        <v>0</v>
      </c>
      <c r="L627" t="n">
        <v>0</v>
      </c>
      <c r="M627" t="n">
        <v>0</v>
      </c>
      <c r="N627" t="n">
        <v>0</v>
      </c>
      <c r="O627" t="n">
        <v>0</v>
      </c>
      <c r="P627" t="n">
        <v>0</v>
      </c>
      <c r="Q627" t="n">
        <v>0</v>
      </c>
      <c r="R627" s="2" t="inlineStr"/>
    </row>
    <row r="628" ht="15" customHeight="1">
      <c r="A628" t="inlineStr">
        <is>
          <t>A 40402-2022</t>
        </is>
      </c>
      <c r="B628" s="1" t="n">
        <v>44823.44353009259</v>
      </c>
      <c r="C628" s="1" t="n">
        <v>46130</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17792-2025</t>
        </is>
      </c>
      <c r="B629" s="1" t="n">
        <v>45758</v>
      </c>
      <c r="C629" s="1" t="n">
        <v>46130</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17820-2025</t>
        </is>
      </c>
      <c r="B630" s="1" t="n">
        <v>45758</v>
      </c>
      <c r="C630" s="1" t="n">
        <v>46130</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13848-2026</t>
        </is>
      </c>
      <c r="B631" s="1" t="n">
        <v>46098.38704861111</v>
      </c>
      <c r="C631" s="1" t="n">
        <v>46130</v>
      </c>
      <c r="D631" t="inlineStr">
        <is>
          <t>SÖDERMANLANDS LÄN</t>
        </is>
      </c>
      <c r="E631" t="inlineStr">
        <is>
          <t>KATRINEHOLM</t>
        </is>
      </c>
      <c r="G631" t="n">
        <v>3.1</v>
      </c>
      <c r="H631" t="n">
        <v>0</v>
      </c>
      <c r="I631" t="n">
        <v>0</v>
      </c>
      <c r="J631" t="n">
        <v>0</v>
      </c>
      <c r="K631" t="n">
        <v>0</v>
      </c>
      <c r="L631" t="n">
        <v>0</v>
      </c>
      <c r="M631" t="n">
        <v>0</v>
      </c>
      <c r="N631" t="n">
        <v>0</v>
      </c>
      <c r="O631" t="n">
        <v>0</v>
      </c>
      <c r="P631" t="n">
        <v>0</v>
      </c>
      <c r="Q631" t="n">
        <v>0</v>
      </c>
      <c r="R631" s="2" t="inlineStr"/>
    </row>
    <row r="632" ht="15" customHeight="1">
      <c r="A632" t="inlineStr">
        <is>
          <t>A 10893-2026</t>
        </is>
      </c>
      <c r="B632" s="1" t="n">
        <v>46078.81072916667</v>
      </c>
      <c r="C632" s="1" t="n">
        <v>46130</v>
      </c>
      <c r="D632" t="inlineStr">
        <is>
          <t>SÖDERMANLANDS LÄN</t>
        </is>
      </c>
      <c r="E632" t="inlineStr">
        <is>
          <t>KATRINEHOLM</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14622-2026</t>
        </is>
      </c>
      <c r="B633" s="1" t="n">
        <v>46101.38826388889</v>
      </c>
      <c r="C633" s="1" t="n">
        <v>46130</v>
      </c>
      <c r="D633" t="inlineStr">
        <is>
          <t>SÖDERMANLANDS LÄN</t>
        </is>
      </c>
      <c r="E633" t="inlineStr">
        <is>
          <t>KATRINEHOLM</t>
        </is>
      </c>
      <c r="G633" t="n">
        <v>2.5</v>
      </c>
      <c r="H633" t="n">
        <v>0</v>
      </c>
      <c r="I633" t="n">
        <v>0</v>
      </c>
      <c r="J633" t="n">
        <v>0</v>
      </c>
      <c r="K633" t="n">
        <v>0</v>
      </c>
      <c r="L633" t="n">
        <v>0</v>
      </c>
      <c r="M633" t="n">
        <v>0</v>
      </c>
      <c r="N633" t="n">
        <v>0</v>
      </c>
      <c r="O633" t="n">
        <v>0</v>
      </c>
      <c r="P633" t="n">
        <v>0</v>
      </c>
      <c r="Q633" t="n">
        <v>0</v>
      </c>
      <c r="R633" s="2" t="inlineStr"/>
    </row>
    <row r="634" ht="15" customHeight="1">
      <c r="A634" t="inlineStr">
        <is>
          <t>A 10891-2026</t>
        </is>
      </c>
      <c r="B634" s="1" t="n">
        <v>46078.78545138889</v>
      </c>
      <c r="C634" s="1" t="n">
        <v>46130</v>
      </c>
      <c r="D634" t="inlineStr">
        <is>
          <t>SÖDERMANLANDS LÄN</t>
        </is>
      </c>
      <c r="E634" t="inlineStr">
        <is>
          <t>KATRINEHOLM</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30387-2022</t>
        </is>
      </c>
      <c r="B635" s="1" t="n">
        <v>44760</v>
      </c>
      <c r="C635" s="1" t="n">
        <v>46130</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10721-2026</t>
        </is>
      </c>
      <c r="B636" s="1" t="n">
        <v>46078.46894675926</v>
      </c>
      <c r="C636" s="1" t="n">
        <v>46130</v>
      </c>
      <c r="D636" t="inlineStr">
        <is>
          <t>SÖDERMANLANDS LÄN</t>
        </is>
      </c>
      <c r="E636" t="inlineStr">
        <is>
          <t>KATRINEHOLM</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39052-2023</t>
        </is>
      </c>
      <c r="B637" s="1" t="n">
        <v>45163</v>
      </c>
      <c r="C637" s="1" t="n">
        <v>46130</v>
      </c>
      <c r="D637" t="inlineStr">
        <is>
          <t>SÖDERMANLANDS LÄN</t>
        </is>
      </c>
      <c r="E637" t="inlineStr">
        <is>
          <t>KATRINEHOLM</t>
        </is>
      </c>
      <c r="G637" t="n">
        <v>3</v>
      </c>
      <c r="H637" t="n">
        <v>0</v>
      </c>
      <c r="I637" t="n">
        <v>0</v>
      </c>
      <c r="J637" t="n">
        <v>0</v>
      </c>
      <c r="K637" t="n">
        <v>0</v>
      </c>
      <c r="L637" t="n">
        <v>0</v>
      </c>
      <c r="M637" t="n">
        <v>0</v>
      </c>
      <c r="N637" t="n">
        <v>0</v>
      </c>
      <c r="O637" t="n">
        <v>0</v>
      </c>
      <c r="P637" t="n">
        <v>0</v>
      </c>
      <c r="Q637" t="n">
        <v>0</v>
      </c>
      <c r="R637" s="2" t="inlineStr"/>
    </row>
    <row r="638" ht="15" customHeight="1">
      <c r="A638" t="inlineStr">
        <is>
          <t>A 8922-2024</t>
        </is>
      </c>
      <c r="B638" s="1" t="n">
        <v>45357.38601851852</v>
      </c>
      <c r="C638" s="1" t="n">
        <v>46130</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46130</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28317-2024</t>
        </is>
      </c>
      <c r="B640" s="1" t="n">
        <v>45477</v>
      </c>
      <c r="C640" s="1" t="n">
        <v>46130</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11666-2026</t>
        </is>
      </c>
      <c r="B641" s="1" t="n">
        <v>46084.55381944445</v>
      </c>
      <c r="C641" s="1" t="n">
        <v>46130</v>
      </c>
      <c r="D641" t="inlineStr">
        <is>
          <t>SÖDERMANLANDS LÄN</t>
        </is>
      </c>
      <c r="E641" t="inlineStr">
        <is>
          <t>KATRINEHOLM</t>
        </is>
      </c>
      <c r="F641" t="inlineStr">
        <is>
          <t>Holmen skog AB</t>
        </is>
      </c>
      <c r="G641" t="n">
        <v>0.5</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46130</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18308-2026</t>
        </is>
      </c>
      <c r="B643" s="1" t="n">
        <v>46126.46175925926</v>
      </c>
      <c r="C643" s="1" t="n">
        <v>46130</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11621-2026</t>
        </is>
      </c>
      <c r="B644" s="1" t="n">
        <v>46084.46734953704</v>
      </c>
      <c r="C644" s="1" t="n">
        <v>46130</v>
      </c>
      <c r="D644" t="inlineStr">
        <is>
          <t>SÖDERMANLANDS LÄN</t>
        </is>
      </c>
      <c r="E644" t="inlineStr">
        <is>
          <t>KATRINEHOLM</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18309-2026</t>
        </is>
      </c>
      <c r="B645" s="1" t="n">
        <v>46126.46756944444</v>
      </c>
      <c r="C645" s="1" t="n">
        <v>46130</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66393-2021</t>
        </is>
      </c>
      <c r="B646" s="1" t="n">
        <v>44518</v>
      </c>
      <c r="C646" s="1" t="n">
        <v>46130</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47134-2022</t>
        </is>
      </c>
      <c r="B647" s="1" t="n">
        <v>44851</v>
      </c>
      <c r="C647" s="1" t="n">
        <v>46130</v>
      </c>
      <c r="D647" t="inlineStr">
        <is>
          <t>SÖDERMANLANDS LÄN</t>
        </is>
      </c>
      <c r="E647" t="inlineStr">
        <is>
          <t>KATRINEHOLM</t>
        </is>
      </c>
      <c r="F647" t="inlineStr">
        <is>
          <t>Övriga statliga verk och myndigheter</t>
        </is>
      </c>
      <c r="G647" t="n">
        <v>1.5</v>
      </c>
      <c r="H647" t="n">
        <v>0</v>
      </c>
      <c r="I647" t="n">
        <v>0</v>
      </c>
      <c r="J647" t="n">
        <v>0</v>
      </c>
      <c r="K647" t="n">
        <v>0</v>
      </c>
      <c r="L647" t="n">
        <v>0</v>
      </c>
      <c r="M647" t="n">
        <v>0</v>
      </c>
      <c r="N647" t="n">
        <v>0</v>
      </c>
      <c r="O647" t="n">
        <v>0</v>
      </c>
      <c r="P647" t="n">
        <v>0</v>
      </c>
      <c r="Q647" t="n">
        <v>0</v>
      </c>
      <c r="R647" s="2" t="inlineStr"/>
    </row>
    <row r="648" ht="15" customHeight="1">
      <c r="A648" t="inlineStr">
        <is>
          <t>A 18301-2026</t>
        </is>
      </c>
      <c r="B648" s="1" t="n">
        <v>46126.45259259259</v>
      </c>
      <c r="C648" s="1" t="n">
        <v>46130</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18302-2026</t>
        </is>
      </c>
      <c r="B649" s="1" t="n">
        <v>46126.45408564815</v>
      </c>
      <c r="C649" s="1" t="n">
        <v>46130</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18316-2026</t>
        </is>
      </c>
      <c r="B650" s="1" t="n">
        <v>46126.47670138889</v>
      </c>
      <c r="C650" s="1" t="n">
        <v>46130</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1143-2024</t>
        </is>
      </c>
      <c r="B651" s="1" t="n">
        <v>45302</v>
      </c>
      <c r="C651" s="1" t="n">
        <v>46130</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18300-2026</t>
        </is>
      </c>
      <c r="B652" s="1" t="n">
        <v>46126.45106481481</v>
      </c>
      <c r="C652" s="1" t="n">
        <v>46130</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11677-2026</t>
        </is>
      </c>
      <c r="B653" s="1" t="n">
        <v>46084.56711805556</v>
      </c>
      <c r="C653" s="1" t="n">
        <v>46130</v>
      </c>
      <c r="D653" t="inlineStr">
        <is>
          <t>SÖDERMANLANDS LÄN</t>
        </is>
      </c>
      <c r="E653" t="inlineStr">
        <is>
          <t>KATRINEHOLM</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3982-2024</t>
        </is>
      </c>
      <c r="B654" s="1" t="n">
        <v>45322</v>
      </c>
      <c r="C654" s="1" t="n">
        <v>46130</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57263-2022</t>
        </is>
      </c>
      <c r="B655" s="1" t="n">
        <v>44895</v>
      </c>
      <c r="C655" s="1" t="n">
        <v>46130</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28431-2024</t>
        </is>
      </c>
      <c r="B656" s="1" t="n">
        <v>45477.65216435185</v>
      </c>
      <c r="C656" s="1" t="n">
        <v>46130</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18306-2026</t>
        </is>
      </c>
      <c r="B657" s="1" t="n">
        <v>46126.46039351852</v>
      </c>
      <c r="C657" s="1" t="n">
        <v>46130</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18314-2026</t>
        </is>
      </c>
      <c r="B658" s="1" t="n">
        <v>46126.47289351852</v>
      </c>
      <c r="C658" s="1" t="n">
        <v>46130</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46130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18384-2026</t>
        </is>
      </c>
      <c r="B660" s="1" t="n">
        <v>46126.64513888889</v>
      </c>
      <c r="C660" s="1" t="n">
        <v>46130</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45142-2021</t>
        </is>
      </c>
      <c r="B661" s="1" t="n">
        <v>44439</v>
      </c>
      <c r="C661" s="1" t="n">
        <v>46130</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7191-2023</t>
        </is>
      </c>
      <c r="B662" s="1" t="n">
        <v>44965</v>
      </c>
      <c r="C662" s="1" t="n">
        <v>46130</v>
      </c>
      <c r="D662" t="inlineStr">
        <is>
          <t>SÖDERMANLANDS LÄN</t>
        </is>
      </c>
      <c r="E662" t="inlineStr">
        <is>
          <t>KATRINEHOLM</t>
        </is>
      </c>
      <c r="G662" t="n">
        <v>14.1</v>
      </c>
      <c r="H662" t="n">
        <v>0</v>
      </c>
      <c r="I662" t="n">
        <v>0</v>
      </c>
      <c r="J662" t="n">
        <v>0</v>
      </c>
      <c r="K662" t="n">
        <v>0</v>
      </c>
      <c r="L662" t="n">
        <v>0</v>
      </c>
      <c r="M662" t="n">
        <v>0</v>
      </c>
      <c r="N662" t="n">
        <v>0</v>
      </c>
      <c r="O662" t="n">
        <v>0</v>
      </c>
      <c r="P662" t="n">
        <v>0</v>
      </c>
      <c r="Q662" t="n">
        <v>0</v>
      </c>
      <c r="R662" s="2" t="inlineStr"/>
    </row>
    <row r="663" ht="15" customHeight="1">
      <c r="A663" t="inlineStr">
        <is>
          <t>A 66540-2021</t>
        </is>
      </c>
      <c r="B663" s="1" t="n">
        <v>44519</v>
      </c>
      <c r="C663" s="1" t="n">
        <v>46130</v>
      </c>
      <c r="D663" t="inlineStr">
        <is>
          <t>SÖDERMANLANDS LÄN</t>
        </is>
      </c>
      <c r="E663" t="inlineStr">
        <is>
          <t>KATRINEHOLM</t>
        </is>
      </c>
      <c r="F663" t="inlineStr">
        <is>
          <t>Holmen skog AB</t>
        </is>
      </c>
      <c r="G663" t="n">
        <v>0.4</v>
      </c>
      <c r="H663" t="n">
        <v>0</v>
      </c>
      <c r="I663" t="n">
        <v>0</v>
      </c>
      <c r="J663" t="n">
        <v>0</v>
      </c>
      <c r="K663" t="n">
        <v>0</v>
      </c>
      <c r="L663" t="n">
        <v>0</v>
      </c>
      <c r="M663" t="n">
        <v>0</v>
      </c>
      <c r="N663" t="n">
        <v>0</v>
      </c>
      <c r="O663" t="n">
        <v>0</v>
      </c>
      <c r="P663" t="n">
        <v>0</v>
      </c>
      <c r="Q663" t="n">
        <v>0</v>
      </c>
      <c r="R663" s="2" t="inlineStr"/>
    </row>
    <row r="664" ht="15" customHeight="1">
      <c r="A664" t="inlineStr">
        <is>
          <t>A 8394-2024</t>
        </is>
      </c>
      <c r="B664" s="1" t="n">
        <v>45352</v>
      </c>
      <c r="C664" s="1" t="n">
        <v>46130</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13658-2023</t>
        </is>
      </c>
      <c r="B665" s="1" t="n">
        <v>45006</v>
      </c>
      <c r="C665" s="1" t="n">
        <v>46130</v>
      </c>
      <c r="D665" t="inlineStr">
        <is>
          <t>SÖDERMANLANDS LÄN</t>
        </is>
      </c>
      <c r="E665" t="inlineStr">
        <is>
          <t>KATRINEHOLM</t>
        </is>
      </c>
      <c r="F665" t="inlineStr">
        <is>
          <t>Kyrkan</t>
        </is>
      </c>
      <c r="G665" t="n">
        <v>24.3</v>
      </c>
      <c r="H665" t="n">
        <v>0</v>
      </c>
      <c r="I665" t="n">
        <v>0</v>
      </c>
      <c r="J665" t="n">
        <v>0</v>
      </c>
      <c r="K665" t="n">
        <v>0</v>
      </c>
      <c r="L665" t="n">
        <v>0</v>
      </c>
      <c r="M665" t="n">
        <v>0</v>
      </c>
      <c r="N665" t="n">
        <v>0</v>
      </c>
      <c r="O665" t="n">
        <v>0</v>
      </c>
      <c r="P665" t="n">
        <v>0</v>
      </c>
      <c r="Q665" t="n">
        <v>0</v>
      </c>
      <c r="R665" s="2" t="inlineStr"/>
    </row>
    <row r="666" ht="15" customHeight="1">
      <c r="A666" t="inlineStr">
        <is>
          <t>A 61385-2023</t>
        </is>
      </c>
      <c r="B666" s="1" t="n">
        <v>45264.64241898148</v>
      </c>
      <c r="C666" s="1" t="n">
        <v>46130</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55825-2022</t>
        </is>
      </c>
      <c r="B667" s="1" t="n">
        <v>44886</v>
      </c>
      <c r="C667" s="1" t="n">
        <v>46130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55856-2022</t>
        </is>
      </c>
      <c r="B668" s="1" t="n">
        <v>44888</v>
      </c>
      <c r="C668" s="1" t="n">
        <v>46130</v>
      </c>
      <c r="D668" t="inlineStr">
        <is>
          <t>SÖDERMANLANDS LÄN</t>
        </is>
      </c>
      <c r="E668" t="inlineStr">
        <is>
          <t>KATRINEHOLM</t>
        </is>
      </c>
      <c r="G668" t="n">
        <v>5.6</v>
      </c>
      <c r="H668" t="n">
        <v>0</v>
      </c>
      <c r="I668" t="n">
        <v>0</v>
      </c>
      <c r="J668" t="n">
        <v>0</v>
      </c>
      <c r="K668" t="n">
        <v>0</v>
      </c>
      <c r="L668" t="n">
        <v>0</v>
      </c>
      <c r="M668" t="n">
        <v>0</v>
      </c>
      <c r="N668" t="n">
        <v>0</v>
      </c>
      <c r="O668" t="n">
        <v>0</v>
      </c>
      <c r="P668" t="n">
        <v>0</v>
      </c>
      <c r="Q668" t="n">
        <v>0</v>
      </c>
      <c r="R668" s="2" t="inlineStr"/>
    </row>
    <row r="669" ht="15" customHeight="1">
      <c r="A669" t="inlineStr">
        <is>
          <t>A 43513-2023</t>
        </is>
      </c>
      <c r="B669" s="1" t="n">
        <v>45184</v>
      </c>
      <c r="C669" s="1" t="n">
        <v>46130</v>
      </c>
      <c r="D669" t="inlineStr">
        <is>
          <t>SÖDERMANLANDS LÄN</t>
        </is>
      </c>
      <c r="E669" t="inlineStr">
        <is>
          <t>KATRINEHOLM</t>
        </is>
      </c>
      <c r="G669" t="n">
        <v>3.8</v>
      </c>
      <c r="H669" t="n">
        <v>0</v>
      </c>
      <c r="I669" t="n">
        <v>0</v>
      </c>
      <c r="J669" t="n">
        <v>0</v>
      </c>
      <c r="K669" t="n">
        <v>0</v>
      </c>
      <c r="L669" t="n">
        <v>0</v>
      </c>
      <c r="M669" t="n">
        <v>0</v>
      </c>
      <c r="N669" t="n">
        <v>0</v>
      </c>
      <c r="O669" t="n">
        <v>0</v>
      </c>
      <c r="P669" t="n">
        <v>0</v>
      </c>
      <c r="Q669" t="n">
        <v>0</v>
      </c>
      <c r="R669" s="2" t="inlineStr"/>
    </row>
    <row r="670" ht="15" customHeight="1">
      <c r="A670" t="inlineStr">
        <is>
          <t>A 18966-2026</t>
        </is>
      </c>
      <c r="B670" s="1" t="n">
        <v>46129.60259259259</v>
      </c>
      <c r="C670" s="1" t="n">
        <v>46130</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46130</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46130</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46130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46130</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46130</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46130</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46130</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46130</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46130</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46130</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46130</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46130</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46130</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46130</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46130</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46130</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46130</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46130</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46130</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46130</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46130</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46130</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46130</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46130</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46130</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46130</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46130</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46130</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46130</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46130</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46130</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46130</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46130</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46130</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46130</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46130</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46130</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46130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46130</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46130</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46130</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46130</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46130</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46130</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46130</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46130</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46130</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46130</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46130</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46130</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46130</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46130</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46130</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46130</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46130</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46130</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46130</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46130</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46130</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46130</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46130</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46130</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46130</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46130</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46130</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46130</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46130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46130</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46130</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46130</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46130</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46130</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46130</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46130</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46130</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46130</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46130</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46130</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46130</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46130</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46130</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46130</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46130</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46130</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46130</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46130</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46130</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46130</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46130</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46130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46130</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46130</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46130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46130</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46130</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46130</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46130</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46130</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46130</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46130</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46130</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46130</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46130</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46130</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46130</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46130</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46130</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46130</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46130</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46130</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46130</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46130</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46130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46130</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46130</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46130</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46130</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46130</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46130</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46130</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46130</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46130</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46130</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c r="A794" t="inlineStr">
        <is>
          <t>A 1091-2025</t>
        </is>
      </c>
      <c r="B794" s="1" t="n">
        <v>45666</v>
      </c>
      <c r="C794" s="1" t="n">
        <v>46130</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2026-04-18T10:22:20Z</dcterms:created>
  <dcterms:modified xmlns:dcterms="http://purl.org/dc/terms/" xmlns:xsi="http://www.w3.org/2001/XMLSchema-instance" xsi:type="dcterms:W3CDTF">2026-04-18T10:22:20Z</dcterms:modified>
</cp:coreProperties>
</file>