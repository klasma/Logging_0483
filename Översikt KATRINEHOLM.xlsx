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45586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45586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45586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45586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45586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45586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45586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45586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45586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45586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45586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45586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45586</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45586</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45586</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45586</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45586</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45586</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45586</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45586</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45586</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45586</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28561-2024</t>
        </is>
      </c>
      <c r="B25" s="1" t="n">
        <v>45478</v>
      </c>
      <c r="C25" s="1" t="n">
        <v>45586</v>
      </c>
      <c r="D25" t="inlineStr">
        <is>
          <t>SÖDERMANLANDS LÄN</t>
        </is>
      </c>
      <c r="E25" t="inlineStr">
        <is>
          <t>KATRINEHOLM</t>
        </is>
      </c>
      <c r="G25" t="n">
        <v>20.4</v>
      </c>
      <c r="H25" t="n">
        <v>2</v>
      </c>
      <c r="I25" t="n">
        <v>0</v>
      </c>
      <c r="J25" t="n">
        <v>2</v>
      </c>
      <c r="K25" t="n">
        <v>1</v>
      </c>
      <c r="L25" t="n">
        <v>0</v>
      </c>
      <c r="M25" t="n">
        <v>0</v>
      </c>
      <c r="N25" t="n">
        <v>0</v>
      </c>
      <c r="O25" t="n">
        <v>3</v>
      </c>
      <c r="P25" t="n">
        <v>1</v>
      </c>
      <c r="Q25" t="n">
        <v>3</v>
      </c>
      <c r="R25" s="2" t="inlineStr">
        <is>
          <t>Knärot
Svinrot
Talltita</t>
        </is>
      </c>
      <c r="S25">
        <f>HYPERLINK("https://klasma.github.io/Logging_0483/artfynd/A 28561-2024 artfynd.xlsx", "A 28561-2024")</f>
        <v/>
      </c>
      <c r="T25">
        <f>HYPERLINK("https://klasma.github.io/Logging_0483/kartor/A 28561-2024 karta.png", "A 28561-2024")</f>
        <v/>
      </c>
      <c r="U25">
        <f>HYPERLINK("https://klasma.github.io/Logging_0483/knärot/A 28561-2024 karta knärot.png", "A 28561-2024")</f>
        <v/>
      </c>
      <c r="V25">
        <f>HYPERLINK("https://klasma.github.io/Logging_0483/klagomål/A 28561-2024 FSC-klagomål.docx", "A 28561-2024")</f>
        <v/>
      </c>
      <c r="W25">
        <f>HYPERLINK("https://klasma.github.io/Logging_0483/klagomålsmail/A 28561-2024 FSC-klagomål mail.docx", "A 28561-2024")</f>
        <v/>
      </c>
      <c r="X25">
        <f>HYPERLINK("https://klasma.github.io/Logging_0483/tillsyn/A 28561-2024 tillsynsbegäran.docx", "A 28561-2024")</f>
        <v/>
      </c>
      <c r="Y25">
        <f>HYPERLINK("https://klasma.github.io/Logging_0483/tillsynsmail/A 28561-2024 tillsynsbegäran mail.docx", "A 28561-2024")</f>
        <v/>
      </c>
      <c r="Z25">
        <f>HYPERLINK("https://klasma.github.io/Logging_0483/fåglar/A 28561-2024 prioriterade fågelarter.docx", "A 28561-2024")</f>
        <v/>
      </c>
    </row>
    <row r="26" ht="15" customHeight="1">
      <c r="A26" t="inlineStr">
        <is>
          <t>A 21540-2019</t>
        </is>
      </c>
      <c r="B26" s="1" t="n">
        <v>43580</v>
      </c>
      <c r="C26" s="1" t="n">
        <v>45586</v>
      </c>
      <c r="D26" t="inlineStr">
        <is>
          <t>SÖDERMANLANDS LÄN</t>
        </is>
      </c>
      <c r="E26" t="inlineStr">
        <is>
          <t>KATRINEHOLM</t>
        </is>
      </c>
      <c r="F26" t="inlineStr">
        <is>
          <t>Kommuner</t>
        </is>
      </c>
      <c r="G26" t="n">
        <v>2.8</v>
      </c>
      <c r="H26" t="n">
        <v>0</v>
      </c>
      <c r="I26" t="n">
        <v>0</v>
      </c>
      <c r="J26" t="n">
        <v>2</v>
      </c>
      <c r="K26" t="n">
        <v>0</v>
      </c>
      <c r="L26" t="n">
        <v>0</v>
      </c>
      <c r="M26" t="n">
        <v>0</v>
      </c>
      <c r="N26" t="n">
        <v>0</v>
      </c>
      <c r="O26" t="n">
        <v>2</v>
      </c>
      <c r="P26" t="n">
        <v>0</v>
      </c>
      <c r="Q26" t="n">
        <v>2</v>
      </c>
      <c r="R26" s="2" t="inlineStr">
        <is>
          <t>Svedjenäva
Svinrot</t>
        </is>
      </c>
      <c r="S26">
        <f>HYPERLINK("https://klasma.github.io/Logging_0483/artfynd/A 21540-2019 artfynd.xlsx", "A 21540-2019")</f>
        <v/>
      </c>
      <c r="T26">
        <f>HYPERLINK("https://klasma.github.io/Logging_0483/kartor/A 21540-2019 karta.png", "A 21540-2019")</f>
        <v/>
      </c>
      <c r="V26">
        <f>HYPERLINK("https://klasma.github.io/Logging_0483/klagomål/A 21540-2019 FSC-klagomål.docx", "A 21540-2019")</f>
        <v/>
      </c>
      <c r="W26">
        <f>HYPERLINK("https://klasma.github.io/Logging_0483/klagomålsmail/A 21540-2019 FSC-klagomål mail.docx", "A 21540-2019")</f>
        <v/>
      </c>
      <c r="X26">
        <f>HYPERLINK("https://klasma.github.io/Logging_0483/tillsyn/A 21540-2019 tillsynsbegäran.docx", "A 21540-2019")</f>
        <v/>
      </c>
      <c r="Y26">
        <f>HYPERLINK("https://klasma.github.io/Logging_0483/tillsynsmail/A 21540-2019 tillsynsbegäran mail.docx", "A 21540-2019")</f>
        <v/>
      </c>
    </row>
    <row r="27" ht="15" customHeight="1">
      <c r="A27" t="inlineStr">
        <is>
          <t>A 40257-2020</t>
        </is>
      </c>
      <c r="B27" s="1" t="n">
        <v>44068</v>
      </c>
      <c r="C27" s="1" t="n">
        <v>45586</v>
      </c>
      <c r="D27" t="inlineStr">
        <is>
          <t>SÖDERMANLANDS LÄN</t>
        </is>
      </c>
      <c r="E27" t="inlineStr">
        <is>
          <t>KATRINEHOLM</t>
        </is>
      </c>
      <c r="F27" t="inlineStr">
        <is>
          <t>Kommuner</t>
        </is>
      </c>
      <c r="G27" t="n">
        <v>3.6</v>
      </c>
      <c r="H27" t="n">
        <v>0</v>
      </c>
      <c r="I27" t="n">
        <v>2</v>
      </c>
      <c r="J27" t="n">
        <v>0</v>
      </c>
      <c r="K27" t="n">
        <v>0</v>
      </c>
      <c r="L27" t="n">
        <v>0</v>
      </c>
      <c r="M27" t="n">
        <v>0</v>
      </c>
      <c r="N27" t="n">
        <v>0</v>
      </c>
      <c r="O27" t="n">
        <v>0</v>
      </c>
      <c r="P27" t="n">
        <v>0</v>
      </c>
      <c r="Q27" t="n">
        <v>2</v>
      </c>
      <c r="R27" s="2" t="inlineStr">
        <is>
          <t>Mindre märgborre
Smal svampklubba</t>
        </is>
      </c>
      <c r="S27">
        <f>HYPERLINK("https://klasma.github.io/Logging_0483/artfynd/A 40257-2020 artfynd.xlsx", "A 40257-2020")</f>
        <v/>
      </c>
      <c r="T27">
        <f>HYPERLINK("https://klasma.github.io/Logging_0483/kartor/A 40257-2020 karta.png", "A 40257-2020")</f>
        <v/>
      </c>
      <c r="U27">
        <f>HYPERLINK("https://klasma.github.io/Logging_0483/knärot/A 40257-2020 karta knärot.png", "A 40257-2020")</f>
        <v/>
      </c>
      <c r="V27">
        <f>HYPERLINK("https://klasma.github.io/Logging_0483/klagomål/A 40257-2020 FSC-klagomål.docx", "A 40257-2020")</f>
        <v/>
      </c>
      <c r="W27">
        <f>HYPERLINK("https://klasma.github.io/Logging_0483/klagomålsmail/A 40257-2020 FSC-klagomål mail.docx", "A 40257-2020")</f>
        <v/>
      </c>
      <c r="X27">
        <f>HYPERLINK("https://klasma.github.io/Logging_0483/tillsyn/A 40257-2020 tillsynsbegäran.docx", "A 40257-2020")</f>
        <v/>
      </c>
      <c r="Y27">
        <f>HYPERLINK("https://klasma.github.io/Logging_0483/tillsynsmail/A 40257-2020 tillsynsbegäran mail.docx", "A 40257-2020")</f>
        <v/>
      </c>
    </row>
    <row r="28" ht="15" customHeight="1">
      <c r="A28" t="inlineStr">
        <is>
          <t>A 65111-2020</t>
        </is>
      </c>
      <c r="B28" s="1" t="n">
        <v>44168</v>
      </c>
      <c r="C28" s="1" t="n">
        <v>45586</v>
      </c>
      <c r="D28" t="inlineStr">
        <is>
          <t>SÖDERMANLANDS LÄN</t>
        </is>
      </c>
      <c r="E28" t="inlineStr">
        <is>
          <t>KATRINEHOLM</t>
        </is>
      </c>
      <c r="G28" t="n">
        <v>2</v>
      </c>
      <c r="H28" t="n">
        <v>2</v>
      </c>
      <c r="I28" t="n">
        <v>0</v>
      </c>
      <c r="J28" t="n">
        <v>1</v>
      </c>
      <c r="K28" t="n">
        <v>0</v>
      </c>
      <c r="L28" t="n">
        <v>0</v>
      </c>
      <c r="M28" t="n">
        <v>0</v>
      </c>
      <c r="N28" t="n">
        <v>0</v>
      </c>
      <c r="O28" t="n">
        <v>1</v>
      </c>
      <c r="P28" t="n">
        <v>0</v>
      </c>
      <c r="Q28" t="n">
        <v>2</v>
      </c>
      <c r="R28" s="2" t="inlineStr">
        <is>
          <t>Spillkråka
Blåsippa</t>
        </is>
      </c>
      <c r="S28">
        <f>HYPERLINK("https://klasma.github.io/Logging_0483/artfynd/A 65111-2020 artfynd.xlsx", "A 65111-2020")</f>
        <v/>
      </c>
      <c r="T28">
        <f>HYPERLINK("https://klasma.github.io/Logging_0483/kartor/A 65111-2020 karta.png", "A 65111-2020")</f>
        <v/>
      </c>
      <c r="V28">
        <f>HYPERLINK("https://klasma.github.io/Logging_0483/klagomål/A 65111-2020 FSC-klagomål.docx", "A 65111-2020")</f>
        <v/>
      </c>
      <c r="W28">
        <f>HYPERLINK("https://klasma.github.io/Logging_0483/klagomålsmail/A 65111-2020 FSC-klagomål mail.docx", "A 65111-2020")</f>
        <v/>
      </c>
      <c r="X28">
        <f>HYPERLINK("https://klasma.github.io/Logging_0483/tillsyn/A 65111-2020 tillsynsbegäran.docx", "A 65111-2020")</f>
        <v/>
      </c>
      <c r="Y28">
        <f>HYPERLINK("https://klasma.github.io/Logging_0483/tillsynsmail/A 65111-2020 tillsynsbegäran mail.docx", "A 65111-2020")</f>
        <v/>
      </c>
      <c r="Z28">
        <f>HYPERLINK("https://klasma.github.io/Logging_0483/fåglar/A 65111-2020 prioriterade fågelarter.docx", "A 65111-2020")</f>
        <v/>
      </c>
    </row>
    <row r="29" ht="15" customHeight="1">
      <c r="A29" t="inlineStr">
        <is>
          <t>A 56897-2021</t>
        </is>
      </c>
      <c r="B29" s="1" t="n">
        <v>44481</v>
      </c>
      <c r="C29" s="1" t="n">
        <v>45586</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61384-2021</t>
        </is>
      </c>
      <c r="B30" s="1" t="n">
        <v>44500</v>
      </c>
      <c r="C30" s="1" t="n">
        <v>45586</v>
      </c>
      <c r="D30" t="inlineStr">
        <is>
          <t>SÖDERMANLANDS LÄN</t>
        </is>
      </c>
      <c r="E30" t="inlineStr">
        <is>
          <t>KATRINEHOLM</t>
        </is>
      </c>
      <c r="G30" t="n">
        <v>5</v>
      </c>
      <c r="H30" t="n">
        <v>1</v>
      </c>
      <c r="I30" t="n">
        <v>0</v>
      </c>
      <c r="J30" t="n">
        <v>1</v>
      </c>
      <c r="K30" t="n">
        <v>1</v>
      </c>
      <c r="L30" t="n">
        <v>0</v>
      </c>
      <c r="M30" t="n">
        <v>0</v>
      </c>
      <c r="N30" t="n">
        <v>0</v>
      </c>
      <c r="O30" t="n">
        <v>2</v>
      </c>
      <c r="P30" t="n">
        <v>1</v>
      </c>
      <c r="Q30" t="n">
        <v>2</v>
      </c>
      <c r="R30" s="2" t="inlineStr">
        <is>
          <t>Knärot
Kungsspindling</t>
        </is>
      </c>
      <c r="S30">
        <f>HYPERLINK("https://klasma.github.io/Logging_0483/artfynd/A 61384-2021 artfynd.xlsx", "A 61384-2021")</f>
        <v/>
      </c>
      <c r="T30">
        <f>HYPERLINK("https://klasma.github.io/Logging_0483/kartor/A 61384-2021 karta.png", "A 61384-2021")</f>
        <v/>
      </c>
      <c r="U30">
        <f>HYPERLINK("https://klasma.github.io/Logging_0483/knärot/A 61384-2021 karta knärot.png", "A 61384-2021")</f>
        <v/>
      </c>
      <c r="V30">
        <f>HYPERLINK("https://klasma.github.io/Logging_0483/klagomål/A 61384-2021 FSC-klagomål.docx", "A 61384-2021")</f>
        <v/>
      </c>
      <c r="W30">
        <f>HYPERLINK("https://klasma.github.io/Logging_0483/klagomålsmail/A 61384-2021 FSC-klagomål mail.docx", "A 61384-2021")</f>
        <v/>
      </c>
      <c r="X30">
        <f>HYPERLINK("https://klasma.github.io/Logging_0483/tillsyn/A 61384-2021 tillsynsbegäran.docx", "A 61384-2021")</f>
        <v/>
      </c>
      <c r="Y30">
        <f>HYPERLINK("https://klasma.github.io/Logging_0483/tillsynsmail/A 61384-2021 tillsynsbegäran mail.docx", "A 61384-2021")</f>
        <v/>
      </c>
    </row>
    <row r="31" ht="15" customHeight="1">
      <c r="A31" t="inlineStr">
        <is>
          <t>A 70501-2021</t>
        </is>
      </c>
      <c r="B31" s="1" t="n">
        <v>44536</v>
      </c>
      <c r="C31" s="1" t="n">
        <v>45586</v>
      </c>
      <c r="D31" t="inlineStr">
        <is>
          <t>SÖDERMANLANDS LÄN</t>
        </is>
      </c>
      <c r="E31" t="inlineStr">
        <is>
          <t>KATRINEHOLM</t>
        </is>
      </c>
      <c r="G31" t="n">
        <v>5.8</v>
      </c>
      <c r="H31" t="n">
        <v>0</v>
      </c>
      <c r="I31" t="n">
        <v>1</v>
      </c>
      <c r="J31" t="n">
        <v>1</v>
      </c>
      <c r="K31" t="n">
        <v>0</v>
      </c>
      <c r="L31" t="n">
        <v>0</v>
      </c>
      <c r="M31" t="n">
        <v>0</v>
      </c>
      <c r="N31" t="n">
        <v>0</v>
      </c>
      <c r="O31" t="n">
        <v>1</v>
      </c>
      <c r="P31" t="n">
        <v>0</v>
      </c>
      <c r="Q31" t="n">
        <v>2</v>
      </c>
      <c r="R31" s="2" t="inlineStr">
        <is>
          <t>Tallticka
Grovticka</t>
        </is>
      </c>
      <c r="S31">
        <f>HYPERLINK("https://klasma.github.io/Logging_0483/artfynd/A 70501-2021 artfynd.xlsx", "A 70501-2021")</f>
        <v/>
      </c>
      <c r="T31">
        <f>HYPERLINK("https://klasma.github.io/Logging_0483/kartor/A 70501-2021 karta.png", "A 70501-2021")</f>
        <v/>
      </c>
      <c r="V31">
        <f>HYPERLINK("https://klasma.github.io/Logging_0483/klagomål/A 70501-2021 FSC-klagomål.docx", "A 70501-2021")</f>
        <v/>
      </c>
      <c r="W31">
        <f>HYPERLINK("https://klasma.github.io/Logging_0483/klagomålsmail/A 70501-2021 FSC-klagomål mail.docx", "A 70501-2021")</f>
        <v/>
      </c>
      <c r="X31">
        <f>HYPERLINK("https://klasma.github.io/Logging_0483/tillsyn/A 70501-2021 tillsynsbegäran.docx", "A 70501-2021")</f>
        <v/>
      </c>
      <c r="Y31">
        <f>HYPERLINK("https://klasma.github.io/Logging_0483/tillsynsmail/A 70501-2021 tillsynsbegäran mail.docx", "A 70501-2021")</f>
        <v/>
      </c>
    </row>
    <row r="32" ht="15" customHeight="1">
      <c r="A32" t="inlineStr">
        <is>
          <t>A 37537-2022</t>
        </is>
      </c>
      <c r="B32" s="1" t="n">
        <v>44809</v>
      </c>
      <c r="C32" s="1" t="n">
        <v>45586</v>
      </c>
      <c r="D32" t="inlineStr">
        <is>
          <t>SÖDERMANLANDS LÄN</t>
        </is>
      </c>
      <c r="E32" t="inlineStr">
        <is>
          <t>KATRINEHOLM</t>
        </is>
      </c>
      <c r="G32" t="n">
        <v>1.4</v>
      </c>
      <c r="H32" t="n">
        <v>0</v>
      </c>
      <c r="I32" t="n">
        <v>2</v>
      </c>
      <c r="J32" t="n">
        <v>0</v>
      </c>
      <c r="K32" t="n">
        <v>0</v>
      </c>
      <c r="L32" t="n">
        <v>0</v>
      </c>
      <c r="M32" t="n">
        <v>0</v>
      </c>
      <c r="N32" t="n">
        <v>0</v>
      </c>
      <c r="O32" t="n">
        <v>0</v>
      </c>
      <c r="P32" t="n">
        <v>0</v>
      </c>
      <c r="Q32" t="n">
        <v>2</v>
      </c>
      <c r="R32" s="2" t="inlineStr">
        <is>
          <t>Myskmadra
Svart trolldruva</t>
        </is>
      </c>
      <c r="S32">
        <f>HYPERLINK("https://klasma.github.io/Logging_0483/artfynd/A 37537-2022 artfynd.xlsx", "A 37537-2022")</f>
        <v/>
      </c>
      <c r="T32">
        <f>HYPERLINK("https://klasma.github.io/Logging_0483/kartor/A 37537-2022 karta.png", "A 37537-2022")</f>
        <v/>
      </c>
      <c r="V32">
        <f>HYPERLINK("https://klasma.github.io/Logging_0483/klagomål/A 37537-2022 FSC-klagomål.docx", "A 37537-2022")</f>
        <v/>
      </c>
      <c r="W32">
        <f>HYPERLINK("https://klasma.github.io/Logging_0483/klagomålsmail/A 37537-2022 FSC-klagomål mail.docx", "A 37537-2022")</f>
        <v/>
      </c>
      <c r="X32">
        <f>HYPERLINK("https://klasma.github.io/Logging_0483/tillsyn/A 37537-2022 tillsynsbegäran.docx", "A 37537-2022")</f>
        <v/>
      </c>
      <c r="Y32">
        <f>HYPERLINK("https://klasma.github.io/Logging_0483/tillsynsmail/A 37537-2022 tillsynsbegäran mail.docx", "A 37537-2022")</f>
        <v/>
      </c>
    </row>
    <row r="33" ht="15" customHeight="1">
      <c r="A33" t="inlineStr">
        <is>
          <t>A 1270-2023</t>
        </is>
      </c>
      <c r="B33" s="1" t="n">
        <v>44936</v>
      </c>
      <c r="C33" s="1" t="n">
        <v>45586</v>
      </c>
      <c r="D33" t="inlineStr">
        <is>
          <t>SÖDERMANLANDS LÄN</t>
        </is>
      </c>
      <c r="E33" t="inlineStr">
        <is>
          <t>KATRINEHOLM</t>
        </is>
      </c>
      <c r="G33" t="n">
        <v>5.9</v>
      </c>
      <c r="H33" t="n">
        <v>2</v>
      </c>
      <c r="I33" t="n">
        <v>0</v>
      </c>
      <c r="J33" t="n">
        <v>0</v>
      </c>
      <c r="K33" t="n">
        <v>0</v>
      </c>
      <c r="L33" t="n">
        <v>1</v>
      </c>
      <c r="M33" t="n">
        <v>0</v>
      </c>
      <c r="N33" t="n">
        <v>0</v>
      </c>
      <c r="O33" t="n">
        <v>1</v>
      </c>
      <c r="P33" t="n">
        <v>1</v>
      </c>
      <c r="Q33" t="n">
        <v>2</v>
      </c>
      <c r="R33" s="2" t="inlineStr">
        <is>
          <t>Grönfink
Mattlummer</t>
        </is>
      </c>
      <c r="S33">
        <f>HYPERLINK("https://klasma.github.io/Logging_0483/artfynd/A 1270-2023 artfynd.xlsx", "A 1270-2023")</f>
        <v/>
      </c>
      <c r="T33">
        <f>HYPERLINK("https://klasma.github.io/Logging_0483/kartor/A 1270-2023 karta.png", "A 1270-2023")</f>
        <v/>
      </c>
      <c r="V33">
        <f>HYPERLINK("https://klasma.github.io/Logging_0483/klagomål/A 1270-2023 FSC-klagomål.docx", "A 1270-2023")</f>
        <v/>
      </c>
      <c r="W33">
        <f>HYPERLINK("https://klasma.github.io/Logging_0483/klagomålsmail/A 1270-2023 FSC-klagomål mail.docx", "A 1270-2023")</f>
        <v/>
      </c>
      <c r="X33">
        <f>HYPERLINK("https://klasma.github.io/Logging_0483/tillsyn/A 1270-2023 tillsynsbegäran.docx", "A 1270-2023")</f>
        <v/>
      </c>
      <c r="Y33">
        <f>HYPERLINK("https://klasma.github.io/Logging_0483/tillsynsmail/A 1270-2023 tillsynsbegäran mail.docx", "A 1270-2023")</f>
        <v/>
      </c>
      <c r="Z33">
        <f>HYPERLINK("https://klasma.github.io/Logging_0483/fåglar/A 1270-2023 prioriterade fågelarter.docx", "A 1270-2023")</f>
        <v/>
      </c>
    </row>
    <row r="34" ht="15" customHeight="1">
      <c r="A34" t="inlineStr">
        <is>
          <t>A 14655-2023</t>
        </is>
      </c>
      <c r="B34" s="1" t="n">
        <v>45013</v>
      </c>
      <c r="C34" s="1" t="n">
        <v>45586</v>
      </c>
      <c r="D34" t="inlineStr">
        <is>
          <t>SÖDERMANLANDS LÄN</t>
        </is>
      </c>
      <c r="E34" t="inlineStr">
        <is>
          <t>KATRINEHOLM</t>
        </is>
      </c>
      <c r="G34" t="n">
        <v>4.4</v>
      </c>
      <c r="H34" t="n">
        <v>2</v>
      </c>
      <c r="I34" t="n">
        <v>0</v>
      </c>
      <c r="J34" t="n">
        <v>1</v>
      </c>
      <c r="K34" t="n">
        <v>0</v>
      </c>
      <c r="L34" t="n">
        <v>0</v>
      </c>
      <c r="M34" t="n">
        <v>0</v>
      </c>
      <c r="N34" t="n">
        <v>0</v>
      </c>
      <c r="O34" t="n">
        <v>1</v>
      </c>
      <c r="P34" t="n">
        <v>0</v>
      </c>
      <c r="Q34" t="n">
        <v>2</v>
      </c>
      <c r="R34" s="2" t="inlineStr">
        <is>
          <t>Spillkråka
Gröngöling</t>
        </is>
      </c>
      <c r="S34">
        <f>HYPERLINK("https://klasma.github.io/Logging_0483/artfynd/A 14655-2023 artfynd.xlsx", "A 14655-2023")</f>
        <v/>
      </c>
      <c r="T34">
        <f>HYPERLINK("https://klasma.github.io/Logging_0483/kartor/A 14655-2023 karta.png", "A 14655-2023")</f>
        <v/>
      </c>
      <c r="V34">
        <f>HYPERLINK("https://klasma.github.io/Logging_0483/klagomål/A 14655-2023 FSC-klagomål.docx", "A 14655-2023")</f>
        <v/>
      </c>
      <c r="W34">
        <f>HYPERLINK("https://klasma.github.io/Logging_0483/klagomålsmail/A 14655-2023 FSC-klagomål mail.docx", "A 14655-2023")</f>
        <v/>
      </c>
      <c r="X34">
        <f>HYPERLINK("https://klasma.github.io/Logging_0483/tillsyn/A 14655-2023 tillsynsbegäran.docx", "A 14655-2023")</f>
        <v/>
      </c>
      <c r="Y34">
        <f>HYPERLINK("https://klasma.github.io/Logging_0483/tillsynsmail/A 14655-2023 tillsynsbegäran mail.docx", "A 14655-2023")</f>
        <v/>
      </c>
      <c r="Z34">
        <f>HYPERLINK("https://klasma.github.io/Logging_0483/fåglar/A 14655-2023 prioriterade fågelarter.docx", "A 14655-2023")</f>
        <v/>
      </c>
    </row>
    <row r="35" ht="15" customHeight="1">
      <c r="A35" t="inlineStr">
        <is>
          <t>A 14858-2023</t>
        </is>
      </c>
      <c r="B35" s="1" t="n">
        <v>45014</v>
      </c>
      <c r="C35" s="1" t="n">
        <v>45586</v>
      </c>
      <c r="D35" t="inlineStr">
        <is>
          <t>SÖDERMANLANDS LÄN</t>
        </is>
      </c>
      <c r="E35" t="inlineStr">
        <is>
          <t>KATRINEHOLM</t>
        </is>
      </c>
      <c r="G35" t="n">
        <v>1</v>
      </c>
      <c r="H35" t="n">
        <v>2</v>
      </c>
      <c r="I35" t="n">
        <v>0</v>
      </c>
      <c r="J35" t="n">
        <v>1</v>
      </c>
      <c r="K35" t="n">
        <v>0</v>
      </c>
      <c r="L35" t="n">
        <v>0</v>
      </c>
      <c r="M35" t="n">
        <v>0</v>
      </c>
      <c r="N35" t="n">
        <v>0</v>
      </c>
      <c r="O35" t="n">
        <v>1</v>
      </c>
      <c r="P35" t="n">
        <v>0</v>
      </c>
      <c r="Q35" t="n">
        <v>2</v>
      </c>
      <c r="R35" s="2" t="inlineStr">
        <is>
          <t>Spillkråka
Blåsippa</t>
        </is>
      </c>
      <c r="S35">
        <f>HYPERLINK("https://klasma.github.io/Logging_0483/artfynd/A 14858-2023 artfynd.xlsx", "A 14858-2023")</f>
        <v/>
      </c>
      <c r="T35">
        <f>HYPERLINK("https://klasma.github.io/Logging_0483/kartor/A 14858-2023 karta.png", "A 14858-2023")</f>
        <v/>
      </c>
      <c r="V35">
        <f>HYPERLINK("https://klasma.github.io/Logging_0483/klagomål/A 14858-2023 FSC-klagomål.docx", "A 14858-2023")</f>
        <v/>
      </c>
      <c r="W35">
        <f>HYPERLINK("https://klasma.github.io/Logging_0483/klagomålsmail/A 14858-2023 FSC-klagomål mail.docx", "A 14858-2023")</f>
        <v/>
      </c>
      <c r="X35">
        <f>HYPERLINK("https://klasma.github.io/Logging_0483/tillsyn/A 14858-2023 tillsynsbegäran.docx", "A 14858-2023")</f>
        <v/>
      </c>
      <c r="Y35">
        <f>HYPERLINK("https://klasma.github.io/Logging_0483/tillsynsmail/A 14858-2023 tillsynsbegäran mail.docx", "A 14858-2023")</f>
        <v/>
      </c>
      <c r="Z35">
        <f>HYPERLINK("https://klasma.github.io/Logging_0483/fåglar/A 14858-2023 prioriterade fågelarter.docx", "A 14858-2023")</f>
        <v/>
      </c>
    </row>
    <row r="36" ht="15" customHeight="1">
      <c r="A36" t="inlineStr">
        <is>
          <t>A 37383-2023</t>
        </is>
      </c>
      <c r="B36" s="1" t="n">
        <v>45155</v>
      </c>
      <c r="C36" s="1" t="n">
        <v>45586</v>
      </c>
      <c r="D36" t="inlineStr">
        <is>
          <t>SÖDERMANLANDS LÄN</t>
        </is>
      </c>
      <c r="E36" t="inlineStr">
        <is>
          <t>KATRINEHOLM</t>
        </is>
      </c>
      <c r="G36" t="n">
        <v>10.1</v>
      </c>
      <c r="H36" t="n">
        <v>1</v>
      </c>
      <c r="I36" t="n">
        <v>1</v>
      </c>
      <c r="J36" t="n">
        <v>0</v>
      </c>
      <c r="K36" t="n">
        <v>0</v>
      </c>
      <c r="L36" t="n">
        <v>0</v>
      </c>
      <c r="M36" t="n">
        <v>0</v>
      </c>
      <c r="N36" t="n">
        <v>0</v>
      </c>
      <c r="O36" t="n">
        <v>0</v>
      </c>
      <c r="P36" t="n">
        <v>0</v>
      </c>
      <c r="Q36" t="n">
        <v>2</v>
      </c>
      <c r="R36" s="2" t="inlineStr">
        <is>
          <t>Svart trolldruva
Blåsippa</t>
        </is>
      </c>
      <c r="S36">
        <f>HYPERLINK("https://klasma.github.io/Logging_0483/artfynd/A 37383-2023 artfynd.xlsx", "A 37383-2023")</f>
        <v/>
      </c>
      <c r="T36">
        <f>HYPERLINK("https://klasma.github.io/Logging_0483/kartor/A 37383-2023 karta.png", "A 37383-2023")</f>
        <v/>
      </c>
      <c r="V36">
        <f>HYPERLINK("https://klasma.github.io/Logging_0483/klagomål/A 37383-2023 FSC-klagomål.docx", "A 37383-2023")</f>
        <v/>
      </c>
      <c r="W36">
        <f>HYPERLINK("https://klasma.github.io/Logging_0483/klagomålsmail/A 37383-2023 FSC-klagomål mail.docx", "A 37383-2023")</f>
        <v/>
      </c>
      <c r="X36">
        <f>HYPERLINK("https://klasma.github.io/Logging_0483/tillsyn/A 37383-2023 tillsynsbegäran.docx", "A 37383-2023")</f>
        <v/>
      </c>
      <c r="Y36">
        <f>HYPERLINK("https://klasma.github.io/Logging_0483/tillsynsmail/A 37383-2023 tillsynsbegäran mail.docx", "A 37383-2023")</f>
        <v/>
      </c>
    </row>
    <row r="37" ht="15" customHeight="1">
      <c r="A37" t="inlineStr">
        <is>
          <t>A 39893-2023</t>
        </is>
      </c>
      <c r="B37" s="1" t="n">
        <v>45168</v>
      </c>
      <c r="C37" s="1" t="n">
        <v>45586</v>
      </c>
      <c r="D37" t="inlineStr">
        <is>
          <t>SÖDERMANLANDS LÄN</t>
        </is>
      </c>
      <c r="E37" t="inlineStr">
        <is>
          <t>KATRINEHOLM</t>
        </is>
      </c>
      <c r="G37" t="n">
        <v>7.3</v>
      </c>
      <c r="H37" t="n">
        <v>0</v>
      </c>
      <c r="I37" t="n">
        <v>2</v>
      </c>
      <c r="J37" t="n">
        <v>0</v>
      </c>
      <c r="K37" t="n">
        <v>0</v>
      </c>
      <c r="L37" t="n">
        <v>0</v>
      </c>
      <c r="M37" t="n">
        <v>0</v>
      </c>
      <c r="N37" t="n">
        <v>0</v>
      </c>
      <c r="O37" t="n">
        <v>0</v>
      </c>
      <c r="P37" t="n">
        <v>0</v>
      </c>
      <c r="Q37" t="n">
        <v>2</v>
      </c>
      <c r="R37" s="2" t="inlineStr">
        <is>
          <t>Blomkålssvamp
Grovticka</t>
        </is>
      </c>
      <c r="S37">
        <f>HYPERLINK("https://klasma.github.io/Logging_0483/artfynd/A 39893-2023 artfynd.xlsx", "A 39893-2023")</f>
        <v/>
      </c>
      <c r="T37">
        <f>HYPERLINK("https://klasma.github.io/Logging_0483/kartor/A 39893-2023 karta.png", "A 39893-2023")</f>
        <v/>
      </c>
      <c r="V37">
        <f>HYPERLINK("https://klasma.github.io/Logging_0483/klagomål/A 39893-2023 FSC-klagomål.docx", "A 39893-2023")</f>
        <v/>
      </c>
      <c r="W37">
        <f>HYPERLINK("https://klasma.github.io/Logging_0483/klagomålsmail/A 39893-2023 FSC-klagomål mail.docx", "A 39893-2023")</f>
        <v/>
      </c>
      <c r="X37">
        <f>HYPERLINK("https://klasma.github.io/Logging_0483/tillsyn/A 39893-2023 tillsynsbegäran.docx", "A 39893-2023")</f>
        <v/>
      </c>
      <c r="Y37">
        <f>HYPERLINK("https://klasma.github.io/Logging_0483/tillsynsmail/A 39893-2023 tillsynsbegäran mail.docx", "A 39893-2023")</f>
        <v/>
      </c>
    </row>
    <row r="38" ht="15" customHeight="1">
      <c r="A38" t="inlineStr">
        <is>
          <t>A 4392-2024</t>
        </is>
      </c>
      <c r="B38" s="1" t="n">
        <v>45327</v>
      </c>
      <c r="C38" s="1" t="n">
        <v>45586</v>
      </c>
      <c r="D38" t="inlineStr">
        <is>
          <t>SÖDERMANLANDS LÄN</t>
        </is>
      </c>
      <c r="E38" t="inlineStr">
        <is>
          <t>KATRINEHOLM</t>
        </is>
      </c>
      <c r="G38" t="n">
        <v>2.3</v>
      </c>
      <c r="H38" t="n">
        <v>1</v>
      </c>
      <c r="I38" t="n">
        <v>0</v>
      </c>
      <c r="J38" t="n">
        <v>2</v>
      </c>
      <c r="K38" t="n">
        <v>0</v>
      </c>
      <c r="L38" t="n">
        <v>0</v>
      </c>
      <c r="M38" t="n">
        <v>0</v>
      </c>
      <c r="N38" t="n">
        <v>0</v>
      </c>
      <c r="O38" t="n">
        <v>2</v>
      </c>
      <c r="P38" t="n">
        <v>0</v>
      </c>
      <c r="Q38" t="n">
        <v>2</v>
      </c>
      <c r="R38" s="2" t="inlineStr">
        <is>
          <t>Spillkråka
Tallticka</t>
        </is>
      </c>
      <c r="S38">
        <f>HYPERLINK("https://klasma.github.io/Logging_0483/artfynd/A 4392-2024 artfynd.xlsx", "A 4392-2024")</f>
        <v/>
      </c>
      <c r="T38">
        <f>HYPERLINK("https://klasma.github.io/Logging_0483/kartor/A 4392-2024 karta.png", "A 4392-2024")</f>
        <v/>
      </c>
      <c r="V38">
        <f>HYPERLINK("https://klasma.github.io/Logging_0483/klagomål/A 4392-2024 FSC-klagomål.docx", "A 4392-2024")</f>
        <v/>
      </c>
      <c r="W38">
        <f>HYPERLINK("https://klasma.github.io/Logging_0483/klagomålsmail/A 4392-2024 FSC-klagomål mail.docx", "A 4392-2024")</f>
        <v/>
      </c>
      <c r="X38">
        <f>HYPERLINK("https://klasma.github.io/Logging_0483/tillsyn/A 4392-2024 tillsynsbegäran.docx", "A 4392-2024")</f>
        <v/>
      </c>
      <c r="Y38">
        <f>HYPERLINK("https://klasma.github.io/Logging_0483/tillsynsmail/A 4392-2024 tillsynsbegäran mail.docx", "A 4392-2024")</f>
        <v/>
      </c>
      <c r="Z38">
        <f>HYPERLINK("https://klasma.github.io/Logging_0483/fåglar/A 4392-2024 prioriterade fågelarter.docx", "A 4392-2024")</f>
        <v/>
      </c>
    </row>
    <row r="39" ht="15" customHeight="1">
      <c r="A39" t="inlineStr">
        <is>
          <t>A 4518-2024</t>
        </is>
      </c>
      <c r="B39" s="1" t="n">
        <v>45327</v>
      </c>
      <c r="C39" s="1" t="n">
        <v>45586</v>
      </c>
      <c r="D39" t="inlineStr">
        <is>
          <t>SÖDERMANLANDS LÄN</t>
        </is>
      </c>
      <c r="E39" t="inlineStr">
        <is>
          <t>KATRINEHOLM</t>
        </is>
      </c>
      <c r="G39" t="n">
        <v>2.5</v>
      </c>
      <c r="H39" t="n">
        <v>1</v>
      </c>
      <c r="I39" t="n">
        <v>0</v>
      </c>
      <c r="J39" t="n">
        <v>2</v>
      </c>
      <c r="K39" t="n">
        <v>0</v>
      </c>
      <c r="L39" t="n">
        <v>0</v>
      </c>
      <c r="M39" t="n">
        <v>0</v>
      </c>
      <c r="N39" t="n">
        <v>0</v>
      </c>
      <c r="O39" t="n">
        <v>2</v>
      </c>
      <c r="P39" t="n">
        <v>0</v>
      </c>
      <c r="Q39" t="n">
        <v>2</v>
      </c>
      <c r="R39" s="2" t="inlineStr">
        <is>
          <t>Spillkråka
Tallticka</t>
        </is>
      </c>
      <c r="S39">
        <f>HYPERLINK("https://klasma.github.io/Logging_0483/artfynd/A 4518-2024 artfynd.xlsx", "A 4518-2024")</f>
        <v/>
      </c>
      <c r="T39">
        <f>HYPERLINK("https://klasma.github.io/Logging_0483/kartor/A 4518-2024 karta.png", "A 4518-2024")</f>
        <v/>
      </c>
      <c r="V39">
        <f>HYPERLINK("https://klasma.github.io/Logging_0483/klagomål/A 4518-2024 FSC-klagomål.docx", "A 4518-2024")</f>
        <v/>
      </c>
      <c r="W39">
        <f>HYPERLINK("https://klasma.github.io/Logging_0483/klagomålsmail/A 4518-2024 FSC-klagomål mail.docx", "A 4518-2024")</f>
        <v/>
      </c>
      <c r="X39">
        <f>HYPERLINK("https://klasma.github.io/Logging_0483/tillsyn/A 4518-2024 tillsynsbegäran.docx", "A 4518-2024")</f>
        <v/>
      </c>
      <c r="Y39">
        <f>HYPERLINK("https://klasma.github.io/Logging_0483/tillsynsmail/A 4518-2024 tillsynsbegäran mail.docx", "A 4518-2024")</f>
        <v/>
      </c>
      <c r="Z39">
        <f>HYPERLINK("https://klasma.github.io/Logging_0483/fåglar/A 4518-2024 prioriterade fågelarter.docx", "A 4518-2024")</f>
        <v/>
      </c>
    </row>
    <row r="40" ht="15" customHeight="1">
      <c r="A40" t="inlineStr">
        <is>
          <t>A 40824-2019</t>
        </is>
      </c>
      <c r="B40" s="1" t="n">
        <v>43697</v>
      </c>
      <c r="C40" s="1" t="n">
        <v>45586</v>
      </c>
      <c r="D40" t="inlineStr">
        <is>
          <t>SÖDERMANLANDS LÄN</t>
        </is>
      </c>
      <c r="E40" t="inlineStr">
        <is>
          <t>KATRINEHOLM</t>
        </is>
      </c>
      <c r="G40" t="n">
        <v>0.6</v>
      </c>
      <c r="H40" t="n">
        <v>0</v>
      </c>
      <c r="I40" t="n">
        <v>0</v>
      </c>
      <c r="J40" t="n">
        <v>1</v>
      </c>
      <c r="K40" t="n">
        <v>0</v>
      </c>
      <c r="L40" t="n">
        <v>0</v>
      </c>
      <c r="M40" t="n">
        <v>0</v>
      </c>
      <c r="N40" t="n">
        <v>0</v>
      </c>
      <c r="O40" t="n">
        <v>1</v>
      </c>
      <c r="P40" t="n">
        <v>0</v>
      </c>
      <c r="Q40" t="n">
        <v>1</v>
      </c>
      <c r="R40" s="2" t="inlineStr">
        <is>
          <t>Igelkott</t>
        </is>
      </c>
      <c r="S40">
        <f>HYPERLINK("https://klasma.github.io/Logging_0483/artfynd/A 40824-2019 artfynd.xlsx", "A 40824-2019")</f>
        <v/>
      </c>
      <c r="T40">
        <f>HYPERLINK("https://klasma.github.io/Logging_0483/kartor/A 40824-2019 karta.png", "A 40824-2019")</f>
        <v/>
      </c>
      <c r="V40">
        <f>HYPERLINK("https://klasma.github.io/Logging_0483/klagomål/A 40824-2019 FSC-klagomål.docx", "A 40824-2019")</f>
        <v/>
      </c>
      <c r="W40">
        <f>HYPERLINK("https://klasma.github.io/Logging_0483/klagomålsmail/A 40824-2019 FSC-klagomål mail.docx", "A 40824-2019")</f>
        <v/>
      </c>
      <c r="X40">
        <f>HYPERLINK("https://klasma.github.io/Logging_0483/tillsyn/A 40824-2019 tillsynsbegäran.docx", "A 40824-2019")</f>
        <v/>
      </c>
      <c r="Y40">
        <f>HYPERLINK("https://klasma.github.io/Logging_0483/tillsynsmail/A 40824-2019 tillsynsbegäran mail.docx", "A 40824-2019")</f>
        <v/>
      </c>
    </row>
    <row r="41" ht="15" customHeight="1">
      <c r="A41" t="inlineStr">
        <is>
          <t>A 51874-2019</t>
        </is>
      </c>
      <c r="B41" s="1" t="n">
        <v>43741</v>
      </c>
      <c r="C41" s="1" t="n">
        <v>45586</v>
      </c>
      <c r="D41" t="inlineStr">
        <is>
          <t>SÖDERMANLANDS LÄN</t>
        </is>
      </c>
      <c r="E41" t="inlineStr">
        <is>
          <t>KATRINEHOLM</t>
        </is>
      </c>
      <c r="G41" t="n">
        <v>19.9</v>
      </c>
      <c r="H41" t="n">
        <v>0</v>
      </c>
      <c r="I41" t="n">
        <v>0</v>
      </c>
      <c r="J41" t="n">
        <v>1</v>
      </c>
      <c r="K41" t="n">
        <v>0</v>
      </c>
      <c r="L41" t="n">
        <v>0</v>
      </c>
      <c r="M41" t="n">
        <v>0</v>
      </c>
      <c r="N41" t="n">
        <v>0</v>
      </c>
      <c r="O41" t="n">
        <v>1</v>
      </c>
      <c r="P41" t="n">
        <v>0</v>
      </c>
      <c r="Q41" t="n">
        <v>1</v>
      </c>
      <c r="R41" s="2" t="inlineStr">
        <is>
          <t>Svedjenäva</t>
        </is>
      </c>
      <c r="S41">
        <f>HYPERLINK("https://klasma.github.io/Logging_0483/artfynd/A 51874-2019 artfynd.xlsx", "A 51874-2019")</f>
        <v/>
      </c>
      <c r="T41">
        <f>HYPERLINK("https://klasma.github.io/Logging_0483/kartor/A 51874-2019 karta.png", "A 51874-2019")</f>
        <v/>
      </c>
      <c r="V41">
        <f>HYPERLINK("https://klasma.github.io/Logging_0483/klagomål/A 51874-2019 FSC-klagomål.docx", "A 51874-2019")</f>
        <v/>
      </c>
      <c r="W41">
        <f>HYPERLINK("https://klasma.github.io/Logging_0483/klagomålsmail/A 51874-2019 FSC-klagomål mail.docx", "A 51874-2019")</f>
        <v/>
      </c>
      <c r="X41">
        <f>HYPERLINK("https://klasma.github.io/Logging_0483/tillsyn/A 51874-2019 tillsynsbegäran.docx", "A 51874-2019")</f>
        <v/>
      </c>
      <c r="Y41">
        <f>HYPERLINK("https://klasma.github.io/Logging_0483/tillsynsmail/A 51874-2019 tillsynsbegäran mail.docx", "A 51874-2019")</f>
        <v/>
      </c>
    </row>
    <row r="42" ht="15" customHeight="1">
      <c r="A42" t="inlineStr">
        <is>
          <t>A 52557-2019</t>
        </is>
      </c>
      <c r="B42" s="1" t="n">
        <v>43745</v>
      </c>
      <c r="C42" s="1" t="n">
        <v>45586</v>
      </c>
      <c r="D42" t="inlineStr">
        <is>
          <t>SÖDERMANLANDS LÄN</t>
        </is>
      </c>
      <c r="E42" t="inlineStr">
        <is>
          <t>KATRINEHOLM</t>
        </is>
      </c>
      <c r="G42" t="n">
        <v>12.3</v>
      </c>
      <c r="H42" t="n">
        <v>1</v>
      </c>
      <c r="I42" t="n">
        <v>0</v>
      </c>
      <c r="J42" t="n">
        <v>0</v>
      </c>
      <c r="K42" t="n">
        <v>0</v>
      </c>
      <c r="L42" t="n">
        <v>0</v>
      </c>
      <c r="M42" t="n">
        <v>0</v>
      </c>
      <c r="N42" t="n">
        <v>0</v>
      </c>
      <c r="O42" t="n">
        <v>0</v>
      </c>
      <c r="P42" t="n">
        <v>0</v>
      </c>
      <c r="Q42" t="n">
        <v>1</v>
      </c>
      <c r="R42" s="2" t="inlineStr">
        <is>
          <t>Lopplummer</t>
        </is>
      </c>
      <c r="S42">
        <f>HYPERLINK("https://klasma.github.io/Logging_0483/artfynd/A 52557-2019 artfynd.xlsx", "A 52557-2019")</f>
        <v/>
      </c>
      <c r="T42">
        <f>HYPERLINK("https://klasma.github.io/Logging_0483/kartor/A 52557-2019 karta.png", "A 52557-2019")</f>
        <v/>
      </c>
      <c r="V42">
        <f>HYPERLINK("https://klasma.github.io/Logging_0483/klagomål/A 52557-2019 FSC-klagomål.docx", "A 52557-2019")</f>
        <v/>
      </c>
      <c r="W42">
        <f>HYPERLINK("https://klasma.github.io/Logging_0483/klagomålsmail/A 52557-2019 FSC-klagomål mail.docx", "A 52557-2019")</f>
        <v/>
      </c>
      <c r="X42">
        <f>HYPERLINK("https://klasma.github.io/Logging_0483/tillsyn/A 52557-2019 tillsynsbegäran.docx", "A 52557-2019")</f>
        <v/>
      </c>
      <c r="Y42">
        <f>HYPERLINK("https://klasma.github.io/Logging_0483/tillsynsmail/A 52557-2019 tillsynsbegäran mail.docx", "A 52557-2019")</f>
        <v/>
      </c>
    </row>
    <row r="43" ht="15" customHeight="1">
      <c r="A43" t="inlineStr">
        <is>
          <t>A 18283-2020</t>
        </is>
      </c>
      <c r="B43" s="1" t="n">
        <v>43928</v>
      </c>
      <c r="C43" s="1" t="n">
        <v>45586</v>
      </c>
      <c r="D43" t="inlineStr">
        <is>
          <t>SÖDERMANLANDS LÄN</t>
        </is>
      </c>
      <c r="E43" t="inlineStr">
        <is>
          <t>KATRINEHOLM</t>
        </is>
      </c>
      <c r="F43" t="inlineStr">
        <is>
          <t>Kommuner</t>
        </is>
      </c>
      <c r="G43" t="n">
        <v>8.1</v>
      </c>
      <c r="H43" t="n">
        <v>1</v>
      </c>
      <c r="I43" t="n">
        <v>0</v>
      </c>
      <c r="J43" t="n">
        <v>0</v>
      </c>
      <c r="K43" t="n">
        <v>1</v>
      </c>
      <c r="L43" t="n">
        <v>0</v>
      </c>
      <c r="M43" t="n">
        <v>0</v>
      </c>
      <c r="N43" t="n">
        <v>0</v>
      </c>
      <c r="O43" t="n">
        <v>1</v>
      </c>
      <c r="P43" t="n">
        <v>1</v>
      </c>
      <c r="Q43" t="n">
        <v>1</v>
      </c>
      <c r="R43" s="2" t="inlineStr">
        <is>
          <t>Knärot</t>
        </is>
      </c>
      <c r="S43">
        <f>HYPERLINK("https://klasma.github.io/Logging_0483/artfynd/A 18283-2020 artfynd.xlsx", "A 18283-2020")</f>
        <v/>
      </c>
      <c r="T43">
        <f>HYPERLINK("https://klasma.github.io/Logging_0483/kartor/A 18283-2020 karta.png", "A 18283-2020")</f>
        <v/>
      </c>
      <c r="U43">
        <f>HYPERLINK("https://klasma.github.io/Logging_0483/knärot/A 18283-2020 karta knärot.png", "A 18283-2020")</f>
        <v/>
      </c>
      <c r="V43">
        <f>HYPERLINK("https://klasma.github.io/Logging_0483/klagomål/A 18283-2020 FSC-klagomål.docx", "A 18283-2020")</f>
        <v/>
      </c>
      <c r="W43">
        <f>HYPERLINK("https://klasma.github.io/Logging_0483/klagomålsmail/A 18283-2020 FSC-klagomål mail.docx", "A 18283-2020")</f>
        <v/>
      </c>
      <c r="X43">
        <f>HYPERLINK("https://klasma.github.io/Logging_0483/tillsyn/A 18283-2020 tillsynsbegäran.docx", "A 18283-2020")</f>
        <v/>
      </c>
      <c r="Y43">
        <f>HYPERLINK("https://klasma.github.io/Logging_0483/tillsynsmail/A 18283-2020 tillsynsbegäran mail.docx", "A 18283-2020")</f>
        <v/>
      </c>
    </row>
    <row r="44" ht="15" customHeight="1">
      <c r="A44" t="inlineStr">
        <is>
          <t>A 21808-2020</t>
        </is>
      </c>
      <c r="B44" s="1" t="n">
        <v>43958</v>
      </c>
      <c r="C44" s="1" t="n">
        <v>45586</v>
      </c>
      <c r="D44" t="inlineStr">
        <is>
          <t>SÖDERMANLANDS LÄN</t>
        </is>
      </c>
      <c r="E44" t="inlineStr">
        <is>
          <t>KATRINEHOLM</t>
        </is>
      </c>
      <c r="G44" t="n">
        <v>3.5</v>
      </c>
      <c r="H44" t="n">
        <v>0</v>
      </c>
      <c r="I44" t="n">
        <v>1</v>
      </c>
      <c r="J44" t="n">
        <v>0</v>
      </c>
      <c r="K44" t="n">
        <v>0</v>
      </c>
      <c r="L44" t="n">
        <v>0</v>
      </c>
      <c r="M44" t="n">
        <v>0</v>
      </c>
      <c r="N44" t="n">
        <v>0</v>
      </c>
      <c r="O44" t="n">
        <v>0</v>
      </c>
      <c r="P44" t="n">
        <v>0</v>
      </c>
      <c r="Q44" t="n">
        <v>1</v>
      </c>
      <c r="R44" s="2" t="inlineStr">
        <is>
          <t>Blomkålssvamp</t>
        </is>
      </c>
      <c r="S44">
        <f>HYPERLINK("https://klasma.github.io/Logging_0483/artfynd/A 21808-2020 artfynd.xlsx", "A 21808-2020")</f>
        <v/>
      </c>
      <c r="T44">
        <f>HYPERLINK("https://klasma.github.io/Logging_0483/kartor/A 21808-2020 karta.png", "A 21808-2020")</f>
        <v/>
      </c>
      <c r="V44">
        <f>HYPERLINK("https://klasma.github.io/Logging_0483/klagomål/A 21808-2020 FSC-klagomål.docx", "A 21808-2020")</f>
        <v/>
      </c>
      <c r="W44">
        <f>HYPERLINK("https://klasma.github.io/Logging_0483/klagomålsmail/A 21808-2020 FSC-klagomål mail.docx", "A 21808-2020")</f>
        <v/>
      </c>
      <c r="X44">
        <f>HYPERLINK("https://klasma.github.io/Logging_0483/tillsyn/A 21808-2020 tillsynsbegäran.docx", "A 21808-2020")</f>
        <v/>
      </c>
      <c r="Y44">
        <f>HYPERLINK("https://klasma.github.io/Logging_0483/tillsynsmail/A 21808-2020 tillsynsbegäran mail.docx", "A 21808-2020")</f>
        <v/>
      </c>
    </row>
    <row r="45" ht="15" customHeight="1">
      <c r="A45" t="inlineStr">
        <is>
          <t>A 47989-2020</t>
        </is>
      </c>
      <c r="B45" s="1" t="n">
        <v>44099</v>
      </c>
      <c r="C45" s="1" t="n">
        <v>45586</v>
      </c>
      <c r="D45" t="inlineStr">
        <is>
          <t>SÖDERMANLANDS LÄN</t>
        </is>
      </c>
      <c r="E45" t="inlineStr">
        <is>
          <t>KATRINEHOLM</t>
        </is>
      </c>
      <c r="F45" t="inlineStr">
        <is>
          <t>Övriga statliga verk och myndigheter</t>
        </is>
      </c>
      <c r="G45" t="n">
        <v>4.7</v>
      </c>
      <c r="H45" t="n">
        <v>0</v>
      </c>
      <c r="I45" t="n">
        <v>1</v>
      </c>
      <c r="J45" t="n">
        <v>0</v>
      </c>
      <c r="K45" t="n">
        <v>0</v>
      </c>
      <c r="L45" t="n">
        <v>0</v>
      </c>
      <c r="M45" t="n">
        <v>0</v>
      </c>
      <c r="N45" t="n">
        <v>0</v>
      </c>
      <c r="O45" t="n">
        <v>0</v>
      </c>
      <c r="P45" t="n">
        <v>0</v>
      </c>
      <c r="Q45" t="n">
        <v>1</v>
      </c>
      <c r="R45" s="2" t="inlineStr">
        <is>
          <t>Stubbspretmossa</t>
        </is>
      </c>
      <c r="S45">
        <f>HYPERLINK("https://klasma.github.io/Logging_0483/artfynd/A 47989-2020 artfynd.xlsx", "A 47989-2020")</f>
        <v/>
      </c>
      <c r="T45">
        <f>HYPERLINK("https://klasma.github.io/Logging_0483/kartor/A 47989-2020 karta.png", "A 47989-2020")</f>
        <v/>
      </c>
      <c r="V45">
        <f>HYPERLINK("https://klasma.github.io/Logging_0483/klagomål/A 47989-2020 FSC-klagomål.docx", "A 47989-2020")</f>
        <v/>
      </c>
      <c r="W45">
        <f>HYPERLINK("https://klasma.github.io/Logging_0483/klagomålsmail/A 47989-2020 FSC-klagomål mail.docx", "A 47989-2020")</f>
        <v/>
      </c>
      <c r="X45">
        <f>HYPERLINK("https://klasma.github.io/Logging_0483/tillsyn/A 47989-2020 tillsynsbegäran.docx", "A 47989-2020")</f>
        <v/>
      </c>
      <c r="Y45">
        <f>HYPERLINK("https://klasma.github.io/Logging_0483/tillsynsmail/A 47989-2020 tillsynsbegäran mail.docx", "A 47989-2020")</f>
        <v/>
      </c>
    </row>
    <row r="46" ht="15" customHeight="1">
      <c r="A46" t="inlineStr">
        <is>
          <t>A 66876-2020</t>
        </is>
      </c>
      <c r="B46" s="1" t="n">
        <v>44180</v>
      </c>
      <c r="C46" s="1" t="n">
        <v>45586</v>
      </c>
      <c r="D46" t="inlineStr">
        <is>
          <t>SÖDERMANLANDS LÄN</t>
        </is>
      </c>
      <c r="E46" t="inlineStr">
        <is>
          <t>KATRINEHOLM</t>
        </is>
      </c>
      <c r="G46" t="n">
        <v>3.7</v>
      </c>
      <c r="H46" t="n">
        <v>0</v>
      </c>
      <c r="I46" t="n">
        <v>1</v>
      </c>
      <c r="J46" t="n">
        <v>0</v>
      </c>
      <c r="K46" t="n">
        <v>0</v>
      </c>
      <c r="L46" t="n">
        <v>0</v>
      </c>
      <c r="M46" t="n">
        <v>0</v>
      </c>
      <c r="N46" t="n">
        <v>0</v>
      </c>
      <c r="O46" t="n">
        <v>0</v>
      </c>
      <c r="P46" t="n">
        <v>0</v>
      </c>
      <c r="Q46" t="n">
        <v>1</v>
      </c>
      <c r="R46" s="2" t="inlineStr">
        <is>
          <t>Dvärghäxört</t>
        </is>
      </c>
      <c r="S46">
        <f>HYPERLINK("https://klasma.github.io/Logging_0483/artfynd/A 66876-2020 artfynd.xlsx", "A 66876-2020")</f>
        <v/>
      </c>
      <c r="T46">
        <f>HYPERLINK("https://klasma.github.io/Logging_0483/kartor/A 66876-2020 karta.png", "A 66876-2020")</f>
        <v/>
      </c>
      <c r="V46">
        <f>HYPERLINK("https://klasma.github.io/Logging_0483/klagomål/A 66876-2020 FSC-klagomål.docx", "A 66876-2020")</f>
        <v/>
      </c>
      <c r="W46">
        <f>HYPERLINK("https://klasma.github.io/Logging_0483/klagomålsmail/A 66876-2020 FSC-klagomål mail.docx", "A 66876-2020")</f>
        <v/>
      </c>
      <c r="X46">
        <f>HYPERLINK("https://klasma.github.io/Logging_0483/tillsyn/A 66876-2020 tillsynsbegäran.docx", "A 66876-2020")</f>
        <v/>
      </c>
      <c r="Y46">
        <f>HYPERLINK("https://klasma.github.io/Logging_0483/tillsynsmail/A 66876-2020 tillsynsbegäran mail.docx", "A 66876-2020")</f>
        <v/>
      </c>
    </row>
    <row r="47" ht="15" customHeight="1">
      <c r="A47" t="inlineStr">
        <is>
          <t>A 43536-2021</t>
        </is>
      </c>
      <c r="B47" s="1" t="n">
        <v>44433</v>
      </c>
      <c r="C47" s="1" t="n">
        <v>45586</v>
      </c>
      <c r="D47" t="inlineStr">
        <is>
          <t>SÖDERMANLANDS LÄN</t>
        </is>
      </c>
      <c r="E47" t="inlineStr">
        <is>
          <t>KATRINEHOLM</t>
        </is>
      </c>
      <c r="G47" t="n">
        <v>6</v>
      </c>
      <c r="H47" t="n">
        <v>0</v>
      </c>
      <c r="I47" t="n">
        <v>0</v>
      </c>
      <c r="J47" t="n">
        <v>1</v>
      </c>
      <c r="K47" t="n">
        <v>0</v>
      </c>
      <c r="L47" t="n">
        <v>0</v>
      </c>
      <c r="M47" t="n">
        <v>0</v>
      </c>
      <c r="N47" t="n">
        <v>0</v>
      </c>
      <c r="O47" t="n">
        <v>1</v>
      </c>
      <c r="P47" t="n">
        <v>0</v>
      </c>
      <c r="Q47" t="n">
        <v>1</v>
      </c>
      <c r="R47" s="2" t="inlineStr">
        <is>
          <t>Pilblad</t>
        </is>
      </c>
      <c r="S47">
        <f>HYPERLINK("https://klasma.github.io/Logging_0483/artfynd/A 43536-2021 artfynd.xlsx", "A 43536-2021")</f>
        <v/>
      </c>
      <c r="T47">
        <f>HYPERLINK("https://klasma.github.io/Logging_0483/kartor/A 43536-2021 karta.png", "A 43536-2021")</f>
        <v/>
      </c>
      <c r="V47">
        <f>HYPERLINK("https://klasma.github.io/Logging_0483/klagomål/A 43536-2021 FSC-klagomål.docx", "A 43536-2021")</f>
        <v/>
      </c>
      <c r="W47">
        <f>HYPERLINK("https://klasma.github.io/Logging_0483/klagomålsmail/A 43536-2021 FSC-klagomål mail.docx", "A 43536-2021")</f>
        <v/>
      </c>
      <c r="X47">
        <f>HYPERLINK("https://klasma.github.io/Logging_0483/tillsyn/A 43536-2021 tillsynsbegäran.docx", "A 43536-2021")</f>
        <v/>
      </c>
      <c r="Y47">
        <f>HYPERLINK("https://klasma.github.io/Logging_0483/tillsynsmail/A 43536-2021 tillsynsbegäran mail.docx", "A 43536-2021")</f>
        <v/>
      </c>
    </row>
    <row r="48" ht="15" customHeight="1">
      <c r="A48" t="inlineStr">
        <is>
          <t>A 57519-2021</t>
        </is>
      </c>
      <c r="B48" s="1" t="n">
        <v>44483</v>
      </c>
      <c r="C48" s="1" t="n">
        <v>45586</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65184-2021</t>
        </is>
      </c>
      <c r="B49" s="1" t="n">
        <v>44512</v>
      </c>
      <c r="C49" s="1" t="n">
        <v>45586</v>
      </c>
      <c r="D49" t="inlineStr">
        <is>
          <t>SÖDERMANLANDS LÄN</t>
        </is>
      </c>
      <c r="E49" t="inlineStr">
        <is>
          <t>KATRINEHOLM</t>
        </is>
      </c>
      <c r="G49" t="n">
        <v>1.8</v>
      </c>
      <c r="H49" t="n">
        <v>1</v>
      </c>
      <c r="I49" t="n">
        <v>0</v>
      </c>
      <c r="J49" t="n">
        <v>1</v>
      </c>
      <c r="K49" t="n">
        <v>0</v>
      </c>
      <c r="L49" t="n">
        <v>0</v>
      </c>
      <c r="M49" t="n">
        <v>0</v>
      </c>
      <c r="N49" t="n">
        <v>0</v>
      </c>
      <c r="O49" t="n">
        <v>1</v>
      </c>
      <c r="P49" t="n">
        <v>0</v>
      </c>
      <c r="Q49" t="n">
        <v>1</v>
      </c>
      <c r="R49" s="2" t="inlineStr">
        <is>
          <t>Gulsparv</t>
        </is>
      </c>
      <c r="S49">
        <f>HYPERLINK("https://klasma.github.io/Logging_0483/artfynd/A 65184-2021 artfynd.xlsx", "A 65184-2021")</f>
        <v/>
      </c>
      <c r="T49">
        <f>HYPERLINK("https://klasma.github.io/Logging_0483/kartor/A 65184-2021 karta.png", "A 65184-2021")</f>
        <v/>
      </c>
      <c r="V49">
        <f>HYPERLINK("https://klasma.github.io/Logging_0483/klagomål/A 65184-2021 FSC-klagomål.docx", "A 65184-2021")</f>
        <v/>
      </c>
      <c r="W49">
        <f>HYPERLINK("https://klasma.github.io/Logging_0483/klagomålsmail/A 65184-2021 FSC-klagomål mail.docx", "A 65184-2021")</f>
        <v/>
      </c>
      <c r="X49">
        <f>HYPERLINK("https://klasma.github.io/Logging_0483/tillsyn/A 65184-2021 tillsynsbegäran.docx", "A 65184-2021")</f>
        <v/>
      </c>
      <c r="Y49">
        <f>HYPERLINK("https://klasma.github.io/Logging_0483/tillsynsmail/A 65184-2021 tillsynsbegäran mail.docx", "A 65184-2021")</f>
        <v/>
      </c>
      <c r="Z49">
        <f>HYPERLINK("https://klasma.github.io/Logging_0483/fåglar/A 65184-2021 prioriterade fågelarter.docx", "A 65184-2021")</f>
        <v/>
      </c>
    </row>
    <row r="50" ht="15" customHeight="1">
      <c r="A50" t="inlineStr">
        <is>
          <t>A 72851-2021</t>
        </is>
      </c>
      <c r="B50" s="1" t="n">
        <v>44546</v>
      </c>
      <c r="C50" s="1" t="n">
        <v>45586</v>
      </c>
      <c r="D50" t="inlineStr">
        <is>
          <t>SÖDERMANLANDS LÄN</t>
        </is>
      </c>
      <c r="E50" t="inlineStr">
        <is>
          <t>KATRINEHOLM</t>
        </is>
      </c>
      <c r="G50" t="n">
        <v>0.7</v>
      </c>
      <c r="H50" t="n">
        <v>0</v>
      </c>
      <c r="I50" t="n">
        <v>0</v>
      </c>
      <c r="J50" t="n">
        <v>1</v>
      </c>
      <c r="K50" t="n">
        <v>0</v>
      </c>
      <c r="L50" t="n">
        <v>0</v>
      </c>
      <c r="M50" t="n">
        <v>0</v>
      </c>
      <c r="N50" t="n">
        <v>0</v>
      </c>
      <c r="O50" t="n">
        <v>1</v>
      </c>
      <c r="P50" t="n">
        <v>0</v>
      </c>
      <c r="Q50" t="n">
        <v>1</v>
      </c>
      <c r="R50" s="2" t="inlineStr">
        <is>
          <t>Klasefibbla</t>
        </is>
      </c>
      <c r="S50">
        <f>HYPERLINK("https://klasma.github.io/Logging_0483/artfynd/A 72851-2021 artfynd.xlsx", "A 72851-2021")</f>
        <v/>
      </c>
      <c r="T50">
        <f>HYPERLINK("https://klasma.github.io/Logging_0483/kartor/A 72851-2021 karta.png", "A 72851-2021")</f>
        <v/>
      </c>
      <c r="V50">
        <f>HYPERLINK("https://klasma.github.io/Logging_0483/klagomål/A 72851-2021 FSC-klagomål.docx", "A 72851-2021")</f>
        <v/>
      </c>
      <c r="W50">
        <f>HYPERLINK("https://klasma.github.io/Logging_0483/klagomålsmail/A 72851-2021 FSC-klagomål mail.docx", "A 72851-2021")</f>
        <v/>
      </c>
      <c r="X50">
        <f>HYPERLINK("https://klasma.github.io/Logging_0483/tillsyn/A 72851-2021 tillsynsbegäran.docx", "A 72851-2021")</f>
        <v/>
      </c>
      <c r="Y50">
        <f>HYPERLINK("https://klasma.github.io/Logging_0483/tillsynsmail/A 72851-2021 tillsynsbegäran mail.docx", "A 72851-2021")</f>
        <v/>
      </c>
    </row>
    <row r="51" ht="15" customHeight="1">
      <c r="A51" t="inlineStr">
        <is>
          <t>A 6076-2022</t>
        </is>
      </c>
      <c r="B51" s="1" t="n">
        <v>44599</v>
      </c>
      <c r="C51" s="1" t="n">
        <v>45586</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6768-2022</t>
        </is>
      </c>
      <c r="B52" s="1" t="n">
        <v>44602</v>
      </c>
      <c r="C52" s="1" t="n">
        <v>45586</v>
      </c>
      <c r="D52" t="inlineStr">
        <is>
          <t>SÖDERMANLANDS LÄN</t>
        </is>
      </c>
      <c r="E52" t="inlineStr">
        <is>
          <t>KATRINEHOLM</t>
        </is>
      </c>
      <c r="G52" t="n">
        <v>12</v>
      </c>
      <c r="H52" t="n">
        <v>0</v>
      </c>
      <c r="I52" t="n">
        <v>0</v>
      </c>
      <c r="J52" t="n">
        <v>1</v>
      </c>
      <c r="K52" t="n">
        <v>0</v>
      </c>
      <c r="L52" t="n">
        <v>0</v>
      </c>
      <c r="M52" t="n">
        <v>0</v>
      </c>
      <c r="N52" t="n">
        <v>0</v>
      </c>
      <c r="O52" t="n">
        <v>1</v>
      </c>
      <c r="P52" t="n">
        <v>0</v>
      </c>
      <c r="Q52" t="n">
        <v>1</v>
      </c>
      <c r="R52" s="2" t="inlineStr">
        <is>
          <t>Igelkott</t>
        </is>
      </c>
      <c r="S52">
        <f>HYPERLINK("https://klasma.github.io/Logging_0483/artfynd/A 6768-2022 artfynd.xlsx", "A 6768-2022")</f>
        <v/>
      </c>
      <c r="T52">
        <f>HYPERLINK("https://klasma.github.io/Logging_0483/kartor/A 6768-2022 karta.png", "A 6768-2022")</f>
        <v/>
      </c>
      <c r="V52">
        <f>HYPERLINK("https://klasma.github.io/Logging_0483/klagomål/A 6768-2022 FSC-klagomål.docx", "A 6768-2022")</f>
        <v/>
      </c>
      <c r="W52">
        <f>HYPERLINK("https://klasma.github.io/Logging_0483/klagomålsmail/A 6768-2022 FSC-klagomål mail.docx", "A 6768-2022")</f>
        <v/>
      </c>
      <c r="X52">
        <f>HYPERLINK("https://klasma.github.io/Logging_0483/tillsyn/A 6768-2022 tillsynsbegäran.docx", "A 6768-2022")</f>
        <v/>
      </c>
      <c r="Y52">
        <f>HYPERLINK("https://klasma.github.io/Logging_0483/tillsynsmail/A 6768-2022 tillsynsbegäran mail.docx", "A 6768-2022")</f>
        <v/>
      </c>
    </row>
    <row r="53" ht="15" customHeight="1">
      <c r="A53" t="inlineStr">
        <is>
          <t>A 16458-2022</t>
        </is>
      </c>
      <c r="B53" s="1" t="n">
        <v>44671</v>
      </c>
      <c r="C53" s="1" t="n">
        <v>45586</v>
      </c>
      <c r="D53" t="inlineStr">
        <is>
          <t>SÖDERMANLANDS LÄN</t>
        </is>
      </c>
      <c r="E53" t="inlineStr">
        <is>
          <t>KATRINEHOLM</t>
        </is>
      </c>
      <c r="G53" t="n">
        <v>16.4</v>
      </c>
      <c r="H53" t="n">
        <v>1</v>
      </c>
      <c r="I53" t="n">
        <v>0</v>
      </c>
      <c r="J53" t="n">
        <v>1</v>
      </c>
      <c r="K53" t="n">
        <v>0</v>
      </c>
      <c r="L53" t="n">
        <v>0</v>
      </c>
      <c r="M53" t="n">
        <v>0</v>
      </c>
      <c r="N53" t="n">
        <v>0</v>
      </c>
      <c r="O53" t="n">
        <v>1</v>
      </c>
      <c r="P53" t="n">
        <v>0</v>
      </c>
      <c r="Q53" t="n">
        <v>1</v>
      </c>
      <c r="R53" s="2" t="inlineStr">
        <is>
          <t>Duvhök</t>
        </is>
      </c>
      <c r="S53">
        <f>HYPERLINK("https://klasma.github.io/Logging_0483/artfynd/A 16458-2022 artfynd.xlsx", "A 16458-2022")</f>
        <v/>
      </c>
      <c r="T53">
        <f>HYPERLINK("https://klasma.github.io/Logging_0483/kartor/A 16458-2022 karta.png", "A 16458-2022")</f>
        <v/>
      </c>
      <c r="V53">
        <f>HYPERLINK("https://klasma.github.io/Logging_0483/klagomål/A 16458-2022 FSC-klagomål.docx", "A 16458-2022")</f>
        <v/>
      </c>
      <c r="W53">
        <f>HYPERLINK("https://klasma.github.io/Logging_0483/klagomålsmail/A 16458-2022 FSC-klagomål mail.docx", "A 16458-2022")</f>
        <v/>
      </c>
      <c r="X53">
        <f>HYPERLINK("https://klasma.github.io/Logging_0483/tillsyn/A 16458-2022 tillsynsbegäran.docx", "A 16458-2022")</f>
        <v/>
      </c>
      <c r="Y53">
        <f>HYPERLINK("https://klasma.github.io/Logging_0483/tillsynsmail/A 16458-2022 tillsynsbegäran mail.docx", "A 16458-2022")</f>
        <v/>
      </c>
      <c r="Z53">
        <f>HYPERLINK("https://klasma.github.io/Logging_0483/fåglar/A 16458-2022 prioriterade fågelarter.docx", "A 16458-2022")</f>
        <v/>
      </c>
    </row>
    <row r="54" ht="15" customHeight="1">
      <c r="A54" t="inlineStr">
        <is>
          <t>A 25724-2022</t>
        </is>
      </c>
      <c r="B54" s="1" t="n">
        <v>44733</v>
      </c>
      <c r="C54" s="1" t="n">
        <v>45586</v>
      </c>
      <c r="D54" t="inlineStr">
        <is>
          <t>SÖDERMANLANDS LÄN</t>
        </is>
      </c>
      <c r="E54" t="inlineStr">
        <is>
          <t>KATRINEHOLM</t>
        </is>
      </c>
      <c r="G54" t="n">
        <v>0.8</v>
      </c>
      <c r="H54" t="n">
        <v>0</v>
      </c>
      <c r="I54" t="n">
        <v>1</v>
      </c>
      <c r="J54" t="n">
        <v>0</v>
      </c>
      <c r="K54" t="n">
        <v>0</v>
      </c>
      <c r="L54" t="n">
        <v>0</v>
      </c>
      <c r="M54" t="n">
        <v>0</v>
      </c>
      <c r="N54" t="n">
        <v>0</v>
      </c>
      <c r="O54" t="n">
        <v>0</v>
      </c>
      <c r="P54" t="n">
        <v>0</v>
      </c>
      <c r="Q54" t="n">
        <v>1</v>
      </c>
      <c r="R54" s="2" t="inlineStr">
        <is>
          <t>Kamjordstjärna</t>
        </is>
      </c>
      <c r="S54">
        <f>HYPERLINK("https://klasma.github.io/Logging_0483/artfynd/A 25724-2022 artfynd.xlsx", "A 25724-2022")</f>
        <v/>
      </c>
      <c r="T54">
        <f>HYPERLINK("https://klasma.github.io/Logging_0483/kartor/A 25724-2022 karta.png", "A 25724-2022")</f>
        <v/>
      </c>
      <c r="V54">
        <f>HYPERLINK("https://klasma.github.io/Logging_0483/klagomål/A 25724-2022 FSC-klagomål.docx", "A 25724-2022")</f>
        <v/>
      </c>
      <c r="W54">
        <f>HYPERLINK("https://klasma.github.io/Logging_0483/klagomålsmail/A 25724-2022 FSC-klagomål mail.docx", "A 25724-2022")</f>
        <v/>
      </c>
      <c r="X54">
        <f>HYPERLINK("https://klasma.github.io/Logging_0483/tillsyn/A 25724-2022 tillsynsbegäran.docx", "A 25724-2022")</f>
        <v/>
      </c>
      <c r="Y54">
        <f>HYPERLINK("https://klasma.github.io/Logging_0483/tillsynsmail/A 25724-2022 tillsynsbegäran mail.docx", "A 25724-2022")</f>
        <v/>
      </c>
    </row>
    <row r="55" ht="15" customHeight="1">
      <c r="A55" t="inlineStr">
        <is>
          <t>A 28985-2022</t>
        </is>
      </c>
      <c r="B55" s="1" t="n">
        <v>44749</v>
      </c>
      <c r="C55" s="1" t="n">
        <v>45586</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30727-2022</t>
        </is>
      </c>
      <c r="B56" s="1" t="n">
        <v>44763</v>
      </c>
      <c r="C56" s="1" t="n">
        <v>45586</v>
      </c>
      <c r="D56" t="inlineStr">
        <is>
          <t>SÖDERMANLANDS LÄN</t>
        </is>
      </c>
      <c r="E56" t="inlineStr">
        <is>
          <t>KATRINEHOLM</t>
        </is>
      </c>
      <c r="F56" t="inlineStr">
        <is>
          <t>Allmännings- och besparingsskogar</t>
        </is>
      </c>
      <c r="G56" t="n">
        <v>6.6</v>
      </c>
      <c r="H56" t="n">
        <v>1</v>
      </c>
      <c r="I56" t="n">
        <v>0</v>
      </c>
      <c r="J56" t="n">
        <v>0</v>
      </c>
      <c r="K56" t="n">
        <v>1</v>
      </c>
      <c r="L56" t="n">
        <v>0</v>
      </c>
      <c r="M56" t="n">
        <v>0</v>
      </c>
      <c r="N56" t="n">
        <v>0</v>
      </c>
      <c r="O56" t="n">
        <v>1</v>
      </c>
      <c r="P56" t="n">
        <v>1</v>
      </c>
      <c r="Q56" t="n">
        <v>1</v>
      </c>
      <c r="R56" s="2" t="inlineStr">
        <is>
          <t>Knärot</t>
        </is>
      </c>
      <c r="S56">
        <f>HYPERLINK("https://klasma.github.io/Logging_0483/artfynd/A 30727-2022 artfynd.xlsx", "A 30727-2022")</f>
        <v/>
      </c>
      <c r="T56">
        <f>HYPERLINK("https://klasma.github.io/Logging_0483/kartor/A 30727-2022 karta.png", "A 30727-2022")</f>
        <v/>
      </c>
      <c r="U56">
        <f>HYPERLINK("https://klasma.github.io/Logging_0483/knärot/A 30727-2022 karta knärot.png", "A 30727-2022")</f>
        <v/>
      </c>
      <c r="V56">
        <f>HYPERLINK("https://klasma.github.io/Logging_0483/klagomål/A 30727-2022 FSC-klagomål.docx", "A 30727-2022")</f>
        <v/>
      </c>
      <c r="W56">
        <f>HYPERLINK("https://klasma.github.io/Logging_0483/klagomålsmail/A 30727-2022 FSC-klagomål mail.docx", "A 30727-2022")</f>
        <v/>
      </c>
      <c r="X56">
        <f>HYPERLINK("https://klasma.github.io/Logging_0483/tillsyn/A 30727-2022 tillsynsbegäran.docx", "A 30727-2022")</f>
        <v/>
      </c>
      <c r="Y56">
        <f>HYPERLINK("https://klasma.github.io/Logging_0483/tillsynsmail/A 30727-2022 tillsynsbegäran mail.docx", "A 30727-2022")</f>
        <v/>
      </c>
    </row>
    <row r="57" ht="15" customHeight="1">
      <c r="A57" t="inlineStr">
        <is>
          <t>A 36220-2022</t>
        </is>
      </c>
      <c r="B57" s="1" t="n">
        <v>44803</v>
      </c>
      <c r="C57" s="1" t="n">
        <v>45586</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42745-2022</t>
        </is>
      </c>
      <c r="B58" s="1" t="n">
        <v>44831</v>
      </c>
      <c r="C58" s="1" t="n">
        <v>45586</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44262-2022</t>
        </is>
      </c>
      <c r="B59" s="1" t="n">
        <v>44839</v>
      </c>
      <c r="C59" s="1" t="n">
        <v>45586</v>
      </c>
      <c r="D59" t="inlineStr">
        <is>
          <t>SÖDERMANLANDS LÄN</t>
        </is>
      </c>
      <c r="E59" t="inlineStr">
        <is>
          <t>KATRINEHOLM</t>
        </is>
      </c>
      <c r="G59" t="n">
        <v>0.1</v>
      </c>
      <c r="H59" t="n">
        <v>1</v>
      </c>
      <c r="I59" t="n">
        <v>0</v>
      </c>
      <c r="J59" t="n">
        <v>0</v>
      </c>
      <c r="K59" t="n">
        <v>1</v>
      </c>
      <c r="L59" t="n">
        <v>0</v>
      </c>
      <c r="M59" t="n">
        <v>0</v>
      </c>
      <c r="N59" t="n">
        <v>0</v>
      </c>
      <c r="O59" t="n">
        <v>1</v>
      </c>
      <c r="P59" t="n">
        <v>1</v>
      </c>
      <c r="Q59" t="n">
        <v>1</v>
      </c>
      <c r="R59" s="2" t="inlineStr">
        <is>
          <t>Bombmurkla</t>
        </is>
      </c>
      <c r="S59">
        <f>HYPERLINK("https://klasma.github.io/Logging_0483/artfynd/A 44262-2022 artfynd.xlsx", "A 44262-2022")</f>
        <v/>
      </c>
      <c r="T59">
        <f>HYPERLINK("https://klasma.github.io/Logging_0483/kartor/A 44262-2022 karta.png", "A 44262-2022")</f>
        <v/>
      </c>
      <c r="V59">
        <f>HYPERLINK("https://klasma.github.io/Logging_0483/klagomål/A 44262-2022 FSC-klagomål.docx", "A 44262-2022")</f>
        <v/>
      </c>
      <c r="W59">
        <f>HYPERLINK("https://klasma.github.io/Logging_0483/klagomålsmail/A 44262-2022 FSC-klagomål mail.docx", "A 44262-2022")</f>
        <v/>
      </c>
      <c r="X59">
        <f>HYPERLINK("https://klasma.github.io/Logging_0483/tillsyn/A 44262-2022 tillsynsbegäran.docx", "A 44262-2022")</f>
        <v/>
      </c>
      <c r="Y59">
        <f>HYPERLINK("https://klasma.github.io/Logging_0483/tillsynsmail/A 44262-2022 tillsynsbegäran mail.docx", "A 44262-2022")</f>
        <v/>
      </c>
    </row>
    <row r="60" ht="15" customHeight="1">
      <c r="A60" t="inlineStr">
        <is>
          <t>A 48822-2022</t>
        </is>
      </c>
      <c r="B60" s="1" t="n">
        <v>44854</v>
      </c>
      <c r="C60" s="1" t="n">
        <v>45586</v>
      </c>
      <c r="D60" t="inlineStr">
        <is>
          <t>SÖDERMANLANDS LÄN</t>
        </is>
      </c>
      <c r="E60" t="inlineStr">
        <is>
          <t>KATRINEHOLM</t>
        </is>
      </c>
      <c r="G60" t="n">
        <v>8.6</v>
      </c>
      <c r="H60" t="n">
        <v>0</v>
      </c>
      <c r="I60" t="n">
        <v>1</v>
      </c>
      <c r="J60" t="n">
        <v>0</v>
      </c>
      <c r="K60" t="n">
        <v>0</v>
      </c>
      <c r="L60" t="n">
        <v>0</v>
      </c>
      <c r="M60" t="n">
        <v>0</v>
      </c>
      <c r="N60" t="n">
        <v>0</v>
      </c>
      <c r="O60" t="n">
        <v>0</v>
      </c>
      <c r="P60" t="n">
        <v>0</v>
      </c>
      <c r="Q60" t="n">
        <v>1</v>
      </c>
      <c r="R60" s="2" t="inlineStr">
        <is>
          <t>Vågbandad barkbock</t>
        </is>
      </c>
      <c r="S60">
        <f>HYPERLINK("https://klasma.github.io/Logging_0483/artfynd/A 48822-2022 artfynd.xlsx", "A 48822-2022")</f>
        <v/>
      </c>
      <c r="T60">
        <f>HYPERLINK("https://klasma.github.io/Logging_0483/kartor/A 48822-2022 karta.png", "A 48822-2022")</f>
        <v/>
      </c>
      <c r="V60">
        <f>HYPERLINK("https://klasma.github.io/Logging_0483/klagomål/A 48822-2022 FSC-klagomål.docx", "A 48822-2022")</f>
        <v/>
      </c>
      <c r="W60">
        <f>HYPERLINK("https://klasma.github.io/Logging_0483/klagomålsmail/A 48822-2022 FSC-klagomål mail.docx", "A 48822-2022")</f>
        <v/>
      </c>
      <c r="X60">
        <f>HYPERLINK("https://klasma.github.io/Logging_0483/tillsyn/A 48822-2022 tillsynsbegäran.docx", "A 48822-2022")</f>
        <v/>
      </c>
      <c r="Y60">
        <f>HYPERLINK("https://klasma.github.io/Logging_0483/tillsynsmail/A 48822-2022 tillsynsbegäran mail.docx", "A 48822-2022")</f>
        <v/>
      </c>
    </row>
    <row r="61" ht="15" customHeight="1">
      <c r="A61" t="inlineStr">
        <is>
          <t>A 53871-2022</t>
        </is>
      </c>
      <c r="B61" s="1" t="n">
        <v>44876</v>
      </c>
      <c r="C61" s="1" t="n">
        <v>45586</v>
      </c>
      <c r="D61" t="inlineStr">
        <is>
          <t>SÖDERMANLANDS LÄN</t>
        </is>
      </c>
      <c r="E61" t="inlineStr">
        <is>
          <t>KATRINEHOLM</t>
        </is>
      </c>
      <c r="G61" t="n">
        <v>5.3</v>
      </c>
      <c r="H61" t="n">
        <v>1</v>
      </c>
      <c r="I61" t="n">
        <v>0</v>
      </c>
      <c r="J61" t="n">
        <v>0</v>
      </c>
      <c r="K61" t="n">
        <v>0</v>
      </c>
      <c r="L61" t="n">
        <v>0</v>
      </c>
      <c r="M61" t="n">
        <v>0</v>
      </c>
      <c r="N61" t="n">
        <v>0</v>
      </c>
      <c r="O61" t="n">
        <v>0</v>
      </c>
      <c r="P61" t="n">
        <v>0</v>
      </c>
      <c r="Q61" t="n">
        <v>1</v>
      </c>
      <c r="R61" s="2" t="inlineStr">
        <is>
          <t>Törnskata</t>
        </is>
      </c>
      <c r="S61">
        <f>HYPERLINK("https://klasma.github.io/Logging_0483/artfynd/A 53871-2022 artfynd.xlsx", "A 53871-2022")</f>
        <v/>
      </c>
      <c r="T61">
        <f>HYPERLINK("https://klasma.github.io/Logging_0483/kartor/A 53871-2022 karta.png", "A 53871-2022")</f>
        <v/>
      </c>
      <c r="V61">
        <f>HYPERLINK("https://klasma.github.io/Logging_0483/klagomål/A 53871-2022 FSC-klagomål.docx", "A 53871-2022")</f>
        <v/>
      </c>
      <c r="W61">
        <f>HYPERLINK("https://klasma.github.io/Logging_0483/klagomålsmail/A 53871-2022 FSC-klagomål mail.docx", "A 53871-2022")</f>
        <v/>
      </c>
      <c r="X61">
        <f>HYPERLINK("https://klasma.github.io/Logging_0483/tillsyn/A 53871-2022 tillsynsbegäran.docx", "A 53871-2022")</f>
        <v/>
      </c>
      <c r="Y61">
        <f>HYPERLINK("https://klasma.github.io/Logging_0483/tillsynsmail/A 53871-2022 tillsynsbegäran mail.docx", "A 53871-2022")</f>
        <v/>
      </c>
      <c r="Z61">
        <f>HYPERLINK("https://klasma.github.io/Logging_0483/fåglar/A 53871-2022 prioriterade fågelarter.docx", "A 53871-2022")</f>
        <v/>
      </c>
    </row>
    <row r="62" ht="15" customHeight="1">
      <c r="A62" t="inlineStr">
        <is>
          <t>A 56074-2022</t>
        </is>
      </c>
      <c r="B62" s="1" t="n">
        <v>44889</v>
      </c>
      <c r="C62" s="1" t="n">
        <v>45586</v>
      </c>
      <c r="D62" t="inlineStr">
        <is>
          <t>SÖDERMANLANDS LÄN</t>
        </is>
      </c>
      <c r="E62" t="inlineStr">
        <is>
          <t>KATRINEHOLM</t>
        </is>
      </c>
      <c r="G62" t="n">
        <v>13.6</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12238-2023</t>
        </is>
      </c>
      <c r="B63" s="1" t="n">
        <v>44995</v>
      </c>
      <c r="C63" s="1" t="n">
        <v>45586</v>
      </c>
      <c r="D63" t="inlineStr">
        <is>
          <t>SÖDERMANLANDS LÄN</t>
        </is>
      </c>
      <c r="E63" t="inlineStr">
        <is>
          <t>KATRINEHOLM</t>
        </is>
      </c>
      <c r="F63" t="inlineStr">
        <is>
          <t>Övriga Aktiebolag</t>
        </is>
      </c>
      <c r="G63" t="n">
        <v>58</v>
      </c>
      <c r="H63" t="n">
        <v>0</v>
      </c>
      <c r="I63" t="n">
        <v>0</v>
      </c>
      <c r="J63" t="n">
        <v>1</v>
      </c>
      <c r="K63" t="n">
        <v>0</v>
      </c>
      <c r="L63" t="n">
        <v>0</v>
      </c>
      <c r="M63" t="n">
        <v>0</v>
      </c>
      <c r="N63" t="n">
        <v>0</v>
      </c>
      <c r="O63" t="n">
        <v>1</v>
      </c>
      <c r="P63" t="n">
        <v>0</v>
      </c>
      <c r="Q63" t="n">
        <v>1</v>
      </c>
      <c r="R63" s="2" t="inlineStr">
        <is>
          <t>Skogsklocka</t>
        </is>
      </c>
      <c r="S63">
        <f>HYPERLINK("https://klasma.github.io/Logging_0483/artfynd/A 12238-2023 artfynd.xlsx", "A 12238-2023")</f>
        <v/>
      </c>
      <c r="T63">
        <f>HYPERLINK("https://klasma.github.io/Logging_0483/kartor/A 12238-2023 karta.png", "A 12238-2023")</f>
        <v/>
      </c>
      <c r="V63">
        <f>HYPERLINK("https://klasma.github.io/Logging_0483/klagomål/A 12238-2023 FSC-klagomål.docx", "A 12238-2023")</f>
        <v/>
      </c>
      <c r="W63">
        <f>HYPERLINK("https://klasma.github.io/Logging_0483/klagomålsmail/A 12238-2023 FSC-klagomål mail.docx", "A 12238-2023")</f>
        <v/>
      </c>
      <c r="X63">
        <f>HYPERLINK("https://klasma.github.io/Logging_0483/tillsyn/A 12238-2023 tillsynsbegäran.docx", "A 12238-2023")</f>
        <v/>
      </c>
      <c r="Y63">
        <f>HYPERLINK("https://klasma.github.io/Logging_0483/tillsynsmail/A 12238-2023 tillsynsbegäran mail.docx", "A 12238-2023")</f>
        <v/>
      </c>
    </row>
    <row r="64" ht="15" customHeight="1">
      <c r="A64" t="inlineStr">
        <is>
          <t>A 11890-2023</t>
        </is>
      </c>
      <c r="B64" s="1" t="n">
        <v>44995</v>
      </c>
      <c r="C64" s="1" t="n">
        <v>45586</v>
      </c>
      <c r="D64" t="inlineStr">
        <is>
          <t>SÖDERMANLANDS LÄN</t>
        </is>
      </c>
      <c r="E64" t="inlineStr">
        <is>
          <t>KATRINEHOLM</t>
        </is>
      </c>
      <c r="F64" t="inlineStr">
        <is>
          <t>Kommuner</t>
        </is>
      </c>
      <c r="G64" t="n">
        <v>6.7</v>
      </c>
      <c r="H64" t="n">
        <v>1</v>
      </c>
      <c r="I64" t="n">
        <v>1</v>
      </c>
      <c r="J64" t="n">
        <v>0</v>
      </c>
      <c r="K64" t="n">
        <v>0</v>
      </c>
      <c r="L64" t="n">
        <v>0</v>
      </c>
      <c r="M64" t="n">
        <v>0</v>
      </c>
      <c r="N64" t="n">
        <v>0</v>
      </c>
      <c r="O64" t="n">
        <v>0</v>
      </c>
      <c r="P64" t="n">
        <v>0</v>
      </c>
      <c r="Q64" t="n">
        <v>1</v>
      </c>
      <c r="R64" s="2" t="inlineStr">
        <is>
          <t>Skogsknipprot</t>
        </is>
      </c>
      <c r="S64">
        <f>HYPERLINK("https://klasma.github.io/Logging_0483/artfynd/A 11890-2023 artfynd.xlsx", "A 11890-2023")</f>
        <v/>
      </c>
      <c r="T64">
        <f>HYPERLINK("https://klasma.github.io/Logging_0483/kartor/A 11890-2023 karta.png", "A 11890-2023")</f>
        <v/>
      </c>
      <c r="V64">
        <f>HYPERLINK("https://klasma.github.io/Logging_0483/klagomål/A 11890-2023 FSC-klagomål.docx", "A 11890-2023")</f>
        <v/>
      </c>
      <c r="W64">
        <f>HYPERLINK("https://klasma.github.io/Logging_0483/klagomålsmail/A 11890-2023 FSC-klagomål mail.docx", "A 11890-2023")</f>
        <v/>
      </c>
      <c r="X64">
        <f>HYPERLINK("https://klasma.github.io/Logging_0483/tillsyn/A 11890-2023 tillsynsbegäran.docx", "A 11890-2023")</f>
        <v/>
      </c>
      <c r="Y64">
        <f>HYPERLINK("https://klasma.github.io/Logging_0483/tillsynsmail/A 11890-2023 tillsynsbegäran mail.docx", "A 11890-2023")</f>
        <v/>
      </c>
    </row>
    <row r="65" ht="15" customHeight="1">
      <c r="A65" t="inlineStr">
        <is>
          <t>A 14013-2023</t>
        </is>
      </c>
      <c r="B65" s="1" t="n">
        <v>45007</v>
      </c>
      <c r="C65" s="1" t="n">
        <v>45586</v>
      </c>
      <c r="D65" t="inlineStr">
        <is>
          <t>SÖDERMANLANDS LÄN</t>
        </is>
      </c>
      <c r="E65" t="inlineStr">
        <is>
          <t>KATRINEHOLM</t>
        </is>
      </c>
      <c r="G65" t="n">
        <v>10.8</v>
      </c>
      <c r="H65" t="n">
        <v>1</v>
      </c>
      <c r="I65" t="n">
        <v>0</v>
      </c>
      <c r="J65" t="n">
        <v>1</v>
      </c>
      <c r="K65" t="n">
        <v>0</v>
      </c>
      <c r="L65" t="n">
        <v>0</v>
      </c>
      <c r="M65" t="n">
        <v>0</v>
      </c>
      <c r="N65" t="n">
        <v>0</v>
      </c>
      <c r="O65" t="n">
        <v>1</v>
      </c>
      <c r="P65" t="n">
        <v>0</v>
      </c>
      <c r="Q65" t="n">
        <v>1</v>
      </c>
      <c r="R65" s="2" t="inlineStr">
        <is>
          <t>Grönsångare</t>
        </is>
      </c>
      <c r="S65">
        <f>HYPERLINK("https://klasma.github.io/Logging_0483/artfynd/A 14013-2023 artfynd.xlsx", "A 14013-2023")</f>
        <v/>
      </c>
      <c r="T65">
        <f>HYPERLINK("https://klasma.github.io/Logging_0483/kartor/A 14013-2023 karta.png", "A 14013-2023")</f>
        <v/>
      </c>
      <c r="V65">
        <f>HYPERLINK("https://klasma.github.io/Logging_0483/klagomål/A 14013-2023 FSC-klagomål.docx", "A 14013-2023")</f>
        <v/>
      </c>
      <c r="W65">
        <f>HYPERLINK("https://klasma.github.io/Logging_0483/klagomålsmail/A 14013-2023 FSC-klagomål mail.docx", "A 14013-2023")</f>
        <v/>
      </c>
      <c r="X65">
        <f>HYPERLINK("https://klasma.github.io/Logging_0483/tillsyn/A 14013-2023 tillsynsbegäran.docx", "A 14013-2023")</f>
        <v/>
      </c>
      <c r="Y65">
        <f>HYPERLINK("https://klasma.github.io/Logging_0483/tillsynsmail/A 14013-2023 tillsynsbegäran mail.docx", "A 14013-2023")</f>
        <v/>
      </c>
      <c r="Z65">
        <f>HYPERLINK("https://klasma.github.io/Logging_0483/fåglar/A 14013-2023 prioriterade fågelarter.docx", "A 14013-2023")</f>
        <v/>
      </c>
    </row>
    <row r="66" ht="15" customHeight="1">
      <c r="A66" t="inlineStr">
        <is>
          <t>A 23568-2023</t>
        </is>
      </c>
      <c r="B66" s="1" t="n">
        <v>45077</v>
      </c>
      <c r="C66" s="1" t="n">
        <v>45586</v>
      </c>
      <c r="D66" t="inlineStr">
        <is>
          <t>SÖDERMANLANDS LÄN</t>
        </is>
      </c>
      <c r="E66" t="inlineStr">
        <is>
          <t>KATRINEHOLM</t>
        </is>
      </c>
      <c r="F66" t="inlineStr">
        <is>
          <t>Kommuner</t>
        </is>
      </c>
      <c r="G66" t="n">
        <v>1.4</v>
      </c>
      <c r="H66" t="n">
        <v>0</v>
      </c>
      <c r="I66" t="n">
        <v>0</v>
      </c>
      <c r="J66" t="n">
        <v>1</v>
      </c>
      <c r="K66" t="n">
        <v>0</v>
      </c>
      <c r="L66" t="n">
        <v>0</v>
      </c>
      <c r="M66" t="n">
        <v>0</v>
      </c>
      <c r="N66" t="n">
        <v>0</v>
      </c>
      <c r="O66" t="n">
        <v>1</v>
      </c>
      <c r="P66" t="n">
        <v>0</v>
      </c>
      <c r="Q66" t="n">
        <v>1</v>
      </c>
      <c r="R66" s="2" t="inlineStr">
        <is>
          <t>Fyrflikig jordstjärna</t>
        </is>
      </c>
      <c r="S66">
        <f>HYPERLINK("https://klasma.github.io/Logging_0483/artfynd/A 23568-2023 artfynd.xlsx", "A 23568-2023")</f>
        <v/>
      </c>
      <c r="T66">
        <f>HYPERLINK("https://klasma.github.io/Logging_0483/kartor/A 23568-2023 karta.png", "A 23568-2023")</f>
        <v/>
      </c>
      <c r="V66">
        <f>HYPERLINK("https://klasma.github.io/Logging_0483/klagomål/A 23568-2023 FSC-klagomål.docx", "A 23568-2023")</f>
        <v/>
      </c>
      <c r="W66">
        <f>HYPERLINK("https://klasma.github.io/Logging_0483/klagomålsmail/A 23568-2023 FSC-klagomål mail.docx", "A 23568-2023")</f>
        <v/>
      </c>
      <c r="X66">
        <f>HYPERLINK("https://klasma.github.io/Logging_0483/tillsyn/A 23568-2023 tillsynsbegäran.docx", "A 23568-2023")</f>
        <v/>
      </c>
      <c r="Y66">
        <f>HYPERLINK("https://klasma.github.io/Logging_0483/tillsynsmail/A 23568-2023 tillsynsbegäran mail.docx", "A 23568-2023")</f>
        <v/>
      </c>
    </row>
    <row r="67" ht="15" customHeight="1">
      <c r="A67" t="inlineStr">
        <is>
          <t>A 26950-2023</t>
        </is>
      </c>
      <c r="B67" s="1" t="n">
        <v>45091</v>
      </c>
      <c r="C67" s="1" t="n">
        <v>45586</v>
      </c>
      <c r="D67" t="inlineStr">
        <is>
          <t>SÖDERMANLANDS LÄN</t>
        </is>
      </c>
      <c r="E67" t="inlineStr">
        <is>
          <t>KATRINEHOLM</t>
        </is>
      </c>
      <c r="G67" t="n">
        <v>13.5</v>
      </c>
      <c r="H67" t="n">
        <v>1</v>
      </c>
      <c r="I67" t="n">
        <v>0</v>
      </c>
      <c r="J67" t="n">
        <v>1</v>
      </c>
      <c r="K67" t="n">
        <v>0</v>
      </c>
      <c r="L67" t="n">
        <v>0</v>
      </c>
      <c r="M67" t="n">
        <v>0</v>
      </c>
      <c r="N67" t="n">
        <v>0</v>
      </c>
      <c r="O67" t="n">
        <v>1</v>
      </c>
      <c r="P67" t="n">
        <v>0</v>
      </c>
      <c r="Q67" t="n">
        <v>1</v>
      </c>
      <c r="R67" s="2" t="inlineStr">
        <is>
          <t>Havsörn</t>
        </is>
      </c>
      <c r="S67">
        <f>HYPERLINK("https://klasma.github.io/Logging_0483/artfynd/A 26950-2023 artfynd.xlsx", "A 26950-2023")</f>
        <v/>
      </c>
      <c r="T67">
        <f>HYPERLINK("https://klasma.github.io/Logging_0483/kartor/A 26950-2023 karta.png", "A 26950-2023")</f>
        <v/>
      </c>
      <c r="V67">
        <f>HYPERLINK("https://klasma.github.io/Logging_0483/klagomål/A 26950-2023 FSC-klagomål.docx", "A 26950-2023")</f>
        <v/>
      </c>
      <c r="W67">
        <f>HYPERLINK("https://klasma.github.io/Logging_0483/klagomålsmail/A 26950-2023 FSC-klagomål mail.docx", "A 26950-2023")</f>
        <v/>
      </c>
      <c r="X67">
        <f>HYPERLINK("https://klasma.github.io/Logging_0483/tillsyn/A 26950-2023 tillsynsbegäran.docx", "A 26950-2023")</f>
        <v/>
      </c>
      <c r="Y67">
        <f>HYPERLINK("https://klasma.github.io/Logging_0483/tillsynsmail/A 26950-2023 tillsynsbegäran mail.docx", "A 26950-2023")</f>
        <v/>
      </c>
      <c r="Z67">
        <f>HYPERLINK("https://klasma.github.io/Logging_0483/fåglar/A 26950-2023 prioriterade fågelarter.docx", "A 26950-2023")</f>
        <v/>
      </c>
    </row>
    <row r="68" ht="15" customHeight="1">
      <c r="A68" t="inlineStr">
        <is>
          <t>A 30229-2023</t>
        </is>
      </c>
      <c r="B68" s="1" t="n">
        <v>45099</v>
      </c>
      <c r="C68" s="1" t="n">
        <v>45586</v>
      </c>
      <c r="D68" t="inlineStr">
        <is>
          <t>SÖDERMANLANDS LÄN</t>
        </is>
      </c>
      <c r="E68" t="inlineStr">
        <is>
          <t>KATRINEHOLM</t>
        </is>
      </c>
      <c r="G68" t="n">
        <v>11.8</v>
      </c>
      <c r="H68" t="n">
        <v>0</v>
      </c>
      <c r="I68" t="n">
        <v>0</v>
      </c>
      <c r="J68" t="n">
        <v>1</v>
      </c>
      <c r="K68" t="n">
        <v>0</v>
      </c>
      <c r="L68" t="n">
        <v>0</v>
      </c>
      <c r="M68" t="n">
        <v>0</v>
      </c>
      <c r="N68" t="n">
        <v>0</v>
      </c>
      <c r="O68" t="n">
        <v>1</v>
      </c>
      <c r="P68" t="n">
        <v>0</v>
      </c>
      <c r="Q68" t="n">
        <v>1</v>
      </c>
      <c r="R68" s="2" t="inlineStr">
        <is>
          <t>Silversmygare</t>
        </is>
      </c>
      <c r="S68">
        <f>HYPERLINK("https://klasma.github.io/Logging_0483/artfynd/A 30229-2023 artfynd.xlsx", "A 30229-2023")</f>
        <v/>
      </c>
      <c r="T68">
        <f>HYPERLINK("https://klasma.github.io/Logging_0483/kartor/A 30229-2023 karta.png", "A 30229-2023")</f>
        <v/>
      </c>
      <c r="V68">
        <f>HYPERLINK("https://klasma.github.io/Logging_0483/klagomål/A 30229-2023 FSC-klagomål.docx", "A 30229-2023")</f>
        <v/>
      </c>
      <c r="W68">
        <f>HYPERLINK("https://klasma.github.io/Logging_0483/klagomålsmail/A 30229-2023 FSC-klagomål mail.docx", "A 30229-2023")</f>
        <v/>
      </c>
      <c r="X68">
        <f>HYPERLINK("https://klasma.github.io/Logging_0483/tillsyn/A 30229-2023 tillsynsbegäran.docx", "A 30229-2023")</f>
        <v/>
      </c>
      <c r="Y68">
        <f>HYPERLINK("https://klasma.github.io/Logging_0483/tillsynsmail/A 30229-2023 tillsynsbegäran mail.docx", "A 30229-2023")</f>
        <v/>
      </c>
    </row>
    <row r="69" ht="15" customHeight="1">
      <c r="A69" t="inlineStr">
        <is>
          <t>A 30045-2023</t>
        </is>
      </c>
      <c r="B69" s="1" t="n">
        <v>45110</v>
      </c>
      <c r="C69" s="1" t="n">
        <v>45586</v>
      </c>
      <c r="D69" t="inlineStr">
        <is>
          <t>SÖDERMANLANDS LÄN</t>
        </is>
      </c>
      <c r="E69" t="inlineStr">
        <is>
          <t>KATRINEHOLM</t>
        </is>
      </c>
      <c r="F69" t="inlineStr">
        <is>
          <t>Holmen skog AB</t>
        </is>
      </c>
      <c r="G69" t="n">
        <v>1.5</v>
      </c>
      <c r="H69" t="n">
        <v>0</v>
      </c>
      <c r="I69" t="n">
        <v>0</v>
      </c>
      <c r="J69" t="n">
        <v>1</v>
      </c>
      <c r="K69" t="n">
        <v>0</v>
      </c>
      <c r="L69" t="n">
        <v>0</v>
      </c>
      <c r="M69" t="n">
        <v>0</v>
      </c>
      <c r="N69" t="n">
        <v>0</v>
      </c>
      <c r="O69" t="n">
        <v>1</v>
      </c>
      <c r="P69" t="n">
        <v>0</v>
      </c>
      <c r="Q69" t="n">
        <v>1</v>
      </c>
      <c r="R69" s="2" t="inlineStr">
        <is>
          <t>Tallticka</t>
        </is>
      </c>
      <c r="S69">
        <f>HYPERLINK("https://klasma.github.io/Logging_0483/artfynd/A 30045-2023 artfynd.xlsx", "A 30045-2023")</f>
        <v/>
      </c>
      <c r="T69">
        <f>HYPERLINK("https://klasma.github.io/Logging_0483/kartor/A 30045-2023 karta.png", "A 30045-2023")</f>
        <v/>
      </c>
      <c r="V69">
        <f>HYPERLINK("https://klasma.github.io/Logging_0483/klagomål/A 30045-2023 FSC-klagomål.docx", "A 30045-2023")</f>
        <v/>
      </c>
      <c r="W69">
        <f>HYPERLINK("https://klasma.github.io/Logging_0483/klagomålsmail/A 30045-2023 FSC-klagomål mail.docx", "A 30045-2023")</f>
        <v/>
      </c>
      <c r="X69">
        <f>HYPERLINK("https://klasma.github.io/Logging_0483/tillsyn/A 30045-2023 tillsynsbegäran.docx", "A 30045-2023")</f>
        <v/>
      </c>
      <c r="Y69">
        <f>HYPERLINK("https://klasma.github.io/Logging_0483/tillsynsmail/A 30045-2023 tillsynsbegäran mail.docx", "A 30045-2023")</f>
        <v/>
      </c>
    </row>
    <row r="70" ht="15" customHeight="1">
      <c r="A70" t="inlineStr">
        <is>
          <t>A 30124-2023</t>
        </is>
      </c>
      <c r="B70" s="1" t="n">
        <v>45110</v>
      </c>
      <c r="C70" s="1" t="n">
        <v>45586</v>
      </c>
      <c r="D70" t="inlineStr">
        <is>
          <t>SÖDERMANLANDS LÄN</t>
        </is>
      </c>
      <c r="E70" t="inlineStr">
        <is>
          <t>KATRINEHOLM</t>
        </is>
      </c>
      <c r="G70" t="n">
        <v>1.8</v>
      </c>
      <c r="H70" t="n">
        <v>1</v>
      </c>
      <c r="I70" t="n">
        <v>0</v>
      </c>
      <c r="J70" t="n">
        <v>0</v>
      </c>
      <c r="K70" t="n">
        <v>1</v>
      </c>
      <c r="L70" t="n">
        <v>0</v>
      </c>
      <c r="M70" t="n">
        <v>0</v>
      </c>
      <c r="N70" t="n">
        <v>0</v>
      </c>
      <c r="O70" t="n">
        <v>1</v>
      </c>
      <c r="P70" t="n">
        <v>1</v>
      </c>
      <c r="Q70" t="n">
        <v>1</v>
      </c>
      <c r="R70" s="2" t="inlineStr">
        <is>
          <t>Bombmurkla</t>
        </is>
      </c>
      <c r="S70">
        <f>HYPERLINK("https://klasma.github.io/Logging_0483/artfynd/A 30124-2023 artfynd.xlsx", "A 30124-2023")</f>
        <v/>
      </c>
      <c r="T70">
        <f>HYPERLINK("https://klasma.github.io/Logging_0483/kartor/A 30124-2023 karta.png", "A 30124-2023")</f>
        <v/>
      </c>
      <c r="V70">
        <f>HYPERLINK("https://klasma.github.io/Logging_0483/klagomål/A 30124-2023 FSC-klagomål.docx", "A 30124-2023")</f>
        <v/>
      </c>
      <c r="W70">
        <f>HYPERLINK("https://klasma.github.io/Logging_0483/klagomålsmail/A 30124-2023 FSC-klagomål mail.docx", "A 30124-2023")</f>
        <v/>
      </c>
      <c r="X70">
        <f>HYPERLINK("https://klasma.github.io/Logging_0483/tillsyn/A 30124-2023 tillsynsbegäran.docx", "A 30124-2023")</f>
        <v/>
      </c>
      <c r="Y70">
        <f>HYPERLINK("https://klasma.github.io/Logging_0483/tillsynsmail/A 30124-2023 tillsynsbegäran mail.docx", "A 30124-2023")</f>
        <v/>
      </c>
    </row>
    <row r="71" ht="15" customHeight="1">
      <c r="A71" t="inlineStr">
        <is>
          <t>A 33801-2023</t>
        </is>
      </c>
      <c r="B71" s="1" t="n">
        <v>45133</v>
      </c>
      <c r="C71" s="1" t="n">
        <v>45586</v>
      </c>
      <c r="D71" t="inlineStr">
        <is>
          <t>SÖDERMANLANDS LÄN</t>
        </is>
      </c>
      <c r="E71" t="inlineStr">
        <is>
          <t>KATRINEHOLM</t>
        </is>
      </c>
      <c r="G71" t="n">
        <v>2.1</v>
      </c>
      <c r="H71" t="n">
        <v>1</v>
      </c>
      <c r="I71" t="n">
        <v>0</v>
      </c>
      <c r="J71" t="n">
        <v>0</v>
      </c>
      <c r="K71" t="n">
        <v>0</v>
      </c>
      <c r="L71" t="n">
        <v>0</v>
      </c>
      <c r="M71" t="n">
        <v>0</v>
      </c>
      <c r="N71" t="n">
        <v>0</v>
      </c>
      <c r="O71" t="n">
        <v>0</v>
      </c>
      <c r="P71" t="n">
        <v>0</v>
      </c>
      <c r="Q71" t="n">
        <v>1</v>
      </c>
      <c r="R71" s="2" t="inlineStr">
        <is>
          <t>Blåsippa</t>
        </is>
      </c>
      <c r="S71">
        <f>HYPERLINK("https://klasma.github.io/Logging_0483/artfynd/A 33801-2023 artfynd.xlsx", "A 33801-2023")</f>
        <v/>
      </c>
      <c r="T71">
        <f>HYPERLINK("https://klasma.github.io/Logging_0483/kartor/A 33801-2023 karta.png", "A 33801-2023")</f>
        <v/>
      </c>
      <c r="V71">
        <f>HYPERLINK("https://klasma.github.io/Logging_0483/klagomål/A 33801-2023 FSC-klagomål.docx", "A 33801-2023")</f>
        <v/>
      </c>
      <c r="W71">
        <f>HYPERLINK("https://klasma.github.io/Logging_0483/klagomålsmail/A 33801-2023 FSC-klagomål mail.docx", "A 33801-2023")</f>
        <v/>
      </c>
      <c r="X71">
        <f>HYPERLINK("https://klasma.github.io/Logging_0483/tillsyn/A 33801-2023 tillsynsbegäran.docx", "A 33801-2023")</f>
        <v/>
      </c>
      <c r="Y71">
        <f>HYPERLINK("https://klasma.github.io/Logging_0483/tillsynsmail/A 33801-2023 tillsynsbegäran mail.docx", "A 33801-2023")</f>
        <v/>
      </c>
    </row>
    <row r="72" ht="15" customHeight="1">
      <c r="A72" t="inlineStr">
        <is>
          <t>A 42936-2023</t>
        </is>
      </c>
      <c r="B72" s="1" t="n">
        <v>45182</v>
      </c>
      <c r="C72" s="1" t="n">
        <v>45586</v>
      </c>
      <c r="D72" t="inlineStr">
        <is>
          <t>SÖDERMANLANDS LÄN</t>
        </is>
      </c>
      <c r="E72" t="inlineStr">
        <is>
          <t>KATRINEHOLM</t>
        </is>
      </c>
      <c r="F72" t="inlineStr">
        <is>
          <t>Övriga Aktiebolag</t>
        </is>
      </c>
      <c r="G72" t="n">
        <v>36.8</v>
      </c>
      <c r="H72" t="n">
        <v>0</v>
      </c>
      <c r="I72" t="n">
        <v>1</v>
      </c>
      <c r="J72" t="n">
        <v>0</v>
      </c>
      <c r="K72" t="n">
        <v>0</v>
      </c>
      <c r="L72" t="n">
        <v>0</v>
      </c>
      <c r="M72" t="n">
        <v>0</v>
      </c>
      <c r="N72" t="n">
        <v>0</v>
      </c>
      <c r="O72" t="n">
        <v>0</v>
      </c>
      <c r="P72" t="n">
        <v>0</v>
      </c>
      <c r="Q72" t="n">
        <v>1</v>
      </c>
      <c r="R72" s="2" t="inlineStr">
        <is>
          <t>Blomkålssvamp</t>
        </is>
      </c>
      <c r="S72">
        <f>HYPERLINK("https://klasma.github.io/Logging_0483/artfynd/A 42936-2023 artfynd.xlsx", "A 42936-2023")</f>
        <v/>
      </c>
      <c r="T72">
        <f>HYPERLINK("https://klasma.github.io/Logging_0483/kartor/A 42936-2023 karta.png", "A 42936-2023")</f>
        <v/>
      </c>
      <c r="U72">
        <f>HYPERLINK("https://klasma.github.io/Logging_0483/knärot/A 42936-2023 karta knärot.png", "A 42936-2023")</f>
        <v/>
      </c>
      <c r="V72">
        <f>HYPERLINK("https://klasma.github.io/Logging_0483/klagomål/A 42936-2023 FSC-klagomål.docx", "A 42936-2023")</f>
        <v/>
      </c>
      <c r="W72">
        <f>HYPERLINK("https://klasma.github.io/Logging_0483/klagomålsmail/A 42936-2023 FSC-klagomål mail.docx", "A 42936-2023")</f>
        <v/>
      </c>
      <c r="X72">
        <f>HYPERLINK("https://klasma.github.io/Logging_0483/tillsyn/A 42936-2023 tillsynsbegäran.docx", "A 42936-2023")</f>
        <v/>
      </c>
      <c r="Y72">
        <f>HYPERLINK("https://klasma.github.io/Logging_0483/tillsynsmail/A 42936-2023 tillsynsbegäran mail.docx", "A 42936-2023")</f>
        <v/>
      </c>
    </row>
    <row r="73" ht="15" customHeight="1">
      <c r="A73" t="inlineStr">
        <is>
          <t>A 42942-2023</t>
        </is>
      </c>
      <c r="B73" s="1" t="n">
        <v>45182</v>
      </c>
      <c r="C73" s="1" t="n">
        <v>45586</v>
      </c>
      <c r="D73" t="inlineStr">
        <is>
          <t>SÖDERMANLANDS LÄN</t>
        </is>
      </c>
      <c r="E73" t="inlineStr">
        <is>
          <t>KATRINEHOLM</t>
        </is>
      </c>
      <c r="F73" t="inlineStr">
        <is>
          <t>Övriga Aktiebolag</t>
        </is>
      </c>
      <c r="G73" t="n">
        <v>17.4</v>
      </c>
      <c r="H73" t="n">
        <v>0</v>
      </c>
      <c r="I73" t="n">
        <v>0</v>
      </c>
      <c r="J73" t="n">
        <v>1</v>
      </c>
      <c r="K73" t="n">
        <v>0</v>
      </c>
      <c r="L73" t="n">
        <v>0</v>
      </c>
      <c r="M73" t="n">
        <v>0</v>
      </c>
      <c r="N73" t="n">
        <v>0</v>
      </c>
      <c r="O73" t="n">
        <v>1</v>
      </c>
      <c r="P73" t="n">
        <v>0</v>
      </c>
      <c r="Q73" t="n">
        <v>1</v>
      </c>
      <c r="R73" s="2" t="inlineStr">
        <is>
          <t>Rödlånke</t>
        </is>
      </c>
      <c r="S73">
        <f>HYPERLINK("https://klasma.github.io/Logging_0483/artfynd/A 42942-2023 artfynd.xlsx", "A 42942-2023")</f>
        <v/>
      </c>
      <c r="T73">
        <f>HYPERLINK("https://klasma.github.io/Logging_0483/kartor/A 42942-2023 karta.png", "A 42942-2023")</f>
        <v/>
      </c>
      <c r="V73">
        <f>HYPERLINK("https://klasma.github.io/Logging_0483/klagomål/A 42942-2023 FSC-klagomål.docx", "A 42942-2023")</f>
        <v/>
      </c>
      <c r="W73">
        <f>HYPERLINK("https://klasma.github.io/Logging_0483/klagomålsmail/A 42942-2023 FSC-klagomål mail.docx", "A 42942-2023")</f>
        <v/>
      </c>
      <c r="X73">
        <f>HYPERLINK("https://klasma.github.io/Logging_0483/tillsyn/A 42942-2023 tillsynsbegäran.docx", "A 42942-2023")</f>
        <v/>
      </c>
      <c r="Y73">
        <f>HYPERLINK("https://klasma.github.io/Logging_0483/tillsynsmail/A 42942-2023 tillsynsbegäran mail.docx", "A 42942-2023")</f>
        <v/>
      </c>
    </row>
    <row r="74" ht="15" customHeight="1">
      <c r="A74" t="inlineStr">
        <is>
          <t>A 44632-2023</t>
        </is>
      </c>
      <c r="B74" s="1" t="n">
        <v>45184</v>
      </c>
      <c r="C74" s="1" t="n">
        <v>45586</v>
      </c>
      <c r="D74" t="inlineStr">
        <is>
          <t>SÖDERMANLANDS LÄN</t>
        </is>
      </c>
      <c r="E74" t="inlineStr">
        <is>
          <t>KATRINEHOLM</t>
        </is>
      </c>
      <c r="G74" t="n">
        <v>6.2</v>
      </c>
      <c r="H74" t="n">
        <v>0</v>
      </c>
      <c r="I74" t="n">
        <v>0</v>
      </c>
      <c r="J74" t="n">
        <v>1</v>
      </c>
      <c r="K74" t="n">
        <v>0</v>
      </c>
      <c r="L74" t="n">
        <v>0</v>
      </c>
      <c r="M74" t="n">
        <v>0</v>
      </c>
      <c r="N74" t="n">
        <v>0</v>
      </c>
      <c r="O74" t="n">
        <v>1</v>
      </c>
      <c r="P74" t="n">
        <v>0</v>
      </c>
      <c r="Q74" t="n">
        <v>1</v>
      </c>
      <c r="R74" s="2" t="inlineStr">
        <is>
          <t>Motaggsvamp</t>
        </is>
      </c>
      <c r="S74">
        <f>HYPERLINK("https://klasma.github.io/Logging_0483/artfynd/A 44632-2023 artfynd.xlsx", "A 44632-2023")</f>
        <v/>
      </c>
      <c r="T74">
        <f>HYPERLINK("https://klasma.github.io/Logging_0483/kartor/A 44632-2023 karta.png", "A 44632-2023")</f>
        <v/>
      </c>
      <c r="V74">
        <f>HYPERLINK("https://klasma.github.io/Logging_0483/klagomål/A 44632-2023 FSC-klagomål.docx", "A 44632-2023")</f>
        <v/>
      </c>
      <c r="W74">
        <f>HYPERLINK("https://klasma.github.io/Logging_0483/klagomålsmail/A 44632-2023 FSC-klagomål mail.docx", "A 44632-2023")</f>
        <v/>
      </c>
      <c r="X74">
        <f>HYPERLINK("https://klasma.github.io/Logging_0483/tillsyn/A 44632-2023 tillsynsbegäran.docx", "A 44632-2023")</f>
        <v/>
      </c>
      <c r="Y74">
        <f>HYPERLINK("https://klasma.github.io/Logging_0483/tillsynsmail/A 44632-2023 tillsynsbegäran mail.docx", "A 44632-2023")</f>
        <v/>
      </c>
    </row>
    <row r="75" ht="15" customHeight="1">
      <c r="A75" t="inlineStr">
        <is>
          <t>A 52768-2023</t>
        </is>
      </c>
      <c r="B75" s="1" t="n">
        <v>45226</v>
      </c>
      <c r="C75" s="1" t="n">
        <v>45586</v>
      </c>
      <c r="D75" t="inlineStr">
        <is>
          <t>SÖDERMANLANDS LÄN</t>
        </is>
      </c>
      <c r="E75" t="inlineStr">
        <is>
          <t>KATRINEHOLM</t>
        </is>
      </c>
      <c r="G75" t="n">
        <v>2.1</v>
      </c>
      <c r="H75" t="n">
        <v>0</v>
      </c>
      <c r="I75" t="n">
        <v>0</v>
      </c>
      <c r="J75" t="n">
        <v>1</v>
      </c>
      <c r="K75" t="n">
        <v>0</v>
      </c>
      <c r="L75" t="n">
        <v>0</v>
      </c>
      <c r="M75" t="n">
        <v>0</v>
      </c>
      <c r="N75" t="n">
        <v>0</v>
      </c>
      <c r="O75" t="n">
        <v>1</v>
      </c>
      <c r="P75" t="n">
        <v>0</v>
      </c>
      <c r="Q75" t="n">
        <v>1</v>
      </c>
      <c r="R75" s="2" t="inlineStr">
        <is>
          <t>Tallticka</t>
        </is>
      </c>
      <c r="S75">
        <f>HYPERLINK("https://klasma.github.io/Logging_0483/artfynd/A 52768-2023 artfynd.xlsx", "A 52768-2023")</f>
        <v/>
      </c>
      <c r="T75">
        <f>HYPERLINK("https://klasma.github.io/Logging_0483/kartor/A 52768-2023 karta.png", "A 52768-2023")</f>
        <v/>
      </c>
      <c r="V75">
        <f>HYPERLINK("https://klasma.github.io/Logging_0483/klagomål/A 52768-2023 FSC-klagomål.docx", "A 52768-2023")</f>
        <v/>
      </c>
      <c r="W75">
        <f>HYPERLINK("https://klasma.github.io/Logging_0483/klagomålsmail/A 52768-2023 FSC-klagomål mail.docx", "A 52768-2023")</f>
        <v/>
      </c>
      <c r="X75">
        <f>HYPERLINK("https://klasma.github.io/Logging_0483/tillsyn/A 52768-2023 tillsynsbegäran.docx", "A 52768-2023")</f>
        <v/>
      </c>
      <c r="Y75">
        <f>HYPERLINK("https://klasma.github.io/Logging_0483/tillsynsmail/A 52768-2023 tillsynsbegäran mail.docx", "A 52768-2023")</f>
        <v/>
      </c>
    </row>
    <row r="76" ht="15" customHeight="1">
      <c r="A76" t="inlineStr">
        <is>
          <t>A 53154-2023</t>
        </is>
      </c>
      <c r="B76" s="1" t="n">
        <v>45229</v>
      </c>
      <c r="C76" s="1" t="n">
        <v>45586</v>
      </c>
      <c r="D76" t="inlineStr">
        <is>
          <t>SÖDERMANLANDS LÄN</t>
        </is>
      </c>
      <c r="E76" t="inlineStr">
        <is>
          <t>KATRINEHOLM</t>
        </is>
      </c>
      <c r="G76" t="n">
        <v>2.1</v>
      </c>
      <c r="H76" t="n">
        <v>1</v>
      </c>
      <c r="I76" t="n">
        <v>0</v>
      </c>
      <c r="J76" t="n">
        <v>0</v>
      </c>
      <c r="K76" t="n">
        <v>0</v>
      </c>
      <c r="L76" t="n">
        <v>0</v>
      </c>
      <c r="M76" t="n">
        <v>0</v>
      </c>
      <c r="N76" t="n">
        <v>0</v>
      </c>
      <c r="O76" t="n">
        <v>0</v>
      </c>
      <c r="P76" t="n">
        <v>0</v>
      </c>
      <c r="Q76" t="n">
        <v>1</v>
      </c>
      <c r="R76" s="2" t="inlineStr">
        <is>
          <t>Skogsduva</t>
        </is>
      </c>
      <c r="S76">
        <f>HYPERLINK("https://klasma.github.io/Logging_0483/artfynd/A 53154-2023 artfynd.xlsx", "A 53154-2023")</f>
        <v/>
      </c>
      <c r="T76">
        <f>HYPERLINK("https://klasma.github.io/Logging_0483/kartor/A 53154-2023 karta.png", "A 53154-2023")</f>
        <v/>
      </c>
      <c r="V76">
        <f>HYPERLINK("https://klasma.github.io/Logging_0483/klagomål/A 53154-2023 FSC-klagomål.docx", "A 53154-2023")</f>
        <v/>
      </c>
      <c r="W76">
        <f>HYPERLINK("https://klasma.github.io/Logging_0483/klagomålsmail/A 53154-2023 FSC-klagomål mail.docx", "A 53154-2023")</f>
        <v/>
      </c>
      <c r="X76">
        <f>HYPERLINK("https://klasma.github.io/Logging_0483/tillsyn/A 53154-2023 tillsynsbegäran.docx", "A 53154-2023")</f>
        <v/>
      </c>
      <c r="Y76">
        <f>HYPERLINK("https://klasma.github.io/Logging_0483/tillsynsmail/A 53154-2023 tillsynsbegäran mail.docx", "A 53154-2023")</f>
        <v/>
      </c>
      <c r="Z76">
        <f>HYPERLINK("https://klasma.github.io/Logging_0483/fåglar/A 53154-2023 prioriterade fågelarter.docx", "A 53154-2023")</f>
        <v/>
      </c>
    </row>
    <row r="77" ht="15" customHeight="1">
      <c r="A77" t="inlineStr">
        <is>
          <t>A 21312-2024</t>
        </is>
      </c>
      <c r="B77" s="1" t="n">
        <v>45440</v>
      </c>
      <c r="C77" s="1" t="n">
        <v>45586</v>
      </c>
      <c r="D77" t="inlineStr">
        <is>
          <t>SÖDERMANLANDS LÄN</t>
        </is>
      </c>
      <c r="E77" t="inlineStr">
        <is>
          <t>KATRINEHOLM</t>
        </is>
      </c>
      <c r="G77" t="n">
        <v>2</v>
      </c>
      <c r="H77" t="n">
        <v>1</v>
      </c>
      <c r="I77" t="n">
        <v>0</v>
      </c>
      <c r="J77" t="n">
        <v>0</v>
      </c>
      <c r="K77" t="n">
        <v>0</v>
      </c>
      <c r="L77" t="n">
        <v>0</v>
      </c>
      <c r="M77" t="n">
        <v>0</v>
      </c>
      <c r="N77" t="n">
        <v>0</v>
      </c>
      <c r="O77" t="n">
        <v>0</v>
      </c>
      <c r="P77" t="n">
        <v>0</v>
      </c>
      <c r="Q77" t="n">
        <v>1</v>
      </c>
      <c r="R77" s="2" t="inlineStr">
        <is>
          <t>Blåsippa</t>
        </is>
      </c>
      <c r="S77">
        <f>HYPERLINK("https://klasma.github.io/Logging_0483/artfynd/A 21312-2024 artfynd.xlsx", "A 21312-2024")</f>
        <v/>
      </c>
      <c r="T77">
        <f>HYPERLINK("https://klasma.github.io/Logging_0483/kartor/A 21312-2024 karta.png", "A 21312-2024")</f>
        <v/>
      </c>
      <c r="V77">
        <f>HYPERLINK("https://klasma.github.io/Logging_0483/klagomål/A 21312-2024 FSC-klagomål.docx", "A 21312-2024")</f>
        <v/>
      </c>
      <c r="W77">
        <f>HYPERLINK("https://klasma.github.io/Logging_0483/klagomålsmail/A 21312-2024 FSC-klagomål mail.docx", "A 21312-2024")</f>
        <v/>
      </c>
      <c r="X77">
        <f>HYPERLINK("https://klasma.github.io/Logging_0483/tillsyn/A 21312-2024 tillsynsbegäran.docx", "A 21312-2024")</f>
        <v/>
      </c>
      <c r="Y77">
        <f>HYPERLINK("https://klasma.github.io/Logging_0483/tillsynsmail/A 21312-2024 tillsynsbegäran mail.docx", "A 21312-2024")</f>
        <v/>
      </c>
    </row>
    <row r="78" ht="15" customHeight="1">
      <c r="A78" t="inlineStr">
        <is>
          <t>A 43919-2024</t>
        </is>
      </c>
      <c r="B78" s="1" t="n">
        <v>45570</v>
      </c>
      <c r="C78" s="1" t="n">
        <v>45586</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45586</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45586</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45586</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45586</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45586</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45586</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45586</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45586</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45586</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45586</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45586</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45586</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45586</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45586</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45586</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45586</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45586</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45586</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45586</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45586</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45586</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45586</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45586</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45586</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45586</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45586</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45586</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45586</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45586</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45586</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45586</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45586</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45586</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45586</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45586</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45586</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45586</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45586</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45586</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45586</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45586</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45586</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45586</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45586</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45586</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45586</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45586</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45586</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45586</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45586</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45586</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45586</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45586</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45586</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45586</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45586</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45586</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45586</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45586</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45586</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45586</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45586</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45586</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45586</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45586</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45586</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45586</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45586</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45586</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45586</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45586</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45586</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45586</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45586</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45586</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45586</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45586</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45586</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45586</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45586</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45586</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45586</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45586</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45586</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45586</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45586</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45586</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45586</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45586</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45586</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45586</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45586</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45586</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45586</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45586</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45586</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45586</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45586</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45586</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45586</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45586</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45586</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45586</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45586</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45586</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45586</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45586</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45586</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45586</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45586</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45586</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45586</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45586</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45586</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45586</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45586</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45586</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45586</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45586</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45586</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45586</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45586</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45586</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45586</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45586</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45586</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45586</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45586</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45586</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45586</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45586</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45586</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45586</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45586</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45586</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45586</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45586</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45586</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45586</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45586</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45586</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45586</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45586</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45586</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45586</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45586</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45586</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45586</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45586</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45586</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45586</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45586</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45586</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45586</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45586</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45586</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45586</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45586</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45586</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45586</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45586</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45586</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45586</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45586</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45586</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45586</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45586</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45586</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45586</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45586</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45586</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45586</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45586</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45586</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45586</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45586</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45586</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45586</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45586</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45586</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45586</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45586</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45586</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45586</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45586</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45586</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45586</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45586</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45586</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45586</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45586</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45586</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45586</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45586</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45586</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45586</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45586</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45586</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45586</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45586</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45586</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45586</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45586</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45586</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45586</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45586</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45586</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45586</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45586</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45586</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45586</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45586</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45586</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45586</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45586</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45586</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45586</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45586</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45586</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45586</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45586</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45586</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45586</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45586</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45586</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45586</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45586</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45586</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45586</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45586</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45586</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45586</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45586</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45586</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45586</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45586</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45586</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45586</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45586</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45586</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45586</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45586</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45586</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45586</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45586</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45586</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45586</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45586</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45586</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45586</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45586</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45586</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45586</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45586</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45586</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45586</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45586</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45586</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45586</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45586</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45586</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45586</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45586</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45586</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45586</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45586</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45586</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45586</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45586</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45586</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45586</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45586</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45586</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45586</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45586</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45586</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45586</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45586</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45586</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45586</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45586</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45586</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45586</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45586</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45586</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45586</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45586</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45586</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45586</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45586</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45586</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45586</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45586</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45586</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45586</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45586</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45586</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45586</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45586</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45586</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45586</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45586</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45586</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45586</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45586</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45586</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45586</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45586</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45586</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45586</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45586</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45586</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45586</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45586</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45586</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45586</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45586</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45586</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45586</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45586</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45586</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45586</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45586</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45586</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45586</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45586</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45586</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45586</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45586</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45586</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45586</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45586</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45586</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45586</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45586</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45586</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45586</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45586</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45586</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45586</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45586</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45586</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45586</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45586</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45586</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45586</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45586</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45586</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45586</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45586</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45586</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45586</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45586</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45586</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45586</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45586</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45586</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45586</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45586</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45586</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45586</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45586</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45586</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45586</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45586</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45586</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45586</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45586</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45586</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45586</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45586</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45586</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45586</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45586</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45586</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45586</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45586</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45586</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45586</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45586</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45586</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45586</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45586</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45586</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45586</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45586</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45586</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45586</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45586</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45586</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45586</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45586</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45586</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45586</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45586</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45586</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45586</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45586</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45586</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45586</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45586</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45586</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45586</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45586</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45586</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45586</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45586</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45586</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45586</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45586</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45586</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45586</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45586</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45586</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45586</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45586</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45586</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45586</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45586</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45586</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45586</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45586</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45586</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45586</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45586</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45586</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45586</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45586</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45586</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45586</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45586</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45586</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45586</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45586</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45586</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45586</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45586</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45586</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45586</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45586</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45586</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45586</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45586</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45586</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45586</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45586</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45586</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45586</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45586</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45586</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45586</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45586</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45586</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45586</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45586</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45586</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45586</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45586</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45586</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45586</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45586</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45586</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45586</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45586</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45586</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45586</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45586</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45586</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45586</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45586</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45586</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45586</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45586</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45586</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45586</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45586</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45586</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45586</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45586</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45586</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45586</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45586</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45586</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45586</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45586</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45586</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45586</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45586</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45586</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45586</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45586</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45586</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45586</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45586</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45586</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45586</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45586</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45586</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45586</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45586</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45586</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45586</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45586</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45586</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45586</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45586</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45586</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45586</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45586</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45586</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45586</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45586</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45586</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45586</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45586</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45586</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45586</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45586</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45586</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45586</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45586</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45586</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45586</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45586</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45586</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45586</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45586</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45586</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45586</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45586</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45586</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45586</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45586</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45586</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45586</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45586</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45586</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45586</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45586</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45586</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45586</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45586</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45586</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45586</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45586</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45586</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45586</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45586</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45586</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45586</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45586</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45586</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45586</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45586</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45586</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45586</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45586</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45586</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45586</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45586</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45586</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45586</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45586</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45586</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45586</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45586</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45586</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45586</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45586</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45586</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45586</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45586</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45586</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45586</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45586</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45586</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45586</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45586</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45586</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45586</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45586</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45586</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45586</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45586</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45586</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45586</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45586</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45586</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45586</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45586</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45586</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45586</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45586</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45586</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45586</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45586</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45586</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45586</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45586</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45586</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45586</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45586</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45586</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45586</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45586</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45586</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45586</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45586</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45586</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45586</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45586</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45586</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45586</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45586</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45586</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45586</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45586</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45586</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45586</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45586</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45586</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45586</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45586</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45586</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45586</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45586</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45586</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45586</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45586</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45586</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45586</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45586</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45586</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45586</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45586</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45586</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45586</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45586</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45586</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45586</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45586</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45586</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45586</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45586</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45586</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45586</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45586</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45586</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45586</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45586</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45586</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45586</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45586</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45586</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45586</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45586</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45586</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45586</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45586</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45586</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45586</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45586</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45586</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45586</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45586</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45586</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45586</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45586</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45586</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45586</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45586</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45586</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45586</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45586</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45586</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45586</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45586</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45586</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45586</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45586</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45586</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45586</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45586</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45586</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45586</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45586</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45586</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45586</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45586</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45586</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45586</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45586</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45586</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45586</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45586</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45586</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45586</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45586</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45586</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45586</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45586</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45586</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45586</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45586</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45586</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45586</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45586</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45586</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45586</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45586</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45586</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45586</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45586</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45586</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45586</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45586</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45586</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45586</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45586</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45586</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45586</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45586</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45586</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45586</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45586</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45586</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45586</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45586</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45586</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45586</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45586</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45586</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45586</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45586</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45586</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45586</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45586</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45586</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45586</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45586</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45586</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45586</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45586</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45586</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45586</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45586</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45586</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45586</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45586</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45586</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45586</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45586</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45586</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45586</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45586</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45586</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45586</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45586</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45586</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45586</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45586</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45586</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45586</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45586</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45586</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45586</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45586</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45586</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45586</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45586</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45586</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45586</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45586</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45586</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45586</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45586</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45586</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45586</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45586</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45586</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45586</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45586</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45586</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45586</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45586</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45586</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45586</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45586</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45586</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45586</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45586</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45586</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45586</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45586</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45586</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45586</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45586</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45586</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45586</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45586</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45586</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45586</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45586</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45586</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45586</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45586</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45586</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45586</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45586</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45586</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45586</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45586</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45586</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45586</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45586</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45586</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45586</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45586</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45586</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45586</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45586</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45586</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45586</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45586</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45586</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45586</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45586</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45586</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45586</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45586</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45586</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45586</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45586</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45586</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45586</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45586</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45586</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45586</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45586</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45586</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45586</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45586</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45586</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45586</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45586</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45586</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45586</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45586</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45586</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45586</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45586</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45586</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45586</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45586</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45586</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45586</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45586</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45586</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45586</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45586</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45586</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45586</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45586</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45586</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45586</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45586</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45586</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45586</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45586</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45586</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45586</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45586</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45586</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45586</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45586</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45586</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45586</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45586</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45586</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45586</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45586</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45586</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45586</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45586</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45586</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45586</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45586</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45586</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45586</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45586</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45586</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45586</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45586</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45586</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45586</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45586</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45586</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45586</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45586</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45586</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45586</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45586</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45586</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45586</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45586</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45586</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45586</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45586</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45586</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45586</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45586</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45586</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45586</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45586</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45586</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45586</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45586</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45586</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45586</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45586</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45586</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45586</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45586</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45586</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45586</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45586</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45586</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45586</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45586</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45586</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45586</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45586</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45586</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45586</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45586</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45586</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45586</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45586</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45586</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45586</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45586</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45586</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45586</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45586</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45586</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45586</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45586</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45586</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45586</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45586</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45586</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45586</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45586</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45586</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45586</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45586</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45586</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45586</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45586</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45586</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45586</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45586</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45586</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45586</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45586</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45586</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45586</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45586</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45586</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45586</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45586</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45586</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45586</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45586</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45586</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45586</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45586</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45586</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45586</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45586</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45586</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45586</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45586</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45586</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45586</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45586</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45586</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45586</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45586</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45586</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45586</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45586</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45586</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45586</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45586</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45586</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45586</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45586</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45586</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45586</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45586</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45586</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45586</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45586</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45586</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45586</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45586</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45586</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45586</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45586</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45586</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45586</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45586</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45586</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45586</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45586</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45586</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45586</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45586</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45586</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45586</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45586</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45586</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45586</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45586</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45586</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45586</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45586</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45586</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45586</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45586</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45586</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45586</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45586</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45586</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45586</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45586</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45586</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45586</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45586</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45586</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45586</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45586</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45586</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45586</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45586</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45586</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45586</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45586</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45586</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45586</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45586</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45586</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45586</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45586</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45586</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45586</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45586</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45586</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45586</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45586</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45586</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45586</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45586</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45586</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45586</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45586</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45586</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45586</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45586</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45586</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45586</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45586</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45586</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45586</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45586</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45586</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45586</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45586</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45586</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45586</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45586</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45586</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45586</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45586</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45586</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45586</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45586</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45586</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45586</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45586</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45586</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45586</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45586</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45586</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45586</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45586</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45586</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45586</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45586</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45586</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45586</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45586</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45586</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45586</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45586</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45586</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45586</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45586</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45586</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45586</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45586</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45586</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45586</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45586</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45586</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45586</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45586</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45586</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45586</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45586</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45586</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45586</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45586</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45586</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45586</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45586</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45586</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45586</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45586</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45586</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45586</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45586</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45586</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45586</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45586</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45586</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45586</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45586</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45586</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45586</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45586</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45586</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45586</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45586</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45586</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45586</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45586</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45586</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45586</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45586</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45586</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45586</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45586</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45586</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45586</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45586</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45586</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45586</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45586</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45586</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45586</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45586</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45586</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45586</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45586</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45586</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45586</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45586</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45586</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45586</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45586</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45586</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45586</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45586</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45586</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45586</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45586</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45586</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45586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45586</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45586</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45586</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45586</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45586</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45586</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45586</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45586</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45586</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45586</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45586</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45586</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45586</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45586</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45586</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45586</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45586</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45586</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45586</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45586</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45586</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45586</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45586</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45586</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45586</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45586</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45586</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45586</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45586</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45586</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45586</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45586</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45586</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45586</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45586</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45586</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45586</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45586</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45586</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45586</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45586</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45586</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45586</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45586</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45586</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45586</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45586</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45586</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45586</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45586</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45586</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45586</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45586</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45586</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45586</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45586</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45586</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45586</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45586</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45586</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45586</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45586</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45586</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45586</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45586</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45586</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45586</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45586</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45586</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45586</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45586</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45586</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45586</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45586</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45586</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45586</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39828-2024</t>
        </is>
      </c>
      <c r="B1335" s="1" t="n">
        <v>45553</v>
      </c>
      <c r="C1335" s="1" t="n">
        <v>45586</v>
      </c>
      <c r="D1335" t="inlineStr">
        <is>
          <t>SÖDERMANLANDS LÄN</t>
        </is>
      </c>
      <c r="E1335" t="inlineStr">
        <is>
          <t>KATRINEHOLM</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39834-2024</t>
        </is>
      </c>
      <c r="B1336" s="1" t="n">
        <v>45553</v>
      </c>
      <c r="C1336" s="1" t="n">
        <v>45586</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45586</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45586</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45586</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45586</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42519-2024</t>
        </is>
      </c>
      <c r="B1341" s="1" t="n">
        <v>45565</v>
      </c>
      <c r="C1341" s="1" t="n">
        <v>45586</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42538-2024</t>
        </is>
      </c>
      <c r="B1342" s="1" t="n">
        <v>45565</v>
      </c>
      <c r="C1342" s="1" t="n">
        <v>45586</v>
      </c>
      <c r="D1342" t="inlineStr">
        <is>
          <t>SÖDERMANLANDS LÄN</t>
        </is>
      </c>
      <c r="E1342" t="inlineStr">
        <is>
          <t>KATRINEHOLM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45586</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45586</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45586</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45586</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2024-10-21T12:55:00Z</dcterms:created>
  <dcterms:modified xmlns:dcterms="http://purl.org/dc/terms/" xmlns:xsi="http://www.w3.org/2001/XMLSchema-instance" xsi:type="dcterms:W3CDTF">2024-10-21T12:55:02Z</dcterms:modified>
</cp:coreProperties>
</file>