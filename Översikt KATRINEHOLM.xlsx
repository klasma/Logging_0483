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46046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46046</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46046</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46046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46046</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46046</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58684-2025</t>
        </is>
      </c>
      <c r="B19" s="1" t="n">
        <v>45986.56953703704</v>
      </c>
      <c r="C19" s="1" t="n">
        <v>46046</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46046</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46046</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46046</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46046</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46046</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56897-2021</t>
        </is>
      </c>
      <c r="B25" s="1" t="n">
        <v>44481</v>
      </c>
      <c r="C25" s="1" t="n">
        <v>46046</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46046</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30229-2023</t>
        </is>
      </c>
      <c r="B27" s="1" t="n">
        <v>45099</v>
      </c>
      <c r="C27" s="1" t="n">
        <v>46046</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46046</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46046</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46046</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46046</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46046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46046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44632-2023</t>
        </is>
      </c>
      <c r="B34" s="1" t="n">
        <v>45184</v>
      </c>
      <c r="C34" s="1" t="n">
        <v>46046</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46046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44262-2022</t>
        </is>
      </c>
      <c r="B36" s="1" t="n">
        <v>44839</v>
      </c>
      <c r="C36" s="1" t="n">
        <v>46046</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33801-2023</t>
        </is>
      </c>
      <c r="B37" s="1" t="n">
        <v>45133</v>
      </c>
      <c r="C37" s="1" t="n">
        <v>46046</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Blåsippa</t>
        </is>
      </c>
      <c r="S37">
        <f>HYPERLINK("https://klasma.github.io/Logging_0483/artfynd/A 33801-2023 artfynd.xlsx", "A 33801-2023")</f>
        <v/>
      </c>
      <c r="T37">
        <f>HYPERLINK("https://klasma.github.io/Logging_0483/kartor/A 33801-2023 karta.png", "A 33801-2023")</f>
        <v/>
      </c>
      <c r="V37">
        <f>HYPERLINK("https://klasma.github.io/Logging_0483/klagomål/A 33801-2023 FSC-klagomål.docx", "A 33801-2023")</f>
        <v/>
      </c>
      <c r="W37">
        <f>HYPERLINK("https://klasma.github.io/Logging_0483/klagomålsmail/A 33801-2023 FSC-klagomål mail.docx", "A 33801-2023")</f>
        <v/>
      </c>
      <c r="X37">
        <f>HYPERLINK("https://klasma.github.io/Logging_0483/tillsyn/A 33801-2023 tillsynsbegäran.docx", "A 33801-2023")</f>
        <v/>
      </c>
      <c r="Y37">
        <f>HYPERLINK("https://klasma.github.io/Logging_0483/tillsynsmail/A 33801-2023 tillsynsbegäran mail.docx", "A 33801-2023")</f>
        <v/>
      </c>
    </row>
    <row r="38" ht="15" customHeight="1">
      <c r="A38" t="inlineStr">
        <is>
          <t>A 22474-2025</t>
        </is>
      </c>
      <c r="B38" s="1" t="n">
        <v>45786.62152777778</v>
      </c>
      <c r="C38" s="1" t="n">
        <v>46046</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28985-2022</t>
        </is>
      </c>
      <c r="B39" s="1" t="n">
        <v>44749</v>
      </c>
      <c r="C39" s="1" t="n">
        <v>46046</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46046</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44413-2024</t>
        </is>
      </c>
      <c r="B41" s="1" t="n">
        <v>45573.77701388889</v>
      </c>
      <c r="C41" s="1" t="n">
        <v>46046</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36220-2022</t>
        </is>
      </c>
      <c r="B42" s="1" t="n">
        <v>44803</v>
      </c>
      <c r="C42" s="1" t="n">
        <v>46046</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27926-2025</t>
        </is>
      </c>
      <c r="B43" s="1" t="n">
        <v>45814</v>
      </c>
      <c r="C43" s="1" t="n">
        <v>46046</v>
      </c>
      <c r="D43" t="inlineStr">
        <is>
          <t>SÖDERMANLANDS LÄN</t>
        </is>
      </c>
      <c r="E43" t="inlineStr">
        <is>
          <t>KATRINEHOLM</t>
        </is>
      </c>
      <c r="F43" t="inlineStr">
        <is>
          <t>Allmännings- och besparingsskogar</t>
        </is>
      </c>
      <c r="G43" t="n">
        <v>10.7</v>
      </c>
      <c r="H43" t="n">
        <v>1</v>
      </c>
      <c r="I43" t="n">
        <v>0</v>
      </c>
      <c r="J43" t="n">
        <v>0</v>
      </c>
      <c r="K43" t="n">
        <v>0</v>
      </c>
      <c r="L43" t="n">
        <v>0</v>
      </c>
      <c r="M43" t="n">
        <v>0</v>
      </c>
      <c r="N43" t="n">
        <v>0</v>
      </c>
      <c r="O43" t="n">
        <v>0</v>
      </c>
      <c r="P43" t="n">
        <v>0</v>
      </c>
      <c r="Q43" t="n">
        <v>1</v>
      </c>
      <c r="R43" s="2" t="inlineStr">
        <is>
          <t>Revlummer</t>
        </is>
      </c>
      <c r="S43">
        <f>HYPERLINK("https://klasma.github.io/Logging_0483/artfynd/A 27926-2025 artfynd.xlsx", "A 27926-2025")</f>
        <v/>
      </c>
      <c r="T43">
        <f>HYPERLINK("https://klasma.github.io/Logging_0483/kartor/A 27926-2025 karta.png", "A 27926-2025")</f>
        <v/>
      </c>
      <c r="V43">
        <f>HYPERLINK("https://klasma.github.io/Logging_0483/klagomål/A 27926-2025 FSC-klagomål.docx", "A 27926-2025")</f>
        <v/>
      </c>
      <c r="W43">
        <f>HYPERLINK("https://klasma.github.io/Logging_0483/klagomålsmail/A 27926-2025 FSC-klagomål mail.docx", "A 27926-2025")</f>
        <v/>
      </c>
      <c r="X43">
        <f>HYPERLINK("https://klasma.github.io/Logging_0483/tillsyn/A 27926-2025 tillsynsbegäran.docx", "A 27926-2025")</f>
        <v/>
      </c>
      <c r="Y43">
        <f>HYPERLINK("https://klasma.github.io/Logging_0483/tillsynsmail/A 27926-2025 tillsynsbegäran mail.docx", "A 27926-2025")</f>
        <v/>
      </c>
    </row>
    <row r="44" ht="15" customHeight="1">
      <c r="A44" t="inlineStr">
        <is>
          <t>A 57519-2021</t>
        </is>
      </c>
      <c r="B44" s="1" t="n">
        <v>44483</v>
      </c>
      <c r="C44" s="1" t="n">
        <v>46046</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7305-2024</t>
        </is>
      </c>
      <c r="B45" s="1" t="n">
        <v>45344</v>
      </c>
      <c r="C45" s="1" t="n">
        <v>46046</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53154-2023</t>
        </is>
      </c>
      <c r="B46" s="1" t="n">
        <v>45229</v>
      </c>
      <c r="C46" s="1" t="n">
        <v>46046</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12238-2023</t>
        </is>
      </c>
      <c r="B47" s="1" t="n">
        <v>44995</v>
      </c>
      <c r="C47" s="1" t="n">
        <v>46046</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46046</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44486-2023</t>
        </is>
      </c>
      <c r="B49" s="1" t="n">
        <v>45183</v>
      </c>
      <c r="C49" s="1" t="n">
        <v>46046</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46046</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35163-2025</t>
        </is>
      </c>
      <c r="B51" s="1" t="n">
        <v>45852.71136574074</v>
      </c>
      <c r="C51" s="1" t="n">
        <v>46046</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6076-2022</t>
        </is>
      </c>
      <c r="B52" s="1" t="n">
        <v>44599</v>
      </c>
      <c r="C52" s="1" t="n">
        <v>46046</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11890-2023</t>
        </is>
      </c>
      <c r="B53" s="1" t="n">
        <v>44995</v>
      </c>
      <c r="C53" s="1" t="n">
        <v>46046</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11890-2023</t>
        </is>
      </c>
      <c r="B54" s="1" t="n">
        <v>44995</v>
      </c>
      <c r="C54" s="1" t="n">
        <v>46046</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56074-2022</t>
        </is>
      </c>
      <c r="B55" s="1" t="n">
        <v>44889</v>
      </c>
      <c r="C55" s="1" t="n">
        <v>46046</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42055-2025</t>
        </is>
      </c>
      <c r="B56" s="1" t="n">
        <v>45903</v>
      </c>
      <c r="C56" s="1" t="n">
        <v>46046</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45530-2023</t>
        </is>
      </c>
      <c r="B57" s="1" t="n">
        <v>45188</v>
      </c>
      <c r="C57" s="1" t="n">
        <v>46046</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41980-2025</t>
        </is>
      </c>
      <c r="B58" s="1" t="n">
        <v>45903</v>
      </c>
      <c r="C58" s="1" t="n">
        <v>46046</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23568-2023</t>
        </is>
      </c>
      <c r="B59" s="1" t="n">
        <v>45077</v>
      </c>
      <c r="C59" s="1" t="n">
        <v>46046</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48199-2025</t>
        </is>
      </c>
      <c r="B60" s="1" t="n">
        <v>45933.47856481482</v>
      </c>
      <c r="C60" s="1" t="n">
        <v>46046</v>
      </c>
      <c r="D60" t="inlineStr">
        <is>
          <t>SÖDERMANLANDS LÄN</t>
        </is>
      </c>
      <c r="E60" t="inlineStr">
        <is>
          <t>KATRINEHOLM</t>
        </is>
      </c>
      <c r="G60" t="n">
        <v>4.4</v>
      </c>
      <c r="H60" t="n">
        <v>1</v>
      </c>
      <c r="I60" t="n">
        <v>0</v>
      </c>
      <c r="J60" t="n">
        <v>0</v>
      </c>
      <c r="K60" t="n">
        <v>0</v>
      </c>
      <c r="L60" t="n">
        <v>0</v>
      </c>
      <c r="M60" t="n">
        <v>0</v>
      </c>
      <c r="N60" t="n">
        <v>0</v>
      </c>
      <c r="O60" t="n">
        <v>0</v>
      </c>
      <c r="P60" t="n">
        <v>0</v>
      </c>
      <c r="Q60" t="n">
        <v>1</v>
      </c>
      <c r="R60" s="2" t="inlineStr">
        <is>
          <t>Gröngöling</t>
        </is>
      </c>
      <c r="S60">
        <f>HYPERLINK("https://klasma.github.io/Logging_0483/artfynd/A 48199-2025 artfynd.xlsx", "A 48199-2025")</f>
        <v/>
      </c>
      <c r="T60">
        <f>HYPERLINK("https://klasma.github.io/Logging_0483/kartor/A 48199-2025 karta.png", "A 48199-2025")</f>
        <v/>
      </c>
      <c r="V60">
        <f>HYPERLINK("https://klasma.github.io/Logging_0483/klagomål/A 48199-2025 FSC-klagomål.docx", "A 48199-2025")</f>
        <v/>
      </c>
      <c r="W60">
        <f>HYPERLINK("https://klasma.github.io/Logging_0483/klagomålsmail/A 48199-2025 FSC-klagomål mail.docx", "A 48199-2025")</f>
        <v/>
      </c>
      <c r="X60">
        <f>HYPERLINK("https://klasma.github.io/Logging_0483/tillsyn/A 48199-2025 tillsynsbegäran.docx", "A 48199-2025")</f>
        <v/>
      </c>
      <c r="Y60">
        <f>HYPERLINK("https://klasma.github.io/Logging_0483/tillsynsmail/A 48199-2025 tillsynsbegäran mail.docx", "A 48199-2025")</f>
        <v/>
      </c>
      <c r="Z60">
        <f>HYPERLINK("https://klasma.github.io/Logging_0483/fåglar/A 48199-2025 prioriterade fågelarter.docx", "A 48199-2025")</f>
        <v/>
      </c>
    </row>
    <row r="61" ht="15" customHeight="1">
      <c r="A61" t="inlineStr">
        <is>
          <t>A 55700-2025</t>
        </is>
      </c>
      <c r="B61" s="1" t="n">
        <v>45972.45605324074</v>
      </c>
      <c r="C61" s="1" t="n">
        <v>46046</v>
      </c>
      <c r="D61" t="inlineStr">
        <is>
          <t>SÖDERMANLANDS LÄN</t>
        </is>
      </c>
      <c r="E61" t="inlineStr">
        <is>
          <t>KATRINEHOLM</t>
        </is>
      </c>
      <c r="F61" t="inlineStr">
        <is>
          <t>Kyrkan</t>
        </is>
      </c>
      <c r="G61" t="n">
        <v>6</v>
      </c>
      <c r="H61" t="n">
        <v>0</v>
      </c>
      <c r="I61" t="n">
        <v>0</v>
      </c>
      <c r="J61" t="n">
        <v>0</v>
      </c>
      <c r="K61" t="n">
        <v>1</v>
      </c>
      <c r="L61" t="n">
        <v>0</v>
      </c>
      <c r="M61" t="n">
        <v>0</v>
      </c>
      <c r="N61" t="n">
        <v>0</v>
      </c>
      <c r="O61" t="n">
        <v>1</v>
      </c>
      <c r="P61" t="n">
        <v>1</v>
      </c>
      <c r="Q61" t="n">
        <v>1</v>
      </c>
      <c r="R61" s="2" t="inlineStr">
        <is>
          <t>Ljungsnärja</t>
        </is>
      </c>
      <c r="S61">
        <f>HYPERLINK("https://klasma.github.io/Logging_0483/artfynd/A 55700-2025 artfynd.xlsx", "A 55700-2025")</f>
        <v/>
      </c>
      <c r="T61">
        <f>HYPERLINK("https://klasma.github.io/Logging_0483/kartor/A 55700-2025 karta.png", "A 55700-2025")</f>
        <v/>
      </c>
      <c r="V61">
        <f>HYPERLINK("https://klasma.github.io/Logging_0483/klagomål/A 55700-2025 FSC-klagomål.docx", "A 55700-2025")</f>
        <v/>
      </c>
      <c r="W61">
        <f>HYPERLINK("https://klasma.github.io/Logging_0483/klagomålsmail/A 55700-2025 FSC-klagomål mail.docx", "A 55700-2025")</f>
        <v/>
      </c>
      <c r="X61">
        <f>HYPERLINK("https://klasma.github.io/Logging_0483/tillsyn/A 55700-2025 tillsynsbegäran.docx", "A 55700-2025")</f>
        <v/>
      </c>
      <c r="Y61">
        <f>HYPERLINK("https://klasma.github.io/Logging_0483/tillsynsmail/A 55700-2025 tillsynsbegäran mail.docx", "A 55700-2025")</f>
        <v/>
      </c>
    </row>
    <row r="62" ht="15" customHeight="1">
      <c r="A62" t="inlineStr">
        <is>
          <t>A 63946-2025</t>
        </is>
      </c>
      <c r="B62" s="1" t="n">
        <v>46010</v>
      </c>
      <c r="C62" s="1" t="n">
        <v>46046</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1260-2026</t>
        </is>
      </c>
      <c r="B63" s="1" t="n">
        <v>46031.45652777778</v>
      </c>
      <c r="C63" s="1" t="n">
        <v>46046</v>
      </c>
      <c r="D63" t="inlineStr">
        <is>
          <t>SÖDERMANLANDS LÄN</t>
        </is>
      </c>
      <c r="E63" t="inlineStr">
        <is>
          <t>KATRINEHOLM</t>
        </is>
      </c>
      <c r="G63" t="n">
        <v>9.1</v>
      </c>
      <c r="H63" t="n">
        <v>1</v>
      </c>
      <c r="I63" t="n">
        <v>0</v>
      </c>
      <c r="J63" t="n">
        <v>1</v>
      </c>
      <c r="K63" t="n">
        <v>0</v>
      </c>
      <c r="L63" t="n">
        <v>0</v>
      </c>
      <c r="M63" t="n">
        <v>0</v>
      </c>
      <c r="N63" t="n">
        <v>0</v>
      </c>
      <c r="O63" t="n">
        <v>1</v>
      </c>
      <c r="P63" t="n">
        <v>0</v>
      </c>
      <c r="Q63" t="n">
        <v>1</v>
      </c>
      <c r="R63" s="2" t="inlineStr">
        <is>
          <t>Spillkråka</t>
        </is>
      </c>
      <c r="S63">
        <f>HYPERLINK("https://klasma.github.io/Logging_0483/artfynd/A 1260-2026 artfynd.xlsx", "A 1260-2026")</f>
        <v/>
      </c>
      <c r="T63">
        <f>HYPERLINK("https://klasma.github.io/Logging_0483/kartor/A 1260-2026 karta.png", "A 1260-2026")</f>
        <v/>
      </c>
      <c r="V63">
        <f>HYPERLINK("https://klasma.github.io/Logging_0483/klagomål/A 1260-2026 FSC-klagomål.docx", "A 1260-2026")</f>
        <v/>
      </c>
      <c r="W63">
        <f>HYPERLINK("https://klasma.github.io/Logging_0483/klagomålsmail/A 1260-2026 FSC-klagomål mail.docx", "A 1260-2026")</f>
        <v/>
      </c>
      <c r="X63">
        <f>HYPERLINK("https://klasma.github.io/Logging_0483/tillsyn/A 1260-2026 tillsynsbegäran.docx", "A 1260-2026")</f>
        <v/>
      </c>
      <c r="Y63">
        <f>HYPERLINK("https://klasma.github.io/Logging_0483/tillsynsmail/A 1260-2026 tillsynsbegäran mail.docx", "A 1260-2026")</f>
        <v/>
      </c>
      <c r="Z63">
        <f>HYPERLINK("https://klasma.github.io/Logging_0483/fåglar/A 1260-2026 prioriterade fågelarter.docx", "A 1260-2026")</f>
        <v/>
      </c>
    </row>
    <row r="64" ht="15" customHeight="1">
      <c r="A64" t="inlineStr">
        <is>
          <t>A 62957-2025</t>
        </is>
      </c>
      <c r="B64" s="1" t="n">
        <v>46009</v>
      </c>
      <c r="C64" s="1" t="n">
        <v>46046</v>
      </c>
      <c r="D64" t="inlineStr">
        <is>
          <t>SÖDERMANLANDS LÄN</t>
        </is>
      </c>
      <c r="E64" t="inlineStr">
        <is>
          <t>KATRINEHOLM</t>
        </is>
      </c>
      <c r="F64" t="inlineStr">
        <is>
          <t>Allmännings- och besparingsskogar</t>
        </is>
      </c>
      <c r="G64" t="n">
        <v>1.7</v>
      </c>
      <c r="H64" t="n">
        <v>1</v>
      </c>
      <c r="I64" t="n">
        <v>0</v>
      </c>
      <c r="J64" t="n">
        <v>1</v>
      </c>
      <c r="K64" t="n">
        <v>0</v>
      </c>
      <c r="L64" t="n">
        <v>0</v>
      </c>
      <c r="M64" t="n">
        <v>0</v>
      </c>
      <c r="N64" t="n">
        <v>0</v>
      </c>
      <c r="O64" t="n">
        <v>1</v>
      </c>
      <c r="P64" t="n">
        <v>0</v>
      </c>
      <c r="Q64" t="n">
        <v>1</v>
      </c>
      <c r="R64" s="2" t="inlineStr">
        <is>
          <t>Utter</t>
        </is>
      </c>
      <c r="S64">
        <f>HYPERLINK("https://klasma.github.io/Logging_0483/artfynd/A 62957-2025 artfynd.xlsx", "A 62957-2025")</f>
        <v/>
      </c>
      <c r="T64">
        <f>HYPERLINK("https://klasma.github.io/Logging_0483/kartor/A 62957-2025 karta.png", "A 62957-2025")</f>
        <v/>
      </c>
      <c r="V64">
        <f>HYPERLINK("https://klasma.github.io/Logging_0483/klagomål/A 62957-2025 FSC-klagomål.docx", "A 62957-2025")</f>
        <v/>
      </c>
      <c r="W64">
        <f>HYPERLINK("https://klasma.github.io/Logging_0483/klagomålsmail/A 62957-2025 FSC-klagomål mail.docx", "A 62957-2025")</f>
        <v/>
      </c>
      <c r="X64">
        <f>HYPERLINK("https://klasma.github.io/Logging_0483/tillsyn/A 62957-2025 tillsynsbegäran.docx", "A 62957-2025")</f>
        <v/>
      </c>
      <c r="Y64">
        <f>HYPERLINK("https://klasma.github.io/Logging_0483/tillsynsmail/A 62957-2025 tillsynsbegäran mail.docx", "A 62957-2025")</f>
        <v/>
      </c>
    </row>
    <row r="65" ht="15" customHeight="1">
      <c r="A65" t="inlineStr">
        <is>
          <t>A 36856-2021</t>
        </is>
      </c>
      <c r="B65" s="1" t="n">
        <v>44393</v>
      </c>
      <c r="C65" s="1" t="n">
        <v>46046</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46046</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17668-2021</t>
        </is>
      </c>
      <c r="B67" s="1" t="n">
        <v>44299</v>
      </c>
      <c r="C67" s="1" t="n">
        <v>46046</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46046</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46046</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46046</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48166-2022</t>
        </is>
      </c>
      <c r="B71" s="1" t="n">
        <v>44853</v>
      </c>
      <c r="C71" s="1" t="n">
        <v>46046</v>
      </c>
      <c r="D71" t="inlineStr">
        <is>
          <t>SÖDERMANLANDS LÄN</t>
        </is>
      </c>
      <c r="E71" t="inlineStr">
        <is>
          <t>KATRINEHOLM</t>
        </is>
      </c>
      <c r="F71" t="inlineStr">
        <is>
          <t>Övriga statliga verk och myndigheter</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46046</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73929-2021</t>
        </is>
      </c>
      <c r="B73" s="1" t="n">
        <v>44553</v>
      </c>
      <c r="C73" s="1" t="n">
        <v>46046</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46046</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46046</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22087-2021</t>
        </is>
      </c>
      <c r="B76" s="1" t="n">
        <v>44323</v>
      </c>
      <c r="C76" s="1" t="n">
        <v>46046</v>
      </c>
      <c r="D76" t="inlineStr">
        <is>
          <t>SÖDERMANLANDS LÄN</t>
        </is>
      </c>
      <c r="E76" t="inlineStr">
        <is>
          <t>KATRINEHOLM</t>
        </is>
      </c>
      <c r="G76" t="n">
        <v>0.8</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46046</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4533-2021</t>
        </is>
      </c>
      <c r="B78" s="1" t="n">
        <v>44223</v>
      </c>
      <c r="C78" s="1" t="n">
        <v>46046</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11893-2021</t>
        </is>
      </c>
      <c r="B79" s="1" t="n">
        <v>44265</v>
      </c>
      <c r="C79" s="1" t="n">
        <v>46046</v>
      </c>
      <c r="D79" t="inlineStr">
        <is>
          <t>SÖDERMANLANDS LÄN</t>
        </is>
      </c>
      <c r="E79" t="inlineStr">
        <is>
          <t>KATRINEHOLM</t>
        </is>
      </c>
      <c r="G79" t="n">
        <v>7.1</v>
      </c>
      <c r="H79" t="n">
        <v>0</v>
      </c>
      <c r="I79" t="n">
        <v>0</v>
      </c>
      <c r="J79" t="n">
        <v>0</v>
      </c>
      <c r="K79" t="n">
        <v>0</v>
      </c>
      <c r="L79" t="n">
        <v>0</v>
      </c>
      <c r="M79" t="n">
        <v>0</v>
      </c>
      <c r="N79" t="n">
        <v>0</v>
      </c>
      <c r="O79" t="n">
        <v>0</v>
      </c>
      <c r="P79" t="n">
        <v>0</v>
      </c>
      <c r="Q79" t="n">
        <v>0</v>
      </c>
      <c r="R79" s="2" t="inlineStr"/>
    </row>
    <row r="80" ht="15" customHeight="1">
      <c r="A80" t="inlineStr">
        <is>
          <t>A 41141-2021</t>
        </is>
      </c>
      <c r="B80" s="1" t="n">
        <v>44423</v>
      </c>
      <c r="C80" s="1" t="n">
        <v>46046</v>
      </c>
      <c r="D80" t="inlineStr">
        <is>
          <t>SÖDERMANLANDS LÄN</t>
        </is>
      </c>
      <c r="E80" t="inlineStr">
        <is>
          <t>KATRINEHOLM</t>
        </is>
      </c>
      <c r="G80" t="n">
        <v>1.8</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46046</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65188-2021</t>
        </is>
      </c>
      <c r="B82" s="1" t="n">
        <v>44512</v>
      </c>
      <c r="C82" s="1" t="n">
        <v>46046</v>
      </c>
      <c r="D82" t="inlineStr">
        <is>
          <t>SÖDERMANLANDS LÄN</t>
        </is>
      </c>
      <c r="E82" t="inlineStr">
        <is>
          <t>KATRINEHOLM</t>
        </is>
      </c>
      <c r="G82" t="n">
        <v>0.6</v>
      </c>
      <c r="H82" t="n">
        <v>0</v>
      </c>
      <c r="I82" t="n">
        <v>0</v>
      </c>
      <c r="J82" t="n">
        <v>0</v>
      </c>
      <c r="K82" t="n">
        <v>0</v>
      </c>
      <c r="L82" t="n">
        <v>0</v>
      </c>
      <c r="M82" t="n">
        <v>0</v>
      </c>
      <c r="N82" t="n">
        <v>0</v>
      </c>
      <c r="O82" t="n">
        <v>0</v>
      </c>
      <c r="P82" t="n">
        <v>0</v>
      </c>
      <c r="Q82" t="n">
        <v>0</v>
      </c>
      <c r="R82" s="2" t="inlineStr"/>
    </row>
    <row r="83" ht="15" customHeight="1">
      <c r="A83" t="inlineStr">
        <is>
          <t>A 12063-2021</t>
        </is>
      </c>
      <c r="B83" s="1" t="n">
        <v>44266</v>
      </c>
      <c r="C83" s="1" t="n">
        <v>46046</v>
      </c>
      <c r="D83" t="inlineStr">
        <is>
          <t>SÖDERMANLANDS LÄN</t>
        </is>
      </c>
      <c r="E83" t="inlineStr">
        <is>
          <t>KATRINEHOLM</t>
        </is>
      </c>
      <c r="G83" t="n">
        <v>1.7</v>
      </c>
      <c r="H83" t="n">
        <v>0</v>
      </c>
      <c r="I83" t="n">
        <v>0</v>
      </c>
      <c r="J83" t="n">
        <v>0</v>
      </c>
      <c r="K83" t="n">
        <v>0</v>
      </c>
      <c r="L83" t="n">
        <v>0</v>
      </c>
      <c r="M83" t="n">
        <v>0</v>
      </c>
      <c r="N83" t="n">
        <v>0</v>
      </c>
      <c r="O83" t="n">
        <v>0</v>
      </c>
      <c r="P83" t="n">
        <v>0</v>
      </c>
      <c r="Q83" t="n">
        <v>0</v>
      </c>
      <c r="R83" s="2" t="inlineStr"/>
    </row>
    <row r="84" ht="15" customHeight="1">
      <c r="A84" t="inlineStr">
        <is>
          <t>A 12070-2021</t>
        </is>
      </c>
      <c r="B84" s="1" t="n">
        <v>44266</v>
      </c>
      <c r="C84" s="1" t="n">
        <v>46046</v>
      </c>
      <c r="D84" t="inlineStr">
        <is>
          <t>SÖDERMANLANDS LÄN</t>
        </is>
      </c>
      <c r="E84" t="inlineStr">
        <is>
          <t>KATRINEHOLM</t>
        </is>
      </c>
      <c r="G84" t="n">
        <v>2.4</v>
      </c>
      <c r="H84" t="n">
        <v>0</v>
      </c>
      <c r="I84" t="n">
        <v>0</v>
      </c>
      <c r="J84" t="n">
        <v>0</v>
      </c>
      <c r="K84" t="n">
        <v>0</v>
      </c>
      <c r="L84" t="n">
        <v>0</v>
      </c>
      <c r="M84" t="n">
        <v>0</v>
      </c>
      <c r="N84" t="n">
        <v>0</v>
      </c>
      <c r="O84" t="n">
        <v>0</v>
      </c>
      <c r="P84" t="n">
        <v>0</v>
      </c>
      <c r="Q84" t="n">
        <v>0</v>
      </c>
      <c r="R84" s="2" t="inlineStr"/>
    </row>
    <row r="85" ht="15" customHeight="1">
      <c r="A85" t="inlineStr">
        <is>
          <t>A 50625-2022</t>
        </is>
      </c>
      <c r="B85" s="1" t="n">
        <v>44866.87912037037</v>
      </c>
      <c r="C85" s="1" t="n">
        <v>46046</v>
      </c>
      <c r="D85" t="inlineStr">
        <is>
          <t>SÖDERMANLANDS LÄN</t>
        </is>
      </c>
      <c r="E85" t="inlineStr">
        <is>
          <t>KATRINEHOLM</t>
        </is>
      </c>
      <c r="F85" t="inlineStr">
        <is>
          <t>Kyrkan</t>
        </is>
      </c>
      <c r="G85" t="n">
        <v>25</v>
      </c>
      <c r="H85" t="n">
        <v>0</v>
      </c>
      <c r="I85" t="n">
        <v>0</v>
      </c>
      <c r="J85" t="n">
        <v>0</v>
      </c>
      <c r="K85" t="n">
        <v>0</v>
      </c>
      <c r="L85" t="n">
        <v>0</v>
      </c>
      <c r="M85" t="n">
        <v>0</v>
      </c>
      <c r="N85" t="n">
        <v>0</v>
      </c>
      <c r="O85" t="n">
        <v>0</v>
      </c>
      <c r="P85" t="n">
        <v>0</v>
      </c>
      <c r="Q85" t="n">
        <v>0</v>
      </c>
      <c r="R85" s="2" t="inlineStr"/>
    </row>
    <row r="86" ht="15" customHeight="1">
      <c r="A86" t="inlineStr">
        <is>
          <t>A 53473-2021</t>
        </is>
      </c>
      <c r="B86" s="1" t="n">
        <v>44468</v>
      </c>
      <c r="C86" s="1" t="n">
        <v>46046</v>
      </c>
      <c r="D86" t="inlineStr">
        <is>
          <t>SÖDERMANLANDS LÄN</t>
        </is>
      </c>
      <c r="E86" t="inlineStr">
        <is>
          <t>KATRINEHOLM</t>
        </is>
      </c>
      <c r="G86" t="n">
        <v>10.8</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46046</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55898-2021</t>
        </is>
      </c>
      <c r="B88" s="1" t="n">
        <v>44476</v>
      </c>
      <c r="C88" s="1" t="n">
        <v>46046</v>
      </c>
      <c r="D88" t="inlineStr">
        <is>
          <t>SÖDERMANLANDS LÄN</t>
        </is>
      </c>
      <c r="E88" t="inlineStr">
        <is>
          <t>KATRINEHOLM</t>
        </is>
      </c>
      <c r="G88" t="n">
        <v>2.8</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46046</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6145-2022</t>
        </is>
      </c>
      <c r="B90" s="1" t="n">
        <v>44599</v>
      </c>
      <c r="C90" s="1" t="n">
        <v>46046</v>
      </c>
      <c r="D90" t="inlineStr">
        <is>
          <t>SÖDERMANLANDS LÄN</t>
        </is>
      </c>
      <c r="E90" t="inlineStr">
        <is>
          <t>KATRINEHOLM</t>
        </is>
      </c>
      <c r="G90" t="n">
        <v>2.3</v>
      </c>
      <c r="H90" t="n">
        <v>0</v>
      </c>
      <c r="I90" t="n">
        <v>0</v>
      </c>
      <c r="J90" t="n">
        <v>0</v>
      </c>
      <c r="K90" t="n">
        <v>0</v>
      </c>
      <c r="L90" t="n">
        <v>0</v>
      </c>
      <c r="M90" t="n">
        <v>0</v>
      </c>
      <c r="N90" t="n">
        <v>0</v>
      </c>
      <c r="O90" t="n">
        <v>0</v>
      </c>
      <c r="P90" t="n">
        <v>0</v>
      </c>
      <c r="Q90" t="n">
        <v>0</v>
      </c>
      <c r="R90" s="2" t="inlineStr"/>
    </row>
    <row r="91" ht="15" customHeight="1">
      <c r="A91" t="inlineStr">
        <is>
          <t>A 40818-2022</t>
        </is>
      </c>
      <c r="B91" s="1" t="n">
        <v>44824</v>
      </c>
      <c r="C91" s="1" t="n">
        <v>46046</v>
      </c>
      <c r="D91" t="inlineStr">
        <is>
          <t>SÖDERMANLANDS LÄN</t>
        </is>
      </c>
      <c r="E91" t="inlineStr">
        <is>
          <t>KATRINEHOLM</t>
        </is>
      </c>
      <c r="G91" t="n">
        <v>0.2</v>
      </c>
      <c r="H91" t="n">
        <v>0</v>
      </c>
      <c r="I91" t="n">
        <v>0</v>
      </c>
      <c r="J91" t="n">
        <v>0</v>
      </c>
      <c r="K91" t="n">
        <v>0</v>
      </c>
      <c r="L91" t="n">
        <v>0</v>
      </c>
      <c r="M91" t="n">
        <v>0</v>
      </c>
      <c r="N91" t="n">
        <v>0</v>
      </c>
      <c r="O91" t="n">
        <v>0</v>
      </c>
      <c r="P91" t="n">
        <v>0</v>
      </c>
      <c r="Q91" t="n">
        <v>0</v>
      </c>
      <c r="R91" s="2" t="inlineStr"/>
    </row>
    <row r="92" ht="15" customHeight="1">
      <c r="A92" t="inlineStr">
        <is>
          <t>A 53846-2021</t>
        </is>
      </c>
      <c r="B92" s="1" t="n">
        <v>44467</v>
      </c>
      <c r="C92" s="1" t="n">
        <v>46046</v>
      </c>
      <c r="D92" t="inlineStr">
        <is>
          <t>SÖDERMANLANDS LÄN</t>
        </is>
      </c>
      <c r="E92" t="inlineStr">
        <is>
          <t>KATRINEHOLM</t>
        </is>
      </c>
      <c r="G92" t="n">
        <v>1.9</v>
      </c>
      <c r="H92" t="n">
        <v>0</v>
      </c>
      <c r="I92" t="n">
        <v>0</v>
      </c>
      <c r="J92" t="n">
        <v>0</v>
      </c>
      <c r="K92" t="n">
        <v>0</v>
      </c>
      <c r="L92" t="n">
        <v>0</v>
      </c>
      <c r="M92" t="n">
        <v>0</v>
      </c>
      <c r="N92" t="n">
        <v>0</v>
      </c>
      <c r="O92" t="n">
        <v>0</v>
      </c>
      <c r="P92" t="n">
        <v>0</v>
      </c>
      <c r="Q92" t="n">
        <v>0</v>
      </c>
      <c r="R92" s="2" t="inlineStr"/>
    </row>
    <row r="93" ht="15" customHeight="1">
      <c r="A93" t="inlineStr">
        <is>
          <t>A 6695-2022</t>
        </is>
      </c>
      <c r="B93" s="1" t="n">
        <v>44602</v>
      </c>
      <c r="C93" s="1" t="n">
        <v>46046</v>
      </c>
      <c r="D93" t="inlineStr">
        <is>
          <t>SÖDERMANLANDS LÄN</t>
        </is>
      </c>
      <c r="E93" t="inlineStr">
        <is>
          <t>KATRINEHOLM</t>
        </is>
      </c>
      <c r="G93" t="n">
        <v>3.4</v>
      </c>
      <c r="H93" t="n">
        <v>0</v>
      </c>
      <c r="I93" t="n">
        <v>0</v>
      </c>
      <c r="J93" t="n">
        <v>0</v>
      </c>
      <c r="K93" t="n">
        <v>0</v>
      </c>
      <c r="L93" t="n">
        <v>0</v>
      </c>
      <c r="M93" t="n">
        <v>0</v>
      </c>
      <c r="N93" t="n">
        <v>0</v>
      </c>
      <c r="O93" t="n">
        <v>0</v>
      </c>
      <c r="P93" t="n">
        <v>0</v>
      </c>
      <c r="Q93" t="n">
        <v>0</v>
      </c>
      <c r="R93" s="2" t="inlineStr"/>
    </row>
    <row r="94" ht="15" customHeight="1">
      <c r="A94" t="inlineStr">
        <is>
          <t>A 38019-2022</t>
        </is>
      </c>
      <c r="B94" s="1" t="n">
        <v>44811.61142361111</v>
      </c>
      <c r="C94" s="1" t="n">
        <v>46046</v>
      </c>
      <c r="D94" t="inlineStr">
        <is>
          <t>SÖDERMANLANDS LÄN</t>
        </is>
      </c>
      <c r="E94" t="inlineStr">
        <is>
          <t>KATRINEHOLM</t>
        </is>
      </c>
      <c r="G94" t="n">
        <v>5.8</v>
      </c>
      <c r="H94" t="n">
        <v>0</v>
      </c>
      <c r="I94" t="n">
        <v>0</v>
      </c>
      <c r="J94" t="n">
        <v>0</v>
      </c>
      <c r="K94" t="n">
        <v>0</v>
      </c>
      <c r="L94" t="n">
        <v>0</v>
      </c>
      <c r="M94" t="n">
        <v>0</v>
      </c>
      <c r="N94" t="n">
        <v>0</v>
      </c>
      <c r="O94" t="n">
        <v>0</v>
      </c>
      <c r="P94" t="n">
        <v>0</v>
      </c>
      <c r="Q94" t="n">
        <v>0</v>
      </c>
      <c r="R94" s="2" t="inlineStr"/>
    </row>
    <row r="95" ht="15" customHeight="1">
      <c r="A95" t="inlineStr">
        <is>
          <t>A 23028-2022</t>
        </is>
      </c>
      <c r="B95" s="1" t="n">
        <v>44719</v>
      </c>
      <c r="C95" s="1" t="n">
        <v>46046</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70422-2021</t>
        </is>
      </c>
      <c r="B96" s="1" t="n">
        <v>44536</v>
      </c>
      <c r="C96" s="1" t="n">
        <v>46046</v>
      </c>
      <c r="D96" t="inlineStr">
        <is>
          <t>SÖDERMANLANDS LÄN</t>
        </is>
      </c>
      <c r="E96" t="inlineStr">
        <is>
          <t>KATRINEHOLM</t>
        </is>
      </c>
      <c r="G96" t="n">
        <v>3.5</v>
      </c>
      <c r="H96" t="n">
        <v>0</v>
      </c>
      <c r="I96" t="n">
        <v>0</v>
      </c>
      <c r="J96" t="n">
        <v>0</v>
      </c>
      <c r="K96" t="n">
        <v>0</v>
      </c>
      <c r="L96" t="n">
        <v>0</v>
      </c>
      <c r="M96" t="n">
        <v>0</v>
      </c>
      <c r="N96" t="n">
        <v>0</v>
      </c>
      <c r="O96" t="n">
        <v>0</v>
      </c>
      <c r="P96" t="n">
        <v>0</v>
      </c>
      <c r="Q96" t="n">
        <v>0</v>
      </c>
      <c r="R96" s="2" t="inlineStr"/>
    </row>
    <row r="97" ht="15" customHeight="1">
      <c r="A97" t="inlineStr">
        <is>
          <t>A 36605-2021</t>
        </is>
      </c>
      <c r="B97" s="1" t="n">
        <v>44391</v>
      </c>
      <c r="C97" s="1" t="n">
        <v>46046</v>
      </c>
      <c r="D97" t="inlineStr">
        <is>
          <t>SÖDERMANLANDS LÄN</t>
        </is>
      </c>
      <c r="E97" t="inlineStr">
        <is>
          <t>KATRINEHOLM</t>
        </is>
      </c>
      <c r="G97" t="n">
        <v>1.1</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46046</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39862-2021</t>
        </is>
      </c>
      <c r="B99" s="1" t="n">
        <v>44417</v>
      </c>
      <c r="C99" s="1" t="n">
        <v>46046</v>
      </c>
      <c r="D99" t="inlineStr">
        <is>
          <t>SÖDERMANLANDS LÄN</t>
        </is>
      </c>
      <c r="E99" t="inlineStr">
        <is>
          <t>KATRINEHOLM</t>
        </is>
      </c>
      <c r="G99" t="n">
        <v>8.699999999999999</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46046</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56337-2021</t>
        </is>
      </c>
      <c r="B101" s="1" t="n">
        <v>44480</v>
      </c>
      <c r="C101" s="1" t="n">
        <v>46046</v>
      </c>
      <c r="D101" t="inlineStr">
        <is>
          <t>SÖDERMANLANDS LÄN</t>
        </is>
      </c>
      <c r="E101" t="inlineStr">
        <is>
          <t>KATRINEHOLM</t>
        </is>
      </c>
      <c r="F101" t="inlineStr">
        <is>
          <t>Holmen skog AB</t>
        </is>
      </c>
      <c r="G101" t="n">
        <v>0.6</v>
      </c>
      <c r="H101" t="n">
        <v>0</v>
      </c>
      <c r="I101" t="n">
        <v>0</v>
      </c>
      <c r="J101" t="n">
        <v>0</v>
      </c>
      <c r="K101" t="n">
        <v>0</v>
      </c>
      <c r="L101" t="n">
        <v>0</v>
      </c>
      <c r="M101" t="n">
        <v>0</v>
      </c>
      <c r="N101" t="n">
        <v>0</v>
      </c>
      <c r="O101" t="n">
        <v>0</v>
      </c>
      <c r="P101" t="n">
        <v>0</v>
      </c>
      <c r="Q101" t="n">
        <v>0</v>
      </c>
      <c r="R101" s="2" t="inlineStr"/>
    </row>
    <row r="102" ht="15" customHeight="1">
      <c r="A102" t="inlineStr">
        <is>
          <t>A 23239-2022</t>
        </is>
      </c>
      <c r="B102" s="1" t="n">
        <v>44719</v>
      </c>
      <c r="C102" s="1" t="n">
        <v>46046</v>
      </c>
      <c r="D102" t="inlineStr">
        <is>
          <t>SÖDERMANLANDS LÄN</t>
        </is>
      </c>
      <c r="E102" t="inlineStr">
        <is>
          <t>KATRINEHOLM</t>
        </is>
      </c>
      <c r="G102" t="n">
        <v>7.4</v>
      </c>
      <c r="H102" t="n">
        <v>0</v>
      </c>
      <c r="I102" t="n">
        <v>0</v>
      </c>
      <c r="J102" t="n">
        <v>0</v>
      </c>
      <c r="K102" t="n">
        <v>0</v>
      </c>
      <c r="L102" t="n">
        <v>0</v>
      </c>
      <c r="M102" t="n">
        <v>0</v>
      </c>
      <c r="N102" t="n">
        <v>0</v>
      </c>
      <c r="O102" t="n">
        <v>0</v>
      </c>
      <c r="P102" t="n">
        <v>0</v>
      </c>
      <c r="Q102" t="n">
        <v>0</v>
      </c>
      <c r="R102" s="2" t="inlineStr"/>
    </row>
    <row r="103" ht="15" customHeight="1">
      <c r="A103" t="inlineStr">
        <is>
          <t>A 31846-2021</t>
        </is>
      </c>
      <c r="B103" s="1" t="n">
        <v>44370</v>
      </c>
      <c r="C103" s="1" t="n">
        <v>46046</v>
      </c>
      <c r="D103" t="inlineStr">
        <is>
          <t>SÖDERMANLANDS LÄN</t>
        </is>
      </c>
      <c r="E103" t="inlineStr">
        <is>
          <t>KATRINEHOLM</t>
        </is>
      </c>
      <c r="G103" t="n">
        <v>4.9</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46046</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3572-2022</t>
        </is>
      </c>
      <c r="B105" s="1" t="n">
        <v>44585</v>
      </c>
      <c r="C105" s="1" t="n">
        <v>46046</v>
      </c>
      <c r="D105" t="inlineStr">
        <is>
          <t>SÖDERMANLANDS LÄN</t>
        </is>
      </c>
      <c r="E105" t="inlineStr">
        <is>
          <t>KATRINEHOLM</t>
        </is>
      </c>
      <c r="G105" t="n">
        <v>1.7</v>
      </c>
      <c r="H105" t="n">
        <v>0</v>
      </c>
      <c r="I105" t="n">
        <v>0</v>
      </c>
      <c r="J105" t="n">
        <v>0</v>
      </c>
      <c r="K105" t="n">
        <v>0</v>
      </c>
      <c r="L105" t="n">
        <v>0</v>
      </c>
      <c r="M105" t="n">
        <v>0</v>
      </c>
      <c r="N105" t="n">
        <v>0</v>
      </c>
      <c r="O105" t="n">
        <v>0</v>
      </c>
      <c r="P105" t="n">
        <v>0</v>
      </c>
      <c r="Q105" t="n">
        <v>0</v>
      </c>
      <c r="R105" s="2" t="inlineStr"/>
    </row>
    <row r="106" ht="15" customHeight="1">
      <c r="A106" t="inlineStr">
        <is>
          <t>A 24207-2022</t>
        </is>
      </c>
      <c r="B106" s="1" t="n">
        <v>44725</v>
      </c>
      <c r="C106" s="1" t="n">
        <v>46046</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46046</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46046</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34070-2022</t>
        </is>
      </c>
      <c r="B109" s="1" t="n">
        <v>44791.42287037037</v>
      </c>
      <c r="C109" s="1" t="n">
        <v>46046</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53349-2021</t>
        </is>
      </c>
      <c r="B110" s="1" t="n">
        <v>44468</v>
      </c>
      <c r="C110" s="1" t="n">
        <v>46046</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46046</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20039-2021</t>
        </is>
      </c>
      <c r="B112" s="1" t="n">
        <v>44314.33722222222</v>
      </c>
      <c r="C112" s="1" t="n">
        <v>46046</v>
      </c>
      <c r="D112" t="inlineStr">
        <is>
          <t>SÖDERMANLANDS LÄN</t>
        </is>
      </c>
      <c r="E112" t="inlineStr">
        <is>
          <t>KATRINEHOLM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41876-2021</t>
        </is>
      </c>
      <c r="B113" s="1" t="n">
        <v>44426</v>
      </c>
      <c r="C113" s="1" t="n">
        <v>46046</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2884-2022</t>
        </is>
      </c>
      <c r="B114" s="1" t="n">
        <v>44581</v>
      </c>
      <c r="C114" s="1" t="n">
        <v>46046</v>
      </c>
      <c r="D114" t="inlineStr">
        <is>
          <t>SÖDERMANLANDS LÄN</t>
        </is>
      </c>
      <c r="E114" t="inlineStr">
        <is>
          <t>KATRINEHOLM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2636-2022</t>
        </is>
      </c>
      <c r="B115" s="1" t="n">
        <v>44580.49780092593</v>
      </c>
      <c r="C115" s="1" t="n">
        <v>46046</v>
      </c>
      <c r="D115" t="inlineStr">
        <is>
          <t>SÖDERMANLANDS LÄN</t>
        </is>
      </c>
      <c r="E115" t="inlineStr">
        <is>
          <t>KATRINEHOLM</t>
        </is>
      </c>
      <c r="F115" t="inlineStr">
        <is>
          <t>Övriga Aktiebolag</t>
        </is>
      </c>
      <c r="G115" t="n">
        <v>2.5</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46046</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45274-2022</t>
        </is>
      </c>
      <c r="B117" s="1" t="n">
        <v>44844.52039351852</v>
      </c>
      <c r="C117" s="1" t="n">
        <v>46046</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10093-2021</t>
        </is>
      </c>
      <c r="B118" s="1" t="n">
        <v>44256</v>
      </c>
      <c r="C118" s="1" t="n">
        <v>46046</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59212-2021</t>
        </is>
      </c>
      <c r="B119" s="1" t="n">
        <v>44490.60873842592</v>
      </c>
      <c r="C119" s="1" t="n">
        <v>46046</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12156-2021</t>
        </is>
      </c>
      <c r="B120" s="1" t="n">
        <v>44266</v>
      </c>
      <c r="C120" s="1" t="n">
        <v>46046</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7550-2022</t>
        </is>
      </c>
      <c r="B121" s="1" t="n">
        <v>44607</v>
      </c>
      <c r="C121" s="1" t="n">
        <v>46046</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6826-2022</t>
        </is>
      </c>
      <c r="B122" s="1" t="n">
        <v>44602.5965162037</v>
      </c>
      <c r="C122" s="1" t="n">
        <v>46046</v>
      </c>
      <c r="D122" t="inlineStr">
        <is>
          <t>SÖDERMANLANDS LÄN</t>
        </is>
      </c>
      <c r="E122" t="inlineStr">
        <is>
          <t>KATRINEHOLM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52044-2021</t>
        </is>
      </c>
      <c r="B123" s="1" t="n">
        <v>44463</v>
      </c>
      <c r="C123" s="1" t="n">
        <v>46046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31836-2021</t>
        </is>
      </c>
      <c r="B124" s="1" t="n">
        <v>44370.40364583334</v>
      </c>
      <c r="C124" s="1" t="n">
        <v>46046</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11812-2021</t>
        </is>
      </c>
      <c r="B125" s="1" t="n">
        <v>44265</v>
      </c>
      <c r="C125" s="1" t="n">
        <v>46046</v>
      </c>
      <c r="D125" t="inlineStr">
        <is>
          <t>SÖDERMANLANDS LÄN</t>
        </is>
      </c>
      <c r="E125" t="inlineStr">
        <is>
          <t>KATRINEHOLM</t>
        </is>
      </c>
      <c r="G125" t="n">
        <v>3</v>
      </c>
      <c r="H125" t="n">
        <v>0</v>
      </c>
      <c r="I125" t="n">
        <v>0</v>
      </c>
      <c r="J125" t="n">
        <v>0</v>
      </c>
      <c r="K125" t="n">
        <v>0</v>
      </c>
      <c r="L125" t="n">
        <v>0</v>
      </c>
      <c r="M125" t="n">
        <v>0</v>
      </c>
      <c r="N125" t="n">
        <v>0</v>
      </c>
      <c r="O125" t="n">
        <v>0</v>
      </c>
      <c r="P125" t="n">
        <v>0</v>
      </c>
      <c r="Q125" t="n">
        <v>0</v>
      </c>
      <c r="R125" s="2" t="inlineStr"/>
    </row>
    <row r="126" ht="15" customHeight="1">
      <c r="A126" t="inlineStr">
        <is>
          <t>A 51602-2022</t>
        </is>
      </c>
      <c r="B126" s="1" t="n">
        <v>44871.69347222222</v>
      </c>
      <c r="C126" s="1" t="n">
        <v>46046</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46046</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11070-2021</t>
        </is>
      </c>
      <c r="B128" s="1" t="n">
        <v>44260</v>
      </c>
      <c r="C128" s="1" t="n">
        <v>46046</v>
      </c>
      <c r="D128" t="inlineStr">
        <is>
          <t>SÖDERMANLANDS LÄN</t>
        </is>
      </c>
      <c r="E128" t="inlineStr">
        <is>
          <t>KATRINEHOLM</t>
        </is>
      </c>
      <c r="F128" t="inlineStr">
        <is>
          <t>Allmännings- och besparingsskogar</t>
        </is>
      </c>
      <c r="G128" t="n">
        <v>2.9</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46046</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46046</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17710-2021</t>
        </is>
      </c>
      <c r="B131" s="1" t="n">
        <v>44299</v>
      </c>
      <c r="C131" s="1" t="n">
        <v>46046</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25893-2022</t>
        </is>
      </c>
      <c r="B132" s="1" t="n">
        <v>44733.77543981482</v>
      </c>
      <c r="C132" s="1" t="n">
        <v>46046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46046</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24199-2022</t>
        </is>
      </c>
      <c r="B134" s="1" t="n">
        <v>44725</v>
      </c>
      <c r="C134" s="1" t="n">
        <v>46046</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38835-2021</t>
        </is>
      </c>
      <c r="B135" s="1" t="n">
        <v>44411</v>
      </c>
      <c r="C135" s="1" t="n">
        <v>46046</v>
      </c>
      <c r="D135" t="inlineStr">
        <is>
          <t>SÖDERMANLANDS LÄN</t>
        </is>
      </c>
      <c r="E135" t="inlineStr">
        <is>
          <t>KATRINEHOLM</t>
        </is>
      </c>
      <c r="G135" t="n">
        <v>10.2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46046</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22197-2022</t>
        </is>
      </c>
      <c r="B137" s="1" t="n">
        <v>44712</v>
      </c>
      <c r="C137" s="1" t="n">
        <v>46046</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46046</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32632-2022</t>
        </is>
      </c>
      <c r="B139" s="1" t="n">
        <v>44783</v>
      </c>
      <c r="C139" s="1" t="n">
        <v>46046</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32639-2022</t>
        </is>
      </c>
      <c r="B140" s="1" t="n">
        <v>44783</v>
      </c>
      <c r="C140" s="1" t="n">
        <v>46046</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73142-2021</t>
        </is>
      </c>
      <c r="B141" s="1" t="n">
        <v>44550</v>
      </c>
      <c r="C141" s="1" t="n">
        <v>46046</v>
      </c>
      <c r="D141" t="inlineStr">
        <is>
          <t>SÖDERMANLANDS LÄN</t>
        </is>
      </c>
      <c r="E141" t="inlineStr">
        <is>
          <t>KATRINEHOLM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52063-2021</t>
        </is>
      </c>
      <c r="B142" s="1" t="n">
        <v>44449</v>
      </c>
      <c r="C142" s="1" t="n">
        <v>46046</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55349-2021</t>
        </is>
      </c>
      <c r="B143" s="1" t="n">
        <v>44475</v>
      </c>
      <c r="C143" s="1" t="n">
        <v>46046</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69429-2021</t>
        </is>
      </c>
      <c r="B144" s="1" t="n">
        <v>44531</v>
      </c>
      <c r="C144" s="1" t="n">
        <v>46046</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46046</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41863-2021</t>
        </is>
      </c>
      <c r="B146" s="1" t="n">
        <v>44426</v>
      </c>
      <c r="C146" s="1" t="n">
        <v>46046</v>
      </c>
      <c r="D146" t="inlineStr">
        <is>
          <t>SÖDERMANLANDS LÄN</t>
        </is>
      </c>
      <c r="E146" t="inlineStr">
        <is>
          <t>KATRINEHOLM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27298-2021</t>
        </is>
      </c>
      <c r="B147" s="1" t="n">
        <v>44351</v>
      </c>
      <c r="C147" s="1" t="n">
        <v>46046</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32600-2022</t>
        </is>
      </c>
      <c r="B148" s="1" t="n">
        <v>44783</v>
      </c>
      <c r="C148" s="1" t="n">
        <v>46046</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64261-2021</t>
        </is>
      </c>
      <c r="B149" s="1" t="n">
        <v>44510</v>
      </c>
      <c r="C149" s="1" t="n">
        <v>46046</v>
      </c>
      <c r="D149" t="inlineStr">
        <is>
          <t>SÖDERMANLANDS LÄN</t>
        </is>
      </c>
      <c r="E149" t="inlineStr">
        <is>
          <t>KATRINEHOLM</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34794-2021</t>
        </is>
      </c>
      <c r="B150" s="1" t="n">
        <v>44383.23978009259</v>
      </c>
      <c r="C150" s="1" t="n">
        <v>46046</v>
      </c>
      <c r="D150" t="inlineStr">
        <is>
          <t>SÖDERMANLANDS LÄN</t>
        </is>
      </c>
      <c r="E150" t="inlineStr">
        <is>
          <t>KATRINEHOLM</t>
        </is>
      </c>
      <c r="G150" t="n">
        <v>4.1</v>
      </c>
      <c r="H150" t="n">
        <v>0</v>
      </c>
      <c r="I150" t="n">
        <v>0</v>
      </c>
      <c r="J150" t="n">
        <v>0</v>
      </c>
      <c r="K150" t="n">
        <v>0</v>
      </c>
      <c r="L150" t="n">
        <v>0</v>
      </c>
      <c r="M150" t="n">
        <v>0</v>
      </c>
      <c r="N150" t="n">
        <v>0</v>
      </c>
      <c r="O150" t="n">
        <v>0</v>
      </c>
      <c r="P150" t="n">
        <v>0</v>
      </c>
      <c r="Q150" t="n">
        <v>0</v>
      </c>
      <c r="R150" s="2" t="inlineStr"/>
    </row>
    <row r="151" ht="15" customHeight="1">
      <c r="A151" t="inlineStr">
        <is>
          <t>A 39527-2021</t>
        </is>
      </c>
      <c r="B151" s="1" t="n">
        <v>44415</v>
      </c>
      <c r="C151" s="1" t="n">
        <v>46046</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912-2022</t>
        </is>
      </c>
      <c r="B152" s="1" t="n">
        <v>44571</v>
      </c>
      <c r="C152" s="1" t="n">
        <v>46046</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46046</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11676-2021</t>
        </is>
      </c>
      <c r="B154" s="1" t="n">
        <v>44264</v>
      </c>
      <c r="C154" s="1" t="n">
        <v>46046</v>
      </c>
      <c r="D154" t="inlineStr">
        <is>
          <t>SÖDERMANLANDS LÄN</t>
        </is>
      </c>
      <c r="E154" t="inlineStr">
        <is>
          <t>KATRINEHOLM</t>
        </is>
      </c>
      <c r="F154" t="inlineStr">
        <is>
          <t>Allmännings- och besparingsskogar</t>
        </is>
      </c>
      <c r="G154" t="n">
        <v>1</v>
      </c>
      <c r="H154" t="n">
        <v>0</v>
      </c>
      <c r="I154" t="n">
        <v>0</v>
      </c>
      <c r="J154" t="n">
        <v>0</v>
      </c>
      <c r="K154" t="n">
        <v>0</v>
      </c>
      <c r="L154" t="n">
        <v>0</v>
      </c>
      <c r="M154" t="n">
        <v>0</v>
      </c>
      <c r="N154" t="n">
        <v>0</v>
      </c>
      <c r="O154" t="n">
        <v>0</v>
      </c>
      <c r="P154" t="n">
        <v>0</v>
      </c>
      <c r="Q154" t="n">
        <v>0</v>
      </c>
      <c r="R154" s="2" t="inlineStr"/>
    </row>
    <row r="155" ht="15" customHeight="1">
      <c r="A155" t="inlineStr">
        <is>
          <t>A 49784-2021</t>
        </is>
      </c>
      <c r="B155" s="1" t="n">
        <v>44455</v>
      </c>
      <c r="C155" s="1" t="n">
        <v>46046</v>
      </c>
      <c r="D155" t="inlineStr">
        <is>
          <t>SÖDERMANLANDS LÄN</t>
        </is>
      </c>
      <c r="E155" t="inlineStr">
        <is>
          <t>KATRINEHOLM</t>
        </is>
      </c>
      <c r="G155" t="n">
        <v>2.2</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46046</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39546-2021</t>
        </is>
      </c>
      <c r="B157" s="1" t="n">
        <v>44416.40457175926</v>
      </c>
      <c r="C157" s="1" t="n">
        <v>46046</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6533-2022</t>
        </is>
      </c>
      <c r="B158" s="1" t="n">
        <v>44601</v>
      </c>
      <c r="C158" s="1" t="n">
        <v>46046</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49677-2021</t>
        </is>
      </c>
      <c r="B159" s="1" t="n">
        <v>44455</v>
      </c>
      <c r="C159" s="1" t="n">
        <v>46046</v>
      </c>
      <c r="D159" t="inlineStr">
        <is>
          <t>SÖDERMANLANDS LÄN</t>
        </is>
      </c>
      <c r="E159" t="inlineStr">
        <is>
          <t>KATRINEHOLM</t>
        </is>
      </c>
      <c r="G159" t="n">
        <v>2.1</v>
      </c>
      <c r="H159" t="n">
        <v>0</v>
      </c>
      <c r="I159" t="n">
        <v>0</v>
      </c>
      <c r="J159" t="n">
        <v>0</v>
      </c>
      <c r="K159" t="n">
        <v>0</v>
      </c>
      <c r="L159" t="n">
        <v>0</v>
      </c>
      <c r="M159" t="n">
        <v>0</v>
      </c>
      <c r="N159" t="n">
        <v>0</v>
      </c>
      <c r="O159" t="n">
        <v>0</v>
      </c>
      <c r="P159" t="n">
        <v>0</v>
      </c>
      <c r="Q159" t="n">
        <v>0</v>
      </c>
      <c r="R159" s="2" t="inlineStr"/>
    </row>
    <row r="160" ht="15" customHeight="1">
      <c r="A160" t="inlineStr">
        <is>
          <t>A 49735-2021</t>
        </is>
      </c>
      <c r="B160" s="1" t="n">
        <v>44455</v>
      </c>
      <c r="C160" s="1" t="n">
        <v>46046</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46046</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2877-2022</t>
        </is>
      </c>
      <c r="B162" s="1" t="n">
        <v>44581</v>
      </c>
      <c r="C162" s="1" t="n">
        <v>46046</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30981-2022</t>
        </is>
      </c>
      <c r="B163" s="1" t="n">
        <v>44768</v>
      </c>
      <c r="C163" s="1" t="n">
        <v>46046</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46046</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46046</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46046</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53822-2023</t>
        </is>
      </c>
      <c r="B167" s="1" t="n">
        <v>45231.40846064815</v>
      </c>
      <c r="C167" s="1" t="n">
        <v>46046</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38607-2021</t>
        </is>
      </c>
      <c r="B168" s="1" t="n">
        <v>44409.41428240741</v>
      </c>
      <c r="C168" s="1" t="n">
        <v>46046</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46046</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7189-2022</t>
        </is>
      </c>
      <c r="B170" s="1" t="n">
        <v>44605</v>
      </c>
      <c r="C170" s="1" t="n">
        <v>46046</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54698-2021</t>
        </is>
      </c>
      <c r="B171" s="1" t="n">
        <v>44473</v>
      </c>
      <c r="C171" s="1" t="n">
        <v>46046</v>
      </c>
      <c r="D171" t="inlineStr">
        <is>
          <t>SÖDERMANLANDS LÄN</t>
        </is>
      </c>
      <c r="E171" t="inlineStr">
        <is>
          <t>KATRINEHOLM</t>
        </is>
      </c>
      <c r="F171" t="inlineStr">
        <is>
          <t>Holmen skog AB</t>
        </is>
      </c>
      <c r="G171" t="n">
        <v>1.7</v>
      </c>
      <c r="H171" t="n">
        <v>0</v>
      </c>
      <c r="I171" t="n">
        <v>0</v>
      </c>
      <c r="J171" t="n">
        <v>0</v>
      </c>
      <c r="K171" t="n">
        <v>0</v>
      </c>
      <c r="L171" t="n">
        <v>0</v>
      </c>
      <c r="M171" t="n">
        <v>0</v>
      </c>
      <c r="N171" t="n">
        <v>0</v>
      </c>
      <c r="O171" t="n">
        <v>0</v>
      </c>
      <c r="P171" t="n">
        <v>0</v>
      </c>
      <c r="Q171" t="n">
        <v>0</v>
      </c>
      <c r="R171" s="2" t="inlineStr"/>
    </row>
    <row r="172" ht="15" customHeight="1">
      <c r="A172" t="inlineStr">
        <is>
          <t>A 4767-2021</t>
        </is>
      </c>
      <c r="B172" s="1" t="n">
        <v>44225</v>
      </c>
      <c r="C172" s="1" t="n">
        <v>46046</v>
      </c>
      <c r="D172" t="inlineStr">
        <is>
          <t>SÖDERMANLANDS LÄN</t>
        </is>
      </c>
      <c r="E172" t="inlineStr">
        <is>
          <t>KATRINEHOLM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7240-2021</t>
        </is>
      </c>
      <c r="B173" s="1" t="n">
        <v>44238</v>
      </c>
      <c r="C173" s="1" t="n">
        <v>46046</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6789-2022</t>
        </is>
      </c>
      <c r="B174" s="1" t="n">
        <v>44602</v>
      </c>
      <c r="C174" s="1" t="n">
        <v>46046</v>
      </c>
      <c r="D174" t="inlineStr">
        <is>
          <t>SÖDERMANLANDS LÄN</t>
        </is>
      </c>
      <c r="E174" t="inlineStr">
        <is>
          <t>KATRINEHOLM</t>
        </is>
      </c>
      <c r="G174" t="n">
        <v>4.6</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46046</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46046</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21576-2022</t>
        </is>
      </c>
      <c r="B177" s="1" t="n">
        <v>44706</v>
      </c>
      <c r="C177" s="1" t="n">
        <v>46046</v>
      </c>
      <c r="D177" t="inlineStr">
        <is>
          <t>SÖDERMANLANDS LÄN</t>
        </is>
      </c>
      <c r="E177" t="inlineStr">
        <is>
          <t>KATRINEHOLM</t>
        </is>
      </c>
      <c r="G177" t="n">
        <v>4.2</v>
      </c>
      <c r="H177" t="n">
        <v>0</v>
      </c>
      <c r="I177" t="n">
        <v>0</v>
      </c>
      <c r="J177" t="n">
        <v>0</v>
      </c>
      <c r="K177" t="n">
        <v>0</v>
      </c>
      <c r="L177" t="n">
        <v>0</v>
      </c>
      <c r="M177" t="n">
        <v>0</v>
      </c>
      <c r="N177" t="n">
        <v>0</v>
      </c>
      <c r="O177" t="n">
        <v>0</v>
      </c>
      <c r="P177" t="n">
        <v>0</v>
      </c>
      <c r="Q177" t="n">
        <v>0</v>
      </c>
      <c r="R177" s="2" t="inlineStr"/>
    </row>
    <row r="178" ht="15" customHeight="1">
      <c r="A178" t="inlineStr">
        <is>
          <t>A 43967-2022</t>
        </is>
      </c>
      <c r="B178" s="1" t="n">
        <v>44837</v>
      </c>
      <c r="C178" s="1" t="n">
        <v>46046</v>
      </c>
      <c r="D178" t="inlineStr">
        <is>
          <t>SÖDERMANLANDS LÄN</t>
        </is>
      </c>
      <c r="E178" t="inlineStr">
        <is>
          <t>KATRINEHOLM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44012-2022</t>
        </is>
      </c>
      <c r="B179" s="1" t="n">
        <v>44838</v>
      </c>
      <c r="C179" s="1" t="n">
        <v>46046</v>
      </c>
      <c r="D179" t="inlineStr">
        <is>
          <t>SÖDERMANLANDS LÄN</t>
        </is>
      </c>
      <c r="E179" t="inlineStr">
        <is>
          <t>KATRINEHOLM</t>
        </is>
      </c>
      <c r="G179" t="n">
        <v>0.4</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46046</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46046</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46046</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40393-2022</t>
        </is>
      </c>
      <c r="B183" s="1" t="n">
        <v>44823</v>
      </c>
      <c r="C183" s="1" t="n">
        <v>46046</v>
      </c>
      <c r="D183" t="inlineStr">
        <is>
          <t>SÖDERMANLANDS LÄN</t>
        </is>
      </c>
      <c r="E183" t="inlineStr">
        <is>
          <t>KATRINEHOLM</t>
        </is>
      </c>
      <c r="G183" t="n">
        <v>1.3</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46046</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51835-2022</t>
        </is>
      </c>
      <c r="B185" s="1" t="n">
        <v>44872.57288194444</v>
      </c>
      <c r="C185" s="1" t="n">
        <v>46046</v>
      </c>
      <c r="D185" t="inlineStr">
        <is>
          <t>SÖDERMANLANDS LÄN</t>
        </is>
      </c>
      <c r="E185" t="inlineStr">
        <is>
          <t>KATRINEHOLM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33934-2022</t>
        </is>
      </c>
      <c r="B186" s="1" t="n">
        <v>44790</v>
      </c>
      <c r="C186" s="1" t="n">
        <v>46046</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74354-2021</t>
        </is>
      </c>
      <c r="B187" s="1" t="n">
        <v>44559.57041666667</v>
      </c>
      <c r="C187" s="1" t="n">
        <v>46046</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46046</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46046</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9419-2022</t>
        </is>
      </c>
      <c r="B190" s="1" t="n">
        <v>44616</v>
      </c>
      <c r="C190" s="1" t="n">
        <v>46046</v>
      </c>
      <c r="D190" t="inlineStr">
        <is>
          <t>SÖDERMANLANDS LÄN</t>
        </is>
      </c>
      <c r="E190" t="inlineStr">
        <is>
          <t>KATRINEHOLM</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46046</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46046</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51885-2022</t>
        </is>
      </c>
      <c r="B193" s="1" t="n">
        <v>44872.60384259259</v>
      </c>
      <c r="C193" s="1" t="n">
        <v>46046</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42735-2022</t>
        </is>
      </c>
      <c r="B194" s="1" t="n">
        <v>44832</v>
      </c>
      <c r="C194" s="1" t="n">
        <v>46046</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9699-2024</t>
        </is>
      </c>
      <c r="B195" s="1" t="n">
        <v>45362</v>
      </c>
      <c r="C195" s="1" t="n">
        <v>46046</v>
      </c>
      <c r="D195" t="inlineStr">
        <is>
          <t>SÖDERMANLANDS LÄN</t>
        </is>
      </c>
      <c r="E195" t="inlineStr">
        <is>
          <t>KATRINEHOLM</t>
        </is>
      </c>
      <c r="G195" t="n">
        <v>7.7</v>
      </c>
      <c r="H195" t="n">
        <v>0</v>
      </c>
      <c r="I195" t="n">
        <v>0</v>
      </c>
      <c r="J195" t="n">
        <v>0</v>
      </c>
      <c r="K195" t="n">
        <v>0</v>
      </c>
      <c r="L195" t="n">
        <v>0</v>
      </c>
      <c r="M195" t="n">
        <v>0</v>
      </c>
      <c r="N195" t="n">
        <v>0</v>
      </c>
      <c r="O195" t="n">
        <v>0</v>
      </c>
      <c r="P195" t="n">
        <v>0</v>
      </c>
      <c r="Q195" t="n">
        <v>0</v>
      </c>
      <c r="R195" s="2" t="inlineStr"/>
    </row>
    <row r="196" ht="15" customHeight="1">
      <c r="A196" t="inlineStr">
        <is>
          <t>A 66801-2021</t>
        </is>
      </c>
      <c r="B196" s="1" t="n">
        <v>44522</v>
      </c>
      <c r="C196" s="1" t="n">
        <v>46046</v>
      </c>
      <c r="D196" t="inlineStr">
        <is>
          <t>SÖDERMANLANDS LÄN</t>
        </is>
      </c>
      <c r="E196" t="inlineStr">
        <is>
          <t>KATRINEHOLM</t>
        </is>
      </c>
      <c r="F196" t="inlineStr">
        <is>
          <t>Holmen skog AB</t>
        </is>
      </c>
      <c r="G196" t="n">
        <v>0.2</v>
      </c>
      <c r="H196" t="n">
        <v>0</v>
      </c>
      <c r="I196" t="n">
        <v>0</v>
      </c>
      <c r="J196" t="n">
        <v>0</v>
      </c>
      <c r="K196" t="n">
        <v>0</v>
      </c>
      <c r="L196" t="n">
        <v>0</v>
      </c>
      <c r="M196" t="n">
        <v>0</v>
      </c>
      <c r="N196" t="n">
        <v>0</v>
      </c>
      <c r="O196" t="n">
        <v>0</v>
      </c>
      <c r="P196" t="n">
        <v>0</v>
      </c>
      <c r="Q196" t="n">
        <v>0</v>
      </c>
      <c r="R196" s="2" t="inlineStr"/>
    </row>
    <row r="197" ht="15" customHeight="1">
      <c r="A197" t="inlineStr">
        <is>
          <t>A 33001-2024</t>
        </is>
      </c>
      <c r="B197" s="1" t="n">
        <v>45517</v>
      </c>
      <c r="C197" s="1" t="n">
        <v>46046</v>
      </c>
      <c r="D197" t="inlineStr">
        <is>
          <t>SÖDERMANLANDS LÄN</t>
        </is>
      </c>
      <c r="E197" t="inlineStr">
        <is>
          <t>KATRINEHOLM</t>
        </is>
      </c>
      <c r="G197" t="n">
        <v>1.5</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46046</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10732-2022</t>
        </is>
      </c>
      <c r="B199" s="1" t="n">
        <v>44627.34033564815</v>
      </c>
      <c r="C199" s="1" t="n">
        <v>46046</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46046</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3125-2024</t>
        </is>
      </c>
      <c r="B201" s="1" t="n">
        <v>45316</v>
      </c>
      <c r="C201" s="1" t="n">
        <v>46046</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8087-2022</t>
        </is>
      </c>
      <c r="B202" s="1" t="n">
        <v>44609.53502314815</v>
      </c>
      <c r="C202" s="1" t="n">
        <v>46046</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71129-2021</t>
        </is>
      </c>
      <c r="B203" s="1" t="n">
        <v>44539</v>
      </c>
      <c r="C203" s="1" t="n">
        <v>46046</v>
      </c>
      <c r="D203" t="inlineStr">
        <is>
          <t>SÖDERMANLANDS LÄN</t>
        </is>
      </c>
      <c r="E203" t="inlineStr">
        <is>
          <t>KATRINEHOLM</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45147-2021</t>
        </is>
      </c>
      <c r="B204" s="1" t="n">
        <v>44439</v>
      </c>
      <c r="C204" s="1" t="n">
        <v>46046</v>
      </c>
      <c r="D204" t="inlineStr">
        <is>
          <t>SÖDERMANLANDS LÄN</t>
        </is>
      </c>
      <c r="E204" t="inlineStr">
        <is>
          <t>KATRINEHOLM</t>
        </is>
      </c>
      <c r="G204" t="n">
        <v>3.2</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46046</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27852-2023</t>
        </is>
      </c>
      <c r="B206" s="1" t="n">
        <v>45098</v>
      </c>
      <c r="C206" s="1" t="n">
        <v>46046</v>
      </c>
      <c r="D206" t="inlineStr">
        <is>
          <t>SÖDERMANLANDS LÄN</t>
        </is>
      </c>
      <c r="E206" t="inlineStr">
        <is>
          <t>KATRINEHOLM</t>
        </is>
      </c>
      <c r="G206" t="n">
        <v>7.4</v>
      </c>
      <c r="H206" t="n">
        <v>0</v>
      </c>
      <c r="I206" t="n">
        <v>0</v>
      </c>
      <c r="J206" t="n">
        <v>0</v>
      </c>
      <c r="K206" t="n">
        <v>0</v>
      </c>
      <c r="L206" t="n">
        <v>0</v>
      </c>
      <c r="M206" t="n">
        <v>0</v>
      </c>
      <c r="N206" t="n">
        <v>0</v>
      </c>
      <c r="O206" t="n">
        <v>0</v>
      </c>
      <c r="P206" t="n">
        <v>0</v>
      </c>
      <c r="Q206" t="n">
        <v>0</v>
      </c>
      <c r="R206" s="2" t="inlineStr"/>
    </row>
    <row r="207" ht="15" customHeight="1">
      <c r="A207" t="inlineStr">
        <is>
          <t>A 1143-2024</t>
        </is>
      </c>
      <c r="B207" s="1" t="n">
        <v>45302</v>
      </c>
      <c r="C207" s="1" t="n">
        <v>46046</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40749-2022</t>
        </is>
      </c>
      <c r="B208" s="1" t="n">
        <v>44824</v>
      </c>
      <c r="C208" s="1" t="n">
        <v>46046</v>
      </c>
      <c r="D208" t="inlineStr">
        <is>
          <t>SÖDERMANLANDS LÄN</t>
        </is>
      </c>
      <c r="E208" t="inlineStr">
        <is>
          <t>KATRINEHOLM</t>
        </is>
      </c>
      <c r="G208" t="n">
        <v>0.2</v>
      </c>
      <c r="H208" t="n">
        <v>0</v>
      </c>
      <c r="I208" t="n">
        <v>0</v>
      </c>
      <c r="J208" t="n">
        <v>0</v>
      </c>
      <c r="K208" t="n">
        <v>0</v>
      </c>
      <c r="L208" t="n">
        <v>0</v>
      </c>
      <c r="M208" t="n">
        <v>0</v>
      </c>
      <c r="N208" t="n">
        <v>0</v>
      </c>
      <c r="O208" t="n">
        <v>0</v>
      </c>
      <c r="P208" t="n">
        <v>0</v>
      </c>
      <c r="Q208" t="n">
        <v>0</v>
      </c>
      <c r="R208" s="2" t="inlineStr"/>
    </row>
    <row r="209" ht="15" customHeight="1">
      <c r="A209" t="inlineStr">
        <is>
          <t>A 35088-2022</t>
        </is>
      </c>
      <c r="B209" s="1" t="n">
        <v>44797</v>
      </c>
      <c r="C209" s="1" t="n">
        <v>46046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46046</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29397-2024</t>
        </is>
      </c>
      <c r="B211" s="1" t="n">
        <v>45483</v>
      </c>
      <c r="C211" s="1" t="n">
        <v>46046</v>
      </c>
      <c r="D211" t="inlineStr">
        <is>
          <t>SÖDERMANLANDS LÄN</t>
        </is>
      </c>
      <c r="E211" t="inlineStr">
        <is>
          <t>KATRINEHOLM</t>
        </is>
      </c>
      <c r="G211" t="n">
        <v>3.4</v>
      </c>
      <c r="H211" t="n">
        <v>0</v>
      </c>
      <c r="I211" t="n">
        <v>0</v>
      </c>
      <c r="J211" t="n">
        <v>0</v>
      </c>
      <c r="K211" t="n">
        <v>0</v>
      </c>
      <c r="L211" t="n">
        <v>0</v>
      </c>
      <c r="M211" t="n">
        <v>0</v>
      </c>
      <c r="N211" t="n">
        <v>0</v>
      </c>
      <c r="O211" t="n">
        <v>0</v>
      </c>
      <c r="P211" t="n">
        <v>0</v>
      </c>
      <c r="Q211" t="n">
        <v>0</v>
      </c>
      <c r="R211" s="2" t="inlineStr"/>
    </row>
    <row r="212" ht="15" customHeight="1">
      <c r="A212" t="inlineStr">
        <is>
          <t>A 50061-2022</t>
        </is>
      </c>
      <c r="B212" s="1" t="n">
        <v>44865</v>
      </c>
      <c r="C212" s="1" t="n">
        <v>46046</v>
      </c>
      <c r="D212" t="inlineStr">
        <is>
          <t>SÖDERMANLANDS LÄN</t>
        </is>
      </c>
      <c r="E212" t="inlineStr">
        <is>
          <t>KATRINEHOLM</t>
        </is>
      </c>
      <c r="G212" t="n">
        <v>4.9</v>
      </c>
      <c r="H212" t="n">
        <v>0</v>
      </c>
      <c r="I212" t="n">
        <v>0</v>
      </c>
      <c r="J212" t="n">
        <v>0</v>
      </c>
      <c r="K212" t="n">
        <v>0</v>
      </c>
      <c r="L212" t="n">
        <v>0</v>
      </c>
      <c r="M212" t="n">
        <v>0</v>
      </c>
      <c r="N212" t="n">
        <v>0</v>
      </c>
      <c r="O212" t="n">
        <v>0</v>
      </c>
      <c r="P212" t="n">
        <v>0</v>
      </c>
      <c r="Q212" t="n">
        <v>0</v>
      </c>
      <c r="R212" s="2" t="inlineStr"/>
    </row>
    <row r="213" ht="15" customHeight="1">
      <c r="A213" t="inlineStr">
        <is>
          <t>A 24099-2022</t>
        </is>
      </c>
      <c r="B213" s="1" t="n">
        <v>44725</v>
      </c>
      <c r="C213" s="1" t="n">
        <v>46046</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6807-2023</t>
        </is>
      </c>
      <c r="B214" s="1" t="n">
        <v>44964</v>
      </c>
      <c r="C214" s="1" t="n">
        <v>46046</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6091-2025</t>
        </is>
      </c>
      <c r="B215" s="1" t="n">
        <v>45697</v>
      </c>
      <c r="C215" s="1" t="n">
        <v>46046</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6093-2025</t>
        </is>
      </c>
      <c r="B216" s="1" t="n">
        <v>45697</v>
      </c>
      <c r="C216" s="1" t="n">
        <v>46046</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46046</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30333-2023</t>
        </is>
      </c>
      <c r="B218" s="1" t="n">
        <v>45111</v>
      </c>
      <c r="C218" s="1" t="n">
        <v>46046</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46046</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31684-2021</t>
        </is>
      </c>
      <c r="B220" s="1" t="n">
        <v>44369</v>
      </c>
      <c r="C220" s="1" t="n">
        <v>46046</v>
      </c>
      <c r="D220" t="inlineStr">
        <is>
          <t>SÖDERMANLANDS LÄN</t>
        </is>
      </c>
      <c r="E220" t="inlineStr">
        <is>
          <t>KATRINEHOLM</t>
        </is>
      </c>
      <c r="G220" t="n">
        <v>3.4</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46046</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3980-2024</t>
        </is>
      </c>
      <c r="B222" s="1" t="n">
        <v>45322</v>
      </c>
      <c r="C222" s="1" t="n">
        <v>46046</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30276-2023</t>
        </is>
      </c>
      <c r="B223" s="1" t="n">
        <v>45110</v>
      </c>
      <c r="C223" s="1" t="n">
        <v>46046</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24287-2024</t>
        </is>
      </c>
      <c r="B224" s="1" t="n">
        <v>45457</v>
      </c>
      <c r="C224" s="1" t="n">
        <v>46046</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42791-2023</t>
        </is>
      </c>
      <c r="B225" s="1" t="n">
        <v>45181.92876157408</v>
      </c>
      <c r="C225" s="1" t="n">
        <v>46046</v>
      </c>
      <c r="D225" t="inlineStr">
        <is>
          <t>SÖDERMANLANDS LÄN</t>
        </is>
      </c>
      <c r="E225" t="inlineStr">
        <is>
          <t>KATRINEHOLM</t>
        </is>
      </c>
      <c r="G225" t="n">
        <v>4.1</v>
      </c>
      <c r="H225" t="n">
        <v>0</v>
      </c>
      <c r="I225" t="n">
        <v>0</v>
      </c>
      <c r="J225" t="n">
        <v>0</v>
      </c>
      <c r="K225" t="n">
        <v>0</v>
      </c>
      <c r="L225" t="n">
        <v>0</v>
      </c>
      <c r="M225" t="n">
        <v>0</v>
      </c>
      <c r="N225" t="n">
        <v>0</v>
      </c>
      <c r="O225" t="n">
        <v>0</v>
      </c>
      <c r="P225" t="n">
        <v>0</v>
      </c>
      <c r="Q225" t="n">
        <v>0</v>
      </c>
      <c r="R225" s="2" t="inlineStr"/>
    </row>
    <row r="226" ht="15" customHeight="1">
      <c r="A226" t="inlineStr">
        <is>
          <t>A 42792-2023</t>
        </is>
      </c>
      <c r="B226" s="1" t="n">
        <v>45181.95491898148</v>
      </c>
      <c r="C226" s="1" t="n">
        <v>46046</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32786-2022</t>
        </is>
      </c>
      <c r="B227" s="1" t="n">
        <v>44784</v>
      </c>
      <c r="C227" s="1" t="n">
        <v>46046</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17335-2023</t>
        </is>
      </c>
      <c r="B228" s="1" t="n">
        <v>45033</v>
      </c>
      <c r="C228" s="1" t="n">
        <v>46046</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59898-2022</t>
        </is>
      </c>
      <c r="B229" s="1" t="n">
        <v>44908</v>
      </c>
      <c r="C229" s="1" t="n">
        <v>46046</v>
      </c>
      <c r="D229" t="inlineStr">
        <is>
          <t>SÖDERMANLANDS LÄN</t>
        </is>
      </c>
      <c r="E229" t="inlineStr">
        <is>
          <t>KATRINEHOLM</t>
        </is>
      </c>
      <c r="G229" t="n">
        <v>4.8</v>
      </c>
      <c r="H229" t="n">
        <v>0</v>
      </c>
      <c r="I229" t="n">
        <v>0</v>
      </c>
      <c r="J229" t="n">
        <v>0</v>
      </c>
      <c r="K229" t="n">
        <v>0</v>
      </c>
      <c r="L229" t="n">
        <v>0</v>
      </c>
      <c r="M229" t="n">
        <v>0</v>
      </c>
      <c r="N229" t="n">
        <v>0</v>
      </c>
      <c r="O229" t="n">
        <v>0</v>
      </c>
      <c r="P229" t="n">
        <v>0</v>
      </c>
      <c r="Q229" t="n">
        <v>0</v>
      </c>
      <c r="R229" s="2" t="inlineStr"/>
    </row>
    <row r="230" ht="15" customHeight="1">
      <c r="A230" t="inlineStr">
        <is>
          <t>A 42025-2022</t>
        </is>
      </c>
      <c r="B230" s="1" t="n">
        <v>44830.47399305556</v>
      </c>
      <c r="C230" s="1" t="n">
        <v>46046</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2606-2025</t>
        </is>
      </c>
      <c r="B231" s="1" t="n">
        <v>45674</v>
      </c>
      <c r="C231" s="1" t="n">
        <v>46046</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46046</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48763-2024</t>
        </is>
      </c>
      <c r="B233" s="1" t="n">
        <v>45593.60288194445</v>
      </c>
      <c r="C233" s="1" t="n">
        <v>46046</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40402-2022</t>
        </is>
      </c>
      <c r="B234" s="1" t="n">
        <v>44823.44353009259</v>
      </c>
      <c r="C234" s="1" t="n">
        <v>46046</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7459-2022</t>
        </is>
      </c>
      <c r="B235" s="1" t="n">
        <v>44607.35009259259</v>
      </c>
      <c r="C235" s="1" t="n">
        <v>46046</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38872-2024</t>
        </is>
      </c>
      <c r="B236" s="1" t="n">
        <v>45547</v>
      </c>
      <c r="C236" s="1" t="n">
        <v>46046</v>
      </c>
      <c r="D236" t="inlineStr">
        <is>
          <t>SÖDERMANLANDS LÄN</t>
        </is>
      </c>
      <c r="E236" t="inlineStr">
        <is>
          <t>KATRINEHOLM</t>
        </is>
      </c>
      <c r="G236" t="n">
        <v>5.7</v>
      </c>
      <c r="H236" t="n">
        <v>0</v>
      </c>
      <c r="I236" t="n">
        <v>0</v>
      </c>
      <c r="J236" t="n">
        <v>0</v>
      </c>
      <c r="K236" t="n">
        <v>0</v>
      </c>
      <c r="L236" t="n">
        <v>0</v>
      </c>
      <c r="M236" t="n">
        <v>0</v>
      </c>
      <c r="N236" t="n">
        <v>0</v>
      </c>
      <c r="O236" t="n">
        <v>0</v>
      </c>
      <c r="P236" t="n">
        <v>0</v>
      </c>
      <c r="Q236" t="n">
        <v>0</v>
      </c>
      <c r="R236" s="2" t="inlineStr"/>
    </row>
    <row r="237" ht="15" customHeight="1">
      <c r="A237" t="inlineStr">
        <is>
          <t>A 73412-2021</t>
        </is>
      </c>
      <c r="B237" s="1" t="n">
        <v>44551</v>
      </c>
      <c r="C237" s="1" t="n">
        <v>46046</v>
      </c>
      <c r="D237" t="inlineStr">
        <is>
          <t>SÖDERMANLANDS LÄN</t>
        </is>
      </c>
      <c r="E237" t="inlineStr">
        <is>
          <t>KATRINEHOLM</t>
        </is>
      </c>
      <c r="G237" t="n">
        <v>2</v>
      </c>
      <c r="H237" t="n">
        <v>0</v>
      </c>
      <c r="I237" t="n">
        <v>0</v>
      </c>
      <c r="J237" t="n">
        <v>0</v>
      </c>
      <c r="K237" t="n">
        <v>0</v>
      </c>
      <c r="L237" t="n">
        <v>0</v>
      </c>
      <c r="M237" t="n">
        <v>0</v>
      </c>
      <c r="N237" t="n">
        <v>0</v>
      </c>
      <c r="O237" t="n">
        <v>0</v>
      </c>
      <c r="P237" t="n">
        <v>0</v>
      </c>
      <c r="Q237" t="n">
        <v>0</v>
      </c>
      <c r="R237" s="2" t="inlineStr"/>
    </row>
    <row r="238" ht="15" customHeight="1">
      <c r="A238" t="inlineStr">
        <is>
          <t>A 28995-2024</t>
        </is>
      </c>
      <c r="B238" s="1" t="n">
        <v>45481.49899305555</v>
      </c>
      <c r="C238" s="1" t="n">
        <v>46046</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41229-2022</t>
        </is>
      </c>
      <c r="B239" s="1" t="n">
        <v>44825</v>
      </c>
      <c r="C239" s="1" t="n">
        <v>46046</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28597-2024</t>
        </is>
      </c>
      <c r="B240" s="1" t="n">
        <v>45478</v>
      </c>
      <c r="C240" s="1" t="n">
        <v>46046</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1091-2025</t>
        </is>
      </c>
      <c r="B241" s="1" t="n">
        <v>45666</v>
      </c>
      <c r="C241" s="1" t="n">
        <v>46046</v>
      </c>
      <c r="D241" t="inlineStr">
        <is>
          <t>SÖDERMANLANDS LÄN</t>
        </is>
      </c>
      <c r="E241" t="inlineStr">
        <is>
          <t>KATRINEHOLM</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32890-2024</t>
        </is>
      </c>
      <c r="B242" s="1" t="n">
        <v>45516</v>
      </c>
      <c r="C242" s="1" t="n">
        <v>46046</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39704-2023</t>
        </is>
      </c>
      <c r="B243" s="1" t="n">
        <v>45167</v>
      </c>
      <c r="C243" s="1" t="n">
        <v>46046</v>
      </c>
      <c r="D243" t="inlineStr">
        <is>
          <t>SÖDERMANLANDS LÄN</t>
        </is>
      </c>
      <c r="E243" t="inlineStr">
        <is>
          <t>KATRINEHOLM</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39010-2021</t>
        </is>
      </c>
      <c r="B244" s="1" t="n">
        <v>44412</v>
      </c>
      <c r="C244" s="1" t="n">
        <v>46046</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41966-2023</t>
        </is>
      </c>
      <c r="B245" s="1" t="n">
        <v>45177</v>
      </c>
      <c r="C245" s="1" t="n">
        <v>46046</v>
      </c>
      <c r="D245" t="inlineStr">
        <is>
          <t>SÖDERMANLANDS LÄN</t>
        </is>
      </c>
      <c r="E245" t="inlineStr">
        <is>
          <t>KATRINEHOLM</t>
        </is>
      </c>
      <c r="G245" t="n">
        <v>36.9</v>
      </c>
      <c r="H245" t="n">
        <v>0</v>
      </c>
      <c r="I245" t="n">
        <v>0</v>
      </c>
      <c r="J245" t="n">
        <v>0</v>
      </c>
      <c r="K245" t="n">
        <v>0</v>
      </c>
      <c r="L245" t="n">
        <v>0</v>
      </c>
      <c r="M245" t="n">
        <v>0</v>
      </c>
      <c r="N245" t="n">
        <v>0</v>
      </c>
      <c r="O245" t="n">
        <v>0</v>
      </c>
      <c r="P245" t="n">
        <v>0</v>
      </c>
      <c r="Q245" t="n">
        <v>0</v>
      </c>
      <c r="R245" s="2" t="inlineStr"/>
    </row>
    <row r="246" ht="15" customHeight="1">
      <c r="A246" t="inlineStr">
        <is>
          <t>A 10446-2024</t>
        </is>
      </c>
      <c r="B246" s="1" t="n">
        <v>45366</v>
      </c>
      <c r="C246" s="1" t="n">
        <v>46046</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8761-2023</t>
        </is>
      </c>
      <c r="B247" s="1" t="n">
        <v>44978.49685185185</v>
      </c>
      <c r="C247" s="1" t="n">
        <v>46046</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8778-2023</t>
        </is>
      </c>
      <c r="B248" s="1" t="n">
        <v>44978.5737037037</v>
      </c>
      <c r="C248" s="1" t="n">
        <v>46046</v>
      </c>
      <c r="D248" t="inlineStr">
        <is>
          <t>SÖDERMANLANDS LÄN</t>
        </is>
      </c>
      <c r="E248" t="inlineStr">
        <is>
          <t>KATRINEHOLM</t>
        </is>
      </c>
      <c r="G248" t="n">
        <v>4.5</v>
      </c>
      <c r="H248" t="n">
        <v>0</v>
      </c>
      <c r="I248" t="n">
        <v>0</v>
      </c>
      <c r="J248" t="n">
        <v>0</v>
      </c>
      <c r="K248" t="n">
        <v>0</v>
      </c>
      <c r="L248" t="n">
        <v>0</v>
      </c>
      <c r="M248" t="n">
        <v>0</v>
      </c>
      <c r="N248" t="n">
        <v>0</v>
      </c>
      <c r="O248" t="n">
        <v>0</v>
      </c>
      <c r="P248" t="n">
        <v>0</v>
      </c>
      <c r="Q248" t="n">
        <v>0</v>
      </c>
      <c r="R248" s="2" t="inlineStr"/>
    </row>
    <row r="249" ht="15" customHeight="1">
      <c r="A249" t="inlineStr">
        <is>
          <t>A 15235-2023</t>
        </is>
      </c>
      <c r="B249" s="1" t="n">
        <v>45019</v>
      </c>
      <c r="C249" s="1" t="n">
        <v>46046</v>
      </c>
      <c r="D249" t="inlineStr">
        <is>
          <t>SÖDERMANLANDS LÄN</t>
        </is>
      </c>
      <c r="E249" t="inlineStr">
        <is>
          <t>KATRINEHOLM</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27334-2023</t>
        </is>
      </c>
      <c r="B250" s="1" t="n">
        <v>45096</v>
      </c>
      <c r="C250" s="1" t="n">
        <v>46046</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6311-2025</t>
        </is>
      </c>
      <c r="B251" s="1" t="n">
        <v>45698</v>
      </c>
      <c r="C251" s="1" t="n">
        <v>46046</v>
      </c>
      <c r="D251" t="inlineStr">
        <is>
          <t>SÖDERMANLANDS LÄN</t>
        </is>
      </c>
      <c r="E251" t="inlineStr">
        <is>
          <t>KATRINEHOLM</t>
        </is>
      </c>
      <c r="G251" t="n">
        <v>0.3</v>
      </c>
      <c r="H251" t="n">
        <v>0</v>
      </c>
      <c r="I251" t="n">
        <v>0</v>
      </c>
      <c r="J251" t="n">
        <v>0</v>
      </c>
      <c r="K251" t="n">
        <v>0</v>
      </c>
      <c r="L251" t="n">
        <v>0</v>
      </c>
      <c r="M251" t="n">
        <v>0</v>
      </c>
      <c r="N251" t="n">
        <v>0</v>
      </c>
      <c r="O251" t="n">
        <v>0</v>
      </c>
      <c r="P251" t="n">
        <v>0</v>
      </c>
      <c r="Q251" t="n">
        <v>0</v>
      </c>
      <c r="R251" s="2" t="inlineStr"/>
    </row>
    <row r="252" ht="15" customHeight="1">
      <c r="A252" t="inlineStr">
        <is>
          <t>A 24748-2024</t>
        </is>
      </c>
      <c r="B252" s="1" t="n">
        <v>45460.66567129629</v>
      </c>
      <c r="C252" s="1" t="n">
        <v>46046</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15399-2022</t>
        </is>
      </c>
      <c r="B253" s="1" t="n">
        <v>44659</v>
      </c>
      <c r="C253" s="1" t="n">
        <v>46046</v>
      </c>
      <c r="D253" t="inlineStr">
        <is>
          <t>SÖDERMANLANDS LÄN</t>
        </is>
      </c>
      <c r="E253" t="inlineStr">
        <is>
          <t>KATRINEHOLM</t>
        </is>
      </c>
      <c r="G253" t="n">
        <v>5.6</v>
      </c>
      <c r="H253" t="n">
        <v>0</v>
      </c>
      <c r="I253" t="n">
        <v>0</v>
      </c>
      <c r="J253" t="n">
        <v>0</v>
      </c>
      <c r="K253" t="n">
        <v>0</v>
      </c>
      <c r="L253" t="n">
        <v>0</v>
      </c>
      <c r="M253" t="n">
        <v>0</v>
      </c>
      <c r="N253" t="n">
        <v>0</v>
      </c>
      <c r="O253" t="n">
        <v>0</v>
      </c>
      <c r="P253" t="n">
        <v>0</v>
      </c>
      <c r="Q253" t="n">
        <v>0</v>
      </c>
      <c r="R253" s="2" t="inlineStr"/>
    </row>
    <row r="254" ht="15" customHeight="1">
      <c r="A254" t="inlineStr">
        <is>
          <t>A 49116-2024</t>
        </is>
      </c>
      <c r="B254" s="1" t="n">
        <v>45594.6605787037</v>
      </c>
      <c r="C254" s="1" t="n">
        <v>46046</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44915-2022</t>
        </is>
      </c>
      <c r="B255" s="1" t="n">
        <v>44840</v>
      </c>
      <c r="C255" s="1" t="n">
        <v>46046</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6753-2022</t>
        </is>
      </c>
      <c r="B256" s="1" t="n">
        <v>44602</v>
      </c>
      <c r="C256" s="1" t="n">
        <v>46046</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46046</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39068-2022</t>
        </is>
      </c>
      <c r="B258" s="1" t="n">
        <v>44816</v>
      </c>
      <c r="C258" s="1" t="n">
        <v>46046</v>
      </c>
      <c r="D258" t="inlineStr">
        <is>
          <t>SÖDERMANLANDS LÄN</t>
        </is>
      </c>
      <c r="E258" t="inlineStr">
        <is>
          <t>KATRINEHOLM</t>
        </is>
      </c>
      <c r="G258" t="n">
        <v>3.6</v>
      </c>
      <c r="H258" t="n">
        <v>0</v>
      </c>
      <c r="I258" t="n">
        <v>0</v>
      </c>
      <c r="J258" t="n">
        <v>0</v>
      </c>
      <c r="K258" t="n">
        <v>0</v>
      </c>
      <c r="L258" t="n">
        <v>0</v>
      </c>
      <c r="M258" t="n">
        <v>0</v>
      </c>
      <c r="N258" t="n">
        <v>0</v>
      </c>
      <c r="O258" t="n">
        <v>0</v>
      </c>
      <c r="P258" t="n">
        <v>0</v>
      </c>
      <c r="Q258" t="n">
        <v>0</v>
      </c>
      <c r="R258" s="2" t="inlineStr"/>
    </row>
    <row r="259" ht="15" customHeight="1">
      <c r="A259" t="inlineStr">
        <is>
          <t>A 45793-2022</t>
        </is>
      </c>
      <c r="B259" s="1" t="n">
        <v>44844</v>
      </c>
      <c r="C259" s="1" t="n">
        <v>46046</v>
      </c>
      <c r="D259" t="inlineStr">
        <is>
          <t>SÖDERMANLANDS LÄN</t>
        </is>
      </c>
      <c r="E259" t="inlineStr">
        <is>
          <t>KATRINEHOLM</t>
        </is>
      </c>
      <c r="G259" t="n">
        <v>2.3</v>
      </c>
      <c r="H259" t="n">
        <v>0</v>
      </c>
      <c r="I259" t="n">
        <v>0</v>
      </c>
      <c r="J259" t="n">
        <v>0</v>
      </c>
      <c r="K259" t="n">
        <v>0</v>
      </c>
      <c r="L259" t="n">
        <v>0</v>
      </c>
      <c r="M259" t="n">
        <v>0</v>
      </c>
      <c r="N259" t="n">
        <v>0</v>
      </c>
      <c r="O259" t="n">
        <v>0</v>
      </c>
      <c r="P259" t="n">
        <v>0</v>
      </c>
      <c r="Q259" t="n">
        <v>0</v>
      </c>
      <c r="R259" s="2" t="inlineStr"/>
    </row>
    <row r="260" ht="15" customHeight="1">
      <c r="A260" t="inlineStr">
        <is>
          <t>A 66540-2021</t>
        </is>
      </c>
      <c r="B260" s="1" t="n">
        <v>44519</v>
      </c>
      <c r="C260" s="1" t="n">
        <v>46046</v>
      </c>
      <c r="D260" t="inlineStr">
        <is>
          <t>SÖDERMANLANDS LÄN</t>
        </is>
      </c>
      <c r="E260" t="inlineStr">
        <is>
          <t>KATRINEHOLM</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45438-2021</t>
        </is>
      </c>
      <c r="B261" s="1" t="n">
        <v>44440</v>
      </c>
      <c r="C261" s="1" t="n">
        <v>46046</v>
      </c>
      <c r="D261" t="inlineStr">
        <is>
          <t>SÖDERMANLANDS LÄN</t>
        </is>
      </c>
      <c r="E261" t="inlineStr">
        <is>
          <t>KATRINEHOLM</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22113-2025</t>
        </is>
      </c>
      <c r="B262" s="1" t="n">
        <v>45785</v>
      </c>
      <c r="C262" s="1" t="n">
        <v>46046</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15184-2023</t>
        </is>
      </c>
      <c r="B263" s="1" t="n">
        <v>45016</v>
      </c>
      <c r="C263" s="1" t="n">
        <v>46046</v>
      </c>
      <c r="D263" t="inlineStr">
        <is>
          <t>SÖDERMANLANDS LÄN</t>
        </is>
      </c>
      <c r="E263" t="inlineStr">
        <is>
          <t>KATRINEHOLM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22119-2025</t>
        </is>
      </c>
      <c r="B264" s="1" t="n">
        <v>45785</v>
      </c>
      <c r="C264" s="1" t="n">
        <v>46046</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4387-2024</t>
        </is>
      </c>
      <c r="B265" s="1" t="n">
        <v>45327.35068287037</v>
      </c>
      <c r="C265" s="1" t="n">
        <v>46046</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7704-2023</t>
        </is>
      </c>
      <c r="B266" s="1" t="n">
        <v>44968</v>
      </c>
      <c r="C266" s="1" t="n">
        <v>46046</v>
      </c>
      <c r="D266" t="inlineStr">
        <is>
          <t>SÖDERMANLANDS LÄN</t>
        </is>
      </c>
      <c r="E266" t="inlineStr">
        <is>
          <t>KATRINEHOLM</t>
        </is>
      </c>
      <c r="G266" t="n">
        <v>7.3</v>
      </c>
      <c r="H266" t="n">
        <v>0</v>
      </c>
      <c r="I266" t="n">
        <v>0</v>
      </c>
      <c r="J266" t="n">
        <v>0</v>
      </c>
      <c r="K266" t="n">
        <v>0</v>
      </c>
      <c r="L266" t="n">
        <v>0</v>
      </c>
      <c r="M266" t="n">
        <v>0</v>
      </c>
      <c r="N266" t="n">
        <v>0</v>
      </c>
      <c r="O266" t="n">
        <v>0</v>
      </c>
      <c r="P266" t="n">
        <v>0</v>
      </c>
      <c r="Q266" t="n">
        <v>0</v>
      </c>
      <c r="R266" s="2" t="inlineStr"/>
    </row>
    <row r="267" ht="15" customHeight="1">
      <c r="A267" t="inlineStr">
        <is>
          <t>A 18386-2025</t>
        </is>
      </c>
      <c r="B267" s="1" t="n">
        <v>45762</v>
      </c>
      <c r="C267" s="1" t="n">
        <v>46046</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24983-2024</t>
        </is>
      </c>
      <c r="B268" s="1" t="n">
        <v>45461</v>
      </c>
      <c r="C268" s="1" t="n">
        <v>46046</v>
      </c>
      <c r="D268" t="inlineStr">
        <is>
          <t>SÖDERMANLANDS LÄN</t>
        </is>
      </c>
      <c r="E268" t="inlineStr">
        <is>
          <t>KATRINEHOLM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22336-2025</t>
        </is>
      </c>
      <c r="B269" s="1" t="n">
        <v>45786.44217592593</v>
      </c>
      <c r="C269" s="1" t="n">
        <v>46046</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32943-2024</t>
        </is>
      </c>
      <c r="B270" s="1" t="n">
        <v>45517</v>
      </c>
      <c r="C270" s="1" t="n">
        <v>46046</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58528-2024</t>
        </is>
      </c>
      <c r="B271" s="1" t="n">
        <v>45635.44527777778</v>
      </c>
      <c r="C271" s="1" t="n">
        <v>46046</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14313-2024</t>
        </is>
      </c>
      <c r="B272" s="1" t="n">
        <v>45393</v>
      </c>
      <c r="C272" s="1" t="n">
        <v>46046</v>
      </c>
      <c r="D272" t="inlineStr">
        <is>
          <t>SÖDERMANLANDS LÄN</t>
        </is>
      </c>
      <c r="E272" t="inlineStr">
        <is>
          <t>KATRINEHOLM</t>
        </is>
      </c>
      <c r="G272" t="n">
        <v>3.1</v>
      </c>
      <c r="H272" t="n">
        <v>0</v>
      </c>
      <c r="I272" t="n">
        <v>0</v>
      </c>
      <c r="J272" t="n">
        <v>0</v>
      </c>
      <c r="K272" t="n">
        <v>0</v>
      </c>
      <c r="L272" t="n">
        <v>0</v>
      </c>
      <c r="M272" t="n">
        <v>0</v>
      </c>
      <c r="N272" t="n">
        <v>0</v>
      </c>
      <c r="O272" t="n">
        <v>0</v>
      </c>
      <c r="P272" t="n">
        <v>0</v>
      </c>
      <c r="Q272" t="n">
        <v>0</v>
      </c>
      <c r="R272" s="2" t="inlineStr"/>
    </row>
    <row r="273" ht="15" customHeight="1">
      <c r="A273" t="inlineStr">
        <is>
          <t>A 12938-2023</t>
        </is>
      </c>
      <c r="B273" s="1" t="n">
        <v>45001</v>
      </c>
      <c r="C273" s="1" t="n">
        <v>46046</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8288-2023</t>
        </is>
      </c>
      <c r="B274" s="1" t="n">
        <v>44974</v>
      </c>
      <c r="C274" s="1" t="n">
        <v>46046</v>
      </c>
      <c r="D274" t="inlineStr">
        <is>
          <t>SÖDERMANLANDS LÄN</t>
        </is>
      </c>
      <c r="E274" t="inlineStr">
        <is>
          <t>KATRINEHOLM</t>
        </is>
      </c>
      <c r="F274" t="inlineStr">
        <is>
          <t>Allmännings- och besparingsskogar</t>
        </is>
      </c>
      <c r="G274" t="n">
        <v>5.6</v>
      </c>
      <c r="H274" t="n">
        <v>0</v>
      </c>
      <c r="I274" t="n">
        <v>0</v>
      </c>
      <c r="J274" t="n">
        <v>0</v>
      </c>
      <c r="K274" t="n">
        <v>0</v>
      </c>
      <c r="L274" t="n">
        <v>0</v>
      </c>
      <c r="M274" t="n">
        <v>0</v>
      </c>
      <c r="N274" t="n">
        <v>0</v>
      </c>
      <c r="O274" t="n">
        <v>0</v>
      </c>
      <c r="P274" t="n">
        <v>0</v>
      </c>
      <c r="Q274" t="n">
        <v>0</v>
      </c>
      <c r="R274" s="2" t="inlineStr"/>
    </row>
    <row r="275" ht="15" customHeight="1">
      <c r="A275" t="inlineStr">
        <is>
          <t>A 45142-2021</t>
        </is>
      </c>
      <c r="B275" s="1" t="n">
        <v>44439</v>
      </c>
      <c r="C275" s="1" t="n">
        <v>46046</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7398-2024</t>
        </is>
      </c>
      <c r="B276" s="1" t="n">
        <v>45345</v>
      </c>
      <c r="C276" s="1" t="n">
        <v>46046</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5788-2022</t>
        </is>
      </c>
      <c r="B277" s="1" t="n">
        <v>44596.54990740741</v>
      </c>
      <c r="C277" s="1" t="n">
        <v>46046</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5790-2022</t>
        </is>
      </c>
      <c r="B278" s="1" t="n">
        <v>44596.55368055555</v>
      </c>
      <c r="C278" s="1" t="n">
        <v>46046</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53387-2023</t>
        </is>
      </c>
      <c r="B279" s="1" t="n">
        <v>45229</v>
      </c>
      <c r="C279" s="1" t="n">
        <v>46046</v>
      </c>
      <c r="D279" t="inlineStr">
        <is>
          <t>SÖDERMANLANDS LÄN</t>
        </is>
      </c>
      <c r="E279" t="inlineStr">
        <is>
          <t>KATRINEHOLM</t>
        </is>
      </c>
      <c r="F279" t="inlineStr">
        <is>
          <t>Kyrkan</t>
        </is>
      </c>
      <c r="G279" t="n">
        <v>7.4</v>
      </c>
      <c r="H279" t="n">
        <v>0</v>
      </c>
      <c r="I279" t="n">
        <v>0</v>
      </c>
      <c r="J279" t="n">
        <v>0</v>
      </c>
      <c r="K279" t="n">
        <v>0</v>
      </c>
      <c r="L279" t="n">
        <v>0</v>
      </c>
      <c r="M279" t="n">
        <v>0</v>
      </c>
      <c r="N279" t="n">
        <v>0</v>
      </c>
      <c r="O279" t="n">
        <v>0</v>
      </c>
      <c r="P279" t="n">
        <v>0</v>
      </c>
      <c r="Q279" t="n">
        <v>0</v>
      </c>
      <c r="R279" s="2" t="inlineStr"/>
    </row>
    <row r="280" ht="15" customHeight="1">
      <c r="A280" t="inlineStr">
        <is>
          <t>A 55169-2022</t>
        </is>
      </c>
      <c r="B280" s="1" t="n">
        <v>44886</v>
      </c>
      <c r="C280" s="1" t="n">
        <v>46046</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22476-2025</t>
        </is>
      </c>
      <c r="B281" s="1" t="n">
        <v>45786</v>
      </c>
      <c r="C281" s="1" t="n">
        <v>46046</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23838-2021</t>
        </is>
      </c>
      <c r="B282" s="1" t="n">
        <v>44335</v>
      </c>
      <c r="C282" s="1" t="n">
        <v>46046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13612-2023</t>
        </is>
      </c>
      <c r="B283" s="1" t="n">
        <v>45006</v>
      </c>
      <c r="C283" s="1" t="n">
        <v>46046</v>
      </c>
      <c r="D283" t="inlineStr">
        <is>
          <t>SÖDERMANLANDS LÄN</t>
        </is>
      </c>
      <c r="E283" t="inlineStr">
        <is>
          <t>KATRINEHOLM</t>
        </is>
      </c>
      <c r="G283" t="n">
        <v>2.3</v>
      </c>
      <c r="H283" t="n">
        <v>0</v>
      </c>
      <c r="I283" t="n">
        <v>0</v>
      </c>
      <c r="J283" t="n">
        <v>0</v>
      </c>
      <c r="K283" t="n">
        <v>0</v>
      </c>
      <c r="L283" t="n">
        <v>0</v>
      </c>
      <c r="M283" t="n">
        <v>0</v>
      </c>
      <c r="N283" t="n">
        <v>0</v>
      </c>
      <c r="O283" t="n">
        <v>0</v>
      </c>
      <c r="P283" t="n">
        <v>0</v>
      </c>
      <c r="Q283" t="n">
        <v>0</v>
      </c>
      <c r="R283" s="2" t="inlineStr"/>
    </row>
    <row r="284" ht="15" customHeight="1">
      <c r="A284" t="inlineStr">
        <is>
          <t>A 8955-2024</t>
        </is>
      </c>
      <c r="B284" s="1" t="n">
        <v>45357.44873842593</v>
      </c>
      <c r="C284" s="1" t="n">
        <v>46046</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14478-2023</t>
        </is>
      </c>
      <c r="B285" s="1" t="n">
        <v>45012.66421296296</v>
      </c>
      <c r="C285" s="1" t="n">
        <v>46046</v>
      </c>
      <c r="D285" t="inlineStr">
        <is>
          <t>SÖDERMANLANDS LÄN</t>
        </is>
      </c>
      <c r="E285" t="inlineStr">
        <is>
          <t>KATRINEHOLM</t>
        </is>
      </c>
      <c r="G285" t="n">
        <v>3.9</v>
      </c>
      <c r="H285" t="n">
        <v>0</v>
      </c>
      <c r="I285" t="n">
        <v>0</v>
      </c>
      <c r="J285" t="n">
        <v>0</v>
      </c>
      <c r="K285" t="n">
        <v>0</v>
      </c>
      <c r="L285" t="n">
        <v>0</v>
      </c>
      <c r="M285" t="n">
        <v>0</v>
      </c>
      <c r="N285" t="n">
        <v>0</v>
      </c>
      <c r="O285" t="n">
        <v>0</v>
      </c>
      <c r="P285" t="n">
        <v>0</v>
      </c>
      <c r="Q285" t="n">
        <v>0</v>
      </c>
      <c r="R285" s="2" t="inlineStr"/>
    </row>
    <row r="286" ht="15" customHeight="1">
      <c r="A286" t="inlineStr">
        <is>
          <t>A 20949-2021</t>
        </is>
      </c>
      <c r="B286" s="1" t="n">
        <v>44319</v>
      </c>
      <c r="C286" s="1" t="n">
        <v>46046</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39055-2022</t>
        </is>
      </c>
      <c r="B287" s="1" t="n">
        <v>44817</v>
      </c>
      <c r="C287" s="1" t="n">
        <v>46046</v>
      </c>
      <c r="D287" t="inlineStr">
        <is>
          <t>SÖDERMANLANDS LÄN</t>
        </is>
      </c>
      <c r="E287" t="inlineStr">
        <is>
          <t>KATRINEHOLM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36001-2024</t>
        </is>
      </c>
      <c r="B288" s="1" t="n">
        <v>45533.54609953704</v>
      </c>
      <c r="C288" s="1" t="n">
        <v>46046</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46046</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36-2023</t>
        </is>
      </c>
      <c r="B290" s="1" t="n">
        <v>44928.36578703704</v>
      </c>
      <c r="C290" s="1" t="n">
        <v>46046</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7056-2022</t>
        </is>
      </c>
      <c r="B291" s="1" t="n">
        <v>44603</v>
      </c>
      <c r="C291" s="1" t="n">
        <v>46046</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4650-2024</t>
        </is>
      </c>
      <c r="B292" s="1" t="n">
        <v>45328</v>
      </c>
      <c r="C292" s="1" t="n">
        <v>46046</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4652-2024</t>
        </is>
      </c>
      <c r="B293" s="1" t="n">
        <v>45328</v>
      </c>
      <c r="C293" s="1" t="n">
        <v>46046</v>
      </c>
      <c r="D293" t="inlineStr">
        <is>
          <t>SÖDERMANLANDS LÄN</t>
        </is>
      </c>
      <c r="E293" t="inlineStr">
        <is>
          <t>KATRINEHOLM</t>
        </is>
      </c>
      <c r="F293" t="inlineStr">
        <is>
          <t>Övriga Aktiebolag</t>
        </is>
      </c>
      <c r="G293" t="n">
        <v>6.1</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46046</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48253-2022</t>
        </is>
      </c>
      <c r="B295" s="1" t="n">
        <v>44858</v>
      </c>
      <c r="C295" s="1" t="n">
        <v>46046</v>
      </c>
      <c r="D295" t="inlineStr">
        <is>
          <t>SÖDERMANLANDS LÄN</t>
        </is>
      </c>
      <c r="E295" t="inlineStr">
        <is>
          <t>KATRINEHOLM</t>
        </is>
      </c>
      <c r="G295" t="n">
        <v>4.7</v>
      </c>
      <c r="H295" t="n">
        <v>0</v>
      </c>
      <c r="I295" t="n">
        <v>0</v>
      </c>
      <c r="J295" t="n">
        <v>0</v>
      </c>
      <c r="K295" t="n">
        <v>0</v>
      </c>
      <c r="L295" t="n">
        <v>0</v>
      </c>
      <c r="M295" t="n">
        <v>0</v>
      </c>
      <c r="N295" t="n">
        <v>0</v>
      </c>
      <c r="O295" t="n">
        <v>0</v>
      </c>
      <c r="P295" t="n">
        <v>0</v>
      </c>
      <c r="Q295" t="n">
        <v>0</v>
      </c>
      <c r="R295" s="2" t="inlineStr"/>
    </row>
    <row r="296" ht="15" customHeight="1">
      <c r="A296" t="inlineStr">
        <is>
          <t>A 12937-2023</t>
        </is>
      </c>
      <c r="B296" s="1" t="n">
        <v>45001</v>
      </c>
      <c r="C296" s="1" t="n">
        <v>46046</v>
      </c>
      <c r="D296" t="inlineStr">
        <is>
          <t>SÖDERMANLANDS LÄN</t>
        </is>
      </c>
      <c r="E296" t="inlineStr">
        <is>
          <t>KATRINEHOLM</t>
        </is>
      </c>
      <c r="G296" t="n">
        <v>0.9</v>
      </c>
      <c r="H296" t="n">
        <v>0</v>
      </c>
      <c r="I296" t="n">
        <v>0</v>
      </c>
      <c r="J296" t="n">
        <v>0</v>
      </c>
      <c r="K296" t="n">
        <v>0</v>
      </c>
      <c r="L296" t="n">
        <v>0</v>
      </c>
      <c r="M296" t="n">
        <v>0</v>
      </c>
      <c r="N296" t="n">
        <v>0</v>
      </c>
      <c r="O296" t="n">
        <v>0</v>
      </c>
      <c r="P296" t="n">
        <v>0</v>
      </c>
      <c r="Q296" t="n">
        <v>0</v>
      </c>
      <c r="R296" s="2" t="inlineStr"/>
    </row>
    <row r="297" ht="15" customHeight="1">
      <c r="A297" t="inlineStr">
        <is>
          <t>A 32166-2022</t>
        </is>
      </c>
      <c r="B297" s="1" t="n">
        <v>44781</v>
      </c>
      <c r="C297" s="1" t="n">
        <v>46046</v>
      </c>
      <c r="D297" t="inlineStr">
        <is>
          <t>SÖDERMANLANDS LÄN</t>
        </is>
      </c>
      <c r="E297" t="inlineStr">
        <is>
          <t>KATRINEHOLM</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46569-2022</t>
        </is>
      </c>
      <c r="B298" s="1" t="n">
        <v>44847</v>
      </c>
      <c r="C298" s="1" t="n">
        <v>46046</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59384-2022</t>
        </is>
      </c>
      <c r="B299" s="1" t="n">
        <v>44905</v>
      </c>
      <c r="C299" s="1" t="n">
        <v>46046</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19098-2022</t>
        </is>
      </c>
      <c r="B300" s="1" t="n">
        <v>44691.52616898148</v>
      </c>
      <c r="C300" s="1" t="n">
        <v>46046</v>
      </c>
      <c r="D300" t="inlineStr">
        <is>
          <t>SÖDERMANLANDS LÄN</t>
        </is>
      </c>
      <c r="E300" t="inlineStr">
        <is>
          <t>KATRINEHOLM</t>
        </is>
      </c>
      <c r="G300" t="n">
        <v>5.5</v>
      </c>
      <c r="H300" t="n">
        <v>0</v>
      </c>
      <c r="I300" t="n">
        <v>0</v>
      </c>
      <c r="J300" t="n">
        <v>0</v>
      </c>
      <c r="K300" t="n">
        <v>0</v>
      </c>
      <c r="L300" t="n">
        <v>0</v>
      </c>
      <c r="M300" t="n">
        <v>0</v>
      </c>
      <c r="N300" t="n">
        <v>0</v>
      </c>
      <c r="O300" t="n">
        <v>0</v>
      </c>
      <c r="P300" t="n">
        <v>0</v>
      </c>
      <c r="Q300" t="n">
        <v>0</v>
      </c>
      <c r="R300" s="2" t="inlineStr"/>
    </row>
    <row r="301" ht="15" customHeight="1">
      <c r="A301" t="inlineStr">
        <is>
          <t>A 51530-2023</t>
        </is>
      </c>
      <c r="B301" s="1" t="n">
        <v>45222</v>
      </c>
      <c r="C301" s="1" t="n">
        <v>46046</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10996-2022</t>
        </is>
      </c>
      <c r="B302" s="1" t="n">
        <v>44628</v>
      </c>
      <c r="C302" s="1" t="n">
        <v>46046</v>
      </c>
      <c r="D302" t="inlineStr">
        <is>
          <t>SÖDERMANLANDS LÄN</t>
        </is>
      </c>
      <c r="E302" t="inlineStr">
        <is>
          <t>KATRINEHOLM</t>
        </is>
      </c>
      <c r="G302" t="n">
        <v>0.3</v>
      </c>
      <c r="H302" t="n">
        <v>0</v>
      </c>
      <c r="I302" t="n">
        <v>0</v>
      </c>
      <c r="J302" t="n">
        <v>0</v>
      </c>
      <c r="K302" t="n">
        <v>0</v>
      </c>
      <c r="L302" t="n">
        <v>0</v>
      </c>
      <c r="M302" t="n">
        <v>0</v>
      </c>
      <c r="N302" t="n">
        <v>0</v>
      </c>
      <c r="O302" t="n">
        <v>0</v>
      </c>
      <c r="P302" t="n">
        <v>0</v>
      </c>
      <c r="Q302" t="n">
        <v>0</v>
      </c>
      <c r="R302" s="2" t="inlineStr"/>
    </row>
    <row r="303" ht="15" customHeight="1">
      <c r="A303" t="inlineStr">
        <is>
          <t>A 3315-2023</t>
        </is>
      </c>
      <c r="B303" s="1" t="n">
        <v>44945</v>
      </c>
      <c r="C303" s="1" t="n">
        <v>46046</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42896-2024</t>
        </is>
      </c>
      <c r="B304" s="1" t="n">
        <v>45566.82973379629</v>
      </c>
      <c r="C304" s="1" t="n">
        <v>46046</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2093-2025</t>
        </is>
      </c>
      <c r="B305" s="1" t="n">
        <v>45672</v>
      </c>
      <c r="C305" s="1" t="n">
        <v>46046</v>
      </c>
      <c r="D305" t="inlineStr">
        <is>
          <t>SÖDERMANLANDS LÄN</t>
        </is>
      </c>
      <c r="E305" t="inlineStr">
        <is>
          <t>KATRINEHOLM</t>
        </is>
      </c>
      <c r="G305" t="n">
        <v>1.4</v>
      </c>
      <c r="H305" t="n">
        <v>0</v>
      </c>
      <c r="I305" t="n">
        <v>0</v>
      </c>
      <c r="J305" t="n">
        <v>0</v>
      </c>
      <c r="K305" t="n">
        <v>0</v>
      </c>
      <c r="L305" t="n">
        <v>0</v>
      </c>
      <c r="M305" t="n">
        <v>0</v>
      </c>
      <c r="N305" t="n">
        <v>0</v>
      </c>
      <c r="O305" t="n">
        <v>0</v>
      </c>
      <c r="P305" t="n">
        <v>0</v>
      </c>
      <c r="Q305" t="n">
        <v>0</v>
      </c>
      <c r="R305" s="2" t="inlineStr"/>
    </row>
    <row r="306" ht="15" customHeight="1">
      <c r="A306" t="inlineStr">
        <is>
          <t>A 25363-2023</t>
        </is>
      </c>
      <c r="B306" s="1" t="n">
        <v>45088.83840277778</v>
      </c>
      <c r="C306" s="1" t="n">
        <v>46046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29008-2024</t>
        </is>
      </c>
      <c r="B307" s="1" t="n">
        <v>45481</v>
      </c>
      <c r="C307" s="1" t="n">
        <v>46046</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62419-2023</t>
        </is>
      </c>
      <c r="B308" s="1" t="n">
        <v>45268</v>
      </c>
      <c r="C308" s="1" t="n">
        <v>46046</v>
      </c>
      <c r="D308" t="inlineStr">
        <is>
          <t>SÖDERMANLANDS LÄN</t>
        </is>
      </c>
      <c r="E308" t="inlineStr">
        <is>
          <t>KATRINEHOLM</t>
        </is>
      </c>
      <c r="G308" t="n">
        <v>9</v>
      </c>
      <c r="H308" t="n">
        <v>0</v>
      </c>
      <c r="I308" t="n">
        <v>0</v>
      </c>
      <c r="J308" t="n">
        <v>0</v>
      </c>
      <c r="K308" t="n">
        <v>0</v>
      </c>
      <c r="L308" t="n">
        <v>0</v>
      </c>
      <c r="M308" t="n">
        <v>0</v>
      </c>
      <c r="N308" t="n">
        <v>0</v>
      </c>
      <c r="O308" t="n">
        <v>0</v>
      </c>
      <c r="P308" t="n">
        <v>0</v>
      </c>
      <c r="Q308" t="n">
        <v>0</v>
      </c>
      <c r="R308" s="2" t="inlineStr"/>
    </row>
    <row r="309" ht="15" customHeight="1">
      <c r="A309" t="inlineStr">
        <is>
          <t>A 7705-2021</t>
        </is>
      </c>
      <c r="B309" s="1" t="n">
        <v>44242</v>
      </c>
      <c r="C309" s="1" t="n">
        <v>46046</v>
      </c>
      <c r="D309" t="inlineStr">
        <is>
          <t>SÖDERMANLANDS LÄN</t>
        </is>
      </c>
      <c r="E309" t="inlineStr">
        <is>
          <t>KATRINEHOLM</t>
        </is>
      </c>
      <c r="F309" t="inlineStr">
        <is>
          <t>Allmännings- och besparingsskogar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24902-2024</t>
        </is>
      </c>
      <c r="B310" s="1" t="n">
        <v>45461</v>
      </c>
      <c r="C310" s="1" t="n">
        <v>46046</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53722-2023</t>
        </is>
      </c>
      <c r="B311" s="1" t="n">
        <v>45230</v>
      </c>
      <c r="C311" s="1" t="n">
        <v>46046</v>
      </c>
      <c r="D311" t="inlineStr">
        <is>
          <t>SÖDERMANLANDS LÄN</t>
        </is>
      </c>
      <c r="E311" t="inlineStr">
        <is>
          <t>KATRINEHOLM</t>
        </is>
      </c>
      <c r="F311" t="inlineStr">
        <is>
          <t>Allmännings- och besparingsskogar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20826-2022</t>
        </is>
      </c>
      <c r="B312" s="1" t="n">
        <v>44701.44754629629</v>
      </c>
      <c r="C312" s="1" t="n">
        <v>46046</v>
      </c>
      <c r="D312" t="inlineStr">
        <is>
          <t>SÖDERMANLANDS LÄN</t>
        </is>
      </c>
      <c r="E312" t="inlineStr">
        <is>
          <t>KATRINEHOLM</t>
        </is>
      </c>
      <c r="G312" t="n">
        <v>6.8</v>
      </c>
      <c r="H312" t="n">
        <v>0</v>
      </c>
      <c r="I312" t="n">
        <v>0</v>
      </c>
      <c r="J312" t="n">
        <v>0</v>
      </c>
      <c r="K312" t="n">
        <v>0</v>
      </c>
      <c r="L312" t="n">
        <v>0</v>
      </c>
      <c r="M312" t="n">
        <v>0</v>
      </c>
      <c r="N312" t="n">
        <v>0</v>
      </c>
      <c r="O312" t="n">
        <v>0</v>
      </c>
      <c r="P312" t="n">
        <v>0</v>
      </c>
      <c r="Q312" t="n">
        <v>0</v>
      </c>
      <c r="R312" s="2" t="inlineStr"/>
    </row>
    <row r="313" ht="15" customHeight="1">
      <c r="A313" t="inlineStr">
        <is>
          <t>A 20846-2022</t>
        </is>
      </c>
      <c r="B313" s="1" t="n">
        <v>44701.4744212963</v>
      </c>
      <c r="C313" s="1" t="n">
        <v>46046</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48398-2022</t>
        </is>
      </c>
      <c r="B314" s="1" t="n">
        <v>44858.60809027778</v>
      </c>
      <c r="C314" s="1" t="n">
        <v>46046</v>
      </c>
      <c r="D314" t="inlineStr">
        <is>
          <t>SÖDERMANLANDS LÄN</t>
        </is>
      </c>
      <c r="E314" t="inlineStr">
        <is>
          <t>KATRINEHOLM</t>
        </is>
      </c>
      <c r="G314" t="n">
        <v>1.9</v>
      </c>
      <c r="H314" t="n">
        <v>0</v>
      </c>
      <c r="I314" t="n">
        <v>0</v>
      </c>
      <c r="J314" t="n">
        <v>0</v>
      </c>
      <c r="K314" t="n">
        <v>0</v>
      </c>
      <c r="L314" t="n">
        <v>0</v>
      </c>
      <c r="M314" t="n">
        <v>0</v>
      </c>
      <c r="N314" t="n">
        <v>0</v>
      </c>
      <c r="O314" t="n">
        <v>0</v>
      </c>
      <c r="P314" t="n">
        <v>0</v>
      </c>
      <c r="Q314" t="n">
        <v>0</v>
      </c>
      <c r="R314" s="2" t="inlineStr"/>
    </row>
    <row r="315" ht="15" customHeight="1">
      <c r="A315" t="inlineStr">
        <is>
          <t>A 15945-2024</t>
        </is>
      </c>
      <c r="B315" s="1" t="n">
        <v>45405.48912037037</v>
      </c>
      <c r="C315" s="1" t="n">
        <v>46046</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1329-2025</t>
        </is>
      </c>
      <c r="B316" s="1" t="n">
        <v>45667</v>
      </c>
      <c r="C316" s="1" t="n">
        <v>46046</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17246-2024</t>
        </is>
      </c>
      <c r="B317" s="1" t="n">
        <v>45414</v>
      </c>
      <c r="C317" s="1" t="n">
        <v>46046</v>
      </c>
      <c r="D317" t="inlineStr">
        <is>
          <t>SÖDERMANLANDS LÄN</t>
        </is>
      </c>
      <c r="E317" t="inlineStr">
        <is>
          <t>KATRINEHOLM</t>
        </is>
      </c>
      <c r="F317" t="inlineStr">
        <is>
          <t>Allmännings- och besparingsskogar</t>
        </is>
      </c>
      <c r="G317" t="n">
        <v>13.7</v>
      </c>
      <c r="H317" t="n">
        <v>0</v>
      </c>
      <c r="I317" t="n">
        <v>0</v>
      </c>
      <c r="J317" t="n">
        <v>0</v>
      </c>
      <c r="K317" t="n">
        <v>0</v>
      </c>
      <c r="L317" t="n">
        <v>0</v>
      </c>
      <c r="M317" t="n">
        <v>0</v>
      </c>
      <c r="N317" t="n">
        <v>0</v>
      </c>
      <c r="O317" t="n">
        <v>0</v>
      </c>
      <c r="P317" t="n">
        <v>0</v>
      </c>
      <c r="Q317" t="n">
        <v>0</v>
      </c>
      <c r="R317" s="2" t="inlineStr"/>
    </row>
    <row r="318" ht="15" customHeight="1">
      <c r="A318" t="inlineStr">
        <is>
          <t>A 38869-2024</t>
        </is>
      </c>
      <c r="B318" s="1" t="n">
        <v>45547</v>
      </c>
      <c r="C318" s="1" t="n">
        <v>46046</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20214-2025</t>
        </is>
      </c>
      <c r="B319" s="1" t="n">
        <v>45772.63540509259</v>
      </c>
      <c r="C319" s="1" t="n">
        <v>46046</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62140-2022</t>
        </is>
      </c>
      <c r="B320" s="1" t="n">
        <v>44922</v>
      </c>
      <c r="C320" s="1" t="n">
        <v>46046</v>
      </c>
      <c r="D320" t="inlineStr">
        <is>
          <t>SÖDERMANLANDS LÄN</t>
        </is>
      </c>
      <c r="E320" t="inlineStr">
        <is>
          <t>KATRINEHOLM</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2603-2025</t>
        </is>
      </c>
      <c r="B321" s="1" t="n">
        <v>45674</v>
      </c>
      <c r="C321" s="1" t="n">
        <v>46046</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27375-2024</t>
        </is>
      </c>
      <c r="B322" s="1" t="n">
        <v>45473.87645833333</v>
      </c>
      <c r="C322" s="1" t="n">
        <v>46046</v>
      </c>
      <c r="D322" t="inlineStr">
        <is>
          <t>SÖDERMANLANDS LÄN</t>
        </is>
      </c>
      <c r="E322" t="inlineStr">
        <is>
          <t>KATRINEHOLM</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7867-2024</t>
        </is>
      </c>
      <c r="B323" s="1" t="n">
        <v>45350.32991898148</v>
      </c>
      <c r="C323" s="1" t="n">
        <v>46046</v>
      </c>
      <c r="D323" t="inlineStr">
        <is>
          <t>SÖDERMANLANDS LÄN</t>
        </is>
      </c>
      <c r="E323" t="inlineStr">
        <is>
          <t>KATRINEHOLM</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8957-2024</t>
        </is>
      </c>
      <c r="B324" s="1" t="n">
        <v>45357.45089120371</v>
      </c>
      <c r="C324" s="1" t="n">
        <v>46046</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8475-2023</t>
        </is>
      </c>
      <c r="B325" s="1" t="n">
        <v>44977</v>
      </c>
      <c r="C325" s="1" t="n">
        <v>46046</v>
      </c>
      <c r="D325" t="inlineStr">
        <is>
          <t>SÖDERMANLANDS LÄN</t>
        </is>
      </c>
      <c r="E325" t="inlineStr">
        <is>
          <t>KATRINEHOLM</t>
        </is>
      </c>
      <c r="F325" t="inlineStr">
        <is>
          <t>Allmännings- och besparingsskogar</t>
        </is>
      </c>
      <c r="G325" t="n">
        <v>8.1</v>
      </c>
      <c r="H325" t="n">
        <v>0</v>
      </c>
      <c r="I325" t="n">
        <v>0</v>
      </c>
      <c r="J325" t="n">
        <v>0</v>
      </c>
      <c r="K325" t="n">
        <v>0</v>
      </c>
      <c r="L325" t="n">
        <v>0</v>
      </c>
      <c r="M325" t="n">
        <v>0</v>
      </c>
      <c r="N325" t="n">
        <v>0</v>
      </c>
      <c r="O325" t="n">
        <v>0</v>
      </c>
      <c r="P325" t="n">
        <v>0</v>
      </c>
      <c r="Q325" t="n">
        <v>0</v>
      </c>
      <c r="R325" s="2" t="inlineStr"/>
    </row>
    <row r="326" ht="15" customHeight="1">
      <c r="A326" t="inlineStr">
        <is>
          <t>A 8518-2023</t>
        </is>
      </c>
      <c r="B326" s="1" t="n">
        <v>44977</v>
      </c>
      <c r="C326" s="1" t="n">
        <v>46046</v>
      </c>
      <c r="D326" t="inlineStr">
        <is>
          <t>SÖDERMANLANDS LÄN</t>
        </is>
      </c>
      <c r="E326" t="inlineStr">
        <is>
          <t>KATRINEHOLM</t>
        </is>
      </c>
      <c r="F326" t="inlineStr">
        <is>
          <t>Allmännings- och besparingsskogar</t>
        </is>
      </c>
      <c r="G326" t="n">
        <v>35.3</v>
      </c>
      <c r="H326" t="n">
        <v>0</v>
      </c>
      <c r="I326" t="n">
        <v>0</v>
      </c>
      <c r="J326" t="n">
        <v>0</v>
      </c>
      <c r="K326" t="n">
        <v>0</v>
      </c>
      <c r="L326" t="n">
        <v>0</v>
      </c>
      <c r="M326" t="n">
        <v>0</v>
      </c>
      <c r="N326" t="n">
        <v>0</v>
      </c>
      <c r="O326" t="n">
        <v>0</v>
      </c>
      <c r="P326" t="n">
        <v>0</v>
      </c>
      <c r="Q326" t="n">
        <v>0</v>
      </c>
      <c r="R326" s="2" t="inlineStr"/>
    </row>
    <row r="327" ht="15" customHeight="1">
      <c r="A327" t="inlineStr">
        <is>
          <t>A 61423-2024</t>
        </is>
      </c>
      <c r="B327" s="1" t="n">
        <v>45646.45209490741</v>
      </c>
      <c r="C327" s="1" t="n">
        <v>46046</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46670-2021</t>
        </is>
      </c>
      <c r="B328" s="1" t="n">
        <v>44445</v>
      </c>
      <c r="C328" s="1" t="n">
        <v>46046</v>
      </c>
      <c r="D328" t="inlineStr">
        <is>
          <t>SÖDERMANLANDS LÄN</t>
        </is>
      </c>
      <c r="E328" t="inlineStr">
        <is>
          <t>KATRINEHOLM</t>
        </is>
      </c>
      <c r="G328" t="n">
        <v>4.4</v>
      </c>
      <c r="H328" t="n">
        <v>0</v>
      </c>
      <c r="I328" t="n">
        <v>0</v>
      </c>
      <c r="J328" t="n">
        <v>0</v>
      </c>
      <c r="K328" t="n">
        <v>0</v>
      </c>
      <c r="L328" t="n">
        <v>0</v>
      </c>
      <c r="M328" t="n">
        <v>0</v>
      </c>
      <c r="N328" t="n">
        <v>0</v>
      </c>
      <c r="O328" t="n">
        <v>0</v>
      </c>
      <c r="P328" t="n">
        <v>0</v>
      </c>
      <c r="Q328" t="n">
        <v>0</v>
      </c>
      <c r="R328" s="2" t="inlineStr"/>
    </row>
    <row r="329" ht="15" customHeight="1">
      <c r="A329" t="inlineStr">
        <is>
          <t>A 12930-2023</t>
        </is>
      </c>
      <c r="B329" s="1" t="n">
        <v>45001</v>
      </c>
      <c r="C329" s="1" t="n">
        <v>46046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38308-2021</t>
        </is>
      </c>
      <c r="B330" s="1" t="n">
        <v>44406</v>
      </c>
      <c r="C330" s="1" t="n">
        <v>46046</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23031-2024</t>
        </is>
      </c>
      <c r="B331" s="1" t="n">
        <v>45450.38120370371</v>
      </c>
      <c r="C331" s="1" t="n">
        <v>46046</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23341-2023</t>
        </is>
      </c>
      <c r="B332" s="1" t="n">
        <v>45076</v>
      </c>
      <c r="C332" s="1" t="n">
        <v>46046</v>
      </c>
      <c r="D332" t="inlineStr">
        <is>
          <t>SÖDERMANLANDS LÄN</t>
        </is>
      </c>
      <c r="E332" t="inlineStr">
        <is>
          <t>KATRINEHOLM</t>
        </is>
      </c>
      <c r="G332" t="n">
        <v>3.5</v>
      </c>
      <c r="H332" t="n">
        <v>0</v>
      </c>
      <c r="I332" t="n">
        <v>0</v>
      </c>
      <c r="J332" t="n">
        <v>0</v>
      </c>
      <c r="K332" t="n">
        <v>0</v>
      </c>
      <c r="L332" t="n">
        <v>0</v>
      </c>
      <c r="M332" t="n">
        <v>0</v>
      </c>
      <c r="N332" t="n">
        <v>0</v>
      </c>
      <c r="O332" t="n">
        <v>0</v>
      </c>
      <c r="P332" t="n">
        <v>0</v>
      </c>
      <c r="Q332" t="n">
        <v>0</v>
      </c>
      <c r="R332" s="2" t="inlineStr"/>
    </row>
    <row r="333" ht="15" customHeight="1">
      <c r="A333" t="inlineStr">
        <is>
          <t>A 15284-2023</t>
        </is>
      </c>
      <c r="B333" s="1" t="n">
        <v>45019</v>
      </c>
      <c r="C333" s="1" t="n">
        <v>46046</v>
      </c>
      <c r="D333" t="inlineStr">
        <is>
          <t>SÖDERMANLANDS LÄN</t>
        </is>
      </c>
      <c r="E333" t="inlineStr">
        <is>
          <t>KATRINEHOLM</t>
        </is>
      </c>
      <c r="F333" t="inlineStr">
        <is>
          <t>Allmännings- och besparingsskogar</t>
        </is>
      </c>
      <c r="G333" t="n">
        <v>17.4</v>
      </c>
      <c r="H333" t="n">
        <v>0</v>
      </c>
      <c r="I333" t="n">
        <v>0</v>
      </c>
      <c r="J333" t="n">
        <v>0</v>
      </c>
      <c r="K333" t="n">
        <v>0</v>
      </c>
      <c r="L333" t="n">
        <v>0</v>
      </c>
      <c r="M333" t="n">
        <v>0</v>
      </c>
      <c r="N333" t="n">
        <v>0</v>
      </c>
      <c r="O333" t="n">
        <v>0</v>
      </c>
      <c r="P333" t="n">
        <v>0</v>
      </c>
      <c r="Q333" t="n">
        <v>0</v>
      </c>
      <c r="R333" s="2" t="inlineStr"/>
    </row>
    <row r="334" ht="15" customHeight="1">
      <c r="A334" t="inlineStr">
        <is>
          <t>A 24605-2025</t>
        </is>
      </c>
      <c r="B334" s="1" t="n">
        <v>45798.57403935185</v>
      </c>
      <c r="C334" s="1" t="n">
        <v>46046</v>
      </c>
      <c r="D334" t="inlineStr">
        <is>
          <t>SÖDERMANLANDS LÄN</t>
        </is>
      </c>
      <c r="E334" t="inlineStr">
        <is>
          <t>KATRINEHOLM</t>
        </is>
      </c>
      <c r="G334" t="n">
        <v>7</v>
      </c>
      <c r="H334" t="n">
        <v>0</v>
      </c>
      <c r="I334" t="n">
        <v>0</v>
      </c>
      <c r="J334" t="n">
        <v>0</v>
      </c>
      <c r="K334" t="n">
        <v>0</v>
      </c>
      <c r="L334" t="n">
        <v>0</v>
      </c>
      <c r="M334" t="n">
        <v>0</v>
      </c>
      <c r="N334" t="n">
        <v>0</v>
      </c>
      <c r="O334" t="n">
        <v>0</v>
      </c>
      <c r="P334" t="n">
        <v>0</v>
      </c>
      <c r="Q334" t="n">
        <v>0</v>
      </c>
      <c r="R334" s="2" t="inlineStr"/>
    </row>
    <row r="335" ht="15" customHeight="1">
      <c r="A335" t="inlineStr">
        <is>
          <t>A 53999-2023</t>
        </is>
      </c>
      <c r="B335" s="1" t="n">
        <v>45231</v>
      </c>
      <c r="C335" s="1" t="n">
        <v>46046</v>
      </c>
      <c r="D335" t="inlineStr">
        <is>
          <t>SÖDERMANLANDS LÄN</t>
        </is>
      </c>
      <c r="E335" t="inlineStr">
        <is>
          <t>KATRINEHOLM</t>
        </is>
      </c>
      <c r="G335" t="n">
        <v>5.4</v>
      </c>
      <c r="H335" t="n">
        <v>0</v>
      </c>
      <c r="I335" t="n">
        <v>0</v>
      </c>
      <c r="J335" t="n">
        <v>0</v>
      </c>
      <c r="K335" t="n">
        <v>0</v>
      </c>
      <c r="L335" t="n">
        <v>0</v>
      </c>
      <c r="M335" t="n">
        <v>0</v>
      </c>
      <c r="N335" t="n">
        <v>0</v>
      </c>
      <c r="O335" t="n">
        <v>0</v>
      </c>
      <c r="P335" t="n">
        <v>0</v>
      </c>
      <c r="Q335" t="n">
        <v>0</v>
      </c>
      <c r="R335" s="2" t="inlineStr"/>
    </row>
    <row r="336" ht="15" customHeight="1">
      <c r="A336" t="inlineStr">
        <is>
          <t>A 41727-2024</t>
        </is>
      </c>
      <c r="B336" s="1" t="n">
        <v>45560</v>
      </c>
      <c r="C336" s="1" t="n">
        <v>46046</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24566-2025</t>
        </is>
      </c>
      <c r="B337" s="1" t="n">
        <v>45798.46452546296</v>
      </c>
      <c r="C337" s="1" t="n">
        <v>46046</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55856-2022</t>
        </is>
      </c>
      <c r="B338" s="1" t="n">
        <v>44888</v>
      </c>
      <c r="C338" s="1" t="n">
        <v>46046</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37542-2022</t>
        </is>
      </c>
      <c r="B339" s="1" t="n">
        <v>44809</v>
      </c>
      <c r="C339" s="1" t="n">
        <v>46046</v>
      </c>
      <c r="D339" t="inlineStr">
        <is>
          <t>SÖDERMANLANDS LÄN</t>
        </is>
      </c>
      <c r="E339" t="inlineStr">
        <is>
          <t>KATRINEHOLM</t>
        </is>
      </c>
      <c r="G339" t="n">
        <v>1.3</v>
      </c>
      <c r="H339" t="n">
        <v>0</v>
      </c>
      <c r="I339" t="n">
        <v>0</v>
      </c>
      <c r="J339" t="n">
        <v>0</v>
      </c>
      <c r="K339" t="n">
        <v>0</v>
      </c>
      <c r="L339" t="n">
        <v>0</v>
      </c>
      <c r="M339" t="n">
        <v>0</v>
      </c>
      <c r="N339" t="n">
        <v>0</v>
      </c>
      <c r="O339" t="n">
        <v>0</v>
      </c>
      <c r="P339" t="n">
        <v>0</v>
      </c>
      <c r="Q339" t="n">
        <v>0</v>
      </c>
      <c r="R339" s="2" t="inlineStr"/>
    </row>
    <row r="340" ht="15" customHeight="1">
      <c r="A340" t="inlineStr">
        <is>
          <t>A 56086-2023</t>
        </is>
      </c>
      <c r="B340" s="1" t="n">
        <v>45240</v>
      </c>
      <c r="C340" s="1" t="n">
        <v>46046</v>
      </c>
      <c r="D340" t="inlineStr">
        <is>
          <t>SÖDERMANLANDS LÄN</t>
        </is>
      </c>
      <c r="E340" t="inlineStr">
        <is>
          <t>KATRINEHOLM</t>
        </is>
      </c>
      <c r="F340" t="inlineStr">
        <is>
          <t>Kyrkan</t>
        </is>
      </c>
      <c r="G340" t="n">
        <v>17</v>
      </c>
      <c r="H340" t="n">
        <v>0</v>
      </c>
      <c r="I340" t="n">
        <v>0</v>
      </c>
      <c r="J340" t="n">
        <v>0</v>
      </c>
      <c r="K340" t="n">
        <v>0</v>
      </c>
      <c r="L340" t="n">
        <v>0</v>
      </c>
      <c r="M340" t="n">
        <v>0</v>
      </c>
      <c r="N340" t="n">
        <v>0</v>
      </c>
      <c r="O340" t="n">
        <v>0</v>
      </c>
      <c r="P340" t="n">
        <v>0</v>
      </c>
      <c r="Q340" t="n">
        <v>0</v>
      </c>
      <c r="R340" s="2" t="inlineStr"/>
    </row>
    <row r="341" ht="15" customHeight="1">
      <c r="A341" t="inlineStr">
        <is>
          <t>A 34739-2023</t>
        </is>
      </c>
      <c r="B341" s="1" t="n">
        <v>45141</v>
      </c>
      <c r="C341" s="1" t="n">
        <v>46046</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24719-2025</t>
        </is>
      </c>
      <c r="B342" s="1" t="n">
        <v>45799</v>
      </c>
      <c r="C342" s="1" t="n">
        <v>46046</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24717-2025</t>
        </is>
      </c>
      <c r="B343" s="1" t="n">
        <v>45799.27168981481</v>
      </c>
      <c r="C343" s="1" t="n">
        <v>46046</v>
      </c>
      <c r="D343" t="inlineStr">
        <is>
          <t>SÖDERMANLANDS LÄN</t>
        </is>
      </c>
      <c r="E343" t="inlineStr">
        <is>
          <t>KATRINEHOLM</t>
        </is>
      </c>
      <c r="G343" t="n">
        <v>24.5</v>
      </c>
      <c r="H343" t="n">
        <v>0</v>
      </c>
      <c r="I343" t="n">
        <v>0</v>
      </c>
      <c r="J343" t="n">
        <v>0</v>
      </c>
      <c r="K343" t="n">
        <v>0</v>
      </c>
      <c r="L343" t="n">
        <v>0</v>
      </c>
      <c r="M343" t="n">
        <v>0</v>
      </c>
      <c r="N343" t="n">
        <v>0</v>
      </c>
      <c r="O343" t="n">
        <v>0</v>
      </c>
      <c r="P343" t="n">
        <v>0</v>
      </c>
      <c r="Q343" t="n">
        <v>0</v>
      </c>
      <c r="R343" s="2" t="inlineStr"/>
    </row>
    <row r="344" ht="15" customHeight="1">
      <c r="A344" t="inlineStr">
        <is>
          <t>A 36366-2023</t>
        </is>
      </c>
      <c r="B344" s="1" t="n">
        <v>45152</v>
      </c>
      <c r="C344" s="1" t="n">
        <v>46046</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46046</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61911-2021</t>
        </is>
      </c>
      <c r="B346" s="1" t="n">
        <v>44502.35746527778</v>
      </c>
      <c r="C346" s="1" t="n">
        <v>46046</v>
      </c>
      <c r="D346" t="inlineStr">
        <is>
          <t>SÖDERMANLANDS LÄN</t>
        </is>
      </c>
      <c r="E346" t="inlineStr">
        <is>
          <t>KATRINEHOLM</t>
        </is>
      </c>
      <c r="G346" t="n">
        <v>3.8</v>
      </c>
      <c r="H346" t="n">
        <v>0</v>
      </c>
      <c r="I346" t="n">
        <v>0</v>
      </c>
      <c r="J346" t="n">
        <v>0</v>
      </c>
      <c r="K346" t="n">
        <v>0</v>
      </c>
      <c r="L346" t="n">
        <v>0</v>
      </c>
      <c r="M346" t="n">
        <v>0</v>
      </c>
      <c r="N346" t="n">
        <v>0</v>
      </c>
      <c r="O346" t="n">
        <v>0</v>
      </c>
      <c r="P346" t="n">
        <v>0</v>
      </c>
      <c r="Q346" t="n">
        <v>0</v>
      </c>
      <c r="R346" s="2" t="inlineStr"/>
    </row>
    <row r="347" ht="15" customHeight="1">
      <c r="A347" t="inlineStr">
        <is>
          <t>A 3986-2024</t>
        </is>
      </c>
      <c r="B347" s="1" t="n">
        <v>45322</v>
      </c>
      <c r="C347" s="1" t="n">
        <v>46046</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43513-2023</t>
        </is>
      </c>
      <c r="B348" s="1" t="n">
        <v>45184</v>
      </c>
      <c r="C348" s="1" t="n">
        <v>46046</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49122-2024</t>
        </is>
      </c>
      <c r="B349" s="1" t="n">
        <v>45594</v>
      </c>
      <c r="C349" s="1" t="n">
        <v>46046</v>
      </c>
      <c r="D349" t="inlineStr">
        <is>
          <t>SÖDERMANLANDS LÄN</t>
        </is>
      </c>
      <c r="E349" t="inlineStr">
        <is>
          <t>KATRINEHOLM</t>
        </is>
      </c>
      <c r="G349" t="n">
        <v>19.4</v>
      </c>
      <c r="H349" t="n">
        <v>0</v>
      </c>
      <c r="I349" t="n">
        <v>0</v>
      </c>
      <c r="J349" t="n">
        <v>0</v>
      </c>
      <c r="K349" t="n">
        <v>0</v>
      </c>
      <c r="L349" t="n">
        <v>0</v>
      </c>
      <c r="M349" t="n">
        <v>0</v>
      </c>
      <c r="N349" t="n">
        <v>0</v>
      </c>
      <c r="O349" t="n">
        <v>0</v>
      </c>
      <c r="P349" t="n">
        <v>0</v>
      </c>
      <c r="Q349" t="n">
        <v>0</v>
      </c>
      <c r="R349" s="2" t="inlineStr"/>
    </row>
    <row r="350" ht="15" customHeight="1">
      <c r="A350" t="inlineStr">
        <is>
          <t>A 8791-2023</t>
        </is>
      </c>
      <c r="B350" s="1" t="n">
        <v>44978</v>
      </c>
      <c r="C350" s="1" t="n">
        <v>46046</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55825-2022</t>
        </is>
      </c>
      <c r="B351" s="1" t="n">
        <v>44886</v>
      </c>
      <c r="C351" s="1" t="n">
        <v>46046</v>
      </c>
      <c r="D351" t="inlineStr">
        <is>
          <t>SÖDERMANLANDS LÄN</t>
        </is>
      </c>
      <c r="E351" t="inlineStr">
        <is>
          <t>KATRINEHOLM</t>
        </is>
      </c>
      <c r="G351" t="n">
        <v>1.3</v>
      </c>
      <c r="H351" t="n">
        <v>0</v>
      </c>
      <c r="I351" t="n">
        <v>0</v>
      </c>
      <c r="J351" t="n">
        <v>0</v>
      </c>
      <c r="K351" t="n">
        <v>0</v>
      </c>
      <c r="L351" t="n">
        <v>0</v>
      </c>
      <c r="M351" t="n">
        <v>0</v>
      </c>
      <c r="N351" t="n">
        <v>0</v>
      </c>
      <c r="O351" t="n">
        <v>0</v>
      </c>
      <c r="P351" t="n">
        <v>0</v>
      </c>
      <c r="Q351" t="n">
        <v>0</v>
      </c>
      <c r="R351" s="2" t="inlineStr"/>
    </row>
    <row r="352" ht="15" customHeight="1">
      <c r="A352" t="inlineStr">
        <is>
          <t>A 3939-2022</t>
        </is>
      </c>
      <c r="B352" s="1" t="n">
        <v>44587</v>
      </c>
      <c r="C352" s="1" t="n">
        <v>46046</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62954-2023</t>
        </is>
      </c>
      <c r="B353" s="1" t="n">
        <v>45272.55362268518</v>
      </c>
      <c r="C353" s="1" t="n">
        <v>46046</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2683-2025</t>
        </is>
      </c>
      <c r="B354" s="1" t="n">
        <v>45677</v>
      </c>
      <c r="C354" s="1" t="n">
        <v>46046</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25786-2025</t>
        </is>
      </c>
      <c r="B355" s="1" t="n">
        <v>45804.37456018518</v>
      </c>
      <c r="C355" s="1" t="n">
        <v>46046</v>
      </c>
      <c r="D355" t="inlineStr">
        <is>
          <t>SÖDERMANLANDS LÄN</t>
        </is>
      </c>
      <c r="E355" t="inlineStr">
        <is>
          <t>KATRINEHOLM</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7191-2023</t>
        </is>
      </c>
      <c r="B356" s="1" t="n">
        <v>44965</v>
      </c>
      <c r="C356" s="1" t="n">
        <v>46046</v>
      </c>
      <c r="D356" t="inlineStr">
        <is>
          <t>SÖDERMANLANDS LÄN</t>
        </is>
      </c>
      <c r="E356" t="inlineStr">
        <is>
          <t>KATRINEHOLM</t>
        </is>
      </c>
      <c r="G356" t="n">
        <v>14.1</v>
      </c>
      <c r="H356" t="n">
        <v>0</v>
      </c>
      <c r="I356" t="n">
        <v>0</v>
      </c>
      <c r="J356" t="n">
        <v>0</v>
      </c>
      <c r="K356" t="n">
        <v>0</v>
      </c>
      <c r="L356" t="n">
        <v>0</v>
      </c>
      <c r="M356" t="n">
        <v>0</v>
      </c>
      <c r="N356" t="n">
        <v>0</v>
      </c>
      <c r="O356" t="n">
        <v>0</v>
      </c>
      <c r="P356" t="n">
        <v>0</v>
      </c>
      <c r="Q356" t="n">
        <v>0</v>
      </c>
      <c r="R356" s="2" t="inlineStr"/>
    </row>
    <row r="357" ht="15" customHeight="1">
      <c r="A357" t="inlineStr">
        <is>
          <t>A 41205-2021</t>
        </is>
      </c>
      <c r="B357" s="1" t="n">
        <v>44424.38577546296</v>
      </c>
      <c r="C357" s="1" t="n">
        <v>46046</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46046</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9932-2023</t>
        </is>
      </c>
      <c r="B359" s="1" t="n">
        <v>44985.46709490741</v>
      </c>
      <c r="C359" s="1" t="n">
        <v>46046</v>
      </c>
      <c r="D359" t="inlineStr">
        <is>
          <t>SÖDERMANLANDS LÄN</t>
        </is>
      </c>
      <c r="E359" t="inlineStr">
        <is>
          <t>KATRINEHOLM</t>
        </is>
      </c>
      <c r="G359" t="n">
        <v>0.3</v>
      </c>
      <c r="H359" t="n">
        <v>0</v>
      </c>
      <c r="I359" t="n">
        <v>0</v>
      </c>
      <c r="J359" t="n">
        <v>0</v>
      </c>
      <c r="K359" t="n">
        <v>0</v>
      </c>
      <c r="L359" t="n">
        <v>0</v>
      </c>
      <c r="M359" t="n">
        <v>0</v>
      </c>
      <c r="N359" t="n">
        <v>0</v>
      </c>
      <c r="O359" t="n">
        <v>0</v>
      </c>
      <c r="P359" t="n">
        <v>0</v>
      </c>
      <c r="Q359" t="n">
        <v>0</v>
      </c>
      <c r="R359" s="2" t="inlineStr"/>
    </row>
    <row r="360" ht="15" customHeight="1">
      <c r="A360" t="inlineStr">
        <is>
          <t>A 3317-2023</t>
        </is>
      </c>
      <c r="B360" s="1" t="n">
        <v>44945</v>
      </c>
      <c r="C360" s="1" t="n">
        <v>46046</v>
      </c>
      <c r="D360" t="inlineStr">
        <is>
          <t>SÖDERMANLANDS LÄN</t>
        </is>
      </c>
      <c r="E360" t="inlineStr">
        <is>
          <t>KATRINEHOLM</t>
        </is>
      </c>
      <c r="G360" t="n">
        <v>3.2</v>
      </c>
      <c r="H360" t="n">
        <v>0</v>
      </c>
      <c r="I360" t="n">
        <v>0</v>
      </c>
      <c r="J360" t="n">
        <v>0</v>
      </c>
      <c r="K360" t="n">
        <v>0</v>
      </c>
      <c r="L360" t="n">
        <v>0</v>
      </c>
      <c r="M360" t="n">
        <v>0</v>
      </c>
      <c r="N360" t="n">
        <v>0</v>
      </c>
      <c r="O360" t="n">
        <v>0</v>
      </c>
      <c r="P360" t="n">
        <v>0</v>
      </c>
      <c r="Q360" t="n">
        <v>0</v>
      </c>
      <c r="R360" s="2" t="inlineStr"/>
    </row>
    <row r="361" ht="15" customHeight="1">
      <c r="A361" t="inlineStr">
        <is>
          <t>A 42590-2022</t>
        </is>
      </c>
      <c r="B361" s="1" t="n">
        <v>44831</v>
      </c>
      <c r="C361" s="1" t="n">
        <v>46046</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26154-2025</t>
        </is>
      </c>
      <c r="B362" s="1" t="n">
        <v>45805.43341435185</v>
      </c>
      <c r="C362" s="1" t="n">
        <v>46046</v>
      </c>
      <c r="D362" t="inlineStr">
        <is>
          <t>SÖDERMANLANDS LÄN</t>
        </is>
      </c>
      <c r="E362" t="inlineStr">
        <is>
          <t>KATRINEHOLM</t>
        </is>
      </c>
      <c r="G362" t="n">
        <v>4.5</v>
      </c>
      <c r="H362" t="n">
        <v>0</v>
      </c>
      <c r="I362" t="n">
        <v>0</v>
      </c>
      <c r="J362" t="n">
        <v>0</v>
      </c>
      <c r="K362" t="n">
        <v>0</v>
      </c>
      <c r="L362" t="n">
        <v>0</v>
      </c>
      <c r="M362" t="n">
        <v>0</v>
      </c>
      <c r="N362" t="n">
        <v>0</v>
      </c>
      <c r="O362" t="n">
        <v>0</v>
      </c>
      <c r="P362" t="n">
        <v>0</v>
      </c>
      <c r="Q362" t="n">
        <v>0</v>
      </c>
      <c r="R362" s="2" t="inlineStr"/>
    </row>
    <row r="363" ht="15" customHeight="1">
      <c r="A363" t="inlineStr">
        <is>
          <t>A 37834-2023</t>
        </is>
      </c>
      <c r="B363" s="1" t="n">
        <v>45160</v>
      </c>
      <c r="C363" s="1" t="n">
        <v>46046</v>
      </c>
      <c r="D363" t="inlineStr">
        <is>
          <t>SÖDERMANLANDS LÄN</t>
        </is>
      </c>
      <c r="E363" t="inlineStr">
        <is>
          <t>KATRINEHOLM</t>
        </is>
      </c>
      <c r="F363" t="inlineStr">
        <is>
          <t>Kyrkan</t>
        </is>
      </c>
      <c r="G363" t="n">
        <v>2.8</v>
      </c>
      <c r="H363" t="n">
        <v>0</v>
      </c>
      <c r="I363" t="n">
        <v>0</v>
      </c>
      <c r="J363" t="n">
        <v>0</v>
      </c>
      <c r="K363" t="n">
        <v>0</v>
      </c>
      <c r="L363" t="n">
        <v>0</v>
      </c>
      <c r="M363" t="n">
        <v>0</v>
      </c>
      <c r="N363" t="n">
        <v>0</v>
      </c>
      <c r="O363" t="n">
        <v>0</v>
      </c>
      <c r="P363" t="n">
        <v>0</v>
      </c>
      <c r="Q363" t="n">
        <v>0</v>
      </c>
      <c r="R363" s="2" t="inlineStr"/>
    </row>
    <row r="364" ht="15" customHeight="1">
      <c r="A364" t="inlineStr">
        <is>
          <t>A 36210-2022</t>
        </is>
      </c>
      <c r="B364" s="1" t="n">
        <v>44803.47950231482</v>
      </c>
      <c r="C364" s="1" t="n">
        <v>46046</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17360-2022</t>
        </is>
      </c>
      <c r="B365" s="1" t="n">
        <v>44678</v>
      </c>
      <c r="C365" s="1" t="n">
        <v>46046</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19685-2022</t>
        </is>
      </c>
      <c r="B366" s="1" t="n">
        <v>44694</v>
      </c>
      <c r="C366" s="1" t="n">
        <v>46046</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26156-2025</t>
        </is>
      </c>
      <c r="B367" s="1" t="n">
        <v>45805.43864583333</v>
      </c>
      <c r="C367" s="1" t="n">
        <v>46046</v>
      </c>
      <c r="D367" t="inlineStr">
        <is>
          <t>SÖDERMANLANDS LÄN</t>
        </is>
      </c>
      <c r="E367" t="inlineStr">
        <is>
          <t>KATRINEHOLM</t>
        </is>
      </c>
      <c r="G367" t="n">
        <v>4.1</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46046</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46046</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46046</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8951-2024</t>
        </is>
      </c>
      <c r="B371" s="1" t="n">
        <v>45357.44695601852</v>
      </c>
      <c r="C371" s="1" t="n">
        <v>46046</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35864-2023</t>
        </is>
      </c>
      <c r="B372" s="1" t="n">
        <v>45147</v>
      </c>
      <c r="C372" s="1" t="n">
        <v>46046</v>
      </c>
      <c r="D372" t="inlineStr">
        <is>
          <t>SÖDERMANLANDS LÄN</t>
        </is>
      </c>
      <c r="E372" t="inlineStr">
        <is>
          <t>KATRINEHOLM</t>
        </is>
      </c>
      <c r="F372" t="inlineStr">
        <is>
          <t>Övriga Aktiebolag</t>
        </is>
      </c>
      <c r="G372" t="n">
        <v>4.7</v>
      </c>
      <c r="H372" t="n">
        <v>0</v>
      </c>
      <c r="I372" t="n">
        <v>0</v>
      </c>
      <c r="J372" t="n">
        <v>0</v>
      </c>
      <c r="K372" t="n">
        <v>0</v>
      </c>
      <c r="L372" t="n">
        <v>0</v>
      </c>
      <c r="M372" t="n">
        <v>0</v>
      </c>
      <c r="N372" t="n">
        <v>0</v>
      </c>
      <c r="O372" t="n">
        <v>0</v>
      </c>
      <c r="P372" t="n">
        <v>0</v>
      </c>
      <c r="Q372" t="n">
        <v>0</v>
      </c>
      <c r="R372" s="2" t="inlineStr"/>
    </row>
    <row r="373" ht="15" customHeight="1">
      <c r="A373" t="inlineStr">
        <is>
          <t>A 14224-2024</t>
        </is>
      </c>
      <c r="B373" s="1" t="n">
        <v>45393</v>
      </c>
      <c r="C373" s="1" t="n">
        <v>46046</v>
      </c>
      <c r="D373" t="inlineStr">
        <is>
          <t>SÖDERMANLANDS LÄN</t>
        </is>
      </c>
      <c r="E373" t="inlineStr">
        <is>
          <t>KATRINEHOLM</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44989-2022</t>
        </is>
      </c>
      <c r="B374" s="1" t="n">
        <v>44840</v>
      </c>
      <c r="C374" s="1" t="n">
        <v>46046</v>
      </c>
      <c r="D374" t="inlineStr">
        <is>
          <t>SÖDERMANLANDS LÄN</t>
        </is>
      </c>
      <c r="E374" t="inlineStr">
        <is>
          <t>KATRINEHOLM</t>
        </is>
      </c>
      <c r="G374" t="n">
        <v>6</v>
      </c>
      <c r="H374" t="n">
        <v>0</v>
      </c>
      <c r="I374" t="n">
        <v>0</v>
      </c>
      <c r="J374" t="n">
        <v>0</v>
      </c>
      <c r="K374" t="n">
        <v>0</v>
      </c>
      <c r="L374" t="n">
        <v>0</v>
      </c>
      <c r="M374" t="n">
        <v>0</v>
      </c>
      <c r="N374" t="n">
        <v>0</v>
      </c>
      <c r="O374" t="n">
        <v>0</v>
      </c>
      <c r="P374" t="n">
        <v>0</v>
      </c>
      <c r="Q374" t="n">
        <v>0</v>
      </c>
      <c r="R374" s="2" t="inlineStr"/>
    </row>
    <row r="375" ht="15" customHeight="1">
      <c r="A375" t="inlineStr">
        <is>
          <t>A 57263-2022</t>
        </is>
      </c>
      <c r="B375" s="1" t="n">
        <v>44895</v>
      </c>
      <c r="C375" s="1" t="n">
        <v>46046</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49218-2023</t>
        </is>
      </c>
      <c r="B376" s="1" t="n">
        <v>45205</v>
      </c>
      <c r="C376" s="1" t="n">
        <v>46046</v>
      </c>
      <c r="D376" t="inlineStr">
        <is>
          <t>SÖDERMANLANDS LÄN</t>
        </is>
      </c>
      <c r="E376" t="inlineStr">
        <is>
          <t>KATRINEHOLM</t>
        </is>
      </c>
      <c r="G376" t="n">
        <v>0.6</v>
      </c>
      <c r="H376" t="n">
        <v>0</v>
      </c>
      <c r="I376" t="n">
        <v>0</v>
      </c>
      <c r="J376" t="n">
        <v>0</v>
      </c>
      <c r="K376" t="n">
        <v>0</v>
      </c>
      <c r="L376" t="n">
        <v>0</v>
      </c>
      <c r="M376" t="n">
        <v>0</v>
      </c>
      <c r="N376" t="n">
        <v>0</v>
      </c>
      <c r="O376" t="n">
        <v>0</v>
      </c>
      <c r="P376" t="n">
        <v>0</v>
      </c>
      <c r="Q376" t="n">
        <v>0</v>
      </c>
      <c r="R376" s="2" t="inlineStr"/>
    </row>
    <row r="377" ht="15" customHeight="1">
      <c r="A377" t="inlineStr">
        <is>
          <t>A 4679-2023</t>
        </is>
      </c>
      <c r="B377" s="1" t="n">
        <v>44957.44885416667</v>
      </c>
      <c r="C377" s="1" t="n">
        <v>46046</v>
      </c>
      <c r="D377" t="inlineStr">
        <is>
          <t>SÖDERMANLANDS LÄN</t>
        </is>
      </c>
      <c r="E377" t="inlineStr">
        <is>
          <t>KATRINEHOLM</t>
        </is>
      </c>
      <c r="G377" t="n">
        <v>5.3</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46046</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46046</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34732-2022</t>
        </is>
      </c>
      <c r="B380" s="1" t="n">
        <v>44795</v>
      </c>
      <c r="C380" s="1" t="n">
        <v>46046</v>
      </c>
      <c r="D380" t="inlineStr">
        <is>
          <t>SÖDERMANLANDS LÄN</t>
        </is>
      </c>
      <c r="E380" t="inlineStr">
        <is>
          <t>KATRINEHOLM</t>
        </is>
      </c>
      <c r="G380" t="n">
        <v>3</v>
      </c>
      <c r="H380" t="n">
        <v>0</v>
      </c>
      <c r="I380" t="n">
        <v>0</v>
      </c>
      <c r="J380" t="n">
        <v>0</v>
      </c>
      <c r="K380" t="n">
        <v>0</v>
      </c>
      <c r="L380" t="n">
        <v>0</v>
      </c>
      <c r="M380" t="n">
        <v>0</v>
      </c>
      <c r="N380" t="n">
        <v>0</v>
      </c>
      <c r="O380" t="n">
        <v>0</v>
      </c>
      <c r="P380" t="n">
        <v>0</v>
      </c>
      <c r="Q380" t="n">
        <v>0</v>
      </c>
      <c r="R380" s="2" t="inlineStr"/>
    </row>
    <row r="381" ht="15" customHeight="1">
      <c r="A381" t="inlineStr">
        <is>
          <t>A 3982-2024</t>
        </is>
      </c>
      <c r="B381" s="1" t="n">
        <v>45322</v>
      </c>
      <c r="C381" s="1" t="n">
        <v>46046</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13086-2023</t>
        </is>
      </c>
      <c r="B382" s="1" t="n">
        <v>45002.42188657408</v>
      </c>
      <c r="C382" s="1" t="n">
        <v>46046</v>
      </c>
      <c r="D382" t="inlineStr">
        <is>
          <t>SÖDERMANLANDS LÄN</t>
        </is>
      </c>
      <c r="E382" t="inlineStr">
        <is>
          <t>KATRINEHOLM</t>
        </is>
      </c>
      <c r="G382" t="n">
        <v>2.2</v>
      </c>
      <c r="H382" t="n">
        <v>0</v>
      </c>
      <c r="I382" t="n">
        <v>0</v>
      </c>
      <c r="J382" t="n">
        <v>0</v>
      </c>
      <c r="K382" t="n">
        <v>0</v>
      </c>
      <c r="L382" t="n">
        <v>0</v>
      </c>
      <c r="M382" t="n">
        <v>0</v>
      </c>
      <c r="N382" t="n">
        <v>0</v>
      </c>
      <c r="O382" t="n">
        <v>0</v>
      </c>
      <c r="P382" t="n">
        <v>0</v>
      </c>
      <c r="Q382" t="n">
        <v>0</v>
      </c>
      <c r="R382" s="2" t="inlineStr"/>
    </row>
    <row r="383" ht="15" customHeight="1">
      <c r="A383" t="inlineStr">
        <is>
          <t>A 32944-2023</t>
        </is>
      </c>
      <c r="B383" s="1" t="n">
        <v>45125</v>
      </c>
      <c r="C383" s="1" t="n">
        <v>46046</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29198-2023</t>
        </is>
      </c>
      <c r="B384" s="1" t="n">
        <v>45105</v>
      </c>
      <c r="C384" s="1" t="n">
        <v>46046</v>
      </c>
      <c r="D384" t="inlineStr">
        <is>
          <t>SÖDERMANLANDS LÄN</t>
        </is>
      </c>
      <c r="E384" t="inlineStr">
        <is>
          <t>KATRINEHOLM</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2320-2023</t>
        </is>
      </c>
      <c r="B385" s="1" t="n">
        <v>44942.58850694444</v>
      </c>
      <c r="C385" s="1" t="n">
        <v>46046</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2325-2023</t>
        </is>
      </c>
      <c r="B386" s="1" t="n">
        <v>44942</v>
      </c>
      <c r="C386" s="1" t="n">
        <v>46046</v>
      </c>
      <c r="D386" t="inlineStr">
        <is>
          <t>SÖDERMANLANDS LÄN</t>
        </is>
      </c>
      <c r="E386" t="inlineStr">
        <is>
          <t>KATRINEHOLM</t>
        </is>
      </c>
      <c r="G386" t="n">
        <v>5.6</v>
      </c>
      <c r="H386" t="n">
        <v>0</v>
      </c>
      <c r="I386" t="n">
        <v>0</v>
      </c>
      <c r="J386" t="n">
        <v>0</v>
      </c>
      <c r="K386" t="n">
        <v>0</v>
      </c>
      <c r="L386" t="n">
        <v>0</v>
      </c>
      <c r="M386" t="n">
        <v>0</v>
      </c>
      <c r="N386" t="n">
        <v>0</v>
      </c>
      <c r="O386" t="n">
        <v>0</v>
      </c>
      <c r="P386" t="n">
        <v>0</v>
      </c>
      <c r="Q386" t="n">
        <v>0</v>
      </c>
      <c r="R386" s="2" t="inlineStr"/>
    </row>
    <row r="387" ht="15" customHeight="1">
      <c r="A387" t="inlineStr">
        <is>
          <t>A 56661-2021</t>
        </is>
      </c>
      <c r="B387" s="1" t="n">
        <v>44481.24327546296</v>
      </c>
      <c r="C387" s="1" t="n">
        <v>46046</v>
      </c>
      <c r="D387" t="inlineStr">
        <is>
          <t>SÖDERMANLANDS LÄN</t>
        </is>
      </c>
      <c r="E387" t="inlineStr">
        <is>
          <t>KATRINEHOLM</t>
        </is>
      </c>
      <c r="G387" t="n">
        <v>5.8</v>
      </c>
      <c r="H387" t="n">
        <v>0</v>
      </c>
      <c r="I387" t="n">
        <v>0</v>
      </c>
      <c r="J387" t="n">
        <v>0</v>
      </c>
      <c r="K387" t="n">
        <v>0</v>
      </c>
      <c r="L387" t="n">
        <v>0</v>
      </c>
      <c r="M387" t="n">
        <v>0</v>
      </c>
      <c r="N387" t="n">
        <v>0</v>
      </c>
      <c r="O387" t="n">
        <v>0</v>
      </c>
      <c r="P387" t="n">
        <v>0</v>
      </c>
      <c r="Q387" t="n">
        <v>0</v>
      </c>
      <c r="R387" s="2" t="inlineStr"/>
    </row>
    <row r="388" ht="15" customHeight="1">
      <c r="A388" t="inlineStr">
        <is>
          <t>A 17820-2025</t>
        </is>
      </c>
      <c r="B388" s="1" t="n">
        <v>45758</v>
      </c>
      <c r="C388" s="1" t="n">
        <v>46046</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57154-2023</t>
        </is>
      </c>
      <c r="B389" s="1" t="n">
        <v>45245</v>
      </c>
      <c r="C389" s="1" t="n">
        <v>46046</v>
      </c>
      <c r="D389" t="inlineStr">
        <is>
          <t>SÖDERMANLANDS LÄN</t>
        </is>
      </c>
      <c r="E389" t="inlineStr">
        <is>
          <t>KATRINEHOLM</t>
        </is>
      </c>
      <c r="F389" t="inlineStr">
        <is>
          <t>Allmännings- och besparingsskogar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55732-2023</t>
        </is>
      </c>
      <c r="B390" s="1" t="n">
        <v>45239</v>
      </c>
      <c r="C390" s="1" t="n">
        <v>46046</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27552-2025</t>
        </is>
      </c>
      <c r="B391" s="1" t="n">
        <v>45813</v>
      </c>
      <c r="C391" s="1" t="n">
        <v>46046</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27534-2025</t>
        </is>
      </c>
      <c r="B392" s="1" t="n">
        <v>45813</v>
      </c>
      <c r="C392" s="1" t="n">
        <v>46046</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46046</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30242-2023</t>
        </is>
      </c>
      <c r="B394" s="1" t="n">
        <v>45099</v>
      </c>
      <c r="C394" s="1" t="n">
        <v>46046</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17792-2025</t>
        </is>
      </c>
      <c r="B395" s="1" t="n">
        <v>45758</v>
      </c>
      <c r="C395" s="1" t="n">
        <v>46046</v>
      </c>
      <c r="D395" t="inlineStr">
        <is>
          <t>SÖDERMANLANDS LÄN</t>
        </is>
      </c>
      <c r="E395" t="inlineStr">
        <is>
          <t>KATRINEHOLM</t>
        </is>
      </c>
      <c r="G395" t="n">
        <v>4.2</v>
      </c>
      <c r="H395" t="n">
        <v>0</v>
      </c>
      <c r="I395" t="n">
        <v>0</v>
      </c>
      <c r="J395" t="n">
        <v>0</v>
      </c>
      <c r="K395" t="n">
        <v>0</v>
      </c>
      <c r="L395" t="n">
        <v>0</v>
      </c>
      <c r="M395" t="n">
        <v>0</v>
      </c>
      <c r="N395" t="n">
        <v>0</v>
      </c>
      <c r="O395" t="n">
        <v>0</v>
      </c>
      <c r="P395" t="n">
        <v>0</v>
      </c>
      <c r="Q395" t="n">
        <v>0</v>
      </c>
      <c r="R395" s="2" t="inlineStr"/>
    </row>
    <row r="396" ht="15" customHeight="1">
      <c r="A396" t="inlineStr">
        <is>
          <t>A 58473-2021</t>
        </is>
      </c>
      <c r="B396" s="1" t="n">
        <v>44488</v>
      </c>
      <c r="C396" s="1" t="n">
        <v>46046</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27636-2025</t>
        </is>
      </c>
      <c r="B397" s="1" t="n">
        <v>45813.57603009259</v>
      </c>
      <c r="C397" s="1" t="n">
        <v>46046</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57265-2022</t>
        </is>
      </c>
      <c r="B398" s="1" t="n">
        <v>44895</v>
      </c>
      <c r="C398" s="1" t="n">
        <v>46046</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53860-2021</t>
        </is>
      </c>
      <c r="B399" s="1" t="n">
        <v>44467</v>
      </c>
      <c r="C399" s="1" t="n">
        <v>46046</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55171-2023</t>
        </is>
      </c>
      <c r="B400" s="1" t="n">
        <v>45231</v>
      </c>
      <c r="C400" s="1" t="n">
        <v>46046</v>
      </c>
      <c r="D400" t="inlineStr">
        <is>
          <t>SÖDERMANLANDS LÄN</t>
        </is>
      </c>
      <c r="E400" t="inlineStr">
        <is>
          <t>KATRINEHOLM</t>
        </is>
      </c>
      <c r="G400" t="n">
        <v>4.2</v>
      </c>
      <c r="H400" t="n">
        <v>0</v>
      </c>
      <c r="I400" t="n">
        <v>0</v>
      </c>
      <c r="J400" t="n">
        <v>0</v>
      </c>
      <c r="K400" t="n">
        <v>0</v>
      </c>
      <c r="L400" t="n">
        <v>0</v>
      </c>
      <c r="M400" t="n">
        <v>0</v>
      </c>
      <c r="N400" t="n">
        <v>0</v>
      </c>
      <c r="O400" t="n">
        <v>0</v>
      </c>
      <c r="P400" t="n">
        <v>0</v>
      </c>
      <c r="Q400" t="n">
        <v>0</v>
      </c>
      <c r="R400" s="2" t="inlineStr"/>
    </row>
    <row r="401" ht="15" customHeight="1">
      <c r="A401" t="inlineStr">
        <is>
          <t>A 6298-2024</t>
        </is>
      </c>
      <c r="B401" s="1" t="n">
        <v>45338.34245370371</v>
      </c>
      <c r="C401" s="1" t="n">
        <v>46046</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20533-2023</t>
        </is>
      </c>
      <c r="B402" s="1" t="n">
        <v>45057</v>
      </c>
      <c r="C402" s="1" t="n">
        <v>46046</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c r="T402">
        <f>HYPERLINK("https://klasma.github.io/Logging_0483/kartor/A 20533-2023 karta.png", "A 20533-2023")</f>
        <v/>
      </c>
      <c r="V402">
        <f>HYPERLINK("https://klasma.github.io/Logging_0483/klagomål/A 20533-2023 FSC-klagomål.docx", "A 20533-2023")</f>
        <v/>
      </c>
      <c r="W402">
        <f>HYPERLINK("https://klasma.github.io/Logging_0483/klagomålsmail/A 20533-2023 FSC-klagomål mail.docx", "A 20533-2023")</f>
        <v/>
      </c>
      <c r="X402">
        <f>HYPERLINK("https://klasma.github.io/Logging_0483/tillsyn/A 20533-2023 tillsynsbegäran.docx", "A 20533-2023")</f>
        <v/>
      </c>
      <c r="Y402">
        <f>HYPERLINK("https://klasma.github.io/Logging_0483/tillsynsmail/A 20533-2023 tillsynsbegäran mail.docx", "A 20533-2023")</f>
        <v/>
      </c>
      <c r="Z402">
        <f>HYPERLINK("https://klasma.github.io/Logging_0483/fåglar/A 20533-2023 prioriterade fågelarter.docx", "A 20533-2023")</f>
        <v/>
      </c>
    </row>
    <row r="403" ht="15" customHeight="1">
      <c r="A403" t="inlineStr">
        <is>
          <t>A 24600-2025</t>
        </is>
      </c>
      <c r="B403" s="1" t="n">
        <v>45798.56348379629</v>
      </c>
      <c r="C403" s="1" t="n">
        <v>46046</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27376-2024</t>
        </is>
      </c>
      <c r="B404" s="1" t="n">
        <v>45473.88313657408</v>
      </c>
      <c r="C404" s="1" t="n">
        <v>46046</v>
      </c>
      <c r="D404" t="inlineStr">
        <is>
          <t>SÖDERMANLANDS LÄN</t>
        </is>
      </c>
      <c r="E404" t="inlineStr">
        <is>
          <t>KATRINEHOLM</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48097-2023</t>
        </is>
      </c>
      <c r="B405" s="1" t="n">
        <v>45205.31987268518</v>
      </c>
      <c r="C405" s="1" t="n">
        <v>46046</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29702-2021</t>
        </is>
      </c>
      <c r="B406" s="1" t="n">
        <v>44362</v>
      </c>
      <c r="C406" s="1" t="n">
        <v>46046</v>
      </c>
      <c r="D406" t="inlineStr">
        <is>
          <t>SÖDERMANLANDS LÄN</t>
        </is>
      </c>
      <c r="E406" t="inlineStr">
        <is>
          <t>KATRINEHOLM</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48877-2022</t>
        </is>
      </c>
      <c r="B407" s="1" t="n">
        <v>44859</v>
      </c>
      <c r="C407" s="1" t="n">
        <v>46046</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35608-2024</t>
        </is>
      </c>
      <c r="B408" s="1" t="n">
        <v>45531</v>
      </c>
      <c r="C408" s="1" t="n">
        <v>46046</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4662-2023</t>
        </is>
      </c>
      <c r="B409" s="1" t="n">
        <v>44957</v>
      </c>
      <c r="C409" s="1" t="n">
        <v>46046</v>
      </c>
      <c r="D409" t="inlineStr">
        <is>
          <t>SÖDERMANLANDS LÄN</t>
        </is>
      </c>
      <c r="E409" t="inlineStr">
        <is>
          <t>KATRINEHOLM</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12633-2022</t>
        </is>
      </c>
      <c r="B410" s="1" t="n">
        <v>44638</v>
      </c>
      <c r="C410" s="1" t="n">
        <v>46046</v>
      </c>
      <c r="D410" t="inlineStr">
        <is>
          <t>SÖDERMANLANDS LÄN</t>
        </is>
      </c>
      <c r="E410" t="inlineStr">
        <is>
          <t>KATRINEHOLM</t>
        </is>
      </c>
      <c r="G410" t="n">
        <v>6.4</v>
      </c>
      <c r="H410" t="n">
        <v>0</v>
      </c>
      <c r="I410" t="n">
        <v>0</v>
      </c>
      <c r="J410" t="n">
        <v>0</v>
      </c>
      <c r="K410" t="n">
        <v>0</v>
      </c>
      <c r="L410" t="n">
        <v>0</v>
      </c>
      <c r="M410" t="n">
        <v>0</v>
      </c>
      <c r="N410" t="n">
        <v>0</v>
      </c>
      <c r="O410" t="n">
        <v>0</v>
      </c>
      <c r="P410" t="n">
        <v>0</v>
      </c>
      <c r="Q410" t="n">
        <v>0</v>
      </c>
      <c r="R410" s="2" t="inlineStr"/>
    </row>
    <row r="411" ht="15" customHeight="1">
      <c r="A411" t="inlineStr">
        <is>
          <t>A 22304-2024</t>
        </is>
      </c>
      <c r="B411" s="1" t="n">
        <v>45446.56626157407</v>
      </c>
      <c r="C411" s="1" t="n">
        <v>46046</v>
      </c>
      <c r="D411" t="inlineStr">
        <is>
          <t>SÖDERMANLANDS LÄN</t>
        </is>
      </c>
      <c r="E411" t="inlineStr">
        <is>
          <t>KATRINEHOLM</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34539-2022</t>
        </is>
      </c>
      <c r="B412" s="1" t="n">
        <v>44793.50563657407</v>
      </c>
      <c r="C412" s="1" t="n">
        <v>46046</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3115-2024</t>
        </is>
      </c>
      <c r="B413" s="1" t="n">
        <v>45316.49630787037</v>
      </c>
      <c r="C413" s="1" t="n">
        <v>46046</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13171-2024</t>
        </is>
      </c>
      <c r="B414" s="1" t="n">
        <v>45386</v>
      </c>
      <c r="C414" s="1" t="n">
        <v>46046</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33752-2023</t>
        </is>
      </c>
      <c r="B415" s="1" t="n">
        <v>45120</v>
      </c>
      <c r="C415" s="1" t="n">
        <v>46046</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23705-2023</t>
        </is>
      </c>
      <c r="B416" s="1" t="n">
        <v>45077</v>
      </c>
      <c r="C416" s="1" t="n">
        <v>46046</v>
      </c>
      <c r="D416" t="inlineStr">
        <is>
          <t>SÖDERMANLANDS LÄN</t>
        </is>
      </c>
      <c r="E416" t="inlineStr">
        <is>
          <t>KATRINEHOLM</t>
        </is>
      </c>
      <c r="F416" t="inlineStr">
        <is>
          <t>Kyrkan</t>
        </is>
      </c>
      <c r="G416" t="n">
        <v>11.9</v>
      </c>
      <c r="H416" t="n">
        <v>0</v>
      </c>
      <c r="I416" t="n">
        <v>0</v>
      </c>
      <c r="J416" t="n">
        <v>0</v>
      </c>
      <c r="K416" t="n">
        <v>0</v>
      </c>
      <c r="L416" t="n">
        <v>0</v>
      </c>
      <c r="M416" t="n">
        <v>0</v>
      </c>
      <c r="N416" t="n">
        <v>0</v>
      </c>
      <c r="O416" t="n">
        <v>0</v>
      </c>
      <c r="P416" t="n">
        <v>0</v>
      </c>
      <c r="Q416" t="n">
        <v>0</v>
      </c>
      <c r="R416" s="2" t="inlineStr"/>
    </row>
    <row r="417" ht="15" customHeight="1">
      <c r="A417" t="inlineStr">
        <is>
          <t>A 28652-2024</t>
        </is>
      </c>
      <c r="B417" s="1" t="n">
        <v>45478</v>
      </c>
      <c r="C417" s="1" t="n">
        <v>46046</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9936-2023</t>
        </is>
      </c>
      <c r="B418" s="1" t="n">
        <v>44985.47086805556</v>
      </c>
      <c r="C418" s="1" t="n">
        <v>46046</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52769-2023</t>
        </is>
      </c>
      <c r="B419" s="1" t="n">
        <v>45226</v>
      </c>
      <c r="C419" s="1" t="n">
        <v>46046</v>
      </c>
      <c r="D419" t="inlineStr">
        <is>
          <t>SÖDERMANLANDS LÄN</t>
        </is>
      </c>
      <c r="E419" t="inlineStr">
        <is>
          <t>KATRINEHOLM</t>
        </is>
      </c>
      <c r="G419" t="n">
        <v>0.5</v>
      </c>
      <c r="H419" t="n">
        <v>0</v>
      </c>
      <c r="I419" t="n">
        <v>0</v>
      </c>
      <c r="J419" t="n">
        <v>0</v>
      </c>
      <c r="K419" t="n">
        <v>0</v>
      </c>
      <c r="L419" t="n">
        <v>0</v>
      </c>
      <c r="M419" t="n">
        <v>0</v>
      </c>
      <c r="N419" t="n">
        <v>0</v>
      </c>
      <c r="O419" t="n">
        <v>0</v>
      </c>
      <c r="P419" t="n">
        <v>0</v>
      </c>
      <c r="Q419" t="n">
        <v>0</v>
      </c>
      <c r="R419" s="2" t="inlineStr"/>
    </row>
    <row r="420" ht="15" customHeight="1">
      <c r="A420" t="inlineStr">
        <is>
          <t>A 7223-2022</t>
        </is>
      </c>
      <c r="B420" s="1" t="n">
        <v>44603</v>
      </c>
      <c r="C420" s="1" t="n">
        <v>46046</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51446-2023</t>
        </is>
      </c>
      <c r="B421" s="1" t="n">
        <v>45220.48068287037</v>
      </c>
      <c r="C421" s="1" t="n">
        <v>46046</v>
      </c>
      <c r="D421" t="inlineStr">
        <is>
          <t>SÖDERMANLANDS LÄN</t>
        </is>
      </c>
      <c r="E421" t="inlineStr">
        <is>
          <t>KATRINEHOLM</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9192-2023</t>
        </is>
      </c>
      <c r="B422" s="1" t="n">
        <v>44980</v>
      </c>
      <c r="C422" s="1" t="n">
        <v>46046</v>
      </c>
      <c r="D422" t="inlineStr">
        <is>
          <t>SÖDERMANLANDS LÄN</t>
        </is>
      </c>
      <c r="E422" t="inlineStr">
        <is>
          <t>KATRINEHOLM</t>
        </is>
      </c>
      <c r="F422" t="inlineStr">
        <is>
          <t>Övriga Aktiebolag</t>
        </is>
      </c>
      <c r="G422" t="n">
        <v>1.6</v>
      </c>
      <c r="H422" t="n">
        <v>0</v>
      </c>
      <c r="I422" t="n">
        <v>0</v>
      </c>
      <c r="J422" t="n">
        <v>0</v>
      </c>
      <c r="K422" t="n">
        <v>0</v>
      </c>
      <c r="L422" t="n">
        <v>0</v>
      </c>
      <c r="M422" t="n">
        <v>0</v>
      </c>
      <c r="N422" t="n">
        <v>0</v>
      </c>
      <c r="O422" t="n">
        <v>0</v>
      </c>
      <c r="P422" t="n">
        <v>0</v>
      </c>
      <c r="Q422" t="n">
        <v>0</v>
      </c>
      <c r="R422" s="2" t="inlineStr"/>
    </row>
    <row r="423" ht="15" customHeight="1">
      <c r="A423" t="inlineStr">
        <is>
          <t>A 72984-2021</t>
        </is>
      </c>
      <c r="B423" s="1" t="n">
        <v>44549.74741898148</v>
      </c>
      <c r="C423" s="1" t="n">
        <v>46046</v>
      </c>
      <c r="D423" t="inlineStr">
        <is>
          <t>SÖDERMANLANDS LÄN</t>
        </is>
      </c>
      <c r="E423" t="inlineStr">
        <is>
          <t>KATRINEHOLM</t>
        </is>
      </c>
      <c r="G423" t="n">
        <v>4.9</v>
      </c>
      <c r="H423" t="n">
        <v>0</v>
      </c>
      <c r="I423" t="n">
        <v>0</v>
      </c>
      <c r="J423" t="n">
        <v>0</v>
      </c>
      <c r="K423" t="n">
        <v>0</v>
      </c>
      <c r="L423" t="n">
        <v>0</v>
      </c>
      <c r="M423" t="n">
        <v>0</v>
      </c>
      <c r="N423" t="n">
        <v>0</v>
      </c>
      <c r="O423" t="n">
        <v>0</v>
      </c>
      <c r="P423" t="n">
        <v>0</v>
      </c>
      <c r="Q423" t="n">
        <v>0</v>
      </c>
      <c r="R423" s="2" t="inlineStr"/>
    </row>
    <row r="424" ht="15" customHeight="1">
      <c r="A424" t="inlineStr">
        <is>
          <t>A 7753-2024</t>
        </is>
      </c>
      <c r="B424" s="1" t="n">
        <v>45348</v>
      </c>
      <c r="C424" s="1" t="n">
        <v>46046</v>
      </c>
      <c r="D424" t="inlineStr">
        <is>
          <t>SÖDERMANLANDS LÄN</t>
        </is>
      </c>
      <c r="E424" t="inlineStr">
        <is>
          <t>KATRINEHOLM</t>
        </is>
      </c>
      <c r="G424" t="n">
        <v>13.4</v>
      </c>
      <c r="H424" t="n">
        <v>0</v>
      </c>
      <c r="I424" t="n">
        <v>0</v>
      </c>
      <c r="J424" t="n">
        <v>0</v>
      </c>
      <c r="K424" t="n">
        <v>0</v>
      </c>
      <c r="L424" t="n">
        <v>0</v>
      </c>
      <c r="M424" t="n">
        <v>0</v>
      </c>
      <c r="N424" t="n">
        <v>0</v>
      </c>
      <c r="O424" t="n">
        <v>0</v>
      </c>
      <c r="P424" t="n">
        <v>0</v>
      </c>
      <c r="Q424" t="n">
        <v>0</v>
      </c>
      <c r="R424" s="2" t="inlineStr"/>
    </row>
    <row r="425" ht="15" customHeight="1">
      <c r="A425" t="inlineStr">
        <is>
          <t>A 29189-2025</t>
        </is>
      </c>
      <c r="B425" s="1" t="n">
        <v>45822</v>
      </c>
      <c r="C425" s="1" t="n">
        <v>46046</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33712-2022</t>
        </is>
      </c>
      <c r="B426" s="1" t="n">
        <v>44789</v>
      </c>
      <c r="C426" s="1" t="n">
        <v>46046</v>
      </c>
      <c r="D426" t="inlineStr">
        <is>
          <t>SÖDERMANLANDS LÄN</t>
        </is>
      </c>
      <c r="E426" t="inlineStr">
        <is>
          <t>KATRINEHOLM</t>
        </is>
      </c>
      <c r="G426" t="n">
        <v>4.3</v>
      </c>
      <c r="H426" t="n">
        <v>0</v>
      </c>
      <c r="I426" t="n">
        <v>0</v>
      </c>
      <c r="J426" t="n">
        <v>0</v>
      </c>
      <c r="K426" t="n">
        <v>0</v>
      </c>
      <c r="L426" t="n">
        <v>0</v>
      </c>
      <c r="M426" t="n">
        <v>0</v>
      </c>
      <c r="N426" t="n">
        <v>0</v>
      </c>
      <c r="O426" t="n">
        <v>0</v>
      </c>
      <c r="P426" t="n">
        <v>0</v>
      </c>
      <c r="Q426" t="n">
        <v>0</v>
      </c>
      <c r="R426" s="2" t="inlineStr"/>
    </row>
    <row r="427" ht="15" customHeight="1">
      <c r="A427" t="inlineStr">
        <is>
          <t>A 33717-2022</t>
        </is>
      </c>
      <c r="B427" s="1" t="n">
        <v>44789</v>
      </c>
      <c r="C427" s="1" t="n">
        <v>46046</v>
      </c>
      <c r="D427" t="inlineStr">
        <is>
          <t>SÖDERMANLANDS LÄN</t>
        </is>
      </c>
      <c r="E427" t="inlineStr">
        <is>
          <t>KATRINEHOLM</t>
        </is>
      </c>
      <c r="G427" t="n">
        <v>4.4</v>
      </c>
      <c r="H427" t="n">
        <v>0</v>
      </c>
      <c r="I427" t="n">
        <v>0</v>
      </c>
      <c r="J427" t="n">
        <v>0</v>
      </c>
      <c r="K427" t="n">
        <v>0</v>
      </c>
      <c r="L427" t="n">
        <v>0</v>
      </c>
      <c r="M427" t="n">
        <v>0</v>
      </c>
      <c r="N427" t="n">
        <v>0</v>
      </c>
      <c r="O427" t="n">
        <v>0</v>
      </c>
      <c r="P427" t="n">
        <v>0</v>
      </c>
      <c r="Q427" t="n">
        <v>0</v>
      </c>
      <c r="R427" s="2" t="inlineStr"/>
    </row>
    <row r="428" ht="15" customHeight="1">
      <c r="A428" t="inlineStr">
        <is>
          <t>A 51440-2024</t>
        </is>
      </c>
      <c r="B428" s="1" t="n">
        <v>45604</v>
      </c>
      <c r="C428" s="1" t="n">
        <v>46046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28931-2024</t>
        </is>
      </c>
      <c r="B429" s="1" t="n">
        <v>45479</v>
      </c>
      <c r="C429" s="1" t="n">
        <v>46046</v>
      </c>
      <c r="D429" t="inlineStr">
        <is>
          <t>SÖDERMANLANDS LÄN</t>
        </is>
      </c>
      <c r="E429" t="inlineStr">
        <is>
          <t>KATRINEHOLM</t>
        </is>
      </c>
      <c r="G429" t="n">
        <v>7.4</v>
      </c>
      <c r="H429" t="n">
        <v>0</v>
      </c>
      <c r="I429" t="n">
        <v>0</v>
      </c>
      <c r="J429" t="n">
        <v>0</v>
      </c>
      <c r="K429" t="n">
        <v>0</v>
      </c>
      <c r="L429" t="n">
        <v>0</v>
      </c>
      <c r="M429" t="n">
        <v>0</v>
      </c>
      <c r="N429" t="n">
        <v>0</v>
      </c>
      <c r="O429" t="n">
        <v>0</v>
      </c>
      <c r="P429" t="n">
        <v>0</v>
      </c>
      <c r="Q429" t="n">
        <v>0</v>
      </c>
      <c r="R429" s="2" t="inlineStr"/>
    </row>
    <row r="430" ht="15" customHeight="1">
      <c r="A430" t="inlineStr">
        <is>
          <t>A 27646-2023</t>
        </is>
      </c>
      <c r="B430" s="1" t="n">
        <v>45097</v>
      </c>
      <c r="C430" s="1" t="n">
        <v>46046</v>
      </c>
      <c r="D430" t="inlineStr">
        <is>
          <t>SÖDERMANLANDS LÄN</t>
        </is>
      </c>
      <c r="E430" t="inlineStr">
        <is>
          <t>KATRINEHOLM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50626-2024</t>
        </is>
      </c>
      <c r="B431" s="1" t="n">
        <v>45601</v>
      </c>
      <c r="C431" s="1" t="n">
        <v>46046</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35183-2022</t>
        </is>
      </c>
      <c r="B432" s="1" t="n">
        <v>44797</v>
      </c>
      <c r="C432" s="1" t="n">
        <v>46046</v>
      </c>
      <c r="D432" t="inlineStr">
        <is>
          <t>SÖDERMANLANDS LÄN</t>
        </is>
      </c>
      <c r="E432" t="inlineStr">
        <is>
          <t>KATRINEHOLM</t>
        </is>
      </c>
      <c r="G432" t="n">
        <v>4.6</v>
      </c>
      <c r="H432" t="n">
        <v>0</v>
      </c>
      <c r="I432" t="n">
        <v>0</v>
      </c>
      <c r="J432" t="n">
        <v>0</v>
      </c>
      <c r="K432" t="n">
        <v>0</v>
      </c>
      <c r="L432" t="n">
        <v>0</v>
      </c>
      <c r="M432" t="n">
        <v>0</v>
      </c>
      <c r="N432" t="n">
        <v>0</v>
      </c>
      <c r="O432" t="n">
        <v>0</v>
      </c>
      <c r="P432" t="n">
        <v>0</v>
      </c>
      <c r="Q432" t="n">
        <v>0</v>
      </c>
      <c r="R432" s="2" t="inlineStr"/>
    </row>
    <row r="433" ht="15" customHeight="1">
      <c r="A433" t="inlineStr">
        <is>
          <t>A 51260-2021</t>
        </is>
      </c>
      <c r="B433" s="1" t="n">
        <v>44461</v>
      </c>
      <c r="C433" s="1" t="n">
        <v>46046</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38879-2024</t>
        </is>
      </c>
      <c r="B434" s="1" t="n">
        <v>45547</v>
      </c>
      <c r="C434" s="1" t="n">
        <v>46046</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12888-2025</t>
        </is>
      </c>
      <c r="B435" s="1" t="n">
        <v>45733</v>
      </c>
      <c r="C435" s="1" t="n">
        <v>46046</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42945-2023</t>
        </is>
      </c>
      <c r="B436" s="1" t="n">
        <v>45182.5793287037</v>
      </c>
      <c r="C436" s="1" t="n">
        <v>46046</v>
      </c>
      <c r="D436" t="inlineStr">
        <is>
          <t>SÖDERMANLANDS LÄN</t>
        </is>
      </c>
      <c r="E436" t="inlineStr">
        <is>
          <t>KATRINEHOLM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42962-2023</t>
        </is>
      </c>
      <c r="B437" s="1" t="n">
        <v>45182</v>
      </c>
      <c r="C437" s="1" t="n">
        <v>46046</v>
      </c>
      <c r="D437" t="inlineStr">
        <is>
          <t>SÖDERMANLANDS LÄN</t>
        </is>
      </c>
      <c r="E437" t="inlineStr">
        <is>
          <t>KATRINEHOLM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33538-2022</t>
        </is>
      </c>
      <c r="B438" s="1" t="n">
        <v>44789</v>
      </c>
      <c r="C438" s="1" t="n">
        <v>46046</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30287-2025</t>
        </is>
      </c>
      <c r="B439" s="1" t="n">
        <v>45827</v>
      </c>
      <c r="C439" s="1" t="n">
        <v>46046</v>
      </c>
      <c r="D439" t="inlineStr">
        <is>
          <t>SÖDERMANLANDS LÄN</t>
        </is>
      </c>
      <c r="E439" t="inlineStr">
        <is>
          <t>KATRINEHOLM</t>
        </is>
      </c>
      <c r="G439" t="n">
        <v>10.2</v>
      </c>
      <c r="H439" t="n">
        <v>0</v>
      </c>
      <c r="I439" t="n">
        <v>0</v>
      </c>
      <c r="J439" t="n">
        <v>0</v>
      </c>
      <c r="K439" t="n">
        <v>0</v>
      </c>
      <c r="L439" t="n">
        <v>0</v>
      </c>
      <c r="M439" t="n">
        <v>0</v>
      </c>
      <c r="N439" t="n">
        <v>0</v>
      </c>
      <c r="O439" t="n">
        <v>0</v>
      </c>
      <c r="P439" t="n">
        <v>0</v>
      </c>
      <c r="Q439" t="n">
        <v>0</v>
      </c>
      <c r="R439" s="2" t="inlineStr"/>
    </row>
    <row r="440" ht="15" customHeight="1">
      <c r="A440" t="inlineStr">
        <is>
          <t>A 7197-2023</t>
        </is>
      </c>
      <c r="B440" s="1" t="n">
        <v>44965</v>
      </c>
      <c r="C440" s="1" t="n">
        <v>46046</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30352-2025</t>
        </is>
      </c>
      <c r="B441" s="1" t="n">
        <v>45827</v>
      </c>
      <c r="C441" s="1" t="n">
        <v>46046</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30050-2025</t>
        </is>
      </c>
      <c r="B442" s="1" t="n">
        <v>45826.59151620371</v>
      </c>
      <c r="C442" s="1" t="n">
        <v>46046</v>
      </c>
      <c r="D442" t="inlineStr">
        <is>
          <t>SÖDERMANLANDS LÄN</t>
        </is>
      </c>
      <c r="E442" t="inlineStr">
        <is>
          <t>KATRINEHOLM</t>
        </is>
      </c>
      <c r="G442" t="n">
        <v>7.9</v>
      </c>
      <c r="H442" t="n">
        <v>0</v>
      </c>
      <c r="I442" t="n">
        <v>0</v>
      </c>
      <c r="J442" t="n">
        <v>0</v>
      </c>
      <c r="K442" t="n">
        <v>0</v>
      </c>
      <c r="L442" t="n">
        <v>0</v>
      </c>
      <c r="M442" t="n">
        <v>0</v>
      </c>
      <c r="N442" t="n">
        <v>0</v>
      </c>
      <c r="O442" t="n">
        <v>0</v>
      </c>
      <c r="P442" t="n">
        <v>0</v>
      </c>
      <c r="Q442" t="n">
        <v>0</v>
      </c>
      <c r="R442" s="2" t="inlineStr"/>
    </row>
    <row r="443" ht="15" customHeight="1">
      <c r="A443" t="inlineStr">
        <is>
          <t>A 28394-2023</t>
        </is>
      </c>
      <c r="B443" s="1" t="n">
        <v>45100</v>
      </c>
      <c r="C443" s="1" t="n">
        <v>46046</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30350-2025</t>
        </is>
      </c>
      <c r="B444" s="1" t="n">
        <v>45827.53319444445</v>
      </c>
      <c r="C444" s="1" t="n">
        <v>46046</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61915-2021</t>
        </is>
      </c>
      <c r="B445" s="1" t="n">
        <v>44502.36780092592</v>
      </c>
      <c r="C445" s="1" t="n">
        <v>46046</v>
      </c>
      <c r="D445" t="inlineStr">
        <is>
          <t>SÖDERMANLANDS LÄN</t>
        </is>
      </c>
      <c r="E445" t="inlineStr">
        <is>
          <t>KATRINEHOLM</t>
        </is>
      </c>
      <c r="G445" t="n">
        <v>2.6</v>
      </c>
      <c r="H445" t="n">
        <v>0</v>
      </c>
      <c r="I445" t="n">
        <v>0</v>
      </c>
      <c r="J445" t="n">
        <v>0</v>
      </c>
      <c r="K445" t="n">
        <v>0</v>
      </c>
      <c r="L445" t="n">
        <v>0</v>
      </c>
      <c r="M445" t="n">
        <v>0</v>
      </c>
      <c r="N445" t="n">
        <v>0</v>
      </c>
      <c r="O445" t="n">
        <v>0</v>
      </c>
      <c r="P445" t="n">
        <v>0</v>
      </c>
      <c r="Q445" t="n">
        <v>0</v>
      </c>
      <c r="R445" s="2" t="inlineStr"/>
    </row>
    <row r="446" ht="15" customHeight="1">
      <c r="A446" t="inlineStr">
        <is>
          <t>A 30386-2025</t>
        </is>
      </c>
      <c r="B446" s="1" t="n">
        <v>45827</v>
      </c>
      <c r="C446" s="1" t="n">
        <v>46046</v>
      </c>
      <c r="D446" t="inlineStr">
        <is>
          <t>SÖDERMANLANDS LÄN</t>
        </is>
      </c>
      <c r="E446" t="inlineStr">
        <is>
          <t>KATRINEHOLM</t>
        </is>
      </c>
      <c r="G446" t="n">
        <v>5.6</v>
      </c>
      <c r="H446" t="n">
        <v>0</v>
      </c>
      <c r="I446" t="n">
        <v>0</v>
      </c>
      <c r="J446" t="n">
        <v>0</v>
      </c>
      <c r="K446" t="n">
        <v>0</v>
      </c>
      <c r="L446" t="n">
        <v>0</v>
      </c>
      <c r="M446" t="n">
        <v>0</v>
      </c>
      <c r="N446" t="n">
        <v>0</v>
      </c>
      <c r="O446" t="n">
        <v>0</v>
      </c>
      <c r="P446" t="n">
        <v>0</v>
      </c>
      <c r="Q446" t="n">
        <v>0</v>
      </c>
      <c r="R446" s="2" t="inlineStr"/>
    </row>
    <row r="447" ht="15" customHeight="1">
      <c r="A447" t="inlineStr">
        <is>
          <t>A 30070-2025</t>
        </is>
      </c>
      <c r="B447" s="1" t="n">
        <v>45826.63324074074</v>
      </c>
      <c r="C447" s="1" t="n">
        <v>46046</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55795-2023</t>
        </is>
      </c>
      <c r="B448" s="1" t="n">
        <v>45239.54861111111</v>
      </c>
      <c r="C448" s="1" t="n">
        <v>46046</v>
      </c>
      <c r="D448" t="inlineStr">
        <is>
          <t>SÖDERMANLANDS LÄN</t>
        </is>
      </c>
      <c r="E448" t="inlineStr">
        <is>
          <t>KATRINEHOLM</t>
        </is>
      </c>
      <c r="G448" t="n">
        <v>7</v>
      </c>
      <c r="H448" t="n">
        <v>0</v>
      </c>
      <c r="I448" t="n">
        <v>0</v>
      </c>
      <c r="J448" t="n">
        <v>0</v>
      </c>
      <c r="K448" t="n">
        <v>0</v>
      </c>
      <c r="L448" t="n">
        <v>0</v>
      </c>
      <c r="M448" t="n">
        <v>0</v>
      </c>
      <c r="N448" t="n">
        <v>0</v>
      </c>
      <c r="O448" t="n">
        <v>0</v>
      </c>
      <c r="P448" t="n">
        <v>0</v>
      </c>
      <c r="Q448" t="n">
        <v>0</v>
      </c>
      <c r="R448" s="2" t="inlineStr"/>
    </row>
    <row r="449" ht="15" customHeight="1">
      <c r="A449" t="inlineStr">
        <is>
          <t>A 20768-2022</t>
        </is>
      </c>
      <c r="B449" s="1" t="n">
        <v>44701.36431712963</v>
      </c>
      <c r="C449" s="1" t="n">
        <v>46046</v>
      </c>
      <c r="D449" t="inlineStr">
        <is>
          <t>SÖDERMANLANDS LÄN</t>
        </is>
      </c>
      <c r="E449" t="inlineStr">
        <is>
          <t>KATRINEHOLM</t>
        </is>
      </c>
      <c r="G449" t="n">
        <v>3.5</v>
      </c>
      <c r="H449" t="n">
        <v>0</v>
      </c>
      <c r="I449" t="n">
        <v>0</v>
      </c>
      <c r="J449" t="n">
        <v>0</v>
      </c>
      <c r="K449" t="n">
        <v>0</v>
      </c>
      <c r="L449" t="n">
        <v>0</v>
      </c>
      <c r="M449" t="n">
        <v>0</v>
      </c>
      <c r="N449" t="n">
        <v>0</v>
      </c>
      <c r="O449" t="n">
        <v>0</v>
      </c>
      <c r="P449" t="n">
        <v>0</v>
      </c>
      <c r="Q449" t="n">
        <v>0</v>
      </c>
      <c r="R449" s="2" t="inlineStr"/>
    </row>
    <row r="450" ht="15" customHeight="1">
      <c r="A450" t="inlineStr">
        <is>
          <t>A 16605-2025</t>
        </is>
      </c>
      <c r="B450" s="1" t="n">
        <v>45753.61614583333</v>
      </c>
      <c r="C450" s="1" t="n">
        <v>46046</v>
      </c>
      <c r="D450" t="inlineStr">
        <is>
          <t>SÖDERMANLANDS LÄN</t>
        </is>
      </c>
      <c r="E450" t="inlineStr">
        <is>
          <t>KATRINEHOLM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25362-2023</t>
        </is>
      </c>
      <c r="B451" s="1" t="n">
        <v>45088.83430555555</v>
      </c>
      <c r="C451" s="1" t="n">
        <v>46046</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30402-2025</t>
        </is>
      </c>
      <c r="B452" s="1" t="n">
        <v>45827</v>
      </c>
      <c r="C452" s="1" t="n">
        <v>46046</v>
      </c>
      <c r="D452" t="inlineStr">
        <is>
          <t>SÖDERMANLANDS LÄN</t>
        </is>
      </c>
      <c r="E452" t="inlineStr">
        <is>
          <t>KATRINEHOLM</t>
        </is>
      </c>
      <c r="G452" t="n">
        <v>7.1</v>
      </c>
      <c r="H452" t="n">
        <v>0</v>
      </c>
      <c r="I452" t="n">
        <v>0</v>
      </c>
      <c r="J452" t="n">
        <v>0</v>
      </c>
      <c r="K452" t="n">
        <v>0</v>
      </c>
      <c r="L452" t="n">
        <v>0</v>
      </c>
      <c r="M452" t="n">
        <v>0</v>
      </c>
      <c r="N452" t="n">
        <v>0</v>
      </c>
      <c r="O452" t="n">
        <v>0</v>
      </c>
      <c r="P452" t="n">
        <v>0</v>
      </c>
      <c r="Q452" t="n">
        <v>0</v>
      </c>
      <c r="R452" s="2" t="inlineStr"/>
    </row>
    <row r="453" ht="15" customHeight="1">
      <c r="A453" t="inlineStr">
        <is>
          <t>A 73409-2021</t>
        </is>
      </c>
      <c r="B453" s="1" t="n">
        <v>44551</v>
      </c>
      <c r="C453" s="1" t="n">
        <v>46046</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73415-2021</t>
        </is>
      </c>
      <c r="B454" s="1" t="n">
        <v>44551</v>
      </c>
      <c r="C454" s="1" t="n">
        <v>46046</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47456-2022</t>
        </is>
      </c>
      <c r="B455" s="1" t="n">
        <v>44852</v>
      </c>
      <c r="C455" s="1" t="n">
        <v>46046</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55846-2022</t>
        </is>
      </c>
      <c r="B456" s="1" t="n">
        <v>44888</v>
      </c>
      <c r="C456" s="1" t="n">
        <v>46046</v>
      </c>
      <c r="D456" t="inlineStr">
        <is>
          <t>SÖDERMANLANDS LÄN</t>
        </is>
      </c>
      <c r="E456" t="inlineStr">
        <is>
          <t>KATRINEHOLM</t>
        </is>
      </c>
      <c r="G456" t="n">
        <v>6.5</v>
      </c>
      <c r="H456" t="n">
        <v>0</v>
      </c>
      <c r="I456" t="n">
        <v>0</v>
      </c>
      <c r="J456" t="n">
        <v>0</v>
      </c>
      <c r="K456" t="n">
        <v>0</v>
      </c>
      <c r="L456" t="n">
        <v>0</v>
      </c>
      <c r="M456" t="n">
        <v>0</v>
      </c>
      <c r="N456" t="n">
        <v>0</v>
      </c>
      <c r="O456" t="n">
        <v>0</v>
      </c>
      <c r="P456" t="n">
        <v>0</v>
      </c>
      <c r="Q456" t="n">
        <v>0</v>
      </c>
      <c r="R456" s="2" t="inlineStr"/>
    </row>
    <row r="457" ht="15" customHeight="1">
      <c r="A457" t="inlineStr">
        <is>
          <t>A 4656-2023</t>
        </is>
      </c>
      <c r="B457" s="1" t="n">
        <v>44957</v>
      </c>
      <c r="C457" s="1" t="n">
        <v>46046</v>
      </c>
      <c r="D457" t="inlineStr">
        <is>
          <t>SÖDERMANLANDS LÄN</t>
        </is>
      </c>
      <c r="E457" t="inlineStr">
        <is>
          <t>KATRINEHOLM</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49078-2024</t>
        </is>
      </c>
      <c r="B458" s="1" t="n">
        <v>45594.62556712963</v>
      </c>
      <c r="C458" s="1" t="n">
        <v>46046</v>
      </c>
      <c r="D458" t="inlineStr">
        <is>
          <t>SÖDERMANLANDS LÄN</t>
        </is>
      </c>
      <c r="E458" t="inlineStr">
        <is>
          <t>KATRINEHOLM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63188-2021</t>
        </is>
      </c>
      <c r="B459" s="1" t="n">
        <v>44507.56865740741</v>
      </c>
      <c r="C459" s="1" t="n">
        <v>46046</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64713-2023</t>
        </is>
      </c>
      <c r="B460" s="1" t="n">
        <v>45281</v>
      </c>
      <c r="C460" s="1" t="n">
        <v>46046</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35188-2022</t>
        </is>
      </c>
      <c r="B461" s="1" t="n">
        <v>44797</v>
      </c>
      <c r="C461" s="1" t="n">
        <v>46046</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28304-2024</t>
        </is>
      </c>
      <c r="B462" s="1" t="n">
        <v>45477</v>
      </c>
      <c r="C462" s="1" t="n">
        <v>46046</v>
      </c>
      <c r="D462" t="inlineStr">
        <is>
          <t>SÖDERMANLANDS LÄN</t>
        </is>
      </c>
      <c r="E462" t="inlineStr">
        <is>
          <t>KATRINEHOLM</t>
        </is>
      </c>
      <c r="G462" t="n">
        <v>3.8</v>
      </c>
      <c r="H462" t="n">
        <v>0</v>
      </c>
      <c r="I462" t="n">
        <v>0</v>
      </c>
      <c r="J462" t="n">
        <v>0</v>
      </c>
      <c r="K462" t="n">
        <v>0</v>
      </c>
      <c r="L462" t="n">
        <v>0</v>
      </c>
      <c r="M462" t="n">
        <v>0</v>
      </c>
      <c r="N462" t="n">
        <v>0</v>
      </c>
      <c r="O462" t="n">
        <v>0</v>
      </c>
      <c r="P462" t="n">
        <v>0</v>
      </c>
      <c r="Q462" t="n">
        <v>0</v>
      </c>
      <c r="R462" s="2" t="inlineStr"/>
    </row>
    <row r="463" ht="15" customHeight="1">
      <c r="A463" t="inlineStr">
        <is>
          <t>A 8457-2023</t>
        </is>
      </c>
      <c r="B463" s="1" t="n">
        <v>44977</v>
      </c>
      <c r="C463" s="1" t="n">
        <v>46046</v>
      </c>
      <c r="D463" t="inlineStr">
        <is>
          <t>SÖDERMANLANDS LÄN</t>
        </is>
      </c>
      <c r="E463" t="inlineStr">
        <is>
          <t>KATRINEHOLM</t>
        </is>
      </c>
      <c r="F463" t="inlineStr">
        <is>
          <t>Allmännings- och besparingsskogar</t>
        </is>
      </c>
      <c r="G463" t="n">
        <v>16.1</v>
      </c>
      <c r="H463" t="n">
        <v>0</v>
      </c>
      <c r="I463" t="n">
        <v>0</v>
      </c>
      <c r="J463" t="n">
        <v>0</v>
      </c>
      <c r="K463" t="n">
        <v>0</v>
      </c>
      <c r="L463" t="n">
        <v>0</v>
      </c>
      <c r="M463" t="n">
        <v>0</v>
      </c>
      <c r="N463" t="n">
        <v>0</v>
      </c>
      <c r="O463" t="n">
        <v>0</v>
      </c>
      <c r="P463" t="n">
        <v>0</v>
      </c>
      <c r="Q463" t="n">
        <v>0</v>
      </c>
      <c r="R463" s="2" t="inlineStr"/>
    </row>
    <row r="464" ht="15" customHeight="1">
      <c r="A464" t="inlineStr">
        <is>
          <t>A 5327-2025</t>
        </is>
      </c>
      <c r="B464" s="1" t="n">
        <v>45692</v>
      </c>
      <c r="C464" s="1" t="n">
        <v>46046</v>
      </c>
      <c r="D464" t="inlineStr">
        <is>
          <t>SÖDERMANLANDS LÄN</t>
        </is>
      </c>
      <c r="E464" t="inlineStr">
        <is>
          <t>KATRINEHOLM</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31392-2025</t>
        </is>
      </c>
      <c r="B465" s="1" t="n">
        <v>45833</v>
      </c>
      <c r="C465" s="1" t="n">
        <v>46046</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46046</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7322-2023</t>
        </is>
      </c>
      <c r="B467" s="1" t="n">
        <v>44970</v>
      </c>
      <c r="C467" s="1" t="n">
        <v>46046</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6175-2023</t>
        </is>
      </c>
      <c r="B468" s="1" t="n">
        <v>44964</v>
      </c>
      <c r="C468" s="1" t="n">
        <v>46046</v>
      </c>
      <c r="D468" t="inlineStr">
        <is>
          <t>SÖDERMANLANDS LÄN</t>
        </is>
      </c>
      <c r="E468" t="inlineStr">
        <is>
          <t>KATRINEHOLM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46046</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60160-2022</t>
        </is>
      </c>
      <c r="B470" s="1" t="n">
        <v>44909</v>
      </c>
      <c r="C470" s="1" t="n">
        <v>46046</v>
      </c>
      <c r="D470" t="inlineStr">
        <is>
          <t>SÖDERMANLANDS LÄN</t>
        </is>
      </c>
      <c r="E470" t="inlineStr">
        <is>
          <t>KATRINEHOLM</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4655-2024</t>
        </is>
      </c>
      <c r="B471" s="1" t="n">
        <v>45328</v>
      </c>
      <c r="C471" s="1" t="n">
        <v>46046</v>
      </c>
      <c r="D471" t="inlineStr">
        <is>
          <t>SÖDERMANLANDS LÄN</t>
        </is>
      </c>
      <c r="E471" t="inlineStr">
        <is>
          <t>KATRINEHOLM</t>
        </is>
      </c>
      <c r="G471" t="n">
        <v>17.7</v>
      </c>
      <c r="H471" t="n">
        <v>0</v>
      </c>
      <c r="I471" t="n">
        <v>0</v>
      </c>
      <c r="J471" t="n">
        <v>0</v>
      </c>
      <c r="K471" t="n">
        <v>0</v>
      </c>
      <c r="L471" t="n">
        <v>0</v>
      </c>
      <c r="M471" t="n">
        <v>0</v>
      </c>
      <c r="N471" t="n">
        <v>0</v>
      </c>
      <c r="O471" t="n">
        <v>0</v>
      </c>
      <c r="P471" t="n">
        <v>0</v>
      </c>
      <c r="Q471" t="n">
        <v>0</v>
      </c>
      <c r="R471" s="2" t="inlineStr"/>
    </row>
    <row r="472" ht="15" customHeight="1">
      <c r="A472" t="inlineStr">
        <is>
          <t>A 19452-2023</t>
        </is>
      </c>
      <c r="B472" s="1" t="n">
        <v>45050</v>
      </c>
      <c r="C472" s="1" t="n">
        <v>46046</v>
      </c>
      <c r="D472" t="inlineStr">
        <is>
          <t>SÖDERMANLANDS LÄN</t>
        </is>
      </c>
      <c r="E472" t="inlineStr">
        <is>
          <t>KATRINEHOLM</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46046</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12238-2021</t>
        </is>
      </c>
      <c r="B474" s="1" t="n">
        <v>44266</v>
      </c>
      <c r="C474" s="1" t="n">
        <v>46046</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48685-2022</t>
        </is>
      </c>
      <c r="B475" s="1" t="n">
        <v>44859</v>
      </c>
      <c r="C475" s="1" t="n">
        <v>46046</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42519-2024</t>
        </is>
      </c>
      <c r="B476" s="1" t="n">
        <v>45565</v>
      </c>
      <c r="C476" s="1" t="n">
        <v>46046</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31719-2024</t>
        </is>
      </c>
      <c r="B477" s="1" t="n">
        <v>45509</v>
      </c>
      <c r="C477" s="1" t="n">
        <v>46046</v>
      </c>
      <c r="D477" t="inlineStr">
        <is>
          <t>SÖDERMANLANDS LÄN</t>
        </is>
      </c>
      <c r="E477" t="inlineStr">
        <is>
          <t>KATRINEHOLM</t>
        </is>
      </c>
      <c r="F477" t="inlineStr">
        <is>
          <t>Kyrkan</t>
        </is>
      </c>
      <c r="G477" t="n">
        <v>11.9</v>
      </c>
      <c r="H477" t="n">
        <v>0</v>
      </c>
      <c r="I477" t="n">
        <v>0</v>
      </c>
      <c r="J477" t="n">
        <v>0</v>
      </c>
      <c r="K477" t="n">
        <v>0</v>
      </c>
      <c r="L477" t="n">
        <v>0</v>
      </c>
      <c r="M477" t="n">
        <v>0</v>
      </c>
      <c r="N477" t="n">
        <v>0</v>
      </c>
      <c r="O477" t="n">
        <v>0</v>
      </c>
      <c r="P477" t="n">
        <v>0</v>
      </c>
      <c r="Q477" t="n">
        <v>0</v>
      </c>
      <c r="R477" s="2" t="inlineStr"/>
    </row>
    <row r="478" ht="15" customHeight="1">
      <c r="A478" t="inlineStr">
        <is>
          <t>A 43837-2022</t>
        </is>
      </c>
      <c r="B478" s="1" t="n">
        <v>44838</v>
      </c>
      <c r="C478" s="1" t="n">
        <v>46046</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51404-2023</t>
        </is>
      </c>
      <c r="B479" s="1" t="n">
        <v>45214</v>
      </c>
      <c r="C479" s="1" t="n">
        <v>46046</v>
      </c>
      <c r="D479" t="inlineStr">
        <is>
          <t>SÖDERMANLANDS LÄN</t>
        </is>
      </c>
      <c r="E479" t="inlineStr">
        <is>
          <t>KATRINEHOLM</t>
        </is>
      </c>
      <c r="G479" t="n">
        <v>9</v>
      </c>
      <c r="H479" t="n">
        <v>0</v>
      </c>
      <c r="I479" t="n">
        <v>0</v>
      </c>
      <c r="J479" t="n">
        <v>0</v>
      </c>
      <c r="K479" t="n">
        <v>0</v>
      </c>
      <c r="L479" t="n">
        <v>0</v>
      </c>
      <c r="M479" t="n">
        <v>0</v>
      </c>
      <c r="N479" t="n">
        <v>0</v>
      </c>
      <c r="O479" t="n">
        <v>0</v>
      </c>
      <c r="P479" t="n">
        <v>0</v>
      </c>
      <c r="Q479" t="n">
        <v>0</v>
      </c>
      <c r="R479" s="2" t="inlineStr"/>
    </row>
    <row r="480" ht="15" customHeight="1">
      <c r="A480" t="inlineStr">
        <is>
          <t>A 43499-2021</t>
        </is>
      </c>
      <c r="B480" s="1" t="n">
        <v>44433</v>
      </c>
      <c r="C480" s="1" t="n">
        <v>46046</v>
      </c>
      <c r="D480" t="inlineStr">
        <is>
          <t>SÖDERMANLANDS LÄN</t>
        </is>
      </c>
      <c r="E480" t="inlineStr">
        <is>
          <t>KATRINEHOLM</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32169-2022</t>
        </is>
      </c>
      <c r="B481" s="1" t="n">
        <v>44781</v>
      </c>
      <c r="C481" s="1" t="n">
        <v>46046</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31990-2025</t>
        </is>
      </c>
      <c r="B482" s="1" t="n">
        <v>45835.36697916667</v>
      </c>
      <c r="C482" s="1" t="n">
        <v>46046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55122-2022</t>
        </is>
      </c>
      <c r="B483" s="1" t="n">
        <v>44886.65092592593</v>
      </c>
      <c r="C483" s="1" t="n">
        <v>46046</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51397-2023</t>
        </is>
      </c>
      <c r="B484" s="1" t="n">
        <v>45214</v>
      </c>
      <c r="C484" s="1" t="n">
        <v>46046</v>
      </c>
      <c r="D484" t="inlineStr">
        <is>
          <t>SÖDERMANLANDS LÄN</t>
        </is>
      </c>
      <c r="E484" t="inlineStr">
        <is>
          <t>KATRINEHOLM</t>
        </is>
      </c>
      <c r="G484" t="n">
        <v>4.9</v>
      </c>
      <c r="H484" t="n">
        <v>0</v>
      </c>
      <c r="I484" t="n">
        <v>0</v>
      </c>
      <c r="J484" t="n">
        <v>0</v>
      </c>
      <c r="K484" t="n">
        <v>0</v>
      </c>
      <c r="L484" t="n">
        <v>0</v>
      </c>
      <c r="M484" t="n">
        <v>0</v>
      </c>
      <c r="N484" t="n">
        <v>0</v>
      </c>
      <c r="O484" t="n">
        <v>0</v>
      </c>
      <c r="P484" t="n">
        <v>0</v>
      </c>
      <c r="Q484" t="n">
        <v>0</v>
      </c>
      <c r="R484" s="2" t="inlineStr"/>
    </row>
    <row r="485" ht="15" customHeight="1">
      <c r="A485" t="inlineStr">
        <is>
          <t>A 43964-2022</t>
        </is>
      </c>
      <c r="B485" s="1" t="n">
        <v>44837</v>
      </c>
      <c r="C485" s="1" t="n">
        <v>46046</v>
      </c>
      <c r="D485" t="inlineStr">
        <is>
          <t>SÖDERMANLANDS LÄN</t>
        </is>
      </c>
      <c r="E485" t="inlineStr">
        <is>
          <t>KATRINEHOLM</t>
        </is>
      </c>
      <c r="G485" t="n">
        <v>3.6</v>
      </c>
      <c r="H485" t="n">
        <v>0</v>
      </c>
      <c r="I485" t="n">
        <v>0</v>
      </c>
      <c r="J485" t="n">
        <v>0</v>
      </c>
      <c r="K485" t="n">
        <v>0</v>
      </c>
      <c r="L485" t="n">
        <v>0</v>
      </c>
      <c r="M485" t="n">
        <v>0</v>
      </c>
      <c r="N485" t="n">
        <v>0</v>
      </c>
      <c r="O485" t="n">
        <v>0</v>
      </c>
      <c r="P485" t="n">
        <v>0</v>
      </c>
      <c r="Q485" t="n">
        <v>0</v>
      </c>
      <c r="R485" s="2" t="inlineStr"/>
    </row>
    <row r="486" ht="15" customHeight="1">
      <c r="A486" t="inlineStr">
        <is>
          <t>A 15898-2022</t>
        </is>
      </c>
      <c r="B486" s="1" t="n">
        <v>44664.55688657407</v>
      </c>
      <c r="C486" s="1" t="n">
        <v>46046</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15910-2022</t>
        </is>
      </c>
      <c r="B487" s="1" t="n">
        <v>44664</v>
      </c>
      <c r="C487" s="1" t="n">
        <v>46046</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46046</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64605-2023</t>
        </is>
      </c>
      <c r="B489" s="1" t="n">
        <v>45281</v>
      </c>
      <c r="C489" s="1" t="n">
        <v>46046</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64652-2023</t>
        </is>
      </c>
      <c r="B490" s="1" t="n">
        <v>45281</v>
      </c>
      <c r="C490" s="1" t="n">
        <v>46046</v>
      </c>
      <c r="D490" t="inlineStr">
        <is>
          <t>SÖDERMANLANDS LÄN</t>
        </is>
      </c>
      <c r="E490" t="inlineStr">
        <is>
          <t>KATRINEHOLM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9992-2022</t>
        </is>
      </c>
      <c r="B491" s="1" t="n">
        <v>44621</v>
      </c>
      <c r="C491" s="1" t="n">
        <v>46046</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44659-2023</t>
        </is>
      </c>
      <c r="B492" s="1" t="n">
        <v>45189</v>
      </c>
      <c r="C492" s="1" t="n">
        <v>46046</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29830-2023</t>
        </is>
      </c>
      <c r="B493" s="1" t="n">
        <v>45107</v>
      </c>
      <c r="C493" s="1" t="n">
        <v>46046</v>
      </c>
      <c r="D493" t="inlineStr">
        <is>
          <t>SÖDERMANLANDS LÄN</t>
        </is>
      </c>
      <c r="E493" t="inlineStr">
        <is>
          <t>KATRINEHOLM</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28582-2024</t>
        </is>
      </c>
      <c r="B494" s="1" t="n">
        <v>45478.40751157407</v>
      </c>
      <c r="C494" s="1" t="n">
        <v>46046</v>
      </c>
      <c r="D494" t="inlineStr">
        <is>
          <t>SÖDERMANLANDS LÄN</t>
        </is>
      </c>
      <c r="E494" t="inlineStr">
        <is>
          <t>KATRINEHOLM</t>
        </is>
      </c>
      <c r="F494" t="inlineStr">
        <is>
          <t>Övriga Aktiebolag</t>
        </is>
      </c>
      <c r="G494" t="n">
        <v>4</v>
      </c>
      <c r="H494" t="n">
        <v>0</v>
      </c>
      <c r="I494" t="n">
        <v>0</v>
      </c>
      <c r="J494" t="n">
        <v>0</v>
      </c>
      <c r="K494" t="n">
        <v>0</v>
      </c>
      <c r="L494" t="n">
        <v>0</v>
      </c>
      <c r="M494" t="n">
        <v>0</v>
      </c>
      <c r="N494" t="n">
        <v>0</v>
      </c>
      <c r="O494" t="n">
        <v>0</v>
      </c>
      <c r="P494" t="n">
        <v>0</v>
      </c>
      <c r="Q494" t="n">
        <v>0</v>
      </c>
      <c r="R494" s="2" t="inlineStr"/>
    </row>
    <row r="495" ht="15" customHeight="1">
      <c r="A495" t="inlineStr">
        <is>
          <t>A 29394-2024</t>
        </is>
      </c>
      <c r="B495" s="1" t="n">
        <v>45483</v>
      </c>
      <c r="C495" s="1" t="n">
        <v>46046</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48682-2022</t>
        </is>
      </c>
      <c r="B496" s="1" t="n">
        <v>44859</v>
      </c>
      <c r="C496" s="1" t="n">
        <v>46046</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46011-2021</t>
        </is>
      </c>
      <c r="B497" s="1" t="n">
        <v>44441.88092592593</v>
      </c>
      <c r="C497" s="1" t="n">
        <v>46046</v>
      </c>
      <c r="D497" t="inlineStr">
        <is>
          <t>SÖDERMANLANDS LÄN</t>
        </is>
      </c>
      <c r="E497" t="inlineStr">
        <is>
          <t>KATRINEHOLM</t>
        </is>
      </c>
      <c r="G497" t="n">
        <v>4.7</v>
      </c>
      <c r="H497" t="n">
        <v>0</v>
      </c>
      <c r="I497" t="n">
        <v>0</v>
      </c>
      <c r="J497" t="n">
        <v>0</v>
      </c>
      <c r="K497" t="n">
        <v>0</v>
      </c>
      <c r="L497" t="n">
        <v>0</v>
      </c>
      <c r="M497" t="n">
        <v>0</v>
      </c>
      <c r="N497" t="n">
        <v>0</v>
      </c>
      <c r="O497" t="n">
        <v>0</v>
      </c>
      <c r="P497" t="n">
        <v>0</v>
      </c>
      <c r="Q497" t="n">
        <v>0</v>
      </c>
      <c r="R497" s="2" t="inlineStr"/>
    </row>
    <row r="498" ht="15" customHeight="1">
      <c r="A498" t="inlineStr">
        <is>
          <t>A 33084-2025</t>
        </is>
      </c>
      <c r="B498" s="1" t="n">
        <v>45840.46559027778</v>
      </c>
      <c r="C498" s="1" t="n">
        <v>46046</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33577-2025</t>
        </is>
      </c>
      <c r="B499" s="1" t="n">
        <v>45841.59056712963</v>
      </c>
      <c r="C499" s="1" t="n">
        <v>46046</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33090-2025</t>
        </is>
      </c>
      <c r="B500" s="1" t="n">
        <v>45840.46840277778</v>
      </c>
      <c r="C500" s="1" t="n">
        <v>46046</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19670-2022</t>
        </is>
      </c>
      <c r="B501" s="1" t="n">
        <v>44694</v>
      </c>
      <c r="C501" s="1" t="n">
        <v>46046</v>
      </c>
      <c r="D501" t="inlineStr">
        <is>
          <t>SÖDERMANLANDS LÄN</t>
        </is>
      </c>
      <c r="E501" t="inlineStr">
        <is>
          <t>KATRINEHOLM</t>
        </is>
      </c>
      <c r="G501" t="n">
        <v>13.6</v>
      </c>
      <c r="H501" t="n">
        <v>0</v>
      </c>
      <c r="I501" t="n">
        <v>0</v>
      </c>
      <c r="J501" t="n">
        <v>0</v>
      </c>
      <c r="K501" t="n">
        <v>0</v>
      </c>
      <c r="L501" t="n">
        <v>0</v>
      </c>
      <c r="M501" t="n">
        <v>0</v>
      </c>
      <c r="N501" t="n">
        <v>0</v>
      </c>
      <c r="O501" t="n">
        <v>0</v>
      </c>
      <c r="P501" t="n">
        <v>0</v>
      </c>
      <c r="Q501" t="n">
        <v>0</v>
      </c>
      <c r="R501" s="2" t="inlineStr"/>
    </row>
    <row r="502" ht="15" customHeight="1">
      <c r="A502" t="inlineStr">
        <is>
          <t>A 30387-2022</t>
        </is>
      </c>
      <c r="B502" s="1" t="n">
        <v>44760</v>
      </c>
      <c r="C502" s="1" t="n">
        <v>46046</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6606-2022</t>
        </is>
      </c>
      <c r="B503" s="1" t="n">
        <v>44601</v>
      </c>
      <c r="C503" s="1" t="n">
        <v>46046</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33812-2025</t>
        </is>
      </c>
      <c r="B504" s="1" t="n">
        <v>45842</v>
      </c>
      <c r="C504" s="1" t="n">
        <v>46046</v>
      </c>
      <c r="D504" t="inlineStr">
        <is>
          <t>SÖDERMANLANDS LÄN</t>
        </is>
      </c>
      <c r="E504" t="inlineStr">
        <is>
          <t>KATRINEHOLM</t>
        </is>
      </c>
      <c r="G504" t="n">
        <v>1.5</v>
      </c>
      <c r="H504" t="n">
        <v>0</v>
      </c>
      <c r="I504" t="n">
        <v>0</v>
      </c>
      <c r="J504" t="n">
        <v>0</v>
      </c>
      <c r="K504" t="n">
        <v>0</v>
      </c>
      <c r="L504" t="n">
        <v>0</v>
      </c>
      <c r="M504" t="n">
        <v>0</v>
      </c>
      <c r="N504" t="n">
        <v>0</v>
      </c>
      <c r="O504" t="n">
        <v>0</v>
      </c>
      <c r="P504" t="n">
        <v>0</v>
      </c>
      <c r="Q504" t="n">
        <v>0</v>
      </c>
      <c r="R504" s="2" t="inlineStr"/>
    </row>
    <row r="505" ht="15" customHeight="1">
      <c r="A505" t="inlineStr">
        <is>
          <t>A 14629-2023</t>
        </is>
      </c>
      <c r="B505" s="1" t="n">
        <v>45013</v>
      </c>
      <c r="C505" s="1" t="n">
        <v>46046</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4122-2023</t>
        </is>
      </c>
      <c r="B506" s="1" t="n">
        <v>44952</v>
      </c>
      <c r="C506" s="1" t="n">
        <v>46046</v>
      </c>
      <c r="D506" t="inlineStr">
        <is>
          <t>SÖDERMANLANDS LÄN</t>
        </is>
      </c>
      <c r="E506" t="inlineStr">
        <is>
          <t>KATRINEHOLM</t>
        </is>
      </c>
      <c r="G506" t="n">
        <v>9</v>
      </c>
      <c r="H506" t="n">
        <v>0</v>
      </c>
      <c r="I506" t="n">
        <v>0</v>
      </c>
      <c r="J506" t="n">
        <v>0</v>
      </c>
      <c r="K506" t="n">
        <v>0</v>
      </c>
      <c r="L506" t="n">
        <v>0</v>
      </c>
      <c r="M506" t="n">
        <v>0</v>
      </c>
      <c r="N506" t="n">
        <v>0</v>
      </c>
      <c r="O506" t="n">
        <v>0</v>
      </c>
      <c r="P506" t="n">
        <v>0</v>
      </c>
      <c r="Q506" t="n">
        <v>0</v>
      </c>
      <c r="R506" s="2" t="inlineStr"/>
    </row>
    <row r="507" ht="15" customHeight="1">
      <c r="A507" t="inlineStr">
        <is>
          <t>A 61394-2024</t>
        </is>
      </c>
      <c r="B507" s="1" t="n">
        <v>45646.42061342593</v>
      </c>
      <c r="C507" s="1" t="n">
        <v>46046</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57524-2021</t>
        </is>
      </c>
      <c r="B508" s="1" t="n">
        <v>44483</v>
      </c>
      <c r="C508" s="1" t="n">
        <v>46046</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6762-2025</t>
        </is>
      </c>
      <c r="B509" s="1" t="n">
        <v>45700</v>
      </c>
      <c r="C509" s="1" t="n">
        <v>46046</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33815-2025</t>
        </is>
      </c>
      <c r="B510" s="1" t="n">
        <v>45842</v>
      </c>
      <c r="C510" s="1" t="n">
        <v>46046</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931-2023</t>
        </is>
      </c>
      <c r="B511" s="1" t="n">
        <v>44932.74261574074</v>
      </c>
      <c r="C511" s="1" t="n">
        <v>46046</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20213-2025</t>
        </is>
      </c>
      <c r="B512" s="1" t="n">
        <v>45772.63453703704</v>
      </c>
      <c r="C512" s="1" t="n">
        <v>46046</v>
      </c>
      <c r="D512" t="inlineStr">
        <is>
          <t>SÖDERMANLANDS LÄN</t>
        </is>
      </c>
      <c r="E512" t="inlineStr">
        <is>
          <t>KATRINEHOLM</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46046</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46046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46046</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38883-2024</t>
        </is>
      </c>
      <c r="B516" s="1" t="n">
        <v>45547</v>
      </c>
      <c r="C516" s="1" t="n">
        <v>46046</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6796-2022</t>
        </is>
      </c>
      <c r="B517" s="1" t="n">
        <v>44602</v>
      </c>
      <c r="C517" s="1" t="n">
        <v>46046</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52857-2021</t>
        </is>
      </c>
      <c r="B518" s="1" t="n">
        <v>44466</v>
      </c>
      <c r="C518" s="1" t="n">
        <v>46046</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37185-2023</t>
        </is>
      </c>
      <c r="B519" s="1" t="n">
        <v>45154</v>
      </c>
      <c r="C519" s="1" t="n">
        <v>46046</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42015-2022</t>
        </is>
      </c>
      <c r="B520" s="1" t="n">
        <v>44830.4649074074</v>
      </c>
      <c r="C520" s="1" t="n">
        <v>46046</v>
      </c>
      <c r="D520" t="inlineStr">
        <is>
          <t>SÖDERMANLANDS LÄN</t>
        </is>
      </c>
      <c r="E520" t="inlineStr">
        <is>
          <t>KATRINEHOLM</t>
        </is>
      </c>
      <c r="G520" t="n">
        <v>3.8</v>
      </c>
      <c r="H520" t="n">
        <v>0</v>
      </c>
      <c r="I520" t="n">
        <v>0</v>
      </c>
      <c r="J520" t="n">
        <v>0</v>
      </c>
      <c r="K520" t="n">
        <v>0</v>
      </c>
      <c r="L520" t="n">
        <v>0</v>
      </c>
      <c r="M520" t="n">
        <v>0</v>
      </c>
      <c r="N520" t="n">
        <v>0</v>
      </c>
      <c r="O520" t="n">
        <v>0</v>
      </c>
      <c r="P520" t="n">
        <v>0</v>
      </c>
      <c r="Q520" t="n">
        <v>0</v>
      </c>
      <c r="R520" s="2" t="inlineStr"/>
    </row>
    <row r="521" ht="15" customHeight="1">
      <c r="A521" t="inlineStr">
        <is>
          <t>A 42020-2022</t>
        </is>
      </c>
      <c r="B521" s="1" t="n">
        <v>44830.46849537037</v>
      </c>
      <c r="C521" s="1" t="n">
        <v>46046</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8394-2024</t>
        </is>
      </c>
      <c r="B522" s="1" t="n">
        <v>45352</v>
      </c>
      <c r="C522" s="1" t="n">
        <v>46046</v>
      </c>
      <c r="D522" t="inlineStr">
        <is>
          <t>SÖDERMANLANDS LÄN</t>
        </is>
      </c>
      <c r="E522" t="inlineStr">
        <is>
          <t>KATRINEHOLM</t>
        </is>
      </c>
      <c r="G522" t="n">
        <v>4</v>
      </c>
      <c r="H522" t="n">
        <v>0</v>
      </c>
      <c r="I522" t="n">
        <v>0</v>
      </c>
      <c r="J522" t="n">
        <v>0</v>
      </c>
      <c r="K522" t="n">
        <v>0</v>
      </c>
      <c r="L522" t="n">
        <v>0</v>
      </c>
      <c r="M522" t="n">
        <v>0</v>
      </c>
      <c r="N522" t="n">
        <v>0</v>
      </c>
      <c r="O522" t="n">
        <v>0</v>
      </c>
      <c r="P522" t="n">
        <v>0</v>
      </c>
      <c r="Q522" t="n">
        <v>0</v>
      </c>
      <c r="R522" s="2" t="inlineStr"/>
    </row>
    <row r="523" ht="15" customHeight="1">
      <c r="A523" t="inlineStr">
        <is>
          <t>A 14239-2024</t>
        </is>
      </c>
      <c r="B523" s="1" t="n">
        <v>45393</v>
      </c>
      <c r="C523" s="1" t="n">
        <v>46046</v>
      </c>
      <c r="D523" t="inlineStr">
        <is>
          <t>SÖDERMANLANDS LÄN</t>
        </is>
      </c>
      <c r="E523" t="inlineStr">
        <is>
          <t>KATRINEHOLM</t>
        </is>
      </c>
      <c r="G523" t="n">
        <v>2.7</v>
      </c>
      <c r="H523" t="n">
        <v>0</v>
      </c>
      <c r="I523" t="n">
        <v>0</v>
      </c>
      <c r="J523" t="n">
        <v>0</v>
      </c>
      <c r="K523" t="n">
        <v>0</v>
      </c>
      <c r="L523" t="n">
        <v>0</v>
      </c>
      <c r="M523" t="n">
        <v>0</v>
      </c>
      <c r="N523" t="n">
        <v>0</v>
      </c>
      <c r="O523" t="n">
        <v>0</v>
      </c>
      <c r="P523" t="n">
        <v>0</v>
      </c>
      <c r="Q523" t="n">
        <v>0</v>
      </c>
      <c r="R523" s="2" t="inlineStr"/>
    </row>
    <row r="524" ht="15" customHeight="1">
      <c r="A524" t="inlineStr">
        <is>
          <t>A 14248-2024</t>
        </is>
      </c>
      <c r="B524" s="1" t="n">
        <v>45393</v>
      </c>
      <c r="C524" s="1" t="n">
        <v>46046</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25716-2022</t>
        </is>
      </c>
      <c r="B525" s="1" t="n">
        <v>44733.39600694444</v>
      </c>
      <c r="C525" s="1" t="n">
        <v>46046</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23842-2023</t>
        </is>
      </c>
      <c r="B526" s="1" t="n">
        <v>45075</v>
      </c>
      <c r="C526" s="1" t="n">
        <v>46046</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46700-2023</t>
        </is>
      </c>
      <c r="B527" s="1" t="n">
        <v>45194</v>
      </c>
      <c r="C527" s="1" t="n">
        <v>46046</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23347-2023</t>
        </is>
      </c>
      <c r="B528" s="1" t="n">
        <v>45076</v>
      </c>
      <c r="C528" s="1" t="n">
        <v>46046</v>
      </c>
      <c r="D528" t="inlineStr">
        <is>
          <t>SÖDERMANLANDS LÄN</t>
        </is>
      </c>
      <c r="E528" t="inlineStr">
        <is>
          <t>KATRINEHOLM</t>
        </is>
      </c>
      <c r="G528" t="n">
        <v>4.3</v>
      </c>
      <c r="H528" t="n">
        <v>0</v>
      </c>
      <c r="I528" t="n">
        <v>0</v>
      </c>
      <c r="J528" t="n">
        <v>0</v>
      </c>
      <c r="K528" t="n">
        <v>0</v>
      </c>
      <c r="L528" t="n">
        <v>0</v>
      </c>
      <c r="M528" t="n">
        <v>0</v>
      </c>
      <c r="N528" t="n">
        <v>0</v>
      </c>
      <c r="O528" t="n">
        <v>0</v>
      </c>
      <c r="P528" t="n">
        <v>0</v>
      </c>
      <c r="Q528" t="n">
        <v>0</v>
      </c>
      <c r="R528" s="2" t="inlineStr"/>
    </row>
    <row r="529" ht="15" customHeight="1">
      <c r="A529" t="inlineStr">
        <is>
          <t>A 23916-2023</t>
        </is>
      </c>
      <c r="B529" s="1" t="n">
        <v>45075</v>
      </c>
      <c r="C529" s="1" t="n">
        <v>46046</v>
      </c>
      <c r="D529" t="inlineStr">
        <is>
          <t>SÖDERMANLANDS LÄN</t>
        </is>
      </c>
      <c r="E529" t="inlineStr">
        <is>
          <t>KATRINEHOLM</t>
        </is>
      </c>
      <c r="G529" t="n">
        <v>8</v>
      </c>
      <c r="H529" t="n">
        <v>0</v>
      </c>
      <c r="I529" t="n">
        <v>0</v>
      </c>
      <c r="J529" t="n">
        <v>0</v>
      </c>
      <c r="K529" t="n">
        <v>0</v>
      </c>
      <c r="L529" t="n">
        <v>0</v>
      </c>
      <c r="M529" t="n">
        <v>0</v>
      </c>
      <c r="N529" t="n">
        <v>0</v>
      </c>
      <c r="O529" t="n">
        <v>0</v>
      </c>
      <c r="P529" t="n">
        <v>0</v>
      </c>
      <c r="Q529" t="n">
        <v>0</v>
      </c>
      <c r="R529" s="2" t="inlineStr"/>
    </row>
    <row r="530" ht="15" customHeight="1">
      <c r="A530" t="inlineStr">
        <is>
          <t>A 35156-2025</t>
        </is>
      </c>
      <c r="B530" s="1" t="n">
        <v>45852</v>
      </c>
      <c r="C530" s="1" t="n">
        <v>46046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35145-2025</t>
        </is>
      </c>
      <c r="B531" s="1" t="n">
        <v>45852</v>
      </c>
      <c r="C531" s="1" t="n">
        <v>46046</v>
      </c>
      <c r="D531" t="inlineStr">
        <is>
          <t>SÖDERMANLANDS LÄN</t>
        </is>
      </c>
      <c r="E531" t="inlineStr">
        <is>
          <t>KATRINEHOLM</t>
        </is>
      </c>
      <c r="G531" t="n">
        <v>3.1</v>
      </c>
      <c r="H531" t="n">
        <v>0</v>
      </c>
      <c r="I531" t="n">
        <v>0</v>
      </c>
      <c r="J531" t="n">
        <v>0</v>
      </c>
      <c r="K531" t="n">
        <v>0</v>
      </c>
      <c r="L531" t="n">
        <v>0</v>
      </c>
      <c r="M531" t="n">
        <v>0</v>
      </c>
      <c r="N531" t="n">
        <v>0</v>
      </c>
      <c r="O531" t="n">
        <v>0</v>
      </c>
      <c r="P531" t="n">
        <v>0</v>
      </c>
      <c r="Q531" t="n">
        <v>0</v>
      </c>
      <c r="R531" s="2" t="inlineStr"/>
    </row>
    <row r="532" ht="15" customHeight="1">
      <c r="A532" t="inlineStr">
        <is>
          <t>A 35157-2025</t>
        </is>
      </c>
      <c r="B532" s="1" t="n">
        <v>45852</v>
      </c>
      <c r="C532" s="1" t="n">
        <v>46046</v>
      </c>
      <c r="D532" t="inlineStr">
        <is>
          <t>SÖDERMANLANDS LÄN</t>
        </is>
      </c>
      <c r="E532" t="inlineStr">
        <is>
          <t>KATRINEHOLM</t>
        </is>
      </c>
      <c r="G532" t="n">
        <v>3.7</v>
      </c>
      <c r="H532" t="n">
        <v>0</v>
      </c>
      <c r="I532" t="n">
        <v>0</v>
      </c>
      <c r="J532" t="n">
        <v>0</v>
      </c>
      <c r="K532" t="n">
        <v>0</v>
      </c>
      <c r="L532" t="n">
        <v>0</v>
      </c>
      <c r="M532" t="n">
        <v>0</v>
      </c>
      <c r="N532" t="n">
        <v>0</v>
      </c>
      <c r="O532" t="n">
        <v>0</v>
      </c>
      <c r="P532" t="n">
        <v>0</v>
      </c>
      <c r="Q532" t="n">
        <v>0</v>
      </c>
      <c r="R532" s="2" t="inlineStr"/>
    </row>
    <row r="533" ht="15" customHeight="1">
      <c r="A533" t="inlineStr">
        <is>
          <t>A 33278-2024</t>
        </is>
      </c>
      <c r="B533" s="1" t="n">
        <v>45518</v>
      </c>
      <c r="C533" s="1" t="n">
        <v>46046</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46046</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46046</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46046</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46046</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46046</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35158-2025</t>
        </is>
      </c>
      <c r="B539" s="1" t="n">
        <v>45852</v>
      </c>
      <c r="C539" s="1" t="n">
        <v>46046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24284-2024</t>
        </is>
      </c>
      <c r="B540" s="1" t="n">
        <v>45457</v>
      </c>
      <c r="C540" s="1" t="n">
        <v>46046</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34439-2025</t>
        </is>
      </c>
      <c r="B541" s="1" t="n">
        <v>45845</v>
      </c>
      <c r="C541" s="1" t="n">
        <v>46046</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46046</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46046</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46046</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46046</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46046</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40186-2023</t>
        </is>
      </c>
      <c r="B547" s="1" t="n">
        <v>45169</v>
      </c>
      <c r="C547" s="1" t="n">
        <v>46046</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50032-2022</t>
        </is>
      </c>
      <c r="B548" s="1" t="n">
        <v>44860</v>
      </c>
      <c r="C548" s="1" t="n">
        <v>46046</v>
      </c>
      <c r="D548" t="inlineStr">
        <is>
          <t>SÖDERMANLANDS LÄN</t>
        </is>
      </c>
      <c r="E548" t="inlineStr">
        <is>
          <t>KATRINEHOLM</t>
        </is>
      </c>
      <c r="G548" t="n">
        <v>7.5</v>
      </c>
      <c r="H548" t="n">
        <v>0</v>
      </c>
      <c r="I548" t="n">
        <v>0</v>
      </c>
      <c r="J548" t="n">
        <v>0</v>
      </c>
      <c r="K548" t="n">
        <v>0</v>
      </c>
      <c r="L548" t="n">
        <v>0</v>
      </c>
      <c r="M548" t="n">
        <v>0</v>
      </c>
      <c r="N548" t="n">
        <v>0</v>
      </c>
      <c r="O548" t="n">
        <v>0</v>
      </c>
      <c r="P548" t="n">
        <v>0</v>
      </c>
      <c r="Q548" t="n">
        <v>0</v>
      </c>
      <c r="R548" s="2" t="inlineStr"/>
    </row>
    <row r="549" ht="15" customHeight="1">
      <c r="A549" t="inlineStr">
        <is>
          <t>A 50804-2023</t>
        </is>
      </c>
      <c r="B549" s="1" t="n">
        <v>45211</v>
      </c>
      <c r="C549" s="1" t="n">
        <v>46046</v>
      </c>
      <c r="D549" t="inlineStr">
        <is>
          <t>SÖDERMANLANDS LÄN</t>
        </is>
      </c>
      <c r="E549" t="inlineStr">
        <is>
          <t>KATRINEHOLM</t>
        </is>
      </c>
      <c r="G549" t="n">
        <v>4</v>
      </c>
      <c r="H549" t="n">
        <v>0</v>
      </c>
      <c r="I549" t="n">
        <v>0</v>
      </c>
      <c r="J549" t="n">
        <v>0</v>
      </c>
      <c r="K549" t="n">
        <v>0</v>
      </c>
      <c r="L549" t="n">
        <v>0</v>
      </c>
      <c r="M549" t="n">
        <v>0</v>
      </c>
      <c r="N549" t="n">
        <v>0</v>
      </c>
      <c r="O549" t="n">
        <v>0</v>
      </c>
      <c r="P549" t="n">
        <v>0</v>
      </c>
      <c r="Q549" t="n">
        <v>0</v>
      </c>
      <c r="R549" s="2" t="inlineStr"/>
    </row>
    <row r="550" ht="15" customHeight="1">
      <c r="A550" t="inlineStr">
        <is>
          <t>A 49700-2022</t>
        </is>
      </c>
      <c r="B550" s="1" t="n">
        <v>44862</v>
      </c>
      <c r="C550" s="1" t="n">
        <v>46046</v>
      </c>
      <c r="D550" t="inlineStr">
        <is>
          <t>SÖDERMANLANDS LÄN</t>
        </is>
      </c>
      <c r="E550" t="inlineStr">
        <is>
          <t>KATRINEHOLM</t>
        </is>
      </c>
      <c r="G550" t="n">
        <v>19.5</v>
      </c>
      <c r="H550" t="n">
        <v>0</v>
      </c>
      <c r="I550" t="n">
        <v>0</v>
      </c>
      <c r="J550" t="n">
        <v>0</v>
      </c>
      <c r="K550" t="n">
        <v>0</v>
      </c>
      <c r="L550" t="n">
        <v>0</v>
      </c>
      <c r="M550" t="n">
        <v>0</v>
      </c>
      <c r="N550" t="n">
        <v>0</v>
      </c>
      <c r="O550" t="n">
        <v>0</v>
      </c>
      <c r="P550" t="n">
        <v>0</v>
      </c>
      <c r="Q550" t="n">
        <v>0</v>
      </c>
      <c r="R550" s="2" t="inlineStr"/>
    </row>
    <row r="551" ht="15" customHeight="1">
      <c r="A551" t="inlineStr">
        <is>
          <t>A 39052-2023</t>
        </is>
      </c>
      <c r="B551" s="1" t="n">
        <v>45163</v>
      </c>
      <c r="C551" s="1" t="n">
        <v>46046</v>
      </c>
      <c r="D551" t="inlineStr">
        <is>
          <t>SÖDERMANLANDS LÄN</t>
        </is>
      </c>
      <c r="E551" t="inlineStr">
        <is>
          <t>KATRINEHOLM</t>
        </is>
      </c>
      <c r="G551" t="n">
        <v>3</v>
      </c>
      <c r="H551" t="n">
        <v>0</v>
      </c>
      <c r="I551" t="n">
        <v>0</v>
      </c>
      <c r="J551" t="n">
        <v>0</v>
      </c>
      <c r="K551" t="n">
        <v>0</v>
      </c>
      <c r="L551" t="n">
        <v>0</v>
      </c>
      <c r="M551" t="n">
        <v>0</v>
      </c>
      <c r="N551" t="n">
        <v>0</v>
      </c>
      <c r="O551" t="n">
        <v>0</v>
      </c>
      <c r="P551" t="n">
        <v>0</v>
      </c>
      <c r="Q551" t="n">
        <v>0</v>
      </c>
      <c r="R551" s="2" t="inlineStr"/>
    </row>
    <row r="552" ht="15" customHeight="1">
      <c r="A552" t="inlineStr">
        <is>
          <t>A 34176-2025</t>
        </is>
      </c>
      <c r="B552" s="1" t="n">
        <v>45845</v>
      </c>
      <c r="C552" s="1" t="n">
        <v>46046</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29502-2023</t>
        </is>
      </c>
      <c r="B553" s="1" t="n">
        <v>45106</v>
      </c>
      <c r="C553" s="1" t="n">
        <v>46046</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56074-2022</t>
        </is>
      </c>
      <c r="B554" s="1" t="n">
        <v>44889</v>
      </c>
      <c r="C554" s="1" t="n">
        <v>46046</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c r="T554">
        <f>HYPERLINK("https://klasma.github.io/Logging_0483/kartor/A 56074-2022 karta.png", "A 56074-2022")</f>
        <v/>
      </c>
      <c r="V554">
        <f>HYPERLINK("https://klasma.github.io/Logging_0483/klagomål/A 56074-2022 FSC-klagomål.docx", "A 56074-2022")</f>
        <v/>
      </c>
      <c r="W554">
        <f>HYPERLINK("https://klasma.github.io/Logging_0483/klagomålsmail/A 56074-2022 FSC-klagomål mail.docx", "A 56074-2022")</f>
        <v/>
      </c>
      <c r="X554">
        <f>HYPERLINK("https://klasma.github.io/Logging_0483/tillsyn/A 56074-2022 tillsynsbegäran.docx", "A 56074-2022")</f>
        <v/>
      </c>
      <c r="Y554">
        <f>HYPERLINK("https://klasma.github.io/Logging_0483/tillsynsmail/A 56074-2022 tillsynsbegäran mail.docx", "A 56074-2022")</f>
        <v/>
      </c>
    </row>
    <row r="555" ht="15" customHeight="1">
      <c r="A555" t="inlineStr">
        <is>
          <t>A 41946-2022</t>
        </is>
      </c>
      <c r="B555" s="1" t="n">
        <v>44830.38502314815</v>
      </c>
      <c r="C555" s="1" t="n">
        <v>46046</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27955-2023</t>
        </is>
      </c>
      <c r="B556" s="1" t="n">
        <v>45098</v>
      </c>
      <c r="C556" s="1" t="n">
        <v>46046</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33141-2023</t>
        </is>
      </c>
      <c r="B557" s="1" t="n">
        <v>45126.65491898148</v>
      </c>
      <c r="C557" s="1" t="n">
        <v>46046</v>
      </c>
      <c r="D557" t="inlineStr">
        <is>
          <t>SÖDERMANLANDS LÄN</t>
        </is>
      </c>
      <c r="E557" t="inlineStr">
        <is>
          <t>KATRINEHOLM</t>
        </is>
      </c>
      <c r="G557" t="n">
        <v>1.4</v>
      </c>
      <c r="H557" t="n">
        <v>0</v>
      </c>
      <c r="I557" t="n">
        <v>0</v>
      </c>
      <c r="J557" t="n">
        <v>0</v>
      </c>
      <c r="K557" t="n">
        <v>0</v>
      </c>
      <c r="L557" t="n">
        <v>0</v>
      </c>
      <c r="M557" t="n">
        <v>0</v>
      </c>
      <c r="N557" t="n">
        <v>0</v>
      </c>
      <c r="O557" t="n">
        <v>0</v>
      </c>
      <c r="P557" t="n">
        <v>0</v>
      </c>
      <c r="Q557" t="n">
        <v>0</v>
      </c>
      <c r="R557" s="2" t="inlineStr"/>
    </row>
    <row r="558" ht="15" customHeight="1">
      <c r="A558" t="inlineStr">
        <is>
          <t>A 8922-2024</t>
        </is>
      </c>
      <c r="B558" s="1" t="n">
        <v>45357.38601851852</v>
      </c>
      <c r="C558" s="1" t="n">
        <v>46046</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46899-2022</t>
        </is>
      </c>
      <c r="B559" s="1" t="n">
        <v>44848</v>
      </c>
      <c r="C559" s="1" t="n">
        <v>46046</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45376-2022</t>
        </is>
      </c>
      <c r="B560" s="1" t="n">
        <v>44844</v>
      </c>
      <c r="C560" s="1" t="n">
        <v>46046</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51613-2022</t>
        </is>
      </c>
      <c r="B561" s="1" t="n">
        <v>44871</v>
      </c>
      <c r="C561" s="1" t="n">
        <v>46046</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27886-2024</t>
        </is>
      </c>
      <c r="B562" s="1" t="n">
        <v>45475</v>
      </c>
      <c r="C562" s="1" t="n">
        <v>46046</v>
      </c>
      <c r="D562" t="inlineStr">
        <is>
          <t>SÖDERMANLANDS LÄN</t>
        </is>
      </c>
      <c r="E562" t="inlineStr">
        <is>
          <t>KATRINEHOLM</t>
        </is>
      </c>
      <c r="G562" t="n">
        <v>10.3</v>
      </c>
      <c r="H562" t="n">
        <v>0</v>
      </c>
      <c r="I562" t="n">
        <v>0</v>
      </c>
      <c r="J562" t="n">
        <v>0</v>
      </c>
      <c r="K562" t="n">
        <v>0</v>
      </c>
      <c r="L562" t="n">
        <v>0</v>
      </c>
      <c r="M562" t="n">
        <v>0</v>
      </c>
      <c r="N562" t="n">
        <v>0</v>
      </c>
      <c r="O562" t="n">
        <v>0</v>
      </c>
      <c r="P562" t="n">
        <v>0</v>
      </c>
      <c r="Q562" t="n">
        <v>0</v>
      </c>
      <c r="R562" s="2" t="inlineStr"/>
    </row>
    <row r="563" ht="15" customHeight="1">
      <c r="A563" t="inlineStr">
        <is>
          <t>A 44024-2021</t>
        </is>
      </c>
      <c r="B563" s="1" t="n">
        <v>44434</v>
      </c>
      <c r="C563" s="1" t="n">
        <v>46046</v>
      </c>
      <c r="D563" t="inlineStr">
        <is>
          <t>SÖDERMANLANDS LÄN</t>
        </is>
      </c>
      <c r="E563" t="inlineStr">
        <is>
          <t>KATRINEHOLM</t>
        </is>
      </c>
      <c r="G563" t="n">
        <v>13</v>
      </c>
      <c r="H563" t="n">
        <v>0</v>
      </c>
      <c r="I563" t="n">
        <v>0</v>
      </c>
      <c r="J563" t="n">
        <v>0</v>
      </c>
      <c r="K563" t="n">
        <v>0</v>
      </c>
      <c r="L563" t="n">
        <v>0</v>
      </c>
      <c r="M563" t="n">
        <v>0</v>
      </c>
      <c r="N563" t="n">
        <v>0</v>
      </c>
      <c r="O563" t="n">
        <v>0</v>
      </c>
      <c r="P563" t="n">
        <v>0</v>
      </c>
      <c r="Q563" t="n">
        <v>0</v>
      </c>
      <c r="R563" s="2" t="inlineStr"/>
    </row>
    <row r="564" ht="15" customHeight="1">
      <c r="A564" t="inlineStr">
        <is>
          <t>A 9714-2024</t>
        </is>
      </c>
      <c r="B564" s="1" t="n">
        <v>45362</v>
      </c>
      <c r="C564" s="1" t="n">
        <v>46046</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39748-2022</t>
        </is>
      </c>
      <c r="B565" s="1" t="n">
        <v>44817</v>
      </c>
      <c r="C565" s="1" t="n">
        <v>46046</v>
      </c>
      <c r="D565" t="inlineStr">
        <is>
          <t>SÖDERMANLANDS LÄN</t>
        </is>
      </c>
      <c r="E565" t="inlineStr">
        <is>
          <t>KATRINEHOLM</t>
        </is>
      </c>
      <c r="G565" t="n">
        <v>10.2</v>
      </c>
      <c r="H565" t="n">
        <v>0</v>
      </c>
      <c r="I565" t="n">
        <v>0</v>
      </c>
      <c r="J565" t="n">
        <v>0</v>
      </c>
      <c r="K565" t="n">
        <v>0</v>
      </c>
      <c r="L565" t="n">
        <v>0</v>
      </c>
      <c r="M565" t="n">
        <v>0</v>
      </c>
      <c r="N565" t="n">
        <v>0</v>
      </c>
      <c r="O565" t="n">
        <v>0</v>
      </c>
      <c r="P565" t="n">
        <v>0</v>
      </c>
      <c r="Q565" t="n">
        <v>0</v>
      </c>
      <c r="R565" s="2" t="inlineStr"/>
    </row>
    <row r="566" ht="15" customHeight="1">
      <c r="A566" t="inlineStr">
        <is>
          <t>A 39897-2023</t>
        </is>
      </c>
      <c r="B566" s="1" t="n">
        <v>45168</v>
      </c>
      <c r="C566" s="1" t="n">
        <v>46046</v>
      </c>
      <c r="D566" t="inlineStr">
        <is>
          <t>SÖDERMANLANDS LÄN</t>
        </is>
      </c>
      <c r="E566" t="inlineStr">
        <is>
          <t>KATRINEHOLM</t>
        </is>
      </c>
      <c r="G566" t="n">
        <v>15.6</v>
      </c>
      <c r="H566" t="n">
        <v>0</v>
      </c>
      <c r="I566" t="n">
        <v>0</v>
      </c>
      <c r="J566" t="n">
        <v>0</v>
      </c>
      <c r="K566" t="n">
        <v>0</v>
      </c>
      <c r="L566" t="n">
        <v>0</v>
      </c>
      <c r="M566" t="n">
        <v>0</v>
      </c>
      <c r="N566" t="n">
        <v>0</v>
      </c>
      <c r="O566" t="n">
        <v>0</v>
      </c>
      <c r="P566" t="n">
        <v>0</v>
      </c>
      <c r="Q566" t="n">
        <v>0</v>
      </c>
      <c r="R566" s="2" t="inlineStr"/>
    </row>
    <row r="567" ht="15" customHeight="1">
      <c r="A567" t="inlineStr">
        <is>
          <t>A 19868-2022</t>
        </is>
      </c>
      <c r="B567" s="1" t="n">
        <v>44696</v>
      </c>
      <c r="C567" s="1" t="n">
        <v>46046</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46046</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8765-2023</t>
        </is>
      </c>
      <c r="B569" s="1" t="n">
        <v>44978.52131944444</v>
      </c>
      <c r="C569" s="1" t="n">
        <v>46046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3090-2025</t>
        </is>
      </c>
      <c r="B570" s="1" t="n">
        <v>45678</v>
      </c>
      <c r="C570" s="1" t="n">
        <v>46046</v>
      </c>
      <c r="D570" t="inlineStr">
        <is>
          <t>SÖDERMANLANDS LÄN</t>
        </is>
      </c>
      <c r="E570" t="inlineStr">
        <is>
          <t>KATRINEHOLM</t>
        </is>
      </c>
      <c r="F570" t="inlineStr">
        <is>
          <t>Kyrkan</t>
        </is>
      </c>
      <c r="G570" t="n">
        <v>6.9</v>
      </c>
      <c r="H570" t="n">
        <v>0</v>
      </c>
      <c r="I570" t="n">
        <v>0</v>
      </c>
      <c r="J570" t="n">
        <v>0</v>
      </c>
      <c r="K570" t="n">
        <v>0</v>
      </c>
      <c r="L570" t="n">
        <v>0</v>
      </c>
      <c r="M570" t="n">
        <v>0</v>
      </c>
      <c r="N570" t="n">
        <v>0</v>
      </c>
      <c r="O570" t="n">
        <v>0</v>
      </c>
      <c r="P570" t="n">
        <v>0</v>
      </c>
      <c r="Q570" t="n">
        <v>0</v>
      </c>
      <c r="R570" s="2" t="inlineStr"/>
    </row>
    <row r="571" ht="15" customHeight="1">
      <c r="A571" t="inlineStr">
        <is>
          <t>A 28992-2024</t>
        </is>
      </c>
      <c r="B571" s="1" t="n">
        <v>45481.49289351852</v>
      </c>
      <c r="C571" s="1" t="n">
        <v>46046</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28431-2024</t>
        </is>
      </c>
      <c r="B572" s="1" t="n">
        <v>45477.65216435185</v>
      </c>
      <c r="C572" s="1" t="n">
        <v>46046</v>
      </c>
      <c r="D572" t="inlineStr">
        <is>
          <t>SÖDERMANLANDS LÄN</t>
        </is>
      </c>
      <c r="E572" t="inlineStr">
        <is>
          <t>KATRINEHOLM</t>
        </is>
      </c>
      <c r="G572" t="n">
        <v>3.5</v>
      </c>
      <c r="H572" t="n">
        <v>0</v>
      </c>
      <c r="I572" t="n">
        <v>0</v>
      </c>
      <c r="J572" t="n">
        <v>0</v>
      </c>
      <c r="K572" t="n">
        <v>0</v>
      </c>
      <c r="L572" t="n">
        <v>0</v>
      </c>
      <c r="M572" t="n">
        <v>0</v>
      </c>
      <c r="N572" t="n">
        <v>0</v>
      </c>
      <c r="O572" t="n">
        <v>0</v>
      </c>
      <c r="P572" t="n">
        <v>0</v>
      </c>
      <c r="Q572" t="n">
        <v>0</v>
      </c>
      <c r="R572" s="2" t="inlineStr"/>
    </row>
    <row r="573" ht="15" customHeight="1">
      <c r="A573" t="inlineStr">
        <is>
          <t>A 2735-2025</t>
        </is>
      </c>
      <c r="B573" s="1" t="n">
        <v>45677</v>
      </c>
      <c r="C573" s="1" t="n">
        <v>46046</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25433-2024</t>
        </is>
      </c>
      <c r="B574" s="1" t="n">
        <v>45463</v>
      </c>
      <c r="C574" s="1" t="n">
        <v>46046</v>
      </c>
      <c r="D574" t="inlineStr">
        <is>
          <t>SÖDERMANLANDS LÄN</t>
        </is>
      </c>
      <c r="E574" t="inlineStr">
        <is>
          <t>KATRINEHOLM</t>
        </is>
      </c>
      <c r="G574" t="n">
        <v>1.1</v>
      </c>
      <c r="H574" t="n">
        <v>0</v>
      </c>
      <c r="I574" t="n">
        <v>0</v>
      </c>
      <c r="J574" t="n">
        <v>0</v>
      </c>
      <c r="K574" t="n">
        <v>0</v>
      </c>
      <c r="L574" t="n">
        <v>0</v>
      </c>
      <c r="M574" t="n">
        <v>0</v>
      </c>
      <c r="N574" t="n">
        <v>0</v>
      </c>
      <c r="O574" t="n">
        <v>0</v>
      </c>
      <c r="P574" t="n">
        <v>0</v>
      </c>
      <c r="Q574" t="n">
        <v>0</v>
      </c>
      <c r="R574" s="2" t="inlineStr"/>
    </row>
    <row r="575" ht="15" customHeight="1">
      <c r="A575" t="inlineStr">
        <is>
          <t>A 20326-2023</t>
        </is>
      </c>
      <c r="B575" s="1" t="n">
        <v>45056.46821759259</v>
      </c>
      <c r="C575" s="1" t="n">
        <v>46046</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67337-2021</t>
        </is>
      </c>
      <c r="B576" s="1" t="n">
        <v>44523</v>
      </c>
      <c r="C576" s="1" t="n">
        <v>46046</v>
      </c>
      <c r="D576" t="inlineStr">
        <is>
          <t>SÖDERMANLANDS LÄN</t>
        </is>
      </c>
      <c r="E576" t="inlineStr">
        <is>
          <t>KATRINEHOLM</t>
        </is>
      </c>
      <c r="G576" t="n">
        <v>5.2</v>
      </c>
      <c r="H576" t="n">
        <v>0</v>
      </c>
      <c r="I576" t="n">
        <v>0</v>
      </c>
      <c r="J576" t="n">
        <v>0</v>
      </c>
      <c r="K576" t="n">
        <v>0</v>
      </c>
      <c r="L576" t="n">
        <v>0</v>
      </c>
      <c r="M576" t="n">
        <v>0</v>
      </c>
      <c r="N576" t="n">
        <v>0</v>
      </c>
      <c r="O576" t="n">
        <v>0</v>
      </c>
      <c r="P576" t="n">
        <v>0</v>
      </c>
      <c r="Q576" t="n">
        <v>0</v>
      </c>
      <c r="R576" s="2" t="inlineStr"/>
    </row>
    <row r="577" ht="15" customHeight="1">
      <c r="A577" t="inlineStr">
        <is>
          <t>A 12227-2025</t>
        </is>
      </c>
      <c r="B577" s="1" t="n">
        <v>45729.56836805555</v>
      </c>
      <c r="C577" s="1" t="n">
        <v>46046</v>
      </c>
      <c r="D577" t="inlineStr">
        <is>
          <t>SÖDERMANLANDS LÄN</t>
        </is>
      </c>
      <c r="E577" t="inlineStr">
        <is>
          <t>KATRINEHOLM</t>
        </is>
      </c>
      <c r="G577" t="n">
        <v>7</v>
      </c>
      <c r="H577" t="n">
        <v>0</v>
      </c>
      <c r="I577" t="n">
        <v>0</v>
      </c>
      <c r="J577" t="n">
        <v>0</v>
      </c>
      <c r="K577" t="n">
        <v>0</v>
      </c>
      <c r="L577" t="n">
        <v>0</v>
      </c>
      <c r="M577" t="n">
        <v>0</v>
      </c>
      <c r="N577" t="n">
        <v>0</v>
      </c>
      <c r="O577" t="n">
        <v>0</v>
      </c>
      <c r="P577" t="n">
        <v>0</v>
      </c>
      <c r="Q577" t="n">
        <v>0</v>
      </c>
      <c r="R577" s="2" t="inlineStr"/>
    </row>
    <row r="578" ht="15" customHeight="1">
      <c r="A578" t="inlineStr">
        <is>
          <t>A 34981-2023</t>
        </is>
      </c>
      <c r="B578" s="1" t="n">
        <v>45142</v>
      </c>
      <c r="C578" s="1" t="n">
        <v>46046</v>
      </c>
      <c r="D578" t="inlineStr">
        <is>
          <t>SÖDERMANLANDS LÄN</t>
        </is>
      </c>
      <c r="E578" t="inlineStr">
        <is>
          <t>KATRINEHOLM</t>
        </is>
      </c>
      <c r="G578" t="n">
        <v>10</v>
      </c>
      <c r="H578" t="n">
        <v>0</v>
      </c>
      <c r="I578" t="n">
        <v>0</v>
      </c>
      <c r="J578" t="n">
        <v>0</v>
      </c>
      <c r="K578" t="n">
        <v>0</v>
      </c>
      <c r="L578" t="n">
        <v>0</v>
      </c>
      <c r="M578" t="n">
        <v>0</v>
      </c>
      <c r="N578" t="n">
        <v>0</v>
      </c>
      <c r="O578" t="n">
        <v>0</v>
      </c>
      <c r="P578" t="n">
        <v>0</v>
      </c>
      <c r="Q578" t="n">
        <v>0</v>
      </c>
      <c r="R578" s="2" t="inlineStr"/>
    </row>
    <row r="579" ht="15" customHeight="1">
      <c r="A579" t="inlineStr">
        <is>
          <t>A 36590-2025</t>
        </is>
      </c>
      <c r="B579" s="1" t="n">
        <v>45870</v>
      </c>
      <c r="C579" s="1" t="n">
        <v>46046</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50021-2023</t>
        </is>
      </c>
      <c r="B580" s="1" t="n">
        <v>45215</v>
      </c>
      <c r="C580" s="1" t="n">
        <v>46046</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9044-2022</t>
        </is>
      </c>
      <c r="B581" s="1" t="n">
        <v>44602</v>
      </c>
      <c r="C581" s="1" t="n">
        <v>46046</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42111-2022</t>
        </is>
      </c>
      <c r="B582" s="1" t="n">
        <v>44830</v>
      </c>
      <c r="C582" s="1" t="n">
        <v>46046</v>
      </c>
      <c r="D582" t="inlineStr">
        <is>
          <t>SÖDERMANLANDS LÄN</t>
        </is>
      </c>
      <c r="E582" t="inlineStr">
        <is>
          <t>KATRINEHOLM</t>
        </is>
      </c>
      <c r="G582" t="n">
        <v>2.5</v>
      </c>
      <c r="H582" t="n">
        <v>0</v>
      </c>
      <c r="I582" t="n">
        <v>0</v>
      </c>
      <c r="J582" t="n">
        <v>0</v>
      </c>
      <c r="K582" t="n">
        <v>0</v>
      </c>
      <c r="L582" t="n">
        <v>0</v>
      </c>
      <c r="M582" t="n">
        <v>0</v>
      </c>
      <c r="N582" t="n">
        <v>0</v>
      </c>
      <c r="O582" t="n">
        <v>0</v>
      </c>
      <c r="P582" t="n">
        <v>0</v>
      </c>
      <c r="Q582" t="n">
        <v>0</v>
      </c>
      <c r="R582" s="2" t="inlineStr"/>
    </row>
    <row r="583" ht="15" customHeight="1">
      <c r="A583" t="inlineStr">
        <is>
          <t>A 26684-2025</t>
        </is>
      </c>
      <c r="B583" s="1" t="n">
        <v>45810</v>
      </c>
      <c r="C583" s="1" t="n">
        <v>46046</v>
      </c>
      <c r="D583" t="inlineStr">
        <is>
          <t>SÖDERMANLANDS LÄN</t>
        </is>
      </c>
      <c r="E583" t="inlineStr">
        <is>
          <t>KATRINEHOLM</t>
        </is>
      </c>
      <c r="G583" t="n">
        <v>1</v>
      </c>
      <c r="H583" t="n">
        <v>0</v>
      </c>
      <c r="I583" t="n">
        <v>0</v>
      </c>
      <c r="J583" t="n">
        <v>0</v>
      </c>
      <c r="K583" t="n">
        <v>0</v>
      </c>
      <c r="L583" t="n">
        <v>0</v>
      </c>
      <c r="M583" t="n">
        <v>0</v>
      </c>
      <c r="N583" t="n">
        <v>0</v>
      </c>
      <c r="O583" t="n">
        <v>0</v>
      </c>
      <c r="P583" t="n">
        <v>0</v>
      </c>
      <c r="Q583" t="n">
        <v>0</v>
      </c>
      <c r="R583" s="2" t="inlineStr"/>
    </row>
    <row r="584" ht="15" customHeight="1">
      <c r="A584" t="inlineStr">
        <is>
          <t>A 31740-2022</t>
        </is>
      </c>
      <c r="B584" s="1" t="n">
        <v>44776</v>
      </c>
      <c r="C584" s="1" t="n">
        <v>46046</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37043-2025</t>
        </is>
      </c>
      <c r="B585" s="1" t="n">
        <v>45875.3396412037</v>
      </c>
      <c r="C585" s="1" t="n">
        <v>46046</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46046</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53750-2022</t>
        </is>
      </c>
      <c r="B587" s="1" t="n">
        <v>44875</v>
      </c>
      <c r="C587" s="1" t="n">
        <v>46046</v>
      </c>
      <c r="D587" t="inlineStr">
        <is>
          <t>SÖDERMANLANDS LÄN</t>
        </is>
      </c>
      <c r="E587" t="inlineStr">
        <is>
          <t>KATRINEHOLM</t>
        </is>
      </c>
      <c r="F587" t="inlineStr">
        <is>
          <t>Övriga Aktiebolag</t>
        </is>
      </c>
      <c r="G587" t="n">
        <v>12.6</v>
      </c>
      <c r="H587" t="n">
        <v>0</v>
      </c>
      <c r="I587" t="n">
        <v>0</v>
      </c>
      <c r="J587" t="n">
        <v>0</v>
      </c>
      <c r="K587" t="n">
        <v>0</v>
      </c>
      <c r="L587" t="n">
        <v>0</v>
      </c>
      <c r="M587" t="n">
        <v>0</v>
      </c>
      <c r="N587" t="n">
        <v>0</v>
      </c>
      <c r="O587" t="n">
        <v>0</v>
      </c>
      <c r="P587" t="n">
        <v>0</v>
      </c>
      <c r="Q587" t="n">
        <v>0</v>
      </c>
      <c r="R587" s="2" t="inlineStr"/>
    </row>
    <row r="588" ht="15" customHeight="1">
      <c r="A588" t="inlineStr">
        <is>
          <t>A 47886-2023</t>
        </is>
      </c>
      <c r="B588" s="1" t="n">
        <v>45204</v>
      </c>
      <c r="C588" s="1" t="n">
        <v>46046</v>
      </c>
      <c r="D588" t="inlineStr">
        <is>
          <t>SÖDERMANLANDS LÄN</t>
        </is>
      </c>
      <c r="E588" t="inlineStr">
        <is>
          <t>KATRINEHOLM</t>
        </is>
      </c>
      <c r="G588" t="n">
        <v>22</v>
      </c>
      <c r="H588" t="n">
        <v>0</v>
      </c>
      <c r="I588" t="n">
        <v>0</v>
      </c>
      <c r="J588" t="n">
        <v>0</v>
      </c>
      <c r="K588" t="n">
        <v>0</v>
      </c>
      <c r="L588" t="n">
        <v>0</v>
      </c>
      <c r="M588" t="n">
        <v>0</v>
      </c>
      <c r="N588" t="n">
        <v>0</v>
      </c>
      <c r="O588" t="n">
        <v>0</v>
      </c>
      <c r="P588" t="n">
        <v>0</v>
      </c>
      <c r="Q588" t="n">
        <v>0</v>
      </c>
      <c r="R588" s="2" t="inlineStr"/>
    </row>
    <row r="589" ht="15" customHeight="1">
      <c r="A589" t="inlineStr">
        <is>
          <t>A 69117-2021</t>
        </is>
      </c>
      <c r="B589" s="1" t="n">
        <v>44530.82445601852</v>
      </c>
      <c r="C589" s="1" t="n">
        <v>46046</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12559-2023</t>
        </is>
      </c>
      <c r="B590" s="1" t="n">
        <v>45000.36373842593</v>
      </c>
      <c r="C590" s="1" t="n">
        <v>46046</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6722-2022</t>
        </is>
      </c>
      <c r="B591" s="1" t="n">
        <v>44602</v>
      </c>
      <c r="C591" s="1" t="n">
        <v>46046</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11872-2023</t>
        </is>
      </c>
      <c r="B592" s="1" t="n">
        <v>44995</v>
      </c>
      <c r="C592" s="1" t="n">
        <v>46046</v>
      </c>
      <c r="D592" t="inlineStr">
        <is>
          <t>SÖDERMANLANDS LÄN</t>
        </is>
      </c>
      <c r="E592" t="inlineStr">
        <is>
          <t>KATRINEHOLM</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51848-2022</t>
        </is>
      </c>
      <c r="B593" s="1" t="n">
        <v>44872.57752314815</v>
      </c>
      <c r="C593" s="1" t="n">
        <v>46046</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28427-2024</t>
        </is>
      </c>
      <c r="B594" s="1" t="n">
        <v>45477.64910879629</v>
      </c>
      <c r="C594" s="1" t="n">
        <v>46046</v>
      </c>
      <c r="D594" t="inlineStr">
        <is>
          <t>SÖDERMANLANDS LÄN</t>
        </is>
      </c>
      <c r="E594" t="inlineStr">
        <is>
          <t>KATRINEHOLM</t>
        </is>
      </c>
      <c r="G594" t="n">
        <v>5.9</v>
      </c>
      <c r="H594" t="n">
        <v>0</v>
      </c>
      <c r="I594" t="n">
        <v>0</v>
      </c>
      <c r="J594" t="n">
        <v>0</v>
      </c>
      <c r="K594" t="n">
        <v>0</v>
      </c>
      <c r="L594" t="n">
        <v>0</v>
      </c>
      <c r="M594" t="n">
        <v>0</v>
      </c>
      <c r="N594" t="n">
        <v>0</v>
      </c>
      <c r="O594" t="n">
        <v>0</v>
      </c>
      <c r="P594" t="n">
        <v>0</v>
      </c>
      <c r="Q594" t="n">
        <v>0</v>
      </c>
      <c r="R594" s="2" t="inlineStr"/>
    </row>
    <row r="595" ht="15" customHeight="1">
      <c r="A595" t="inlineStr">
        <is>
          <t>A 37827-2025</t>
        </is>
      </c>
      <c r="B595" s="1" t="n">
        <v>45881.40907407407</v>
      </c>
      <c r="C595" s="1" t="n">
        <v>46046</v>
      </c>
      <c r="D595" t="inlineStr">
        <is>
          <t>SÖDERMANLANDS LÄN</t>
        </is>
      </c>
      <c r="E595" t="inlineStr">
        <is>
          <t>KATRINEHOLM</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16087-2023</t>
        </is>
      </c>
      <c r="B596" s="1" t="n">
        <v>45026</v>
      </c>
      <c r="C596" s="1" t="n">
        <v>46046</v>
      </c>
      <c r="D596" t="inlineStr">
        <is>
          <t>SÖDERMANLANDS LÄN</t>
        </is>
      </c>
      <c r="E596" t="inlineStr">
        <is>
          <t>KATRINEHOLM</t>
        </is>
      </c>
      <c r="G596" t="n">
        <v>2</v>
      </c>
      <c r="H596" t="n">
        <v>0</v>
      </c>
      <c r="I596" t="n">
        <v>0</v>
      </c>
      <c r="J596" t="n">
        <v>0</v>
      </c>
      <c r="K596" t="n">
        <v>0</v>
      </c>
      <c r="L596" t="n">
        <v>0</v>
      </c>
      <c r="M596" t="n">
        <v>0</v>
      </c>
      <c r="N596" t="n">
        <v>0</v>
      </c>
      <c r="O596" t="n">
        <v>0</v>
      </c>
      <c r="P596" t="n">
        <v>0</v>
      </c>
      <c r="Q596" t="n">
        <v>0</v>
      </c>
      <c r="R596" s="2" t="inlineStr"/>
    </row>
    <row r="597" ht="15" customHeight="1">
      <c r="A597" t="inlineStr">
        <is>
          <t>A 11543-2025</t>
        </is>
      </c>
      <c r="B597" s="1" t="n">
        <v>45727.34248842593</v>
      </c>
      <c r="C597" s="1" t="n">
        <v>46046</v>
      </c>
      <c r="D597" t="inlineStr">
        <is>
          <t>SÖDERMANLANDS LÄN</t>
        </is>
      </c>
      <c r="E597" t="inlineStr">
        <is>
          <t>KATRINEHOLM</t>
        </is>
      </c>
      <c r="G597" t="n">
        <v>3.6</v>
      </c>
      <c r="H597" t="n">
        <v>0</v>
      </c>
      <c r="I597" t="n">
        <v>0</v>
      </c>
      <c r="J597" t="n">
        <v>0</v>
      </c>
      <c r="K597" t="n">
        <v>0</v>
      </c>
      <c r="L597" t="n">
        <v>0</v>
      </c>
      <c r="M597" t="n">
        <v>0</v>
      </c>
      <c r="N597" t="n">
        <v>0</v>
      </c>
      <c r="O597" t="n">
        <v>0</v>
      </c>
      <c r="P597" t="n">
        <v>0</v>
      </c>
      <c r="Q597" t="n">
        <v>0</v>
      </c>
      <c r="R597" s="2" t="inlineStr"/>
    </row>
    <row r="598" ht="15" customHeight="1">
      <c r="A598" t="inlineStr">
        <is>
          <t>A 35228-2025</t>
        </is>
      </c>
      <c r="B598" s="1" t="n">
        <v>45853</v>
      </c>
      <c r="C598" s="1" t="n">
        <v>46046</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21959-2022</t>
        </is>
      </c>
      <c r="B599" s="1" t="n">
        <v>44708</v>
      </c>
      <c r="C599" s="1" t="n">
        <v>46046</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42451-2023</t>
        </is>
      </c>
      <c r="B600" s="1" t="n">
        <v>45180</v>
      </c>
      <c r="C600" s="1" t="n">
        <v>46046</v>
      </c>
      <c r="D600" t="inlineStr">
        <is>
          <t>SÖDERMANLANDS LÄN</t>
        </is>
      </c>
      <c r="E600" t="inlineStr">
        <is>
          <t>KATRINEHOLM</t>
        </is>
      </c>
      <c r="G600" t="n">
        <v>3.8</v>
      </c>
      <c r="H600" t="n">
        <v>0</v>
      </c>
      <c r="I600" t="n">
        <v>0</v>
      </c>
      <c r="J600" t="n">
        <v>0</v>
      </c>
      <c r="K600" t="n">
        <v>0</v>
      </c>
      <c r="L600" t="n">
        <v>0</v>
      </c>
      <c r="M600" t="n">
        <v>0</v>
      </c>
      <c r="N600" t="n">
        <v>0</v>
      </c>
      <c r="O600" t="n">
        <v>0</v>
      </c>
      <c r="P600" t="n">
        <v>0</v>
      </c>
      <c r="Q600" t="n">
        <v>0</v>
      </c>
      <c r="R600" s="2" t="inlineStr"/>
    </row>
    <row r="601" ht="15" customHeight="1">
      <c r="A601" t="inlineStr">
        <is>
          <t>A 22506-2023</t>
        </is>
      </c>
      <c r="B601" s="1" t="n">
        <v>45071.37393518518</v>
      </c>
      <c r="C601" s="1" t="n">
        <v>46046</v>
      </c>
      <c r="D601" t="inlineStr">
        <is>
          <t>SÖDERMANLANDS LÄN</t>
        </is>
      </c>
      <c r="E601" t="inlineStr">
        <is>
          <t>KATRINEHOLM</t>
        </is>
      </c>
      <c r="F601" t="inlineStr">
        <is>
          <t>Kyrkan</t>
        </is>
      </c>
      <c r="G601" t="n">
        <v>5.9</v>
      </c>
      <c r="H601" t="n">
        <v>0</v>
      </c>
      <c r="I601" t="n">
        <v>0</v>
      </c>
      <c r="J601" t="n">
        <v>0</v>
      </c>
      <c r="K601" t="n">
        <v>0</v>
      </c>
      <c r="L601" t="n">
        <v>0</v>
      </c>
      <c r="M601" t="n">
        <v>0</v>
      </c>
      <c r="N601" t="n">
        <v>0</v>
      </c>
      <c r="O601" t="n">
        <v>0</v>
      </c>
      <c r="P601" t="n">
        <v>0</v>
      </c>
      <c r="Q601" t="n">
        <v>0</v>
      </c>
      <c r="R601" s="2" t="inlineStr"/>
    </row>
    <row r="602" ht="15" customHeight="1">
      <c r="A602" t="inlineStr">
        <is>
          <t>A 38708-2025</t>
        </is>
      </c>
      <c r="B602" s="1" t="n">
        <v>45885</v>
      </c>
      <c r="C602" s="1" t="n">
        <v>46046</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26713-2024</t>
        </is>
      </c>
      <c r="B603" s="1" t="n">
        <v>45470</v>
      </c>
      <c r="C603" s="1" t="n">
        <v>46046</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1151-2025</t>
        </is>
      </c>
      <c r="B604" s="1" t="n">
        <v>45666</v>
      </c>
      <c r="C604" s="1" t="n">
        <v>46046</v>
      </c>
      <c r="D604" t="inlineStr">
        <is>
          <t>SÖDERMANLANDS LÄN</t>
        </is>
      </c>
      <c r="E604" t="inlineStr">
        <is>
          <t>KATRINEHOLM</t>
        </is>
      </c>
      <c r="G604" t="n">
        <v>1.9</v>
      </c>
      <c r="H604" t="n">
        <v>0</v>
      </c>
      <c r="I604" t="n">
        <v>0</v>
      </c>
      <c r="J604" t="n">
        <v>0</v>
      </c>
      <c r="K604" t="n">
        <v>0</v>
      </c>
      <c r="L604" t="n">
        <v>0</v>
      </c>
      <c r="M604" t="n">
        <v>0</v>
      </c>
      <c r="N604" t="n">
        <v>0</v>
      </c>
      <c r="O604" t="n">
        <v>0</v>
      </c>
      <c r="P604" t="n">
        <v>0</v>
      </c>
      <c r="Q604" t="n">
        <v>0</v>
      </c>
      <c r="R604" s="2" t="inlineStr"/>
    </row>
    <row r="605" ht="15" customHeight="1">
      <c r="A605" t="inlineStr">
        <is>
          <t>A 36133-2021</t>
        </is>
      </c>
      <c r="B605" s="1" t="n">
        <v>44386</v>
      </c>
      <c r="C605" s="1" t="n">
        <v>46046</v>
      </c>
      <c r="D605" t="inlineStr">
        <is>
          <t>SÖDERMANLANDS LÄN</t>
        </is>
      </c>
      <c r="E605" t="inlineStr">
        <is>
          <t>KATRINEHOLM</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50017-2023</t>
        </is>
      </c>
      <c r="B606" s="1" t="n">
        <v>45215</v>
      </c>
      <c r="C606" s="1" t="n">
        <v>46046</v>
      </c>
      <c r="D606" t="inlineStr">
        <is>
          <t>SÖDERMANLANDS LÄN</t>
        </is>
      </c>
      <c r="E606" t="inlineStr">
        <is>
          <t>KATRINEHOLM</t>
        </is>
      </c>
      <c r="G606" t="n">
        <v>0.9</v>
      </c>
      <c r="H606" t="n">
        <v>0</v>
      </c>
      <c r="I606" t="n">
        <v>0</v>
      </c>
      <c r="J606" t="n">
        <v>0</v>
      </c>
      <c r="K606" t="n">
        <v>0</v>
      </c>
      <c r="L606" t="n">
        <v>0</v>
      </c>
      <c r="M606" t="n">
        <v>0</v>
      </c>
      <c r="N606" t="n">
        <v>0</v>
      </c>
      <c r="O606" t="n">
        <v>0</v>
      </c>
      <c r="P606" t="n">
        <v>0</v>
      </c>
      <c r="Q606" t="n">
        <v>0</v>
      </c>
      <c r="R606" s="2" t="inlineStr"/>
    </row>
    <row r="607" ht="15" customHeight="1">
      <c r="A607" t="inlineStr">
        <is>
          <t>A 50018-2023</t>
        </is>
      </c>
      <c r="B607" s="1" t="n">
        <v>45215</v>
      </c>
      <c r="C607" s="1" t="n">
        <v>46046</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29843-2023</t>
        </is>
      </c>
      <c r="B608" s="1" t="n">
        <v>45107</v>
      </c>
      <c r="C608" s="1" t="n">
        <v>46046</v>
      </c>
      <c r="D608" t="inlineStr">
        <is>
          <t>SÖDERMANLANDS LÄN</t>
        </is>
      </c>
      <c r="E608" t="inlineStr">
        <is>
          <t>KATRINEHOLM</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56628-2021</t>
        </is>
      </c>
      <c r="B609" s="1" t="n">
        <v>44480</v>
      </c>
      <c r="C609" s="1" t="n">
        <v>46046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62418-2023</t>
        </is>
      </c>
      <c r="B610" s="1" t="n">
        <v>45268</v>
      </c>
      <c r="C610" s="1" t="n">
        <v>46046</v>
      </c>
      <c r="D610" t="inlineStr">
        <is>
          <t>SÖDERMANLANDS LÄN</t>
        </is>
      </c>
      <c r="E610" t="inlineStr">
        <is>
          <t>KATRINEHOLM</t>
        </is>
      </c>
      <c r="G610" t="n">
        <v>3</v>
      </c>
      <c r="H610" t="n">
        <v>0</v>
      </c>
      <c r="I610" t="n">
        <v>0</v>
      </c>
      <c r="J610" t="n">
        <v>0</v>
      </c>
      <c r="K610" t="n">
        <v>0</v>
      </c>
      <c r="L610" t="n">
        <v>0</v>
      </c>
      <c r="M610" t="n">
        <v>0</v>
      </c>
      <c r="N610" t="n">
        <v>0</v>
      </c>
      <c r="O610" t="n">
        <v>0</v>
      </c>
      <c r="P610" t="n">
        <v>0</v>
      </c>
      <c r="Q610" t="n">
        <v>0</v>
      </c>
      <c r="R610" s="2" t="inlineStr"/>
    </row>
    <row r="611" ht="15" customHeight="1">
      <c r="A611" t="inlineStr">
        <is>
          <t>A 48091-2024</t>
        </is>
      </c>
      <c r="B611" s="1" t="n">
        <v>45590</v>
      </c>
      <c r="C611" s="1" t="n">
        <v>46046</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48160-2022</t>
        </is>
      </c>
      <c r="B612" s="1" t="n">
        <v>44853</v>
      </c>
      <c r="C612" s="1" t="n">
        <v>46046</v>
      </c>
      <c r="D612" t="inlineStr">
        <is>
          <t>SÖDERMANLANDS LÄN</t>
        </is>
      </c>
      <c r="E612" t="inlineStr">
        <is>
          <t>KATRINEHOLM</t>
        </is>
      </c>
      <c r="F612" t="inlineStr">
        <is>
          <t>Övriga statliga verk och myndigheter</t>
        </is>
      </c>
      <c r="G612" t="n">
        <v>2.2</v>
      </c>
      <c r="H612" t="n">
        <v>0</v>
      </c>
      <c r="I612" t="n">
        <v>0</v>
      </c>
      <c r="J612" t="n">
        <v>0</v>
      </c>
      <c r="K612" t="n">
        <v>0</v>
      </c>
      <c r="L612" t="n">
        <v>0</v>
      </c>
      <c r="M612" t="n">
        <v>0</v>
      </c>
      <c r="N612" t="n">
        <v>0</v>
      </c>
      <c r="O612" t="n">
        <v>0</v>
      </c>
      <c r="P612" t="n">
        <v>0</v>
      </c>
      <c r="Q612" t="n">
        <v>0</v>
      </c>
      <c r="R612" s="2" t="inlineStr"/>
    </row>
    <row r="613" ht="15" customHeight="1">
      <c r="A613" t="inlineStr">
        <is>
          <t>A 18339-2023</t>
        </is>
      </c>
      <c r="B613" s="1" t="n">
        <v>45041</v>
      </c>
      <c r="C613" s="1" t="n">
        <v>46046</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20460-2025</t>
        </is>
      </c>
      <c r="B614" s="1" t="n">
        <v>45775.52854166667</v>
      </c>
      <c r="C614" s="1" t="n">
        <v>46046</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49092-2024</t>
        </is>
      </c>
      <c r="B615" s="1" t="n">
        <v>45594.63619212963</v>
      </c>
      <c r="C615" s="1" t="n">
        <v>46046</v>
      </c>
      <c r="D615" t="inlineStr">
        <is>
          <t>SÖDERMANLANDS LÄN</t>
        </is>
      </c>
      <c r="E615" t="inlineStr">
        <is>
          <t>KATRINEHOLM</t>
        </is>
      </c>
      <c r="F615" t="inlineStr">
        <is>
          <t>Övriga Aktiebolag</t>
        </is>
      </c>
      <c r="G615" t="n">
        <v>0.4</v>
      </c>
      <c r="H615" t="n">
        <v>0</v>
      </c>
      <c r="I615" t="n">
        <v>0</v>
      </c>
      <c r="J615" t="n">
        <v>0</v>
      </c>
      <c r="K615" t="n">
        <v>0</v>
      </c>
      <c r="L615" t="n">
        <v>0</v>
      </c>
      <c r="M615" t="n">
        <v>0</v>
      </c>
      <c r="N615" t="n">
        <v>0</v>
      </c>
      <c r="O615" t="n">
        <v>0</v>
      </c>
      <c r="P615" t="n">
        <v>0</v>
      </c>
      <c r="Q615" t="n">
        <v>0</v>
      </c>
      <c r="R615" s="2" t="inlineStr"/>
    </row>
    <row r="616" ht="15" customHeight="1">
      <c r="A616" t="inlineStr">
        <is>
          <t>A 49095-2024</t>
        </is>
      </c>
      <c r="B616" s="1" t="n">
        <v>45594.63828703704</v>
      </c>
      <c r="C616" s="1" t="n">
        <v>46046</v>
      </c>
      <c r="D616" t="inlineStr">
        <is>
          <t>SÖDERMANLANDS LÄN</t>
        </is>
      </c>
      <c r="E616" t="inlineStr">
        <is>
          <t>KATRINEHOLM</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55172-2022</t>
        </is>
      </c>
      <c r="B617" s="1" t="n">
        <v>44886</v>
      </c>
      <c r="C617" s="1" t="n">
        <v>46046</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50935-2023</t>
        </is>
      </c>
      <c r="B618" s="1" t="n">
        <v>45211</v>
      </c>
      <c r="C618" s="1" t="n">
        <v>46046</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24619-2024</t>
        </is>
      </c>
      <c r="B619" s="1" t="n">
        <v>45460</v>
      </c>
      <c r="C619" s="1" t="n">
        <v>46046</v>
      </c>
      <c r="D619" t="inlineStr">
        <is>
          <t>SÖDERMANLANDS LÄN</t>
        </is>
      </c>
      <c r="E619" t="inlineStr">
        <is>
          <t>KATRINEHOLM</t>
        </is>
      </c>
      <c r="G619" t="n">
        <v>4.7</v>
      </c>
      <c r="H619" t="n">
        <v>0</v>
      </c>
      <c r="I619" t="n">
        <v>0</v>
      </c>
      <c r="J619" t="n">
        <v>0</v>
      </c>
      <c r="K619" t="n">
        <v>0</v>
      </c>
      <c r="L619" t="n">
        <v>0</v>
      </c>
      <c r="M619" t="n">
        <v>0</v>
      </c>
      <c r="N619" t="n">
        <v>0</v>
      </c>
      <c r="O619" t="n">
        <v>0</v>
      </c>
      <c r="P619" t="n">
        <v>0</v>
      </c>
      <c r="Q619" t="n">
        <v>0</v>
      </c>
      <c r="R619" s="2" t="inlineStr"/>
    </row>
    <row r="620" ht="15" customHeight="1">
      <c r="A620" t="inlineStr">
        <is>
          <t>A 39668-2025</t>
        </is>
      </c>
      <c r="B620" s="1" t="n">
        <v>45890</v>
      </c>
      <c r="C620" s="1" t="n">
        <v>46046</v>
      </c>
      <c r="D620" t="inlineStr">
        <is>
          <t>SÖDERMANLANDS LÄN</t>
        </is>
      </c>
      <c r="E620" t="inlineStr">
        <is>
          <t>KATRINEHOLM</t>
        </is>
      </c>
      <c r="G620" t="n">
        <v>2.9</v>
      </c>
      <c r="H620" t="n">
        <v>0</v>
      </c>
      <c r="I620" t="n">
        <v>0</v>
      </c>
      <c r="J620" t="n">
        <v>0</v>
      </c>
      <c r="K620" t="n">
        <v>0</v>
      </c>
      <c r="L620" t="n">
        <v>0</v>
      </c>
      <c r="M620" t="n">
        <v>0</v>
      </c>
      <c r="N620" t="n">
        <v>0</v>
      </c>
      <c r="O620" t="n">
        <v>0</v>
      </c>
      <c r="P620" t="n">
        <v>0</v>
      </c>
      <c r="Q620" t="n">
        <v>0</v>
      </c>
      <c r="R620" s="2" t="inlineStr"/>
    </row>
    <row r="621" ht="15" customHeight="1">
      <c r="A621" t="inlineStr">
        <is>
          <t>A 6087-2021</t>
        </is>
      </c>
      <c r="B621" s="1" t="n">
        <v>44232</v>
      </c>
      <c r="C621" s="1" t="n">
        <v>46046</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39737-2025</t>
        </is>
      </c>
      <c r="B622" s="1" t="n">
        <v>45891</v>
      </c>
      <c r="C622" s="1" t="n">
        <v>46046</v>
      </c>
      <c r="D622" t="inlineStr">
        <is>
          <t>SÖDERMANLANDS LÄN</t>
        </is>
      </c>
      <c r="E622" t="inlineStr">
        <is>
          <t>KATRINEHOLM</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39847-2025</t>
        </is>
      </c>
      <c r="B623" s="1" t="n">
        <v>45891.58381944444</v>
      </c>
      <c r="C623" s="1" t="n">
        <v>46046</v>
      </c>
      <c r="D623" t="inlineStr">
        <is>
          <t>SÖDERMANLANDS LÄN</t>
        </is>
      </c>
      <c r="E623" t="inlineStr">
        <is>
          <t>KATRINEHOLM</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39663-2025</t>
        </is>
      </c>
      <c r="B624" s="1" t="n">
        <v>45890</v>
      </c>
      <c r="C624" s="1" t="n">
        <v>46046</v>
      </c>
      <c r="D624" t="inlineStr">
        <is>
          <t>SÖDERMANLANDS LÄN</t>
        </is>
      </c>
      <c r="E624" t="inlineStr">
        <is>
          <t>KATRINEHOLM</t>
        </is>
      </c>
      <c r="G624" t="n">
        <v>0.5</v>
      </c>
      <c r="H624" t="n">
        <v>0</v>
      </c>
      <c r="I624" t="n">
        <v>0</v>
      </c>
      <c r="J624" t="n">
        <v>0</v>
      </c>
      <c r="K624" t="n">
        <v>0</v>
      </c>
      <c r="L624" t="n">
        <v>0</v>
      </c>
      <c r="M624" t="n">
        <v>0</v>
      </c>
      <c r="N624" t="n">
        <v>0</v>
      </c>
      <c r="O624" t="n">
        <v>0</v>
      </c>
      <c r="P624" t="n">
        <v>0</v>
      </c>
      <c r="Q624" t="n">
        <v>0</v>
      </c>
      <c r="R624" s="2" t="inlineStr"/>
    </row>
    <row r="625" ht="15" customHeight="1">
      <c r="A625" t="inlineStr">
        <is>
          <t>A 53843-2023</t>
        </is>
      </c>
      <c r="B625" s="1" t="n">
        <v>45230</v>
      </c>
      <c r="C625" s="1" t="n">
        <v>46046</v>
      </c>
      <c r="D625" t="inlineStr">
        <is>
          <t>SÖDERMANLANDS LÄN</t>
        </is>
      </c>
      <c r="E625" t="inlineStr">
        <is>
          <t>KATRINEHOLM</t>
        </is>
      </c>
      <c r="G625" t="n">
        <v>14.2</v>
      </c>
      <c r="H625" t="n">
        <v>0</v>
      </c>
      <c r="I625" t="n">
        <v>0</v>
      </c>
      <c r="J625" t="n">
        <v>0</v>
      </c>
      <c r="K625" t="n">
        <v>0</v>
      </c>
      <c r="L625" t="n">
        <v>0</v>
      </c>
      <c r="M625" t="n">
        <v>0</v>
      </c>
      <c r="N625" t="n">
        <v>0</v>
      </c>
      <c r="O625" t="n">
        <v>0</v>
      </c>
      <c r="P625" t="n">
        <v>0</v>
      </c>
      <c r="Q625" t="n">
        <v>0</v>
      </c>
      <c r="R625" s="2" t="inlineStr"/>
    </row>
    <row r="626" ht="15" customHeight="1">
      <c r="A626" t="inlineStr">
        <is>
          <t>A 39645-2025</t>
        </is>
      </c>
      <c r="B626" s="1" t="n">
        <v>45890</v>
      </c>
      <c r="C626" s="1" t="n">
        <v>46046</v>
      </c>
      <c r="D626" t="inlineStr">
        <is>
          <t>SÖDERMANLANDS LÄN</t>
        </is>
      </c>
      <c r="E626" t="inlineStr">
        <is>
          <t>KATRINEHOLM</t>
        </is>
      </c>
      <c r="G626" t="n">
        <v>0.2</v>
      </c>
      <c r="H626" t="n">
        <v>0</v>
      </c>
      <c r="I626" t="n">
        <v>0</v>
      </c>
      <c r="J626" t="n">
        <v>0</v>
      </c>
      <c r="K626" t="n">
        <v>0</v>
      </c>
      <c r="L626" t="n">
        <v>0</v>
      </c>
      <c r="M626" t="n">
        <v>0</v>
      </c>
      <c r="N626" t="n">
        <v>0</v>
      </c>
      <c r="O626" t="n">
        <v>0</v>
      </c>
      <c r="P626" t="n">
        <v>0</v>
      </c>
      <c r="Q626" t="n">
        <v>0</v>
      </c>
      <c r="R626" s="2" t="inlineStr"/>
    </row>
    <row r="627" ht="15" customHeight="1">
      <c r="A627" t="inlineStr">
        <is>
          <t>A 7254-2021</t>
        </is>
      </c>
      <c r="B627" s="1" t="n">
        <v>44238</v>
      </c>
      <c r="C627" s="1" t="n">
        <v>46046</v>
      </c>
      <c r="D627" t="inlineStr">
        <is>
          <t>SÖDERMANLANDS LÄN</t>
        </is>
      </c>
      <c r="E627" t="inlineStr">
        <is>
          <t>KATRINEHOLM</t>
        </is>
      </c>
      <c r="G627" t="n">
        <v>3.6</v>
      </c>
      <c r="H627" t="n">
        <v>0</v>
      </c>
      <c r="I627" t="n">
        <v>0</v>
      </c>
      <c r="J627" t="n">
        <v>0</v>
      </c>
      <c r="K627" t="n">
        <v>0</v>
      </c>
      <c r="L627" t="n">
        <v>0</v>
      </c>
      <c r="M627" t="n">
        <v>0</v>
      </c>
      <c r="N627" t="n">
        <v>0</v>
      </c>
      <c r="O627" t="n">
        <v>0</v>
      </c>
      <c r="P627" t="n">
        <v>0</v>
      </c>
      <c r="Q627" t="n">
        <v>0</v>
      </c>
      <c r="R627" s="2" t="inlineStr"/>
    </row>
    <row r="628" ht="15" customHeight="1">
      <c r="A628" t="inlineStr">
        <is>
          <t>A 22295-2024</t>
        </is>
      </c>
      <c r="B628" s="1" t="n">
        <v>45446.56141203704</v>
      </c>
      <c r="C628" s="1" t="n">
        <v>46046</v>
      </c>
      <c r="D628" t="inlineStr">
        <is>
          <t>SÖDERMANLANDS LÄN</t>
        </is>
      </c>
      <c r="E628" t="inlineStr">
        <is>
          <t>KATRINEHOLM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22272-2022</t>
        </is>
      </c>
      <c r="B629" s="1" t="n">
        <v>44712</v>
      </c>
      <c r="C629" s="1" t="n">
        <v>46046</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53715-2023</t>
        </is>
      </c>
      <c r="B630" s="1" t="n">
        <v>45230</v>
      </c>
      <c r="C630" s="1" t="n">
        <v>46046</v>
      </c>
      <c r="D630" t="inlineStr">
        <is>
          <t>SÖDERMANLANDS LÄN</t>
        </is>
      </c>
      <c r="E630" t="inlineStr">
        <is>
          <t>KATRINEHOLM</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58175-2024</t>
        </is>
      </c>
      <c r="B631" s="1" t="n">
        <v>45632.46648148148</v>
      </c>
      <c r="C631" s="1" t="n">
        <v>46046</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59474-2021</t>
        </is>
      </c>
      <c r="B632" s="1" t="n">
        <v>44491</v>
      </c>
      <c r="C632" s="1" t="n">
        <v>46046</v>
      </c>
      <c r="D632" t="inlineStr">
        <is>
          <t>SÖDERMANLANDS LÄN</t>
        </is>
      </c>
      <c r="E632" t="inlineStr">
        <is>
          <t>KATRINEHOLM</t>
        </is>
      </c>
      <c r="G632" t="n">
        <v>2.7</v>
      </c>
      <c r="H632" t="n">
        <v>0</v>
      </c>
      <c r="I632" t="n">
        <v>0</v>
      </c>
      <c r="J632" t="n">
        <v>0</v>
      </c>
      <c r="K632" t="n">
        <v>0</v>
      </c>
      <c r="L632" t="n">
        <v>0</v>
      </c>
      <c r="M632" t="n">
        <v>0</v>
      </c>
      <c r="N632" t="n">
        <v>0</v>
      </c>
      <c r="O632" t="n">
        <v>0</v>
      </c>
      <c r="P632" t="n">
        <v>0</v>
      </c>
      <c r="Q632" t="n">
        <v>0</v>
      </c>
      <c r="R632" s="2" t="inlineStr"/>
    </row>
    <row r="633" ht="15" customHeight="1">
      <c r="A633" t="inlineStr">
        <is>
          <t>A 51923-2023</t>
        </is>
      </c>
      <c r="B633" s="1" t="n">
        <v>45223</v>
      </c>
      <c r="C633" s="1" t="n">
        <v>46046</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27875-2024</t>
        </is>
      </c>
      <c r="B634" s="1" t="n">
        <v>45475</v>
      </c>
      <c r="C634" s="1" t="n">
        <v>46046</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43088-2022</t>
        </is>
      </c>
      <c r="B635" s="1" t="n">
        <v>44833</v>
      </c>
      <c r="C635" s="1" t="n">
        <v>46046</v>
      </c>
      <c r="D635" t="inlineStr">
        <is>
          <t>SÖDERMANLANDS LÄN</t>
        </is>
      </c>
      <c r="E635" t="inlineStr">
        <is>
          <t>KATRINEHOLM</t>
        </is>
      </c>
      <c r="G635" t="n">
        <v>6.6</v>
      </c>
      <c r="H635" t="n">
        <v>0</v>
      </c>
      <c r="I635" t="n">
        <v>0</v>
      </c>
      <c r="J635" t="n">
        <v>0</v>
      </c>
      <c r="K635" t="n">
        <v>0</v>
      </c>
      <c r="L635" t="n">
        <v>0</v>
      </c>
      <c r="M635" t="n">
        <v>0</v>
      </c>
      <c r="N635" t="n">
        <v>0</v>
      </c>
      <c r="O635" t="n">
        <v>0</v>
      </c>
      <c r="P635" t="n">
        <v>0</v>
      </c>
      <c r="Q635" t="n">
        <v>0</v>
      </c>
      <c r="R635" s="2" t="inlineStr"/>
    </row>
    <row r="636" ht="15" customHeight="1">
      <c r="A636" t="inlineStr">
        <is>
          <t>A 52658-2023</t>
        </is>
      </c>
      <c r="B636" s="1" t="n">
        <v>45225</v>
      </c>
      <c r="C636" s="1" t="n">
        <v>46046</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61385-2023</t>
        </is>
      </c>
      <c r="B637" s="1" t="n">
        <v>45264.64241898148</v>
      </c>
      <c r="C637" s="1" t="n">
        <v>46046</v>
      </c>
      <c r="D637" t="inlineStr">
        <is>
          <t>SÖDERMANLANDS LÄN</t>
        </is>
      </c>
      <c r="E637" t="inlineStr">
        <is>
          <t>KATRINEHOLM</t>
        </is>
      </c>
      <c r="G637" t="n">
        <v>0.4</v>
      </c>
      <c r="H637" t="n">
        <v>0</v>
      </c>
      <c r="I637" t="n">
        <v>0</v>
      </c>
      <c r="J637" t="n">
        <v>0</v>
      </c>
      <c r="K637" t="n">
        <v>0</v>
      </c>
      <c r="L637" t="n">
        <v>0</v>
      </c>
      <c r="M637" t="n">
        <v>0</v>
      </c>
      <c r="N637" t="n">
        <v>0</v>
      </c>
      <c r="O637" t="n">
        <v>0</v>
      </c>
      <c r="P637" t="n">
        <v>0</v>
      </c>
      <c r="Q637" t="n">
        <v>0</v>
      </c>
      <c r="R637" s="2" t="inlineStr"/>
    </row>
    <row r="638" ht="15" customHeight="1">
      <c r="A638" t="inlineStr">
        <is>
          <t>A 48030-2022</t>
        </is>
      </c>
      <c r="B638" s="1" t="n">
        <v>44855</v>
      </c>
      <c r="C638" s="1" t="n">
        <v>46046</v>
      </c>
      <c r="D638" t="inlineStr">
        <is>
          <t>SÖDERMANLANDS LÄN</t>
        </is>
      </c>
      <c r="E638" t="inlineStr">
        <is>
          <t>KATRINEHOLM</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10932-2023</t>
        </is>
      </c>
      <c r="B639" s="1" t="n">
        <v>44985</v>
      </c>
      <c r="C639" s="1" t="n">
        <v>46046</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36767-2022</t>
        </is>
      </c>
      <c r="B640" s="1" t="n">
        <v>44805</v>
      </c>
      <c r="C640" s="1" t="n">
        <v>46046</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5834-2025</t>
        </is>
      </c>
      <c r="B641" s="1" t="n">
        <v>45694</v>
      </c>
      <c r="C641" s="1" t="n">
        <v>46046</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9899-2023</t>
        </is>
      </c>
      <c r="B642" s="1" t="n">
        <v>44985</v>
      </c>
      <c r="C642" s="1" t="n">
        <v>46046</v>
      </c>
      <c r="D642" t="inlineStr">
        <is>
          <t>SÖDERMANLANDS LÄN</t>
        </is>
      </c>
      <c r="E642" t="inlineStr">
        <is>
          <t>KATRINEHOLM</t>
        </is>
      </c>
      <c r="F642" t="inlineStr">
        <is>
          <t>Allmännings- och besparingsskogar</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34263-2023</t>
        </is>
      </c>
      <c r="B643" s="1" t="n">
        <v>45138.60248842592</v>
      </c>
      <c r="C643" s="1" t="n">
        <v>46046</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41074-2025</t>
        </is>
      </c>
      <c r="B644" s="1" t="n">
        <v>45898</v>
      </c>
      <c r="C644" s="1" t="n">
        <v>46046</v>
      </c>
      <c r="D644" t="inlineStr">
        <is>
          <t>SÖDERMANLANDS LÄN</t>
        </is>
      </c>
      <c r="E644" t="inlineStr">
        <is>
          <t>KATRINEHOLM</t>
        </is>
      </c>
      <c r="F644" t="inlineStr">
        <is>
          <t>Allmännings- och besparingsskogar</t>
        </is>
      </c>
      <c r="G644" t="n">
        <v>4.8</v>
      </c>
      <c r="H644" t="n">
        <v>0</v>
      </c>
      <c r="I644" t="n">
        <v>0</v>
      </c>
      <c r="J644" t="n">
        <v>0</v>
      </c>
      <c r="K644" t="n">
        <v>0</v>
      </c>
      <c r="L644" t="n">
        <v>0</v>
      </c>
      <c r="M644" t="n">
        <v>0</v>
      </c>
      <c r="N644" t="n">
        <v>0</v>
      </c>
      <c r="O644" t="n">
        <v>0</v>
      </c>
      <c r="P644" t="n">
        <v>0</v>
      </c>
      <c r="Q644" t="n">
        <v>0</v>
      </c>
      <c r="R644" s="2" t="inlineStr"/>
    </row>
    <row r="645" ht="15" customHeight="1">
      <c r="A645" t="inlineStr">
        <is>
          <t>A 6092-2025</t>
        </is>
      </c>
      <c r="B645" s="1" t="n">
        <v>45697</v>
      </c>
      <c r="C645" s="1" t="n">
        <v>46046</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55863-2022</t>
        </is>
      </c>
      <c r="B646" s="1" t="n">
        <v>44888</v>
      </c>
      <c r="C646" s="1" t="n">
        <v>46046</v>
      </c>
      <c r="D646" t="inlineStr">
        <is>
          <t>SÖDERMANLANDS LÄN</t>
        </is>
      </c>
      <c r="E646" t="inlineStr">
        <is>
          <t>KATRINEHOLM</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55865-2022</t>
        </is>
      </c>
      <c r="B647" s="1" t="n">
        <v>44888</v>
      </c>
      <c r="C647" s="1" t="n">
        <v>46046</v>
      </c>
      <c r="D647" t="inlineStr">
        <is>
          <t>SÖDERMANLANDS LÄN</t>
        </is>
      </c>
      <c r="E647" t="inlineStr">
        <is>
          <t>KATRINEHOLM</t>
        </is>
      </c>
      <c r="G647" t="n">
        <v>9.1</v>
      </c>
      <c r="H647" t="n">
        <v>0</v>
      </c>
      <c r="I647" t="n">
        <v>0</v>
      </c>
      <c r="J647" t="n">
        <v>0</v>
      </c>
      <c r="K647" t="n">
        <v>0</v>
      </c>
      <c r="L647" t="n">
        <v>0</v>
      </c>
      <c r="M647" t="n">
        <v>0</v>
      </c>
      <c r="N647" t="n">
        <v>0</v>
      </c>
      <c r="O647" t="n">
        <v>0</v>
      </c>
      <c r="P647" t="n">
        <v>0</v>
      </c>
      <c r="Q647" t="n">
        <v>0</v>
      </c>
      <c r="R647" s="2" t="inlineStr"/>
    </row>
    <row r="648" ht="15" customHeight="1">
      <c r="A648" t="inlineStr">
        <is>
          <t>A 10341-2022</t>
        </is>
      </c>
      <c r="B648" s="1" t="n">
        <v>44623</v>
      </c>
      <c r="C648" s="1" t="n">
        <v>46046</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9437-2022</t>
        </is>
      </c>
      <c r="B649" s="1" t="n">
        <v>44616.69246527777</v>
      </c>
      <c r="C649" s="1" t="n">
        <v>46046</v>
      </c>
      <c r="D649" t="inlineStr">
        <is>
          <t>SÖDERMANLANDS LÄN</t>
        </is>
      </c>
      <c r="E649" t="inlineStr">
        <is>
          <t>KATRINEHOLM</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22345-2023</t>
        </is>
      </c>
      <c r="B650" s="1" t="n">
        <v>45070</v>
      </c>
      <c r="C650" s="1" t="n">
        <v>46046</v>
      </c>
      <c r="D650" t="inlineStr">
        <is>
          <t>SÖDERMANLANDS LÄN</t>
        </is>
      </c>
      <c r="E650" t="inlineStr">
        <is>
          <t>KATRINEHOLM</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48528-2021</t>
        </is>
      </c>
      <c r="B651" s="1" t="n">
        <v>44449</v>
      </c>
      <c r="C651" s="1" t="n">
        <v>46046</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41633-2025</t>
        </is>
      </c>
      <c r="B652" s="1" t="n">
        <v>45901</v>
      </c>
      <c r="C652" s="1" t="n">
        <v>46046</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28675-2024</t>
        </is>
      </c>
      <c r="B653" s="1" t="n">
        <v>45478</v>
      </c>
      <c r="C653" s="1" t="n">
        <v>46046</v>
      </c>
      <c r="D653" t="inlineStr">
        <is>
          <t>SÖDERMANLANDS LÄN</t>
        </is>
      </c>
      <c r="E653" t="inlineStr">
        <is>
          <t>KATRINEHOLM</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41632-2025</t>
        </is>
      </c>
      <c r="B654" s="1" t="n">
        <v>45901</v>
      </c>
      <c r="C654" s="1" t="n">
        <v>46046</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41498-2025</t>
        </is>
      </c>
      <c r="B655" s="1" t="n">
        <v>45901.49755787037</v>
      </c>
      <c r="C655" s="1" t="n">
        <v>46046</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33790-2024</t>
        </is>
      </c>
      <c r="B656" s="1" t="n">
        <v>45520.59179398148</v>
      </c>
      <c r="C656" s="1" t="n">
        <v>46046</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41267-2023</t>
        </is>
      </c>
      <c r="B657" s="1" t="n">
        <v>45174</v>
      </c>
      <c r="C657" s="1" t="n">
        <v>46046</v>
      </c>
      <c r="D657" t="inlineStr">
        <is>
          <t>SÖDERMANLANDS LÄN</t>
        </is>
      </c>
      <c r="E657" t="inlineStr">
        <is>
          <t>KATRINEHOLM</t>
        </is>
      </c>
      <c r="F657" t="inlineStr">
        <is>
          <t>Holmen skog AB</t>
        </is>
      </c>
      <c r="G657" t="n">
        <v>4.5</v>
      </c>
      <c r="H657" t="n">
        <v>0</v>
      </c>
      <c r="I657" t="n">
        <v>0</v>
      </c>
      <c r="J657" t="n">
        <v>0</v>
      </c>
      <c r="K657" t="n">
        <v>0</v>
      </c>
      <c r="L657" t="n">
        <v>0</v>
      </c>
      <c r="M657" t="n">
        <v>0</v>
      </c>
      <c r="N657" t="n">
        <v>0</v>
      </c>
      <c r="O657" t="n">
        <v>0</v>
      </c>
      <c r="P657" t="n">
        <v>0</v>
      </c>
      <c r="Q657" t="n">
        <v>0</v>
      </c>
      <c r="R657" s="2" t="inlineStr"/>
    </row>
    <row r="658" ht="15" customHeight="1">
      <c r="A658" t="inlineStr">
        <is>
          <t>A 41648-2025</t>
        </is>
      </c>
      <c r="B658" s="1" t="n">
        <v>45902.32601851852</v>
      </c>
      <c r="C658" s="1" t="n">
        <v>46046</v>
      </c>
      <c r="D658" t="inlineStr">
        <is>
          <t>SÖDERMANLANDS LÄN</t>
        </is>
      </c>
      <c r="E658" t="inlineStr">
        <is>
          <t>KATRINEHOLM</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53809-2021</t>
        </is>
      </c>
      <c r="B659" s="1" t="n">
        <v>44467</v>
      </c>
      <c r="C659" s="1" t="n">
        <v>46046</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46046</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49341-2024</t>
        </is>
      </c>
      <c r="B661" s="1" t="n">
        <v>45595</v>
      </c>
      <c r="C661" s="1" t="n">
        <v>46046</v>
      </c>
      <c r="D661" t="inlineStr">
        <is>
          <t>SÖDERMANLANDS LÄN</t>
        </is>
      </c>
      <c r="E661" t="inlineStr">
        <is>
          <t>KATRINEHOLM</t>
        </is>
      </c>
      <c r="G661" t="n">
        <v>10</v>
      </c>
      <c r="H661" t="n">
        <v>0</v>
      </c>
      <c r="I661" t="n">
        <v>0</v>
      </c>
      <c r="J661" t="n">
        <v>0</v>
      </c>
      <c r="K661" t="n">
        <v>0</v>
      </c>
      <c r="L661" t="n">
        <v>0</v>
      </c>
      <c r="M661" t="n">
        <v>0</v>
      </c>
      <c r="N661" t="n">
        <v>0</v>
      </c>
      <c r="O661" t="n">
        <v>0</v>
      </c>
      <c r="P661" t="n">
        <v>0</v>
      </c>
      <c r="Q661" t="n">
        <v>0</v>
      </c>
      <c r="R661" s="2" t="inlineStr"/>
    </row>
    <row r="662" ht="15" customHeight="1">
      <c r="A662" t="inlineStr">
        <is>
          <t>A 41793-2025</t>
        </is>
      </c>
      <c r="B662" s="1" t="n">
        <v>45902</v>
      </c>
      <c r="C662" s="1" t="n">
        <v>46046</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28317-2024</t>
        </is>
      </c>
      <c r="B663" s="1" t="n">
        <v>45477</v>
      </c>
      <c r="C663" s="1" t="n">
        <v>46046</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42474-2025</t>
        </is>
      </c>
      <c r="B664" s="1" t="n">
        <v>45905.46659722222</v>
      </c>
      <c r="C664" s="1" t="n">
        <v>46046</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42799-2025</t>
        </is>
      </c>
      <c r="B665" s="1" t="n">
        <v>45907</v>
      </c>
      <c r="C665" s="1" t="n">
        <v>46046</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52348-2021</t>
        </is>
      </c>
      <c r="B666" s="1" t="n">
        <v>44464.49756944444</v>
      </c>
      <c r="C666" s="1" t="n">
        <v>46046</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46046</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46046</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46046</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5320-2025</t>
        </is>
      </c>
      <c r="B670" s="1" t="n">
        <v>45692</v>
      </c>
      <c r="C670" s="1" t="n">
        <v>46046</v>
      </c>
      <c r="D670" t="inlineStr">
        <is>
          <t>SÖDERMANLANDS LÄN</t>
        </is>
      </c>
      <c r="E670" t="inlineStr">
        <is>
          <t>KATRINEHOLM</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49914-2023</t>
        </is>
      </c>
      <c r="B671" s="1" t="n">
        <v>45214</v>
      </c>
      <c r="C671" s="1" t="n">
        <v>46046</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44637-2023</t>
        </is>
      </c>
      <c r="B672" s="1" t="n">
        <v>45189</v>
      </c>
      <c r="C672" s="1" t="n">
        <v>46046</v>
      </c>
      <c r="D672" t="inlineStr">
        <is>
          <t>SÖDERMANLANDS LÄN</t>
        </is>
      </c>
      <c r="E672" t="inlineStr">
        <is>
          <t>KATRINEHOLM</t>
        </is>
      </c>
      <c r="G672" t="n">
        <v>5.1</v>
      </c>
      <c r="H672" t="n">
        <v>0</v>
      </c>
      <c r="I672" t="n">
        <v>0</v>
      </c>
      <c r="J672" t="n">
        <v>0</v>
      </c>
      <c r="K672" t="n">
        <v>0</v>
      </c>
      <c r="L672" t="n">
        <v>0</v>
      </c>
      <c r="M672" t="n">
        <v>0</v>
      </c>
      <c r="N672" t="n">
        <v>0</v>
      </c>
      <c r="O672" t="n">
        <v>0</v>
      </c>
      <c r="P672" t="n">
        <v>0</v>
      </c>
      <c r="Q672" t="n">
        <v>0</v>
      </c>
      <c r="R672" s="2" t="inlineStr"/>
    </row>
    <row r="673" ht="15" customHeight="1">
      <c r="A673" t="inlineStr">
        <is>
          <t>A 58522-2024</t>
        </is>
      </c>
      <c r="B673" s="1" t="n">
        <v>45635.43770833333</v>
      </c>
      <c r="C673" s="1" t="n">
        <v>46046</v>
      </c>
      <c r="D673" t="inlineStr">
        <is>
          <t>SÖDERMANLANDS LÄN</t>
        </is>
      </c>
      <c r="E673" t="inlineStr">
        <is>
          <t>KATRINEHOLM</t>
        </is>
      </c>
      <c r="G673" t="n">
        <v>2</v>
      </c>
      <c r="H673" t="n">
        <v>0</v>
      </c>
      <c r="I673" t="n">
        <v>0</v>
      </c>
      <c r="J673" t="n">
        <v>0</v>
      </c>
      <c r="K673" t="n">
        <v>0</v>
      </c>
      <c r="L673" t="n">
        <v>0</v>
      </c>
      <c r="M673" t="n">
        <v>0</v>
      </c>
      <c r="N673" t="n">
        <v>0</v>
      </c>
      <c r="O673" t="n">
        <v>0</v>
      </c>
      <c r="P673" t="n">
        <v>0</v>
      </c>
      <c r="Q673" t="n">
        <v>0</v>
      </c>
      <c r="R673" s="2" t="inlineStr"/>
    </row>
    <row r="674" ht="15" customHeight="1">
      <c r="A674" t="inlineStr">
        <is>
          <t>A 20921-2023</t>
        </is>
      </c>
      <c r="B674" s="1" t="n">
        <v>45061</v>
      </c>
      <c r="C674" s="1" t="n">
        <v>46046</v>
      </c>
      <c r="D674" t="inlineStr">
        <is>
          <t>SÖDERMANLANDS LÄN</t>
        </is>
      </c>
      <c r="E674" t="inlineStr">
        <is>
          <t>KATRINEHOLM</t>
        </is>
      </c>
      <c r="G674" t="n">
        <v>8.9</v>
      </c>
      <c r="H674" t="n">
        <v>0</v>
      </c>
      <c r="I674" t="n">
        <v>0</v>
      </c>
      <c r="J674" t="n">
        <v>0</v>
      </c>
      <c r="K674" t="n">
        <v>0</v>
      </c>
      <c r="L674" t="n">
        <v>0</v>
      </c>
      <c r="M674" t="n">
        <v>0</v>
      </c>
      <c r="N674" t="n">
        <v>0</v>
      </c>
      <c r="O674" t="n">
        <v>0</v>
      </c>
      <c r="P674" t="n">
        <v>0</v>
      </c>
      <c r="Q674" t="n">
        <v>0</v>
      </c>
      <c r="R674" s="2" t="inlineStr"/>
    </row>
    <row r="675" ht="15" customHeight="1">
      <c r="A675" t="inlineStr">
        <is>
          <t>A 42686-2025</t>
        </is>
      </c>
      <c r="B675" s="1" t="n">
        <v>45908.35550925926</v>
      </c>
      <c r="C675" s="1" t="n">
        <v>46046</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12929-2023</t>
        </is>
      </c>
      <c r="B676" s="1" t="n">
        <v>45001</v>
      </c>
      <c r="C676" s="1" t="n">
        <v>46046</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12932-2023</t>
        </is>
      </c>
      <c r="B677" s="1" t="n">
        <v>45001</v>
      </c>
      <c r="C677" s="1" t="n">
        <v>46046</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6446-2022</t>
        </is>
      </c>
      <c r="B678" s="1" t="n">
        <v>44600</v>
      </c>
      <c r="C678" s="1" t="n">
        <v>46046</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4724-2023</t>
        </is>
      </c>
      <c r="B679" s="1" t="n">
        <v>44957</v>
      </c>
      <c r="C679" s="1" t="n">
        <v>46046</v>
      </c>
      <c r="D679" t="inlineStr">
        <is>
          <t>SÖDERMANLANDS LÄN</t>
        </is>
      </c>
      <c r="E679" t="inlineStr">
        <is>
          <t>KATRINEHOLM</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61431-2024</t>
        </is>
      </c>
      <c r="B680" s="1" t="n">
        <v>45646.45950231481</v>
      </c>
      <c r="C680" s="1" t="n">
        <v>46046</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24097-2022</t>
        </is>
      </c>
      <c r="B681" s="1" t="n">
        <v>44725.39371527778</v>
      </c>
      <c r="C681" s="1" t="n">
        <v>46046</v>
      </c>
      <c r="D681" t="inlineStr">
        <is>
          <t>SÖDERMANLANDS LÄN</t>
        </is>
      </c>
      <c r="E681" t="inlineStr">
        <is>
          <t>KATRINEHOLM</t>
        </is>
      </c>
      <c r="G681" t="n">
        <v>6.5</v>
      </c>
      <c r="H681" t="n">
        <v>0</v>
      </c>
      <c r="I681" t="n">
        <v>0</v>
      </c>
      <c r="J681" t="n">
        <v>0</v>
      </c>
      <c r="K681" t="n">
        <v>0</v>
      </c>
      <c r="L681" t="n">
        <v>0</v>
      </c>
      <c r="M681" t="n">
        <v>0</v>
      </c>
      <c r="N681" t="n">
        <v>0</v>
      </c>
      <c r="O681" t="n">
        <v>0</v>
      </c>
      <c r="P681" t="n">
        <v>0</v>
      </c>
      <c r="Q681" t="n">
        <v>0</v>
      </c>
      <c r="R681" s="2" t="inlineStr"/>
    </row>
    <row r="682" ht="15" customHeight="1">
      <c r="A682" t="inlineStr">
        <is>
          <t>A 53393-2023</t>
        </is>
      </c>
      <c r="B682" s="1" t="n">
        <v>45229</v>
      </c>
      <c r="C682" s="1" t="n">
        <v>46046</v>
      </c>
      <c r="D682" t="inlineStr">
        <is>
          <t>SÖDERMANLANDS LÄN</t>
        </is>
      </c>
      <c r="E682" t="inlineStr">
        <is>
          <t>KATRINEHOLM</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44824.55655092592</v>
      </c>
      <c r="C683" s="1" t="n">
        <v>46046</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20803-2024</t>
        </is>
      </c>
      <c r="B684" s="1" t="n">
        <v>45438</v>
      </c>
      <c r="C684" s="1" t="n">
        <v>46046</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15392-2023</t>
        </is>
      </c>
      <c r="B685" s="1" t="n">
        <v>45016</v>
      </c>
      <c r="C685" s="1" t="n">
        <v>46046</v>
      </c>
      <c r="D685" t="inlineStr">
        <is>
          <t>SÖDERMANLANDS LÄN</t>
        </is>
      </c>
      <c r="E685" t="inlineStr">
        <is>
          <t>KATRINEHOLM</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4645-2024</t>
        </is>
      </c>
      <c r="B686" s="1" t="n">
        <v>45328</v>
      </c>
      <c r="C686" s="1" t="n">
        <v>46046</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28508-2023</t>
        </is>
      </c>
      <c r="B687" s="1" t="n">
        <v>45103.46788194445</v>
      </c>
      <c r="C687" s="1" t="n">
        <v>46046</v>
      </c>
      <c r="D687" t="inlineStr">
        <is>
          <t>SÖDERMANLANDS LÄN</t>
        </is>
      </c>
      <c r="E687" t="inlineStr">
        <is>
          <t>KATRINEHOLM</t>
        </is>
      </c>
      <c r="F687" t="inlineStr">
        <is>
          <t>Kyrkan</t>
        </is>
      </c>
      <c r="G687" t="n">
        <v>20.5</v>
      </c>
      <c r="H687" t="n">
        <v>0</v>
      </c>
      <c r="I687" t="n">
        <v>0</v>
      </c>
      <c r="J687" t="n">
        <v>0</v>
      </c>
      <c r="K687" t="n">
        <v>0</v>
      </c>
      <c r="L687" t="n">
        <v>0</v>
      </c>
      <c r="M687" t="n">
        <v>0</v>
      </c>
      <c r="N687" t="n">
        <v>0</v>
      </c>
      <c r="O687" t="n">
        <v>0</v>
      </c>
      <c r="P687" t="n">
        <v>0</v>
      </c>
      <c r="Q687" t="n">
        <v>0</v>
      </c>
      <c r="R687" s="2" t="inlineStr"/>
    </row>
    <row r="688" ht="15" customHeight="1">
      <c r="A688" t="inlineStr">
        <is>
          <t>A 47889-2023</t>
        </is>
      </c>
      <c r="B688" s="1" t="n">
        <v>45204</v>
      </c>
      <c r="C688" s="1" t="n">
        <v>46046</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43975-2025</t>
        </is>
      </c>
      <c r="B689" s="1" t="n">
        <v>45915.41148148148</v>
      </c>
      <c r="C689" s="1" t="n">
        <v>46046</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44071-2025</t>
        </is>
      </c>
      <c r="B690" s="1" t="n">
        <v>45915</v>
      </c>
      <c r="C690" s="1" t="n">
        <v>46046</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12975-2022</t>
        </is>
      </c>
      <c r="B691" s="1" t="n">
        <v>44643</v>
      </c>
      <c r="C691" s="1" t="n">
        <v>46046</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9668-2023</t>
        </is>
      </c>
      <c r="B692" s="1" t="n">
        <v>44984.41238425926</v>
      </c>
      <c r="C692" s="1" t="n">
        <v>46046</v>
      </c>
      <c r="D692" t="inlineStr">
        <is>
          <t>SÖDERMANLANDS LÄN</t>
        </is>
      </c>
      <c r="E692" t="inlineStr">
        <is>
          <t>KATRINEHOLM</t>
        </is>
      </c>
      <c r="G692" t="n">
        <v>4.8</v>
      </c>
      <c r="H692" t="n">
        <v>0</v>
      </c>
      <c r="I692" t="n">
        <v>0</v>
      </c>
      <c r="J692" t="n">
        <v>0</v>
      </c>
      <c r="K692" t="n">
        <v>0</v>
      </c>
      <c r="L692" t="n">
        <v>0</v>
      </c>
      <c r="M692" t="n">
        <v>0</v>
      </c>
      <c r="N692" t="n">
        <v>0</v>
      </c>
      <c r="O692" t="n">
        <v>0</v>
      </c>
      <c r="P692" t="n">
        <v>0</v>
      </c>
      <c r="Q692" t="n">
        <v>0</v>
      </c>
      <c r="R692" s="2" t="inlineStr"/>
    </row>
    <row r="693" ht="15" customHeight="1">
      <c r="A693" t="inlineStr">
        <is>
          <t>A 29977-2023</t>
        </is>
      </c>
      <c r="B693" s="1" t="n">
        <v>45108</v>
      </c>
      <c r="C693" s="1" t="n">
        <v>46046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4669-2023</t>
        </is>
      </c>
      <c r="B694" s="1" t="n">
        <v>44957</v>
      </c>
      <c r="C694" s="1" t="n">
        <v>46046</v>
      </c>
      <c r="D694" t="inlineStr">
        <is>
          <t>SÖDERMANLANDS LÄN</t>
        </is>
      </c>
      <c r="E694" t="inlineStr">
        <is>
          <t>KATRINEHOLM</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948-2023</t>
        </is>
      </c>
      <c r="B695" s="1" t="n">
        <v>44934</v>
      </c>
      <c r="C695" s="1" t="n">
        <v>46046</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6087-2022</t>
        </is>
      </c>
      <c r="B696" s="1" t="n">
        <v>44599.61034722222</v>
      </c>
      <c r="C696" s="1" t="n">
        <v>46046</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47134-2022</t>
        </is>
      </c>
      <c r="B697" s="1" t="n">
        <v>44851</v>
      </c>
      <c r="C697" s="1" t="n">
        <v>46046</v>
      </c>
      <c r="D697" t="inlineStr">
        <is>
          <t>SÖDERMANLANDS LÄN</t>
        </is>
      </c>
      <c r="E697" t="inlineStr">
        <is>
          <t>KATRINEHOLM</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12835-2024</t>
        </is>
      </c>
      <c r="B698" s="1" t="n">
        <v>45384</v>
      </c>
      <c r="C698" s="1" t="n">
        <v>46046</v>
      </c>
      <c r="D698" t="inlineStr">
        <is>
          <t>SÖDERMANLANDS LÄN</t>
        </is>
      </c>
      <c r="E698" t="inlineStr">
        <is>
          <t>KATRINEHOLM</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47879-2023</t>
        </is>
      </c>
      <c r="B699" s="1" t="n">
        <v>45204</v>
      </c>
      <c r="C699" s="1" t="n">
        <v>46046</v>
      </c>
      <c r="D699" t="inlineStr">
        <is>
          <t>SÖDERMANLANDS LÄN</t>
        </is>
      </c>
      <c r="E699" t="inlineStr">
        <is>
          <t>KATRINEHOLM</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61410-2024</t>
        </is>
      </c>
      <c r="B700" s="1" t="n">
        <v>45646.43950231482</v>
      </c>
      <c r="C700" s="1" t="n">
        <v>46046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54873-2025</t>
        </is>
      </c>
      <c r="B701" s="1" t="n">
        <v>45967.30731481482</v>
      </c>
      <c r="C701" s="1" t="n">
        <v>46046</v>
      </c>
      <c r="D701" t="inlineStr">
        <is>
          <t>SÖDERMANLANDS LÄN</t>
        </is>
      </c>
      <c r="E701" t="inlineStr">
        <is>
          <t>KATRINEHOLM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46288-2025</t>
        </is>
      </c>
      <c r="B702" s="1" t="n">
        <v>45925.38545138889</v>
      </c>
      <c r="C702" s="1" t="n">
        <v>46046</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17746-2024</t>
        </is>
      </c>
      <c r="B703" s="1" t="n">
        <v>45415</v>
      </c>
      <c r="C703" s="1" t="n">
        <v>46046</v>
      </c>
      <c r="D703" t="inlineStr">
        <is>
          <t>SÖDERMANLANDS LÄN</t>
        </is>
      </c>
      <c r="E703" t="inlineStr">
        <is>
          <t>KATRINEHOLM</t>
        </is>
      </c>
      <c r="G703" t="n">
        <v>7.8</v>
      </c>
      <c r="H703" t="n">
        <v>0</v>
      </c>
      <c r="I703" t="n">
        <v>0</v>
      </c>
      <c r="J703" t="n">
        <v>0</v>
      </c>
      <c r="K703" t="n">
        <v>0</v>
      </c>
      <c r="L703" t="n">
        <v>0</v>
      </c>
      <c r="M703" t="n">
        <v>0</v>
      </c>
      <c r="N703" t="n">
        <v>0</v>
      </c>
      <c r="O703" t="n">
        <v>0</v>
      </c>
      <c r="P703" t="n">
        <v>0</v>
      </c>
      <c r="Q703" t="n">
        <v>0</v>
      </c>
      <c r="R703" s="2" t="inlineStr"/>
    </row>
    <row r="704" ht="15" customHeight="1">
      <c r="A704" t="inlineStr">
        <is>
          <t>A 57510-2021</t>
        </is>
      </c>
      <c r="B704" s="1" t="n">
        <v>44483</v>
      </c>
      <c r="C704" s="1" t="n">
        <v>46046</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34731-2023</t>
        </is>
      </c>
      <c r="B705" s="1" t="n">
        <v>45141</v>
      </c>
      <c r="C705" s="1" t="n">
        <v>46046</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38826-2021</t>
        </is>
      </c>
      <c r="B706" s="1" t="n">
        <v>44411</v>
      </c>
      <c r="C706" s="1" t="n">
        <v>46046</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11875-2023</t>
        </is>
      </c>
      <c r="B707" s="1" t="n">
        <v>44995</v>
      </c>
      <c r="C707" s="1" t="n">
        <v>46046</v>
      </c>
      <c r="D707" t="inlineStr">
        <is>
          <t>SÖDERMANLANDS LÄN</t>
        </is>
      </c>
      <c r="E707" t="inlineStr">
        <is>
          <t>KATRINEHOLM</t>
        </is>
      </c>
      <c r="F707" t="inlineStr">
        <is>
          <t>Kommuner</t>
        </is>
      </c>
      <c r="G707" t="n">
        <v>1.1</v>
      </c>
      <c r="H707" t="n">
        <v>0</v>
      </c>
      <c r="I707" t="n">
        <v>0</v>
      </c>
      <c r="J707" t="n">
        <v>0</v>
      </c>
      <c r="K707" t="n">
        <v>0</v>
      </c>
      <c r="L707" t="n">
        <v>0</v>
      </c>
      <c r="M707" t="n">
        <v>0</v>
      </c>
      <c r="N707" t="n">
        <v>0</v>
      </c>
      <c r="O707" t="n">
        <v>0</v>
      </c>
      <c r="P707" t="n">
        <v>0</v>
      </c>
      <c r="Q707" t="n">
        <v>0</v>
      </c>
      <c r="R707" s="2" t="inlineStr"/>
    </row>
    <row r="708" ht="15" customHeight="1">
      <c r="A708" t="inlineStr">
        <is>
          <t>A 6808-2023</t>
        </is>
      </c>
      <c r="B708" s="1" t="n">
        <v>44964</v>
      </c>
      <c r="C708" s="1" t="n">
        <v>46046</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51128-2021</t>
        </is>
      </c>
      <c r="B709" s="1" t="n">
        <v>44460</v>
      </c>
      <c r="C709" s="1" t="n">
        <v>46046</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51264-2021</t>
        </is>
      </c>
      <c r="B710" s="1" t="n">
        <v>44461</v>
      </c>
      <c r="C710" s="1" t="n">
        <v>46046</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46046</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5935-2023</t>
        </is>
      </c>
      <c r="B712" s="1" t="n">
        <v>44963</v>
      </c>
      <c r="C712" s="1" t="n">
        <v>46046</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11104-2023</t>
        </is>
      </c>
      <c r="B713" s="1" t="n">
        <v>44992</v>
      </c>
      <c r="C713" s="1" t="n">
        <v>46046</v>
      </c>
      <c r="D713" t="inlineStr">
        <is>
          <t>SÖDERMANLANDS LÄN</t>
        </is>
      </c>
      <c r="E713" t="inlineStr">
        <is>
          <t>KATRINEHOLM</t>
        </is>
      </c>
      <c r="F713" t="inlineStr">
        <is>
          <t>Allmännings- och besparingsskogar</t>
        </is>
      </c>
      <c r="G713" t="n">
        <v>7.8</v>
      </c>
      <c r="H713" t="n">
        <v>0</v>
      </c>
      <c r="I713" t="n">
        <v>0</v>
      </c>
      <c r="J713" t="n">
        <v>0</v>
      </c>
      <c r="K713" t="n">
        <v>0</v>
      </c>
      <c r="L713" t="n">
        <v>0</v>
      </c>
      <c r="M713" t="n">
        <v>0</v>
      </c>
      <c r="N713" t="n">
        <v>0</v>
      </c>
      <c r="O713" t="n">
        <v>0</v>
      </c>
      <c r="P713" t="n">
        <v>0</v>
      </c>
      <c r="Q713" t="n">
        <v>0</v>
      </c>
      <c r="R713" s="2" t="inlineStr"/>
    </row>
    <row r="714" ht="15" customHeight="1">
      <c r="A714" t="inlineStr">
        <is>
          <t>A 40159-2023</t>
        </is>
      </c>
      <c r="B714" s="1" t="n">
        <v>45169</v>
      </c>
      <c r="C714" s="1" t="n">
        <v>46046</v>
      </c>
      <c r="D714" t="inlineStr">
        <is>
          <t>SÖDERMANLANDS LÄN</t>
        </is>
      </c>
      <c r="E714" t="inlineStr">
        <is>
          <t>KATRINEHOLM</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36562-2023</t>
        </is>
      </c>
      <c r="B715" s="1" t="n">
        <v>45153</v>
      </c>
      <c r="C715" s="1" t="n">
        <v>46046</v>
      </c>
      <c r="D715" t="inlineStr">
        <is>
          <t>SÖDERMANLANDS LÄN</t>
        </is>
      </c>
      <c r="E715" t="inlineStr">
        <is>
          <t>KATRINEHOLM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46524-2025</t>
        </is>
      </c>
      <c r="B716" s="1" t="n">
        <v>45926</v>
      </c>
      <c r="C716" s="1" t="n">
        <v>46046</v>
      </c>
      <c r="D716" t="inlineStr">
        <is>
          <t>SÖDERMANLANDS LÄN</t>
        </is>
      </c>
      <c r="E716" t="inlineStr">
        <is>
          <t>KATRINEHOLM</t>
        </is>
      </c>
      <c r="G716" t="n">
        <v>5.7</v>
      </c>
      <c r="H716" t="n">
        <v>0</v>
      </c>
      <c r="I716" t="n">
        <v>0</v>
      </c>
      <c r="J716" t="n">
        <v>0</v>
      </c>
      <c r="K716" t="n">
        <v>0</v>
      </c>
      <c r="L716" t="n">
        <v>0</v>
      </c>
      <c r="M716" t="n">
        <v>0</v>
      </c>
      <c r="N716" t="n">
        <v>0</v>
      </c>
      <c r="O716" t="n">
        <v>0</v>
      </c>
      <c r="P716" t="n">
        <v>0</v>
      </c>
      <c r="Q716" t="n">
        <v>0</v>
      </c>
      <c r="R716" s="2" t="inlineStr"/>
    </row>
    <row r="717" ht="15" customHeight="1">
      <c r="A717" t="inlineStr">
        <is>
          <t>A 4872-2024</t>
        </is>
      </c>
      <c r="B717" s="1" t="n">
        <v>45329</v>
      </c>
      <c r="C717" s="1" t="n">
        <v>46046</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6611-2023</t>
        </is>
      </c>
      <c r="B718" s="1" t="n">
        <v>44963</v>
      </c>
      <c r="C718" s="1" t="n">
        <v>46046</v>
      </c>
      <c r="D718" t="inlineStr">
        <is>
          <t>SÖDERMANLANDS LÄN</t>
        </is>
      </c>
      <c r="E718" t="inlineStr">
        <is>
          <t>KATRINEHOLM</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25823-2023</t>
        </is>
      </c>
      <c r="B719" s="1" t="n">
        <v>45090.55078703703</v>
      </c>
      <c r="C719" s="1" t="n">
        <v>46046</v>
      </c>
      <c r="D719" t="inlineStr">
        <is>
          <t>SÖDERMANLANDS LÄN</t>
        </is>
      </c>
      <c r="E719" t="inlineStr">
        <is>
          <t>KATRINEHOLM</t>
        </is>
      </c>
      <c r="F719" t="inlineStr">
        <is>
          <t>Kyrkan</t>
        </is>
      </c>
      <c r="G719" t="n">
        <v>10.2</v>
      </c>
      <c r="H719" t="n">
        <v>0</v>
      </c>
      <c r="I719" t="n">
        <v>0</v>
      </c>
      <c r="J719" t="n">
        <v>0</v>
      </c>
      <c r="K719" t="n">
        <v>0</v>
      </c>
      <c r="L719" t="n">
        <v>0</v>
      </c>
      <c r="M719" t="n">
        <v>0</v>
      </c>
      <c r="N719" t="n">
        <v>0</v>
      </c>
      <c r="O719" t="n">
        <v>0</v>
      </c>
      <c r="P719" t="n">
        <v>0</v>
      </c>
      <c r="Q719" t="n">
        <v>0</v>
      </c>
      <c r="R719" s="2" t="inlineStr"/>
    </row>
    <row r="720" ht="15" customHeight="1">
      <c r="A720" t="inlineStr">
        <is>
          <t>A 61398-2024</t>
        </is>
      </c>
      <c r="B720" s="1" t="n">
        <v>45646.42608796297</v>
      </c>
      <c r="C720" s="1" t="n">
        <v>46046</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20480-2022</t>
        </is>
      </c>
      <c r="B721" s="1" t="n">
        <v>44699</v>
      </c>
      <c r="C721" s="1" t="n">
        <v>46046</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3060-2022</t>
        </is>
      </c>
      <c r="B722" s="1" t="n">
        <v>44582.40109953703</v>
      </c>
      <c r="C722" s="1" t="n">
        <v>46046</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3075-2022</t>
        </is>
      </c>
      <c r="B723" s="1" t="n">
        <v>44582</v>
      </c>
      <c r="C723" s="1" t="n">
        <v>46046</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9388-2021</t>
        </is>
      </c>
      <c r="B724" s="1" t="n">
        <v>44250</v>
      </c>
      <c r="C724" s="1" t="n">
        <v>46046</v>
      </c>
      <c r="D724" t="inlineStr">
        <is>
          <t>SÖDERMANLANDS LÄN</t>
        </is>
      </c>
      <c r="E724" t="inlineStr">
        <is>
          <t>KATRINEHOLM</t>
        </is>
      </c>
      <c r="G724" t="n">
        <v>5.4</v>
      </c>
      <c r="H724" t="n">
        <v>0</v>
      </c>
      <c r="I724" t="n">
        <v>0</v>
      </c>
      <c r="J724" t="n">
        <v>0</v>
      </c>
      <c r="K724" t="n">
        <v>0</v>
      </c>
      <c r="L724" t="n">
        <v>0</v>
      </c>
      <c r="M724" t="n">
        <v>0</v>
      </c>
      <c r="N724" t="n">
        <v>0</v>
      </c>
      <c r="O724" t="n">
        <v>0</v>
      </c>
      <c r="P724" t="n">
        <v>0</v>
      </c>
      <c r="Q724" t="n">
        <v>0</v>
      </c>
      <c r="R724" s="2" t="inlineStr"/>
    </row>
    <row r="725" ht="15" customHeight="1">
      <c r="A725" t="inlineStr">
        <is>
          <t>A 13175-2024</t>
        </is>
      </c>
      <c r="B725" s="1" t="n">
        <v>45386</v>
      </c>
      <c r="C725" s="1" t="n">
        <v>46046</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26081-2024</t>
        </is>
      </c>
      <c r="B726" s="1" t="n">
        <v>45462</v>
      </c>
      <c r="C726" s="1" t="n">
        <v>46046</v>
      </c>
      <c r="D726" t="inlineStr">
        <is>
          <t>SÖDERMANLANDS LÄN</t>
        </is>
      </c>
      <c r="E726" t="inlineStr">
        <is>
          <t>KATRINEHOLM</t>
        </is>
      </c>
      <c r="G726" t="n">
        <v>4.1</v>
      </c>
      <c r="H726" t="n">
        <v>0</v>
      </c>
      <c r="I726" t="n">
        <v>0</v>
      </c>
      <c r="J726" t="n">
        <v>0</v>
      </c>
      <c r="K726" t="n">
        <v>0</v>
      </c>
      <c r="L726" t="n">
        <v>0</v>
      </c>
      <c r="M726" t="n">
        <v>0</v>
      </c>
      <c r="N726" t="n">
        <v>0</v>
      </c>
      <c r="O726" t="n">
        <v>0</v>
      </c>
      <c r="P726" t="n">
        <v>0</v>
      </c>
      <c r="Q726" t="n">
        <v>0</v>
      </c>
      <c r="R726" s="2" t="inlineStr"/>
    </row>
    <row r="727" ht="15" customHeight="1">
      <c r="A727" t="inlineStr">
        <is>
          <t>A 4667-2024</t>
        </is>
      </c>
      <c r="B727" s="1" t="n">
        <v>45328.47</v>
      </c>
      <c r="C727" s="1" t="n">
        <v>46046</v>
      </c>
      <c r="D727" t="inlineStr">
        <is>
          <t>SÖDERMANLANDS LÄN</t>
        </is>
      </c>
      <c r="E727" t="inlineStr">
        <is>
          <t>KATRINEHOLM</t>
        </is>
      </c>
      <c r="F727" t="inlineStr">
        <is>
          <t>Övriga Aktiebolag</t>
        </is>
      </c>
      <c r="G727" t="n">
        <v>10.2</v>
      </c>
      <c r="H727" t="n">
        <v>0</v>
      </c>
      <c r="I727" t="n">
        <v>0</v>
      </c>
      <c r="J727" t="n">
        <v>0</v>
      </c>
      <c r="K727" t="n">
        <v>0</v>
      </c>
      <c r="L727" t="n">
        <v>0</v>
      </c>
      <c r="M727" t="n">
        <v>0</v>
      </c>
      <c r="N727" t="n">
        <v>0</v>
      </c>
      <c r="O727" t="n">
        <v>0</v>
      </c>
      <c r="P727" t="n">
        <v>0</v>
      </c>
      <c r="Q727" t="n">
        <v>0</v>
      </c>
      <c r="R727" s="2" t="inlineStr"/>
    </row>
    <row r="728" ht="15" customHeight="1">
      <c r="A728" t="inlineStr">
        <is>
          <t>A 5953-2021</t>
        </is>
      </c>
      <c r="B728" s="1" t="n">
        <v>44231</v>
      </c>
      <c r="C728" s="1" t="n">
        <v>46046</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19107-2022</t>
        </is>
      </c>
      <c r="B729" s="1" t="n">
        <v>44691.54077546296</v>
      </c>
      <c r="C729" s="1" t="n">
        <v>46046</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19442-2023</t>
        </is>
      </c>
      <c r="B730" s="1" t="n">
        <v>45050</v>
      </c>
      <c r="C730" s="1" t="n">
        <v>46046</v>
      </c>
      <c r="D730" t="inlineStr">
        <is>
          <t>SÖDERMANLANDS LÄN</t>
        </is>
      </c>
      <c r="E730" t="inlineStr">
        <is>
          <t>KATRINEHOLM</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59093-2024</t>
        </is>
      </c>
      <c r="B731" s="1" t="n">
        <v>45636</v>
      </c>
      <c r="C731" s="1" t="n">
        <v>46046</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49743-2025</t>
        </is>
      </c>
      <c r="B732" s="1" t="n">
        <v>45940</v>
      </c>
      <c r="C732" s="1" t="n">
        <v>46046</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50934-2025</t>
        </is>
      </c>
      <c r="B733" s="1" t="n">
        <v>45946.69195601852</v>
      </c>
      <c r="C733" s="1" t="n">
        <v>46046</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51774-2025</t>
        </is>
      </c>
      <c r="B734" s="1" t="n">
        <v>45951.65359953704</v>
      </c>
      <c r="C734" s="1" t="n">
        <v>46046</v>
      </c>
      <c r="D734" t="inlineStr">
        <is>
          <t>SÖDERMANLANDS LÄN</t>
        </is>
      </c>
      <c r="E734" t="inlineStr">
        <is>
          <t>KATRINEHOLM</t>
        </is>
      </c>
      <c r="F734" t="inlineStr">
        <is>
          <t>Allmännings- och besparingsskogar</t>
        </is>
      </c>
      <c r="G734" t="n">
        <v>3.7</v>
      </c>
      <c r="H734" t="n">
        <v>0</v>
      </c>
      <c r="I734" t="n">
        <v>0</v>
      </c>
      <c r="J734" t="n">
        <v>0</v>
      </c>
      <c r="K734" t="n">
        <v>0</v>
      </c>
      <c r="L734" t="n">
        <v>0</v>
      </c>
      <c r="M734" t="n">
        <v>0</v>
      </c>
      <c r="N734" t="n">
        <v>0</v>
      </c>
      <c r="O734" t="n">
        <v>0</v>
      </c>
      <c r="P734" t="n">
        <v>0</v>
      </c>
      <c r="Q734" t="n">
        <v>0</v>
      </c>
      <c r="R734" s="2" t="inlineStr"/>
    </row>
    <row r="735" ht="15" customHeight="1">
      <c r="A735" t="inlineStr">
        <is>
          <t>A 51783-2025</t>
        </is>
      </c>
      <c r="B735" s="1" t="n">
        <v>45951.67546296296</v>
      </c>
      <c r="C735" s="1" t="n">
        <v>46046</v>
      </c>
      <c r="D735" t="inlineStr">
        <is>
          <t>SÖDERMANLANDS LÄN</t>
        </is>
      </c>
      <c r="E735" t="inlineStr">
        <is>
          <t>KATRINEHOLM</t>
        </is>
      </c>
      <c r="F735" t="inlineStr">
        <is>
          <t>Allmännings- och besparingsskogar</t>
        </is>
      </c>
      <c r="G735" t="n">
        <v>5.8</v>
      </c>
      <c r="H735" t="n">
        <v>0</v>
      </c>
      <c r="I735" t="n">
        <v>0</v>
      </c>
      <c r="J735" t="n">
        <v>0</v>
      </c>
      <c r="K735" t="n">
        <v>0</v>
      </c>
      <c r="L735" t="n">
        <v>0</v>
      </c>
      <c r="M735" t="n">
        <v>0</v>
      </c>
      <c r="N735" t="n">
        <v>0</v>
      </c>
      <c r="O735" t="n">
        <v>0</v>
      </c>
      <c r="P735" t="n">
        <v>0</v>
      </c>
      <c r="Q735" t="n">
        <v>0</v>
      </c>
      <c r="R735" s="2" t="inlineStr"/>
    </row>
    <row r="736" ht="15" customHeight="1">
      <c r="A736" t="inlineStr">
        <is>
          <t>A 51367-2025</t>
        </is>
      </c>
      <c r="B736" s="1" t="n">
        <v>45950.44700231482</v>
      </c>
      <c r="C736" s="1" t="n">
        <v>46046</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51780-2025</t>
        </is>
      </c>
      <c r="B737" s="1" t="n">
        <v>45951.65725694445</v>
      </c>
      <c r="C737" s="1" t="n">
        <v>46046</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52239-2025</t>
        </is>
      </c>
      <c r="B738" s="1" t="n">
        <v>45953.46193287037</v>
      </c>
      <c r="C738" s="1" t="n">
        <v>46046</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52242-2025</t>
        </is>
      </c>
      <c r="B739" s="1" t="n">
        <v>45953.46886574074</v>
      </c>
      <c r="C739" s="1" t="n">
        <v>46046</v>
      </c>
      <c r="D739" t="inlineStr">
        <is>
          <t>SÖDERMANLANDS LÄN</t>
        </is>
      </c>
      <c r="E739" t="inlineStr">
        <is>
          <t>KATRINEHOLM</t>
        </is>
      </c>
      <c r="G739" t="n">
        <v>5.3</v>
      </c>
      <c r="H739" t="n">
        <v>0</v>
      </c>
      <c r="I739" t="n">
        <v>0</v>
      </c>
      <c r="J739" t="n">
        <v>0</v>
      </c>
      <c r="K739" t="n">
        <v>0</v>
      </c>
      <c r="L739" t="n">
        <v>0</v>
      </c>
      <c r="M739" t="n">
        <v>0</v>
      </c>
      <c r="N739" t="n">
        <v>0</v>
      </c>
      <c r="O739" t="n">
        <v>0</v>
      </c>
      <c r="P739" t="n">
        <v>0</v>
      </c>
      <c r="Q739" t="n">
        <v>0</v>
      </c>
      <c r="R739" s="2" t="inlineStr"/>
    </row>
    <row r="740" ht="15" customHeight="1">
      <c r="A740" t="inlineStr">
        <is>
          <t>A 52244-2025</t>
        </is>
      </c>
      <c r="B740" s="1" t="n">
        <v>45953</v>
      </c>
      <c r="C740" s="1" t="n">
        <v>46046</v>
      </c>
      <c r="D740" t="inlineStr">
        <is>
          <t>SÖDERMANLANDS LÄN</t>
        </is>
      </c>
      <c r="E740" t="inlineStr">
        <is>
          <t>KATRINEHOLM</t>
        </is>
      </c>
      <c r="G740" t="n">
        <v>1.3</v>
      </c>
      <c r="H740" t="n">
        <v>0</v>
      </c>
      <c r="I740" t="n">
        <v>0</v>
      </c>
      <c r="J740" t="n">
        <v>0</v>
      </c>
      <c r="K740" t="n">
        <v>0</v>
      </c>
      <c r="L740" t="n">
        <v>0</v>
      </c>
      <c r="M740" t="n">
        <v>0</v>
      </c>
      <c r="N740" t="n">
        <v>0</v>
      </c>
      <c r="O740" t="n">
        <v>0</v>
      </c>
      <c r="P740" t="n">
        <v>0</v>
      </c>
      <c r="Q740" t="n">
        <v>0</v>
      </c>
      <c r="R740" s="2" t="inlineStr"/>
    </row>
    <row r="741" ht="15" customHeight="1">
      <c r="A741" t="inlineStr">
        <is>
          <t>A 52744-2025</t>
        </is>
      </c>
      <c r="B741" s="1" t="n">
        <v>45957.38387731482</v>
      </c>
      <c r="C741" s="1" t="n">
        <v>46046</v>
      </c>
      <c r="D741" t="inlineStr">
        <is>
          <t>SÖDERMANLANDS LÄN</t>
        </is>
      </c>
      <c r="E741" t="inlineStr">
        <is>
          <t>KATRINEHOLM</t>
        </is>
      </c>
      <c r="G741" t="n">
        <v>4</v>
      </c>
      <c r="H741" t="n">
        <v>0</v>
      </c>
      <c r="I741" t="n">
        <v>0</v>
      </c>
      <c r="J741" t="n">
        <v>0</v>
      </c>
      <c r="K741" t="n">
        <v>0</v>
      </c>
      <c r="L741" t="n">
        <v>0</v>
      </c>
      <c r="M741" t="n">
        <v>0</v>
      </c>
      <c r="N741" t="n">
        <v>0</v>
      </c>
      <c r="O741" t="n">
        <v>0</v>
      </c>
      <c r="P741" t="n">
        <v>0</v>
      </c>
      <c r="Q741" t="n">
        <v>0</v>
      </c>
      <c r="R741" s="2" t="inlineStr"/>
    </row>
    <row r="742" ht="15" customHeight="1">
      <c r="A742" t="inlineStr">
        <is>
          <t>A 53338-2025</t>
        </is>
      </c>
      <c r="B742" s="1" t="n">
        <v>45959.40447916667</v>
      </c>
      <c r="C742" s="1" t="n">
        <v>46046</v>
      </c>
      <c r="D742" t="inlineStr">
        <is>
          <t>SÖDERMANLANDS LÄN</t>
        </is>
      </c>
      <c r="E742" t="inlineStr">
        <is>
          <t>KATRINEHOLM</t>
        </is>
      </c>
      <c r="G742" t="n">
        <v>2.9</v>
      </c>
      <c r="H742" t="n">
        <v>0</v>
      </c>
      <c r="I742" t="n">
        <v>0</v>
      </c>
      <c r="J742" t="n">
        <v>0</v>
      </c>
      <c r="K742" t="n">
        <v>0</v>
      </c>
      <c r="L742" t="n">
        <v>0</v>
      </c>
      <c r="M742" t="n">
        <v>0</v>
      </c>
      <c r="N742" t="n">
        <v>0</v>
      </c>
      <c r="O742" t="n">
        <v>0</v>
      </c>
      <c r="P742" t="n">
        <v>0</v>
      </c>
      <c r="Q742" t="n">
        <v>0</v>
      </c>
      <c r="R742" s="2" t="inlineStr"/>
    </row>
    <row r="743" ht="15" customHeight="1">
      <c r="A743" t="inlineStr">
        <is>
          <t>A 33469-2025</t>
        </is>
      </c>
      <c r="B743" s="1" t="n">
        <v>45841.48686342593</v>
      </c>
      <c r="C743" s="1" t="n">
        <v>46046</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54395-2025</t>
        </is>
      </c>
      <c r="B744" s="1" t="n">
        <v>45964</v>
      </c>
      <c r="C744" s="1" t="n">
        <v>46046</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41548-2025</t>
        </is>
      </c>
      <c r="B745" s="1" t="n">
        <v>45901</v>
      </c>
      <c r="C745" s="1" t="n">
        <v>46046</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33101-2025</t>
        </is>
      </c>
      <c r="B746" s="1" t="n">
        <v>45840.47953703703</v>
      </c>
      <c r="C746" s="1" t="n">
        <v>46046</v>
      </c>
      <c r="D746" t="inlineStr">
        <is>
          <t>SÖDERMANLANDS LÄN</t>
        </is>
      </c>
      <c r="E746" t="inlineStr">
        <is>
          <t>KATRINEHOLM</t>
        </is>
      </c>
      <c r="G746" t="n">
        <v>4.4</v>
      </c>
      <c r="H746" t="n">
        <v>0</v>
      </c>
      <c r="I746" t="n">
        <v>0</v>
      </c>
      <c r="J746" t="n">
        <v>0</v>
      </c>
      <c r="K746" t="n">
        <v>0</v>
      </c>
      <c r="L746" t="n">
        <v>0</v>
      </c>
      <c r="M746" t="n">
        <v>0</v>
      </c>
      <c r="N746" t="n">
        <v>0</v>
      </c>
      <c r="O746" t="n">
        <v>0</v>
      </c>
      <c r="P746" t="n">
        <v>0</v>
      </c>
      <c r="Q746" t="n">
        <v>0</v>
      </c>
      <c r="R746" s="2" t="inlineStr"/>
    </row>
    <row r="747" ht="15" customHeight="1">
      <c r="A747" t="inlineStr">
        <is>
          <t>A 54359-2025</t>
        </is>
      </c>
      <c r="B747" s="1" t="n">
        <v>45964</v>
      </c>
      <c r="C747" s="1" t="n">
        <v>46046</v>
      </c>
      <c r="D747" t="inlineStr">
        <is>
          <t>SÖDERMANLANDS LÄN</t>
        </is>
      </c>
      <c r="E747" t="inlineStr">
        <is>
          <t>KATRINEHOLM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33096-2025</t>
        </is>
      </c>
      <c r="B748" s="1" t="n">
        <v>45840.47563657408</v>
      </c>
      <c r="C748" s="1" t="n">
        <v>46046</v>
      </c>
      <c r="D748" t="inlineStr">
        <is>
          <t>SÖDERMANLANDS LÄN</t>
        </is>
      </c>
      <c r="E748" t="inlineStr">
        <is>
          <t>KATRINEHOLM</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33077-2025</t>
        </is>
      </c>
      <c r="B749" s="1" t="n">
        <v>45840.45864583334</v>
      </c>
      <c r="C749" s="1" t="n">
        <v>46046</v>
      </c>
      <c r="D749" t="inlineStr">
        <is>
          <t>SÖDERMANLANDS LÄN</t>
        </is>
      </c>
      <c r="E749" t="inlineStr">
        <is>
          <t>KATRINEHOLM</t>
        </is>
      </c>
      <c r="G749" t="n">
        <v>7</v>
      </c>
      <c r="H749" t="n">
        <v>0</v>
      </c>
      <c r="I749" t="n">
        <v>0</v>
      </c>
      <c r="J749" t="n">
        <v>0</v>
      </c>
      <c r="K749" t="n">
        <v>0</v>
      </c>
      <c r="L749" t="n">
        <v>0</v>
      </c>
      <c r="M749" t="n">
        <v>0</v>
      </c>
      <c r="N749" t="n">
        <v>0</v>
      </c>
      <c r="O749" t="n">
        <v>0</v>
      </c>
      <c r="P749" t="n">
        <v>0</v>
      </c>
      <c r="Q749" t="n">
        <v>0</v>
      </c>
      <c r="R749" s="2" t="inlineStr"/>
    </row>
    <row r="750" ht="15" customHeight="1">
      <c r="A750" t="inlineStr">
        <is>
          <t>A 33129-2025</t>
        </is>
      </c>
      <c r="B750" s="1" t="n">
        <v>45840.50141203704</v>
      </c>
      <c r="C750" s="1" t="n">
        <v>46046</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54999-2025</t>
        </is>
      </c>
      <c r="B751" s="1" t="n">
        <v>45967.59880787037</v>
      </c>
      <c r="C751" s="1" t="n">
        <v>46046</v>
      </c>
      <c r="D751" t="inlineStr">
        <is>
          <t>SÖDERMANLANDS LÄN</t>
        </is>
      </c>
      <c r="E751" t="inlineStr">
        <is>
          <t>KATRINEHOLM</t>
        </is>
      </c>
      <c r="G751" t="n">
        <v>8.5</v>
      </c>
      <c r="H751" t="n">
        <v>0</v>
      </c>
      <c r="I751" t="n">
        <v>0</v>
      </c>
      <c r="J751" t="n">
        <v>0</v>
      </c>
      <c r="K751" t="n">
        <v>0</v>
      </c>
      <c r="L751" t="n">
        <v>0</v>
      </c>
      <c r="M751" t="n">
        <v>0</v>
      </c>
      <c r="N751" t="n">
        <v>0</v>
      </c>
      <c r="O751" t="n">
        <v>0</v>
      </c>
      <c r="P751" t="n">
        <v>0</v>
      </c>
      <c r="Q751" t="n">
        <v>0</v>
      </c>
      <c r="R751" s="2" t="inlineStr"/>
    </row>
    <row r="752" ht="15" customHeight="1">
      <c r="A752" t="inlineStr">
        <is>
          <t>A 55029-2025</t>
        </is>
      </c>
      <c r="B752" s="1" t="n">
        <v>45967.63784722222</v>
      </c>
      <c r="C752" s="1" t="n">
        <v>46046</v>
      </c>
      <c r="D752" t="inlineStr">
        <is>
          <t>SÖDERMANLANDS LÄN</t>
        </is>
      </c>
      <c r="E752" t="inlineStr">
        <is>
          <t>KATRINEHOLM</t>
        </is>
      </c>
      <c r="G752" t="n">
        <v>10.1</v>
      </c>
      <c r="H752" t="n">
        <v>0</v>
      </c>
      <c r="I752" t="n">
        <v>0</v>
      </c>
      <c r="J752" t="n">
        <v>0</v>
      </c>
      <c r="K752" t="n">
        <v>0</v>
      </c>
      <c r="L752" t="n">
        <v>0</v>
      </c>
      <c r="M752" t="n">
        <v>0</v>
      </c>
      <c r="N752" t="n">
        <v>0</v>
      </c>
      <c r="O752" t="n">
        <v>0</v>
      </c>
      <c r="P752" t="n">
        <v>0</v>
      </c>
      <c r="Q752" t="n">
        <v>0</v>
      </c>
      <c r="R752" s="2" t="inlineStr"/>
    </row>
    <row r="753" ht="15" customHeight="1">
      <c r="A753" t="inlineStr">
        <is>
          <t>A 55829-2025</t>
        </is>
      </c>
      <c r="B753" s="1" t="n">
        <v>45972.79274305556</v>
      </c>
      <c r="C753" s="1" t="n">
        <v>46046</v>
      </c>
      <c r="D753" t="inlineStr">
        <is>
          <t>SÖDERMANLANDS LÄN</t>
        </is>
      </c>
      <c r="E753" t="inlineStr">
        <is>
          <t>KATRINEHOLM</t>
        </is>
      </c>
      <c r="G753" t="n">
        <v>3.2</v>
      </c>
      <c r="H753" t="n">
        <v>0</v>
      </c>
      <c r="I753" t="n">
        <v>0</v>
      </c>
      <c r="J753" t="n">
        <v>0</v>
      </c>
      <c r="K753" t="n">
        <v>0</v>
      </c>
      <c r="L753" t="n">
        <v>0</v>
      </c>
      <c r="M753" t="n">
        <v>0</v>
      </c>
      <c r="N753" t="n">
        <v>0</v>
      </c>
      <c r="O753" t="n">
        <v>0</v>
      </c>
      <c r="P753" t="n">
        <v>0</v>
      </c>
      <c r="Q753" t="n">
        <v>0</v>
      </c>
      <c r="R753" s="2" t="inlineStr"/>
    </row>
    <row r="754" ht="15" customHeight="1">
      <c r="A754" t="inlineStr">
        <is>
          <t>A 55832-2025</t>
        </is>
      </c>
      <c r="B754" s="1" t="n">
        <v>45972.81768518518</v>
      </c>
      <c r="C754" s="1" t="n">
        <v>46046</v>
      </c>
      <c r="D754" t="inlineStr">
        <is>
          <t>SÖDERMANLANDS LÄN</t>
        </is>
      </c>
      <c r="E754" t="inlineStr">
        <is>
          <t>KATRINEHOLM</t>
        </is>
      </c>
      <c r="G754" t="n">
        <v>2</v>
      </c>
      <c r="H754" t="n">
        <v>0</v>
      </c>
      <c r="I754" t="n">
        <v>0</v>
      </c>
      <c r="J754" t="n">
        <v>0</v>
      </c>
      <c r="K754" t="n">
        <v>0</v>
      </c>
      <c r="L754" t="n">
        <v>0</v>
      </c>
      <c r="M754" t="n">
        <v>0</v>
      </c>
      <c r="N754" t="n">
        <v>0</v>
      </c>
      <c r="O754" t="n">
        <v>0</v>
      </c>
      <c r="P754" t="n">
        <v>0</v>
      </c>
      <c r="Q754" t="n">
        <v>0</v>
      </c>
      <c r="R754" s="2" t="inlineStr"/>
    </row>
    <row r="755" ht="15" customHeight="1">
      <c r="A755" t="inlineStr">
        <is>
          <t>A 55831-2025</t>
        </is>
      </c>
      <c r="B755" s="1" t="n">
        <v>45972.81034722222</v>
      </c>
      <c r="C755" s="1" t="n">
        <v>46046</v>
      </c>
      <c r="D755" t="inlineStr">
        <is>
          <t>SÖDERMANLANDS LÄN</t>
        </is>
      </c>
      <c r="E755" t="inlineStr">
        <is>
          <t>KATRINEHOLM</t>
        </is>
      </c>
      <c r="G755" t="n">
        <v>6.2</v>
      </c>
      <c r="H755" t="n">
        <v>0</v>
      </c>
      <c r="I755" t="n">
        <v>0</v>
      </c>
      <c r="J755" t="n">
        <v>0</v>
      </c>
      <c r="K755" t="n">
        <v>0</v>
      </c>
      <c r="L755" t="n">
        <v>0</v>
      </c>
      <c r="M755" t="n">
        <v>0</v>
      </c>
      <c r="N755" t="n">
        <v>0</v>
      </c>
      <c r="O755" t="n">
        <v>0</v>
      </c>
      <c r="P755" t="n">
        <v>0</v>
      </c>
      <c r="Q755" t="n">
        <v>0</v>
      </c>
      <c r="R755" s="2" t="inlineStr"/>
    </row>
    <row r="756" ht="15" customHeight="1">
      <c r="A756" t="inlineStr">
        <is>
          <t>A 56330-2025</t>
        </is>
      </c>
      <c r="B756" s="1" t="n">
        <v>45974.64094907408</v>
      </c>
      <c r="C756" s="1" t="n">
        <v>46046</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56597-2025</t>
        </is>
      </c>
      <c r="B757" s="1" t="n">
        <v>45975.57271990741</v>
      </c>
      <c r="C757" s="1" t="n">
        <v>46046</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63947-2025</t>
        </is>
      </c>
      <c r="B758" s="1" t="n">
        <v>46010</v>
      </c>
      <c r="C758" s="1" t="n">
        <v>46046</v>
      </c>
      <c r="D758" t="inlineStr">
        <is>
          <t>SÖDERMANLANDS LÄN</t>
        </is>
      </c>
      <c r="E758" t="inlineStr">
        <is>
          <t>KATRINEHOLM</t>
        </is>
      </c>
      <c r="F758" t="inlineStr">
        <is>
          <t>Allmännings- och besparingsskogar</t>
        </is>
      </c>
      <c r="G758" t="n">
        <v>4.8</v>
      </c>
      <c r="H758" t="n">
        <v>0</v>
      </c>
      <c r="I758" t="n">
        <v>0</v>
      </c>
      <c r="J758" t="n">
        <v>0</v>
      </c>
      <c r="K758" t="n">
        <v>0</v>
      </c>
      <c r="L758" t="n">
        <v>0</v>
      </c>
      <c r="M758" t="n">
        <v>0</v>
      </c>
      <c r="N758" t="n">
        <v>0</v>
      </c>
      <c r="O758" t="n">
        <v>0</v>
      </c>
      <c r="P758" t="n">
        <v>0</v>
      </c>
      <c r="Q758" t="n">
        <v>0</v>
      </c>
      <c r="R758" s="2" t="inlineStr"/>
    </row>
    <row r="759" ht="15" customHeight="1">
      <c r="A759" t="inlineStr">
        <is>
          <t>A 63949-2025</t>
        </is>
      </c>
      <c r="B759" s="1" t="n">
        <v>46010</v>
      </c>
      <c r="C759" s="1" t="n">
        <v>46046</v>
      </c>
      <c r="D759" t="inlineStr">
        <is>
          <t>SÖDERMANLANDS LÄN</t>
        </is>
      </c>
      <c r="E759" t="inlineStr">
        <is>
          <t>KATRINEHOLM</t>
        </is>
      </c>
      <c r="F759" t="inlineStr">
        <is>
          <t>Allmännings- och besparingsskogar</t>
        </is>
      </c>
      <c r="G759" t="n">
        <v>5.1</v>
      </c>
      <c r="H759" t="n">
        <v>0</v>
      </c>
      <c r="I759" t="n">
        <v>0</v>
      </c>
      <c r="J759" t="n">
        <v>0</v>
      </c>
      <c r="K759" t="n">
        <v>0</v>
      </c>
      <c r="L759" t="n">
        <v>0</v>
      </c>
      <c r="M759" t="n">
        <v>0</v>
      </c>
      <c r="N759" t="n">
        <v>0</v>
      </c>
      <c r="O759" t="n">
        <v>0</v>
      </c>
      <c r="P759" t="n">
        <v>0</v>
      </c>
      <c r="Q759" t="n">
        <v>0</v>
      </c>
      <c r="R759" s="2" t="inlineStr"/>
    </row>
    <row r="760" ht="15" customHeight="1">
      <c r="A760" t="inlineStr">
        <is>
          <t>A 63945-2025</t>
        </is>
      </c>
      <c r="B760" s="1" t="n">
        <v>46010</v>
      </c>
      <c r="C760" s="1" t="n">
        <v>46046</v>
      </c>
      <c r="D760" t="inlineStr">
        <is>
          <t>SÖDERMANLANDS LÄN</t>
        </is>
      </c>
      <c r="E760" t="inlineStr">
        <is>
          <t>KATRINEHOLM</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63948-2025</t>
        </is>
      </c>
      <c r="B761" s="1" t="n">
        <v>46010</v>
      </c>
      <c r="C761" s="1" t="n">
        <v>46046</v>
      </c>
      <c r="D761" t="inlineStr">
        <is>
          <t>SÖDERMANLANDS LÄN</t>
        </is>
      </c>
      <c r="E761" t="inlineStr">
        <is>
          <t>KATRINEHOLM</t>
        </is>
      </c>
      <c r="F761" t="inlineStr">
        <is>
          <t>Allmännings- och besparingsskogar</t>
        </is>
      </c>
      <c r="G761" t="n">
        <v>4.9</v>
      </c>
      <c r="H761" t="n">
        <v>0</v>
      </c>
      <c r="I761" t="n">
        <v>0</v>
      </c>
      <c r="J761" t="n">
        <v>0</v>
      </c>
      <c r="K761" t="n">
        <v>0</v>
      </c>
      <c r="L761" t="n">
        <v>0</v>
      </c>
      <c r="M761" t="n">
        <v>0</v>
      </c>
      <c r="N761" t="n">
        <v>0</v>
      </c>
      <c r="O761" t="n">
        <v>0</v>
      </c>
      <c r="P761" t="n">
        <v>0</v>
      </c>
      <c r="Q761" t="n">
        <v>0</v>
      </c>
      <c r="R761" s="2" t="inlineStr"/>
    </row>
    <row r="762" ht="15" customHeight="1">
      <c r="A762" t="inlineStr">
        <is>
          <t>A 57323-2025</t>
        </is>
      </c>
      <c r="B762" s="1" t="n">
        <v>45980.32501157407</v>
      </c>
      <c r="C762" s="1" t="n">
        <v>46046</v>
      </c>
      <c r="D762" t="inlineStr">
        <is>
          <t>SÖDERMANLANDS LÄN</t>
        </is>
      </c>
      <c r="E762" t="inlineStr">
        <is>
          <t>KATRINEHOLM</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57975-2025</t>
        </is>
      </c>
      <c r="B763" s="1" t="n">
        <v>45981</v>
      </c>
      <c r="C763" s="1" t="n">
        <v>46046</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1112-2026</t>
        </is>
      </c>
      <c r="B764" s="1" t="n">
        <v>46030.68107638889</v>
      </c>
      <c r="C764" s="1" t="n">
        <v>46046</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1106-2026</t>
        </is>
      </c>
      <c r="B765" s="1" t="n">
        <v>46030.67123842592</v>
      </c>
      <c r="C765" s="1" t="n">
        <v>46046</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1114-2026</t>
        </is>
      </c>
      <c r="B766" s="1" t="n">
        <v>46030.684375</v>
      </c>
      <c r="C766" s="1" t="n">
        <v>46046</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1098-2026</t>
        </is>
      </c>
      <c r="B767" s="1" t="n">
        <v>46030.66519675926</v>
      </c>
      <c r="C767" s="1" t="n">
        <v>46046</v>
      </c>
      <c r="D767" t="inlineStr">
        <is>
          <t>SÖDERMANLANDS LÄN</t>
        </is>
      </c>
      <c r="E767" t="inlineStr">
        <is>
          <t>KATRINEHOLM</t>
        </is>
      </c>
      <c r="G767" t="n">
        <v>3.4</v>
      </c>
      <c r="H767" t="n">
        <v>0</v>
      </c>
      <c r="I767" t="n">
        <v>0</v>
      </c>
      <c r="J767" t="n">
        <v>0</v>
      </c>
      <c r="K767" t="n">
        <v>0</v>
      </c>
      <c r="L767" t="n">
        <v>0</v>
      </c>
      <c r="M767" t="n">
        <v>0</v>
      </c>
      <c r="N767" t="n">
        <v>0</v>
      </c>
      <c r="O767" t="n">
        <v>0</v>
      </c>
      <c r="P767" t="n">
        <v>0</v>
      </c>
      <c r="Q767" t="n">
        <v>0</v>
      </c>
      <c r="R767" s="2" t="inlineStr"/>
    </row>
    <row r="768" ht="15" customHeight="1">
      <c r="A768" t="inlineStr">
        <is>
          <t>A 59967-2025</t>
        </is>
      </c>
      <c r="B768" s="1" t="n">
        <v>45993.48525462963</v>
      </c>
      <c r="C768" s="1" t="n">
        <v>46046</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1668-2026</t>
        </is>
      </c>
      <c r="B769" s="1" t="n">
        <v>46034.55986111111</v>
      </c>
      <c r="C769" s="1" t="n">
        <v>46046</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2473-2026</t>
        </is>
      </c>
      <c r="B770" s="1" t="n">
        <v>46037.37704861111</v>
      </c>
      <c r="C770" s="1" t="n">
        <v>46046</v>
      </c>
      <c r="D770" t="inlineStr">
        <is>
          <t>SÖDERMANLANDS LÄN</t>
        </is>
      </c>
      <c r="E770" t="inlineStr">
        <is>
          <t>KATRINEHOLM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2645-2026</t>
        </is>
      </c>
      <c r="B771" s="1" t="n">
        <v>46037.62321759259</v>
      </c>
      <c r="C771" s="1" t="n">
        <v>46046</v>
      </c>
      <c r="D771" t="inlineStr">
        <is>
          <t>SÖDERMANLANDS LÄN</t>
        </is>
      </c>
      <c r="E771" t="inlineStr">
        <is>
          <t>KATRINEHOLM</t>
        </is>
      </c>
      <c r="G771" t="n">
        <v>2.1</v>
      </c>
      <c r="H771" t="n">
        <v>0</v>
      </c>
      <c r="I771" t="n">
        <v>0</v>
      </c>
      <c r="J771" t="n">
        <v>0</v>
      </c>
      <c r="K771" t="n">
        <v>0</v>
      </c>
      <c r="L771" t="n">
        <v>0</v>
      </c>
      <c r="M771" t="n">
        <v>0</v>
      </c>
      <c r="N771" t="n">
        <v>0</v>
      </c>
      <c r="O771" t="n">
        <v>0</v>
      </c>
      <c r="P771" t="n">
        <v>0</v>
      </c>
      <c r="Q771" t="n">
        <v>0</v>
      </c>
      <c r="R771" s="2" t="inlineStr"/>
    </row>
    <row r="772" ht="15" customHeight="1">
      <c r="A772" t="inlineStr">
        <is>
          <t>A 2913-2026</t>
        </is>
      </c>
      <c r="B772" s="1" t="n">
        <v>46038.56913194444</v>
      </c>
      <c r="C772" s="1" t="n">
        <v>46046</v>
      </c>
      <c r="D772" t="inlineStr">
        <is>
          <t>SÖDERMANLANDS LÄN</t>
        </is>
      </c>
      <c r="E772" t="inlineStr">
        <is>
          <t>KATRINEHOLM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2672-2026</t>
        </is>
      </c>
      <c r="B773" s="1" t="n">
        <v>46037</v>
      </c>
      <c r="C773" s="1" t="n">
        <v>46046</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60678-2025</t>
        </is>
      </c>
      <c r="B774" s="1" t="n">
        <v>45996.56251157408</v>
      </c>
      <c r="C774" s="1" t="n">
        <v>46046</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61066-2025</t>
        </is>
      </c>
      <c r="B775" s="1" t="n">
        <v>46000.37695601852</v>
      </c>
      <c r="C775" s="1" t="n">
        <v>46046</v>
      </c>
      <c r="D775" t="inlineStr">
        <is>
          <t>SÖDERMANLANDS LÄN</t>
        </is>
      </c>
      <c r="E775" t="inlineStr">
        <is>
          <t>KATRINEHOLM</t>
        </is>
      </c>
      <c r="F775" t="inlineStr">
        <is>
          <t>Kyrkan</t>
        </is>
      </c>
      <c r="G775" t="n">
        <v>5</v>
      </c>
      <c r="H775" t="n">
        <v>0</v>
      </c>
      <c r="I775" t="n">
        <v>0</v>
      </c>
      <c r="J775" t="n">
        <v>0</v>
      </c>
      <c r="K775" t="n">
        <v>0</v>
      </c>
      <c r="L775" t="n">
        <v>0</v>
      </c>
      <c r="M775" t="n">
        <v>0</v>
      </c>
      <c r="N775" t="n">
        <v>0</v>
      </c>
      <c r="O775" t="n">
        <v>0</v>
      </c>
      <c r="P775" t="n">
        <v>0</v>
      </c>
      <c r="Q775" t="n">
        <v>0</v>
      </c>
      <c r="R775" s="2" t="inlineStr"/>
    </row>
    <row r="776" ht="15" customHeight="1">
      <c r="A776" t="inlineStr">
        <is>
          <t>A 61121-2025</t>
        </is>
      </c>
      <c r="B776" s="1" t="n">
        <v>46000.46746527778</v>
      </c>
      <c r="C776" s="1" t="n">
        <v>46046</v>
      </c>
      <c r="D776" t="inlineStr">
        <is>
          <t>SÖDERMANLANDS LÄN</t>
        </is>
      </c>
      <c r="E776" t="inlineStr">
        <is>
          <t>KATRINEHOLM</t>
        </is>
      </c>
      <c r="G776" t="n">
        <v>0.2</v>
      </c>
      <c r="H776" t="n">
        <v>0</v>
      </c>
      <c r="I776" t="n">
        <v>0</v>
      </c>
      <c r="J776" t="n">
        <v>0</v>
      </c>
      <c r="K776" t="n">
        <v>0</v>
      </c>
      <c r="L776" t="n">
        <v>0</v>
      </c>
      <c r="M776" t="n">
        <v>0</v>
      </c>
      <c r="N776" t="n">
        <v>0</v>
      </c>
      <c r="O776" t="n">
        <v>0</v>
      </c>
      <c r="P776" t="n">
        <v>0</v>
      </c>
      <c r="Q776" t="n">
        <v>0</v>
      </c>
      <c r="R776" s="2" t="inlineStr"/>
    </row>
    <row r="777" ht="15" customHeight="1">
      <c r="A777" t="inlineStr">
        <is>
          <t>A 61721-2025</t>
        </is>
      </c>
      <c r="B777" s="1" t="n">
        <v>46002.57778935185</v>
      </c>
      <c r="C777" s="1" t="n">
        <v>46046</v>
      </c>
      <c r="D777" t="inlineStr">
        <is>
          <t>SÖDERMANLANDS LÄN</t>
        </is>
      </c>
      <c r="E777" t="inlineStr">
        <is>
          <t>KATRINEHOLM</t>
        </is>
      </c>
      <c r="G777" t="n">
        <v>4.5</v>
      </c>
      <c r="H777" t="n">
        <v>0</v>
      </c>
      <c r="I777" t="n">
        <v>0</v>
      </c>
      <c r="J777" t="n">
        <v>0</v>
      </c>
      <c r="K777" t="n">
        <v>0</v>
      </c>
      <c r="L777" t="n">
        <v>0</v>
      </c>
      <c r="M777" t="n">
        <v>0</v>
      </c>
      <c r="N777" t="n">
        <v>0</v>
      </c>
      <c r="O777" t="n">
        <v>0</v>
      </c>
      <c r="P777" t="n">
        <v>0</v>
      </c>
      <c r="Q777" t="n">
        <v>0</v>
      </c>
      <c r="R777" s="2" t="inlineStr"/>
    </row>
    <row r="778">
      <c r="A778" t="inlineStr">
        <is>
          <t>A 63895-2025</t>
        </is>
      </c>
      <c r="B778" s="1" t="n">
        <v>46020</v>
      </c>
      <c r="C778" s="1" t="n">
        <v>46046</v>
      </c>
      <c r="D778" t="inlineStr">
        <is>
          <t>SÖDERMANLANDS LÄN</t>
        </is>
      </c>
      <c r="E778" t="inlineStr">
        <is>
          <t>KATRINEHOLM</t>
        </is>
      </c>
      <c r="G778" t="n">
        <v>1.5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2026-01-24T11:00:47Z</dcterms:created>
  <dcterms:modified xmlns:dcterms="http://purl.org/dc/terms/" xmlns:xsi="http://www.w3.org/2001/XMLSchema-instance" xsi:type="dcterms:W3CDTF">2026-01-24T11:00:47Z</dcterms:modified>
</cp:coreProperties>
</file>